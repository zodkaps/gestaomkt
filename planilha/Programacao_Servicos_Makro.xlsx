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e" sheetId="1" state="visible" r:id="rId3"/>
    <sheet name="Programação" sheetId="2" state="visible" r:id="rId4"/>
    <sheet name="Carteira" sheetId="3" state="visible" r:id="rId5"/>
    <sheet name="Frota" sheetId="4" state="visible" r:id="rId6"/>
    <sheet name="Semana" sheetId="5" state="visible" r:id="rId7"/>
    <sheet name="Aderência" sheetId="6" state="visible" r:id="rId8"/>
    <sheet name="Movimentações" sheetId="7" state="visible" r:id="rId9"/>
    <sheet name="Como usar" sheetId="8" state="visible" r:id="rId10"/>
    <sheet name="Listas" sheetId="9" state="visible" r:id="rId11"/>
  </sheets>
  <definedNames>
    <definedName function="false" hidden="false" localSheetId="5" name="_xlnm.Print_Area" vbProcedure="false">Aderência!$A$1:$M$212</definedName>
    <definedName function="false" hidden="false" localSheetId="2" name="_xlnm.Print_Titles" vbProcedure="false">Carteira!$7:$7</definedName>
    <definedName function="false" hidden="false" localSheetId="3" name="_xlnm.Print_Titles" vbProcedure="false">Frota!$7:$7</definedName>
    <definedName function="false" hidden="false" localSheetId="0" name="_xlnm.Print_Area" vbProcedure="false">Hoje!$A$1:$I$100</definedName>
    <definedName function="false" hidden="false" localSheetId="8" name="_xlnm.Print_Area" vbProcedure="false">Listas!$A$1:$H$120</definedName>
    <definedName function="false" hidden="false" localSheetId="6" name="_xlnm.Print_Area" vbProcedure="false">Movimentações!$A$1:$I$37</definedName>
    <definedName function="false" hidden="false" localSheetId="6" name="_xlnm.Print_Titles" vbProcedure="false">Movimentações!$1:$8</definedName>
    <definedName function="false" hidden="true" localSheetId="6" name="_xlnm._FilterDatabase" vbProcedure="false">Movimentações!$A$8:$I$308</definedName>
    <definedName function="false" hidden="false" localSheetId="1" name="_xlnm.Print_Area" vbProcedure="false">Programação!$A$1:$U$382</definedName>
    <definedName function="false" hidden="false" localSheetId="1" name="_xlnm.Print_Titles" vbProcedure="false">Programação!$1:$3</definedName>
    <definedName function="false" hidden="true" localSheetId="1" name="_xlnm._FilterDatabase" vbProcedure="false">Programação!$A$3:$AT$1004</definedName>
    <definedName function="false" hidden="false" localSheetId="4" name="_xlnm.Print_Area" vbProcedure="false">Semana!$A$1:$N$39</definedName>
    <definedName function="false" hidden="false" localSheetId="4" name="_xlnm.Print_Titles" vbProcedure="false">Semana!$1:$13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atividades cujo PRAZO cai neste dia</t>
        </r>
      </text>
    </comment>
    <comment ref="C3" authorId="0">
      <text>
        <r>
          <rPr>
            <sz val="10"/>
            <rFont val="Arial"/>
            <family val="2"/>
          </rPr>
          <t xml:space="preserve">Vem preenchida com o dia de hoje.
Troque a data para olhar outro dia — a lista, os indicadores e as atrasadas acompanham. Para voltar ao normal, escreva =HOJE()</t>
        </r>
      </text>
    </comment>
    <comment ref="C5" authorId="0">
      <text>
        <r>
          <rPr>
            <sz val="10"/>
            <rFont val="Arial"/>
            <family val="2"/>
          </rPr>
          <t xml:space="preserve">dessas, quantas já estão concluídas</t>
        </r>
      </text>
    </comment>
    <comment ref="D5" authorId="0">
      <text>
        <r>
          <rPr>
            <sz val="10"/>
            <rFont val="Arial"/>
            <family val="2"/>
          </rPr>
          <t xml:space="preserve">fecharam ÷ para fechar — é a aderência diária, por atividade</t>
        </r>
      </text>
    </comment>
    <comment ref="F5" authorId="0">
      <text>
        <r>
          <rPr>
            <sz val="10"/>
            <rFont val="Arial"/>
            <family val="2"/>
          </rPr>
          <t xml:space="preserve">abertas e dentro da janela de execução neste dia</t>
        </r>
      </text>
    </comment>
    <comment ref="H5" authorId="0">
      <text>
        <r>
          <rPr>
            <sz val="10"/>
            <rFont val="Arial"/>
            <family val="2"/>
          </rPr>
          <t xml:space="preserve">a janela fechou e a atividade não saiu — vêm de dias anteriores</t>
        </r>
      </text>
    </comment>
    <comment ref="J10" authorId="0">
      <text>
        <r>
          <rPr>
            <sz val="10"/>
            <rFont val="Arial"/>
            <family val="2"/>
          </rPr>
          <t xml:space="preserve">A LINHA vem da última coluna da lista do dia.
Escreva o número aqui e a data ao lado: a atividade fecha na Programação, e a coluna ao lado confirma qual serviço você fechou.
Na próxima vez que a planilha for reconstruída, a data passa para a coluna CONCLUÍDA EM da Programação e este bloco volta a ficar vazio.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Sai sozinha, e SÓ ESTA CÉLULA muda de cor — o resto da linha fica limpo.
Em programação · Na carteira · Falta a semana · Programada · Em execução · Fecha hoje · VENCIDA · Concluída · Concluída com atraso · Cancelada</t>
        </r>
      </text>
    </comment>
    <comment ref="D3" authorId="0">
      <text>
        <r>
          <rPr>
            <sz val="10"/>
            <rFont val="Arial"/>
            <family val="2"/>
          </rPr>
          <t xml:space="preserve">Pode digitar uma frota que ainda não está na lista — a planilha avisa mas deixa passar. Depois acrescente na aba Listas para ela virar opção.</t>
        </r>
      </text>
    </comment>
    <comment ref="F3" authorId="0">
      <text>
        <r>
          <rPr>
            <sz val="10"/>
            <rFont val="Arial"/>
            <family val="2"/>
          </rPr>
          <t xml:space="preserve">A ATIVIDADE é a unidade: “trocar as lonas”, “regular a catraca”.
Um serviço com três atividades ocupa três linhas. A aderência sai daqui.</t>
        </r>
      </text>
    </comment>
    <comment ref="H3" authorId="0">
      <text>
        <r>
          <rPr>
            <sz val="10"/>
            <rFont val="Arial"/>
            <family val="2"/>
          </rPr>
          <t xml:space="preserve">PROGRAMADA: estava no plano da semana.
EXTRA: entrou depois — quebra, urgência, pedido da operação.
Extra fica FORA da aderência do plano e tem contador próprio. Ao lado dela, o CUMPRIMENTO GERAL inclui o extra: a diferença entre os dois é o tamanho do imprevisto.</t>
        </r>
      </text>
    </comment>
    <comment ref="I3" authorId="0">
      <text>
        <r>
          <rPr>
            <sz val="10"/>
            <rFont val="Arial"/>
            <family val="2"/>
          </rPr>
          <t xml:space="preserve">Até três pessoas na mesma atividade. Ela entra na carga de cada uma e conta uma vez só no total.
Empresa externa: escreva com “(externo)” no fim — serviço de terceiro fica FORA da aderência interna.</t>
        </r>
      </text>
    </comment>
    <comment ref="L3" authorId="0">
      <text>
        <r>
          <rPr>
            <sz val="10"/>
            <rFont val="Arial"/>
            <family val="2"/>
          </rPr>
          <t xml:space="preserve">O NÚMERO da semana no ano (35, 36…), não a data. O ano fica na aba Semana.
Para repetir a semana passada: copie as linhas, cole no fim e troque só este número.</t>
        </r>
      </text>
    </comment>
    <comment ref="M3" authorId="0">
      <text>
        <r>
          <rPr>
            <sz val="10"/>
            <rFont val="Arial"/>
            <family val="2"/>
          </rPr>
          <t xml:space="preserve">O dia em que o SERVIÇO COMEÇA — vale para todas as atividades dele.
Você não precisa marcar dia atividade por atividade: a planilha divide as atividades pelos dias do serviço e dá a cada uma o seu PRAZO.</t>
        </r>
      </text>
    </comment>
    <comment ref="N3" authorId="0">
      <text>
        <r>
          <rPr>
            <sz val="10"/>
            <rFont val="Arial"/>
            <family val="2"/>
          </rPr>
          <t xml:space="preserve">Quantos dias o SERVIÇO leva por inteiro, do começo ao fim. Vale igual para todas as atividades dele — se você escrever números diferentes no mesmo serviço, prevalece o maior.
É este número que divide o trabalho: 34 atividades em 3 dias viram 12 no primeiro, 11 no segundo e 11 no terceiro. Mexer aqui redistribui os prazos.</t>
        </r>
      </text>
    </comment>
    <comment ref="P3" authorId="0">
      <text>
        <r>
          <rPr>
            <sz val="10"/>
            <rFont val="Arial"/>
            <family val="2"/>
          </rPr>
          <t xml:space="preserve">O PRAZO desta atividade — sai sozinho. É o dia de início do serviço mais a fatia que coube a ela na divisão dos dias.
É contra esta data que a atividade vence, e é ela que manda na aderência do dia.</t>
        </r>
      </text>
    </comment>
    <comment ref="Q3" authorId="0">
      <text>
        <r>
          <rPr>
            <sz val="10"/>
            <rFont val="Arial"/>
            <family val="2"/>
          </rPr>
          <t xml:space="preserve">Preencher esta data já conclui a atividade.</t>
        </r>
      </text>
    </comment>
    <comment ref="S3" authorId="0">
      <text>
        <r>
          <rPr>
            <sz val="10"/>
            <rFont val="Arial"/>
            <family val="2"/>
          </rPr>
          <t xml:space="preserve">Só ao REPROGRAMAR: o número da semana em que ela estava antes.</t>
        </r>
      </text>
    </comment>
    <comment ref="T3" authorId="0">
      <text>
        <r>
          <rPr>
            <sz val="10"/>
            <rFont val="Arial"/>
            <family val="2"/>
          </rPr>
          <t xml:space="preserve">Por que atrasou, ou por que mudou de semana. Escolha da lista ou escreva.</t>
        </r>
      </text>
    </comment>
    <comment ref="AD3" authorId="0">
      <text>
        <r>
          <rPr>
            <sz val="10"/>
            <rFont val="Arial"/>
            <family val="2"/>
          </rPr>
          <t xml:space="preserve">1 dividido por quantos executantes a atividade tem. É o que alimenta a coluna PESO da aba Semana.
Uma atividade com três pessoas conta 1 no total da semana e 1/3 para cada uma.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Escolha o caminhão aqui e a tela inteira acompanha.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atividades do plano da semana, sem extra, sem terceiro e sem cancelada</t>
        </r>
      </text>
    </comment>
    <comment ref="A34" authorId="0">
      <text>
        <r>
          <rPr>
            <sz val="10"/>
            <rFont val="Arial"/>
            <family val="2"/>
          </rPr>
          <t xml:space="preserve">Atividades DISTINTAS da semana. Não é a soma da coluna de cima: atividade dividida conta cheia para cada um que participou, então aquela coluna soma mais.
Quem fecha com este total é o PESO.</t>
        </r>
      </text>
    </comment>
    <comment ref="A39" authorId="0">
      <text>
        <r>
          <rPr>
            <sz val="10"/>
            <rFont val="Arial"/>
            <family val="2"/>
          </rPr>
          <t xml:space="preserve">Fechou ÷ para fechar, dia a dia. O total da direita é a semana inteira.
Dia sem nada previsto fica em branco, não em zero: zero de nada não é zero por cento.</t>
        </r>
      </text>
    </comment>
    <comment ref="C3" authorId="0">
      <text>
        <r>
          <rPr>
            <sz val="10"/>
            <rFont val="Arial"/>
            <family val="2"/>
          </rPr>
          <t xml:space="preserve">O número da semana no ano — 35, 36, 40…
Troque aqui e a grade inteira acompanha: os dias no topo, os números de cada executante e o resumo.</t>
        </r>
      </text>
    </comment>
    <comment ref="D5" authorId="0">
      <text>
        <r>
          <rPr>
            <sz val="10"/>
            <rFont val="Arial"/>
            <family val="2"/>
          </rPr>
          <t xml:space="preserve">do plano, quantas saíram</t>
        </r>
      </text>
    </comment>
    <comment ref="F5" authorId="0">
      <text>
        <r>
          <rPr>
            <sz val="10"/>
            <rFont val="Arial"/>
            <family val="2"/>
          </rPr>
          <t xml:space="preserve">concluídas ÷ programadas — mede se o plano foi cumprido</t>
        </r>
      </text>
    </comment>
    <comment ref="H5" authorId="0">
      <text>
        <r>
          <rPr>
            <sz val="10"/>
            <rFont val="Arial"/>
            <family val="2"/>
          </rPr>
          <t xml:space="preserve">tudo que a oficina fez ÷ tudo que ela teve, incluindo o extra. A diferença para a aderência é o tamanho do imprevisto.</t>
        </r>
      </text>
    </comment>
    <comment ref="I13" authorId="0">
      <text>
        <r>
          <rPr>
            <sz val="10"/>
            <rFont val="Arial"/>
            <family val="2"/>
          </rPr>
          <t xml:space="preserve">Tudo que a pessoa tem na semana — plano e extra juntos. A grade é carga de trabalho; quem separa plano de extra é a faixa lá em cima.
ATENÇÃO: atividade dividida conta CHEIA para cada um que participou. Por isso esta coluna soma mais que o total da semana — quem fecha com o total é o PESO.</t>
        </r>
      </text>
    </comment>
    <comment ref="J3" authorId="0">
      <text>
        <r>
          <rPr>
            <sz val="10"/>
            <rFont val="Arial"/>
            <family val="2"/>
          </rPr>
          <t xml:space="preserve">Ano do calendário. É dele e do número da semana que saem as datas de todas as atividades.</t>
        </r>
      </text>
    </comment>
    <comment ref="J5" authorId="0">
      <text>
        <r>
          <rPr>
            <sz val="10"/>
            <rFont val="Arial"/>
            <family val="2"/>
          </rPr>
          <t xml:space="preserve">entraram fora da programação</t>
        </r>
      </text>
    </comment>
    <comment ref="J13" authorId="0">
      <text>
        <r>
          <rPr>
            <sz val="10"/>
            <rFont val="Arial"/>
            <family val="2"/>
          </rPr>
          <t xml:space="preserve">A diária: soma dos dias previstos das atividades da pessoa na semana. Uma atividade de 3 dias pesa 3 aqui e 1 na coluna Total.</t>
        </r>
      </text>
    </comment>
    <comment ref="L5" authorId="0">
      <text>
        <r>
          <rPr>
            <sz val="10"/>
            <rFont val="Arial"/>
            <family val="2"/>
          </rPr>
          <t xml:space="preserve">o dia passou e a atividade não foi concluída</t>
        </r>
      </text>
    </comment>
    <comment ref="M3" authorId="0">
      <text>
        <r>
          <rPr>
            <sz val="10"/>
            <rFont val="Arial"/>
            <family val="2"/>
          </rPr>
          <t xml:space="preserve">Hora em que a oficina fecha.
Passado este horário, o que vencia hoje e não foi concluído passa a contar como VENCIDA — não fica esperando o dia seguinte para aparecer.</t>
        </r>
      </text>
    </comment>
    <comment ref="N13" authorId="0">
      <text>
        <r>
          <rPr>
            <sz val="10"/>
            <rFont val="Arial"/>
            <family val="2"/>
          </rPr>
          <t xml:space="preserve">A atividade dividida entre quem participou: três executantes dão 1/3 para cada.
É esta coluna que FECHA com o total da semana. Serve para dizer quanto da carga foi de cada um sem contar a mesma atividade duas vezes.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2" authorId="0">
      <text>
        <r>
          <rPr>
            <sz val="10"/>
            <rFont val="Arial"/>
            <family val="2"/>
          </rPr>
          <t xml:space="preserve">Cada atividade conta CHEIA para cada um que participou, então a coluna acima soma mais que o total da semana.
Aqui está o número de atividades distintas. O peso rateado — a atividade dividida entre quem participou — fica na coluna PESO da aba Semana.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tudo que foi pedido à operação</t>
        </r>
      </text>
    </comment>
    <comment ref="C3" authorId="0">
      <text>
        <r>
          <rPr>
            <sz val="10"/>
            <rFont val="Arial"/>
            <family val="2"/>
          </rPr>
          <t xml:space="preserve">já chegaram</t>
        </r>
      </text>
    </comment>
    <comment ref="C8" authorId="0">
      <text>
        <r>
          <rPr>
            <sz val="10"/>
            <rFont val="Arial"/>
            <family val="2"/>
          </rPr>
          <t xml:space="preserve">O dia em que você pediu a movimentação à operação.</t>
        </r>
      </text>
    </comment>
    <comment ref="D3" authorId="0">
      <text>
        <r>
          <rPr>
            <sz val="10"/>
            <rFont val="Arial"/>
            <family val="2"/>
          </rPr>
          <t xml:space="preserve">chegaram até a data prometida</t>
        </r>
      </text>
    </comment>
    <comment ref="D8" authorId="0">
      <text>
        <r>
          <rPr>
            <sz val="10"/>
            <rFont val="Arial"/>
            <family val="2"/>
          </rPr>
          <t xml:space="preserve">A data que a operação SE COMPROMETEU a entregar. É contra ela que o atraso é medido — sem essa data não há o que cobrar.</t>
        </r>
      </text>
    </comment>
    <comment ref="E3" authorId="0">
      <text>
        <r>
          <rPr>
            <sz val="10"/>
            <rFont val="Arial"/>
            <family val="2"/>
          </rPr>
          <t xml:space="preserve">no prazo ÷ entregues. É este o número para levar à reunião</t>
        </r>
      </text>
    </comment>
    <comment ref="E8" authorId="0">
      <text>
        <r>
          <rPr>
            <sz val="10"/>
            <rFont val="Arial"/>
            <family val="2"/>
          </rPr>
          <t xml:space="preserve">O dia em que a frota chegou de verdade. Enquanto estiver vazio, a movimentação está em aberto.</t>
        </r>
      </text>
    </comment>
    <comment ref="F8" authorId="0">
      <text>
        <r>
          <rPr>
            <sz val="10"/>
            <rFont val="Arial"/>
            <family val="2"/>
          </rPr>
          <t xml:space="preserve">Sai sozinho: chegou menos prometida, em dias. Chegar antes conta zero.</t>
        </r>
      </text>
    </comment>
    <comment ref="G3" authorId="0">
      <text>
        <r>
          <rPr>
            <sz val="10"/>
            <rFont val="Arial"/>
            <family val="2"/>
          </rPr>
          <t xml:space="preserve">dias, contando só as que atrasaram</t>
        </r>
      </text>
    </comment>
    <comment ref="I3" authorId="0">
      <text>
        <r>
          <rPr>
            <sz val="10"/>
            <rFont val="Arial"/>
            <family val="2"/>
          </rPr>
          <t xml:space="preserve">a soma de todos os atrasos: o tamanho do prejuízo em dias de oficina</t>
        </r>
      </text>
    </comment>
    <comment ref="I8" authorId="0">
      <text>
        <r>
          <rPr>
            <sz val="10"/>
            <rFont val="Arial"/>
            <family val="2"/>
          </rPr>
          <t xml:space="preserve">Quem, na operação, deu a data. Sem nome, a cobrança vira conversa.</t>
        </r>
      </text>
    </comment>
  </commentList>
</comments>
</file>

<file path=xl/sharedStrings.xml><?xml version="1.0" encoding="utf-8"?>
<sst xmlns="http://schemas.openxmlformats.org/spreadsheetml/2006/main" count="3686" uniqueCount="1134">
  <si>
    <t xml:space="preserve">O DIA  ·  o que a oficina tem para fazer e o que já fechou</t>
  </si>
  <si>
    <t xml:space="preserve">motor — não apague</t>
  </si>
  <si>
    <t xml:space="preserve">Estas quatro células movem a planilha: a data de hoje, a hora, e o tamanho das duas listas abaixo. Não apague nem mova.</t>
  </si>
  <si>
    <t xml:space="preserve">agora</t>
  </si>
  <si>
    <t xml:space="preserve">DATA</t>
  </si>
  <si>
    <t xml:space="preserve">←  troque a data para ver outro dia</t>
  </si>
  <si>
    <t xml:space="preserve">no dia</t>
  </si>
  <si>
    <t xml:space="preserve">atrasadas</t>
  </si>
  <si>
    <t xml:space="preserve">PARA FECHAR HOJE</t>
  </si>
  <si>
    <t xml:space="preserve">FECHARAM</t>
  </si>
  <si>
    <t xml:space="preserve">ADERÊNCIA DO DIA</t>
  </si>
  <si>
    <t xml:space="preserve">EM EXECUÇÃO</t>
  </si>
  <si>
    <t xml:space="preserve">ATRASADAS</t>
  </si>
  <si>
    <t xml:space="preserve">na carteira</t>
  </si>
  <si>
    <t xml:space="preserve">DAR BAIXA</t>
  </si>
  <si>
    <t xml:space="preserve">O DIA</t>
  </si>
  <si>
    <t xml:space="preserve">escreva a LINHA que a lista mostra e a data — a atividade fecha na Programação</t>
  </si>
  <si>
    <t xml:space="preserve">Frota</t>
  </si>
  <si>
    <t xml:space="preserve">Serviço</t>
  </si>
  <si>
    <t xml:space="preserve">Atividade</t>
  </si>
  <si>
    <t xml:space="preserve">Quem faz</t>
  </si>
  <si>
    <t xml:space="preserve">Início</t>
  </si>
  <si>
    <t xml:space="preserve">Fim</t>
  </si>
  <si>
    <t xml:space="preserve">Situação</t>
  </si>
  <si>
    <t xml:space="preserve">Concluída em</t>
  </si>
  <si>
    <t xml:space="preserve">Linha</t>
  </si>
  <si>
    <t xml:space="preserve">o que você está fechando</t>
  </si>
  <si>
    <t xml:space="preserve">a janela já fechou e a atividade continua aberta — estas vêm de dias anteriores</t>
  </si>
  <si>
    <t xml:space="preserve">Para concluir uma atividade: vá à aba PROGRAMAÇÃO, na linha que a coluna LINHA indica, e escreva a data em CONCLUÍDA EM. Aqui nada se digita a não ser a data lá em cima — o resto é espelho da Programação.</t>
  </si>
  <si>
    <t xml:space="preserve">PROGRAMAÇÃO DE SERVIÇOS  ·  MAKRO TRANSPORTES  ·  SEMANA 37</t>
  </si>
  <si>
    <t xml:space="preserve">CALCULADO</t>
  </si>
  <si>
    <t xml:space="preserve">1 · O QUE É O SERVIÇO</t>
  </si>
  <si>
    <t xml:space="preserve">2 · QUEM FAZ — até três</t>
  </si>
  <si>
    <t xml:space="preserve">3 · PROGRAMAR — semana, dia e quantos dias leva</t>
  </si>
  <si>
    <t xml:space="preserve">4 · SÓ QUANDO ACONTECER</t>
  </si>
  <si>
    <t xml:space="preserve">CALCULADO — não digite aqui</t>
  </si>
  <si>
    <t xml:space="preserve">5 · PRIORIDADE</t>
  </si>
  <si>
    <t xml:space="preserve">OS</t>
  </si>
  <si>
    <t xml:space="preserve">Tipo</t>
  </si>
  <si>
    <t xml:space="preserve">Origem</t>
  </si>
  <si>
    <t xml:space="preserve">Executante 1</t>
  </si>
  <si>
    <t xml:space="preserve">Executante 2</t>
  </si>
  <si>
    <t xml:space="preserve">Executante 3</t>
  </si>
  <si>
    <t xml:space="preserve">Semana</t>
  </si>
  <si>
    <t xml:space="preserve">Dia</t>
  </si>
  <si>
    <t xml:space="preserve">Dias prev.</t>
  </si>
  <si>
    <t xml:space="preserve">Prazo</t>
  </si>
  <si>
    <t xml:space="preserve">Marcar</t>
  </si>
  <si>
    <t xml:space="preserve">Semana orig.</t>
  </si>
  <si>
    <t xml:space="preserve">Motivo do atraso / da mudança</t>
  </si>
  <si>
    <t xml:space="preserve">Obs.</t>
  </si>
  <si>
    <t xml:space="preserve">Oficina</t>
  </si>
  <si>
    <t xml:space="preserve">Plano</t>
  </si>
  <si>
    <t xml:space="preserve">No prazo</t>
  </si>
  <si>
    <t xml:space="preserve">No plano</t>
  </si>
  <si>
    <t xml:space="preserve">Atraso</t>
  </si>
  <si>
    <t xml:space="preserve">Reprog.</t>
  </si>
  <si>
    <t xml:space="preserve">Concl.</t>
  </si>
  <si>
    <t xml:space="preserve">Venc?</t>
  </si>
  <si>
    <t xml:space="preserve">Fração</t>
  </si>
  <si>
    <t xml:space="preserve">Ordem dia</t>
  </si>
  <si>
    <t xml:space="preserve">Ordem atr.</t>
  </si>
  <si>
    <t xml:space="preserve">Quem</t>
  </si>
  <si>
    <t xml:space="preserve">Entra dia</t>
  </si>
  <si>
    <t xml:space="preserve">Entra atr.</t>
  </si>
  <si>
    <t xml:space="preserve">Chave</t>
  </si>
  <si>
    <t xml:space="preserve">Nº no serv.</t>
  </si>
  <si>
    <t xml:space="preserve">Qtd no serv.</t>
  </si>
  <si>
    <t xml:space="preserve">Prioridade</t>
  </si>
  <si>
    <t xml:space="preserve">Cliente</t>
  </si>
  <si>
    <t xml:space="preserve">Chave carteira</t>
  </si>
  <si>
    <t xml:space="preserve">Ordem carteira</t>
  </si>
  <si>
    <t xml:space="preserve">É da frota</t>
  </si>
  <si>
    <t xml:space="preserve">Ordem frota</t>
  </si>
  <si>
    <t xml:space="preserve">Baixa da aba Hoje</t>
  </si>
  <si>
    <t xml:space="preserve">Concluída efetiva</t>
  </si>
  <si>
    <t xml:space="preserve">021188</t>
  </si>
  <si>
    <t xml:space="preserve">F-326</t>
  </si>
  <si>
    <t xml:space="preserve">Calibração e troca de pneus</t>
  </si>
  <si>
    <t xml:space="preserve">Trocar pneus</t>
  </si>
  <si>
    <t xml:space="preserve">Corretiva</t>
  </si>
  <si>
    <t xml:space="preserve">Extra</t>
  </si>
  <si>
    <t xml:space="preserve">Airton</t>
  </si>
  <si>
    <t xml:space="preserve">Luiz Paulo</t>
  </si>
  <si>
    <t xml:space="preserve">Qua</t>
  </si>
  <si>
    <t xml:space="preserve">Concluída</t>
  </si>
  <si>
    <t xml:space="preserve">Sistema: Pneus</t>
  </si>
  <si>
    <t xml:space="preserve">Substituir batentes dos eixos traseiros LE e LD gastos</t>
  </si>
  <si>
    <t xml:space="preserve">Júnior</t>
  </si>
  <si>
    <t xml:space="preserve">Sistema: Pneus · Serviço empresa especializada · peça 20390836 (4 unidades)</t>
  </si>
  <si>
    <t xml:space="preserve">Soldar base do paralama dianteiro LD avariada</t>
  </si>
  <si>
    <t xml:space="preserve">Sistema: Pneus · 20453900</t>
  </si>
  <si>
    <t xml:space="preserve">Substituir acabamento do retrovisor inferior LD</t>
  </si>
  <si>
    <t xml:space="preserve">Sistema: Pneus · item em aplicação direta ou realizar pedido 21169971</t>
  </si>
  <si>
    <t xml:space="preserve">CARCAÇA INTERNA DO FAROL</t>
  </si>
  <si>
    <t xml:space="preserve">Sistema: Pneus · 20453627</t>
  </si>
  <si>
    <t xml:space="preserve">019784</t>
  </si>
  <si>
    <t xml:space="preserve">F-327</t>
  </si>
  <si>
    <t xml:space="preserve">Montar adesivos e baixa de carteira</t>
  </si>
  <si>
    <t xml:space="preserve">Realizar lavagem e corrigir vazamento na bomba de direção</t>
  </si>
  <si>
    <t xml:space="preserve">Programada</t>
  </si>
  <si>
    <t xml:space="preserve">serviço interno Matriz</t>
  </si>
  <si>
    <t xml:space="preserve">Regular travamento das portas, motorista relata que as mesmas estão abrindo em movimento</t>
  </si>
  <si>
    <t xml:space="preserve">021437</t>
  </si>
  <si>
    <t xml:space="preserve">baixa de carteira</t>
  </si>
  <si>
    <t xml:space="preserve">Corrigir ligação da chave geral</t>
  </si>
  <si>
    <t xml:space="preserve">Adilton</t>
  </si>
  <si>
    <t xml:space="preserve">Gabriel</t>
  </si>
  <si>
    <t xml:space="preserve">Seg</t>
  </si>
  <si>
    <t xml:space="preserve">Mudou a prioridade</t>
  </si>
  <si>
    <t xml:space="preserve">021441</t>
  </si>
  <si>
    <t xml:space="preserve">Verificado intercooler com reparos, ficando apenas em observação de substituição</t>
  </si>
  <si>
    <t xml:space="preserve">021446</t>
  </si>
  <si>
    <t xml:space="preserve">Substituir buchas das abraçadeiras do tanque LD gastas e corrigir/substituir tanque amassado</t>
  </si>
  <si>
    <t xml:space="preserve">Peça não chegou</t>
  </si>
  <si>
    <t xml:space="preserve">Repor tampa da caixa de fusíveis LD</t>
  </si>
  <si>
    <t xml:space="preserve">OS 20352 · 20398773</t>
  </si>
  <si>
    <t xml:space="preserve">021447</t>
  </si>
  <si>
    <t xml:space="preserve">Fixar banco do passageiro LD</t>
  </si>
  <si>
    <t xml:space="preserve">021448</t>
  </si>
  <si>
    <t xml:space="preserve">Corrigir empeno do aro segundo eixo LD</t>
  </si>
  <si>
    <t xml:space="preserve">021451</t>
  </si>
  <si>
    <t xml:space="preserve">Substituir juntas do escapamento gastas</t>
  </si>
  <si>
    <t xml:space="preserve">Serviço interno Matriz · peça 20855371 (6 unidades) · realizar acompanhamento</t>
  </si>
  <si>
    <t xml:space="preserve">021456</t>
  </si>
  <si>
    <t xml:space="preserve">Substituir estribo da cabine LD</t>
  </si>
  <si>
    <t xml:space="preserve">3175928/realizar acompanhamento</t>
  </si>
  <si>
    <t xml:space="preserve">021339</t>
  </si>
  <si>
    <t xml:space="preserve">Substituir para-sol avariado</t>
  </si>
  <si>
    <t xml:space="preserve">82245535</t>
  </si>
  <si>
    <t xml:space="preserve">Repor acabamento do cinto do banco do motorista</t>
  </si>
  <si>
    <t xml:space="preserve">Ter</t>
  </si>
  <si>
    <t xml:space="preserve">Aguardando material · 0586501</t>
  </si>
  <si>
    <t xml:space="preserve">021301</t>
  </si>
  <si>
    <t xml:space="preserve">F-331</t>
  </si>
  <si>
    <t xml:space="preserve">Preventiva</t>
  </si>
  <si>
    <t xml:space="preserve">Trocar óleo e filtro</t>
  </si>
  <si>
    <t xml:space="preserve">Serviço maior que o previsto</t>
  </si>
  <si>
    <t xml:space="preserve">Reprogramada por conta de box bloqueado por conta de guindaste</t>
  </si>
  <si>
    <t xml:space="preserve">Diagnosticar e corrigir falha no sistema do motor: temperatura dos gases de escape</t>
  </si>
  <si>
    <t xml:space="preserve">Reprogramada por conta de box bloqueado por conta de guindaste · serviço interno base Mossoró</t>
  </si>
  <si>
    <t xml:space="preserve">Substituir bomba d'água com princípio de vazamento pelo selo lateral</t>
  </si>
  <si>
    <t xml:space="preserve">Sex</t>
  </si>
  <si>
    <t xml:space="preserve">Reprogramada por conta de box bloqueado por conta de guindaste · 20538820</t>
  </si>
  <si>
    <t xml:space="preserve">Realizar lavagem e sanar vazamento na bomba de direção hidráulica</t>
  </si>
  <si>
    <t xml:space="preserve">Sanar vazamento na mangueira da bomba de direção</t>
  </si>
  <si>
    <t xml:space="preserve">Reprogramada por conta de box bloqueado por conta de guindaste · serviço interno base Mossoró solicitar codigo do tubo original</t>
  </si>
  <si>
    <t xml:space="preserve">Corrigir fixação elétrica solta na frente do intercooler</t>
  </si>
  <si>
    <t xml:space="preserve">Fixar chicote elétrico solto na longarina LD</t>
  </si>
  <si>
    <t xml:space="preserve">020466</t>
  </si>
  <si>
    <t xml:space="preserve">Repor acabamento inferior frontal do parachoque</t>
  </si>
  <si>
    <t xml:space="preserve">Reprogramada por conta de box bloqueado por conta de guindaste · 20711859</t>
  </si>
  <si>
    <t xml:space="preserve">Repor vidrala sanefa/carga e corrigir empeno no varão</t>
  </si>
  <si>
    <t xml:space="preserve">Reprogramada por conta de box bloqueado por conta de guindaste · 1628953 peça adaptada</t>
  </si>
  <si>
    <t xml:space="preserve">Corrigir iluminação interna da cabine</t>
  </si>
  <si>
    <t xml:space="preserve">Fixar mangueiras soltas na longarina LE</t>
  </si>
  <si>
    <t xml:space="preserve">021296</t>
  </si>
  <si>
    <t xml:space="preserve">Motor esguicho</t>
  </si>
  <si>
    <t xml:space="preserve">021297</t>
  </si>
  <si>
    <t xml:space="preserve">Mola gás</t>
  </si>
  <si>
    <t xml:space="preserve">021298</t>
  </si>
  <si>
    <t xml:space="preserve">Lamina d'agua</t>
  </si>
  <si>
    <t xml:space="preserve">021299</t>
  </si>
  <si>
    <t xml:space="preserve">Mola do pedal</t>
  </si>
  <si>
    <t xml:space="preserve">021300</t>
  </si>
  <si>
    <t xml:space="preserve">Interruptor</t>
  </si>
  <si>
    <t xml:space="preserve">021377</t>
  </si>
  <si>
    <t xml:space="preserve">Trocar tanque de combustivel com vazamento</t>
  </si>
  <si>
    <t xml:space="preserve">021398</t>
  </si>
  <si>
    <t xml:space="preserve">Alinhar pneus</t>
  </si>
  <si>
    <t xml:space="preserve">Realizar alinhamento</t>
  </si>
  <si>
    <t xml:space="preserve">F-457</t>
  </si>
  <si>
    <t xml:space="preserve">Verificar válvula de freio</t>
  </si>
  <si>
    <t xml:space="preserve">Qui</t>
  </si>
  <si>
    <t xml:space="preserve">Sistema: Freios</t>
  </si>
  <si>
    <t xml:space="preserve">F-458</t>
  </si>
  <si>
    <t xml:space="preserve">021330</t>
  </si>
  <si>
    <t xml:space="preserve">F-617</t>
  </si>
  <si>
    <t xml:space="preserve">Realizar troca ou calibração dos pneus</t>
  </si>
  <si>
    <t xml:space="preserve">021320</t>
  </si>
  <si>
    <t xml:space="preserve">Baixa de carteira</t>
  </si>
  <si>
    <t xml:space="preserve">Realizar limpeza nos bornes das baterias</t>
  </si>
  <si>
    <t xml:space="preserve">Alexandre</t>
  </si>
  <si>
    <t xml:space="preserve">021325</t>
  </si>
  <si>
    <t xml:space="preserve">Fixar farol dianteiro LD, substituir bojo do mesmo avariado e repor acabamento da bomba de bascular;82209849/82056991</t>
  </si>
  <si>
    <t xml:space="preserve">Reposicionar lanterna corujinha do teto LE e revisar iluminação</t>
  </si>
  <si>
    <t xml:space="preserve">021317</t>
  </si>
  <si>
    <t xml:space="preserve">Diagnosticar e corrigir falhas: ABS e caixa de marchas</t>
  </si>
  <si>
    <t xml:space="preserve">embreagem</t>
  </si>
  <si>
    <t xml:space="preserve">021332</t>
  </si>
  <si>
    <t xml:space="preserve">Corrigir tacógrafo com dificuldade de visualização do display</t>
  </si>
  <si>
    <t xml:space="preserve">Cancelada</t>
  </si>
  <si>
    <t xml:space="preserve">Serviço para terceirizada</t>
  </si>
  <si>
    <t xml:space="preserve">021313</t>
  </si>
  <si>
    <t xml:space="preserve">Substituir palhetas do limpador de para-brisas 8189631</t>
  </si>
  <si>
    <t xml:space="preserve">LD não limpa · 2 UND</t>
  </si>
  <si>
    <t xml:space="preserve">021321</t>
  </si>
  <si>
    <t xml:space="preserve">Fixar tubo de escapamento inferior</t>
  </si>
  <si>
    <t xml:space="preserve">021323</t>
  </si>
  <si>
    <t xml:space="preserve">Fixar placa dianteira e traseira</t>
  </si>
  <si>
    <t xml:space="preserve">021326</t>
  </si>
  <si>
    <t xml:space="preserve">Fixar retrovisor LD e inferior LE</t>
  </si>
  <si>
    <t xml:space="preserve">021327</t>
  </si>
  <si>
    <t xml:space="preserve">Fixar extensão da porta e saia lateral LD</t>
  </si>
  <si>
    <t xml:space="preserve">021322</t>
  </si>
  <si>
    <t xml:space="preserve">Repor quebra-sol do motorista</t>
  </si>
  <si>
    <t xml:space="preserve">está dentro da cabine</t>
  </si>
  <si>
    <t xml:space="preserve">021334</t>
  </si>
  <si>
    <t xml:space="preserve">Substituir junta da tampa de válvulas com vazamento;20538793</t>
  </si>
  <si>
    <t xml:space="preserve">Corrigir vazamento na mangueira de arrefecimento do compressor</t>
  </si>
  <si>
    <t xml:space="preserve">021335</t>
  </si>
  <si>
    <t xml:space="preserve">Completar óleo hidráulico da direção</t>
  </si>
  <si>
    <t xml:space="preserve">021316</t>
  </si>
  <si>
    <t xml:space="preserve">Substituir copo do filtro racor com vazamento; verificar item em estoque ou realizar pedido 20869391</t>
  </si>
  <si>
    <t xml:space="preserve">021309</t>
  </si>
  <si>
    <t xml:space="preserve">Substituir lanterna</t>
  </si>
  <si>
    <t xml:space="preserve">Substituir chicote eletrico da bomba do arla</t>
  </si>
  <si>
    <t xml:space="preserve">021324</t>
  </si>
  <si>
    <t xml:space="preserve">Vidro do passageira não aciona</t>
  </si>
  <si>
    <t xml:space="preserve">021284</t>
  </si>
  <si>
    <t xml:space="preserve">Substituir batentes das cabines</t>
  </si>
  <si>
    <t xml:space="preserve">Substituir mangueira do do tubo de ar quente com vazamento</t>
  </si>
  <si>
    <t xml:space="preserve">021359</t>
  </si>
  <si>
    <t xml:space="preserve">Presilha do farol LD e LE</t>
  </si>
  <si>
    <t xml:space="preserve">Chave de luz</t>
  </si>
  <si>
    <t xml:space="preserve">Grade inferior azul frontal</t>
  </si>
  <si>
    <t xml:space="preserve">Grade do farol LD</t>
  </si>
  <si>
    <t xml:space="preserve">Substituir pneu dianteiro LD com desgaste irregular e verificar demais - instalar indicadores de porca</t>
  </si>
  <si>
    <t xml:space="preserve">021072</t>
  </si>
  <si>
    <t xml:space="preserve">F-624</t>
  </si>
  <si>
    <t xml:space="preserve">Baixa de pendências backlog</t>
  </si>
  <si>
    <t xml:space="preserve">1. Substituir reservatório do líquido de arrefecimento contaminado</t>
  </si>
  <si>
    <t xml:space="preserve">Sistema: Estruturas</t>
  </si>
  <si>
    <t xml:space="preserve">021177</t>
  </si>
  <si>
    <t xml:space="preserve">2. Realizar lavagem e corrigir vazamento na bomba de direção hidráulica</t>
  </si>
  <si>
    <t xml:space="preserve">3. Substituir tirante V traseiro empenado</t>
  </si>
  <si>
    <t xml:space="preserve">4. Corrigir vazamento de ar no freio de estacionamento</t>
  </si>
  <si>
    <t xml:space="preserve">Sistema: Estruturas · maneco</t>
  </si>
  <si>
    <t xml:space="preserve">5. Repor batedores dianteiros da cabine</t>
  </si>
  <si>
    <t xml:space="preserve">6. Substituir lanterna do pisca dianteiro LD avariada</t>
  </si>
  <si>
    <t xml:space="preserve">7. Substituir extensão da porta LE avariada</t>
  </si>
  <si>
    <t xml:space="preserve">8. Substituir saia lateral da cabine LD</t>
  </si>
  <si>
    <t xml:space="preserve">9. Programar recuperação da barra de direção curta com início de folga</t>
  </si>
  <si>
    <t xml:space="preserve">10. Substituir junta da tampa do módulo i-shift, apresentando princípio de vazamento</t>
  </si>
  <si>
    <t xml:space="preserve">11. Substituir amortecedores dianteiros estourados, apresentando início de vazamento</t>
  </si>
  <si>
    <t xml:space="preserve">13. Substituir paralama dianteiro LD avariado</t>
  </si>
  <si>
    <t xml:space="preserve">14. Substituir lente da lanterna traseira LD avariada</t>
  </si>
  <si>
    <t xml:space="preserve">Vazamento: Conjunto de mangueiras dianteiras LE — realizar lavagem para identificar a origem do vazamento</t>
  </si>
  <si>
    <t xml:space="preserve">Corujinha lateral: Avaria no lado direito</t>
  </si>
  <si>
    <t xml:space="preserve">Sistema: Estruturas · LD</t>
  </si>
  <si>
    <t xml:space="preserve">Vidros: Revisar a visibilidade dos vidros frontal e laterais</t>
  </si>
  <si>
    <t xml:space="preserve">Grade frontal: Apresenta avaria</t>
  </si>
  <si>
    <t xml:space="preserve">Corote: Verificar fixação</t>
  </si>
  <si>
    <t xml:space="preserve">Sistema: Estruturas · pois está batendo no para-lama.</t>
  </si>
  <si>
    <t xml:space="preserve">Lameira: Avaria no lado esquerdo</t>
  </si>
  <si>
    <t xml:space="preserve">Sistema: Estruturas · LE</t>
  </si>
  <si>
    <t xml:space="preserve">Para-lama: Parafuso do lado direito folgado</t>
  </si>
  <si>
    <t xml:space="preserve">021318</t>
  </si>
  <si>
    <t xml:space="preserve">F-626</t>
  </si>
  <si>
    <t xml:space="preserve">Trocar o cabeçote</t>
  </si>
  <si>
    <t xml:space="preserve">Trocar cabeçote de combustível</t>
  </si>
  <si>
    <t xml:space="preserve">021129</t>
  </si>
  <si>
    <t xml:space="preserve">Bomba de combustível</t>
  </si>
  <si>
    <t xml:space="preserve">021340</t>
  </si>
  <si>
    <t xml:space="preserve">Realizar ajuste no velocímetro</t>
  </si>
  <si>
    <t xml:space="preserve">021341</t>
  </si>
  <si>
    <t xml:space="preserve">Substituir juntas do coletor de escapamento</t>
  </si>
  <si>
    <t xml:space="preserve">Peça 20855371 (6 unidades)</t>
  </si>
  <si>
    <t xml:space="preserve">021342</t>
  </si>
  <si>
    <t xml:space="preserve">Recuperar barras de direção curta e longa</t>
  </si>
  <si>
    <t xml:space="preserve">serviço empresa especializada</t>
  </si>
  <si>
    <t xml:space="preserve">021343</t>
  </si>
  <si>
    <t xml:space="preserve">Substituir lona de freio terceiro eixo LD avariada</t>
  </si>
  <si>
    <t xml:space="preserve">Substituir lona de freio dianteira LD avariada</t>
  </si>
  <si>
    <t xml:space="preserve">Substituir lona de freio dianteiro LE avariada</t>
  </si>
  <si>
    <t xml:space="preserve">F-696</t>
  </si>
  <si>
    <t xml:space="preserve">Aplicar faixas refletivas</t>
  </si>
  <si>
    <t xml:space="preserve">Aplicar faixa refletiva</t>
  </si>
  <si>
    <t xml:space="preserve">F-789</t>
  </si>
  <si>
    <t xml:space="preserve">Calibrar e trocar pneus</t>
  </si>
  <si>
    <t xml:space="preserve">007157</t>
  </si>
  <si>
    <t xml:space="preserve">F-815</t>
  </si>
  <si>
    <t xml:space="preserve">Completar nível de óleo do motor e corrigir vazamentos no mesmo</t>
  </si>
  <si>
    <t xml:space="preserve">Heliton</t>
  </si>
  <si>
    <t xml:space="preserve">Frota não chegou na oficina</t>
  </si>
  <si>
    <t xml:space="preserve">Substituir junta da tampa de válvulas com vazamento</t>
  </si>
  <si>
    <t xml:space="preserve">Peça 20804638 (junta motor D11)</t>
  </si>
  <si>
    <t xml:space="preserve">007334</t>
  </si>
  <si>
    <t xml:space="preserve">Recuperar mangueira de lubrificação do compressor com vazamento</t>
  </si>
  <si>
    <t xml:space="preserve">007339</t>
  </si>
  <si>
    <t xml:space="preserve">Substituir vedação do tubo de respiro da tampa de válvulas</t>
  </si>
  <si>
    <t xml:space="preserve">verificar item em estoque</t>
  </si>
  <si>
    <t xml:space="preserve">Recuperar caixa de direção com vazamento</t>
  </si>
  <si>
    <t xml:space="preserve">Aguardando terceiro</t>
  </si>
  <si>
    <t xml:space="preserve">007302</t>
  </si>
  <si>
    <t xml:space="preserve">Corrigir vazamento nas mangueiras do reservatório de óleo hidráulico</t>
  </si>
  <si>
    <t xml:space="preserve">Recuperar as mangueiras e substituir abraçadeiras · ⚠️ texto veio cortado do PDF de inspeção</t>
  </si>
  <si>
    <t xml:space="preserve">Realizar lavagem e corrigir vazamento nas conexões da bomba de direção</t>
  </si>
  <si>
    <t xml:space="preserve">007343</t>
  </si>
  <si>
    <t xml:space="preserve">Completar nível do líquido de arrefecimento</t>
  </si>
  <si>
    <t xml:space="preserve">007344</t>
  </si>
  <si>
    <t xml:space="preserve">Corrigir vazamento no diferencial do segundo eixo</t>
  </si>
  <si>
    <t xml:space="preserve">007158</t>
  </si>
  <si>
    <t xml:space="preserve">Substituir chave geral avariada</t>
  </si>
  <si>
    <t xml:space="preserve">OS 7158 · 21243844</t>
  </si>
  <si>
    <t xml:space="preserve">007159</t>
  </si>
  <si>
    <t xml:space="preserve">Repor tampa de proteção das tomadas frontais LD</t>
  </si>
  <si>
    <t xml:space="preserve">erraque · OS 7159 · 20410141</t>
  </si>
  <si>
    <t xml:space="preserve">007348</t>
  </si>
  <si>
    <t xml:space="preserve">Corrigir iluminação da luz de freio traseira LE e revisar demais luzes</t>
  </si>
  <si>
    <t xml:space="preserve">007349</t>
  </si>
  <si>
    <t xml:space="preserve">Fixar módulo do motor</t>
  </si>
  <si>
    <t xml:space="preserve">serviço interno Matriz · evitando excesso de vibração no mesmo</t>
  </si>
  <si>
    <t xml:space="preserve">007350</t>
  </si>
  <si>
    <t xml:space="preserve">Fixar grade frontal LD</t>
  </si>
  <si>
    <t xml:space="preserve">007351</t>
  </si>
  <si>
    <t xml:space="preserve">Substituir estepe furado</t>
  </si>
  <si>
    <t xml:space="preserve">007160</t>
  </si>
  <si>
    <t xml:space="preserve">Substituir amortecedor dianteiro da cabine LD</t>
  </si>
  <si>
    <t xml:space="preserve">Desgaste nas buchas, com ruído "ferro com ferro" ao movimentar · ⚠️ texto veio cortado do PDF de inspeção</t>
  </si>
  <si>
    <t xml:space="preserve">007352</t>
  </si>
  <si>
    <t xml:space="preserve">Substituir reservatório do limpador de parabrisas avariado</t>
  </si>
  <si>
    <t xml:space="preserve">verificar possível correção ou realizar pedido 20360593</t>
  </si>
  <si>
    <t xml:space="preserve">007161</t>
  </si>
  <si>
    <t xml:space="preserve">Substituir vedação da tampa do cubo de roda dianteiro LD</t>
  </si>
  <si>
    <t xml:space="preserve">OS 7161 · 3986189</t>
  </si>
  <si>
    <t xml:space="preserve">007353</t>
  </si>
  <si>
    <t xml:space="preserve">Substituir vareta de verificação do nível de óleo hidráulico avariada</t>
  </si>
  <si>
    <t xml:space="preserve">1696362</t>
  </si>
  <si>
    <t xml:space="preserve">007162</t>
  </si>
  <si>
    <t xml:space="preserve">Substituir flexível do escapamento avariado</t>
  </si>
  <si>
    <t xml:space="preserve">OS 7162 · 20442244 · evitando danificar mangueiras e chicotes</t>
  </si>
  <si>
    <t xml:space="preserve">007354</t>
  </si>
  <si>
    <t xml:space="preserve">Substituir lonas de freio segundo eixo LD</t>
  </si>
  <si>
    <t xml:space="preserve">serviço empresa especializada, programar próxima parada</t>
  </si>
  <si>
    <t xml:space="preserve">007355</t>
  </si>
  <si>
    <t xml:space="preserve">Substituir farol LE avariado</t>
  </si>
  <si>
    <t xml:space="preserve">Peça 21035645 · realizar acompanhamento</t>
  </si>
  <si>
    <t xml:space="preserve">007356</t>
  </si>
  <si>
    <t xml:space="preserve">Substituir vedação dos pescadores do tanque LD e LE</t>
  </si>
  <si>
    <t xml:space="preserve">Devido vazamento · peça 20732301 (2 unidades) · realizar acompanhamento</t>
  </si>
  <si>
    <t xml:space="preserve">007164</t>
  </si>
  <si>
    <t xml:space="preserve">Repor tampa do reservatório do limpador de parabrisas</t>
  </si>
  <si>
    <t xml:space="preserve">OS 7164 · 24425399</t>
  </si>
  <si>
    <t xml:space="preserve">007357</t>
  </si>
  <si>
    <t xml:space="preserve">Fixar farol LD</t>
  </si>
  <si>
    <t xml:space="preserve">007358</t>
  </si>
  <si>
    <t xml:space="preserve">Substituir farol de neblina LE avariado</t>
  </si>
  <si>
    <t xml:space="preserve">Peça 21297918 · realizar acompanhamento</t>
  </si>
  <si>
    <t xml:space="preserve">007359</t>
  </si>
  <si>
    <t xml:space="preserve">Substituir paralama traseiro LE avariado</t>
  </si>
  <si>
    <t xml:space="preserve">Peça 812975614 · realizar acompanhamento</t>
  </si>
  <si>
    <t xml:space="preserve">007360</t>
  </si>
  <si>
    <t xml:space="preserve">Retirar mangueiras não utilizadas do rodoar</t>
  </si>
  <si>
    <t xml:space="preserve">007361</t>
  </si>
  <si>
    <t xml:space="preserve">Corrigir fixação do friso do para-sol LE</t>
  </si>
  <si>
    <t xml:space="preserve">007362</t>
  </si>
  <si>
    <t xml:space="preserve">Corrigir e isolar fiação de iluminação do reboque exposta</t>
  </si>
  <si>
    <t xml:space="preserve">007363</t>
  </si>
  <si>
    <t xml:space="preserve">Corrigir iluminação interna das portas LE e LD</t>
  </si>
  <si>
    <t xml:space="preserve">007364</t>
  </si>
  <si>
    <t xml:space="preserve">Repor acabamento do alto-falante da porta LD</t>
  </si>
  <si>
    <t xml:space="preserve">20732048</t>
  </si>
  <si>
    <t xml:space="preserve">Trocar parabrisa</t>
  </si>
  <si>
    <t xml:space="preserve">Terceirizada</t>
  </si>
  <si>
    <t xml:space="preserve">F-856</t>
  </si>
  <si>
    <t xml:space="preserve">Realizar troca de óleo e filtro</t>
  </si>
  <si>
    <t xml:space="preserve">Trocar oleo e filtros</t>
  </si>
  <si>
    <t xml:space="preserve">FROTA FOI PARA RENTAF</t>
  </si>
  <si>
    <t xml:space="preserve">Diagnosticar e corrigir falha intermitente na transmissão</t>
  </si>
  <si>
    <t xml:space="preserve">FROTA FOI PARA RENTAF · perdendo indicação de neutro no painel · serviço interno Matriz</t>
  </si>
  <si>
    <t xml:space="preserve">Instalar cabo anti-tombamento da cabine</t>
  </si>
  <si>
    <t xml:space="preserve">FROTA FOI PARA RENTAF · fabricação sob medida, adaptação · serviço interno Matriz</t>
  </si>
  <si>
    <t xml:space="preserve">Repor patilha de indicação das marchas na alavanca</t>
  </si>
  <si>
    <t xml:space="preserve">FROTA FOI PARA RENTAF · 2T2 711 144 C</t>
  </si>
  <si>
    <t xml:space="preserve">Repor acabamento da maçaneta interna da porta LD</t>
  </si>
  <si>
    <t xml:space="preserve">FROTA FOI PARA RENTAF · 2R2 867 158 A</t>
  </si>
  <si>
    <t xml:space="preserve">021390</t>
  </si>
  <si>
    <t xml:space="preserve">F-938</t>
  </si>
  <si>
    <t xml:space="preserve">Trocar palhetas do climatizador</t>
  </si>
  <si>
    <t xml:space="preserve">Limpeza do climatizador</t>
  </si>
  <si>
    <t xml:space="preserve">Alinhar</t>
  </si>
  <si>
    <t xml:space="preserve">F-964</t>
  </si>
  <si>
    <t xml:space="preserve">BAIXA DE CARTEIRA</t>
  </si>
  <si>
    <t xml:space="preserve">Verificado vestígio de óleo no reservatório de ar, ficando em observação recuperar o compressor pneumático</t>
  </si>
  <si>
    <t xml:space="preserve">Realizar lavagem para verificação de vazamento de óleo diesel na dianteira do motor LE</t>
  </si>
  <si>
    <t xml:space="preserve">Realizar lavagem e verificar vazamento nas juntas das tampas de válvulas, se é escorrido do vazamento de óleo diesel</t>
  </si>
  <si>
    <t xml:space="preserve">Corrigir engate das marchas: substituir pino de bloqueio de marcha, realizar testes e concluir diagnóstico</t>
  </si>
  <si>
    <t xml:space="preserve">Substituir mangote superior do radiador ressecado</t>
  </si>
  <si>
    <t xml:space="preserve">Fixar lanterna do pisca LE</t>
  </si>
  <si>
    <t xml:space="preserve">Instalar lanternas traseiras e placa de trânsito</t>
  </si>
  <si>
    <t xml:space="preserve">Fixar base do chicote elétrico e das mangueiras da carreta</t>
  </si>
  <si>
    <t xml:space="preserve">Fixar tubo de enchimento frontal</t>
  </si>
  <si>
    <t xml:space="preserve">evitando danificar o mesmo com atrito da ventoinha</t>
  </si>
  <si>
    <t xml:space="preserve">Reposicionar e instalar cardan do veículo</t>
  </si>
  <si>
    <t xml:space="preserve">007166</t>
  </si>
  <si>
    <t xml:space="preserve">Substituir anéis de vedação das unidades</t>
  </si>
  <si>
    <t xml:space="preserve">OS 7166 · devido vazamento nas unidades · peças A 023 997 64 48 (6 unidades) e A 023 997 65 48 · ⚠️ texto veio cortado do PDF de inspeção</t>
  </si>
  <si>
    <t xml:space="preserve">Lavar conjunto do filtro racor e verificar vazamento</t>
  </si>
  <si>
    <t xml:space="preserve">Peça A 000 470 24 90 · realizar acompanhamento</t>
  </si>
  <si>
    <t xml:space="preserve">007185</t>
  </si>
  <si>
    <t xml:space="preserve">Recuperar barra de direção curta com desgaste</t>
  </si>
  <si>
    <t xml:space="preserve">OS 7185 · serviço empresa especializada</t>
  </si>
  <si>
    <t xml:space="preserve">Recuperar barra de direção longa com desgaste</t>
  </si>
  <si>
    <t xml:space="preserve">007168</t>
  </si>
  <si>
    <t xml:space="preserve">Repor espelho retrovisor inferior LE</t>
  </si>
  <si>
    <t xml:space="preserve">OS 7168 · peças A 000 810 24 79 e A 002 811 31 33 (retrovisor auxiliar completo)</t>
  </si>
  <si>
    <t xml:space="preserve">007189</t>
  </si>
  <si>
    <t xml:space="preserve">Repor parafuso de fixação do painel frontal</t>
  </si>
  <si>
    <t xml:space="preserve">OS 7189 · serviço interno Matriz</t>
  </si>
  <si>
    <t xml:space="preserve">007171</t>
  </si>
  <si>
    <t xml:space="preserve">Corrigir instalação elétrica da tomada 12V e do acendedor de cigarros</t>
  </si>
  <si>
    <t xml:space="preserve">OS 7171 · serviço interno Matriz/A 694 820 01 53/A 696 825 01 54</t>
  </si>
  <si>
    <t xml:space="preserve">007193</t>
  </si>
  <si>
    <t xml:space="preserve">Retirar borracha inferior da cabine</t>
  </si>
  <si>
    <t xml:space="preserve">OS 7193 · devido atrito com o reservatório de arrefecimento · serviço interno Matriz · ⚠️ texto veio cortado do PDF de inspeção</t>
  </si>
  <si>
    <t xml:space="preserve">Corrigir feixes de molas dianteiros: LE com mais molas</t>
  </si>
  <si>
    <t xml:space="preserve">OS 7185 · serviço empresa especializada · devido transporte da lança do munck</t>
  </si>
  <si>
    <t xml:space="preserve">007190</t>
  </si>
  <si>
    <t xml:space="preserve">Retirar espelhos das rodas traseiras</t>
  </si>
  <si>
    <t xml:space="preserve">OS 7190 · especialmente o LE · para melhor visualização do desgaste das lonas de freio · serviço interno Matriz · ⚠️ texto veio cortado do PDF de inspeção</t>
  </si>
  <si>
    <t xml:space="preserve">007205</t>
  </si>
  <si>
    <t xml:space="preserve">Regular freios segundo eixo LD</t>
  </si>
  <si>
    <t xml:space="preserve">OS 7205 · serviço interno Matriz</t>
  </si>
  <si>
    <t xml:space="preserve">007192</t>
  </si>
  <si>
    <t xml:space="preserve">Repor parafuso da bieleta traseira LE</t>
  </si>
  <si>
    <t xml:space="preserve">fixação com a barra estabilizadora · OS 7192 · serviço interno Matriz</t>
  </si>
  <si>
    <t xml:space="preserve">Repor acabamento das abraçadeiras do retrovisor LD</t>
  </si>
  <si>
    <t xml:space="preserve">OS 7168 · A 000 811 36 07</t>
  </si>
  <si>
    <t xml:space="preserve">Substituir janela de inspeção frontal</t>
  </si>
  <si>
    <t xml:space="preserve">A 940 888 11 23</t>
  </si>
  <si>
    <t xml:space="preserve">Repor acabamento inferior do braço do retrovisor LD</t>
  </si>
  <si>
    <t xml:space="preserve">OS 7168 · A 000 811 04 61</t>
  </si>
  <si>
    <t xml:space="preserve">007195</t>
  </si>
  <si>
    <t xml:space="preserve">Reapertar parafusos de fixação do paralama dianteiro LD</t>
  </si>
  <si>
    <t xml:space="preserve">OS 7195 · serviço interno Matriz</t>
  </si>
  <si>
    <t xml:space="preserve">Repor borracha de vedação da porta LD</t>
  </si>
  <si>
    <t xml:space="preserve">OS 7168 · peça A 958 721 00 80 (2 unidades)</t>
  </si>
  <si>
    <t xml:space="preserve">007196</t>
  </si>
  <si>
    <t xml:space="preserve">Fixar acabamento da tomada OBD</t>
  </si>
  <si>
    <t xml:space="preserve">OS 7196 · serviço interno Matriz</t>
  </si>
  <si>
    <t xml:space="preserve">007197</t>
  </si>
  <si>
    <t xml:space="preserve">Retirar manta inferior da cabine</t>
  </si>
  <si>
    <t xml:space="preserve">OS 7197 · serviço interno Matriz</t>
  </si>
  <si>
    <t xml:space="preserve">Substituir buchas da barra estabilizadora dianteira</t>
  </si>
  <si>
    <t xml:space="preserve">Substituir letreiro do modelo Axor "3344"</t>
  </si>
  <si>
    <t xml:space="preserve">Peça A 943 817 13 14 · certificar com fornecedor</t>
  </si>
  <si>
    <t xml:space="preserve">Recuperar pisante do estribo LD avariado</t>
  </si>
  <si>
    <t xml:space="preserve">F-1064</t>
  </si>
  <si>
    <t xml:space="preserve">Trocar e calibrar pneus</t>
  </si>
  <si>
    <t xml:space="preserve">F-1065</t>
  </si>
  <si>
    <t xml:space="preserve">F-966</t>
  </si>
  <si>
    <t xml:space="preserve">BAIXA DE PENDENCIAS</t>
  </si>
  <si>
    <t xml:space="preserve">REPOR PARAFUSO DE FIXAÇÃO DA GRADE DO FAROL LE</t>
  </si>
  <si>
    <t xml:space="preserve">FIXAR CHICOTE ELETRICO SOLTO</t>
  </si>
  <si>
    <t xml:space="preserve">FICAR CHICOTE ELETRICO SOLTO NO BLOCO DE COMANDO</t>
  </si>
  <si>
    <t xml:space="preserve">FIXAR GRADE FRONTAL SOLTA</t>
  </si>
  <si>
    <t xml:space="preserve">CORRIGIR MARCAÇÃO DE NICEL DE COMBUSTIVEL</t>
  </si>
  <si>
    <t xml:space="preserve">ARLA CONTAMINADO</t>
  </si>
  <si>
    <t xml:space="preserve">SENSOR DE NICEL DE AGUA COM FALHA</t>
  </si>
  <si>
    <t xml:space="preserve">007279</t>
  </si>
  <si>
    <t xml:space="preserve">F-814</t>
  </si>
  <si>
    <t xml:space="preserve">Limpar bornes das baterias e do positivo da chave geral</t>
  </si>
  <si>
    <t xml:space="preserve">Frota em viagem</t>
  </si>
  <si>
    <t xml:space="preserve">007280</t>
  </si>
  <si>
    <t xml:space="preserve">Reapertar base dos para-lamas traseiros LD</t>
  </si>
  <si>
    <t xml:space="preserve">007281</t>
  </si>
  <si>
    <t xml:space="preserve">Corrigir iluminação lanterna traseira LD e meia luz do farol LD</t>
  </si>
  <si>
    <t xml:space="preserve">007282</t>
  </si>
  <si>
    <t xml:space="preserve">Realizar lavagem do motor e do reservatório de óleo hidráulico da direção para</t>
  </si>
  <si>
    <t xml:space="preserve">cárter em especial</t>
  </si>
  <si>
    <t xml:space="preserve">007283</t>
  </si>
  <si>
    <t xml:space="preserve">Inspecionar e corrigir vazamentos</t>
  </si>
  <si>
    <t xml:space="preserve">deixei basculado na lavagem</t>
  </si>
  <si>
    <t xml:space="preserve">007284</t>
  </si>
  <si>
    <t xml:space="preserve">Reapertar amortecedor segundo eixo LE</t>
  </si>
  <si>
    <t xml:space="preserve">007285</t>
  </si>
  <si>
    <t xml:space="preserve">Regular freio terceiro eixo LE</t>
  </si>
  <si>
    <t xml:space="preserve">007286</t>
  </si>
  <si>
    <t xml:space="preserve">Porta do passageiro não está abrindo por dentro</t>
  </si>
  <si>
    <t xml:space="preserve">007287</t>
  </si>
  <si>
    <t xml:space="preserve">Meia luz traseira com problema</t>
  </si>
  <si>
    <t xml:space="preserve">LD</t>
  </si>
  <si>
    <t xml:space="preserve">007289</t>
  </si>
  <si>
    <t xml:space="preserve">Lubrificar travas da cabine com dificuldade de liberar a mesma para bascular</t>
  </si>
  <si>
    <t xml:space="preserve">021470</t>
  </si>
  <si>
    <t xml:space="preserve">F-711</t>
  </si>
  <si>
    <t xml:space="preserve">Substituir filtro</t>
  </si>
  <si>
    <t xml:space="preserve">Substituir carcaça do filtro de ar</t>
  </si>
  <si>
    <t xml:space="preserve">F-616</t>
  </si>
  <si>
    <t xml:space="preserve">TROCAR E FERRAR PNEUS</t>
  </si>
  <si>
    <t xml:space="preserve">TROCAR PNEUS E FERRAR</t>
  </si>
  <si>
    <t xml:space="preserve">PRIORIDADE DO KAIRO</t>
  </si>
  <si>
    <t xml:space="preserve">007305</t>
  </si>
  <si>
    <t xml:space="preserve">F-1038</t>
  </si>
  <si>
    <t xml:space="preserve">Pendências de inspeção</t>
  </si>
  <si>
    <t xml:space="preserve">Substituir pneu 1º eixo LE</t>
  </si>
  <si>
    <t xml:space="preserve">Apenas HH · devido desgaste</t>
  </si>
  <si>
    <t xml:space="preserve">007306</t>
  </si>
  <si>
    <t xml:space="preserve">Lubrificar graxeiros da quinta roda entre os bitrens</t>
  </si>
  <si>
    <t xml:space="preserve">Apenas HH</t>
  </si>
  <si>
    <t xml:space="preserve">007307</t>
  </si>
  <si>
    <t xml:space="preserve">Corrigir trinca no lastro</t>
  </si>
  <si>
    <t xml:space="preserve">007308</t>
  </si>
  <si>
    <t xml:space="preserve">Reapertar parafusos da tampa do cubo 1º eixo LD</t>
  </si>
  <si>
    <t xml:space="preserve">007310</t>
  </si>
  <si>
    <t xml:space="preserve">Regular freios 1º eixo LD</t>
  </si>
  <si>
    <t xml:space="preserve">007313</t>
  </si>
  <si>
    <t xml:space="preserve">Fixar grade de proteção do ciclista LD</t>
  </si>
  <si>
    <t xml:space="preserve">007317</t>
  </si>
  <si>
    <t xml:space="preserve">Fixar para-lamas folgados 2º eixo LD</t>
  </si>
  <si>
    <t xml:space="preserve">007318</t>
  </si>
  <si>
    <t xml:space="preserve">Fixar para-lamas folgados LE</t>
  </si>
  <si>
    <t xml:space="preserve">007316</t>
  </si>
  <si>
    <t xml:space="preserve">Reposicionar pinos da balança 2º e 3º eixo LD</t>
  </si>
  <si>
    <t xml:space="preserve">007319</t>
  </si>
  <si>
    <t xml:space="preserve">Corrigir travessa avariada ao lado direito da quinta roda</t>
  </si>
  <si>
    <t xml:space="preserve">007320</t>
  </si>
  <si>
    <t xml:space="preserve">F-1039</t>
  </si>
  <si>
    <t xml:space="preserve">Repor estepe faltante da carreta</t>
  </si>
  <si>
    <t xml:space="preserve">007321</t>
  </si>
  <si>
    <t xml:space="preserve">Repor porca de roda faltante 2º eixo LD</t>
  </si>
  <si>
    <t xml:space="preserve">007322</t>
  </si>
  <si>
    <t xml:space="preserve">Substituir tampa do cubo 3º eixo LE</t>
  </si>
  <si>
    <t xml:space="preserve">007323</t>
  </si>
  <si>
    <t xml:space="preserve">Substituir grade traseira com apoio faltante no LE</t>
  </si>
  <si>
    <t xml:space="preserve">007324</t>
  </si>
  <si>
    <t xml:space="preserve">Corrigir trincas no lastro da carreta</t>
  </si>
  <si>
    <t xml:space="preserve">007325</t>
  </si>
  <si>
    <t xml:space="preserve">Corrigir iluminação meia-luz dianteira LD</t>
  </si>
  <si>
    <t xml:space="preserve">007326</t>
  </si>
  <si>
    <t xml:space="preserve">Corrigir parafusos do para-choque traseiro LD</t>
  </si>
  <si>
    <t xml:space="preserve">007328</t>
  </si>
  <si>
    <t xml:space="preserve">Fixar para-lamas folgados LD e LE</t>
  </si>
  <si>
    <t xml:space="preserve">007330</t>
  </si>
  <si>
    <t xml:space="preserve">Reapertar tirante folgado 3º eixo LE</t>
  </si>
  <si>
    <t xml:space="preserve">021400</t>
  </si>
  <si>
    <t xml:space="preserve">F-818</t>
  </si>
  <si>
    <t xml:space="preserve">Substituir vareta de nível de óleo avariada</t>
  </si>
  <si>
    <t xml:space="preserve">021402</t>
  </si>
  <si>
    <t xml:space="preserve">Substituir junta da tampa de válvulas</t>
  </si>
  <si>
    <t xml:space="preserve">Apenas HH · devido vazamento</t>
  </si>
  <si>
    <t xml:space="preserve">021403</t>
  </si>
  <si>
    <t xml:space="preserve">Substituir válvula termostática e tampa do reservatório contaminado</t>
  </si>
  <si>
    <t xml:space="preserve">021404</t>
  </si>
  <si>
    <t xml:space="preserve">Substituir amortecedores do 3º eixo LE</t>
  </si>
  <si>
    <t xml:space="preserve">021405</t>
  </si>
  <si>
    <t xml:space="preserve">Substituir amortecedores da cabine</t>
  </si>
  <si>
    <t xml:space="preserve">Apenas HH · horizontais traseiros e verticais dianteiros</t>
  </si>
  <si>
    <t xml:space="preserve">021406</t>
  </si>
  <si>
    <t xml:space="preserve">Substituir joystick de mudanças</t>
  </si>
  <si>
    <t xml:space="preserve">021407</t>
  </si>
  <si>
    <t xml:space="preserve">Sanar vazamento no tubo de enchimento / vedação do cárter</t>
  </si>
  <si>
    <t xml:space="preserve">021408</t>
  </si>
  <si>
    <t xml:space="preserve">Completar óleo da direção hidráulica e sanar vazamento do reservatório</t>
  </si>
  <si>
    <t xml:space="preserve">021409</t>
  </si>
  <si>
    <t xml:space="preserve">Fixar retrovisor inferior LD</t>
  </si>
  <si>
    <t xml:space="preserve">021410</t>
  </si>
  <si>
    <t xml:space="preserve">Isolar fiação exposta do sensor de temperatura</t>
  </si>
  <si>
    <t xml:space="preserve">021412</t>
  </si>
  <si>
    <t xml:space="preserve">Fixar caixa do chicote das unidades</t>
  </si>
  <si>
    <t xml:space="preserve">021417</t>
  </si>
  <si>
    <t xml:space="preserve">021416</t>
  </si>
  <si>
    <t xml:space="preserve">Recuperar / fabricar base de proteção das conexões da bomba de ARLA</t>
  </si>
  <si>
    <t xml:space="preserve">021420</t>
  </si>
  <si>
    <t xml:space="preserve">Regular freios 3º eixo</t>
  </si>
  <si>
    <t xml:space="preserve">021430</t>
  </si>
  <si>
    <t xml:space="preserve">Regular freios 1º eixo</t>
  </si>
  <si>
    <t xml:space="preserve">021431</t>
  </si>
  <si>
    <t xml:space="preserve">Corrigir fixação da lameira traseira LE</t>
  </si>
  <si>
    <t xml:space="preserve">021433</t>
  </si>
  <si>
    <t xml:space="preserve">Reposicionar cabo do varão da válvula sensível à carga</t>
  </si>
  <si>
    <t xml:space="preserve">021435</t>
  </si>
  <si>
    <t xml:space="preserve">Fixar tampa superior do catalisador</t>
  </si>
  <si>
    <t xml:space="preserve">021436</t>
  </si>
  <si>
    <t xml:space="preserve">Reposicionar mangueira do dreno do AC</t>
  </si>
  <si>
    <t xml:space="preserve">021438</t>
  </si>
  <si>
    <t xml:space="preserve">021442</t>
  </si>
  <si>
    <t xml:space="preserve">Substituir faixa refletiva do para-choque traseiro</t>
  </si>
  <si>
    <t xml:space="preserve">021378</t>
  </si>
  <si>
    <t xml:space="preserve">Recuperar barra V dianteira e traseira</t>
  </si>
  <si>
    <t xml:space="preserve">Cardan Nordeste (externo)</t>
  </si>
  <si>
    <t xml:space="preserve">Terceirizada — Cardan Nordeste · devido folga</t>
  </si>
  <si>
    <t xml:space="preserve">Recuperar barra de direção longa</t>
  </si>
  <si>
    <t xml:space="preserve">Terceirizada — Cardan Nordeste · coifa rasgada</t>
  </si>
  <si>
    <t xml:space="preserve">Substituir espelho contrapoeira 2º eixo LE</t>
  </si>
  <si>
    <t xml:space="preserve">Terceirizada — Cardan Nordeste</t>
  </si>
  <si>
    <t xml:space="preserve">Substituir lonas de freio 1º eixo LD e LE</t>
  </si>
  <si>
    <t xml:space="preserve">Recuperar banco do motorista</t>
  </si>
  <si>
    <t xml:space="preserve">Rodo Ceará (externo)</t>
  </si>
  <si>
    <t xml:space="preserve">Terceirizada — Rodo Ceará · fixação do assento e tapeçaria</t>
  </si>
  <si>
    <t xml:space="preserve">F-968</t>
  </si>
  <si>
    <t xml:space="preserve">Inspeção Mossoró</t>
  </si>
  <si>
    <t xml:space="preserve">Bater e validar as pendências da inspeção realizada em Mossoró</t>
  </si>
  <si>
    <t xml:space="preserve">Inspeção</t>
  </si>
  <si>
    <t xml:space="preserve">F-425</t>
  </si>
  <si>
    <t xml:space="preserve">Inspeção de setembro</t>
  </si>
  <si>
    <t xml:space="preserve">Verificar pendências na rota de inspeção de setembro</t>
  </si>
  <si>
    <t xml:space="preserve">Verificar na rota de inspeção de setembro — sem pendências mapeadas</t>
  </si>
  <si>
    <t xml:space="preserve">F-621</t>
  </si>
  <si>
    <t xml:space="preserve">F-433</t>
  </si>
  <si>
    <t xml:space="preserve">F-817</t>
  </si>
  <si>
    <t xml:space="preserve">F-745</t>
  </si>
  <si>
    <t xml:space="preserve">Desobstruir esguichos dos limpadores de para-brisas</t>
  </si>
  <si>
    <t xml:space="preserve">021394</t>
  </si>
  <si>
    <t xml:space="preserve">Instalar lameiras dianteiras</t>
  </si>
  <si>
    <t xml:space="preserve">021396</t>
  </si>
  <si>
    <t xml:space="preserve">Instalar indicadores de porcas folgadas nas rodas</t>
  </si>
  <si>
    <t xml:space="preserve">021397</t>
  </si>
  <si>
    <t xml:space="preserve">Regular freios do terceiro eixo LE e LD</t>
  </si>
  <si>
    <t xml:space="preserve">021314</t>
  </si>
  <si>
    <t xml:space="preserve">SUBSTITUIR BARRA DE DIREÇÃO PEQUENA</t>
  </si>
  <si>
    <t xml:space="preserve">021496</t>
  </si>
  <si>
    <t xml:space="preserve">Realizar troca de baterias</t>
  </si>
  <si>
    <t xml:space="preserve">Trocar bateria</t>
  </si>
  <si>
    <t xml:space="preserve">021487</t>
  </si>
  <si>
    <t xml:space="preserve">Completar liquido de arrefecimento</t>
  </si>
  <si>
    <t xml:space="preserve">021569</t>
  </si>
  <si>
    <t xml:space="preserve">Programação 02/09</t>
  </si>
  <si>
    <t xml:space="preserve">Verificar fechamento das portas LD e LE</t>
  </si>
  <si>
    <t xml:space="preserve">Origem: WhatsApp 02/09</t>
  </si>
  <si>
    <t xml:space="preserve">021570</t>
  </si>
  <si>
    <t xml:space="preserve">Programação 02/10</t>
  </si>
  <si>
    <t xml:space="preserve">Trocar peças do ar condicionado</t>
  </si>
  <si>
    <t xml:space="preserve">Origem: WhatsApp 02/10</t>
  </si>
  <si>
    <t xml:space="preserve">007288</t>
  </si>
  <si>
    <t xml:space="preserve">Borracharia 02/09</t>
  </si>
  <si>
    <t xml:space="preserve">Trocar pneus da inspeção</t>
  </si>
  <si>
    <t xml:space="preserve">Borracharia</t>
  </si>
  <si>
    <t xml:space="preserve">⚠️ VERIFICAR se é a mesma da linha 'revisar pneus dianteiros' (OS 7288), que já está na semana 36 · Origem: WhatsApp 02/09</t>
  </si>
  <si>
    <t xml:space="preserve">F-580</t>
  </si>
  <si>
    <t xml:space="preserve">Rentaf</t>
  </si>
  <si>
    <t xml:space="preserve">Atuação / manutenção na frota F-580</t>
  </si>
  <si>
    <t xml:space="preserve">Não classificado</t>
  </si>
  <si>
    <t xml:space="preserve">Local: Externo / Rentaf · Origem: WhatsApp 02/09</t>
  </si>
  <si>
    <t xml:space="preserve">021571</t>
  </si>
  <si>
    <t xml:space="preserve">Extra 02/09</t>
  </si>
  <si>
    <t xml:space="preserve">Verificar falha na embreagem ativa</t>
  </si>
  <si>
    <t xml:space="preserve">Thawan</t>
  </si>
  <si>
    <t xml:space="preserve">EXTRA PROGRAMADO · Origem: WhatsApp 02/09</t>
  </si>
  <si>
    <t xml:space="preserve">007384</t>
  </si>
  <si>
    <t xml:space="preserve">Ferragem de pneus do bitrem</t>
  </si>
  <si>
    <t xml:space="preserve">Verificar TAG · Bitrem identificado pelo PCM como F-1065 (mensagem das 10:03) · Origem: WhatsApp 02/09</t>
  </si>
  <si>
    <t xml:space="preserve">007386</t>
  </si>
  <si>
    <t xml:space="preserve">F-848</t>
  </si>
  <si>
    <t xml:space="preserve">021572</t>
  </si>
  <si>
    <t xml:space="preserve">F-618</t>
  </si>
  <si>
    <t xml:space="preserve">Trocar pneus dianteiros</t>
  </si>
  <si>
    <t xml:space="preserve">007011</t>
  </si>
  <si>
    <t xml:space="preserve">Realizar preventiva da frota F-425</t>
  </si>
  <si>
    <t xml:space="preserve">Local: Matriz · Para programar · OS informadas: 007011, 007012, 007013 · ⚠️ Aguardando identificação da OS correspondente · Origem: WhatsApp 02/09</t>
  </si>
  <si>
    <t xml:space="preserve">007397</t>
  </si>
  <si>
    <t xml:space="preserve">F-972</t>
  </si>
  <si>
    <t xml:space="preserve">SUBSTITUIR JUNTA DAS TAMPAS DE VALVULA COM VAZAMENTO</t>
  </si>
  <si>
    <t xml:space="preserve">007400</t>
  </si>
  <si>
    <t xml:space="preserve">SUBSTITUIR MANGUEIRA DO TUBO DO RADIADOR COM VAZAMENTO</t>
  </si>
  <si>
    <t xml:space="preserve">SUBSTITUIR MANGOTE INFERIOR DO RADIADOR RESSECADO E COM VAZAMENTO</t>
  </si>
  <si>
    <t xml:space="preserve">007401</t>
  </si>
  <si>
    <t xml:space="preserve">SUBSTITUIR JUNTA DA TAMPA DO CUBO DE RODA DIANTEIRO LD COM VAZAMENTO</t>
  </si>
  <si>
    <t xml:space="preserve">007402</t>
  </si>
  <si>
    <t xml:space="preserve">SUBSTITUIR LANTERNA LATERAL LD</t>
  </si>
  <si>
    <t xml:space="preserve">007403</t>
  </si>
  <si>
    <t xml:space="preserve">SUBSTITUIR TAMPA DE ABASTECIMENTO DE OLÉO COM VEDAÇÃO GASTA</t>
  </si>
  <si>
    <t xml:space="preserve">007404</t>
  </si>
  <si>
    <t xml:space="preserve">SUBSTITUIR BUCHAS DA BARRA ESTABILIZADORA DIANTEIRA GASTAS</t>
  </si>
  <si>
    <t xml:space="preserve">007405</t>
  </si>
  <si>
    <t xml:space="preserve">SUBSTITUIR PALHETAS DO LIMPADOR DE PARABRISA</t>
  </si>
  <si>
    <t xml:space="preserve">007406</t>
  </si>
  <si>
    <t xml:space="preserve">SUBSTITUIR BORRACHA DE VEDAÇÃO DA PORTA</t>
  </si>
  <si>
    <t xml:space="preserve">007407</t>
  </si>
  <si>
    <t xml:space="preserve">SUBSTITUIR JANELA DE INSPEÇÃO FRONTAL</t>
  </si>
  <si>
    <t xml:space="preserve">007408</t>
  </si>
  <si>
    <t xml:space="preserve">REPOR ACABAMENTO DO PUXADOR DA PORTA LE</t>
  </si>
  <si>
    <t xml:space="preserve">007412</t>
  </si>
  <si>
    <t xml:space="preserve">Programação 04/09</t>
  </si>
  <si>
    <t xml:space="preserve">Realizar lubrificação geral</t>
  </si>
  <si>
    <t xml:space="preserve">007413</t>
  </si>
  <si>
    <t xml:space="preserve">021630</t>
  </si>
  <si>
    <t xml:space="preserve">021631</t>
  </si>
  <si>
    <t xml:space="preserve">021632</t>
  </si>
  <si>
    <t xml:space="preserve">021636</t>
  </si>
  <si>
    <t xml:space="preserve">Continuar diagnóstico</t>
  </si>
  <si>
    <t xml:space="preserve">⚠️ VERIFICAR qual diagnóstico, não há nenhum em aberto na F-618 para continuar</t>
  </si>
  <si>
    <t xml:space="preserve">021637</t>
  </si>
  <si>
    <t xml:space="preserve">F-332</t>
  </si>
  <si>
    <t xml:space="preserve">Verificar falha de ABS</t>
  </si>
  <si>
    <t xml:space="preserve">⚠️ VERIFICAR a frota, F-332 não existia na lista</t>
  </si>
  <si>
    <t xml:space="preserve">Reparar carenagens</t>
  </si>
  <si>
    <t xml:space="preserve">021641</t>
  </si>
  <si>
    <t xml:space="preserve">Reparar acabamento do teto</t>
  </si>
  <si>
    <t xml:space="preserve">007414</t>
  </si>
  <si>
    <t xml:space="preserve">Instalar indicadores de porca</t>
  </si>
  <si>
    <t xml:space="preserve">Substituir estepe</t>
  </si>
  <si>
    <t xml:space="preserve">Trocar retrovisor LD</t>
  </si>
  <si>
    <t xml:space="preserve">Programação 08/09</t>
  </si>
  <si>
    <t xml:space="preserve">Montar caixa de direção</t>
  </si>
  <si>
    <t xml:space="preserve">a "Recuperar caixa de direção com vazamento" está cancelada, a caixa foi para fora e volta para montar</t>
  </si>
  <si>
    <t xml:space="preserve">Montar limpador de parabrisa</t>
  </si>
  <si>
    <t xml:space="preserve">está com defeito, executante não definido</t>
  </si>
  <si>
    <t xml:space="preserve">Trocar mangueiras</t>
  </si>
  <si>
    <t xml:space="preserve">executante não definido</t>
  </si>
  <si>
    <t xml:space="preserve">Substituir lanterna traseira LD avariada na lente e solta</t>
  </si>
  <si>
    <t xml:space="preserve">peça 9531412, placa THP8G46</t>
  </si>
  <si>
    <t xml:space="preserve">Lubrificar quinta roda</t>
  </si>
  <si>
    <t xml:space="preserve">placa THP8G46</t>
  </si>
  <si>
    <t xml:space="preserve">Instalar tag da frota</t>
  </si>
  <si>
    <t xml:space="preserve">Instalar indicadores de folga nas porcas de roda</t>
  </si>
  <si>
    <t xml:space="preserve">Serviço extra entrou na frente</t>
  </si>
  <si>
    <t xml:space="preserve">Substituir estepe avariado na banda de rodagem</t>
  </si>
  <si>
    <t xml:space="preserve">verificar com a borracharia</t>
  </si>
  <si>
    <t xml:space="preserve">Instalar quebra dedo na trava da tampa do baú LD</t>
  </si>
  <si>
    <t xml:space="preserve">Instalar sirene de ré</t>
  </si>
  <si>
    <t xml:space="preserve">placa THP8J26</t>
  </si>
  <si>
    <t xml:space="preserve">F-1063</t>
  </si>
  <si>
    <t xml:space="preserve">Fixar para-lama primeiro eixo LD</t>
  </si>
  <si>
    <t xml:space="preserve">Fixar grade de proteção do ciclista traseira LD</t>
  </si>
  <si>
    <t xml:space="preserve">F-1062</t>
  </si>
  <si>
    <t xml:space="preserve">⚠️ marcado por ele na mensagem</t>
  </si>
  <si>
    <t xml:space="preserve">Fixar para-lama terceiro eixo LE</t>
  </si>
  <si>
    <t xml:space="preserve">Regular freios segundo e terceiro eixo</t>
  </si>
  <si>
    <t xml:space="preserve">Fixar correntes de amarração do estepe</t>
  </si>
  <si>
    <t xml:space="preserve">Isso é feito pela operação</t>
  </si>
  <si>
    <t xml:space="preserve">Repor parafusos das tampas do cubo de roda primeiro e terceiro eixo LE</t>
  </si>
  <si>
    <t xml:space="preserve">007440</t>
  </si>
  <si>
    <t xml:space="preserve">Programação 09/09</t>
  </si>
  <si>
    <t xml:space="preserve">Registro das baterias ruim, substituir</t>
  </si>
  <si>
    <t xml:space="preserve">007441</t>
  </si>
  <si>
    <t xml:space="preserve">Diagnosticar e corrigir falha registrada no módulo FR</t>
  </si>
  <si>
    <t xml:space="preserve">limitações de funcionamento</t>
  </si>
  <si>
    <t xml:space="preserve">007442</t>
  </si>
  <si>
    <t xml:space="preserve">Realizar lavagem do motor na parte traseira e verificar vazamento de óleo</t>
  </si>
  <si>
    <t xml:space="preserve">podendo ser escorrido das tampas de válvulas</t>
  </si>
  <si>
    <t xml:space="preserve">007443</t>
  </si>
  <si>
    <t xml:space="preserve">Revestir mangueira de retorno do reservatório</t>
  </si>
  <si>
    <t xml:space="preserve">devido atrito com a cabine</t>
  </si>
  <si>
    <t xml:space="preserve">007444</t>
  </si>
  <si>
    <t xml:space="preserve">devido atrito com o reservatório d'água, podendo danificar o mesmo</t>
  </si>
  <si>
    <t xml:space="preserve">007445</t>
  </si>
  <si>
    <t xml:space="preserve">Realizar lavagem do filtro racor e verificar vazamento</t>
  </si>
  <si>
    <t xml:space="preserve">ou necessidade de substituição do conjunto</t>
  </si>
  <si>
    <t xml:space="preserve">007446</t>
  </si>
  <si>
    <t xml:space="preserve">Realizar lavagem da parte inferior do reservatório de óleo hidráulico e da caixa de direção</t>
  </si>
  <si>
    <t xml:space="preserve">para verificação de vazamento</t>
  </si>
  <si>
    <t xml:space="preserve">007447</t>
  </si>
  <si>
    <t xml:space="preserve">Realizar lavagem no diferencial do terceiro eixo</t>
  </si>
  <si>
    <t xml:space="preserve">para verificação de vazamento na vedação do diferencial ou retentor</t>
  </si>
  <si>
    <t xml:space="preserve">007448</t>
  </si>
  <si>
    <t xml:space="preserve">Repor lanternas traseiras e placa de trânsito</t>
  </si>
  <si>
    <t xml:space="preserve">007449</t>
  </si>
  <si>
    <t xml:space="preserve">Corrigir iluminação corujinha do teto LD</t>
  </si>
  <si>
    <t xml:space="preserve">007450</t>
  </si>
  <si>
    <t xml:space="preserve">Corrigir iluminação da meia luz dos faróis</t>
  </si>
  <si>
    <t xml:space="preserve">007451</t>
  </si>
  <si>
    <t xml:space="preserve">Fixar ou retirar chicote elétrico solto na dianteira LD</t>
  </si>
  <si>
    <t xml:space="preserve">007452</t>
  </si>
  <si>
    <t xml:space="preserve">Fixar lanterna do pisca dianteiro LD e corrigir iluminação</t>
  </si>
  <si>
    <t xml:space="preserve">007453</t>
  </si>
  <si>
    <t xml:space="preserve">Fixar tubo de enchimento de óleo</t>
  </si>
  <si>
    <t xml:space="preserve">evitando danificar com atrito da ventoinha</t>
  </si>
  <si>
    <t xml:space="preserve">007454</t>
  </si>
  <si>
    <t xml:space="preserve">Fixar retrovisores folgados LD e LE</t>
  </si>
  <si>
    <t xml:space="preserve">007455</t>
  </si>
  <si>
    <t xml:space="preserve">Fixar paralama traseiro LE</t>
  </si>
  <si>
    <t xml:space="preserve">007456</t>
  </si>
  <si>
    <t xml:space="preserve">Fixar tampa frontal, repor parafusos</t>
  </si>
  <si>
    <t xml:space="preserve">007457</t>
  </si>
  <si>
    <t xml:space="preserve">Fixar base da placa de trânsito dianteira</t>
  </si>
  <si>
    <t xml:space="preserve">007458</t>
  </si>
  <si>
    <t xml:space="preserve">Fixar acabamento da coluna LE</t>
  </si>
  <si>
    <t xml:space="preserve">007459</t>
  </si>
  <si>
    <t xml:space="preserve">Corrigir fixação do degrau da escada LD</t>
  </si>
  <si>
    <t xml:space="preserve">007460</t>
  </si>
  <si>
    <t xml:space="preserve">007461</t>
  </si>
  <si>
    <t xml:space="preserve">Fixar tampa inferior da caixa de fusíveis</t>
  </si>
  <si>
    <t xml:space="preserve">007462</t>
  </si>
  <si>
    <t xml:space="preserve">funcionar e verificar vazamento na junta do trocador de calor LD)</t>
  </si>
  <si>
    <t xml:space="preserve">⚠️ VERIFICAR, o texto chegou cortado e falta o começo da frase · ⚠️ VERIFICAR o texto da atividade — texto cortado na origem — não fecha parêntese</t>
  </si>
  <si>
    <t xml:space="preserve">007463</t>
  </si>
  <si>
    <t xml:space="preserve">Realizar lavagem e verificar vazamento nos tubos de lubrificação da turbina</t>
  </si>
  <si>
    <t xml:space="preserve">007464</t>
  </si>
  <si>
    <t xml:space="preserve">Isolar chicote de iluminação do implemento</t>
  </si>
  <si>
    <t xml:space="preserve">007465</t>
  </si>
  <si>
    <t xml:space="preserve">Corrigir porta do passageiro com dificuldade de travar</t>
  </si>
  <si>
    <t xml:space="preserve">007466</t>
  </si>
  <si>
    <t xml:space="preserve">Regular freio segundo eixo LD</t>
  </si>
  <si>
    <t xml:space="preserve">007467</t>
  </si>
  <si>
    <t xml:space="preserve">Fixar painel e acabamento frontal, repor parafusos</t>
  </si>
  <si>
    <t xml:space="preserve">007468</t>
  </si>
  <si>
    <t xml:space="preserve">Repor parafuso de fixação do tubo de saída da turbina</t>
  </si>
  <si>
    <t xml:space="preserve">alimentação do intercooler</t>
  </si>
  <si>
    <t xml:space="preserve">007469</t>
  </si>
  <si>
    <t xml:space="preserve">Fixar paralama dianteiro LD</t>
  </si>
  <si>
    <t xml:space="preserve">007470</t>
  </si>
  <si>
    <t xml:space="preserve">Sanar vazamento de diesel no aferidor de combustível</t>
  </si>
  <si>
    <t xml:space="preserve">007471</t>
  </si>
  <si>
    <t xml:space="preserve">Recuperar acabamento da alça de subir na cabine LD e LE</t>
  </si>
  <si>
    <t xml:space="preserve">007472</t>
  </si>
  <si>
    <t xml:space="preserve">Corrigir paralama traseiro LD</t>
  </si>
  <si>
    <t xml:space="preserve">007473</t>
  </si>
  <si>
    <t xml:space="preserve">Instalar lanternas e placa traseira</t>
  </si>
  <si>
    <t xml:space="preserve">estão dentro da cabine</t>
  </si>
  <si>
    <t xml:space="preserve">007474</t>
  </si>
  <si>
    <t xml:space="preserve">Realizar limpeza nos bornes das baterias e fixar tampa das mesmas</t>
  </si>
  <si>
    <t xml:space="preserve">007475</t>
  </si>
  <si>
    <t xml:space="preserve">F-967</t>
  </si>
  <si>
    <t xml:space="preserve">Verificar falha no painel do módulo FR</t>
  </si>
  <si>
    <t xml:space="preserve">007476</t>
  </si>
  <si>
    <t xml:space="preserve">Recarregar baterias para testar falha elétrica</t>
  </si>
  <si>
    <t xml:space="preserve">007477</t>
  </si>
  <si>
    <t xml:space="preserve">Corrigir quantidade de molas nos feixes dianteiros LD e LE</t>
  </si>
  <si>
    <t xml:space="preserve">007478</t>
  </si>
  <si>
    <t xml:space="preserve">Recuperar estrutura da placa traseira</t>
  </si>
  <si>
    <t xml:space="preserve">007479</t>
  </si>
  <si>
    <t xml:space="preserve">007480</t>
  </si>
  <si>
    <t xml:space="preserve">Repor acabamento do pega-mão do forro da porta do motorista</t>
  </si>
  <si>
    <t xml:space="preserve">peça A 940 722 01 08</t>
  </si>
  <si>
    <t xml:space="preserve">007481</t>
  </si>
  <si>
    <t xml:space="preserve">Repor para-choque traseiro</t>
  </si>
  <si>
    <t xml:space="preserve">007482</t>
  </si>
  <si>
    <t xml:space="preserve">Fixar paralama superior dianteiro LD com base quebrada</t>
  </si>
  <si>
    <t xml:space="preserve">007483</t>
  </si>
  <si>
    <t xml:space="preserve">Recuperar tapeçaria interna e dos bancos</t>
  </si>
  <si>
    <t xml:space="preserve">007484</t>
  </si>
  <si>
    <t xml:space="preserve">Recuperar alças de subir na cabine LD e LE</t>
  </si>
  <si>
    <t xml:space="preserve">007485</t>
  </si>
  <si>
    <t xml:space="preserve">Reinstalar cabo de segurança da cabine</t>
  </si>
  <si>
    <t xml:space="preserve">007488</t>
  </si>
  <si>
    <t xml:space="preserve">F-962</t>
  </si>
  <si>
    <t xml:space="preserve">Diagnosticar e corrigir falha no módulo do motor, freio motor</t>
  </si>
  <si>
    <t xml:space="preserve">P1</t>
  </si>
  <si>
    <t xml:space="preserve">007489</t>
  </si>
  <si>
    <t xml:space="preserve">Instalar placa de trânsito traseira</t>
  </si>
  <si>
    <t xml:space="preserve">sem prioridade no PDF</t>
  </si>
  <si>
    <t xml:space="preserve">007490</t>
  </si>
  <si>
    <t xml:space="preserve">Diagnosticar e corrigir falha no módulo FR</t>
  </si>
  <si>
    <t xml:space="preserve">007491</t>
  </si>
  <si>
    <t xml:space="preserve">007492</t>
  </si>
  <si>
    <t xml:space="preserve">Regular freio do primeiro eixo LE</t>
  </si>
  <si>
    <t xml:space="preserve">007493</t>
  </si>
  <si>
    <t xml:space="preserve">Substituir pneus gastos segundo eixo LE e terceiro eixo LD</t>
  </si>
  <si>
    <t xml:space="preserve">007494</t>
  </si>
  <si>
    <t xml:space="preserve">Fixar e alinhar paralama traseiro avariado</t>
  </si>
  <si>
    <t xml:space="preserve">007495</t>
  </si>
  <si>
    <t xml:space="preserve">Repor parafuso faltante do paralama LE</t>
  </si>
  <si>
    <t xml:space="preserve">007496</t>
  </si>
  <si>
    <t xml:space="preserve">Repor para-choque</t>
  </si>
  <si>
    <t xml:space="preserve">007497</t>
  </si>
  <si>
    <t xml:space="preserve">Corrigir iluminação meia-luz traseira LD</t>
  </si>
  <si>
    <t xml:space="preserve">007498</t>
  </si>
  <si>
    <t xml:space="preserve">Sanar vazamento de ar no banco do motorista</t>
  </si>
  <si>
    <t xml:space="preserve">007499</t>
  </si>
  <si>
    <t xml:space="preserve">Recuperar paralama dianteiro LE avariado</t>
  </si>
  <si>
    <t xml:space="preserve">acompanhar</t>
  </si>
  <si>
    <t xml:space="preserve">P2</t>
  </si>
  <si>
    <t xml:space="preserve">007500</t>
  </si>
  <si>
    <t xml:space="preserve">Recuperar alça da cabine LE e LD</t>
  </si>
  <si>
    <t xml:space="preserve">P3</t>
  </si>
  <si>
    <t xml:space="preserve">Retirar módulo</t>
  </si>
  <si>
    <t xml:space="preserve">⚠️ executante a definir</t>
  </si>
  <si>
    <t xml:space="preserve">Trocar baterias</t>
  </si>
  <si>
    <t xml:space="preserve">Montar retrovisor</t>
  </si>
  <si>
    <t xml:space="preserve">F-426</t>
  </si>
  <si>
    <t xml:space="preserve">Corrigir parte elétrica</t>
  </si>
  <si>
    <t xml:space="preserve">Montar porta LE</t>
  </si>
  <si>
    <t xml:space="preserve">Instalar motor do vidro</t>
  </si>
  <si>
    <t xml:space="preserve">Fabricar tampa da caixa</t>
  </si>
  <si>
    <t xml:space="preserve">Edilberto</t>
  </si>
  <si>
    <t xml:space="preserve">F-434</t>
  </si>
  <si>
    <t xml:space="preserve">F-744</t>
  </si>
  <si>
    <t xml:space="preserve">F-1060</t>
  </si>
  <si>
    <t xml:space="preserve">F-1061</t>
  </si>
  <si>
    <t xml:space="preserve">F-150</t>
  </si>
  <si>
    <t xml:space="preserve">Vem do Pará · previsão de chegada na semana 37</t>
  </si>
  <si>
    <t xml:space="preserve">CARTEIRA  ·  o que ainda não tem semana  —  daqui sai a programação</t>
  </si>
  <si>
    <t xml:space="preserve">NA CARTEIRA</t>
  </si>
  <si>
    <t xml:space="preserve">SEM OS</t>
  </si>
  <si>
    <t xml:space="preserve">COM OS</t>
  </si>
  <si>
    <t xml:space="preserve">PRIORIDADE P1</t>
  </si>
  <si>
    <t xml:space="preserve">A FILA</t>
  </si>
  <si>
    <t xml:space="preserve">agrupada por caminhão e, dentro dele, na ordem da OS  ·  a linha grossa separa uma frota da outra</t>
  </si>
  <si>
    <t xml:space="preserve">Prio.</t>
  </si>
  <si>
    <t xml:space="preserve">A FROTA  ·  tudo de um caminhão numa tela</t>
  </si>
  <si>
    <t xml:space="preserve">FROTA</t>
  </si>
  <si>
    <t xml:space="preserve">EM ABERTO</t>
  </si>
  <si>
    <t xml:space="preserve">VENCIDAS</t>
  </si>
  <si>
    <t xml:space="preserve">CONCLUÍDAS</t>
  </si>
  <si>
    <t xml:space="preserve">TOTAL</t>
  </si>
  <si>
    <t xml:space="preserve">GRADE DA SEMANA  ·  atividades por executante e pelo dia do prazo</t>
  </si>
  <si>
    <t xml:space="preserve">SEMANA Nº</t>
  </si>
  <si>
    <t xml:space="preserve">de</t>
  </si>
  <si>
    <t xml:space="preserve">a</t>
  </si>
  <si>
    <t xml:space="preserve">Ano:</t>
  </si>
  <si>
    <t xml:space="preserve">Expediente até:</t>
  </si>
  <si>
    <t xml:space="preserve">NESTA SEMANA  ·  só a oficina interna; serviço de terceiro fica de fora da conta</t>
  </si>
  <si>
    <t xml:space="preserve">PROGRAMADAS</t>
  </si>
  <si>
    <t xml:space="preserve">ADERÊNCIA</t>
  </si>
  <si>
    <t xml:space="preserve">CUMPRIMENTO GERAL</t>
  </si>
  <si>
    <t xml:space="preserve">EXTRA</t>
  </si>
  <si>
    <t xml:space="preserve">ONDE TEM PROGRAMAÇÃO</t>
  </si>
  <si>
    <t xml:space="preserve">atividades em cada semana — a do meio é a que você escolheu</t>
  </si>
  <si>
    <t xml:space="preserve">semana</t>
  </si>
  <si>
    <t xml:space="preserve">atividades</t>
  </si>
  <si>
    <t xml:space="preserve">Executante</t>
  </si>
  <si>
    <t xml:space="preserve">Atividades</t>
  </si>
  <si>
    <t xml:space="preserve">Concluídas</t>
  </si>
  <si>
    <t xml:space="preserve">% feito</t>
  </si>
  <si>
    <t xml:space="preserve">Vencidas</t>
  </si>
  <si>
    <t xml:space="preserve">Peso</t>
  </si>
  <si>
    <t xml:space="preserve">— sem executante definido —</t>
  </si>
  <si>
    <t xml:space="preserve">TOTAL — atividades distintas</t>
  </si>
  <si>
    <t xml:space="preserve">ADERÊNCIA DIA A DIA  ·  o que tinha de fechar em cada dia</t>
  </si>
  <si>
    <t xml:space="preserve">Para fechar</t>
  </si>
  <si>
    <t xml:space="preserve">Fechou</t>
  </si>
  <si>
    <t xml:space="preserve">% do dia</t>
  </si>
  <si>
    <t xml:space="preserve">Para programar o que está na carteira: na aba Programação, filtre a coluna Situação por “Na carteira” e escreva a Semana, o Dia e quantos dias leva.</t>
  </si>
  <si>
    <t xml:space="preserve">ADERÊNCIA DA PROGRAMAÇÃO  ·  medida por atividade, só da oficina interna</t>
  </si>
  <si>
    <t xml:space="preserve">Semana:</t>
  </si>
  <si>
    <t xml:space="preserve">←  vem da semana escolhida na aba Semana</t>
  </si>
  <si>
    <t xml:space="preserve">ADERÊNCIA À PROGRAMAÇÃO</t>
  </si>
  <si>
    <t xml:space="preserve">Indicador</t>
  </si>
  <si>
    <t xml:space="preserve">Valor</t>
  </si>
  <si>
    <t xml:space="preserve">Como é medido</t>
  </si>
  <si>
    <t xml:space="preserve">O QUE A OFICINA INTERNA TINHA PARA FAZER</t>
  </si>
  <si>
    <t xml:space="preserve">Atividades do plano</t>
  </si>
  <si>
    <t xml:space="preserve">estavam programadas para a semana</t>
  </si>
  <si>
    <t xml:space="preserve">Extra programação</t>
  </si>
  <si>
    <t xml:space="preserve">entraram depois: quebra, urgência, pedido da operação</t>
  </si>
  <si>
    <t xml:space="preserve">Concluídas do plano</t>
  </si>
  <si>
    <t xml:space="preserve">do que estava programado, quanto saiu</t>
  </si>
  <si>
    <t xml:space="preserve">Total interno</t>
  </si>
  <si>
    <t xml:space="preserve">plano + extra</t>
  </si>
  <si>
    <t xml:space="preserve">Extras concluídas</t>
  </si>
  <si>
    <t xml:space="preserve">Total concluído</t>
  </si>
  <si>
    <t xml:space="preserve">OS NÚMEROS</t>
  </si>
  <si>
    <t xml:space="preserve">Aderência à programação</t>
  </si>
  <si>
    <t xml:space="preserve">concluídas do plano ÷ atividades do plano — o indicador principal</t>
  </si>
  <si>
    <t xml:space="preserve">Cumprimento geral</t>
  </si>
  <si>
    <t xml:space="preserve">total concluído ÷ total interno — inclui o extra</t>
  </si>
  <si>
    <t xml:space="preserve">Quanto da semana foi extra</t>
  </si>
  <si>
    <t xml:space="preserve">extra ÷ total interno</t>
  </si>
  <si>
    <t xml:space="preserve">Concluídas no prazo</t>
  </si>
  <si>
    <t xml:space="preserve">saíram no próprio dia programado</t>
  </si>
  <si>
    <t xml:space="preserve">Pontualidade</t>
  </si>
  <si>
    <t xml:space="preserve">no prazo ÷ concluídas com data</t>
  </si>
  <si>
    <t xml:space="preserve">Aderência ao plano original</t>
  </si>
  <si>
    <t xml:space="preserve">contra a semana da 1ª programação — não melhora quando se empurra para a frente</t>
  </si>
  <si>
    <t xml:space="preserve">Saíram desta semana</t>
  </si>
  <si>
    <t xml:space="preserve">estavam programadas para esta semana e foram empurradas para outra. A aderência acima não cobra mais elas — quem cobra é a aderência ao plano original. Quando este número é grande, é ela que conta a verdade da semana</t>
  </si>
  <si>
    <t xml:space="preserve">a janela de execução fechou e a atividade não saiu</t>
  </si>
  <si>
    <t xml:space="preserve">Atividades reprogramadas</t>
  </si>
  <si>
    <t xml:space="preserve">mudaram de semana</t>
  </si>
  <si>
    <t xml:space="preserve">Atraso médio, quando atrasa</t>
  </si>
  <si>
    <t xml:space="preserve">dias entre o dia programado e a conclusão</t>
  </si>
  <si>
    <t xml:space="preserve">DIAS DE SERVIÇO</t>
  </si>
  <si>
    <t xml:space="preserve">Diária — atividades por dia útil</t>
  </si>
  <si>
    <t xml:space="preserve">total interno ÷ 5 dias — quantas atividades a semana pede por dia</t>
  </si>
  <si>
    <t xml:space="preserve">Diária do que saiu</t>
  </si>
  <si>
    <t xml:space="preserve">total concluído ÷ 5 dias — o que a oficina de fato entrega por dia</t>
  </si>
  <si>
    <t xml:space="preserve">Soma das estimativas (dias)</t>
  </si>
  <si>
    <t xml:space="preserve">soma da coluna Dias prev. Como a estimativa é a duração do SERVIÇO e cada atividade dele repete o número, este total infla quando o serviço tem muitas atividades — use-o para comparar semanas, não como homem-dia</t>
  </si>
  <si>
    <t xml:space="preserve">FORA DA CONTA INTERNA</t>
  </si>
  <si>
    <t xml:space="preserve">Em empresa terceirizada</t>
  </si>
  <si>
    <t xml:space="preserve">serviço de fora: não mede a oficina da Makro</t>
  </si>
  <si>
    <t xml:space="preserve">Canceladas</t>
  </si>
  <si>
    <t xml:space="preserve">saem dos dois lados</t>
  </si>
  <si>
    <t xml:space="preserve">Na carteira, sem dia</t>
  </si>
  <si>
    <t xml:space="preserve">não depende da semana — é o que ainda espera encaixe</t>
  </si>
  <si>
    <t xml:space="preserve">MIX DE MANUTENÇÃO  ·  é aqui que se vê se o PCM está saindo do apaga-incêndio</t>
  </si>
  <si>
    <t xml:space="preserve">Corretiva na semana</t>
  </si>
  <si>
    <t xml:space="preserve">quebrou e teve de consertar</t>
  </si>
  <si>
    <t xml:space="preserve">Preventiva na semana</t>
  </si>
  <si>
    <t xml:space="preserve">foi feita antes de quebrar</t>
  </si>
  <si>
    <t xml:space="preserve">Inspeção na semana</t>
  </si>
  <si>
    <t xml:space="preserve">olhar para achar o que vai quebrar</t>
  </si>
  <si>
    <t xml:space="preserve">% preventiva na semana</t>
  </si>
  <si>
    <t xml:space="preserve">preventiva ÷ total interno da semana</t>
  </si>
  <si>
    <t xml:space="preserve">Corretiva no acervo</t>
  </si>
  <si>
    <t xml:space="preserve">todas as semanas somadas</t>
  </si>
  <si>
    <t xml:space="preserve">Preventiva no acervo</t>
  </si>
  <si>
    <t xml:space="preserve">% preventiva no acervo</t>
  </si>
  <si>
    <t xml:space="preserve">o retrato acumulado — é o que mostra a tendência, não a semana solta</t>
  </si>
  <si>
    <t xml:space="preserve">COBERTURA DE OS  ·  o que a oficina fez e o Protheus registrou</t>
  </si>
  <si>
    <t xml:space="preserve">Com OS na semana</t>
  </si>
  <si>
    <t xml:space="preserve">atividades da semana com OS aberta no Protheus</t>
  </si>
  <si>
    <t xml:space="preserve">Sem OS na semana</t>
  </si>
  <si>
    <t xml:space="preserve">estas aparecem em âmbar na coluna OS</t>
  </si>
  <si>
    <t xml:space="preserve">Cobertura na semana</t>
  </si>
  <si>
    <t xml:space="preserve">com OS ÷ total interno da semana</t>
  </si>
  <si>
    <t xml:space="preserve">Com OS no acervo</t>
  </si>
  <si>
    <t xml:space="preserve">Sem OS no acervo</t>
  </si>
  <si>
    <t xml:space="preserve">a fila do que falta lançar</t>
  </si>
  <si>
    <t xml:space="preserve">Cobertura no acervo</t>
  </si>
  <si>
    <t xml:space="preserve">com OS ÷ todas as atividades — o buraco entre a oficina e o sistema</t>
  </si>
  <si>
    <t xml:space="preserve">Bloco</t>
  </si>
  <si>
    <t xml:space="preserve">Tinha para fazer</t>
  </si>
  <si>
    <t xml:space="preserve">Plano da semana</t>
  </si>
  <si>
    <t xml:space="preserve">A vencer</t>
  </si>
  <si>
    <t xml:space="preserve">POR EXECUTANTE  ·  atividade dividida conta para cada um</t>
  </si>
  <si>
    <t xml:space="preserve">POR FROTA</t>
  </si>
  <si>
    <t xml:space="preserve">Nome</t>
  </si>
  <si>
    <t xml:space="preserve">Aderência</t>
  </si>
  <si>
    <t xml:space="preserve">POR TIPO DE SERVIÇO</t>
  </si>
  <si>
    <t xml:space="preserve">MOVIMENTAÇÃO DE FROTAS  ·  o que a operação prometeu e quando entregou</t>
  </si>
  <si>
    <t xml:space="preserve">Peça a movimentação, anote a data que a operação prometeu, e marque quando a frota chegou. O atraso e os números saem sozinhos.</t>
  </si>
  <si>
    <t xml:space="preserve">MOVIMENTAÇÕES</t>
  </si>
  <si>
    <t xml:space="preserve">ENTREGUES</t>
  </si>
  <si>
    <t xml:space="preserve">NO PRAZO</t>
  </si>
  <si>
    <t xml:space="preserve">PONTUALIDADE DA OPERAÇÃO</t>
  </si>
  <si>
    <t xml:space="preserve">ATRASO MÉDIO</t>
  </si>
  <si>
    <t xml:space="preserve">DIAS PERDIDOS</t>
  </si>
  <si>
    <t xml:space="preserve">Atraso = quando chegou menos quando foi prometida. Chegar antes conta como zero, não como crédito.</t>
  </si>
  <si>
    <t xml:space="preserve">Destino / fornecedor</t>
  </si>
  <si>
    <t xml:space="preserve">Pedida em</t>
  </si>
  <si>
    <t xml:space="preserve">Prometida para</t>
  </si>
  <si>
    <t xml:space="preserve">Chegou em</t>
  </si>
  <si>
    <t xml:space="preserve">Para quê</t>
  </si>
  <si>
    <t xml:space="preserve">Quem prometeu</t>
  </si>
  <si>
    <t xml:space="preserve">Tacoeletrica</t>
  </si>
  <si>
    <t xml:space="preserve">Aferir tacografo</t>
  </si>
  <si>
    <t xml:space="preserve">Rodo Ceara</t>
  </si>
  <si>
    <t xml:space="preserve">Fazer tapeçaria</t>
  </si>
  <si>
    <t xml:space="preserve">Não informada</t>
  </si>
  <si>
    <t xml:space="preserve">Retirar frotas que estão ocupando a borracharia</t>
  </si>
  <si>
    <t xml:space="preserve">Liberar borracharia</t>
  </si>
  <si>
    <t xml:space="preserve">F-627</t>
  </si>
  <si>
    <t xml:space="preserve">REALIZAR TOP</t>
  </si>
  <si>
    <t xml:space="preserve">LIBERAÇÃO</t>
  </si>
  <si>
    <t xml:space="preserve">REALIZAR TESTE DE CARGA</t>
  </si>
  <si>
    <t xml:space="preserve">LIBERAÇÃO </t>
  </si>
  <si>
    <t xml:space="preserve">PROGRAMAÇÃO DE SERVIÇOS  ·  MAKRO TRANSPORTES</t>
  </si>
  <si>
    <t xml:space="preserve">Planejamento e Controle de Manutenção  ·  aderência diária, por atividade</t>
  </si>
  <si>
    <t xml:space="preserve">O DIA A DIA — comece pela aba HOJE</t>
  </si>
  <si>
    <t xml:space="preserve">A aba HOJE abre no dia de hoje e responde três coisas: o que tem de FECHAR hoje, o que já fechou, e o que ficou atrasado de dias anteriores. A ADERÊNCIA DO DIA é fechou ÷ para fechar — a mesma conta da semana, medida no dia.</t>
  </si>
  <si>
    <t xml:space="preserve">A lista embaixo é o que está em execução: a janela de cada atividade vai do DIA dela até o TÉRMINO PREVISTO. Enquanto a janela está aberta a situação é EM EXECUÇÃO; no último dia vira FECHA HOJE; só depois disso ela fica VENCIDA.</t>
  </si>
  <si>
    <t xml:space="preserve">Para CONCLUIR: a coluna LINHA da aba Hoje diz a linha exata na Programação. Vá lá e escreva a data em CONCLUÍDA EM. Na aba Hoje só se digita a data lá em cima — o resto é espelho.</t>
  </si>
  <si>
    <t xml:space="preserve">MONTAR A SEMANA — quatro passos</t>
  </si>
  <si>
    <t xml:space="preserve">1</t>
  </si>
  <si>
    <t xml:space="preserve">Na aba PROGRAMAÇÃO, filtre a coluna SITUAÇÃO por “Na carteira”. Sobram as atividades que ainda não têm dia.</t>
  </si>
  <si>
    <t xml:space="preserve">2</t>
  </si>
  <si>
    <t xml:space="preserve">Escreva o NÚMERO DA SEMANA (35, 36…) na coluna Semana. Numa linha e arraste para baixo — vale para todas.</t>
  </si>
  <si>
    <t xml:space="preserve">3</t>
  </si>
  <si>
    <t xml:space="preserve">Escolha o DIA, quantos DIAS PREV. o serviço leva, e quem faz em EXECUTANTE 1, 2 e 3. O DIA é o do começo do serviço: a planilha divide as atividades pelos dias dele e dá a cada uma o seu PRAZO.</t>
  </si>
  <si>
    <t xml:space="preserve">4</t>
  </si>
  <si>
    <t xml:space="preserve">Volte à aba SEMANA: ela mostra a carga de cada um por dia e os dias de serviço — a diária.</t>
  </si>
  <si>
    <t xml:space="preserve">MEXER NAS LINHAS — no Excel</t>
  </si>
  <si>
    <t xml:space="preserve">ACRESCENTAR NO FIM: clique na última linha preenchida, pegue a alça no canto da seleção e puxe para baixo. As fórmulas vêm junto.</t>
  </si>
  <si>
    <t xml:space="preserve">INSERIR NO MEIO: selecione uma LINHA INTEIRA parecida, Ctrl+C, botão direito na linha de baixo e “Inserir células copiadas”. Não use “Inserir linha” pura — ela entra sem fórmula nenhuma e fica muda: sem Nº, sem Situação, sem data.</t>
  </si>
  <si>
    <t xml:space="preserve">APAGAR: apague a LINHA INTEIRA, pelo número dela à esquerda. Pode apagar à vontade — as contas se ajustam sozinhas.</t>
  </si>
  <si>
    <t xml:space="preserve">TROCAR DE SEMANA</t>
  </si>
  <si>
    <t xml:space="preserve">Na aba SEMANA, a célula amarela grande é o NÚMERO da semana. Troque e tudo acompanha. Ao lado ficam o ANO e a hora em que a oficina fecha.</t>
  </si>
  <si>
    <t xml:space="preserve">A faixa ONDE TEM PROGRAMAÇÃO mostra quantas atividades existem nas quatro semanas antes e nas quatro depois.</t>
  </si>
  <si>
    <t xml:space="preserve">QUANTOS DIAS O SERVIÇO LEVA</t>
  </si>
  <si>
    <t xml:space="preserve">A coluna DIAS PREV. é a sua estimativa: 1 começa e acaba no mesmo dia, 3 leva três dias. Dela sai o TÉRMINO PREVISTO — uma atividade de três dias começada na segunda só fica vencida depois da quarta.</t>
  </si>
  <si>
    <t xml:space="preserve">A soma dessas estimativas é a DIÁRIA: quantos dias de oficina a semana pede. Aparece por pessoa na aba Semana e no total na aba Aderência.</t>
  </si>
  <si>
    <t xml:space="preserve">As atividades já vieram com uma estimativa de dois a três dias, pelo tamanho do serviço. É um ponto de partida — ajuste linha a linha conforme a realidade.</t>
  </si>
  <si>
    <t xml:space="preserve">O QUE ENTRA E O QUE NÃO ENTRA NA ADERÊNCIA</t>
  </si>
  <si>
    <t xml:space="preserve">Aderência à programação  =  concluídas do plano  ÷  atividades do plano</t>
  </si>
  <si>
    <t xml:space="preserve">Empresa terceirizada</t>
  </si>
  <si>
    <t xml:space="preserve">Fica FORA. É serviço de fora, não mede a oficina da Makro. Marque escrevendo “(externo)” no fim do nome do executante.</t>
  </si>
  <si>
    <t xml:space="preserve">Fica FORA da aderência: não dá para cobrar cumprimento de uma coisa que nunca foi programada. Tem contador próprio.</t>
  </si>
  <si>
    <t xml:space="preserve">Sai dos dois lados da divisão.</t>
  </si>
  <si>
    <t xml:space="preserve">Ao lado da aderência fica este segundo número, que INCLUI o extra. A distância entre os dois é o tamanho do imprevisto na semana.</t>
  </si>
  <si>
    <t xml:space="preserve">Vencida</t>
  </si>
  <si>
    <t xml:space="preserve">Passou do PRAZO da atividade sem conclusão. Depois da hora de fechar a oficina, o que vencia hoje já entra como vencida — não espera o dia seguinte.</t>
  </si>
  <si>
    <t xml:space="preserve">O DIA A DIA</t>
  </si>
  <si>
    <t xml:space="preserve">Concluiu?</t>
  </si>
  <si>
    <t xml:space="preserve">Escreva a data em CONCLUÍDA EM. A situação muda sozinha e a célula fica verde.</t>
  </si>
  <si>
    <t xml:space="preserve">Atrasou?</t>
  </si>
  <si>
    <t xml:space="preserve">Escreva o porquê em MOTIVO DO ATRASO / DA MUDANÇA. A lista já traz os motivos mais comuns, e você pode escrever outro.</t>
  </si>
  <si>
    <t xml:space="preserve">Vai empurrar para outra semana?</t>
  </si>
  <si>
    <t xml:space="preserve">Guarde o número da semana antiga em SEMANA ORIG. e troque a Semana. É contra a original que sai a aderência ao plano original.</t>
  </si>
  <si>
    <t xml:space="preserve">Frota nova?</t>
  </si>
  <si>
    <t xml:space="preserve">Digite direto na coluna Frota — a planilha só avisa, não trava. Depois acrescente o nome na aba Listas para virar opção.</t>
  </si>
  <si>
    <t xml:space="preserve">Entrou fora do plano?</t>
  </si>
  <si>
    <t xml:space="preserve">Marque EXTRA na coluna Origem.</t>
  </si>
  <si>
    <t xml:space="preserve">AS CORES — a cor fica na CÉLULA, não na linha inteira</t>
  </si>
  <si>
    <t xml:space="preserve">Quem muda de cor é a coluna SITUAÇÃO. O resto da linha continua branco, para o texto da atividade e a observação se lerem. Fora dela só se pintam quatro coisas: a coluna OS (âmbar sem OS, verde com OS), a coluna ORIGEM quando é EXTRA, a data de conclusão assim que é escrita, e o motivo quando é preenchido.</t>
  </si>
  <si>
    <t xml:space="preserve">VENCIDA</t>
  </si>
  <si>
    <t xml:space="preserve">o dia dela passou e não foi concluída</t>
  </si>
  <si>
    <t xml:space="preserve">Fecha hoje</t>
  </si>
  <si>
    <t xml:space="preserve">é o último dia da janela — tem de sair hoje</t>
  </si>
  <si>
    <t xml:space="preserve">Em execução</t>
  </si>
  <si>
    <t xml:space="preserve">está dentro da janela de execução dela</t>
  </si>
  <si>
    <t xml:space="preserve">tem data de conclusão</t>
  </si>
  <si>
    <t xml:space="preserve">Concluída com atraso</t>
  </si>
  <si>
    <t xml:space="preserve">saiu depois do dia programado</t>
  </si>
  <si>
    <t xml:space="preserve">Em programação</t>
  </si>
  <si>
    <t xml:space="preserve">você marcou: ainda está sendo encaixada</t>
  </si>
  <si>
    <t xml:space="preserve">tem semana e dia, e a janela ainda não abriu</t>
  </si>
  <si>
    <t xml:space="preserve">Na carteira</t>
  </si>
  <si>
    <t xml:space="preserve">ainda sem semana e sem dia</t>
  </si>
  <si>
    <t xml:space="preserve">Falta a atividade</t>
  </si>
  <si>
    <t xml:space="preserve">linha com frota e sem atividade — ela não conta em lugar nenhum até você escrever o que vai ser feito</t>
  </si>
  <si>
    <t xml:space="preserve">Falta a semana</t>
  </si>
  <si>
    <t xml:space="preserve">tem DIA e não tem SEMANA. Sem semana não há data, e sem data a atividade some da conta — escreva o número</t>
  </si>
  <si>
    <t xml:space="preserve">texto riscado; sai dos dois lados da aderência</t>
  </si>
  <si>
    <t xml:space="preserve">SEM OS — coluna OS</t>
  </si>
  <si>
    <t xml:space="preserve">atividade escrita e nada aberto no Protheus ainda. É a fila do que você tem de lançar</t>
  </si>
  <si>
    <t xml:space="preserve">COM OS — coluna OS</t>
  </si>
  <si>
    <t xml:space="preserve">o número está lá; nada a fazer no Protheus por esta atividade</t>
  </si>
  <si>
    <t xml:space="preserve">EXTRA — coluna Origem</t>
  </si>
  <si>
    <t xml:space="preserve">entrou fora do plano; moldura grossa em volta — é a moldura que o separa do âmbar da coluna OS</t>
  </si>
  <si>
    <t xml:space="preserve">As colunas de digitar seguem quatro faixas coloridas, na ordem em que se usam: o que é o serviço · quem faz · programar · só quando acontecer. Cinza é calculado — não digite.</t>
  </si>
  <si>
    <t xml:space="preserve">A PROGRAMAÇÃO ABRE COM ONZE COLUNAS, NÃO COM VINTE E DUAS</t>
  </si>
  <si>
    <t xml:space="preserve">Ficam à vista as onze do dia a dia: LINHA · SITUAÇÃO · OS · FROTA · ATIVIDADE · EXECUTANTE 1 · SEMANA · DIA · PRAZO · CONCLUÍDA EM · OBS. Antes eram vinte e duas, e a planilha tinha três telas de largura no tablet.</t>
  </si>
  <si>
    <t xml:space="preserve">O resto está RECOLHIDO, não escondido. Na régua das colunas, os botões 1 e 2 no canto abrem e fecham tudo de uma vez: o 2 mostra a planilha inteira quando você precisa digitar serviço, tipo, origem, o segundo e o terceiro executante, a estimativa em dias, ou o motivo do atraso. O 1 fecha de novo.</t>
  </si>
  <si>
    <t xml:space="preserve">A coluna LINHA é o número da linha mesmo — o mesmo que a aba HOJE, a CARTEIRA e a FROTA mostram, e o mesmo que o bloco DAR BAIXA pede. Um número só, um significado só.</t>
  </si>
  <si>
    <t xml:space="preserve">LISTAS DE APOIO</t>
  </si>
  <si>
    <t xml:space="preserve">Alimentam as caixas de seleção. Acrescente nomes aqui e as caixas acompanham. Frota nova você pode digitar direto na Programação — a planilha só avisa, não trava.</t>
  </si>
  <si>
    <t xml:space="preserve">Executantes</t>
  </si>
  <si>
    <t xml:space="preserve">Frotas</t>
  </si>
  <si>
    <t xml:space="preserve">Tipo de serviço</t>
  </si>
  <si>
    <t xml:space="preserve">Motivo do atraso ou da mudança</t>
  </si>
  <si>
    <t xml:space="preserve">Cliente da frota ↔</t>
  </si>
  <si>
    <t xml:space="preserve">Preditiva</t>
  </si>
  <si>
    <t xml:space="preserve">Falta de mão de obra</t>
  </si>
  <si>
    <t xml:space="preserve">Melhoria</t>
  </si>
  <si>
    <t xml:space="preserve">Oficina cheia</t>
  </si>
  <si>
    <t xml:space="preserve">Sáb</t>
  </si>
  <si>
    <t xml:space="preserve">Mecânica</t>
  </si>
  <si>
    <t xml:space="preserve">Dom</t>
  </si>
  <si>
    <t xml:space="preserve">Box bloqueado</t>
  </si>
  <si>
    <t xml:space="preserve">F-246</t>
  </si>
  <si>
    <t xml:space="preserve">Faltou ferramenta</t>
  </si>
  <si>
    <t xml:space="preserve">ASX (externo)</t>
  </si>
  <si>
    <t xml:space="preserve">Eduardo da sticker (externo)</t>
  </si>
  <si>
    <t xml:space="preserve">F-328</t>
  </si>
  <si>
    <t xml:space="preserve">Molas Pinheiro (externo)</t>
  </si>
  <si>
    <t xml:space="preserve">F-424</t>
  </si>
  <si>
    <t xml:space="preserve">F-485</t>
  </si>
  <si>
    <t xml:space="preserve">F-614</t>
  </si>
  <si>
    <t xml:space="preserve">F-763</t>
  </si>
  <si>
    <t xml:space="preserve">F-871</t>
  </si>
  <si>
    <t xml:space="preserve">Petro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</si>
</sst>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16]dd/mm/yyyy;@"/>
    <numFmt numFmtId="166" formatCode="hh:mm"/>
    <numFmt numFmtId="167" formatCode="0"/>
    <numFmt numFmtId="168" formatCode="0%"/>
    <numFmt numFmtId="169" formatCode="General"/>
    <numFmt numFmtId="170" formatCode="@"/>
    <numFmt numFmtId="171" formatCode="&quot;sem &quot;0"/>
    <numFmt numFmtId="172" formatCode="[$-416]ddd\ dd/mm;@"/>
    <numFmt numFmtId="173" formatCode="0.0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B00020"/>
      <name val="Arial"/>
      <family val="0"/>
      <charset val="1"/>
    </font>
    <font>
      <sz val="8"/>
      <color rgb="FF4A5464"/>
      <name val="Arial"/>
      <family val="0"/>
      <charset val="1"/>
    </font>
    <font>
      <i val="true"/>
      <sz val="8"/>
      <color rgb="FF4A5464"/>
      <name val="Arial"/>
      <family val="0"/>
      <charset val="1"/>
    </font>
    <font>
      <b val="true"/>
      <sz val="11"/>
      <color rgb="FF13164E"/>
      <name val="Arial"/>
      <family val="0"/>
      <charset val="1"/>
    </font>
    <font>
      <b val="true"/>
      <sz val="14"/>
      <color rgb="FF13164E"/>
      <name val="Arial"/>
      <family val="0"/>
      <charset val="1"/>
    </font>
    <font>
      <b val="true"/>
      <sz val="11"/>
      <color rgb="FF4A5464"/>
      <name val="Arial"/>
      <family val="0"/>
      <charset val="1"/>
    </font>
    <font>
      <i val="true"/>
      <sz val="9"/>
      <color rgb="FF4A5464"/>
      <name val="Arial"/>
      <family val="0"/>
      <charset val="1"/>
    </font>
    <font>
      <b val="true"/>
      <sz val="8.5"/>
      <color rgb="FF4A5464"/>
      <name val="Arial"/>
      <family val="0"/>
      <charset val="1"/>
    </font>
    <font>
      <b val="true"/>
      <sz val="20"/>
      <color rgb="FF13164E"/>
      <name val="Arial"/>
      <family val="0"/>
      <charset val="1"/>
    </font>
    <font>
      <b val="true"/>
      <sz val="20"/>
      <color rgb="FF116B3E"/>
      <name val="Arial"/>
      <family val="0"/>
      <charset val="1"/>
    </font>
    <font>
      <b val="true"/>
      <sz val="20"/>
      <color rgb="FF1749C4"/>
      <name val="Arial"/>
      <family val="0"/>
      <charset val="1"/>
    </font>
    <font>
      <b val="true"/>
      <sz val="20"/>
      <color rgb="FFB00020"/>
      <name val="Arial"/>
      <family val="0"/>
      <charset val="1"/>
    </font>
    <font>
      <i val="true"/>
      <sz val="8.5"/>
      <color rgb="FF4A5464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sz val="10"/>
      <name val="Arial"/>
      <family val="2"/>
    </font>
    <font>
      <b val="true"/>
      <sz val="9"/>
      <color rgb="FF4A5464"/>
      <name val="Arial"/>
      <family val="0"/>
      <charset val="1"/>
    </font>
    <font>
      <sz val="10"/>
      <color rgb="FF4A5464"/>
      <name val="Arial"/>
      <family val="0"/>
      <charset val="1"/>
    </font>
    <font>
      <sz val="10"/>
      <color rgb="FF14181F"/>
      <name val="Arial"/>
      <family val="0"/>
      <charset val="1"/>
    </font>
    <font>
      <b val="true"/>
      <sz val="18"/>
      <color rgb="FF13164E"/>
      <name val="Arial"/>
      <family val="0"/>
      <charset val="1"/>
    </font>
    <font>
      <b val="true"/>
      <sz val="18"/>
      <color rgb="FF8A5A05"/>
      <name val="Arial"/>
      <family val="0"/>
      <charset val="1"/>
    </font>
    <font>
      <b val="true"/>
      <sz val="18"/>
      <color rgb="FF116B3E"/>
      <name val="Arial"/>
      <family val="0"/>
      <charset val="1"/>
    </font>
    <font>
      <b val="true"/>
      <sz val="18"/>
      <color rgb="FFB00020"/>
      <name val="Arial"/>
      <family val="0"/>
      <charset val="1"/>
    </font>
    <font>
      <b val="true"/>
      <sz val="12"/>
      <color rgb="FF13164E"/>
      <name val="Arial"/>
      <family val="0"/>
      <charset val="1"/>
    </font>
    <font>
      <b val="true"/>
      <sz val="16"/>
      <color rgb="FF13164E"/>
      <name val="Arial"/>
      <family val="0"/>
      <charset val="1"/>
    </font>
    <font>
      <b val="true"/>
      <sz val="12"/>
      <color rgb="FF4A5464"/>
      <name val="Arial"/>
      <family val="0"/>
      <charset val="1"/>
    </font>
    <font>
      <b val="true"/>
      <sz val="18"/>
      <color rgb="FF4A5464"/>
      <name val="Arial"/>
      <family val="0"/>
      <charset val="1"/>
    </font>
    <font>
      <b val="true"/>
      <sz val="10"/>
      <color rgb="FF13164E"/>
      <name val="Arial"/>
      <family val="0"/>
      <charset val="1"/>
    </font>
    <font>
      <b val="true"/>
      <sz val="17"/>
      <color rgb="FF13164E"/>
      <name val="Arial"/>
      <family val="0"/>
      <charset val="1"/>
    </font>
    <font>
      <b val="true"/>
      <sz val="17"/>
      <color rgb="FF116B3E"/>
      <name val="Arial"/>
      <family val="0"/>
      <charset val="1"/>
    </font>
    <font>
      <b val="true"/>
      <sz val="17"/>
      <color rgb="FF1749C4"/>
      <name val="Arial"/>
      <family val="0"/>
      <charset val="1"/>
    </font>
    <font>
      <b val="true"/>
      <sz val="17"/>
      <color rgb="FF9A4C00"/>
      <name val="Arial"/>
      <family val="0"/>
      <charset val="1"/>
    </font>
    <font>
      <b val="true"/>
      <sz val="17"/>
      <color rgb="FFB00020"/>
      <name val="Arial"/>
      <family val="0"/>
      <charset val="1"/>
    </font>
    <font>
      <i val="true"/>
      <sz val="10"/>
      <color rgb="FF4A5464"/>
      <name val="Arial"/>
      <family val="0"/>
      <charset val="1"/>
    </font>
    <font>
      <b val="true"/>
      <sz val="10"/>
      <color rgb="FF4A54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34"/>
      <color rgb="FF13164E"/>
      <name val="Arial"/>
      <family val="0"/>
      <charset val="1"/>
    </font>
    <font>
      <b val="true"/>
      <sz val="34"/>
      <color rgb="FF1749C4"/>
      <name val="Arial"/>
      <family val="0"/>
      <charset val="1"/>
    </font>
    <font>
      <b val="true"/>
      <sz val="11"/>
      <color rgb="FF14181F"/>
      <name val="Arial"/>
      <family val="0"/>
      <charset val="1"/>
    </font>
    <font>
      <sz val="9"/>
      <color rgb="FF4A5464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9"/>
      <color rgb="FF14181F"/>
      <name val="Calibri"/>
      <family val="2"/>
    </font>
    <font>
      <sz val="9"/>
      <color rgb="FF4A5464"/>
      <name val="Calibri"/>
      <family val="2"/>
    </font>
    <font>
      <sz val="8"/>
      <color rgb="FF4A5464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14181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"/>
      <color rgb="FF6E2E00"/>
      <name val="Arial"/>
      <family val="0"/>
      <charset val="1"/>
    </font>
    <font>
      <b val="true"/>
      <sz val="10"/>
      <color rgb="FF116B3E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3164E"/>
        <bgColor rgb="FF14181F"/>
      </patternFill>
    </fill>
    <fill>
      <patternFill patternType="solid">
        <fgColor rgb="FFFFF3CF"/>
        <bgColor rgb="FFFDF0D8"/>
      </patternFill>
    </fill>
    <fill>
      <patternFill patternType="solid">
        <fgColor rgb="FFEEF1F7"/>
        <bgColor rgb="FFEDF1F9"/>
      </patternFill>
    </fill>
    <fill>
      <patternFill patternType="solid">
        <fgColor rgb="FFFDE4E7"/>
        <bgColor rgb="FFF6E8CE"/>
      </patternFill>
    </fill>
    <fill>
      <patternFill patternType="solid">
        <fgColor rgb="FF2A3170"/>
        <bgColor rgb="FF2C4272"/>
      </patternFill>
    </fill>
    <fill>
      <patternFill patternType="solid">
        <fgColor rgb="FFD9DEE8"/>
        <bgColor rgb="FFD9D9D9"/>
      </patternFill>
    </fill>
    <fill>
      <patternFill patternType="solid">
        <fgColor rgb="FFE9F3E6"/>
        <bgColor rgb="FFE3F5EA"/>
      </patternFill>
    </fill>
    <fill>
      <patternFill patternType="solid">
        <fgColor rgb="FFDCE9FA"/>
        <bgColor rgb="FFE6E9EF"/>
      </patternFill>
    </fill>
    <fill>
      <patternFill patternType="solid">
        <fgColor rgb="FFEDEFF4"/>
        <bgColor rgb="FFEEF1F7"/>
      </patternFill>
    </fill>
    <fill>
      <patternFill patternType="solid">
        <fgColor rgb="FFF6FBF5"/>
        <bgColor rgb="FFF4F9FF"/>
      </patternFill>
    </fill>
    <fill>
      <patternFill patternType="solid">
        <fgColor rgb="FFF4F9FF"/>
        <bgColor rgb="FFF6FBF5"/>
      </patternFill>
    </fill>
    <fill>
      <patternFill patternType="solid">
        <fgColor rgb="FFFFE9CC"/>
        <bgColor rgb="FFF6E8CE"/>
      </patternFill>
    </fill>
    <fill>
      <patternFill patternType="solid">
        <fgColor rgb="FFFFFFFF"/>
        <bgColor rgb="FFF6FBF5"/>
      </patternFill>
    </fill>
    <fill>
      <patternFill patternType="solid">
        <fgColor rgb="FFE7EEFB"/>
        <bgColor rgb="FFEDF1F9"/>
      </patternFill>
    </fill>
    <fill>
      <patternFill patternType="solid">
        <fgColor rgb="FFEDF1F9"/>
        <bgColor rgb="FFEEF1F7"/>
      </patternFill>
    </fill>
    <fill>
      <patternFill patternType="solid">
        <fgColor rgb="FFE3F5EA"/>
        <bgColor rgb="FFE9F3E6"/>
      </patternFill>
    </fill>
    <fill>
      <patternFill patternType="solid">
        <fgColor rgb="FFFDF0D8"/>
        <bgColor rgb="FFFFF3CF"/>
      </patternFill>
    </fill>
    <fill>
      <patternFill patternType="solid">
        <fgColor rgb="FFEDF2FC"/>
        <bgColor rgb="FFEDF1F9"/>
      </patternFill>
    </fill>
    <fill>
      <patternFill patternType="solid">
        <fgColor rgb="FFF2F4F8"/>
        <bgColor rgb="FFEEF1F7"/>
      </patternFill>
    </fill>
    <fill>
      <patternFill patternType="solid">
        <fgColor rgb="FFF6E8CE"/>
        <bgColor rgb="FFFFE9CC"/>
      </patternFill>
    </fill>
    <fill>
      <patternFill patternType="solid">
        <fgColor rgb="FFE6E9EF"/>
        <bgColor rgb="FFE7EEFB"/>
      </patternFill>
    </fill>
    <fill>
      <patternFill patternType="solid">
        <fgColor rgb="FFFFD98A"/>
        <bgColor rgb="FFFFC97A"/>
      </patternFill>
    </fill>
    <fill>
      <patternFill patternType="solid">
        <fgColor rgb="FFEFF9F2"/>
        <bgColor rgb="FFF6FBF5"/>
      </patternFill>
    </fill>
    <fill>
      <patternFill patternType="solid">
        <fgColor rgb="FFFFC97A"/>
        <bgColor rgb="FFFFD98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D0DE"/>
      </left>
      <right style="thin">
        <color rgb="FFC8D0DE"/>
      </right>
      <top style="thin">
        <color rgb="FFC8D0DE"/>
      </top>
      <bottom style="thin">
        <color rgb="FFC8D0DE"/>
      </bottom>
      <diagonal/>
    </border>
    <border diagonalUp="false" diagonalDown="false">
      <left style="thin">
        <color rgb="FFC8D0DE"/>
      </left>
      <right/>
      <top style="thin">
        <color rgb="FFC8D0DE"/>
      </top>
      <bottom style="thin">
        <color rgb="FFC8D0DE"/>
      </bottom>
      <diagonal/>
    </border>
    <border diagonalUp="false" diagonalDown="false">
      <left style="medium">
        <color rgb="FF13164E"/>
      </left>
      <right style="medium">
        <color rgb="FF13164E"/>
      </right>
      <top style="medium">
        <color rgb="FF13164E"/>
      </top>
      <bottom style="medium">
        <color rgb="FF13164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8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3" fillId="1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5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3">
    <dxf>
      <font>
        <name val="Arial"/>
        <charset val="1"/>
        <family val="0"/>
        <b val="1"/>
        <color rgb="FF116B3E"/>
        <sz val="20"/>
      </font>
    </dxf>
    <dxf>
      <font>
        <name val="Arial"/>
        <charset val="1"/>
        <family val="0"/>
        <b val="1"/>
        <color rgb="FFB00020"/>
        <sz val="20"/>
      </font>
    </dxf>
    <dxf>
      <font>
        <name val="Arial"/>
        <charset val="1"/>
        <family val="0"/>
        <b val="1"/>
        <color rgb="FF116B3E"/>
        <sz val="20"/>
      </font>
      <fill>
        <patternFill>
          <bgColor rgb="FFE3F5EA"/>
        </patternFill>
      </fill>
    </dxf>
    <dxf>
      <font>
        <b val="1"/>
        <color rgb="FF116B3E"/>
      </font>
      <fill>
        <patternFill>
          <bgColor rgb="FFE3F5EA"/>
        </patternFill>
      </fill>
    </dxf>
    <dxf>
      <font>
        <b val="1"/>
        <color rgb="FF9A4C00"/>
      </font>
      <fill>
        <patternFill>
          <bgColor rgb="FFFFE9CC"/>
        </patternFill>
      </fill>
    </dxf>
    <dxf>
      <font>
        <b val="1"/>
        <color rgb="FFB00020"/>
      </font>
      <fill>
        <patternFill>
          <bgColor rgb="FFFDE4E7"/>
        </patternFill>
      </fill>
    </dxf>
    <dxf>
      <font>
        <b val="1"/>
        <color rgb="FF1749C4"/>
      </font>
      <fill>
        <patternFill>
          <bgColor rgb="FFE7EEFB"/>
        </patternFill>
      </fill>
    </dxf>
    <dxf>
      <fill>
        <patternFill patternType="solid">
          <fgColor rgb="FF2A3170"/>
          <bgColor rgb="FF000000"/>
        </patternFill>
      </fill>
    </dxf>
    <dxf>
      <fill>
        <patternFill patternType="solid">
          <fgColor rgb="FFEEF1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A54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5EA"/>
          <bgColor rgb="FF000000"/>
        </patternFill>
      </fill>
    </dxf>
    <dxf>
      <fill>
        <patternFill patternType="solid">
          <fgColor rgb="FFE6E9EF"/>
          <bgColor rgb="FF000000"/>
        </patternFill>
      </fill>
    </dxf>
    <dxf>
      <fill>
        <patternFill patternType="solid">
          <fgColor rgb="FFE7EEFB"/>
          <bgColor rgb="FF000000"/>
        </patternFill>
      </fill>
    </dxf>
    <dxf>
      <fill>
        <patternFill patternType="solid">
          <fgColor rgb="FFEDF2FC"/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fgColor rgb="FFF6E8CE"/>
          <bgColor rgb="FF000000"/>
        </patternFill>
      </fill>
    </dxf>
    <dxf>
      <fill>
        <patternFill patternType="solid">
          <fgColor rgb="FFFDE4E7"/>
          <bgColor rgb="FF000000"/>
        </patternFill>
      </fill>
    </dxf>
    <dxf>
      <fill>
        <patternFill patternType="solid">
          <fgColor rgb="FFFDF0D8"/>
          <bgColor rgb="FF000000"/>
        </patternFill>
      </fill>
    </dxf>
    <dxf>
      <fill>
        <patternFill patternType="solid">
          <fgColor rgb="FFFFE9CC"/>
          <bgColor rgb="FF000000"/>
        </patternFill>
      </fill>
    </dxf>
    <dxf>
      <fill>
        <patternFill patternType="solid">
          <fgColor rgb="FF116B3E"/>
          <bgColor rgb="FF000000"/>
        </patternFill>
      </fill>
    </dxf>
    <dxf>
      <fill>
        <patternFill patternType="solid">
          <fgColor rgb="FF1749C4"/>
          <bgColor rgb="FF000000"/>
        </patternFill>
      </fill>
    </dxf>
    <dxf>
      <fill>
        <patternFill patternType="solid">
          <fgColor rgb="FF2C4272"/>
          <bgColor rgb="FF000000"/>
        </patternFill>
      </fill>
    </dxf>
    <dxf>
      <fill>
        <patternFill patternType="solid">
          <fgColor rgb="FF7C8698"/>
          <bgColor rgb="FF000000"/>
        </patternFill>
      </fill>
    </dxf>
    <dxf>
      <fill>
        <patternFill patternType="solid">
          <fgColor rgb="FF8A5A05"/>
          <bgColor rgb="FF000000"/>
        </patternFill>
      </fill>
    </dxf>
    <dxf>
      <fill>
        <patternFill patternType="solid">
          <fgColor rgb="FF9A4C00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ill>
        <patternFill patternType="solid">
          <fgColor rgb="FF13164E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FD98A"/>
          <bgColor rgb="FF000000"/>
        </patternFill>
      </fill>
    </dxf>
    <dxf>
      <fill>
        <patternFill patternType="solid">
          <fgColor rgb="FF6E2E00"/>
          <bgColor rgb="FF000000"/>
        </patternFill>
      </fill>
    </dxf>
    <dxf>
      <fill>
        <patternFill patternType="solid">
          <fgColor rgb="FF98A1B2"/>
          <bgColor rgb="FF000000"/>
        </patternFill>
      </fill>
    </dxf>
    <dxf>
      <fill>
        <patternFill patternType="solid">
          <fgColor rgb="FF14181F"/>
          <bgColor rgb="FF000000"/>
        </patternFill>
      </fill>
    </dxf>
    <dxf>
      <fill>
        <patternFill patternType="solid">
          <fgColor rgb="FFFFC97A"/>
          <bgColor rgb="FF000000"/>
        </patternFill>
      </fill>
    </dxf>
    <dxf>
      <fill>
        <patternFill patternType="solid">
          <fgColor rgb="FFF6FBF5"/>
          <bgColor rgb="FF000000"/>
        </patternFill>
      </fill>
    </dxf>
    <dxf>
      <fill>
        <patternFill patternType="solid">
          <fgColor rgb="FFF4F9FF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ont>
        <color rgb="FF8A5A05"/>
      </font>
      <fill>
        <patternFill>
          <bgColor rgb="FFF6E8CE"/>
        </patternFill>
      </fill>
    </dxf>
    <dxf>
      <font>
        <b val="1"/>
        <color rgb="FF8A5A05"/>
      </font>
      <fill>
        <patternFill>
          <bgColor rgb="FFF6E8CE"/>
        </patternFill>
      </fill>
    </dxf>
    <dxf>
      <font>
        <b val="1"/>
        <color rgb="FF8A5A05"/>
      </font>
      <fill>
        <patternFill>
          <bgColor rgb="FFFDF0D8"/>
        </patternFill>
      </fill>
    </dxf>
    <dxf>
      <font>
        <color rgb="FF2C4272"/>
      </font>
      <fill>
        <patternFill>
          <bgColor rgb="FFEDF2FC"/>
        </patternFill>
      </fill>
    </dxf>
    <dxf>
      <font>
        <color rgb="FF4A5464"/>
      </font>
      <fill>
        <patternFill>
          <bgColor rgb="FFF2F4F8"/>
        </patternFill>
      </fill>
    </dxf>
    <dxf>
      <font>
        <color rgb="FF7C8698"/>
      </font>
      <fill>
        <patternFill>
          <bgColor rgb="FFE6E9EF"/>
        </patternFill>
      </fill>
    </dxf>
    <dxf>
      <font>
        <strike val="1"/>
        <color rgb="FF98A1B2"/>
      </font>
    </dxf>
    <dxf>
      <font>
        <b val="1"/>
        <color rgb="FF6E2E00"/>
      </font>
      <fill>
        <patternFill>
          <bgColor rgb="FFFFC97A"/>
        </patternFill>
      </fill>
      <border diagonalUp="false" diagonalDown="false">
        <left style="medium">
          <color rgb="FF6E2E00"/>
        </left>
        <right style="medium">
          <color rgb="FF6E2E00"/>
        </right>
        <top style="medium">
          <color rgb="FF6E2E00"/>
        </top>
        <bottom style="medium">
          <color rgb="FF6E2E00"/>
        </bottom>
        <diagonal/>
      </border>
    </dxf>
    <dxf>
      <font>
        <b val="1"/>
        <color rgb="FF6E2E00"/>
      </font>
      <fill>
        <patternFill>
          <bgColor rgb="FFFFD98A"/>
        </patternFill>
      </fill>
    </dxf>
    <dxf>
      <font>
        <b val="1"/>
        <color rgb="FF116B3E"/>
      </font>
      <fill>
        <patternFill>
          <bgColor rgb="FFEFF9F2"/>
        </patternFill>
      </fill>
    </dxf>
    <dxf>
      <font>
        <b val="1"/>
        <color rgb="FFB00020"/>
      </font>
    </dxf>
    <dxf>
      <font>
        <b val="1"/>
        <color rgb="FF9A4C00"/>
      </font>
    </dxf>
    <dxf>
      <font>
        <b val="1"/>
        <color rgb="FF1749C4"/>
      </font>
    </dxf>
    <dxf>
      <fill>
        <patternFill>
          <bgColor rgb="FFFFF6DC"/>
        </patternFill>
      </fill>
    </dxf>
    <dxf>
      <border diagonalUp="false" diagonalDown="false">
        <left/>
        <right/>
        <top style="medium">
          <color rgb="FF8494B0"/>
        </top>
        <bottom/>
        <diagonal/>
      </border>
    </dxf>
    <dxf>
      <border diagonalUp="false" diagonalDown="false">
        <left/>
        <right/>
        <top style="medium">
          <color rgb="FF13164E"/>
        </top>
        <bottom/>
        <diagonal/>
      </border>
    </dxf>
    <dxf>
      <font>
        <b val="1"/>
        <color rgb="FF116B3E"/>
      </font>
    </dxf>
    <dxf>
      <font>
        <b val="1"/>
        <color rgb="FF4A5464"/>
      </font>
    </dxf>
    <dxf>
      <font>
        <name val="Arial"/>
        <charset val="1"/>
        <family val="0"/>
        <color rgb="FFB9C2D0"/>
        <sz val="12"/>
      </font>
    </dxf>
    <dxf>
      <font>
        <name val="Arial"/>
        <charset val="1"/>
        <family val="0"/>
        <color rgb="FFC3CBD8"/>
        <sz val="10"/>
      </font>
    </dxf>
    <dxf>
      <font>
        <name val="Arial"/>
        <charset val="1"/>
        <family val="0"/>
        <b val="1"/>
        <color rgb="FF116B3E"/>
        <sz val="10"/>
      </font>
      <fill>
        <patternFill>
          <bgColor rgb="FFE3F5EA"/>
        </patternFill>
      </fill>
    </dxf>
    <dxf>
      <font>
        <name val="Arial"/>
        <charset val="1"/>
        <family val="0"/>
        <b val="1"/>
        <color rgb="FFB00020"/>
        <sz val="10"/>
      </font>
      <fill>
        <patternFill>
          <bgColor rgb="FFFDE4E7"/>
        </patternFill>
      </fill>
    </dxf>
    <dxf>
      <font>
        <name val="Arial"/>
        <charset val="1"/>
        <family val="0"/>
        <b val="1"/>
        <color rgb="FF116B3E"/>
        <sz val="11"/>
      </font>
    </dxf>
    <dxf>
      <font>
        <name val="Arial"/>
        <charset val="1"/>
        <family val="0"/>
        <b val="1"/>
        <color rgb="FFB00020"/>
        <sz val="11"/>
      </font>
    </dxf>
    <dxf>
      <font>
        <name val="Arial"/>
        <charset val="1"/>
        <family val="0"/>
        <b val="1"/>
        <color rgb="FFB00020"/>
        <sz val="11"/>
      </font>
      <fill>
        <patternFill>
          <bgColor rgb="FFFDE4E7"/>
        </patternFill>
      </fill>
    </dxf>
    <dxf>
      <font>
        <name val="Arial"/>
        <charset val="1"/>
        <family val="0"/>
        <b val="1"/>
        <color rgb="FF9A4C00"/>
        <sz val="11"/>
      </font>
      <fill>
        <patternFill>
          <bgColor rgb="FFFFE9CC"/>
        </patternFill>
      </fill>
    </dxf>
    <dxf>
      <font>
        <name val="Arial"/>
        <charset val="1"/>
        <family val="0"/>
        <b val="1"/>
        <color rgb="FF116B3E"/>
        <sz val="34"/>
      </font>
    </dxf>
    <dxf>
      <font>
        <name val="Arial"/>
        <charset val="1"/>
        <family val="0"/>
        <b val="1"/>
        <color rgb="FFB00020"/>
        <sz val="34"/>
      </font>
    </dxf>
    <dxf>
      <font>
        <name val="Arial"/>
        <charset val="1"/>
        <family val="0"/>
        <b val="1"/>
        <color rgb="FF9A4C00"/>
        <sz val="10"/>
      </font>
      <fill>
        <patternFill>
          <bgColor rgb="FFFFE9CC"/>
        </patternFill>
      </fill>
    </dxf>
    <dxf>
      <font>
        <name val="Arial"/>
        <charset val="1"/>
        <family val="0"/>
        <b val="1"/>
        <color rgb="FFB00020"/>
        <sz val="10"/>
      </font>
    </dxf>
    <dxf>
      <fill>
        <patternFill patternType="solid">
          <fgColor rgb="FFA6AEBC"/>
          <bgColor rgb="FF000000"/>
        </patternFill>
      </fill>
    </dxf>
    <dxf>
      <font>
        <name val="Arial"/>
        <charset val="1"/>
        <family val="0"/>
        <b val="1"/>
        <color rgb="FF116B3E"/>
        <sz val="18"/>
      </font>
    </dxf>
    <dxf>
      <font>
        <name val="Arial"/>
        <charset val="1"/>
        <family val="0"/>
        <b val="1"/>
        <color rgb="FFB00020"/>
        <sz val="18"/>
      </font>
    </dxf>
    <dxf>
      <font>
        <color rgb="FFA6AEBC"/>
      </font>
    </dxf>
  </dxfs>
  <colors>
    <indexedColors>
      <rgbColor rgb="FF000000"/>
      <rgbColor rgb="FFFFFFFF"/>
      <rgbColor rgb="FFFF0000"/>
      <rgbColor rgb="FFEFF9F2"/>
      <rgbColor rgb="FF0000FF"/>
      <rgbColor rgb="FFFFE9CC"/>
      <rgbColor rgb="FFFF00FF"/>
      <rgbColor rgb="FFEDF2FC"/>
      <rgbColor rgb="FFB00020"/>
      <rgbColor rgb="FF116B3E"/>
      <rgbColor rgb="FF13164E"/>
      <rgbColor rgb="FF8A5A05"/>
      <rgbColor rgb="FF800080"/>
      <rgbColor rgb="FFF6FBF5"/>
      <rgbColor rgb="FFB9C2D0"/>
      <rgbColor rgb="FF878787"/>
      <rgbColor rgb="FFA6AEBC"/>
      <rgbColor rgb="FFF2F4F8"/>
      <rgbColor rgb="FFFFF6DC"/>
      <rgbColor rgb="FFE3F5EA"/>
      <rgbColor rgb="FF660066"/>
      <rgbColor rgb="FFD9DEE8"/>
      <rgbColor rgb="FF1749C4"/>
      <rgbColor rgb="FFC8D0DE"/>
      <rgbColor rgb="FF000080"/>
      <rgbColor rgb="FFFF00FF"/>
      <rgbColor rgb="FFF6E8CE"/>
      <rgbColor rgb="FFEDF1F9"/>
      <rgbColor rgb="FF800080"/>
      <rgbColor rgb="FF800000"/>
      <rgbColor rgb="FF008080"/>
      <rgbColor rgb="FF0000FF"/>
      <rgbColor rgb="FFEDEFF4"/>
      <rgbColor rgb="FFDCE9FA"/>
      <rgbColor rgb="FFE9F3E6"/>
      <rgbColor rgb="FFFFF3CF"/>
      <rgbColor rgb="FFC3CBD8"/>
      <rgbColor rgb="FFD9D9D9"/>
      <rgbColor rgb="FF8494B0"/>
      <rgbColor rgb="FFFFC97A"/>
      <rgbColor rgb="FFEEF1F7"/>
      <rgbColor rgb="FFE7EEFB"/>
      <rgbColor rgb="FFE6E9EF"/>
      <rgbColor rgb="FFFFD98A"/>
      <rgbColor rgb="FFFDE4E7"/>
      <rgbColor rgb="FFFDF0D8"/>
      <rgbColor rgb="FF4F81BD"/>
      <rgbColor rgb="FF98A1B2"/>
      <rgbColor rgb="FF4A5464"/>
      <rgbColor rgb="FF7C8698"/>
      <rgbColor rgb="FF14181F"/>
      <rgbColor rgb="FF6E2E00"/>
      <rgbColor rgb="FF9A4C00"/>
      <rgbColor rgb="FFF4F9FF"/>
      <rgbColor rgb="FF2A3170"/>
      <rgbColor rgb="FF2C427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Quanto tinha, quanto saiu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Aderência!P54</c:f>
              <c:strCache>
                <c:ptCount val="1"/>
                <c:pt idx="0">
                  <c:v>Tinha para fazer</c:v>
                </c:pt>
              </c:strCache>
            </c:strRef>
          </c:tx>
          <c:spPr>
            <a:solidFill>
              <a:srgbClr val="13164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14181f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Aderência!$O$55:$O$56</c:f>
              <c:strCache>
                <c:ptCount val="2"/>
                <c:pt idx="0">
                  <c:v>Plano da semana</c:v>
                </c:pt>
                <c:pt idx="1">
                  <c:v>Extra programação</c:v>
                </c:pt>
              </c:strCache>
            </c:strRef>
          </c:cat>
          <c:val>
            <c:numRef>
              <c:f>Aderência!$P$55:$P$56</c:f>
              <c:numCache>
                <c:formatCode>0</c:formatCode>
                <c:ptCount val="2"/>
                <c:pt idx="0">
                  <c:v>65</c:v>
                </c:pt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Aderência!Q54</c:f>
              <c:strCache>
                <c:ptCount val="1"/>
                <c:pt idx="0">
                  <c:v>Concluídas</c:v>
                </c:pt>
              </c:strCache>
            </c:strRef>
          </c:tx>
          <c:spPr>
            <a:solidFill>
              <a:srgbClr val="116b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14181f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Aderência!$O$55:$O$56</c:f>
              <c:strCache>
                <c:ptCount val="2"/>
                <c:pt idx="0">
                  <c:v>Plano da semana</c:v>
                </c:pt>
                <c:pt idx="1">
                  <c:v>Extra programação</c:v>
                </c:pt>
              </c:strCache>
            </c:strRef>
          </c:cat>
          <c:val>
            <c:numRef>
              <c:f>Aderência!$Q$55:$Q$56</c:f>
              <c:numCache>
                <c:formatCode>0</c:formatCode>
                <c:ptCount val="2"/>
                <c:pt idx="0">
                  <c:v>21</c:v>
                </c:pt>
                <c:pt idx="1">
                  <c:v>4</c:v>
                </c:pt>
              </c:numCache>
            </c:numRef>
          </c:val>
        </c:ser>
        <c:gapWidth val="60"/>
        <c:overlap val="-15"/>
        <c:axId val="2995447"/>
        <c:axId val="81384824"/>
      </c:barChart>
      <c:catAx>
        <c:axId val="299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464"/>
                </a:solidFill>
                <a:latin typeface="Calibri"/>
              </a:defRPr>
            </a:pPr>
          </a:p>
        </c:txPr>
        <c:crossAx val="81384824"/>
        <c:crosses val="autoZero"/>
        <c:auto val="1"/>
        <c:lblAlgn val="ctr"/>
        <c:lblOffset val="100"/>
        <c:noMultiLvlLbl val="0"/>
      </c:catAx>
      <c:valAx>
        <c:axId val="8138482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a5464"/>
                </a:solidFill>
                <a:latin typeface="Calibri"/>
              </a:defRPr>
            </a:pPr>
          </a:p>
        </c:txPr>
        <c:crossAx val="29954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a5464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Onde a semana parou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Aderência!P58</c:f>
              <c:strCache>
                <c:ptCount val="1"/>
                <c:pt idx="0">
                  <c:v>Atividades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16b3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0002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c427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98a1b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6e2e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4181f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4181f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4181f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4181f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4181f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4181f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Aderência!$O$59:$O$63</c:f>
              <c:strCache>
                <c:ptCount val="5"/>
                <c:pt idx="0">
                  <c:v>Concluídas</c:v>
                </c:pt>
                <c:pt idx="1">
                  <c:v>Vencidas</c:v>
                </c:pt>
                <c:pt idx="2">
                  <c:v>A vencer</c:v>
                </c:pt>
                <c:pt idx="3">
                  <c:v>Canceladas</c:v>
                </c:pt>
                <c:pt idx="4">
                  <c:v>Terceirizada</c:v>
                </c:pt>
              </c:strCache>
            </c:strRef>
          </c:cat>
          <c:val>
            <c:numRef>
              <c:f>Aderência!$P$59:$P$63</c:f>
              <c:numCache>
                <c:formatCode>0</c:formatCode>
                <c:ptCount val="5"/>
                <c:pt idx="0">
                  <c:v>25</c:v>
                </c:pt>
                <c:pt idx="1">
                  <c:v>1</c:v>
                </c:pt>
                <c:pt idx="2">
                  <c:v>49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gapWidth val="45"/>
        <c:overlap val="0"/>
        <c:axId val="44724215"/>
        <c:axId val="48405761"/>
      </c:barChart>
      <c:catAx>
        <c:axId val="44724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a5464"/>
                </a:solidFill>
                <a:latin typeface="Calibri"/>
              </a:defRPr>
            </a:pPr>
          </a:p>
        </c:txPr>
        <c:crossAx val="48405761"/>
        <c:crosses val="autoZero"/>
        <c:auto val="1"/>
        <c:lblAlgn val="ctr"/>
        <c:lblOffset val="100"/>
        <c:noMultiLvlLbl val="0"/>
      </c:catAx>
      <c:valAx>
        <c:axId val="4840576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a5464"/>
                </a:solidFill>
                <a:latin typeface="Calibri"/>
              </a:defRPr>
            </a:pPr>
          </a:p>
        </c:txPr>
        <c:crossAx val="44724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53</xdr:row>
      <xdr:rowOff>0</xdr:rowOff>
    </xdr:from>
    <xdr:to>
      <xdr:col>3</xdr:col>
      <xdr:colOff>952560</xdr:colOff>
      <xdr:row>68</xdr:row>
      <xdr:rowOff>94320</xdr:rowOff>
    </xdr:to>
    <xdr:graphicFrame>
      <xdr:nvGraphicFramePr>
        <xdr:cNvPr id="0" name="Chart 1"/>
        <xdr:cNvGraphicFramePr/>
      </xdr:nvGraphicFramePr>
      <xdr:xfrm>
        <a:off x="0" y="11420640"/>
        <a:ext cx="52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53</xdr:row>
      <xdr:rowOff>0</xdr:rowOff>
    </xdr:from>
    <xdr:to>
      <xdr:col>11</xdr:col>
      <xdr:colOff>228240</xdr:colOff>
      <xdr:row>68</xdr:row>
      <xdr:rowOff>94320</xdr:rowOff>
    </xdr:to>
    <xdr:graphicFrame>
      <xdr:nvGraphicFramePr>
        <xdr:cNvPr id="1" name="Chart 2"/>
        <xdr:cNvGraphicFramePr/>
      </xdr:nvGraphicFramePr>
      <xdr:xfrm>
        <a:off x="7201080" y="11420640"/>
        <a:ext cx="41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M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K1" s="2" t="s">
        <v>1</v>
      </c>
      <c r="L1" s="3" t="n">
        <f aca="true">TODAY()</f>
        <v>46274</v>
      </c>
      <c r="M1" s="4" t="s">
        <v>2</v>
      </c>
    </row>
    <row r="2" customFormat="false" ht="15" hidden="false" customHeight="false" outlineLevel="0" collapsed="false">
      <c r="K2" s="5" t="s">
        <v>3</v>
      </c>
      <c r="L2" s="6" t="n">
        <f aca="true">NOW()-TODAY()</f>
        <v>0.611046663318113</v>
      </c>
    </row>
    <row r="3" customFormat="false" ht="25.5" hidden="false" customHeight="true" outlineLevel="0" collapsed="false">
      <c r="A3" s="7" t="s">
        <v>4</v>
      </c>
      <c r="B3" s="7"/>
      <c r="C3" s="8" t="n">
        <f aca="true">TODAY()</f>
        <v>46274</v>
      </c>
      <c r="D3" s="9" t="str">
        <f aca="false">IF($C$3="","",TEXT($C$3,"[$-416]dddd"))</f>
        <v>quarta-feira</v>
      </c>
      <c r="E3" s="9" t="str">
        <f aca="false">IF($C$3="","","semana "&amp;(INT(($C$3-(DATE(Semana!$J$3,1,4)-WEEKDAY(DATE(Semana!$J$3,1,4),3)))/7)+1))</f>
        <v>semana 37</v>
      </c>
      <c r="F3" s="10" t="s">
        <v>5</v>
      </c>
      <c r="G3" s="10"/>
      <c r="H3" s="10"/>
      <c r="I3" s="10"/>
      <c r="K3" s="5" t="s">
        <v>6</v>
      </c>
      <c r="L3" s="11" t="n">
        <f aca="false">SUM(Programação!$AH$5:$AH$1004)</f>
        <v>35</v>
      </c>
    </row>
    <row r="4" customFormat="false" ht="15" hidden="false" customHeight="false" outlineLevel="0" collapsed="false">
      <c r="K4" s="5" t="s">
        <v>7</v>
      </c>
      <c r="L4" s="11" t="n">
        <f aca="false">SUM(Programação!$AI$5:$AI$1004)</f>
        <v>1</v>
      </c>
    </row>
    <row r="5" customFormat="false" ht="21.75" hidden="false" customHeight="true" outlineLevel="0" collapsed="false">
      <c r="A5" s="12" t="s">
        <v>8</v>
      </c>
      <c r="B5" s="12"/>
      <c r="C5" s="12" t="s">
        <v>9</v>
      </c>
      <c r="D5" s="12" t="s">
        <v>10</v>
      </c>
      <c r="E5" s="12"/>
      <c r="F5" s="12" t="s">
        <v>11</v>
      </c>
      <c r="G5" s="12"/>
      <c r="H5" s="12" t="s">
        <v>12</v>
      </c>
      <c r="I5" s="12"/>
      <c r="K5" s="5" t="s">
        <v>13</v>
      </c>
      <c r="L5" s="11" t="n">
        <f aca="false">SUMPRODUCT(--(Programação!$AO$5:$AO$1004&lt;&gt;""))</f>
        <v>120</v>
      </c>
    </row>
    <row r="6" customFormat="false" ht="30" hidden="false" customHeight="true" outlineLevel="0" collapsed="false">
      <c r="A6" s="13" t="n">
        <f aca="false">COUNTIFS(Programação!$P$5:$P$1004,$C$3,Programação!$R$5:$R$1004,"&lt;&gt;Cancelada",Programação!$V$5:$V$1004,"Interna")</f>
        <v>10</v>
      </c>
      <c r="B6" s="13"/>
      <c r="C6" s="14" t="n">
        <f aca="false">SUMIFS(Programação!$AB$5:$AB$1004,Programação!$P$5:$P$1004,$C$3,Programação!$V$5:$V$1004,"Interna",Programação!$R$5:$R$1004,"&lt;&gt;Cancelada")</f>
        <v>9</v>
      </c>
      <c r="D6" s="15" t="n">
        <f aca="false">IF($A$6=0,"",$C$6/$A$6)</f>
        <v>0.9</v>
      </c>
      <c r="E6" s="15"/>
      <c r="F6" s="16" t="n">
        <f aca="false">COUNTIFS(Programação!$O$5:$O$1004,"&lt;="&amp;$C$3,Programação!$P$5:$P$1004,"&gt;="&amp;$C$3,Programação!$AB$5:$AB$1004,0,Programação!$R$5:$R$1004,"&lt;&gt;Cancelada",Programação!$V$5:$V$1004,"Interna")</f>
        <v>15</v>
      </c>
      <c r="G6" s="16"/>
      <c r="H6" s="17" t="n">
        <f aca="false">COUNTIFS(Programação!$P$5:$P$1004,"&lt;"&amp;$C$3,Programação!$AB$5:$AB$1004,0,Programação!$R$5:$R$1004,"&lt;&gt;Cancelada",Programação!$V$5:$V$1004,"Interna")</f>
        <v>1</v>
      </c>
      <c r="I6" s="17"/>
    </row>
    <row r="7" customFormat="false" ht="15" hidden="false" customHeight="false" outlineLevel="0" collapsed="false">
      <c r="J7" s="18" t="s">
        <v>14</v>
      </c>
      <c r="K7" s="18"/>
      <c r="L7" s="18"/>
      <c r="M7" s="18"/>
    </row>
    <row r="8" customFormat="false" ht="19.5" hidden="false" customHeight="true" outlineLevel="0" collapsed="false">
      <c r="A8" s="18" t="s">
        <v>15</v>
      </c>
      <c r="B8" s="18"/>
      <c r="C8" s="18"/>
      <c r="D8" s="10" t="str">
        <f aca="false">"a janela de execução contém esta data   ·   CONCLUÍDAS NESTA DATA: "&amp;COUNTIFS(Programação!$Q$5:$Q$1004,$C$3,Programação!$R$5:$R$1004,"&lt;&gt;Cancelada",Programação!$V$5:$V$1004,"Interna")</f>
        <v>a janela de execução contém esta data   ·   CONCLUÍDAS NESTA DATA: 7</v>
      </c>
      <c r="E8" s="10"/>
      <c r="F8" s="10"/>
      <c r="G8" s="10"/>
      <c r="H8" s="10"/>
      <c r="I8" s="10"/>
      <c r="J8" s="19" t="s">
        <v>16</v>
      </c>
      <c r="K8" s="19"/>
      <c r="L8" s="19"/>
      <c r="M8" s="19"/>
    </row>
    <row r="9" customFormat="false" ht="15" hidden="false" customHeight="false" outlineLevel="0" collapsed="false">
      <c r="A9" s="20" t="s">
        <v>17</v>
      </c>
      <c r="B9" s="20" t="s">
        <v>18</v>
      </c>
      <c r="C9" s="20" t="s">
        <v>19</v>
      </c>
      <c r="D9" s="20" t="s">
        <v>20</v>
      </c>
      <c r="E9" s="20" t="s">
        <v>21</v>
      </c>
      <c r="F9" s="20" t="s">
        <v>22</v>
      </c>
      <c r="G9" s="20" t="s">
        <v>23</v>
      </c>
      <c r="H9" s="20" t="s">
        <v>24</v>
      </c>
      <c r="I9" s="20" t="s">
        <v>25</v>
      </c>
      <c r="J9" s="20" t="s">
        <v>25</v>
      </c>
      <c r="K9" s="20" t="s">
        <v>24</v>
      </c>
      <c r="L9" s="21" t="s">
        <v>26</v>
      </c>
      <c r="M9" s="21"/>
    </row>
    <row r="10" customFormat="false" ht="18" hidden="false" customHeight="true" outlineLevel="0" collapsed="false">
      <c r="A10" s="22" t="str">
        <f aca="false">IF($L$3&lt;1,"",INDEX(Programação!$D$5:$D$1004,MATCH(1,Programação!$AE$5:$AE$1004,0)))</f>
        <v>F-815</v>
      </c>
      <c r="B10" s="23" t="str">
        <f aca="false">IF($L$3&lt;1,"",INDEX(Programação!$E$5:$E$1004,MATCH(1,Programação!$AE$5:$AE$1004,0)))</f>
        <v>Baixa de pendências backlog</v>
      </c>
      <c r="C10" s="24" t="str">
        <f aca="false">IF($L$3&lt;1,"",INDEX(Programação!$F$5:$F$1004,MATCH(1,Programação!$AE$5:$AE$1004,0)))</f>
        <v>Fixar farol LD</v>
      </c>
      <c r="D10" s="23" t="str">
        <f aca="false">IF($L$3&lt;1,"",INDEX(Programação!$AG$5:$AG$1004,MATCH(1,Programação!$AE$5:$AE$1004,0)))</f>
        <v>Alexandre</v>
      </c>
      <c r="E10" s="25" t="n">
        <f aca="false">IF($L$3&lt;1,"",INDEX(Programação!$O$5:$O$1004,MATCH(1,Programação!$AE$5:$AE$1004,0)))</f>
        <v>46273</v>
      </c>
      <c r="F10" s="25" t="n">
        <f aca="false">IF($L$3&lt;1,"",INDEX(Programação!$P$5:$P$1004,MATCH(1,Programação!$AE$5:$AE$1004,0)))</f>
        <v>46274</v>
      </c>
      <c r="G10" s="22" t="str">
        <f aca="false">IF($A10="","",IF($H10&lt;&gt;"","Concluída",IF($F10&lt;$C$3,"Atrasada",IF($F10=$C$3,"Fecha neste dia","Em execução"))))</f>
        <v>Fecha neste dia</v>
      </c>
      <c r="H10" s="25" t="str">
        <f aca="false">IF($L$3&lt;1,"",IF(INDEX(Programação!$AT$5:$AT$1004,MATCH(1,Programação!$AE$5:$AE$1004,0))="","",INDEX(Programação!$AT$5:$AT$1004,MATCH(1,Programação!$AE$5:$AE$1004,0))))</f>
        <v/>
      </c>
      <c r="I10" s="22" t="n">
        <f aca="false">IF($L$3&lt;1,"",MATCH(1,Programação!$AE$5:$AE$1004,0)+4)</f>
        <v>122</v>
      </c>
      <c r="J10" s="26"/>
      <c r="K10" s="27"/>
      <c r="L10" s="28" t="str">
        <f aca="false">IF($J10="","",IFERROR(INDEX(Programação!$D$5:$D$1004,$J10-4)&amp;"  ·  "&amp;INDEX(Programação!$F$5:$F$1004,$J10-4),"⚠ linha não encontrada"))</f>
        <v/>
      </c>
      <c r="M10" s="28"/>
    </row>
    <row r="11" customFormat="false" ht="18" hidden="false" customHeight="true" outlineLevel="0" collapsed="false">
      <c r="A11" s="22" t="str">
        <f aca="false">IF($L$3&lt;2,"",INDEX(Programação!$D$5:$D$1004,MATCH(2,Programação!$AE$5:$AE$1004,0)))</f>
        <v>F-815</v>
      </c>
      <c r="B11" s="23" t="str">
        <f aca="false">IF($L$3&lt;2,"",INDEX(Programação!$E$5:$E$1004,MATCH(2,Programação!$AE$5:$AE$1004,0)))</f>
        <v>Baixa de pendências backlog</v>
      </c>
      <c r="C11" s="24" t="str">
        <f aca="false">IF($L$3&lt;2,"",INDEX(Programação!$F$5:$F$1004,MATCH(2,Programação!$AE$5:$AE$1004,0)))</f>
        <v>Corrigir e isolar fiação de iluminação do reboque exposta</v>
      </c>
      <c r="D11" s="23" t="str">
        <f aca="false">IF($L$3&lt;2,"",INDEX(Programação!$AG$5:$AG$1004,MATCH(2,Programação!$AE$5:$AE$1004,0)))</f>
        <v>Alexandre</v>
      </c>
      <c r="E11" s="25" t="n">
        <f aca="false">IF($L$3&lt;2,"",INDEX(Programação!$O$5:$O$1004,MATCH(2,Programação!$AE$5:$AE$1004,0)))</f>
        <v>46273</v>
      </c>
      <c r="F11" s="25" t="n">
        <f aca="false">IF($L$3&lt;2,"",INDEX(Programação!$P$5:$P$1004,MATCH(2,Programação!$AE$5:$AE$1004,0)))</f>
        <v>46275</v>
      </c>
      <c r="G11" s="22" t="str">
        <f aca="false">IF($A11="","",IF($H11&lt;&gt;"","Concluída",IF($F11&lt;$C$3,"Atrasada",IF($F11=$C$3,"Fecha neste dia","Em execução"))))</f>
        <v>Em execução</v>
      </c>
      <c r="H11" s="25" t="str">
        <f aca="false">IF($L$3&lt;2,"",IF(INDEX(Programação!$AT$5:$AT$1004,MATCH(2,Programação!$AE$5:$AE$1004,0))="","",INDEX(Programação!$AT$5:$AT$1004,MATCH(2,Programação!$AE$5:$AE$1004,0))))</f>
        <v/>
      </c>
      <c r="I11" s="22" t="n">
        <f aca="false">IF($L$3&lt;2,"",MATCH(2,Programação!$AE$5:$AE$1004,0)+4)</f>
        <v>127</v>
      </c>
      <c r="J11" s="26"/>
      <c r="K11" s="27"/>
      <c r="L11" s="28" t="str">
        <f aca="false">IF($J11="","",IFERROR(INDEX(Programação!$D$5:$D$1004,$J11-4)&amp;"  ·  "&amp;INDEX(Programação!$F$5:$F$1004,$J11-4),"⚠ linha não encontrada"))</f>
        <v/>
      </c>
      <c r="M11" s="28"/>
    </row>
    <row r="12" customFormat="false" ht="18" hidden="false" customHeight="true" outlineLevel="0" collapsed="false">
      <c r="A12" s="22" t="str">
        <f aca="false">IF($L$3&lt;3,"",INDEX(Programação!$D$5:$D$1004,MATCH(3,Programação!$AE$5:$AE$1004,0)))</f>
        <v>F-815</v>
      </c>
      <c r="B12" s="23" t="str">
        <f aca="false">IF($L$3&lt;3,"",INDEX(Programação!$E$5:$E$1004,MATCH(3,Programação!$AE$5:$AE$1004,0)))</f>
        <v>Baixa de pendências backlog</v>
      </c>
      <c r="C12" s="24" t="str">
        <f aca="false">IF($L$3&lt;3,"",INDEX(Programação!$F$5:$F$1004,MATCH(3,Programação!$AE$5:$AE$1004,0)))</f>
        <v>Corrigir iluminação interna das portas LE e LD</v>
      </c>
      <c r="D12" s="23" t="str">
        <f aca="false">IF($L$3&lt;3,"",INDEX(Programação!$AG$5:$AG$1004,MATCH(3,Programação!$AE$5:$AE$1004,0)))</f>
        <v>Alexandre</v>
      </c>
      <c r="E12" s="25" t="n">
        <f aca="false">IF($L$3&lt;3,"",INDEX(Programação!$O$5:$O$1004,MATCH(3,Programação!$AE$5:$AE$1004,0)))</f>
        <v>46273</v>
      </c>
      <c r="F12" s="25" t="n">
        <f aca="false">IF($L$3&lt;3,"",INDEX(Programação!$P$5:$P$1004,MATCH(3,Programação!$AE$5:$AE$1004,0)))</f>
        <v>46275</v>
      </c>
      <c r="G12" s="22" t="str">
        <f aca="false">IF($A12="","",IF($H12&lt;&gt;"","Concluída",IF($F12&lt;$C$3,"Atrasada",IF($F12=$C$3,"Fecha neste dia","Em execução"))))</f>
        <v>Em execução</v>
      </c>
      <c r="H12" s="25" t="str">
        <f aca="false">IF($L$3&lt;3,"",IF(INDEX(Programação!$AT$5:$AT$1004,MATCH(3,Programação!$AE$5:$AE$1004,0))="","",INDEX(Programação!$AT$5:$AT$1004,MATCH(3,Programação!$AE$5:$AE$1004,0))))</f>
        <v/>
      </c>
      <c r="I12" s="22" t="n">
        <f aca="false">IF($L$3&lt;3,"",MATCH(3,Programação!$AE$5:$AE$1004,0)+4)</f>
        <v>128</v>
      </c>
      <c r="J12" s="26"/>
      <c r="K12" s="27"/>
      <c r="L12" s="28" t="str">
        <f aca="false">IF($J12="","",IFERROR(INDEX(Programação!$D$5:$D$1004,$J12-4)&amp;"  ·  "&amp;INDEX(Programação!$F$5:$F$1004,$J12-4),"⚠ linha não encontrada"))</f>
        <v/>
      </c>
      <c r="M12" s="28"/>
    </row>
    <row r="13" customFormat="false" ht="18" hidden="false" customHeight="true" outlineLevel="0" collapsed="false">
      <c r="A13" s="22" t="str">
        <f aca="false">IF($L$3&lt;4,"",INDEX(Programação!$D$5:$D$1004,MATCH(4,Programação!$AE$5:$AE$1004,0)))</f>
        <v>F-815</v>
      </c>
      <c r="B13" s="23" t="str">
        <f aca="false">IF($L$3&lt;4,"",INDEX(Programação!$E$5:$E$1004,MATCH(4,Programação!$AE$5:$AE$1004,0)))</f>
        <v>Baixa de pendências backlog</v>
      </c>
      <c r="C13" s="24" t="str">
        <f aca="false">IF($L$3&lt;4,"",INDEX(Programação!$F$5:$F$1004,MATCH(4,Programação!$AE$5:$AE$1004,0)))</f>
        <v>Trocar parabrisa</v>
      </c>
      <c r="D13" s="23" t="str">
        <f aca="false">IF($L$3&lt;4,"",INDEX(Programação!$AG$5:$AG$1004,MATCH(4,Programação!$AE$5:$AE$1004,0)))</f>
        <v>Terceirizada</v>
      </c>
      <c r="E13" s="25" t="n">
        <f aca="false">IF($L$3&lt;4,"",INDEX(Programação!$O$5:$O$1004,MATCH(4,Programação!$AE$5:$AE$1004,0)))</f>
        <v>46274</v>
      </c>
      <c r="F13" s="25" t="n">
        <f aca="false">IF($L$3&lt;4,"",INDEX(Programação!$P$5:$P$1004,MATCH(4,Programação!$AE$5:$AE$1004,0)))</f>
        <v>46276</v>
      </c>
      <c r="G13" s="22" t="str">
        <f aca="false">IF($A13="","",IF($H13&lt;&gt;"","Concluída",IF($F13&lt;$C$3,"Atrasada",IF($F13=$C$3,"Fecha neste dia","Em execução"))))</f>
        <v>Em execução</v>
      </c>
      <c r="H13" s="25" t="str">
        <f aca="false">IF($L$3&lt;4,"",IF(INDEX(Programação!$AT$5:$AT$1004,MATCH(4,Programação!$AE$5:$AE$1004,0))="","",INDEX(Programação!$AT$5:$AT$1004,MATCH(4,Programação!$AE$5:$AE$1004,0))))</f>
        <v/>
      </c>
      <c r="I13" s="22" t="n">
        <f aca="false">IF($L$3&lt;4,"",MATCH(4,Programação!$AE$5:$AE$1004,0)+4)</f>
        <v>130</v>
      </c>
      <c r="J13" s="26"/>
      <c r="K13" s="27"/>
      <c r="L13" s="28" t="str">
        <f aca="false">IF($J13="","",IFERROR(INDEX(Programação!$D$5:$D$1004,$J13-4)&amp;"  ·  "&amp;INDEX(Programação!$F$5:$F$1004,$J13-4),"⚠ linha não encontrada"))</f>
        <v/>
      </c>
      <c r="M13" s="28"/>
    </row>
    <row r="14" customFormat="false" ht="18" hidden="false" customHeight="true" outlineLevel="0" collapsed="false">
      <c r="A14" s="22" t="str">
        <f aca="false">IF($L$3&lt;5,"",INDEX(Programação!$D$5:$D$1004,MATCH(5,Programação!$AE$5:$AE$1004,0)))</f>
        <v>F-814</v>
      </c>
      <c r="B14" s="23" t="str">
        <f aca="false">IF($L$3&lt;5,"",INDEX(Programação!$E$5:$E$1004,MATCH(5,Programação!$AE$5:$AE$1004,0)))</f>
        <v>BAIXA DE PENDENCIAS</v>
      </c>
      <c r="C14" s="24" t="str">
        <f aca="false">IF($L$3&lt;5,"",INDEX(Programação!$F$5:$F$1004,MATCH(5,Programação!$AE$5:$AE$1004,0)))</f>
        <v>Regular freio terceiro eixo LE</v>
      </c>
      <c r="D14" s="23" t="str">
        <f aca="false">IF($L$3&lt;5,"",INDEX(Programação!$AG$5:$AG$1004,MATCH(5,Programação!$AE$5:$AE$1004,0)))</f>
        <v>Heliton</v>
      </c>
      <c r="E14" s="25" t="n">
        <f aca="false">IF($L$3&lt;5,"",INDEX(Programação!$O$5:$O$1004,MATCH(5,Programação!$AE$5:$AE$1004,0)))</f>
        <v>46273</v>
      </c>
      <c r="F14" s="25" t="n">
        <f aca="false">IF($L$3&lt;5,"",INDEX(Programação!$P$5:$P$1004,MATCH(5,Programação!$AE$5:$AE$1004,0)))</f>
        <v>46274</v>
      </c>
      <c r="G14" s="22" t="str">
        <f aca="false">IF($A14="","",IF($H14&lt;&gt;"","Concluída",IF($F14&lt;$C$3,"Atrasada",IF($F14=$C$3,"Fecha neste dia","Em execução"))))</f>
        <v>Concluída</v>
      </c>
      <c r="H14" s="25" t="n">
        <f aca="false">IF($L$3&lt;5,"",IF(INDEX(Programação!$AT$5:$AT$1004,MATCH(5,Programação!$AE$5:$AE$1004,0))="","",INDEX(Programação!$AT$5:$AT$1004,MATCH(5,Programação!$AE$5:$AE$1004,0))))</f>
        <v>46269</v>
      </c>
      <c r="I14" s="22" t="n">
        <f aca="false">IF($L$3&lt;5,"",MATCH(5,Programação!$AE$5:$AE$1004,0)+4)</f>
        <v>188</v>
      </c>
      <c r="J14" s="26"/>
      <c r="K14" s="27"/>
      <c r="L14" s="28" t="str">
        <f aca="false">IF($J14="","",IFERROR(INDEX(Programação!$D$5:$D$1004,$J14-4)&amp;"  ·  "&amp;INDEX(Programação!$F$5:$F$1004,$J14-4),"⚠ linha não encontrada"))</f>
        <v/>
      </c>
      <c r="M14" s="28"/>
    </row>
    <row r="15" customFormat="false" ht="18" hidden="false" customHeight="true" outlineLevel="0" collapsed="false">
      <c r="A15" s="22" t="str">
        <f aca="false">IF($L$3&lt;6,"",INDEX(Programação!$D$5:$D$1004,MATCH(6,Programação!$AE$5:$AE$1004,0)))</f>
        <v>F-814</v>
      </c>
      <c r="B15" s="23" t="str">
        <f aca="false">IF($L$3&lt;6,"",INDEX(Programação!$E$5:$E$1004,MATCH(6,Programação!$AE$5:$AE$1004,0)))</f>
        <v>BAIXA DE PENDENCIAS</v>
      </c>
      <c r="C15" s="24" t="str">
        <f aca="false">IF($L$3&lt;6,"",INDEX(Programação!$F$5:$F$1004,MATCH(6,Programação!$AE$5:$AE$1004,0)))</f>
        <v>Lubrificar travas da cabine com dificuldade de liberar a mesma para bascular</v>
      </c>
      <c r="D15" s="23" t="str">
        <f aca="false">IF($L$3&lt;6,"",INDEX(Programação!$AG$5:$AG$1004,MATCH(6,Programação!$AE$5:$AE$1004,0)))</f>
        <v>Júnior · Heliton</v>
      </c>
      <c r="E15" s="25" t="n">
        <f aca="false">IF($L$3&lt;6,"",INDEX(Programação!$O$5:$O$1004,MATCH(6,Programação!$AE$5:$AE$1004,0)))</f>
        <v>46273</v>
      </c>
      <c r="F15" s="25" t="n">
        <f aca="false">IF($L$3&lt;6,"",INDEX(Programação!$P$5:$P$1004,MATCH(6,Programação!$AE$5:$AE$1004,0)))</f>
        <v>46274</v>
      </c>
      <c r="G15" s="22" t="str">
        <f aca="false">IF($A15="","",IF($H15&lt;&gt;"","Concluída",IF($F15&lt;$C$3,"Atrasada",IF($F15=$C$3,"Fecha neste dia","Em execução"))))</f>
        <v>Concluída</v>
      </c>
      <c r="H15" s="25" t="n">
        <f aca="false">IF($L$3&lt;6,"",IF(INDEX(Programação!$AT$5:$AT$1004,MATCH(6,Programação!$AE$5:$AE$1004,0))="","",INDEX(Programação!$AT$5:$AT$1004,MATCH(6,Programação!$AE$5:$AE$1004,0))))</f>
        <v>46269</v>
      </c>
      <c r="I15" s="22" t="n">
        <f aca="false">IF($L$3&lt;6,"",MATCH(6,Programação!$AE$5:$AE$1004,0)+4)</f>
        <v>191</v>
      </c>
      <c r="J15" s="26"/>
      <c r="K15" s="27"/>
      <c r="L15" s="28" t="str">
        <f aca="false">IF($J15="","",IFERROR(INDEX(Programação!$D$5:$D$1004,$J15-4)&amp;"  ·  "&amp;INDEX(Programação!$F$5:$F$1004,$J15-4),"⚠ linha não encontrada"))</f>
        <v/>
      </c>
      <c r="M15" s="28"/>
    </row>
    <row r="16" customFormat="false" ht="18" hidden="false" customHeight="true" outlineLevel="0" collapsed="false">
      <c r="A16" s="22" t="str">
        <f aca="false">IF($L$3&lt;7,"",INDEX(Programação!$D$5:$D$1004,MATCH(7,Programação!$AE$5:$AE$1004,0)))</f>
        <v>F-815</v>
      </c>
      <c r="B16" s="23" t="str">
        <f aca="false">IF($L$3&lt;7,"",INDEX(Programação!$E$5:$E$1004,MATCH(7,Programação!$AE$5:$AE$1004,0)))</f>
        <v>Programação 08/09</v>
      </c>
      <c r="C16" s="24" t="str">
        <f aca="false">IF($L$3&lt;7,"",INDEX(Programação!$F$5:$F$1004,MATCH(7,Programação!$AE$5:$AE$1004,0)))</f>
        <v>Montar caixa de direção</v>
      </c>
      <c r="D16" s="23" t="str">
        <f aca="false">IF($L$3&lt;7,"",INDEX(Programação!$AG$5:$AG$1004,MATCH(7,Programação!$AE$5:$AE$1004,0)))</f>
        <v>Heliton · Adilton</v>
      </c>
      <c r="E16" s="25" t="n">
        <f aca="false">IF($L$3&lt;7,"",INDEX(Programação!$O$5:$O$1004,MATCH(7,Programação!$AE$5:$AE$1004,0)))</f>
        <v>46273</v>
      </c>
      <c r="F16" s="25" t="n">
        <f aca="false">IF($L$3&lt;7,"",INDEX(Programação!$P$5:$P$1004,MATCH(7,Programação!$AE$5:$AE$1004,0)))</f>
        <v>46276</v>
      </c>
      <c r="G16" s="22" t="str">
        <f aca="false">IF($A16="","",IF($H16&lt;&gt;"","Concluída",IF($F16&lt;$C$3,"Atrasada",IF($F16=$C$3,"Fecha neste dia","Em execução"))))</f>
        <v>Concluída</v>
      </c>
      <c r="H16" s="25" t="n">
        <f aca="false">IF($L$3&lt;7,"",IF(INDEX(Programação!$AT$5:$AT$1004,MATCH(7,Programação!$AE$5:$AE$1004,0))="","",INDEX(Programação!$AT$5:$AT$1004,MATCH(7,Programação!$AE$5:$AE$1004,0))))</f>
        <v>46273</v>
      </c>
      <c r="I16" s="22" t="n">
        <f aca="false">IF($L$3&lt;7,"",MATCH(7,Programação!$AE$5:$AE$1004,0)+4)</f>
        <v>284</v>
      </c>
      <c r="J16" s="26"/>
      <c r="K16" s="27"/>
      <c r="L16" s="28" t="str">
        <f aca="false">IF($J16="","",IFERROR(INDEX(Programação!$D$5:$D$1004,$J16-4)&amp;"  ·  "&amp;INDEX(Programação!$F$5:$F$1004,$J16-4),"⚠ linha não encontrada"))</f>
        <v/>
      </c>
      <c r="M16" s="28"/>
    </row>
    <row r="17" customFormat="false" ht="18" hidden="false" customHeight="true" outlineLevel="0" collapsed="false">
      <c r="A17" s="22" t="str">
        <f aca="false">IF($L$3&lt;8,"",INDEX(Programação!$D$5:$D$1004,MATCH(8,Programação!$AE$5:$AE$1004,0)))</f>
        <v>F-331</v>
      </c>
      <c r="B17" s="23" t="str">
        <f aca="false">IF($L$3&lt;8,"",INDEX(Programação!$E$5:$E$1004,MATCH(8,Programação!$AE$5:$AE$1004,0)))</f>
        <v>Programação 08/09</v>
      </c>
      <c r="C17" s="24" t="str">
        <f aca="false">IF($L$3&lt;8,"",INDEX(Programação!$F$5:$F$1004,MATCH(8,Programação!$AE$5:$AE$1004,0)))</f>
        <v>Montar limpador de parabrisa</v>
      </c>
      <c r="D17" s="23" t="str">
        <f aca="false">IF($L$3&lt;8,"",INDEX(Programação!$AG$5:$AG$1004,MATCH(8,Programação!$AE$5:$AE$1004,0)))</f>
        <v>Gabriel</v>
      </c>
      <c r="E17" s="25" t="n">
        <f aca="false">IF($L$3&lt;8,"",INDEX(Programação!$O$5:$O$1004,MATCH(8,Programação!$AE$5:$AE$1004,0)))</f>
        <v>46273</v>
      </c>
      <c r="F17" s="25" t="n">
        <f aca="false">IF($L$3&lt;8,"",INDEX(Programação!$P$5:$P$1004,MATCH(8,Programação!$AE$5:$AE$1004,0)))</f>
        <v>46274</v>
      </c>
      <c r="G17" s="22" t="str">
        <f aca="false">IF($A17="","",IF($H17&lt;&gt;"","Concluída",IF($F17&lt;$C$3,"Atrasada",IF($F17=$C$3,"Fecha neste dia","Em execução"))))</f>
        <v>Concluída</v>
      </c>
      <c r="H17" s="25" t="n">
        <f aca="false">IF($L$3&lt;8,"",IF(INDEX(Programação!$AT$5:$AT$1004,MATCH(8,Programação!$AE$5:$AE$1004,0))="","",INDEX(Programação!$AT$5:$AT$1004,MATCH(8,Programação!$AE$5:$AE$1004,0))))</f>
        <v>46273</v>
      </c>
      <c r="I17" s="22" t="n">
        <f aca="false">IF($L$3&lt;8,"",MATCH(8,Programação!$AE$5:$AE$1004,0)+4)</f>
        <v>286</v>
      </c>
      <c r="J17" s="26"/>
      <c r="K17" s="27"/>
      <c r="L17" s="28" t="str">
        <f aca="false">IF($J17="","",IFERROR(INDEX(Programação!$D$5:$D$1004,$J17-4)&amp;"  ·  "&amp;INDEX(Programação!$F$5:$F$1004,$J17-4),"⚠ linha não encontrada"))</f>
        <v/>
      </c>
      <c r="M17" s="28"/>
    </row>
    <row r="18" customFormat="false" ht="18" hidden="false" customHeight="true" outlineLevel="0" collapsed="false">
      <c r="A18" s="22" t="str">
        <f aca="false">IF($L$3&lt;9,"",INDEX(Programação!$D$5:$D$1004,MATCH(9,Programação!$AE$5:$AE$1004,0)))</f>
        <v>F-331</v>
      </c>
      <c r="B18" s="23" t="str">
        <f aca="false">IF($L$3&lt;9,"",INDEX(Programação!$E$5:$E$1004,MATCH(9,Programação!$AE$5:$AE$1004,0)))</f>
        <v>Programação 08/09</v>
      </c>
      <c r="C18" s="24" t="str">
        <f aca="false">IF($L$3&lt;9,"",INDEX(Programação!$F$5:$F$1004,MATCH(9,Programação!$AE$5:$AE$1004,0)))</f>
        <v>Trocar mangueiras</v>
      </c>
      <c r="D18" s="23" t="str">
        <f aca="false">IF($L$3&lt;9,"",INDEX(Programação!$AG$5:$AG$1004,MATCH(9,Programação!$AE$5:$AE$1004,0)))</f>
        <v>Gabriel</v>
      </c>
      <c r="E18" s="25" t="n">
        <f aca="false">IF($L$3&lt;9,"",INDEX(Programação!$O$5:$O$1004,MATCH(9,Programação!$AE$5:$AE$1004,0)))</f>
        <v>46273</v>
      </c>
      <c r="F18" s="25" t="n">
        <f aca="false">IF($L$3&lt;9,"",INDEX(Programação!$P$5:$P$1004,MATCH(9,Programação!$AE$5:$AE$1004,0)))</f>
        <v>46275</v>
      </c>
      <c r="G18" s="22" t="str">
        <f aca="false">IF($A18="","",IF($H18&lt;&gt;"","Concluída",IF($F18&lt;$C$3,"Atrasada",IF($F18=$C$3,"Fecha neste dia","Em execução"))))</f>
        <v>Concluída</v>
      </c>
      <c r="H18" s="25" t="n">
        <f aca="false">IF($L$3&lt;9,"",IF(INDEX(Programação!$AT$5:$AT$1004,MATCH(9,Programação!$AE$5:$AE$1004,0))="","",INDEX(Programação!$AT$5:$AT$1004,MATCH(9,Programação!$AE$5:$AE$1004,0))))</f>
        <v>46273</v>
      </c>
      <c r="I18" s="22" t="n">
        <f aca="false">IF($L$3&lt;9,"",MATCH(9,Programação!$AE$5:$AE$1004,0)+4)</f>
        <v>287</v>
      </c>
      <c r="J18" s="26"/>
      <c r="K18" s="27"/>
      <c r="L18" s="28" t="str">
        <f aca="false">IF($J18="","",IFERROR(INDEX(Programação!$D$5:$D$1004,$J18-4)&amp;"  ·  "&amp;INDEX(Programação!$F$5:$F$1004,$J18-4),"⚠ linha não encontrada"))</f>
        <v/>
      </c>
      <c r="M18" s="28"/>
    </row>
    <row r="19" customFormat="false" ht="18" hidden="false" customHeight="true" outlineLevel="0" collapsed="false">
      <c r="A19" s="22" t="str">
        <f aca="false">IF($L$3&lt;10,"",INDEX(Programação!$D$5:$D$1004,MATCH(10,Programação!$AE$5:$AE$1004,0)))</f>
        <v>F-1064</v>
      </c>
      <c r="B19" s="23" t="str">
        <f aca="false">IF($L$3&lt;10,"",INDEX(Programação!$E$5:$E$1004,MATCH(10,Programação!$AE$5:$AE$1004,0)))</f>
        <v>Programação 08/09</v>
      </c>
      <c r="C19" s="24" t="str">
        <f aca="false">IF($L$3&lt;10,"",INDEX(Programação!$F$5:$F$1004,MATCH(10,Programação!$AE$5:$AE$1004,0)))</f>
        <v>Lubrificar quinta roda</v>
      </c>
      <c r="D19" s="23" t="str">
        <f aca="false">IF($L$3&lt;10,"",INDEX(Programação!$AG$5:$AG$1004,MATCH(10,Programação!$AE$5:$AE$1004,0)))</f>
        <v>Gabriel · Júnior</v>
      </c>
      <c r="E19" s="25" t="n">
        <f aca="false">IF($L$3&lt;10,"",INDEX(Programação!$O$5:$O$1004,MATCH(10,Programação!$AE$5:$AE$1004,0)))</f>
        <v>46273</v>
      </c>
      <c r="F19" s="25" t="n">
        <f aca="false">IF($L$3&lt;10,"",INDEX(Programação!$P$5:$P$1004,MATCH(10,Programação!$AE$5:$AE$1004,0)))</f>
        <v>46274</v>
      </c>
      <c r="G19" s="22" t="str">
        <f aca="false">IF($A19="","",IF($H19&lt;&gt;"","Concluída",IF($F19&lt;$C$3,"Atrasada",IF($F19=$C$3,"Fecha neste dia","Em execução"))))</f>
        <v>Concluída</v>
      </c>
      <c r="H19" s="25" t="n">
        <f aca="false">IF($L$3&lt;10,"",IF(INDEX(Programação!$AT$5:$AT$1004,MATCH(10,Programação!$AE$5:$AE$1004,0))="","",INDEX(Programação!$AT$5:$AT$1004,MATCH(10,Programação!$AE$5:$AE$1004,0))))</f>
        <v>46273</v>
      </c>
      <c r="I19" s="22" t="n">
        <f aca="false">IF($L$3&lt;10,"",MATCH(10,Programação!$AE$5:$AE$1004,0)+4)</f>
        <v>289</v>
      </c>
      <c r="J19" s="26"/>
      <c r="K19" s="27"/>
      <c r="L19" s="28" t="str">
        <f aca="false">IF($J19="","",IFERROR(INDEX(Programação!$D$5:$D$1004,$J19-4)&amp;"  ·  "&amp;INDEX(Programação!$F$5:$F$1004,$J19-4),"⚠ linha não encontrada"))</f>
        <v/>
      </c>
      <c r="M19" s="28"/>
    </row>
    <row r="20" customFormat="false" ht="18" hidden="false" customHeight="true" outlineLevel="0" collapsed="false">
      <c r="A20" s="22" t="str">
        <f aca="false">IF($L$3&lt;11,"",INDEX(Programação!$D$5:$D$1004,MATCH(11,Programação!$AE$5:$AE$1004,0)))</f>
        <v>F-1064</v>
      </c>
      <c r="B20" s="23" t="str">
        <f aca="false">IF($L$3&lt;11,"",INDEX(Programação!$E$5:$E$1004,MATCH(11,Programação!$AE$5:$AE$1004,0)))</f>
        <v>Programação 08/09</v>
      </c>
      <c r="C20" s="24" t="str">
        <f aca="false">IF($L$3&lt;11,"",INDEX(Programação!$F$5:$F$1004,MATCH(11,Programação!$AE$5:$AE$1004,0)))</f>
        <v>Instalar tag da frota</v>
      </c>
      <c r="D20" s="23" t="str">
        <f aca="false">IF($L$3&lt;11,"",INDEX(Programação!$AG$5:$AG$1004,MATCH(11,Programação!$AE$5:$AE$1004,0)))</f>
        <v>Gabriel · Júnior</v>
      </c>
      <c r="E20" s="25" t="n">
        <f aca="false">IF($L$3&lt;11,"",INDEX(Programação!$O$5:$O$1004,MATCH(11,Programação!$AE$5:$AE$1004,0)))</f>
        <v>46273</v>
      </c>
      <c r="F20" s="25" t="n">
        <f aca="false">IF($L$3&lt;11,"",INDEX(Programação!$P$5:$P$1004,MATCH(11,Programação!$AE$5:$AE$1004,0)))</f>
        <v>46274</v>
      </c>
      <c r="G20" s="22" t="str">
        <f aca="false">IF($A20="","",IF($H20&lt;&gt;"","Concluída",IF($F20&lt;$C$3,"Atrasada",IF($F20=$C$3,"Fecha neste dia","Em execução"))))</f>
        <v>Concluída</v>
      </c>
      <c r="H20" s="25" t="n">
        <f aca="false">IF($L$3&lt;11,"",IF(INDEX(Programação!$AT$5:$AT$1004,MATCH(11,Programação!$AE$5:$AE$1004,0))="","",INDEX(Programação!$AT$5:$AT$1004,MATCH(11,Programação!$AE$5:$AE$1004,0))))</f>
        <v>46273</v>
      </c>
      <c r="I20" s="22" t="n">
        <f aca="false">IF($L$3&lt;11,"",MATCH(11,Programação!$AE$5:$AE$1004,0)+4)</f>
        <v>290</v>
      </c>
      <c r="J20" s="26"/>
      <c r="K20" s="27"/>
      <c r="L20" s="28" t="str">
        <f aca="false">IF($J20="","",IFERROR(INDEX(Programação!$D$5:$D$1004,$J20-4)&amp;"  ·  "&amp;INDEX(Programação!$F$5:$F$1004,$J20-4),"⚠ linha não encontrada"))</f>
        <v/>
      </c>
      <c r="M20" s="28"/>
    </row>
    <row r="21" customFormat="false" ht="18" hidden="false" customHeight="true" outlineLevel="0" collapsed="false">
      <c r="A21" s="22" t="str">
        <f aca="false">IF($L$3&lt;12,"",INDEX(Programação!$D$5:$D$1004,MATCH(12,Programação!$AE$5:$AE$1004,0)))</f>
        <v>F-1064</v>
      </c>
      <c r="B21" s="23" t="str">
        <f aca="false">IF($L$3&lt;12,"",INDEX(Programação!$E$5:$E$1004,MATCH(12,Programação!$AE$5:$AE$1004,0)))</f>
        <v>Programação 08/09</v>
      </c>
      <c r="C21" s="24" t="str">
        <f aca="false">IF($L$3&lt;12,"",INDEX(Programação!$F$5:$F$1004,MATCH(12,Programação!$AE$5:$AE$1004,0)))</f>
        <v>Instalar indicadores de folga nas porcas de roda</v>
      </c>
      <c r="D21" s="23" t="str">
        <f aca="false">IF($L$3&lt;12,"",INDEX(Programação!$AG$5:$AG$1004,MATCH(12,Programação!$AE$5:$AE$1004,0)))</f>
        <v>Luiz Paulo</v>
      </c>
      <c r="E21" s="25" t="n">
        <f aca="false">IF($L$3&lt;12,"",INDEX(Programação!$O$5:$O$1004,MATCH(12,Programação!$AE$5:$AE$1004,0)))</f>
        <v>46274</v>
      </c>
      <c r="F21" s="25" t="n">
        <f aca="false">IF($L$3&lt;12,"",INDEX(Programação!$P$5:$P$1004,MATCH(12,Programação!$AE$5:$AE$1004,0)))</f>
        <v>46276</v>
      </c>
      <c r="G21" s="22" t="str">
        <f aca="false">IF($A21="","",IF($H21&lt;&gt;"","Concluída",IF($F21&lt;$C$3,"Atrasada",IF($F21=$C$3,"Fecha neste dia","Em execução"))))</f>
        <v>Concluída</v>
      </c>
      <c r="H21" s="25" t="n">
        <f aca="false">IF($L$3&lt;12,"",IF(INDEX(Programação!$AT$5:$AT$1004,MATCH(12,Programação!$AE$5:$AE$1004,0))="","",INDEX(Programação!$AT$5:$AT$1004,MATCH(12,Programação!$AE$5:$AE$1004,0))))</f>
        <v>46274</v>
      </c>
      <c r="I21" s="22" t="n">
        <f aca="false">IF($L$3&lt;12,"",MATCH(12,Programação!$AE$5:$AE$1004,0)+4)</f>
        <v>291</v>
      </c>
      <c r="J21" s="26"/>
      <c r="K21" s="27"/>
      <c r="L21" s="28" t="str">
        <f aca="false">IF($J21="","",IFERROR(INDEX(Programação!$D$5:$D$1004,$J21-4)&amp;"  ·  "&amp;INDEX(Programação!$F$5:$F$1004,$J21-4),"⚠ linha não encontrada"))</f>
        <v/>
      </c>
      <c r="M21" s="28"/>
    </row>
    <row r="22" customFormat="false" ht="18" hidden="false" customHeight="true" outlineLevel="0" collapsed="false">
      <c r="A22" s="22" t="str">
        <f aca="false">IF($L$3&lt;13,"",INDEX(Programação!$D$5:$D$1004,MATCH(13,Programação!$AE$5:$AE$1004,0)))</f>
        <v>F-1064</v>
      </c>
      <c r="B22" s="23" t="str">
        <f aca="false">IF($L$3&lt;13,"",INDEX(Programação!$E$5:$E$1004,MATCH(13,Programação!$AE$5:$AE$1004,0)))</f>
        <v>Programação 08/09</v>
      </c>
      <c r="C22" s="24" t="str">
        <f aca="false">IF($L$3&lt;13,"",INDEX(Programação!$F$5:$F$1004,MATCH(13,Programação!$AE$5:$AE$1004,0)))</f>
        <v>Substituir estepe avariado na banda de rodagem</v>
      </c>
      <c r="D22" s="23" t="str">
        <f aca="false">IF($L$3&lt;13,"",INDEX(Programação!$AG$5:$AG$1004,MATCH(13,Programação!$AE$5:$AE$1004,0)))</f>
        <v>Gabriel · Júnior</v>
      </c>
      <c r="E22" s="25" t="n">
        <f aca="false">IF($L$3&lt;13,"",INDEX(Programação!$O$5:$O$1004,MATCH(13,Programação!$AE$5:$AE$1004,0)))</f>
        <v>46273</v>
      </c>
      <c r="F22" s="25" t="n">
        <f aca="false">IF($L$3&lt;13,"",INDEX(Programação!$P$5:$P$1004,MATCH(13,Programação!$AE$5:$AE$1004,0)))</f>
        <v>46276</v>
      </c>
      <c r="G22" s="22" t="str">
        <f aca="false">IF($A22="","",IF($H22&lt;&gt;"","Concluída",IF($F22&lt;$C$3,"Atrasada",IF($F22=$C$3,"Fecha neste dia","Em execução"))))</f>
        <v>Em execução</v>
      </c>
      <c r="H22" s="25" t="str">
        <f aca="false">IF($L$3&lt;13,"",IF(INDEX(Programação!$AT$5:$AT$1004,MATCH(13,Programação!$AE$5:$AE$1004,0))="","",INDEX(Programação!$AT$5:$AT$1004,MATCH(13,Programação!$AE$5:$AE$1004,0))))</f>
        <v/>
      </c>
      <c r="I22" s="22" t="n">
        <f aca="false">IF($L$3&lt;13,"",MATCH(13,Programação!$AE$5:$AE$1004,0)+4)</f>
        <v>292</v>
      </c>
      <c r="J22" s="26"/>
      <c r="K22" s="27"/>
      <c r="L22" s="28" t="str">
        <f aca="false">IF($J22="","",IFERROR(INDEX(Programação!$D$5:$D$1004,$J22-4)&amp;"  ·  "&amp;INDEX(Programação!$F$5:$F$1004,$J22-4),"⚠ linha não encontrada"))</f>
        <v/>
      </c>
      <c r="M22" s="28"/>
    </row>
    <row r="23" customFormat="false" ht="18" hidden="false" customHeight="true" outlineLevel="0" collapsed="false">
      <c r="A23" s="22" t="str">
        <f aca="false">IF($L$3&lt;14,"",INDEX(Programação!$D$5:$D$1004,MATCH(14,Programação!$AE$5:$AE$1004,0)))</f>
        <v>F-1064</v>
      </c>
      <c r="B23" s="23" t="str">
        <f aca="false">IF($L$3&lt;14,"",INDEX(Programação!$E$5:$E$1004,MATCH(14,Programação!$AE$5:$AE$1004,0)))</f>
        <v>Programação 08/09</v>
      </c>
      <c r="C23" s="24" t="str">
        <f aca="false">IF($L$3&lt;14,"",INDEX(Programação!$F$5:$F$1004,MATCH(14,Programação!$AE$5:$AE$1004,0)))</f>
        <v>Instalar quebra dedo na trava da tampa do baú LD</v>
      </c>
      <c r="D23" s="23" t="str">
        <f aca="false">IF($L$3&lt;14,"",INDEX(Programação!$AG$5:$AG$1004,MATCH(14,Programação!$AE$5:$AE$1004,0)))</f>
        <v>Gabriel · Júnior</v>
      </c>
      <c r="E23" s="25" t="n">
        <f aca="false">IF($L$3&lt;14,"",INDEX(Programação!$O$5:$O$1004,MATCH(14,Programação!$AE$5:$AE$1004,0)))</f>
        <v>46273</v>
      </c>
      <c r="F23" s="25" t="n">
        <f aca="false">IF($L$3&lt;14,"",INDEX(Programação!$P$5:$P$1004,MATCH(14,Programação!$AE$5:$AE$1004,0)))</f>
        <v>46276</v>
      </c>
      <c r="G23" s="22" t="str">
        <f aca="false">IF($A23="","",IF($H23&lt;&gt;"","Concluída",IF($F23&lt;$C$3,"Atrasada",IF($F23=$C$3,"Fecha neste dia","Em execução"))))</f>
        <v>Em execução</v>
      </c>
      <c r="H23" s="25" t="str">
        <f aca="false">IF($L$3&lt;14,"",IF(INDEX(Programação!$AT$5:$AT$1004,MATCH(14,Programação!$AE$5:$AE$1004,0))="","",INDEX(Programação!$AT$5:$AT$1004,MATCH(14,Programação!$AE$5:$AE$1004,0))))</f>
        <v/>
      </c>
      <c r="I23" s="22" t="n">
        <f aca="false">IF($L$3&lt;14,"",MATCH(14,Programação!$AE$5:$AE$1004,0)+4)</f>
        <v>293</v>
      </c>
      <c r="J23" s="26"/>
      <c r="K23" s="27"/>
      <c r="L23" s="28" t="str">
        <f aca="false">IF($J23="","",IFERROR(INDEX(Programação!$D$5:$D$1004,$J23-4)&amp;"  ·  "&amp;INDEX(Programação!$F$5:$F$1004,$J23-4),"⚠ linha não encontrada"))</f>
        <v/>
      </c>
      <c r="M23" s="28"/>
    </row>
    <row r="24" customFormat="false" ht="18" hidden="false" customHeight="true" outlineLevel="0" collapsed="false">
      <c r="A24" s="22" t="str">
        <f aca="false">IF($L$3&lt;15,"",INDEX(Programação!$D$5:$D$1004,MATCH(15,Programação!$AE$5:$AE$1004,0)))</f>
        <v>F-1065</v>
      </c>
      <c r="B24" s="23" t="str">
        <f aca="false">IF($L$3&lt;15,"",INDEX(Programação!$E$5:$E$1004,MATCH(15,Programação!$AE$5:$AE$1004,0)))</f>
        <v>Programação 08/09</v>
      </c>
      <c r="C24" s="24" t="str">
        <f aca="false">IF($L$3&lt;15,"",INDEX(Programação!$F$5:$F$1004,MATCH(15,Programação!$AE$5:$AE$1004,0)))</f>
        <v>Instalar sirene de ré</v>
      </c>
      <c r="D24" s="23" t="str">
        <f aca="false">IF($L$3&lt;15,"",INDEX(Programação!$AG$5:$AG$1004,MATCH(15,Programação!$AE$5:$AE$1004,0)))</f>
        <v>Gabriel · Júnior</v>
      </c>
      <c r="E24" s="25" t="n">
        <f aca="false">IF($L$3&lt;15,"",INDEX(Programação!$O$5:$O$1004,MATCH(15,Programação!$AE$5:$AE$1004,0)))</f>
        <v>46273</v>
      </c>
      <c r="F24" s="25" t="n">
        <f aca="false">IF($L$3&lt;15,"",INDEX(Programação!$P$5:$P$1004,MATCH(15,Programação!$AE$5:$AE$1004,0)))</f>
        <v>46274</v>
      </c>
      <c r="G24" s="22" t="str">
        <f aca="false">IF($A24="","",IF($H24&lt;&gt;"","Concluída",IF($F24&lt;$C$3,"Atrasada",IF($F24=$C$3,"Fecha neste dia","Em execução"))))</f>
        <v>Concluída</v>
      </c>
      <c r="H24" s="25" t="n">
        <f aca="false">IF($L$3&lt;15,"",IF(INDEX(Programação!$AT$5:$AT$1004,MATCH(15,Programação!$AE$5:$AE$1004,0))="","",INDEX(Programação!$AT$5:$AT$1004,MATCH(15,Programação!$AE$5:$AE$1004,0))))</f>
        <v>46274</v>
      </c>
      <c r="I24" s="22" t="n">
        <f aca="false">IF($L$3&lt;15,"",MATCH(15,Programação!$AE$5:$AE$1004,0)+4)</f>
        <v>294</v>
      </c>
      <c r="J24" s="26"/>
      <c r="K24" s="27"/>
      <c r="L24" s="28" t="str">
        <f aca="false">IF($J24="","",IFERROR(INDEX(Programação!$D$5:$D$1004,$J24-4)&amp;"  ·  "&amp;INDEX(Programação!$F$5:$F$1004,$J24-4),"⚠ linha não encontrada"))</f>
        <v/>
      </c>
      <c r="M24" s="28"/>
    </row>
    <row r="25" customFormat="false" ht="18" hidden="false" customHeight="true" outlineLevel="0" collapsed="false">
      <c r="A25" s="22" t="str">
        <f aca="false">IF($L$3&lt;16,"",INDEX(Programação!$D$5:$D$1004,MATCH(16,Programação!$AE$5:$AE$1004,0)))</f>
        <v>F-1065</v>
      </c>
      <c r="B25" s="23" t="str">
        <f aca="false">IF($L$3&lt;16,"",INDEX(Programação!$E$5:$E$1004,MATCH(16,Programação!$AE$5:$AE$1004,0)))</f>
        <v>Programação 08/09</v>
      </c>
      <c r="C25" s="24" t="str">
        <f aca="false">IF($L$3&lt;16,"",INDEX(Programação!$F$5:$F$1004,MATCH(16,Programação!$AE$5:$AE$1004,0)))</f>
        <v>Instalar tag da frota</v>
      </c>
      <c r="D25" s="23" t="str">
        <f aca="false">IF($L$3&lt;16,"",INDEX(Programação!$AG$5:$AG$1004,MATCH(16,Programação!$AE$5:$AE$1004,0)))</f>
        <v>Gabriel · Júnior</v>
      </c>
      <c r="E25" s="25" t="n">
        <f aca="false">IF($L$3&lt;16,"",INDEX(Programação!$O$5:$O$1004,MATCH(16,Programação!$AE$5:$AE$1004,0)))</f>
        <v>46273</v>
      </c>
      <c r="F25" s="25" t="n">
        <f aca="false">IF($L$3&lt;16,"",INDEX(Programação!$P$5:$P$1004,MATCH(16,Programação!$AE$5:$AE$1004,0)))</f>
        <v>46275</v>
      </c>
      <c r="G25" s="22" t="str">
        <f aca="false">IF($A25="","",IF($H25&lt;&gt;"","Concluída",IF($F25&lt;$C$3,"Atrasada",IF($F25=$C$3,"Fecha neste dia","Em execução"))))</f>
        <v>Concluída</v>
      </c>
      <c r="H25" s="25" t="n">
        <f aca="false">IF($L$3&lt;16,"",IF(INDEX(Programação!$AT$5:$AT$1004,MATCH(16,Programação!$AE$5:$AE$1004,0))="","",INDEX(Programação!$AT$5:$AT$1004,MATCH(16,Programação!$AE$5:$AE$1004,0))))</f>
        <v>46273</v>
      </c>
      <c r="I25" s="22" t="n">
        <f aca="false">IF($L$3&lt;16,"",MATCH(16,Programação!$AE$5:$AE$1004,0)+4)</f>
        <v>295</v>
      </c>
      <c r="J25" s="26"/>
      <c r="K25" s="27"/>
      <c r="L25" s="28" t="str">
        <f aca="false">IF($J25="","",IFERROR(INDEX(Programação!$D$5:$D$1004,$J25-4)&amp;"  ·  "&amp;INDEX(Programação!$F$5:$F$1004,$J25-4),"⚠ linha não encontrada"))</f>
        <v/>
      </c>
      <c r="M25" s="28"/>
    </row>
    <row r="26" customFormat="false" ht="18" hidden="false" customHeight="true" outlineLevel="0" collapsed="false">
      <c r="A26" s="22" t="str">
        <f aca="false">IF($L$3&lt;17,"",INDEX(Programação!$D$5:$D$1004,MATCH(17,Programação!$AE$5:$AE$1004,0)))</f>
        <v>F-1065</v>
      </c>
      <c r="B26" s="23" t="str">
        <f aca="false">IF($L$3&lt;17,"",INDEX(Programação!$E$5:$E$1004,MATCH(17,Programação!$AE$5:$AE$1004,0)))</f>
        <v>Programação 08/09</v>
      </c>
      <c r="C26" s="24" t="str">
        <f aca="false">IF($L$3&lt;17,"",INDEX(Programação!$F$5:$F$1004,MATCH(17,Programação!$AE$5:$AE$1004,0)))</f>
        <v>Instalar indicadores de folga nas porcas de roda</v>
      </c>
      <c r="D26" s="23" t="str">
        <f aca="false">IF($L$3&lt;17,"",INDEX(Programação!$AG$5:$AG$1004,MATCH(17,Programação!$AE$5:$AE$1004,0)))</f>
        <v>Luiz Paulo</v>
      </c>
      <c r="E26" s="25" t="n">
        <f aca="false">IF($L$3&lt;17,"",INDEX(Programação!$O$5:$O$1004,MATCH(17,Programação!$AE$5:$AE$1004,0)))</f>
        <v>46274</v>
      </c>
      <c r="F26" s="25" t="n">
        <f aca="false">IF($L$3&lt;17,"",INDEX(Programação!$P$5:$P$1004,MATCH(17,Programação!$AE$5:$AE$1004,0)))</f>
        <v>46277</v>
      </c>
      <c r="G26" s="22" t="str">
        <f aca="false">IF($A26="","",IF($H26&lt;&gt;"","Concluída",IF($F26&lt;$C$3,"Atrasada",IF($F26=$C$3,"Fecha neste dia","Em execução"))))</f>
        <v>Concluída</v>
      </c>
      <c r="H26" s="25" t="n">
        <f aca="false">IF($L$3&lt;17,"",IF(INDEX(Programação!$AT$5:$AT$1004,MATCH(17,Programação!$AE$5:$AE$1004,0))="","",INDEX(Programação!$AT$5:$AT$1004,MATCH(17,Programação!$AE$5:$AE$1004,0))))</f>
        <v>46274</v>
      </c>
      <c r="I26" s="22" t="n">
        <f aca="false">IF($L$3&lt;17,"",MATCH(17,Programação!$AE$5:$AE$1004,0)+4)</f>
        <v>296</v>
      </c>
      <c r="J26" s="26"/>
      <c r="K26" s="27"/>
      <c r="L26" s="28" t="str">
        <f aca="false">IF($J26="","",IFERROR(INDEX(Programação!$D$5:$D$1004,$J26-4)&amp;"  ·  "&amp;INDEX(Programação!$F$5:$F$1004,$J26-4),"⚠ linha não encontrada"))</f>
        <v/>
      </c>
      <c r="M26" s="28"/>
    </row>
    <row r="27" customFormat="false" ht="18" hidden="false" customHeight="true" outlineLevel="0" collapsed="false">
      <c r="A27" s="22" t="str">
        <f aca="false">IF($L$3&lt;18,"",INDEX(Programação!$D$5:$D$1004,MATCH(18,Programação!$AE$5:$AE$1004,0)))</f>
        <v>F-1063</v>
      </c>
      <c r="B27" s="23" t="str">
        <f aca="false">IF($L$3&lt;18,"",INDEX(Programação!$E$5:$E$1004,MATCH(18,Programação!$AE$5:$AE$1004,0)))</f>
        <v>Programação 08/09</v>
      </c>
      <c r="C27" s="24" t="str">
        <f aca="false">IF($L$3&lt;18,"",INDEX(Programação!$F$5:$F$1004,MATCH(18,Programação!$AE$5:$AE$1004,0)))</f>
        <v>Fixar para-lama primeiro eixo LD</v>
      </c>
      <c r="D27" s="23" t="str">
        <f aca="false">IF($L$3&lt;18,"",INDEX(Programação!$AG$5:$AG$1004,MATCH(18,Programação!$AE$5:$AE$1004,0)))</f>
        <v>Gabriel · Júnior</v>
      </c>
      <c r="E27" s="25" t="n">
        <f aca="false">IF($L$3&lt;18,"",INDEX(Programação!$O$5:$O$1004,MATCH(18,Programação!$AE$5:$AE$1004,0)))</f>
        <v>46273</v>
      </c>
      <c r="F27" s="25" t="n">
        <f aca="false">IF($L$3&lt;18,"",INDEX(Programação!$P$5:$P$1004,MATCH(18,Programação!$AE$5:$AE$1004,0)))</f>
        <v>46274</v>
      </c>
      <c r="G27" s="22" t="str">
        <f aca="false">IF($A27="","",IF($H27&lt;&gt;"","Concluída",IF($F27&lt;$C$3,"Atrasada",IF($F27=$C$3,"Fecha neste dia","Em execução"))))</f>
        <v>Concluída</v>
      </c>
      <c r="H27" s="25" t="n">
        <f aca="false">IF($L$3&lt;18,"",IF(INDEX(Programação!$AT$5:$AT$1004,MATCH(18,Programação!$AE$5:$AE$1004,0))="","",INDEX(Programação!$AT$5:$AT$1004,MATCH(18,Programação!$AE$5:$AE$1004,0))))</f>
        <v>46273</v>
      </c>
      <c r="I27" s="22" t="n">
        <f aca="false">IF($L$3&lt;18,"",MATCH(18,Programação!$AE$5:$AE$1004,0)+4)</f>
        <v>297</v>
      </c>
      <c r="J27" s="26"/>
      <c r="K27" s="27"/>
      <c r="L27" s="28" t="str">
        <f aca="false">IF($J27="","",IFERROR(INDEX(Programação!$D$5:$D$1004,$J27-4)&amp;"  ·  "&amp;INDEX(Programação!$F$5:$F$1004,$J27-4),"⚠ linha não encontrada"))</f>
        <v/>
      </c>
      <c r="M27" s="28"/>
    </row>
    <row r="28" customFormat="false" ht="18" hidden="false" customHeight="true" outlineLevel="0" collapsed="false">
      <c r="A28" s="22" t="str">
        <f aca="false">IF($L$3&lt;19,"",INDEX(Programação!$D$5:$D$1004,MATCH(19,Programação!$AE$5:$AE$1004,0)))</f>
        <v>F-1063</v>
      </c>
      <c r="B28" s="23" t="str">
        <f aca="false">IF($L$3&lt;19,"",INDEX(Programação!$E$5:$E$1004,MATCH(19,Programação!$AE$5:$AE$1004,0)))</f>
        <v>Programação 08/09</v>
      </c>
      <c r="C28" s="24" t="str">
        <f aca="false">IF($L$3&lt;19,"",INDEX(Programação!$F$5:$F$1004,MATCH(19,Programação!$AE$5:$AE$1004,0)))</f>
        <v>Fixar grade de proteção do ciclista traseira LD</v>
      </c>
      <c r="D28" s="23" t="str">
        <f aca="false">IF($L$3&lt;19,"",INDEX(Programação!$AG$5:$AG$1004,MATCH(19,Programação!$AE$5:$AE$1004,0)))</f>
        <v>Gabriel · Júnior</v>
      </c>
      <c r="E28" s="25" t="n">
        <f aca="false">IF($L$3&lt;19,"",INDEX(Programação!$O$5:$O$1004,MATCH(19,Programação!$AE$5:$AE$1004,0)))</f>
        <v>46273</v>
      </c>
      <c r="F28" s="25" t="n">
        <f aca="false">IF($L$3&lt;19,"",INDEX(Programação!$P$5:$P$1004,MATCH(19,Programação!$AE$5:$AE$1004,0)))</f>
        <v>46276</v>
      </c>
      <c r="G28" s="22" t="str">
        <f aca="false">IF($A28="","",IF($H28&lt;&gt;"","Concluída",IF($F28&lt;$C$3,"Atrasada",IF($F28=$C$3,"Fecha neste dia","Em execução"))))</f>
        <v>Concluída</v>
      </c>
      <c r="H28" s="25" t="n">
        <f aca="false">IF($L$3&lt;19,"",IF(INDEX(Programação!$AT$5:$AT$1004,MATCH(19,Programação!$AE$5:$AE$1004,0))="","",INDEX(Programação!$AT$5:$AT$1004,MATCH(19,Programação!$AE$5:$AE$1004,0))))</f>
        <v>46273</v>
      </c>
      <c r="I28" s="22" t="n">
        <f aca="false">IF($L$3&lt;19,"",MATCH(19,Programação!$AE$5:$AE$1004,0)+4)</f>
        <v>298</v>
      </c>
      <c r="J28" s="26"/>
      <c r="K28" s="27"/>
      <c r="L28" s="28" t="str">
        <f aca="false">IF($J28="","",IFERROR(INDEX(Programação!$D$5:$D$1004,$J28-4)&amp;"  ·  "&amp;INDEX(Programação!$F$5:$F$1004,$J28-4),"⚠ linha não encontrada"))</f>
        <v/>
      </c>
      <c r="M28" s="28"/>
    </row>
    <row r="29" customFormat="false" ht="18" hidden="false" customHeight="true" outlineLevel="0" collapsed="false">
      <c r="A29" s="22" t="str">
        <f aca="false">IF($L$3&lt;20,"",INDEX(Programação!$D$5:$D$1004,MATCH(20,Programação!$AE$5:$AE$1004,0)))</f>
        <v>F-1062</v>
      </c>
      <c r="B29" s="23" t="str">
        <f aca="false">IF($L$3&lt;20,"",INDEX(Programação!$E$5:$E$1004,MATCH(20,Programação!$AE$5:$AE$1004,0)))</f>
        <v>Programação 08/09</v>
      </c>
      <c r="C29" s="24" t="str">
        <f aca="false">IF($L$3&lt;20,"",INDEX(Programação!$F$5:$F$1004,MATCH(20,Programação!$AE$5:$AE$1004,0)))</f>
        <v>Fixar para-lama terceiro eixo LE</v>
      </c>
      <c r="D29" s="23" t="str">
        <f aca="false">IF($L$3&lt;20,"",INDEX(Programação!$AG$5:$AG$1004,MATCH(20,Programação!$AE$5:$AE$1004,0)))</f>
        <v>Gabriel · Júnior</v>
      </c>
      <c r="E29" s="25" t="n">
        <f aca="false">IF($L$3&lt;20,"",INDEX(Programação!$O$5:$O$1004,MATCH(20,Programação!$AE$5:$AE$1004,0)))</f>
        <v>46273</v>
      </c>
      <c r="F29" s="25" t="n">
        <f aca="false">IF($L$3&lt;20,"",INDEX(Programação!$P$5:$P$1004,MATCH(20,Programação!$AE$5:$AE$1004,0)))</f>
        <v>46274</v>
      </c>
      <c r="G29" s="22" t="str">
        <f aca="false">IF($A29="","",IF($H29&lt;&gt;"","Concluída",IF($F29&lt;$C$3,"Atrasada",IF($F29=$C$3,"Fecha neste dia","Em execução"))))</f>
        <v>Concluída</v>
      </c>
      <c r="H29" s="25" t="n">
        <f aca="false">IF($L$3&lt;20,"",IF(INDEX(Programação!$AT$5:$AT$1004,MATCH(20,Programação!$AE$5:$AE$1004,0))="","",INDEX(Programação!$AT$5:$AT$1004,MATCH(20,Programação!$AE$5:$AE$1004,0))))</f>
        <v>46273</v>
      </c>
      <c r="I29" s="22" t="n">
        <f aca="false">IF($L$3&lt;20,"",MATCH(20,Programação!$AE$5:$AE$1004,0)+4)</f>
        <v>300</v>
      </c>
      <c r="J29" s="26"/>
      <c r="K29" s="27"/>
      <c r="L29" s="28" t="str">
        <f aca="false">IF($J29="","",IFERROR(INDEX(Programação!$D$5:$D$1004,$J29-4)&amp;"  ·  "&amp;INDEX(Programação!$F$5:$F$1004,$J29-4),"⚠ linha não encontrada"))</f>
        <v/>
      </c>
      <c r="M29" s="28"/>
    </row>
    <row r="30" customFormat="false" ht="15.75" hidden="false" customHeight="true" outlineLevel="0" collapsed="false">
      <c r="A30" s="22" t="str">
        <f aca="false">IF($L$3&lt;21,"",INDEX(Programação!$D$5:$D$1004,MATCH(21,Programação!$AE$5:$AE$1004,0)))</f>
        <v>F-1062</v>
      </c>
      <c r="B30" s="23" t="str">
        <f aca="false">IF($L$3&lt;21,"",INDEX(Programação!$E$5:$E$1004,MATCH(21,Programação!$AE$5:$AE$1004,0)))</f>
        <v>Programação 08/09</v>
      </c>
      <c r="C30" s="24" t="str">
        <f aca="false">IF($L$3&lt;21,"",INDEX(Programação!$F$5:$F$1004,MATCH(21,Programação!$AE$5:$AE$1004,0)))</f>
        <v>Regular freios segundo e terceiro eixo</v>
      </c>
      <c r="D30" s="23" t="str">
        <f aca="false">IF($L$3&lt;21,"",INDEX(Programação!$AG$5:$AG$1004,MATCH(21,Programação!$AE$5:$AE$1004,0)))</f>
        <v>Gabriel · Júnior</v>
      </c>
      <c r="E30" s="25" t="n">
        <f aca="false">IF($L$3&lt;21,"",INDEX(Programação!$O$5:$O$1004,MATCH(21,Programação!$AE$5:$AE$1004,0)))</f>
        <v>46273</v>
      </c>
      <c r="F30" s="25" t="n">
        <f aca="false">IF($L$3&lt;21,"",INDEX(Programação!$P$5:$P$1004,MATCH(21,Programação!$AE$5:$AE$1004,0)))</f>
        <v>46274</v>
      </c>
      <c r="G30" s="22" t="str">
        <f aca="false">IF($A30="","",IF($H30&lt;&gt;"","Concluída",IF($F30&lt;$C$3,"Atrasada",IF($F30=$C$3,"Fecha neste dia","Em execução"))))</f>
        <v>Concluída</v>
      </c>
      <c r="H30" s="25" t="n">
        <f aca="false">IF($L$3&lt;21,"",IF(INDEX(Programação!$AT$5:$AT$1004,MATCH(21,Programação!$AE$5:$AE$1004,0))="","",INDEX(Programação!$AT$5:$AT$1004,MATCH(21,Programação!$AE$5:$AE$1004,0))))</f>
        <v>46273</v>
      </c>
      <c r="I30" s="22" t="n">
        <f aca="false">IF($L$3&lt;21,"",MATCH(21,Programação!$AE$5:$AE$1004,0)+4)</f>
        <v>301</v>
      </c>
    </row>
    <row r="31" customFormat="false" ht="15.75" hidden="false" customHeight="true" outlineLevel="0" collapsed="false">
      <c r="A31" s="22" t="str">
        <f aca="false">IF($L$3&lt;22,"",INDEX(Programação!$D$5:$D$1004,MATCH(22,Programação!$AE$5:$AE$1004,0)))</f>
        <v>F-1062</v>
      </c>
      <c r="B31" s="23" t="str">
        <f aca="false">IF($L$3&lt;22,"",INDEX(Programação!$E$5:$E$1004,MATCH(22,Programação!$AE$5:$AE$1004,0)))</f>
        <v>Programação 08/09</v>
      </c>
      <c r="C31" s="24" t="str">
        <f aca="false">IF($L$3&lt;22,"",INDEX(Programação!$F$5:$F$1004,MATCH(22,Programação!$AE$5:$AE$1004,0)))</f>
        <v>Repor parafusos das tampas do cubo de roda primeiro e terceiro eixo LE</v>
      </c>
      <c r="D31" s="23" t="str">
        <f aca="false">IF($L$3&lt;22,"",INDEX(Programação!$AG$5:$AG$1004,MATCH(22,Programação!$AE$5:$AE$1004,0)))</f>
        <v>Gabriel · Júnior</v>
      </c>
      <c r="E31" s="25" t="n">
        <f aca="false">IF($L$3&lt;22,"",INDEX(Programação!$O$5:$O$1004,MATCH(22,Programação!$AE$5:$AE$1004,0)))</f>
        <v>46273</v>
      </c>
      <c r="F31" s="25" t="n">
        <f aca="false">IF($L$3&lt;22,"",INDEX(Programação!$P$5:$P$1004,MATCH(22,Programação!$AE$5:$AE$1004,0)))</f>
        <v>46275</v>
      </c>
      <c r="G31" s="22" t="str">
        <f aca="false">IF($A31="","",IF($H31&lt;&gt;"","Concluída",IF($F31&lt;$C$3,"Atrasada",IF($F31=$C$3,"Fecha neste dia","Em execução"))))</f>
        <v>Concluída</v>
      </c>
      <c r="H31" s="25" t="n">
        <f aca="false">IF($L$3&lt;22,"",IF(INDEX(Programação!$AT$5:$AT$1004,MATCH(22,Programação!$AE$5:$AE$1004,0))="","",INDEX(Programação!$AT$5:$AT$1004,MATCH(22,Programação!$AE$5:$AE$1004,0))))</f>
        <v>46273</v>
      </c>
      <c r="I31" s="22" t="n">
        <f aca="false">IF($L$3&lt;22,"",MATCH(22,Programação!$AE$5:$AE$1004,0)+4)</f>
        <v>303</v>
      </c>
    </row>
    <row r="32" customFormat="false" ht="15.75" hidden="false" customHeight="true" outlineLevel="0" collapsed="false">
      <c r="A32" s="22" t="str">
        <f aca="false">IF($L$3&lt;23,"",INDEX(Programação!$D$5:$D$1004,MATCH(23,Programação!$AE$5:$AE$1004,0)))</f>
        <v>F-580</v>
      </c>
      <c r="B32" s="23" t="str">
        <f aca="false">IF($L$3&lt;23,"",INDEX(Programação!$E$5:$E$1004,MATCH(23,Programação!$AE$5:$AE$1004,0)))</f>
        <v>Programação 09/09</v>
      </c>
      <c r="C32" s="24" t="str">
        <f aca="false">IF($L$3&lt;23,"",INDEX(Programação!$F$5:$F$1004,MATCH(23,Programação!$AE$5:$AE$1004,0)))</f>
        <v>Retirar módulo</v>
      </c>
      <c r="D32" s="23" t="str">
        <f aca="false">IF($L$3&lt;23,"",INDEX(Programação!$AG$5:$AG$1004,MATCH(23,Programação!$AE$5:$AE$1004,0)))</f>
        <v>Alexandre</v>
      </c>
      <c r="E32" s="25" t="n">
        <f aca="false">IF($L$3&lt;23,"",INDEX(Programação!$O$5:$O$1004,MATCH(23,Programação!$AE$5:$AE$1004,0)))</f>
        <v>46274</v>
      </c>
      <c r="F32" s="25" t="n">
        <f aca="false">IF($L$3&lt;23,"",INDEX(Programação!$P$5:$P$1004,MATCH(23,Programação!$AE$5:$AE$1004,0)))</f>
        <v>46276</v>
      </c>
      <c r="G32" s="22" t="str">
        <f aca="false">IF($A32="","",IF($H32&lt;&gt;"","Concluída",IF($F32&lt;$C$3,"Atrasada",IF($F32=$C$3,"Fecha neste dia","Em execução"))))</f>
        <v>Em execução</v>
      </c>
      <c r="H32" s="25" t="str">
        <f aca="false">IF($L$3&lt;23,"",IF(INDEX(Programação!$AT$5:$AT$1004,MATCH(23,Programação!$AE$5:$AE$1004,0))="","",INDEX(Programação!$AT$5:$AT$1004,MATCH(23,Programação!$AE$5:$AE$1004,0))))</f>
        <v/>
      </c>
      <c r="I32" s="22" t="n">
        <f aca="false">IF($L$3&lt;23,"",MATCH(23,Programação!$AE$5:$AE$1004,0)+4)</f>
        <v>363</v>
      </c>
    </row>
    <row r="33" customFormat="false" ht="15.75" hidden="false" customHeight="true" outlineLevel="0" collapsed="false">
      <c r="A33" s="22" t="str">
        <f aca="false">IF($L$3&lt;24,"",INDEX(Programação!$D$5:$D$1004,MATCH(24,Programação!$AE$5:$AE$1004,0)))</f>
        <v>F-938</v>
      </c>
      <c r="B33" s="23" t="str">
        <f aca="false">IF($L$3&lt;24,"",INDEX(Programação!$E$5:$E$1004,MATCH(24,Programação!$AE$5:$AE$1004,0)))</f>
        <v>Programação 09/09</v>
      </c>
      <c r="C33" s="24" t="str">
        <f aca="false">IF($L$3&lt;24,"",INDEX(Programação!$F$5:$F$1004,MATCH(24,Programação!$AE$5:$AE$1004,0)))</f>
        <v>Trocar baterias</v>
      </c>
      <c r="D33" s="23" t="str">
        <f aca="false">IF($L$3&lt;24,"",INDEX(Programação!$AG$5:$AG$1004,MATCH(24,Programação!$AE$5:$AE$1004,0)))</f>
        <v>Alexandre · Gabriel</v>
      </c>
      <c r="E33" s="25" t="n">
        <f aca="false">IF($L$3&lt;24,"",INDEX(Programação!$O$5:$O$1004,MATCH(24,Programação!$AE$5:$AE$1004,0)))</f>
        <v>46274</v>
      </c>
      <c r="F33" s="25" t="n">
        <f aca="false">IF($L$3&lt;24,"",INDEX(Programação!$P$5:$P$1004,MATCH(24,Programação!$AE$5:$AE$1004,0)))</f>
        <v>46275</v>
      </c>
      <c r="G33" s="22" t="str">
        <f aca="false">IF($A33="","",IF($H33&lt;&gt;"","Concluída",IF($F33&lt;$C$3,"Atrasada",IF($F33=$C$3,"Fecha neste dia","Em execução"))))</f>
        <v>Em execução</v>
      </c>
      <c r="H33" s="25" t="str">
        <f aca="false">IF($L$3&lt;24,"",IF(INDEX(Programação!$AT$5:$AT$1004,MATCH(24,Programação!$AE$5:$AE$1004,0))="","",INDEX(Programação!$AT$5:$AT$1004,MATCH(24,Programação!$AE$5:$AE$1004,0))))</f>
        <v/>
      </c>
      <c r="I33" s="22" t="n">
        <f aca="false">IF($L$3&lt;24,"",MATCH(24,Programação!$AE$5:$AE$1004,0)+4)</f>
        <v>364</v>
      </c>
    </row>
    <row r="34" customFormat="false" ht="15.75" hidden="false" customHeight="true" outlineLevel="0" collapsed="false">
      <c r="A34" s="22" t="str">
        <f aca="false">IF($L$3&lt;25,"",INDEX(Programação!$D$5:$D$1004,MATCH(25,Programação!$AE$5:$AE$1004,0)))</f>
        <v>F-815</v>
      </c>
      <c r="B34" s="23" t="str">
        <f aca="false">IF($L$3&lt;25,"",INDEX(Programação!$E$5:$E$1004,MATCH(25,Programação!$AE$5:$AE$1004,0)))</f>
        <v>Programação 09/09</v>
      </c>
      <c r="C34" s="24" t="str">
        <f aca="false">IF($L$3&lt;25,"",INDEX(Programação!$F$5:$F$1004,MATCH(25,Programação!$AE$5:$AE$1004,0)))</f>
        <v>Montar retrovisor</v>
      </c>
      <c r="D34" s="23" t="str">
        <f aca="false">IF($L$3&lt;25,"",INDEX(Programação!$AG$5:$AG$1004,MATCH(25,Programação!$AE$5:$AE$1004,0)))</f>
        <v>Heliton</v>
      </c>
      <c r="E34" s="25" t="n">
        <f aca="false">IF($L$3&lt;25,"",INDEX(Programação!$O$5:$O$1004,MATCH(25,Programação!$AE$5:$AE$1004,0)))</f>
        <v>46274</v>
      </c>
      <c r="F34" s="25" t="n">
        <f aca="false">IF($L$3&lt;25,"",INDEX(Programação!$P$5:$P$1004,MATCH(25,Programação!$AE$5:$AE$1004,0)))</f>
        <v>46275</v>
      </c>
      <c r="G34" s="22" t="str">
        <f aca="false">IF($A34="","",IF($H34&lt;&gt;"","Concluída",IF($F34&lt;$C$3,"Atrasada",IF($F34=$C$3,"Fecha neste dia","Em execução"))))</f>
        <v>Em execução</v>
      </c>
      <c r="H34" s="25" t="str">
        <f aca="false">IF($L$3&lt;25,"",IF(INDEX(Programação!$AT$5:$AT$1004,MATCH(25,Programação!$AE$5:$AE$1004,0))="","",INDEX(Programação!$AT$5:$AT$1004,MATCH(25,Programação!$AE$5:$AE$1004,0))))</f>
        <v/>
      </c>
      <c r="I34" s="22" t="n">
        <f aca="false">IF($L$3&lt;25,"",MATCH(25,Programação!$AE$5:$AE$1004,0)+4)</f>
        <v>365</v>
      </c>
    </row>
    <row r="35" customFormat="false" ht="15.75" hidden="false" customHeight="true" outlineLevel="0" collapsed="false">
      <c r="A35" s="22" t="str">
        <f aca="false">IF($L$3&lt;26,"",INDEX(Programação!$D$5:$D$1004,MATCH(26,Programação!$AE$5:$AE$1004,0)))</f>
        <v>F-426</v>
      </c>
      <c r="B35" s="23" t="str">
        <f aca="false">IF($L$3&lt;26,"",INDEX(Programação!$E$5:$E$1004,MATCH(26,Programação!$AE$5:$AE$1004,0)))</f>
        <v>Programação 09/09</v>
      </c>
      <c r="C35" s="24" t="str">
        <f aca="false">IF($L$3&lt;26,"",INDEX(Programação!$F$5:$F$1004,MATCH(26,Programação!$AE$5:$AE$1004,0)))</f>
        <v>Corrigir parte elétrica</v>
      </c>
      <c r="D35" s="23" t="str">
        <f aca="false">IF($L$3&lt;26,"",INDEX(Programação!$AG$5:$AG$1004,MATCH(26,Programação!$AE$5:$AE$1004,0)))</f>
        <v>Alexandre · Gabriel</v>
      </c>
      <c r="E35" s="25" t="n">
        <f aca="false">IF($L$3&lt;26,"",INDEX(Programação!$O$5:$O$1004,MATCH(26,Programação!$AE$5:$AE$1004,0)))</f>
        <v>46274</v>
      </c>
      <c r="F35" s="25" t="n">
        <f aca="false">IF($L$3&lt;26,"",INDEX(Programação!$P$5:$P$1004,MATCH(26,Programação!$AE$5:$AE$1004,0)))</f>
        <v>46276</v>
      </c>
      <c r="G35" s="22" t="str">
        <f aca="false">IF($A35="","",IF($H35&lt;&gt;"","Concluída",IF($F35&lt;$C$3,"Atrasada",IF($F35=$C$3,"Fecha neste dia","Em execução"))))</f>
        <v>Em execução</v>
      </c>
      <c r="H35" s="25" t="str">
        <f aca="false">IF($L$3&lt;26,"",IF(INDEX(Programação!$AT$5:$AT$1004,MATCH(26,Programação!$AE$5:$AE$1004,0))="","",INDEX(Programação!$AT$5:$AT$1004,MATCH(26,Programação!$AE$5:$AE$1004,0))))</f>
        <v/>
      </c>
      <c r="I35" s="22" t="n">
        <f aca="false">IF($L$3&lt;26,"",MATCH(26,Programação!$AE$5:$AE$1004,0)+4)</f>
        <v>366</v>
      </c>
    </row>
    <row r="36" customFormat="false" ht="15.75" hidden="false" customHeight="true" outlineLevel="0" collapsed="false">
      <c r="A36" s="22" t="str">
        <f aca="false">IF($L$3&lt;27,"",INDEX(Programação!$D$5:$D$1004,MATCH(27,Programação!$AE$5:$AE$1004,0)))</f>
        <v>F-618</v>
      </c>
      <c r="B36" s="23" t="str">
        <f aca="false">IF($L$3&lt;27,"",INDEX(Programação!$E$5:$E$1004,MATCH(27,Programação!$AE$5:$AE$1004,0)))</f>
        <v>Programação 09/09</v>
      </c>
      <c r="C36" s="24" t="str">
        <f aca="false">IF($L$3&lt;27,"",INDEX(Programação!$F$5:$F$1004,MATCH(27,Programação!$AE$5:$AE$1004,0)))</f>
        <v>Montar porta LE</v>
      </c>
      <c r="D36" s="23" t="str">
        <f aca="false">IF($L$3&lt;27,"",INDEX(Programação!$AG$5:$AG$1004,MATCH(27,Programação!$AE$5:$AE$1004,0)))</f>
        <v>Júnior</v>
      </c>
      <c r="E36" s="25" t="n">
        <f aca="false">IF($L$3&lt;27,"",INDEX(Programação!$O$5:$O$1004,MATCH(27,Programação!$AE$5:$AE$1004,0)))</f>
        <v>46274</v>
      </c>
      <c r="F36" s="25" t="n">
        <f aca="false">IF($L$3&lt;27,"",INDEX(Programação!$P$5:$P$1004,MATCH(27,Programação!$AE$5:$AE$1004,0)))</f>
        <v>46275</v>
      </c>
      <c r="G36" s="22" t="str">
        <f aca="false">IF($A36="","",IF($H36&lt;&gt;"","Concluída",IF($F36&lt;$C$3,"Atrasada",IF($F36=$C$3,"Fecha neste dia","Em execução"))))</f>
        <v>Em execução</v>
      </c>
      <c r="H36" s="25" t="str">
        <f aca="false">IF($L$3&lt;27,"",IF(INDEX(Programação!$AT$5:$AT$1004,MATCH(27,Programação!$AE$5:$AE$1004,0))="","",INDEX(Programação!$AT$5:$AT$1004,MATCH(27,Programação!$AE$5:$AE$1004,0))))</f>
        <v/>
      </c>
      <c r="I36" s="22" t="n">
        <f aca="false">IF($L$3&lt;27,"",MATCH(27,Programação!$AE$5:$AE$1004,0)+4)</f>
        <v>367</v>
      </c>
    </row>
    <row r="37" customFormat="false" ht="15.75" hidden="false" customHeight="true" outlineLevel="0" collapsed="false">
      <c r="A37" s="22" t="str">
        <f aca="false">IF($L$3&lt;28,"",INDEX(Programação!$D$5:$D$1004,MATCH(28,Programação!$AE$5:$AE$1004,0)))</f>
        <v>F-618</v>
      </c>
      <c r="B37" s="23" t="str">
        <f aca="false">IF($L$3&lt;28,"",INDEX(Programação!$E$5:$E$1004,MATCH(28,Programação!$AE$5:$AE$1004,0)))</f>
        <v>Programação 09/09</v>
      </c>
      <c r="C37" s="24" t="str">
        <f aca="false">IF($L$3&lt;28,"",INDEX(Programação!$F$5:$F$1004,MATCH(28,Programação!$AE$5:$AE$1004,0)))</f>
        <v>Instalar motor do vidro</v>
      </c>
      <c r="D37" s="23" t="str">
        <f aca="false">IF($L$3&lt;28,"",INDEX(Programação!$AG$5:$AG$1004,MATCH(28,Programação!$AE$5:$AE$1004,0)))</f>
        <v>Júnior</v>
      </c>
      <c r="E37" s="25" t="n">
        <f aca="false">IF($L$3&lt;28,"",INDEX(Programação!$O$5:$O$1004,MATCH(28,Programação!$AE$5:$AE$1004,0)))</f>
        <v>46274</v>
      </c>
      <c r="F37" s="25" t="n">
        <f aca="false">IF($L$3&lt;28,"",INDEX(Programação!$P$5:$P$1004,MATCH(28,Programação!$AE$5:$AE$1004,0)))</f>
        <v>46276</v>
      </c>
      <c r="G37" s="22" t="str">
        <f aca="false">IF($A37="","",IF($H37&lt;&gt;"","Concluída",IF($F37&lt;$C$3,"Atrasada",IF($F37=$C$3,"Fecha neste dia","Em execução"))))</f>
        <v>Em execução</v>
      </c>
      <c r="H37" s="25" t="str">
        <f aca="false">IF($L$3&lt;28,"",IF(INDEX(Programação!$AT$5:$AT$1004,MATCH(28,Programação!$AE$5:$AE$1004,0))="","",INDEX(Programação!$AT$5:$AT$1004,MATCH(28,Programação!$AE$5:$AE$1004,0))))</f>
        <v/>
      </c>
      <c r="I37" s="22" t="n">
        <f aca="false">IF($L$3&lt;28,"",MATCH(28,Programação!$AE$5:$AE$1004,0)+4)</f>
        <v>368</v>
      </c>
    </row>
    <row r="38" customFormat="false" ht="15.75" hidden="false" customHeight="true" outlineLevel="0" collapsed="false">
      <c r="A38" s="22" t="str">
        <f aca="false">IF($L$3&lt;29,"",INDEX(Programação!$D$5:$D$1004,MATCH(29,Programação!$AE$5:$AE$1004,0)))</f>
        <v>F-962</v>
      </c>
      <c r="B38" s="23" t="str">
        <f aca="false">IF($L$3&lt;29,"",INDEX(Programação!$E$5:$E$1004,MATCH(29,Programação!$AE$5:$AE$1004,0)))</f>
        <v>Programação 09/09</v>
      </c>
      <c r="C38" s="24" t="str">
        <f aca="false">IF($L$3&lt;29,"",INDEX(Programação!$F$5:$F$1004,MATCH(29,Programação!$AE$5:$AE$1004,0)))</f>
        <v>Fabricar tampa da caixa</v>
      </c>
      <c r="D38" s="23" t="str">
        <f aca="false">IF($L$3&lt;29,"",INDEX(Programação!$AG$5:$AG$1004,MATCH(29,Programação!$AE$5:$AE$1004,0)))</f>
        <v>Edilberto</v>
      </c>
      <c r="E38" s="25" t="n">
        <f aca="false">IF($L$3&lt;29,"",INDEX(Programação!$O$5:$O$1004,MATCH(29,Programação!$AE$5:$AE$1004,0)))</f>
        <v>46274</v>
      </c>
      <c r="F38" s="25" t="n">
        <f aca="false">IF($L$3&lt;29,"",INDEX(Programação!$P$5:$P$1004,MATCH(29,Programação!$AE$5:$AE$1004,0)))</f>
        <v>46282</v>
      </c>
      <c r="G38" s="22" t="str">
        <f aca="false">IF($A38="","",IF($H38&lt;&gt;"","Concluída",IF($F38&lt;$C$3,"Atrasada",IF($F38=$C$3,"Fecha neste dia","Em execução"))))</f>
        <v>Em execução</v>
      </c>
      <c r="H38" s="25" t="str">
        <f aca="false">IF($L$3&lt;29,"",IF(INDEX(Programação!$AT$5:$AT$1004,MATCH(29,Programação!$AE$5:$AE$1004,0))="","",INDEX(Programação!$AT$5:$AT$1004,MATCH(29,Programação!$AE$5:$AE$1004,0))))</f>
        <v/>
      </c>
      <c r="I38" s="22" t="n">
        <f aca="false">IF($L$3&lt;29,"",MATCH(29,Programação!$AE$5:$AE$1004,0)+4)</f>
        <v>369</v>
      </c>
    </row>
    <row r="39" customFormat="false" ht="15.75" hidden="false" customHeight="true" outlineLevel="0" collapsed="false">
      <c r="A39" s="22" t="str">
        <f aca="false">IF($L$3&lt;30,"",INDEX(Programação!$D$5:$D$1004,MATCH(30,Programação!$AE$5:$AE$1004,0)))</f>
        <v>F-434</v>
      </c>
      <c r="B39" s="23" t="str">
        <f aca="false">IF($L$3&lt;30,"",INDEX(Programação!$E$5:$E$1004,MATCH(30,Programação!$AE$5:$AE$1004,0)))</f>
        <v>Programação 09/09</v>
      </c>
      <c r="C39" s="24" t="str">
        <f aca="false">IF($L$3&lt;30,"",INDEX(Programação!$F$5:$F$1004,MATCH(30,Programação!$AE$5:$AE$1004,0)))</f>
        <v>Trocar pneus</v>
      </c>
      <c r="D39" s="23" t="str">
        <f aca="false">IF($L$3&lt;30,"",INDEX(Programação!$AG$5:$AG$1004,MATCH(30,Programação!$AE$5:$AE$1004,0)))</f>
        <v>Luiz Paulo</v>
      </c>
      <c r="E39" s="25" t="n">
        <f aca="false">IF($L$3&lt;30,"",INDEX(Programação!$O$5:$O$1004,MATCH(30,Programação!$AE$5:$AE$1004,0)))</f>
        <v>46274</v>
      </c>
      <c r="F39" s="25" t="n">
        <f aca="false">IF($L$3&lt;30,"",INDEX(Programação!$P$5:$P$1004,MATCH(30,Programação!$AE$5:$AE$1004,0)))</f>
        <v>46275</v>
      </c>
      <c r="G39" s="22" t="str">
        <f aca="false">IF($A39="","",IF($H39&lt;&gt;"","Concluída",IF($F39&lt;$C$3,"Atrasada",IF($F39=$C$3,"Fecha neste dia","Em execução"))))</f>
        <v>Em execução</v>
      </c>
      <c r="H39" s="25" t="str">
        <f aca="false">IF($L$3&lt;30,"",IF(INDEX(Programação!$AT$5:$AT$1004,MATCH(30,Programação!$AE$5:$AE$1004,0))="","",INDEX(Programação!$AT$5:$AT$1004,MATCH(30,Programação!$AE$5:$AE$1004,0))))</f>
        <v/>
      </c>
      <c r="I39" s="22" t="n">
        <f aca="false">IF($L$3&lt;30,"",MATCH(30,Programação!$AE$5:$AE$1004,0)+4)</f>
        <v>370</v>
      </c>
    </row>
    <row r="40" customFormat="false" ht="15.75" hidden="false" customHeight="true" outlineLevel="0" collapsed="false">
      <c r="A40" s="22" t="str">
        <f aca="false">IF($L$3&lt;31,"",INDEX(Programação!$D$5:$D$1004,MATCH(31,Programação!$AE$5:$AE$1004,0)))</f>
        <v>F-744</v>
      </c>
      <c r="B40" s="23" t="str">
        <f aca="false">IF($L$3&lt;31,"",INDEX(Programação!$E$5:$E$1004,MATCH(31,Programação!$AE$5:$AE$1004,0)))</f>
        <v>Programação 09/09</v>
      </c>
      <c r="C40" s="24" t="str">
        <f aca="false">IF($L$3&lt;31,"",INDEX(Programação!$F$5:$F$1004,MATCH(31,Programação!$AE$5:$AE$1004,0)))</f>
        <v>Trocar pneus</v>
      </c>
      <c r="D40" s="23" t="str">
        <f aca="false">IF($L$3&lt;31,"",INDEX(Programação!$AG$5:$AG$1004,MATCH(31,Programação!$AE$5:$AE$1004,0)))</f>
        <v>Luiz Paulo</v>
      </c>
      <c r="E40" s="25" t="n">
        <f aca="false">IF($L$3&lt;31,"",INDEX(Programação!$O$5:$O$1004,MATCH(31,Programação!$AE$5:$AE$1004,0)))</f>
        <v>46274</v>
      </c>
      <c r="F40" s="25" t="n">
        <f aca="false">IF($L$3&lt;31,"",INDEX(Programação!$P$5:$P$1004,MATCH(31,Programação!$AE$5:$AE$1004,0)))</f>
        <v>46275</v>
      </c>
      <c r="G40" s="22" t="str">
        <f aca="false">IF($A40="","",IF($H40&lt;&gt;"","Concluída",IF($F40&lt;$C$3,"Atrasada",IF($F40=$C$3,"Fecha neste dia","Em execução"))))</f>
        <v>Em execução</v>
      </c>
      <c r="H40" s="25" t="str">
        <f aca="false">IF($L$3&lt;31,"",IF(INDEX(Programação!$AT$5:$AT$1004,MATCH(31,Programação!$AE$5:$AE$1004,0))="","",INDEX(Programação!$AT$5:$AT$1004,MATCH(31,Programação!$AE$5:$AE$1004,0))))</f>
        <v/>
      </c>
      <c r="I40" s="22" t="n">
        <f aca="false">IF($L$3&lt;31,"",MATCH(31,Programação!$AE$5:$AE$1004,0)+4)</f>
        <v>371</v>
      </c>
    </row>
    <row r="41" customFormat="false" ht="15.75" hidden="false" customHeight="true" outlineLevel="0" collapsed="false">
      <c r="A41" s="22" t="str">
        <f aca="false">IF($L$3&lt;32,"",INDEX(Programação!$D$5:$D$1004,MATCH(32,Programação!$AE$5:$AE$1004,0)))</f>
        <v>F-1060</v>
      </c>
      <c r="B41" s="23" t="str">
        <f aca="false">IF($L$3&lt;32,"",INDEX(Programação!$E$5:$E$1004,MATCH(32,Programação!$AE$5:$AE$1004,0)))</f>
        <v>Programação 09/09</v>
      </c>
      <c r="C41" s="24" t="str">
        <f aca="false">IF($L$3&lt;32,"",INDEX(Programação!$F$5:$F$1004,MATCH(32,Programação!$AE$5:$AE$1004,0)))</f>
        <v>Instalar indicadores de folga nas porcas de roda</v>
      </c>
      <c r="D41" s="23" t="str">
        <f aca="false">IF($L$3&lt;32,"",INDEX(Programação!$AG$5:$AG$1004,MATCH(32,Programação!$AE$5:$AE$1004,0)))</f>
        <v>Luiz Paulo</v>
      </c>
      <c r="E41" s="25" t="n">
        <f aca="false">IF($L$3&lt;32,"",INDEX(Programação!$O$5:$O$1004,MATCH(32,Programação!$AE$5:$AE$1004,0)))</f>
        <v>46274</v>
      </c>
      <c r="F41" s="25" t="n">
        <f aca="false">IF($L$3&lt;32,"",INDEX(Programação!$P$5:$P$1004,MATCH(32,Programação!$AE$5:$AE$1004,0)))</f>
        <v>46276</v>
      </c>
      <c r="G41" s="22" t="str">
        <f aca="false">IF($A41="","",IF($H41&lt;&gt;"","Concluída",IF($F41&lt;$C$3,"Atrasada",IF($F41=$C$3,"Fecha neste dia","Em execução"))))</f>
        <v>Concluída</v>
      </c>
      <c r="H41" s="25" t="n">
        <f aca="false">IF($L$3&lt;32,"",IF(INDEX(Programação!$AT$5:$AT$1004,MATCH(32,Programação!$AE$5:$AE$1004,0))="","",INDEX(Programação!$AT$5:$AT$1004,MATCH(32,Programação!$AE$5:$AE$1004,0))))</f>
        <v>46274</v>
      </c>
      <c r="I41" s="22" t="n">
        <f aca="false">IF($L$3&lt;32,"",MATCH(32,Programação!$AE$5:$AE$1004,0)+4)</f>
        <v>372</v>
      </c>
    </row>
    <row r="42" customFormat="false" ht="15.75" hidden="false" customHeight="true" outlineLevel="0" collapsed="false">
      <c r="A42" s="22" t="str">
        <f aca="false">IF($L$3&lt;33,"",INDEX(Programação!$D$5:$D$1004,MATCH(33,Programação!$AE$5:$AE$1004,0)))</f>
        <v>F-1061</v>
      </c>
      <c r="B42" s="23" t="str">
        <f aca="false">IF($L$3&lt;33,"",INDEX(Programação!$E$5:$E$1004,MATCH(33,Programação!$AE$5:$AE$1004,0)))</f>
        <v>Programação 09/09</v>
      </c>
      <c r="C42" s="24" t="str">
        <f aca="false">IF($L$3&lt;33,"",INDEX(Programação!$F$5:$F$1004,MATCH(33,Programação!$AE$5:$AE$1004,0)))</f>
        <v>Instalar indicadores de folga nas porcas de roda</v>
      </c>
      <c r="D42" s="23" t="str">
        <f aca="false">IF($L$3&lt;33,"",INDEX(Programação!$AG$5:$AG$1004,MATCH(33,Programação!$AE$5:$AE$1004,0)))</f>
        <v>Luiz Paulo</v>
      </c>
      <c r="E42" s="25" t="n">
        <f aca="false">IF($L$3&lt;33,"",INDEX(Programação!$O$5:$O$1004,MATCH(33,Programação!$AE$5:$AE$1004,0)))</f>
        <v>46274</v>
      </c>
      <c r="F42" s="25" t="n">
        <f aca="false">IF($L$3&lt;33,"",INDEX(Programação!$P$5:$P$1004,MATCH(33,Programação!$AE$5:$AE$1004,0)))</f>
        <v>46275</v>
      </c>
      <c r="G42" s="22" t="str">
        <f aca="false">IF($A42="","",IF($H42&lt;&gt;"","Concluída",IF($F42&lt;$C$3,"Atrasada",IF($F42=$C$3,"Fecha neste dia","Em execução"))))</f>
        <v>Concluída</v>
      </c>
      <c r="H42" s="25" t="n">
        <f aca="false">IF($L$3&lt;33,"",IF(INDEX(Programação!$AT$5:$AT$1004,MATCH(33,Programação!$AE$5:$AE$1004,0))="","",INDEX(Programação!$AT$5:$AT$1004,MATCH(33,Programação!$AE$5:$AE$1004,0))))</f>
        <v>46274</v>
      </c>
      <c r="I42" s="22" t="n">
        <f aca="false">IF($L$3&lt;33,"",MATCH(33,Programação!$AE$5:$AE$1004,0)+4)</f>
        <v>373</v>
      </c>
    </row>
    <row r="43" customFormat="false" ht="15.75" hidden="false" customHeight="true" outlineLevel="0" collapsed="false">
      <c r="A43" s="22" t="str">
        <f aca="false">IF($L$3&lt;34,"",INDEX(Programação!$D$5:$D$1004,MATCH(34,Programação!$AE$5:$AE$1004,0)))</f>
        <v>F-1062</v>
      </c>
      <c r="B43" s="23" t="str">
        <f aca="false">IF($L$3&lt;34,"",INDEX(Programação!$E$5:$E$1004,MATCH(34,Programação!$AE$5:$AE$1004,0)))</f>
        <v>Programação 09/09</v>
      </c>
      <c r="C43" s="24" t="str">
        <f aca="false">IF($L$3&lt;34,"",INDEX(Programação!$F$5:$F$1004,MATCH(34,Programação!$AE$5:$AE$1004,0)))</f>
        <v>Instalar indicadores de folga nas porcas de roda</v>
      </c>
      <c r="D43" s="23" t="str">
        <f aca="false">IF($L$3&lt;34,"",INDEX(Programação!$AG$5:$AG$1004,MATCH(34,Programação!$AE$5:$AE$1004,0)))</f>
        <v>Luiz Paulo</v>
      </c>
      <c r="E43" s="25" t="n">
        <f aca="false">IF($L$3&lt;34,"",INDEX(Programação!$O$5:$O$1004,MATCH(34,Programação!$AE$5:$AE$1004,0)))</f>
        <v>46274</v>
      </c>
      <c r="F43" s="25" t="n">
        <f aca="false">IF($L$3&lt;34,"",INDEX(Programação!$P$5:$P$1004,MATCH(34,Programação!$AE$5:$AE$1004,0)))</f>
        <v>46276</v>
      </c>
      <c r="G43" s="22" t="str">
        <f aca="false">IF($A43="","",IF($H43&lt;&gt;"","Concluída",IF($F43&lt;$C$3,"Atrasada",IF($F43=$C$3,"Fecha neste dia","Em execução"))))</f>
        <v>Concluída</v>
      </c>
      <c r="H43" s="25" t="n">
        <f aca="false">IF($L$3&lt;34,"",IF(INDEX(Programação!$AT$5:$AT$1004,MATCH(34,Programação!$AE$5:$AE$1004,0))="","",INDEX(Programação!$AT$5:$AT$1004,MATCH(34,Programação!$AE$5:$AE$1004,0))))</f>
        <v>46274</v>
      </c>
      <c r="I43" s="22" t="n">
        <f aca="false">IF($L$3&lt;34,"",MATCH(34,Programação!$AE$5:$AE$1004,0)+4)</f>
        <v>374</v>
      </c>
    </row>
    <row r="44" customFormat="false" ht="15.75" hidden="false" customHeight="true" outlineLevel="0" collapsed="false">
      <c r="A44" s="22" t="str">
        <f aca="false">IF($L$3&lt;35,"",INDEX(Programação!$D$5:$D$1004,MATCH(35,Programação!$AE$5:$AE$1004,0)))</f>
        <v>F-1063</v>
      </c>
      <c r="B44" s="23" t="str">
        <f aca="false">IF($L$3&lt;35,"",INDEX(Programação!$E$5:$E$1004,MATCH(35,Programação!$AE$5:$AE$1004,0)))</f>
        <v>Programação 09/09</v>
      </c>
      <c r="C44" s="24" t="str">
        <f aca="false">IF($L$3&lt;35,"",INDEX(Programação!$F$5:$F$1004,MATCH(35,Programação!$AE$5:$AE$1004,0)))</f>
        <v>Instalar indicadores de folga nas porcas de roda</v>
      </c>
      <c r="D44" s="23" t="str">
        <f aca="false">IF($L$3&lt;35,"",INDEX(Programação!$AG$5:$AG$1004,MATCH(35,Programação!$AE$5:$AE$1004,0)))</f>
        <v>Luiz Paulo</v>
      </c>
      <c r="E44" s="25" t="n">
        <f aca="false">IF($L$3&lt;35,"",INDEX(Programação!$O$5:$O$1004,MATCH(35,Programação!$AE$5:$AE$1004,0)))</f>
        <v>46274</v>
      </c>
      <c r="F44" s="25" t="n">
        <f aca="false">IF($L$3&lt;35,"",INDEX(Programação!$P$5:$P$1004,MATCH(35,Programação!$AE$5:$AE$1004,0)))</f>
        <v>46275</v>
      </c>
      <c r="G44" s="22" t="str">
        <f aca="false">IF($A44="","",IF($H44&lt;&gt;"","Concluída",IF($F44&lt;$C$3,"Atrasada",IF($F44=$C$3,"Fecha neste dia","Em execução"))))</f>
        <v>Concluída</v>
      </c>
      <c r="H44" s="25" t="n">
        <f aca="false">IF($L$3&lt;35,"",IF(INDEX(Programação!$AT$5:$AT$1004,MATCH(35,Programação!$AE$5:$AE$1004,0))="","",INDEX(Programação!$AT$5:$AT$1004,MATCH(35,Programação!$AE$5:$AE$1004,0))))</f>
        <v>46274</v>
      </c>
      <c r="I44" s="22" t="n">
        <f aca="false">IF($L$3&lt;35,"",MATCH(35,Programação!$AE$5:$AE$1004,0)+4)</f>
        <v>375</v>
      </c>
    </row>
    <row r="45" customFormat="false" ht="15.75" hidden="false" customHeight="true" outlineLevel="0" collapsed="false">
      <c r="A45" s="22" t="str">
        <f aca="false">IF($L$3&lt;36,"",INDEX(Programação!$D$5:$D$1004,MATCH(36,Programação!$AE$5:$AE$1004,0)))</f>
        <v/>
      </c>
      <c r="B45" s="23" t="str">
        <f aca="false">IF($L$3&lt;36,"",INDEX(Programação!$E$5:$E$1004,MATCH(36,Programação!$AE$5:$AE$1004,0)))</f>
        <v/>
      </c>
      <c r="C45" s="24" t="str">
        <f aca="false">IF($L$3&lt;36,"",INDEX(Programação!$F$5:$F$1004,MATCH(36,Programação!$AE$5:$AE$1004,0)))</f>
        <v/>
      </c>
      <c r="D45" s="23" t="str">
        <f aca="false">IF($L$3&lt;36,"",INDEX(Programação!$AG$5:$AG$1004,MATCH(36,Programação!$AE$5:$AE$1004,0)))</f>
        <v/>
      </c>
      <c r="E45" s="25" t="str">
        <f aca="false">IF($L$3&lt;36,"",INDEX(Programação!$O$5:$O$1004,MATCH(36,Programação!$AE$5:$AE$1004,0)))</f>
        <v/>
      </c>
      <c r="F45" s="25" t="str">
        <f aca="false">IF($L$3&lt;36,"",INDEX(Programação!$P$5:$P$1004,MATCH(36,Programação!$AE$5:$AE$1004,0)))</f>
        <v/>
      </c>
      <c r="G45" s="22" t="str">
        <f aca="false">IF($A45="","",IF($H45&lt;&gt;"","Concluída",IF($F45&lt;$C$3,"Atrasada",IF($F45=$C$3,"Fecha neste dia","Em execução"))))</f>
        <v/>
      </c>
      <c r="H45" s="25" t="str">
        <f aca="false">IF($L$3&lt;36,"",IF(INDEX(Programação!$AT$5:$AT$1004,MATCH(36,Programação!$AE$5:$AE$1004,0))="","",INDEX(Programação!$AT$5:$AT$1004,MATCH(36,Programação!$AE$5:$AE$1004,0))))</f>
        <v/>
      </c>
      <c r="I45" s="22" t="str">
        <f aca="false">IF($L$3&lt;36,"",MATCH(36,Programação!$AE$5:$AE$1004,0)+4)</f>
        <v/>
      </c>
    </row>
    <row r="46" customFormat="false" ht="15.75" hidden="false" customHeight="true" outlineLevel="0" collapsed="false">
      <c r="A46" s="22" t="str">
        <f aca="false">IF($L$3&lt;37,"",INDEX(Programação!$D$5:$D$1004,MATCH(37,Programação!$AE$5:$AE$1004,0)))</f>
        <v/>
      </c>
      <c r="B46" s="23" t="str">
        <f aca="false">IF($L$3&lt;37,"",INDEX(Programação!$E$5:$E$1004,MATCH(37,Programação!$AE$5:$AE$1004,0)))</f>
        <v/>
      </c>
      <c r="C46" s="24" t="str">
        <f aca="false">IF($L$3&lt;37,"",INDEX(Programação!$F$5:$F$1004,MATCH(37,Programação!$AE$5:$AE$1004,0)))</f>
        <v/>
      </c>
      <c r="D46" s="23" t="str">
        <f aca="false">IF($L$3&lt;37,"",INDEX(Programação!$AG$5:$AG$1004,MATCH(37,Programação!$AE$5:$AE$1004,0)))</f>
        <v/>
      </c>
      <c r="E46" s="25" t="str">
        <f aca="false">IF($L$3&lt;37,"",INDEX(Programação!$O$5:$O$1004,MATCH(37,Programação!$AE$5:$AE$1004,0)))</f>
        <v/>
      </c>
      <c r="F46" s="25" t="str">
        <f aca="false">IF($L$3&lt;37,"",INDEX(Programação!$P$5:$P$1004,MATCH(37,Programação!$AE$5:$AE$1004,0)))</f>
        <v/>
      </c>
      <c r="G46" s="22" t="str">
        <f aca="false">IF($A46="","",IF($H46&lt;&gt;"","Concluída",IF($F46&lt;$C$3,"Atrasada",IF($F46=$C$3,"Fecha neste dia","Em execução"))))</f>
        <v/>
      </c>
      <c r="H46" s="25" t="str">
        <f aca="false">IF($L$3&lt;37,"",IF(INDEX(Programação!$AT$5:$AT$1004,MATCH(37,Programação!$AE$5:$AE$1004,0))="","",INDEX(Programação!$AT$5:$AT$1004,MATCH(37,Programação!$AE$5:$AE$1004,0))))</f>
        <v/>
      </c>
      <c r="I46" s="22" t="str">
        <f aca="false">IF($L$3&lt;37,"",MATCH(37,Programação!$AE$5:$AE$1004,0)+4)</f>
        <v/>
      </c>
    </row>
    <row r="47" customFormat="false" ht="15.75" hidden="false" customHeight="true" outlineLevel="0" collapsed="false">
      <c r="A47" s="22" t="str">
        <f aca="false">IF($L$3&lt;38,"",INDEX(Programação!$D$5:$D$1004,MATCH(38,Programação!$AE$5:$AE$1004,0)))</f>
        <v/>
      </c>
      <c r="B47" s="23" t="str">
        <f aca="false">IF($L$3&lt;38,"",INDEX(Programação!$E$5:$E$1004,MATCH(38,Programação!$AE$5:$AE$1004,0)))</f>
        <v/>
      </c>
      <c r="C47" s="24" t="str">
        <f aca="false">IF($L$3&lt;38,"",INDEX(Programação!$F$5:$F$1004,MATCH(38,Programação!$AE$5:$AE$1004,0)))</f>
        <v/>
      </c>
      <c r="D47" s="23" t="str">
        <f aca="false">IF($L$3&lt;38,"",INDEX(Programação!$AG$5:$AG$1004,MATCH(38,Programação!$AE$5:$AE$1004,0)))</f>
        <v/>
      </c>
      <c r="E47" s="25" t="str">
        <f aca="false">IF($L$3&lt;38,"",INDEX(Programação!$O$5:$O$1004,MATCH(38,Programação!$AE$5:$AE$1004,0)))</f>
        <v/>
      </c>
      <c r="F47" s="25" t="str">
        <f aca="false">IF($L$3&lt;38,"",INDEX(Programação!$P$5:$P$1004,MATCH(38,Programação!$AE$5:$AE$1004,0)))</f>
        <v/>
      </c>
      <c r="G47" s="22" t="str">
        <f aca="false">IF($A47="","",IF($H47&lt;&gt;"","Concluída",IF($F47&lt;$C$3,"Atrasada",IF($F47=$C$3,"Fecha neste dia","Em execução"))))</f>
        <v/>
      </c>
      <c r="H47" s="25" t="str">
        <f aca="false">IF($L$3&lt;38,"",IF(INDEX(Programação!$AT$5:$AT$1004,MATCH(38,Programação!$AE$5:$AE$1004,0))="","",INDEX(Programação!$AT$5:$AT$1004,MATCH(38,Programação!$AE$5:$AE$1004,0))))</f>
        <v/>
      </c>
      <c r="I47" s="22" t="str">
        <f aca="false">IF($L$3&lt;38,"",MATCH(38,Programação!$AE$5:$AE$1004,0)+4)</f>
        <v/>
      </c>
    </row>
    <row r="48" customFormat="false" ht="15.75" hidden="false" customHeight="true" outlineLevel="0" collapsed="false">
      <c r="A48" s="22" t="str">
        <f aca="false">IF($L$3&lt;39,"",INDEX(Programação!$D$5:$D$1004,MATCH(39,Programação!$AE$5:$AE$1004,0)))</f>
        <v/>
      </c>
      <c r="B48" s="23" t="str">
        <f aca="false">IF($L$3&lt;39,"",INDEX(Programação!$E$5:$E$1004,MATCH(39,Programação!$AE$5:$AE$1004,0)))</f>
        <v/>
      </c>
      <c r="C48" s="24" t="str">
        <f aca="false">IF($L$3&lt;39,"",INDEX(Programação!$F$5:$F$1004,MATCH(39,Programação!$AE$5:$AE$1004,0)))</f>
        <v/>
      </c>
      <c r="D48" s="23" t="str">
        <f aca="false">IF($L$3&lt;39,"",INDEX(Programação!$AG$5:$AG$1004,MATCH(39,Programação!$AE$5:$AE$1004,0)))</f>
        <v/>
      </c>
      <c r="E48" s="25" t="str">
        <f aca="false">IF($L$3&lt;39,"",INDEX(Programação!$O$5:$O$1004,MATCH(39,Programação!$AE$5:$AE$1004,0)))</f>
        <v/>
      </c>
      <c r="F48" s="25" t="str">
        <f aca="false">IF($L$3&lt;39,"",INDEX(Programação!$P$5:$P$1004,MATCH(39,Programação!$AE$5:$AE$1004,0)))</f>
        <v/>
      </c>
      <c r="G48" s="22" t="str">
        <f aca="false">IF($A48="","",IF($H48&lt;&gt;"","Concluída",IF($F48&lt;$C$3,"Atrasada",IF($F48=$C$3,"Fecha neste dia","Em execução"))))</f>
        <v/>
      </c>
      <c r="H48" s="25" t="str">
        <f aca="false">IF($L$3&lt;39,"",IF(INDEX(Programação!$AT$5:$AT$1004,MATCH(39,Programação!$AE$5:$AE$1004,0))="","",INDEX(Programação!$AT$5:$AT$1004,MATCH(39,Programação!$AE$5:$AE$1004,0))))</f>
        <v/>
      </c>
      <c r="I48" s="22" t="str">
        <f aca="false">IF($L$3&lt;39,"",MATCH(39,Programação!$AE$5:$AE$1004,0)+4)</f>
        <v/>
      </c>
    </row>
    <row r="49" customFormat="false" ht="15.75" hidden="false" customHeight="true" outlineLevel="0" collapsed="false">
      <c r="A49" s="22" t="str">
        <f aca="false">IF($L$3&lt;40,"",INDEX(Programação!$D$5:$D$1004,MATCH(40,Programação!$AE$5:$AE$1004,0)))</f>
        <v/>
      </c>
      <c r="B49" s="23" t="str">
        <f aca="false">IF($L$3&lt;40,"",INDEX(Programação!$E$5:$E$1004,MATCH(40,Programação!$AE$5:$AE$1004,0)))</f>
        <v/>
      </c>
      <c r="C49" s="24" t="str">
        <f aca="false">IF($L$3&lt;40,"",INDEX(Programação!$F$5:$F$1004,MATCH(40,Programação!$AE$5:$AE$1004,0)))</f>
        <v/>
      </c>
      <c r="D49" s="23" t="str">
        <f aca="false">IF($L$3&lt;40,"",INDEX(Programação!$AG$5:$AG$1004,MATCH(40,Programação!$AE$5:$AE$1004,0)))</f>
        <v/>
      </c>
      <c r="E49" s="25" t="str">
        <f aca="false">IF($L$3&lt;40,"",INDEX(Programação!$O$5:$O$1004,MATCH(40,Programação!$AE$5:$AE$1004,0)))</f>
        <v/>
      </c>
      <c r="F49" s="25" t="str">
        <f aca="false">IF($L$3&lt;40,"",INDEX(Programação!$P$5:$P$1004,MATCH(40,Programação!$AE$5:$AE$1004,0)))</f>
        <v/>
      </c>
      <c r="G49" s="22" t="str">
        <f aca="false">IF($A49="","",IF($H49&lt;&gt;"","Concluída",IF($F49&lt;$C$3,"Atrasada",IF($F49=$C$3,"Fecha neste dia","Em execução"))))</f>
        <v/>
      </c>
      <c r="H49" s="25" t="str">
        <f aca="false">IF($L$3&lt;40,"",IF(INDEX(Programação!$AT$5:$AT$1004,MATCH(40,Programação!$AE$5:$AE$1004,0))="","",INDEX(Programação!$AT$5:$AT$1004,MATCH(40,Programação!$AE$5:$AE$1004,0))))</f>
        <v/>
      </c>
      <c r="I49" s="22" t="str">
        <f aca="false">IF($L$3&lt;40,"",MATCH(40,Programação!$AE$5:$AE$1004,0)+4)</f>
        <v/>
      </c>
    </row>
    <row r="50" customFormat="false" ht="15.75" hidden="false" customHeight="true" outlineLevel="0" collapsed="false">
      <c r="A50" s="22" t="str">
        <f aca="false">IF($L$3&lt;41,"",INDEX(Programação!$D$5:$D$1004,MATCH(41,Programação!$AE$5:$AE$1004,0)))</f>
        <v/>
      </c>
      <c r="B50" s="23" t="str">
        <f aca="false">IF($L$3&lt;41,"",INDEX(Programação!$E$5:$E$1004,MATCH(41,Programação!$AE$5:$AE$1004,0)))</f>
        <v/>
      </c>
      <c r="C50" s="24" t="str">
        <f aca="false">IF($L$3&lt;41,"",INDEX(Programação!$F$5:$F$1004,MATCH(41,Programação!$AE$5:$AE$1004,0)))</f>
        <v/>
      </c>
      <c r="D50" s="23" t="str">
        <f aca="false">IF($L$3&lt;41,"",INDEX(Programação!$AG$5:$AG$1004,MATCH(41,Programação!$AE$5:$AE$1004,0)))</f>
        <v/>
      </c>
      <c r="E50" s="25" t="str">
        <f aca="false">IF($L$3&lt;41,"",INDEX(Programação!$O$5:$O$1004,MATCH(41,Programação!$AE$5:$AE$1004,0)))</f>
        <v/>
      </c>
      <c r="F50" s="25" t="str">
        <f aca="false">IF($L$3&lt;41,"",INDEX(Programação!$P$5:$P$1004,MATCH(41,Programação!$AE$5:$AE$1004,0)))</f>
        <v/>
      </c>
      <c r="G50" s="22" t="str">
        <f aca="false">IF($A50="","",IF($H50&lt;&gt;"","Concluída",IF($F50&lt;$C$3,"Atrasada",IF($F50=$C$3,"Fecha neste dia","Em execução"))))</f>
        <v/>
      </c>
      <c r="H50" s="25" t="str">
        <f aca="false">IF($L$3&lt;41,"",IF(INDEX(Programação!$AT$5:$AT$1004,MATCH(41,Programação!$AE$5:$AE$1004,0))="","",INDEX(Programação!$AT$5:$AT$1004,MATCH(41,Programação!$AE$5:$AE$1004,0))))</f>
        <v/>
      </c>
      <c r="I50" s="22" t="str">
        <f aca="false">IF($L$3&lt;41,"",MATCH(41,Programação!$AE$5:$AE$1004,0)+4)</f>
        <v/>
      </c>
    </row>
    <row r="51" customFormat="false" ht="15.75" hidden="false" customHeight="true" outlineLevel="0" collapsed="false">
      <c r="A51" s="22" t="str">
        <f aca="false">IF($L$3&lt;42,"",INDEX(Programação!$D$5:$D$1004,MATCH(42,Programação!$AE$5:$AE$1004,0)))</f>
        <v/>
      </c>
      <c r="B51" s="23" t="str">
        <f aca="false">IF($L$3&lt;42,"",INDEX(Programação!$E$5:$E$1004,MATCH(42,Programação!$AE$5:$AE$1004,0)))</f>
        <v/>
      </c>
      <c r="C51" s="24" t="str">
        <f aca="false">IF($L$3&lt;42,"",INDEX(Programação!$F$5:$F$1004,MATCH(42,Programação!$AE$5:$AE$1004,0)))</f>
        <v/>
      </c>
      <c r="D51" s="23" t="str">
        <f aca="false">IF($L$3&lt;42,"",INDEX(Programação!$AG$5:$AG$1004,MATCH(42,Programação!$AE$5:$AE$1004,0)))</f>
        <v/>
      </c>
      <c r="E51" s="25" t="str">
        <f aca="false">IF($L$3&lt;42,"",INDEX(Programação!$O$5:$O$1004,MATCH(42,Programação!$AE$5:$AE$1004,0)))</f>
        <v/>
      </c>
      <c r="F51" s="25" t="str">
        <f aca="false">IF($L$3&lt;42,"",INDEX(Programação!$P$5:$P$1004,MATCH(42,Programação!$AE$5:$AE$1004,0)))</f>
        <v/>
      </c>
      <c r="G51" s="22" t="str">
        <f aca="false">IF($A51="","",IF($H51&lt;&gt;"","Concluída",IF($F51&lt;$C$3,"Atrasada",IF($F51=$C$3,"Fecha neste dia","Em execução"))))</f>
        <v/>
      </c>
      <c r="H51" s="25" t="str">
        <f aca="false">IF($L$3&lt;42,"",IF(INDEX(Programação!$AT$5:$AT$1004,MATCH(42,Programação!$AE$5:$AE$1004,0))="","",INDEX(Programação!$AT$5:$AT$1004,MATCH(42,Programação!$AE$5:$AE$1004,0))))</f>
        <v/>
      </c>
      <c r="I51" s="22" t="str">
        <f aca="false">IF($L$3&lt;42,"",MATCH(42,Programação!$AE$5:$AE$1004,0)+4)</f>
        <v/>
      </c>
    </row>
    <row r="52" customFormat="false" ht="15.75" hidden="false" customHeight="true" outlineLevel="0" collapsed="false">
      <c r="A52" s="22" t="str">
        <f aca="false">IF($L$3&lt;43,"",INDEX(Programação!$D$5:$D$1004,MATCH(43,Programação!$AE$5:$AE$1004,0)))</f>
        <v/>
      </c>
      <c r="B52" s="23" t="str">
        <f aca="false">IF($L$3&lt;43,"",INDEX(Programação!$E$5:$E$1004,MATCH(43,Programação!$AE$5:$AE$1004,0)))</f>
        <v/>
      </c>
      <c r="C52" s="24" t="str">
        <f aca="false">IF($L$3&lt;43,"",INDEX(Programação!$F$5:$F$1004,MATCH(43,Programação!$AE$5:$AE$1004,0)))</f>
        <v/>
      </c>
      <c r="D52" s="23" t="str">
        <f aca="false">IF($L$3&lt;43,"",INDEX(Programação!$AG$5:$AG$1004,MATCH(43,Programação!$AE$5:$AE$1004,0)))</f>
        <v/>
      </c>
      <c r="E52" s="25" t="str">
        <f aca="false">IF($L$3&lt;43,"",INDEX(Programação!$O$5:$O$1004,MATCH(43,Programação!$AE$5:$AE$1004,0)))</f>
        <v/>
      </c>
      <c r="F52" s="25" t="str">
        <f aca="false">IF($L$3&lt;43,"",INDEX(Programação!$P$5:$P$1004,MATCH(43,Programação!$AE$5:$AE$1004,0)))</f>
        <v/>
      </c>
      <c r="G52" s="22" t="str">
        <f aca="false">IF($A52="","",IF($H52&lt;&gt;"","Concluída",IF($F52&lt;$C$3,"Atrasada",IF($F52=$C$3,"Fecha neste dia","Em execução"))))</f>
        <v/>
      </c>
      <c r="H52" s="25" t="str">
        <f aca="false">IF($L$3&lt;43,"",IF(INDEX(Programação!$AT$5:$AT$1004,MATCH(43,Programação!$AE$5:$AE$1004,0))="","",INDEX(Programação!$AT$5:$AT$1004,MATCH(43,Programação!$AE$5:$AE$1004,0))))</f>
        <v/>
      </c>
      <c r="I52" s="22" t="str">
        <f aca="false">IF($L$3&lt;43,"",MATCH(43,Programação!$AE$5:$AE$1004,0)+4)</f>
        <v/>
      </c>
    </row>
    <row r="53" customFormat="false" ht="15.75" hidden="false" customHeight="true" outlineLevel="0" collapsed="false">
      <c r="A53" s="22" t="str">
        <f aca="false">IF($L$3&lt;44,"",INDEX(Programação!$D$5:$D$1004,MATCH(44,Programação!$AE$5:$AE$1004,0)))</f>
        <v/>
      </c>
      <c r="B53" s="23" t="str">
        <f aca="false">IF($L$3&lt;44,"",INDEX(Programação!$E$5:$E$1004,MATCH(44,Programação!$AE$5:$AE$1004,0)))</f>
        <v/>
      </c>
      <c r="C53" s="24" t="str">
        <f aca="false">IF($L$3&lt;44,"",INDEX(Programação!$F$5:$F$1004,MATCH(44,Programação!$AE$5:$AE$1004,0)))</f>
        <v/>
      </c>
      <c r="D53" s="23" t="str">
        <f aca="false">IF($L$3&lt;44,"",INDEX(Programação!$AG$5:$AG$1004,MATCH(44,Programação!$AE$5:$AE$1004,0)))</f>
        <v/>
      </c>
      <c r="E53" s="25" t="str">
        <f aca="false">IF($L$3&lt;44,"",INDEX(Programação!$O$5:$O$1004,MATCH(44,Programação!$AE$5:$AE$1004,0)))</f>
        <v/>
      </c>
      <c r="F53" s="25" t="str">
        <f aca="false">IF($L$3&lt;44,"",INDEX(Programação!$P$5:$P$1004,MATCH(44,Programação!$AE$5:$AE$1004,0)))</f>
        <v/>
      </c>
      <c r="G53" s="22" t="str">
        <f aca="false">IF($A53="","",IF($H53&lt;&gt;"","Concluída",IF($F53&lt;$C$3,"Atrasada",IF($F53=$C$3,"Fecha neste dia","Em execução"))))</f>
        <v/>
      </c>
      <c r="H53" s="25" t="str">
        <f aca="false">IF($L$3&lt;44,"",IF(INDEX(Programação!$AT$5:$AT$1004,MATCH(44,Programação!$AE$5:$AE$1004,0))="","",INDEX(Programação!$AT$5:$AT$1004,MATCH(44,Programação!$AE$5:$AE$1004,0))))</f>
        <v/>
      </c>
      <c r="I53" s="22" t="str">
        <f aca="false">IF($L$3&lt;44,"",MATCH(44,Programação!$AE$5:$AE$1004,0)+4)</f>
        <v/>
      </c>
    </row>
    <row r="54" customFormat="false" ht="15.75" hidden="false" customHeight="true" outlineLevel="0" collapsed="false">
      <c r="A54" s="22" t="str">
        <f aca="false">IF($L$3&lt;45,"",INDEX(Programação!$D$5:$D$1004,MATCH(45,Programação!$AE$5:$AE$1004,0)))</f>
        <v/>
      </c>
      <c r="B54" s="23" t="str">
        <f aca="false">IF($L$3&lt;45,"",INDEX(Programação!$E$5:$E$1004,MATCH(45,Programação!$AE$5:$AE$1004,0)))</f>
        <v/>
      </c>
      <c r="C54" s="24" t="str">
        <f aca="false">IF($L$3&lt;45,"",INDEX(Programação!$F$5:$F$1004,MATCH(45,Programação!$AE$5:$AE$1004,0)))</f>
        <v/>
      </c>
      <c r="D54" s="23" t="str">
        <f aca="false">IF($L$3&lt;45,"",INDEX(Programação!$AG$5:$AG$1004,MATCH(45,Programação!$AE$5:$AE$1004,0)))</f>
        <v/>
      </c>
      <c r="E54" s="25" t="str">
        <f aca="false">IF($L$3&lt;45,"",INDEX(Programação!$O$5:$O$1004,MATCH(45,Programação!$AE$5:$AE$1004,0)))</f>
        <v/>
      </c>
      <c r="F54" s="25" t="str">
        <f aca="false">IF($L$3&lt;45,"",INDEX(Programação!$P$5:$P$1004,MATCH(45,Programação!$AE$5:$AE$1004,0)))</f>
        <v/>
      </c>
      <c r="G54" s="22" t="str">
        <f aca="false">IF($A54="","",IF($H54&lt;&gt;"","Concluída",IF($F54&lt;$C$3,"Atrasada",IF($F54=$C$3,"Fecha neste dia","Em execução"))))</f>
        <v/>
      </c>
      <c r="H54" s="25" t="str">
        <f aca="false">IF($L$3&lt;45,"",IF(INDEX(Programação!$AT$5:$AT$1004,MATCH(45,Programação!$AE$5:$AE$1004,0))="","",INDEX(Programação!$AT$5:$AT$1004,MATCH(45,Programação!$AE$5:$AE$1004,0))))</f>
        <v/>
      </c>
      <c r="I54" s="22" t="str">
        <f aca="false">IF($L$3&lt;45,"",MATCH(45,Programação!$AE$5:$AE$1004,0)+4)</f>
        <v/>
      </c>
    </row>
    <row r="55" customFormat="false" ht="18" hidden="false" customHeight="true" outlineLevel="0" collapsed="false">
      <c r="A55" s="29" t="str">
        <f aca="false">IF($L$3&lt;=45,"","⚠ há mais "&amp;($L$3-45)&amp;" atividades além das 45 listadas — veja na aba Programação")</f>
        <v/>
      </c>
      <c r="B55" s="29"/>
      <c r="C55" s="29"/>
      <c r="D55" s="29"/>
      <c r="E55" s="29"/>
      <c r="F55" s="29"/>
      <c r="G55" s="29"/>
      <c r="H55" s="29"/>
      <c r="I55" s="29"/>
    </row>
    <row r="57" customFormat="false" ht="19.5" hidden="false" customHeight="true" outlineLevel="0" collapsed="false">
      <c r="A57" s="30" t="s">
        <v>12</v>
      </c>
      <c r="B57" s="30"/>
      <c r="C57" s="30"/>
      <c r="D57" s="10" t="s">
        <v>27</v>
      </c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20" t="s">
        <v>17</v>
      </c>
      <c r="B58" s="20" t="s">
        <v>18</v>
      </c>
      <c r="C58" s="20" t="s">
        <v>19</v>
      </c>
      <c r="D58" s="20" t="s">
        <v>20</v>
      </c>
      <c r="E58" s="20" t="s">
        <v>21</v>
      </c>
      <c r="F58" s="20" t="s">
        <v>22</v>
      </c>
      <c r="G58" s="20" t="s">
        <v>23</v>
      </c>
      <c r="H58" s="20" t="s">
        <v>24</v>
      </c>
      <c r="I58" s="20" t="s">
        <v>25</v>
      </c>
    </row>
    <row r="59" customFormat="false" ht="15.75" hidden="false" customHeight="true" outlineLevel="0" collapsed="false">
      <c r="A59" s="22" t="str">
        <f aca="false">IF($L$4&lt;1,"",INDEX(Programação!$D$5:$D$1004,MATCH(1,Programação!$AF$5:$AF$1004,0)))</f>
        <v>F-1064</v>
      </c>
      <c r="B59" s="23" t="str">
        <f aca="false">IF($L$4&lt;1,"",INDEX(Programação!$E$5:$E$1004,MATCH(1,Programação!$AF$5:$AF$1004,0)))</f>
        <v>Programação 08/09</v>
      </c>
      <c r="C59" s="24" t="str">
        <f aca="false">IF($L$4&lt;1,"",INDEX(Programação!$F$5:$F$1004,MATCH(1,Programação!$AF$5:$AF$1004,0)))</f>
        <v>Substituir lanterna traseira LD avariada na lente e solta</v>
      </c>
      <c r="D59" s="23" t="str">
        <f aca="false">IF($L$4&lt;1,"",INDEX(Programação!$AG$5:$AG$1004,MATCH(1,Programação!$AF$5:$AF$1004,0)))</f>
        <v>Gabriel · Júnior</v>
      </c>
      <c r="E59" s="25" t="n">
        <f aca="false">IF($L$4&lt;1,"",INDEX(Programação!$O$5:$O$1004,MATCH(1,Programação!$AF$5:$AF$1004,0)))</f>
        <v>46273</v>
      </c>
      <c r="F59" s="25" t="n">
        <f aca="false">IF($L$4&lt;1,"",INDEX(Programação!$P$5:$P$1004,MATCH(1,Programação!$AF$5:$AF$1004,0)))</f>
        <v>46273</v>
      </c>
      <c r="G59" s="22" t="str">
        <f aca="false">IF($A59="","",IF($H59&lt;&gt;"","Concluída",IF($F59&lt;$C$3,"Atrasada",IF($F59=$C$3,"Fecha neste dia","Em execução"))))</f>
        <v>Atrasada</v>
      </c>
      <c r="H59" s="25" t="str">
        <f aca="false">IF($L$4&lt;1,"",IF(INDEX(Programação!$AT$5:$AT$1004,MATCH(1,Programação!$AF$5:$AF$1004,0))="","",INDEX(Programação!$AT$5:$AT$1004,MATCH(1,Programação!$AF$5:$AF$1004,0))))</f>
        <v/>
      </c>
      <c r="I59" s="22" t="n">
        <f aca="false">IF($L$4&lt;1,"",MATCH(1,Programação!$AF$5:$AF$1004,0)+4)</f>
        <v>288</v>
      </c>
    </row>
    <row r="60" customFormat="false" ht="15.75" hidden="false" customHeight="true" outlineLevel="0" collapsed="false">
      <c r="A60" s="22" t="str">
        <f aca="false">IF($L$4&lt;2,"",INDEX(Programação!$D$5:$D$1004,MATCH(2,Programação!$AF$5:$AF$1004,0)))</f>
        <v/>
      </c>
      <c r="B60" s="23" t="str">
        <f aca="false">IF($L$4&lt;2,"",INDEX(Programação!$E$5:$E$1004,MATCH(2,Programação!$AF$5:$AF$1004,0)))</f>
        <v/>
      </c>
      <c r="C60" s="24" t="str">
        <f aca="false">IF($L$4&lt;2,"",INDEX(Programação!$F$5:$F$1004,MATCH(2,Programação!$AF$5:$AF$1004,0)))</f>
        <v/>
      </c>
      <c r="D60" s="23" t="str">
        <f aca="false">IF($L$4&lt;2,"",INDEX(Programação!$AG$5:$AG$1004,MATCH(2,Programação!$AF$5:$AF$1004,0)))</f>
        <v/>
      </c>
      <c r="E60" s="25" t="str">
        <f aca="false">IF($L$4&lt;2,"",INDEX(Programação!$O$5:$O$1004,MATCH(2,Programação!$AF$5:$AF$1004,0)))</f>
        <v/>
      </c>
      <c r="F60" s="25" t="str">
        <f aca="false">IF($L$4&lt;2,"",INDEX(Programação!$P$5:$P$1004,MATCH(2,Programação!$AF$5:$AF$1004,0)))</f>
        <v/>
      </c>
      <c r="G60" s="22" t="str">
        <f aca="false">IF($A60="","",IF($H60&lt;&gt;"","Concluída",IF($F60&lt;$C$3,"Atrasada",IF($F60=$C$3,"Fecha neste dia","Em execução"))))</f>
        <v/>
      </c>
      <c r="H60" s="25" t="str">
        <f aca="false">IF($L$4&lt;2,"",IF(INDEX(Programação!$AT$5:$AT$1004,MATCH(2,Programação!$AF$5:$AF$1004,0))="","",INDEX(Programação!$AT$5:$AT$1004,MATCH(2,Programação!$AF$5:$AF$1004,0))))</f>
        <v/>
      </c>
      <c r="I60" s="22" t="str">
        <f aca="false">IF($L$4&lt;2,"",MATCH(2,Programação!$AF$5:$AF$1004,0)+4)</f>
        <v/>
      </c>
    </row>
    <row r="61" customFormat="false" ht="15.75" hidden="false" customHeight="true" outlineLevel="0" collapsed="false">
      <c r="A61" s="22" t="str">
        <f aca="false">IF($L$4&lt;3,"",INDEX(Programação!$D$5:$D$1004,MATCH(3,Programação!$AF$5:$AF$1004,0)))</f>
        <v/>
      </c>
      <c r="B61" s="23" t="str">
        <f aca="false">IF($L$4&lt;3,"",INDEX(Programação!$E$5:$E$1004,MATCH(3,Programação!$AF$5:$AF$1004,0)))</f>
        <v/>
      </c>
      <c r="C61" s="24" t="str">
        <f aca="false">IF($L$4&lt;3,"",INDEX(Programação!$F$5:$F$1004,MATCH(3,Programação!$AF$5:$AF$1004,0)))</f>
        <v/>
      </c>
      <c r="D61" s="23" t="str">
        <f aca="false">IF($L$4&lt;3,"",INDEX(Programação!$AG$5:$AG$1004,MATCH(3,Programação!$AF$5:$AF$1004,0)))</f>
        <v/>
      </c>
      <c r="E61" s="25" t="str">
        <f aca="false">IF($L$4&lt;3,"",INDEX(Programação!$O$5:$O$1004,MATCH(3,Programação!$AF$5:$AF$1004,0)))</f>
        <v/>
      </c>
      <c r="F61" s="25" t="str">
        <f aca="false">IF($L$4&lt;3,"",INDEX(Programação!$P$5:$P$1004,MATCH(3,Programação!$AF$5:$AF$1004,0)))</f>
        <v/>
      </c>
      <c r="G61" s="22" t="str">
        <f aca="false">IF($A61="","",IF($H61&lt;&gt;"","Concluída",IF($F61&lt;$C$3,"Atrasada",IF($F61=$C$3,"Fecha neste dia","Em execução"))))</f>
        <v/>
      </c>
      <c r="H61" s="25" t="str">
        <f aca="false">IF($L$4&lt;3,"",IF(INDEX(Programação!$AT$5:$AT$1004,MATCH(3,Programação!$AF$5:$AF$1004,0))="","",INDEX(Programação!$AT$5:$AT$1004,MATCH(3,Programação!$AF$5:$AF$1004,0))))</f>
        <v/>
      </c>
      <c r="I61" s="22" t="str">
        <f aca="false">IF($L$4&lt;3,"",MATCH(3,Programação!$AF$5:$AF$1004,0)+4)</f>
        <v/>
      </c>
    </row>
    <row r="62" customFormat="false" ht="15.75" hidden="false" customHeight="true" outlineLevel="0" collapsed="false">
      <c r="A62" s="22" t="str">
        <f aca="false">IF($L$4&lt;4,"",INDEX(Programação!$D$5:$D$1004,MATCH(4,Programação!$AF$5:$AF$1004,0)))</f>
        <v/>
      </c>
      <c r="B62" s="23" t="str">
        <f aca="false">IF($L$4&lt;4,"",INDEX(Programação!$E$5:$E$1004,MATCH(4,Programação!$AF$5:$AF$1004,0)))</f>
        <v/>
      </c>
      <c r="C62" s="24" t="str">
        <f aca="false">IF($L$4&lt;4,"",INDEX(Programação!$F$5:$F$1004,MATCH(4,Programação!$AF$5:$AF$1004,0)))</f>
        <v/>
      </c>
      <c r="D62" s="23" t="str">
        <f aca="false">IF($L$4&lt;4,"",INDEX(Programação!$AG$5:$AG$1004,MATCH(4,Programação!$AF$5:$AF$1004,0)))</f>
        <v/>
      </c>
      <c r="E62" s="25" t="str">
        <f aca="false">IF($L$4&lt;4,"",INDEX(Programação!$O$5:$O$1004,MATCH(4,Programação!$AF$5:$AF$1004,0)))</f>
        <v/>
      </c>
      <c r="F62" s="25" t="str">
        <f aca="false">IF($L$4&lt;4,"",INDEX(Programação!$P$5:$P$1004,MATCH(4,Programação!$AF$5:$AF$1004,0)))</f>
        <v/>
      </c>
      <c r="G62" s="22" t="str">
        <f aca="false">IF($A62="","",IF($H62&lt;&gt;"","Concluída",IF($F62&lt;$C$3,"Atrasada",IF($F62=$C$3,"Fecha neste dia","Em execução"))))</f>
        <v/>
      </c>
      <c r="H62" s="25" t="str">
        <f aca="false">IF($L$4&lt;4,"",IF(INDEX(Programação!$AT$5:$AT$1004,MATCH(4,Programação!$AF$5:$AF$1004,0))="","",INDEX(Programação!$AT$5:$AT$1004,MATCH(4,Programação!$AF$5:$AF$1004,0))))</f>
        <v/>
      </c>
      <c r="I62" s="22" t="str">
        <f aca="false">IF($L$4&lt;4,"",MATCH(4,Programação!$AF$5:$AF$1004,0)+4)</f>
        <v/>
      </c>
    </row>
    <row r="63" customFormat="false" ht="15.75" hidden="false" customHeight="true" outlineLevel="0" collapsed="false">
      <c r="A63" s="22" t="str">
        <f aca="false">IF($L$4&lt;5,"",INDEX(Programação!$D$5:$D$1004,MATCH(5,Programação!$AF$5:$AF$1004,0)))</f>
        <v/>
      </c>
      <c r="B63" s="23" t="str">
        <f aca="false">IF($L$4&lt;5,"",INDEX(Programação!$E$5:$E$1004,MATCH(5,Programação!$AF$5:$AF$1004,0)))</f>
        <v/>
      </c>
      <c r="C63" s="24" t="str">
        <f aca="false">IF($L$4&lt;5,"",INDEX(Programação!$F$5:$F$1004,MATCH(5,Programação!$AF$5:$AF$1004,0)))</f>
        <v/>
      </c>
      <c r="D63" s="23" t="str">
        <f aca="false">IF($L$4&lt;5,"",INDEX(Programação!$AG$5:$AG$1004,MATCH(5,Programação!$AF$5:$AF$1004,0)))</f>
        <v/>
      </c>
      <c r="E63" s="25" t="str">
        <f aca="false">IF($L$4&lt;5,"",INDEX(Programação!$O$5:$O$1004,MATCH(5,Programação!$AF$5:$AF$1004,0)))</f>
        <v/>
      </c>
      <c r="F63" s="25" t="str">
        <f aca="false">IF($L$4&lt;5,"",INDEX(Programação!$P$5:$P$1004,MATCH(5,Programação!$AF$5:$AF$1004,0)))</f>
        <v/>
      </c>
      <c r="G63" s="22" t="str">
        <f aca="false">IF($A63="","",IF($H63&lt;&gt;"","Concluída",IF($F63&lt;$C$3,"Atrasada",IF($F63=$C$3,"Fecha neste dia","Em execução"))))</f>
        <v/>
      </c>
      <c r="H63" s="25" t="str">
        <f aca="false">IF($L$4&lt;5,"",IF(INDEX(Programação!$AT$5:$AT$1004,MATCH(5,Programação!$AF$5:$AF$1004,0))="","",INDEX(Programação!$AT$5:$AT$1004,MATCH(5,Programação!$AF$5:$AF$1004,0))))</f>
        <v/>
      </c>
      <c r="I63" s="22" t="str">
        <f aca="false">IF($L$4&lt;5,"",MATCH(5,Programação!$AF$5:$AF$1004,0)+4)</f>
        <v/>
      </c>
    </row>
    <row r="64" customFormat="false" ht="15.75" hidden="false" customHeight="true" outlineLevel="0" collapsed="false">
      <c r="A64" s="22" t="str">
        <f aca="false">IF($L$4&lt;6,"",INDEX(Programação!$D$5:$D$1004,MATCH(6,Programação!$AF$5:$AF$1004,0)))</f>
        <v/>
      </c>
      <c r="B64" s="23" t="str">
        <f aca="false">IF($L$4&lt;6,"",INDEX(Programação!$E$5:$E$1004,MATCH(6,Programação!$AF$5:$AF$1004,0)))</f>
        <v/>
      </c>
      <c r="C64" s="24" t="str">
        <f aca="false">IF($L$4&lt;6,"",INDEX(Programação!$F$5:$F$1004,MATCH(6,Programação!$AF$5:$AF$1004,0)))</f>
        <v/>
      </c>
      <c r="D64" s="23" t="str">
        <f aca="false">IF($L$4&lt;6,"",INDEX(Programação!$AG$5:$AG$1004,MATCH(6,Programação!$AF$5:$AF$1004,0)))</f>
        <v/>
      </c>
      <c r="E64" s="25" t="str">
        <f aca="false">IF($L$4&lt;6,"",INDEX(Programação!$O$5:$O$1004,MATCH(6,Programação!$AF$5:$AF$1004,0)))</f>
        <v/>
      </c>
      <c r="F64" s="25" t="str">
        <f aca="false">IF($L$4&lt;6,"",INDEX(Programação!$P$5:$P$1004,MATCH(6,Programação!$AF$5:$AF$1004,0)))</f>
        <v/>
      </c>
      <c r="G64" s="22" t="str">
        <f aca="false">IF($A64="","",IF($H64&lt;&gt;"","Concluída",IF($F64&lt;$C$3,"Atrasada",IF($F64=$C$3,"Fecha neste dia","Em execução"))))</f>
        <v/>
      </c>
      <c r="H64" s="25" t="str">
        <f aca="false">IF($L$4&lt;6,"",IF(INDEX(Programação!$AT$5:$AT$1004,MATCH(6,Programação!$AF$5:$AF$1004,0))="","",INDEX(Programação!$AT$5:$AT$1004,MATCH(6,Programação!$AF$5:$AF$1004,0))))</f>
        <v/>
      </c>
      <c r="I64" s="22" t="str">
        <f aca="false">IF($L$4&lt;6,"",MATCH(6,Programação!$AF$5:$AF$1004,0)+4)</f>
        <v/>
      </c>
    </row>
    <row r="65" customFormat="false" ht="15.75" hidden="false" customHeight="true" outlineLevel="0" collapsed="false">
      <c r="A65" s="22" t="str">
        <f aca="false">IF($L$4&lt;7,"",INDEX(Programação!$D$5:$D$1004,MATCH(7,Programação!$AF$5:$AF$1004,0)))</f>
        <v/>
      </c>
      <c r="B65" s="23" t="str">
        <f aca="false">IF($L$4&lt;7,"",INDEX(Programação!$E$5:$E$1004,MATCH(7,Programação!$AF$5:$AF$1004,0)))</f>
        <v/>
      </c>
      <c r="C65" s="24" t="str">
        <f aca="false">IF($L$4&lt;7,"",INDEX(Programação!$F$5:$F$1004,MATCH(7,Programação!$AF$5:$AF$1004,0)))</f>
        <v/>
      </c>
      <c r="D65" s="23" t="str">
        <f aca="false">IF($L$4&lt;7,"",INDEX(Programação!$AG$5:$AG$1004,MATCH(7,Programação!$AF$5:$AF$1004,0)))</f>
        <v/>
      </c>
      <c r="E65" s="25" t="str">
        <f aca="false">IF($L$4&lt;7,"",INDEX(Programação!$O$5:$O$1004,MATCH(7,Programação!$AF$5:$AF$1004,0)))</f>
        <v/>
      </c>
      <c r="F65" s="25" t="str">
        <f aca="false">IF($L$4&lt;7,"",INDEX(Programação!$P$5:$P$1004,MATCH(7,Programação!$AF$5:$AF$1004,0)))</f>
        <v/>
      </c>
      <c r="G65" s="22" t="str">
        <f aca="false">IF($A65="","",IF($H65&lt;&gt;"","Concluída",IF($F65&lt;$C$3,"Atrasada",IF($F65=$C$3,"Fecha neste dia","Em execução"))))</f>
        <v/>
      </c>
      <c r="H65" s="25" t="str">
        <f aca="false">IF($L$4&lt;7,"",IF(INDEX(Programação!$AT$5:$AT$1004,MATCH(7,Programação!$AF$5:$AF$1004,0))="","",INDEX(Programação!$AT$5:$AT$1004,MATCH(7,Programação!$AF$5:$AF$1004,0))))</f>
        <v/>
      </c>
      <c r="I65" s="22" t="str">
        <f aca="false">IF($L$4&lt;7,"",MATCH(7,Programação!$AF$5:$AF$1004,0)+4)</f>
        <v/>
      </c>
    </row>
    <row r="66" customFormat="false" ht="15.75" hidden="false" customHeight="true" outlineLevel="0" collapsed="false">
      <c r="A66" s="22" t="str">
        <f aca="false">IF($L$4&lt;8,"",INDEX(Programação!$D$5:$D$1004,MATCH(8,Programação!$AF$5:$AF$1004,0)))</f>
        <v/>
      </c>
      <c r="B66" s="23" t="str">
        <f aca="false">IF($L$4&lt;8,"",INDEX(Programação!$E$5:$E$1004,MATCH(8,Programação!$AF$5:$AF$1004,0)))</f>
        <v/>
      </c>
      <c r="C66" s="24" t="str">
        <f aca="false">IF($L$4&lt;8,"",INDEX(Programação!$F$5:$F$1004,MATCH(8,Programação!$AF$5:$AF$1004,0)))</f>
        <v/>
      </c>
      <c r="D66" s="23" t="str">
        <f aca="false">IF($L$4&lt;8,"",INDEX(Programação!$AG$5:$AG$1004,MATCH(8,Programação!$AF$5:$AF$1004,0)))</f>
        <v/>
      </c>
      <c r="E66" s="25" t="str">
        <f aca="false">IF($L$4&lt;8,"",INDEX(Programação!$O$5:$O$1004,MATCH(8,Programação!$AF$5:$AF$1004,0)))</f>
        <v/>
      </c>
      <c r="F66" s="25" t="str">
        <f aca="false">IF($L$4&lt;8,"",INDEX(Programação!$P$5:$P$1004,MATCH(8,Programação!$AF$5:$AF$1004,0)))</f>
        <v/>
      </c>
      <c r="G66" s="22" t="str">
        <f aca="false">IF($A66="","",IF($H66&lt;&gt;"","Concluída",IF($F66&lt;$C$3,"Atrasada",IF($F66=$C$3,"Fecha neste dia","Em execução"))))</f>
        <v/>
      </c>
      <c r="H66" s="25" t="str">
        <f aca="false">IF($L$4&lt;8,"",IF(INDEX(Programação!$AT$5:$AT$1004,MATCH(8,Programação!$AF$5:$AF$1004,0))="","",INDEX(Programação!$AT$5:$AT$1004,MATCH(8,Programação!$AF$5:$AF$1004,0))))</f>
        <v/>
      </c>
      <c r="I66" s="22" t="str">
        <f aca="false">IF($L$4&lt;8,"",MATCH(8,Programação!$AF$5:$AF$1004,0)+4)</f>
        <v/>
      </c>
    </row>
    <row r="67" customFormat="false" ht="15.75" hidden="false" customHeight="true" outlineLevel="0" collapsed="false">
      <c r="A67" s="22" t="str">
        <f aca="false">IF($L$4&lt;9,"",INDEX(Programação!$D$5:$D$1004,MATCH(9,Programação!$AF$5:$AF$1004,0)))</f>
        <v/>
      </c>
      <c r="B67" s="23" t="str">
        <f aca="false">IF($L$4&lt;9,"",INDEX(Programação!$E$5:$E$1004,MATCH(9,Programação!$AF$5:$AF$1004,0)))</f>
        <v/>
      </c>
      <c r="C67" s="24" t="str">
        <f aca="false">IF($L$4&lt;9,"",INDEX(Programação!$F$5:$F$1004,MATCH(9,Programação!$AF$5:$AF$1004,0)))</f>
        <v/>
      </c>
      <c r="D67" s="23" t="str">
        <f aca="false">IF($L$4&lt;9,"",INDEX(Programação!$AG$5:$AG$1004,MATCH(9,Programação!$AF$5:$AF$1004,0)))</f>
        <v/>
      </c>
      <c r="E67" s="25" t="str">
        <f aca="false">IF($L$4&lt;9,"",INDEX(Programação!$O$5:$O$1004,MATCH(9,Programação!$AF$5:$AF$1004,0)))</f>
        <v/>
      </c>
      <c r="F67" s="25" t="str">
        <f aca="false">IF($L$4&lt;9,"",INDEX(Programação!$P$5:$P$1004,MATCH(9,Programação!$AF$5:$AF$1004,0)))</f>
        <v/>
      </c>
      <c r="G67" s="22" t="str">
        <f aca="false">IF($A67="","",IF($H67&lt;&gt;"","Concluída",IF($F67&lt;$C$3,"Atrasada",IF($F67=$C$3,"Fecha neste dia","Em execução"))))</f>
        <v/>
      </c>
      <c r="H67" s="25" t="str">
        <f aca="false">IF($L$4&lt;9,"",IF(INDEX(Programação!$AT$5:$AT$1004,MATCH(9,Programação!$AF$5:$AF$1004,0))="","",INDEX(Programação!$AT$5:$AT$1004,MATCH(9,Programação!$AF$5:$AF$1004,0))))</f>
        <v/>
      </c>
      <c r="I67" s="22" t="str">
        <f aca="false">IF($L$4&lt;9,"",MATCH(9,Programação!$AF$5:$AF$1004,0)+4)</f>
        <v/>
      </c>
    </row>
    <row r="68" customFormat="false" ht="15.75" hidden="false" customHeight="true" outlineLevel="0" collapsed="false">
      <c r="A68" s="22" t="str">
        <f aca="false">IF($L$4&lt;10,"",INDEX(Programação!$D$5:$D$1004,MATCH(10,Programação!$AF$5:$AF$1004,0)))</f>
        <v/>
      </c>
      <c r="B68" s="23" t="str">
        <f aca="false">IF($L$4&lt;10,"",INDEX(Programação!$E$5:$E$1004,MATCH(10,Programação!$AF$5:$AF$1004,0)))</f>
        <v/>
      </c>
      <c r="C68" s="24" t="str">
        <f aca="false">IF($L$4&lt;10,"",INDEX(Programação!$F$5:$F$1004,MATCH(10,Programação!$AF$5:$AF$1004,0)))</f>
        <v/>
      </c>
      <c r="D68" s="23" t="str">
        <f aca="false">IF($L$4&lt;10,"",INDEX(Programação!$AG$5:$AG$1004,MATCH(10,Programação!$AF$5:$AF$1004,0)))</f>
        <v/>
      </c>
      <c r="E68" s="25" t="str">
        <f aca="false">IF($L$4&lt;10,"",INDEX(Programação!$O$5:$O$1004,MATCH(10,Programação!$AF$5:$AF$1004,0)))</f>
        <v/>
      </c>
      <c r="F68" s="25" t="str">
        <f aca="false">IF($L$4&lt;10,"",INDEX(Programação!$P$5:$P$1004,MATCH(10,Programação!$AF$5:$AF$1004,0)))</f>
        <v/>
      </c>
      <c r="G68" s="22" t="str">
        <f aca="false">IF($A68="","",IF($H68&lt;&gt;"","Concluída",IF($F68&lt;$C$3,"Atrasada",IF($F68=$C$3,"Fecha neste dia","Em execução"))))</f>
        <v/>
      </c>
      <c r="H68" s="25" t="str">
        <f aca="false">IF($L$4&lt;10,"",IF(INDEX(Programação!$AT$5:$AT$1004,MATCH(10,Programação!$AF$5:$AF$1004,0))="","",INDEX(Programação!$AT$5:$AT$1004,MATCH(10,Programação!$AF$5:$AF$1004,0))))</f>
        <v/>
      </c>
      <c r="I68" s="22" t="str">
        <f aca="false">IF($L$4&lt;10,"",MATCH(10,Programação!$AF$5:$AF$1004,0)+4)</f>
        <v/>
      </c>
    </row>
    <row r="69" customFormat="false" ht="15.75" hidden="false" customHeight="true" outlineLevel="0" collapsed="false">
      <c r="A69" s="22" t="str">
        <f aca="false">IF($L$4&lt;11,"",INDEX(Programação!$D$5:$D$1004,MATCH(11,Programação!$AF$5:$AF$1004,0)))</f>
        <v/>
      </c>
      <c r="B69" s="23" t="str">
        <f aca="false">IF($L$4&lt;11,"",INDEX(Programação!$E$5:$E$1004,MATCH(11,Programação!$AF$5:$AF$1004,0)))</f>
        <v/>
      </c>
      <c r="C69" s="24" t="str">
        <f aca="false">IF($L$4&lt;11,"",INDEX(Programação!$F$5:$F$1004,MATCH(11,Programação!$AF$5:$AF$1004,0)))</f>
        <v/>
      </c>
      <c r="D69" s="23" t="str">
        <f aca="false">IF($L$4&lt;11,"",INDEX(Programação!$AG$5:$AG$1004,MATCH(11,Programação!$AF$5:$AF$1004,0)))</f>
        <v/>
      </c>
      <c r="E69" s="25" t="str">
        <f aca="false">IF($L$4&lt;11,"",INDEX(Programação!$O$5:$O$1004,MATCH(11,Programação!$AF$5:$AF$1004,0)))</f>
        <v/>
      </c>
      <c r="F69" s="25" t="str">
        <f aca="false">IF($L$4&lt;11,"",INDEX(Programação!$P$5:$P$1004,MATCH(11,Programação!$AF$5:$AF$1004,0)))</f>
        <v/>
      </c>
      <c r="G69" s="22" t="str">
        <f aca="false">IF($A69="","",IF($H69&lt;&gt;"","Concluída",IF($F69&lt;$C$3,"Atrasada",IF($F69=$C$3,"Fecha neste dia","Em execução"))))</f>
        <v/>
      </c>
      <c r="H69" s="25" t="str">
        <f aca="false">IF($L$4&lt;11,"",IF(INDEX(Programação!$AT$5:$AT$1004,MATCH(11,Programação!$AF$5:$AF$1004,0))="","",INDEX(Programação!$AT$5:$AT$1004,MATCH(11,Programação!$AF$5:$AF$1004,0))))</f>
        <v/>
      </c>
      <c r="I69" s="22" t="str">
        <f aca="false">IF($L$4&lt;11,"",MATCH(11,Programação!$AF$5:$AF$1004,0)+4)</f>
        <v/>
      </c>
    </row>
    <row r="70" customFormat="false" ht="15.75" hidden="false" customHeight="true" outlineLevel="0" collapsed="false">
      <c r="A70" s="22" t="str">
        <f aca="false">IF($L$4&lt;12,"",INDEX(Programação!$D$5:$D$1004,MATCH(12,Programação!$AF$5:$AF$1004,0)))</f>
        <v/>
      </c>
      <c r="B70" s="23" t="str">
        <f aca="false">IF($L$4&lt;12,"",INDEX(Programação!$E$5:$E$1004,MATCH(12,Programação!$AF$5:$AF$1004,0)))</f>
        <v/>
      </c>
      <c r="C70" s="24" t="str">
        <f aca="false">IF($L$4&lt;12,"",INDEX(Programação!$F$5:$F$1004,MATCH(12,Programação!$AF$5:$AF$1004,0)))</f>
        <v/>
      </c>
      <c r="D70" s="23" t="str">
        <f aca="false">IF($L$4&lt;12,"",INDEX(Programação!$AG$5:$AG$1004,MATCH(12,Programação!$AF$5:$AF$1004,0)))</f>
        <v/>
      </c>
      <c r="E70" s="25" t="str">
        <f aca="false">IF($L$4&lt;12,"",INDEX(Programação!$O$5:$O$1004,MATCH(12,Programação!$AF$5:$AF$1004,0)))</f>
        <v/>
      </c>
      <c r="F70" s="25" t="str">
        <f aca="false">IF($L$4&lt;12,"",INDEX(Programação!$P$5:$P$1004,MATCH(12,Programação!$AF$5:$AF$1004,0)))</f>
        <v/>
      </c>
      <c r="G70" s="22" t="str">
        <f aca="false">IF($A70="","",IF($H70&lt;&gt;"","Concluída",IF($F70&lt;$C$3,"Atrasada",IF($F70=$C$3,"Fecha neste dia","Em execução"))))</f>
        <v/>
      </c>
      <c r="H70" s="25" t="str">
        <f aca="false">IF($L$4&lt;12,"",IF(INDEX(Programação!$AT$5:$AT$1004,MATCH(12,Programação!$AF$5:$AF$1004,0))="","",INDEX(Programação!$AT$5:$AT$1004,MATCH(12,Programação!$AF$5:$AF$1004,0))))</f>
        <v/>
      </c>
      <c r="I70" s="22" t="str">
        <f aca="false">IF($L$4&lt;12,"",MATCH(12,Programação!$AF$5:$AF$1004,0)+4)</f>
        <v/>
      </c>
    </row>
    <row r="71" customFormat="false" ht="15.75" hidden="false" customHeight="true" outlineLevel="0" collapsed="false">
      <c r="A71" s="22" t="str">
        <f aca="false">IF($L$4&lt;13,"",INDEX(Programação!$D$5:$D$1004,MATCH(13,Programação!$AF$5:$AF$1004,0)))</f>
        <v/>
      </c>
      <c r="B71" s="23" t="str">
        <f aca="false">IF($L$4&lt;13,"",INDEX(Programação!$E$5:$E$1004,MATCH(13,Programação!$AF$5:$AF$1004,0)))</f>
        <v/>
      </c>
      <c r="C71" s="24" t="str">
        <f aca="false">IF($L$4&lt;13,"",INDEX(Programação!$F$5:$F$1004,MATCH(13,Programação!$AF$5:$AF$1004,0)))</f>
        <v/>
      </c>
      <c r="D71" s="23" t="str">
        <f aca="false">IF($L$4&lt;13,"",INDEX(Programação!$AG$5:$AG$1004,MATCH(13,Programação!$AF$5:$AF$1004,0)))</f>
        <v/>
      </c>
      <c r="E71" s="25" t="str">
        <f aca="false">IF($L$4&lt;13,"",INDEX(Programação!$O$5:$O$1004,MATCH(13,Programação!$AF$5:$AF$1004,0)))</f>
        <v/>
      </c>
      <c r="F71" s="25" t="str">
        <f aca="false">IF($L$4&lt;13,"",INDEX(Programação!$P$5:$P$1004,MATCH(13,Programação!$AF$5:$AF$1004,0)))</f>
        <v/>
      </c>
      <c r="G71" s="22" t="str">
        <f aca="false">IF($A71="","",IF($H71&lt;&gt;"","Concluída",IF($F71&lt;$C$3,"Atrasada",IF($F71=$C$3,"Fecha neste dia","Em execução"))))</f>
        <v/>
      </c>
      <c r="H71" s="25" t="str">
        <f aca="false">IF($L$4&lt;13,"",IF(INDEX(Programação!$AT$5:$AT$1004,MATCH(13,Programação!$AF$5:$AF$1004,0))="","",INDEX(Programação!$AT$5:$AT$1004,MATCH(13,Programação!$AF$5:$AF$1004,0))))</f>
        <v/>
      </c>
      <c r="I71" s="22" t="str">
        <f aca="false">IF($L$4&lt;13,"",MATCH(13,Programação!$AF$5:$AF$1004,0)+4)</f>
        <v/>
      </c>
    </row>
    <row r="72" customFormat="false" ht="15.75" hidden="false" customHeight="true" outlineLevel="0" collapsed="false">
      <c r="A72" s="22" t="str">
        <f aca="false">IF($L$4&lt;14,"",INDEX(Programação!$D$5:$D$1004,MATCH(14,Programação!$AF$5:$AF$1004,0)))</f>
        <v/>
      </c>
      <c r="B72" s="23" t="str">
        <f aca="false">IF($L$4&lt;14,"",INDEX(Programação!$E$5:$E$1004,MATCH(14,Programação!$AF$5:$AF$1004,0)))</f>
        <v/>
      </c>
      <c r="C72" s="24" t="str">
        <f aca="false">IF($L$4&lt;14,"",INDEX(Programação!$F$5:$F$1004,MATCH(14,Programação!$AF$5:$AF$1004,0)))</f>
        <v/>
      </c>
      <c r="D72" s="23" t="str">
        <f aca="false">IF($L$4&lt;14,"",INDEX(Programação!$AG$5:$AG$1004,MATCH(14,Programação!$AF$5:$AF$1004,0)))</f>
        <v/>
      </c>
      <c r="E72" s="25" t="str">
        <f aca="false">IF($L$4&lt;14,"",INDEX(Programação!$O$5:$O$1004,MATCH(14,Programação!$AF$5:$AF$1004,0)))</f>
        <v/>
      </c>
      <c r="F72" s="25" t="str">
        <f aca="false">IF($L$4&lt;14,"",INDEX(Programação!$P$5:$P$1004,MATCH(14,Programação!$AF$5:$AF$1004,0)))</f>
        <v/>
      </c>
      <c r="G72" s="22" t="str">
        <f aca="false">IF($A72="","",IF($H72&lt;&gt;"","Concluída",IF($F72&lt;$C$3,"Atrasada",IF($F72=$C$3,"Fecha neste dia","Em execução"))))</f>
        <v/>
      </c>
      <c r="H72" s="25" t="str">
        <f aca="false">IF($L$4&lt;14,"",IF(INDEX(Programação!$AT$5:$AT$1004,MATCH(14,Programação!$AF$5:$AF$1004,0))="","",INDEX(Programação!$AT$5:$AT$1004,MATCH(14,Programação!$AF$5:$AF$1004,0))))</f>
        <v/>
      </c>
      <c r="I72" s="22" t="str">
        <f aca="false">IF($L$4&lt;14,"",MATCH(14,Programação!$AF$5:$AF$1004,0)+4)</f>
        <v/>
      </c>
    </row>
    <row r="73" customFormat="false" ht="15.75" hidden="false" customHeight="true" outlineLevel="0" collapsed="false">
      <c r="A73" s="22" t="str">
        <f aca="false">IF($L$4&lt;15,"",INDEX(Programação!$D$5:$D$1004,MATCH(15,Programação!$AF$5:$AF$1004,0)))</f>
        <v/>
      </c>
      <c r="B73" s="23" t="str">
        <f aca="false">IF($L$4&lt;15,"",INDEX(Programação!$E$5:$E$1004,MATCH(15,Programação!$AF$5:$AF$1004,0)))</f>
        <v/>
      </c>
      <c r="C73" s="24" t="str">
        <f aca="false">IF($L$4&lt;15,"",INDEX(Programação!$F$5:$F$1004,MATCH(15,Programação!$AF$5:$AF$1004,0)))</f>
        <v/>
      </c>
      <c r="D73" s="23" t="str">
        <f aca="false">IF($L$4&lt;15,"",INDEX(Programação!$AG$5:$AG$1004,MATCH(15,Programação!$AF$5:$AF$1004,0)))</f>
        <v/>
      </c>
      <c r="E73" s="25" t="str">
        <f aca="false">IF($L$4&lt;15,"",INDEX(Programação!$O$5:$O$1004,MATCH(15,Programação!$AF$5:$AF$1004,0)))</f>
        <v/>
      </c>
      <c r="F73" s="25" t="str">
        <f aca="false">IF($L$4&lt;15,"",INDEX(Programação!$P$5:$P$1004,MATCH(15,Programação!$AF$5:$AF$1004,0)))</f>
        <v/>
      </c>
      <c r="G73" s="22" t="str">
        <f aca="false">IF($A73="","",IF($H73&lt;&gt;"","Concluída",IF($F73&lt;$C$3,"Atrasada",IF($F73=$C$3,"Fecha neste dia","Em execução"))))</f>
        <v/>
      </c>
      <c r="H73" s="25" t="str">
        <f aca="false">IF($L$4&lt;15,"",IF(INDEX(Programação!$AT$5:$AT$1004,MATCH(15,Programação!$AF$5:$AF$1004,0))="","",INDEX(Programação!$AT$5:$AT$1004,MATCH(15,Programação!$AF$5:$AF$1004,0))))</f>
        <v/>
      </c>
      <c r="I73" s="22" t="str">
        <f aca="false">IF($L$4&lt;15,"",MATCH(15,Programação!$AF$5:$AF$1004,0)+4)</f>
        <v/>
      </c>
    </row>
    <row r="74" customFormat="false" ht="15.75" hidden="false" customHeight="true" outlineLevel="0" collapsed="false">
      <c r="A74" s="22" t="str">
        <f aca="false">IF($L$4&lt;16,"",INDEX(Programação!$D$5:$D$1004,MATCH(16,Programação!$AF$5:$AF$1004,0)))</f>
        <v/>
      </c>
      <c r="B74" s="23" t="str">
        <f aca="false">IF($L$4&lt;16,"",INDEX(Programação!$E$5:$E$1004,MATCH(16,Programação!$AF$5:$AF$1004,0)))</f>
        <v/>
      </c>
      <c r="C74" s="24" t="str">
        <f aca="false">IF($L$4&lt;16,"",INDEX(Programação!$F$5:$F$1004,MATCH(16,Programação!$AF$5:$AF$1004,0)))</f>
        <v/>
      </c>
      <c r="D74" s="23" t="str">
        <f aca="false">IF($L$4&lt;16,"",INDEX(Programação!$AG$5:$AG$1004,MATCH(16,Programação!$AF$5:$AF$1004,0)))</f>
        <v/>
      </c>
      <c r="E74" s="25" t="str">
        <f aca="false">IF($L$4&lt;16,"",INDEX(Programação!$O$5:$O$1004,MATCH(16,Programação!$AF$5:$AF$1004,0)))</f>
        <v/>
      </c>
      <c r="F74" s="25" t="str">
        <f aca="false">IF($L$4&lt;16,"",INDEX(Programação!$P$5:$P$1004,MATCH(16,Programação!$AF$5:$AF$1004,0)))</f>
        <v/>
      </c>
      <c r="G74" s="22" t="str">
        <f aca="false">IF($A74="","",IF($H74&lt;&gt;"","Concluída",IF($F74&lt;$C$3,"Atrasada",IF($F74=$C$3,"Fecha neste dia","Em execução"))))</f>
        <v/>
      </c>
      <c r="H74" s="25" t="str">
        <f aca="false">IF($L$4&lt;16,"",IF(INDEX(Programação!$AT$5:$AT$1004,MATCH(16,Programação!$AF$5:$AF$1004,0))="","",INDEX(Programação!$AT$5:$AT$1004,MATCH(16,Programação!$AF$5:$AF$1004,0))))</f>
        <v/>
      </c>
      <c r="I74" s="22" t="str">
        <f aca="false">IF($L$4&lt;16,"",MATCH(16,Programação!$AF$5:$AF$1004,0)+4)</f>
        <v/>
      </c>
    </row>
    <row r="75" customFormat="false" ht="15.75" hidden="false" customHeight="true" outlineLevel="0" collapsed="false">
      <c r="A75" s="22" t="str">
        <f aca="false">IF($L$4&lt;17,"",INDEX(Programação!$D$5:$D$1004,MATCH(17,Programação!$AF$5:$AF$1004,0)))</f>
        <v/>
      </c>
      <c r="B75" s="23" t="str">
        <f aca="false">IF($L$4&lt;17,"",INDEX(Programação!$E$5:$E$1004,MATCH(17,Programação!$AF$5:$AF$1004,0)))</f>
        <v/>
      </c>
      <c r="C75" s="24" t="str">
        <f aca="false">IF($L$4&lt;17,"",INDEX(Programação!$F$5:$F$1004,MATCH(17,Programação!$AF$5:$AF$1004,0)))</f>
        <v/>
      </c>
      <c r="D75" s="23" t="str">
        <f aca="false">IF($L$4&lt;17,"",INDEX(Programação!$AG$5:$AG$1004,MATCH(17,Programação!$AF$5:$AF$1004,0)))</f>
        <v/>
      </c>
      <c r="E75" s="25" t="str">
        <f aca="false">IF($L$4&lt;17,"",INDEX(Programação!$O$5:$O$1004,MATCH(17,Programação!$AF$5:$AF$1004,0)))</f>
        <v/>
      </c>
      <c r="F75" s="25" t="str">
        <f aca="false">IF($L$4&lt;17,"",INDEX(Programação!$P$5:$P$1004,MATCH(17,Programação!$AF$5:$AF$1004,0)))</f>
        <v/>
      </c>
      <c r="G75" s="22" t="str">
        <f aca="false">IF($A75="","",IF($H75&lt;&gt;"","Concluída",IF($F75&lt;$C$3,"Atrasada",IF($F75=$C$3,"Fecha neste dia","Em execução"))))</f>
        <v/>
      </c>
      <c r="H75" s="25" t="str">
        <f aca="false">IF($L$4&lt;17,"",IF(INDEX(Programação!$AT$5:$AT$1004,MATCH(17,Programação!$AF$5:$AF$1004,0))="","",INDEX(Programação!$AT$5:$AT$1004,MATCH(17,Programação!$AF$5:$AF$1004,0))))</f>
        <v/>
      </c>
      <c r="I75" s="22" t="str">
        <f aca="false">IF($L$4&lt;17,"",MATCH(17,Programação!$AF$5:$AF$1004,0)+4)</f>
        <v/>
      </c>
    </row>
    <row r="76" customFormat="false" ht="15.75" hidden="false" customHeight="true" outlineLevel="0" collapsed="false">
      <c r="A76" s="22" t="str">
        <f aca="false">IF($L$4&lt;18,"",INDEX(Programação!$D$5:$D$1004,MATCH(18,Programação!$AF$5:$AF$1004,0)))</f>
        <v/>
      </c>
      <c r="B76" s="23" t="str">
        <f aca="false">IF($L$4&lt;18,"",INDEX(Programação!$E$5:$E$1004,MATCH(18,Programação!$AF$5:$AF$1004,0)))</f>
        <v/>
      </c>
      <c r="C76" s="24" t="str">
        <f aca="false">IF($L$4&lt;18,"",INDEX(Programação!$F$5:$F$1004,MATCH(18,Programação!$AF$5:$AF$1004,0)))</f>
        <v/>
      </c>
      <c r="D76" s="23" t="str">
        <f aca="false">IF($L$4&lt;18,"",INDEX(Programação!$AG$5:$AG$1004,MATCH(18,Programação!$AF$5:$AF$1004,0)))</f>
        <v/>
      </c>
      <c r="E76" s="25" t="str">
        <f aca="false">IF($L$4&lt;18,"",INDEX(Programação!$O$5:$O$1004,MATCH(18,Programação!$AF$5:$AF$1004,0)))</f>
        <v/>
      </c>
      <c r="F76" s="25" t="str">
        <f aca="false">IF($L$4&lt;18,"",INDEX(Programação!$P$5:$P$1004,MATCH(18,Programação!$AF$5:$AF$1004,0)))</f>
        <v/>
      </c>
      <c r="G76" s="22" t="str">
        <f aca="false">IF($A76="","",IF($H76&lt;&gt;"","Concluída",IF($F76&lt;$C$3,"Atrasada",IF($F76=$C$3,"Fecha neste dia","Em execução"))))</f>
        <v/>
      </c>
      <c r="H76" s="25" t="str">
        <f aca="false">IF($L$4&lt;18,"",IF(INDEX(Programação!$AT$5:$AT$1004,MATCH(18,Programação!$AF$5:$AF$1004,0))="","",INDEX(Programação!$AT$5:$AT$1004,MATCH(18,Programação!$AF$5:$AF$1004,0))))</f>
        <v/>
      </c>
      <c r="I76" s="22" t="str">
        <f aca="false">IF($L$4&lt;18,"",MATCH(18,Programação!$AF$5:$AF$1004,0)+4)</f>
        <v/>
      </c>
    </row>
    <row r="77" customFormat="false" ht="15.75" hidden="false" customHeight="true" outlineLevel="0" collapsed="false">
      <c r="A77" s="22" t="str">
        <f aca="false">IF($L$4&lt;19,"",INDEX(Programação!$D$5:$D$1004,MATCH(19,Programação!$AF$5:$AF$1004,0)))</f>
        <v/>
      </c>
      <c r="B77" s="23" t="str">
        <f aca="false">IF($L$4&lt;19,"",INDEX(Programação!$E$5:$E$1004,MATCH(19,Programação!$AF$5:$AF$1004,0)))</f>
        <v/>
      </c>
      <c r="C77" s="24" t="str">
        <f aca="false">IF($L$4&lt;19,"",INDEX(Programação!$F$5:$F$1004,MATCH(19,Programação!$AF$5:$AF$1004,0)))</f>
        <v/>
      </c>
      <c r="D77" s="23" t="str">
        <f aca="false">IF($L$4&lt;19,"",INDEX(Programação!$AG$5:$AG$1004,MATCH(19,Programação!$AF$5:$AF$1004,0)))</f>
        <v/>
      </c>
      <c r="E77" s="25" t="str">
        <f aca="false">IF($L$4&lt;19,"",INDEX(Programação!$O$5:$O$1004,MATCH(19,Programação!$AF$5:$AF$1004,0)))</f>
        <v/>
      </c>
      <c r="F77" s="25" t="str">
        <f aca="false">IF($L$4&lt;19,"",INDEX(Programação!$P$5:$P$1004,MATCH(19,Programação!$AF$5:$AF$1004,0)))</f>
        <v/>
      </c>
      <c r="G77" s="22" t="str">
        <f aca="false">IF($A77="","",IF($H77&lt;&gt;"","Concluída",IF($F77&lt;$C$3,"Atrasada",IF($F77=$C$3,"Fecha neste dia","Em execução"))))</f>
        <v/>
      </c>
      <c r="H77" s="25" t="str">
        <f aca="false">IF($L$4&lt;19,"",IF(INDEX(Programação!$AT$5:$AT$1004,MATCH(19,Programação!$AF$5:$AF$1004,0))="","",INDEX(Programação!$AT$5:$AT$1004,MATCH(19,Programação!$AF$5:$AF$1004,0))))</f>
        <v/>
      </c>
      <c r="I77" s="22" t="str">
        <f aca="false">IF($L$4&lt;19,"",MATCH(19,Programação!$AF$5:$AF$1004,0)+4)</f>
        <v/>
      </c>
    </row>
    <row r="78" customFormat="false" ht="15.75" hidden="false" customHeight="true" outlineLevel="0" collapsed="false">
      <c r="A78" s="22" t="str">
        <f aca="false">IF($L$4&lt;20,"",INDEX(Programação!$D$5:$D$1004,MATCH(20,Programação!$AF$5:$AF$1004,0)))</f>
        <v/>
      </c>
      <c r="B78" s="23" t="str">
        <f aca="false">IF($L$4&lt;20,"",INDEX(Programação!$E$5:$E$1004,MATCH(20,Programação!$AF$5:$AF$1004,0)))</f>
        <v/>
      </c>
      <c r="C78" s="24" t="str">
        <f aca="false">IF($L$4&lt;20,"",INDEX(Programação!$F$5:$F$1004,MATCH(20,Programação!$AF$5:$AF$1004,0)))</f>
        <v/>
      </c>
      <c r="D78" s="23" t="str">
        <f aca="false">IF($L$4&lt;20,"",INDEX(Programação!$AG$5:$AG$1004,MATCH(20,Programação!$AF$5:$AF$1004,0)))</f>
        <v/>
      </c>
      <c r="E78" s="25" t="str">
        <f aca="false">IF($L$4&lt;20,"",INDEX(Programação!$O$5:$O$1004,MATCH(20,Programação!$AF$5:$AF$1004,0)))</f>
        <v/>
      </c>
      <c r="F78" s="25" t="str">
        <f aca="false">IF($L$4&lt;20,"",INDEX(Programação!$P$5:$P$1004,MATCH(20,Programação!$AF$5:$AF$1004,0)))</f>
        <v/>
      </c>
      <c r="G78" s="22" t="str">
        <f aca="false">IF($A78="","",IF($H78&lt;&gt;"","Concluída",IF($F78&lt;$C$3,"Atrasada",IF($F78=$C$3,"Fecha neste dia","Em execução"))))</f>
        <v/>
      </c>
      <c r="H78" s="25" t="str">
        <f aca="false">IF($L$4&lt;20,"",IF(INDEX(Programação!$AT$5:$AT$1004,MATCH(20,Programação!$AF$5:$AF$1004,0))="","",INDEX(Programação!$AT$5:$AT$1004,MATCH(20,Programação!$AF$5:$AF$1004,0))))</f>
        <v/>
      </c>
      <c r="I78" s="22" t="str">
        <f aca="false">IF($L$4&lt;20,"",MATCH(20,Programação!$AF$5:$AF$1004,0)+4)</f>
        <v/>
      </c>
    </row>
    <row r="79" customFormat="false" ht="15.75" hidden="false" customHeight="true" outlineLevel="0" collapsed="false">
      <c r="A79" s="22" t="str">
        <f aca="false">IF($L$4&lt;21,"",INDEX(Programação!$D$5:$D$1004,MATCH(21,Programação!$AF$5:$AF$1004,0)))</f>
        <v/>
      </c>
      <c r="B79" s="23" t="str">
        <f aca="false">IF($L$4&lt;21,"",INDEX(Programação!$E$5:$E$1004,MATCH(21,Programação!$AF$5:$AF$1004,0)))</f>
        <v/>
      </c>
      <c r="C79" s="24" t="str">
        <f aca="false">IF($L$4&lt;21,"",INDEX(Programação!$F$5:$F$1004,MATCH(21,Programação!$AF$5:$AF$1004,0)))</f>
        <v/>
      </c>
      <c r="D79" s="23" t="str">
        <f aca="false">IF($L$4&lt;21,"",INDEX(Programação!$AG$5:$AG$1004,MATCH(21,Programação!$AF$5:$AF$1004,0)))</f>
        <v/>
      </c>
      <c r="E79" s="25" t="str">
        <f aca="false">IF($L$4&lt;21,"",INDEX(Programação!$O$5:$O$1004,MATCH(21,Programação!$AF$5:$AF$1004,0)))</f>
        <v/>
      </c>
      <c r="F79" s="25" t="str">
        <f aca="false">IF($L$4&lt;21,"",INDEX(Programação!$P$5:$P$1004,MATCH(21,Programação!$AF$5:$AF$1004,0)))</f>
        <v/>
      </c>
      <c r="G79" s="22" t="str">
        <f aca="false">IF($A79="","",IF($H79&lt;&gt;"","Concluída",IF($F79&lt;$C$3,"Atrasada",IF($F79=$C$3,"Fecha neste dia","Em execução"))))</f>
        <v/>
      </c>
      <c r="H79" s="25" t="str">
        <f aca="false">IF($L$4&lt;21,"",IF(INDEX(Programação!$AT$5:$AT$1004,MATCH(21,Programação!$AF$5:$AF$1004,0))="","",INDEX(Programação!$AT$5:$AT$1004,MATCH(21,Programação!$AF$5:$AF$1004,0))))</f>
        <v/>
      </c>
      <c r="I79" s="22" t="str">
        <f aca="false">IF($L$4&lt;21,"",MATCH(21,Programação!$AF$5:$AF$1004,0)+4)</f>
        <v/>
      </c>
    </row>
    <row r="80" customFormat="false" ht="15.75" hidden="false" customHeight="true" outlineLevel="0" collapsed="false">
      <c r="A80" s="22" t="str">
        <f aca="false">IF($L$4&lt;22,"",INDEX(Programação!$D$5:$D$1004,MATCH(22,Programação!$AF$5:$AF$1004,0)))</f>
        <v/>
      </c>
      <c r="B80" s="23" t="str">
        <f aca="false">IF($L$4&lt;22,"",INDEX(Programação!$E$5:$E$1004,MATCH(22,Programação!$AF$5:$AF$1004,0)))</f>
        <v/>
      </c>
      <c r="C80" s="24" t="str">
        <f aca="false">IF($L$4&lt;22,"",INDEX(Programação!$F$5:$F$1004,MATCH(22,Programação!$AF$5:$AF$1004,0)))</f>
        <v/>
      </c>
      <c r="D80" s="23" t="str">
        <f aca="false">IF($L$4&lt;22,"",INDEX(Programação!$AG$5:$AG$1004,MATCH(22,Programação!$AF$5:$AF$1004,0)))</f>
        <v/>
      </c>
      <c r="E80" s="25" t="str">
        <f aca="false">IF($L$4&lt;22,"",INDEX(Programação!$O$5:$O$1004,MATCH(22,Programação!$AF$5:$AF$1004,0)))</f>
        <v/>
      </c>
      <c r="F80" s="25" t="str">
        <f aca="false">IF($L$4&lt;22,"",INDEX(Programação!$P$5:$P$1004,MATCH(22,Programação!$AF$5:$AF$1004,0)))</f>
        <v/>
      </c>
      <c r="G80" s="22" t="str">
        <f aca="false">IF($A80="","",IF($H80&lt;&gt;"","Concluída",IF($F80&lt;$C$3,"Atrasada",IF($F80=$C$3,"Fecha neste dia","Em execução"))))</f>
        <v/>
      </c>
      <c r="H80" s="25" t="str">
        <f aca="false">IF($L$4&lt;22,"",IF(INDEX(Programação!$AT$5:$AT$1004,MATCH(22,Programação!$AF$5:$AF$1004,0))="","",INDEX(Programação!$AT$5:$AT$1004,MATCH(22,Programação!$AF$5:$AF$1004,0))))</f>
        <v/>
      </c>
      <c r="I80" s="22" t="str">
        <f aca="false">IF($L$4&lt;22,"",MATCH(22,Programação!$AF$5:$AF$1004,0)+4)</f>
        <v/>
      </c>
    </row>
    <row r="81" customFormat="false" ht="15.75" hidden="false" customHeight="true" outlineLevel="0" collapsed="false">
      <c r="A81" s="22" t="str">
        <f aca="false">IF($L$4&lt;23,"",INDEX(Programação!$D$5:$D$1004,MATCH(23,Programação!$AF$5:$AF$1004,0)))</f>
        <v/>
      </c>
      <c r="B81" s="23" t="str">
        <f aca="false">IF($L$4&lt;23,"",INDEX(Programação!$E$5:$E$1004,MATCH(23,Programação!$AF$5:$AF$1004,0)))</f>
        <v/>
      </c>
      <c r="C81" s="24" t="str">
        <f aca="false">IF($L$4&lt;23,"",INDEX(Programação!$F$5:$F$1004,MATCH(23,Programação!$AF$5:$AF$1004,0)))</f>
        <v/>
      </c>
      <c r="D81" s="23" t="str">
        <f aca="false">IF($L$4&lt;23,"",INDEX(Programação!$AG$5:$AG$1004,MATCH(23,Programação!$AF$5:$AF$1004,0)))</f>
        <v/>
      </c>
      <c r="E81" s="25" t="str">
        <f aca="false">IF($L$4&lt;23,"",INDEX(Programação!$O$5:$O$1004,MATCH(23,Programação!$AF$5:$AF$1004,0)))</f>
        <v/>
      </c>
      <c r="F81" s="25" t="str">
        <f aca="false">IF($L$4&lt;23,"",INDEX(Programação!$P$5:$P$1004,MATCH(23,Programação!$AF$5:$AF$1004,0)))</f>
        <v/>
      </c>
      <c r="G81" s="22" t="str">
        <f aca="false">IF($A81="","",IF($H81&lt;&gt;"","Concluída",IF($F81&lt;$C$3,"Atrasada",IF($F81=$C$3,"Fecha neste dia","Em execução"))))</f>
        <v/>
      </c>
      <c r="H81" s="25" t="str">
        <f aca="false">IF($L$4&lt;23,"",IF(INDEX(Programação!$AT$5:$AT$1004,MATCH(23,Programação!$AF$5:$AF$1004,0))="","",INDEX(Programação!$AT$5:$AT$1004,MATCH(23,Programação!$AF$5:$AF$1004,0))))</f>
        <v/>
      </c>
      <c r="I81" s="22" t="str">
        <f aca="false">IF($L$4&lt;23,"",MATCH(23,Programação!$AF$5:$AF$1004,0)+4)</f>
        <v/>
      </c>
    </row>
    <row r="82" customFormat="false" ht="15.75" hidden="false" customHeight="true" outlineLevel="0" collapsed="false">
      <c r="A82" s="22" t="str">
        <f aca="false">IF($L$4&lt;24,"",INDEX(Programação!$D$5:$D$1004,MATCH(24,Programação!$AF$5:$AF$1004,0)))</f>
        <v/>
      </c>
      <c r="B82" s="23" t="str">
        <f aca="false">IF($L$4&lt;24,"",INDEX(Programação!$E$5:$E$1004,MATCH(24,Programação!$AF$5:$AF$1004,0)))</f>
        <v/>
      </c>
      <c r="C82" s="24" t="str">
        <f aca="false">IF($L$4&lt;24,"",INDEX(Programação!$F$5:$F$1004,MATCH(24,Programação!$AF$5:$AF$1004,0)))</f>
        <v/>
      </c>
      <c r="D82" s="23" t="str">
        <f aca="false">IF($L$4&lt;24,"",INDEX(Programação!$AG$5:$AG$1004,MATCH(24,Programação!$AF$5:$AF$1004,0)))</f>
        <v/>
      </c>
      <c r="E82" s="25" t="str">
        <f aca="false">IF($L$4&lt;24,"",INDEX(Programação!$O$5:$O$1004,MATCH(24,Programação!$AF$5:$AF$1004,0)))</f>
        <v/>
      </c>
      <c r="F82" s="25" t="str">
        <f aca="false">IF($L$4&lt;24,"",INDEX(Programação!$P$5:$P$1004,MATCH(24,Programação!$AF$5:$AF$1004,0)))</f>
        <v/>
      </c>
      <c r="G82" s="22" t="str">
        <f aca="false">IF($A82="","",IF($H82&lt;&gt;"","Concluída",IF($F82&lt;$C$3,"Atrasada",IF($F82=$C$3,"Fecha neste dia","Em execução"))))</f>
        <v/>
      </c>
      <c r="H82" s="25" t="str">
        <f aca="false">IF($L$4&lt;24,"",IF(INDEX(Programação!$AT$5:$AT$1004,MATCH(24,Programação!$AF$5:$AF$1004,0))="","",INDEX(Programação!$AT$5:$AT$1004,MATCH(24,Programação!$AF$5:$AF$1004,0))))</f>
        <v/>
      </c>
      <c r="I82" s="22" t="str">
        <f aca="false">IF($L$4&lt;24,"",MATCH(24,Programação!$AF$5:$AF$1004,0)+4)</f>
        <v/>
      </c>
    </row>
    <row r="83" customFormat="false" ht="15.75" hidden="false" customHeight="true" outlineLevel="0" collapsed="false">
      <c r="A83" s="22" t="str">
        <f aca="false">IF($L$4&lt;25,"",INDEX(Programação!$D$5:$D$1004,MATCH(25,Programação!$AF$5:$AF$1004,0)))</f>
        <v/>
      </c>
      <c r="B83" s="23" t="str">
        <f aca="false">IF($L$4&lt;25,"",INDEX(Programação!$E$5:$E$1004,MATCH(25,Programação!$AF$5:$AF$1004,0)))</f>
        <v/>
      </c>
      <c r="C83" s="24" t="str">
        <f aca="false">IF($L$4&lt;25,"",INDEX(Programação!$F$5:$F$1004,MATCH(25,Programação!$AF$5:$AF$1004,0)))</f>
        <v/>
      </c>
      <c r="D83" s="23" t="str">
        <f aca="false">IF($L$4&lt;25,"",INDEX(Programação!$AG$5:$AG$1004,MATCH(25,Programação!$AF$5:$AF$1004,0)))</f>
        <v/>
      </c>
      <c r="E83" s="25" t="str">
        <f aca="false">IF($L$4&lt;25,"",INDEX(Programação!$O$5:$O$1004,MATCH(25,Programação!$AF$5:$AF$1004,0)))</f>
        <v/>
      </c>
      <c r="F83" s="25" t="str">
        <f aca="false">IF($L$4&lt;25,"",INDEX(Programação!$P$5:$P$1004,MATCH(25,Programação!$AF$5:$AF$1004,0)))</f>
        <v/>
      </c>
      <c r="G83" s="22" t="str">
        <f aca="false">IF($A83="","",IF($H83&lt;&gt;"","Concluída",IF($F83&lt;$C$3,"Atrasada",IF($F83=$C$3,"Fecha neste dia","Em execução"))))</f>
        <v/>
      </c>
      <c r="H83" s="25" t="str">
        <f aca="false">IF($L$4&lt;25,"",IF(INDEX(Programação!$AT$5:$AT$1004,MATCH(25,Programação!$AF$5:$AF$1004,0))="","",INDEX(Programação!$AT$5:$AT$1004,MATCH(25,Programação!$AF$5:$AF$1004,0))))</f>
        <v/>
      </c>
      <c r="I83" s="22" t="str">
        <f aca="false">IF($L$4&lt;25,"",MATCH(25,Programação!$AF$5:$AF$1004,0)+4)</f>
        <v/>
      </c>
    </row>
    <row r="84" customFormat="false" ht="15.75" hidden="false" customHeight="true" outlineLevel="0" collapsed="false">
      <c r="A84" s="22" t="str">
        <f aca="false">IF($L$4&lt;26,"",INDEX(Programação!$D$5:$D$1004,MATCH(26,Programação!$AF$5:$AF$1004,0)))</f>
        <v/>
      </c>
      <c r="B84" s="23" t="str">
        <f aca="false">IF($L$4&lt;26,"",INDEX(Programação!$E$5:$E$1004,MATCH(26,Programação!$AF$5:$AF$1004,0)))</f>
        <v/>
      </c>
      <c r="C84" s="24" t="str">
        <f aca="false">IF($L$4&lt;26,"",INDEX(Programação!$F$5:$F$1004,MATCH(26,Programação!$AF$5:$AF$1004,0)))</f>
        <v/>
      </c>
      <c r="D84" s="23" t="str">
        <f aca="false">IF($L$4&lt;26,"",INDEX(Programação!$AG$5:$AG$1004,MATCH(26,Programação!$AF$5:$AF$1004,0)))</f>
        <v/>
      </c>
      <c r="E84" s="25" t="str">
        <f aca="false">IF($L$4&lt;26,"",INDEX(Programação!$O$5:$O$1004,MATCH(26,Programação!$AF$5:$AF$1004,0)))</f>
        <v/>
      </c>
      <c r="F84" s="25" t="str">
        <f aca="false">IF($L$4&lt;26,"",INDEX(Programação!$P$5:$P$1004,MATCH(26,Programação!$AF$5:$AF$1004,0)))</f>
        <v/>
      </c>
      <c r="G84" s="22" t="str">
        <f aca="false">IF($A84="","",IF($H84&lt;&gt;"","Concluída",IF($F84&lt;$C$3,"Atrasada",IF($F84=$C$3,"Fecha neste dia","Em execução"))))</f>
        <v/>
      </c>
      <c r="H84" s="25" t="str">
        <f aca="false">IF($L$4&lt;26,"",IF(INDEX(Programação!$AT$5:$AT$1004,MATCH(26,Programação!$AF$5:$AF$1004,0))="","",INDEX(Programação!$AT$5:$AT$1004,MATCH(26,Programação!$AF$5:$AF$1004,0))))</f>
        <v/>
      </c>
      <c r="I84" s="22" t="str">
        <f aca="false">IF($L$4&lt;26,"",MATCH(26,Programação!$AF$5:$AF$1004,0)+4)</f>
        <v/>
      </c>
    </row>
    <row r="85" customFormat="false" ht="15.75" hidden="false" customHeight="true" outlineLevel="0" collapsed="false">
      <c r="A85" s="22" t="str">
        <f aca="false">IF($L$4&lt;27,"",INDEX(Programação!$D$5:$D$1004,MATCH(27,Programação!$AF$5:$AF$1004,0)))</f>
        <v/>
      </c>
      <c r="B85" s="23" t="str">
        <f aca="false">IF($L$4&lt;27,"",INDEX(Programação!$E$5:$E$1004,MATCH(27,Programação!$AF$5:$AF$1004,0)))</f>
        <v/>
      </c>
      <c r="C85" s="24" t="str">
        <f aca="false">IF($L$4&lt;27,"",INDEX(Programação!$F$5:$F$1004,MATCH(27,Programação!$AF$5:$AF$1004,0)))</f>
        <v/>
      </c>
      <c r="D85" s="23" t="str">
        <f aca="false">IF($L$4&lt;27,"",INDEX(Programação!$AG$5:$AG$1004,MATCH(27,Programação!$AF$5:$AF$1004,0)))</f>
        <v/>
      </c>
      <c r="E85" s="25" t="str">
        <f aca="false">IF($L$4&lt;27,"",INDEX(Programação!$O$5:$O$1004,MATCH(27,Programação!$AF$5:$AF$1004,0)))</f>
        <v/>
      </c>
      <c r="F85" s="25" t="str">
        <f aca="false">IF($L$4&lt;27,"",INDEX(Programação!$P$5:$P$1004,MATCH(27,Programação!$AF$5:$AF$1004,0)))</f>
        <v/>
      </c>
      <c r="G85" s="22" t="str">
        <f aca="false">IF($A85="","",IF($H85&lt;&gt;"","Concluída",IF($F85&lt;$C$3,"Atrasada",IF($F85=$C$3,"Fecha neste dia","Em execução"))))</f>
        <v/>
      </c>
      <c r="H85" s="25" t="str">
        <f aca="false">IF($L$4&lt;27,"",IF(INDEX(Programação!$AT$5:$AT$1004,MATCH(27,Programação!$AF$5:$AF$1004,0))="","",INDEX(Programação!$AT$5:$AT$1004,MATCH(27,Programação!$AF$5:$AF$1004,0))))</f>
        <v/>
      </c>
      <c r="I85" s="22" t="str">
        <f aca="false">IF($L$4&lt;27,"",MATCH(27,Programação!$AF$5:$AF$1004,0)+4)</f>
        <v/>
      </c>
    </row>
    <row r="86" customFormat="false" ht="15.75" hidden="false" customHeight="true" outlineLevel="0" collapsed="false">
      <c r="A86" s="22" t="str">
        <f aca="false">IF($L$4&lt;28,"",INDEX(Programação!$D$5:$D$1004,MATCH(28,Programação!$AF$5:$AF$1004,0)))</f>
        <v/>
      </c>
      <c r="B86" s="23" t="str">
        <f aca="false">IF($L$4&lt;28,"",INDEX(Programação!$E$5:$E$1004,MATCH(28,Programação!$AF$5:$AF$1004,0)))</f>
        <v/>
      </c>
      <c r="C86" s="24" t="str">
        <f aca="false">IF($L$4&lt;28,"",INDEX(Programação!$F$5:$F$1004,MATCH(28,Programação!$AF$5:$AF$1004,0)))</f>
        <v/>
      </c>
      <c r="D86" s="23" t="str">
        <f aca="false">IF($L$4&lt;28,"",INDEX(Programação!$AG$5:$AG$1004,MATCH(28,Programação!$AF$5:$AF$1004,0)))</f>
        <v/>
      </c>
      <c r="E86" s="25" t="str">
        <f aca="false">IF($L$4&lt;28,"",INDEX(Programação!$O$5:$O$1004,MATCH(28,Programação!$AF$5:$AF$1004,0)))</f>
        <v/>
      </c>
      <c r="F86" s="25" t="str">
        <f aca="false">IF($L$4&lt;28,"",INDEX(Programação!$P$5:$P$1004,MATCH(28,Programação!$AF$5:$AF$1004,0)))</f>
        <v/>
      </c>
      <c r="G86" s="22" t="str">
        <f aca="false">IF($A86="","",IF($H86&lt;&gt;"","Concluída",IF($F86&lt;$C$3,"Atrasada",IF($F86=$C$3,"Fecha neste dia","Em execução"))))</f>
        <v/>
      </c>
      <c r="H86" s="25" t="str">
        <f aca="false">IF($L$4&lt;28,"",IF(INDEX(Programação!$AT$5:$AT$1004,MATCH(28,Programação!$AF$5:$AF$1004,0))="","",INDEX(Programação!$AT$5:$AT$1004,MATCH(28,Programação!$AF$5:$AF$1004,0))))</f>
        <v/>
      </c>
      <c r="I86" s="22" t="str">
        <f aca="false">IF($L$4&lt;28,"",MATCH(28,Programação!$AF$5:$AF$1004,0)+4)</f>
        <v/>
      </c>
    </row>
    <row r="87" customFormat="false" ht="15.75" hidden="false" customHeight="true" outlineLevel="0" collapsed="false">
      <c r="A87" s="22" t="str">
        <f aca="false">IF($L$4&lt;29,"",INDEX(Programação!$D$5:$D$1004,MATCH(29,Programação!$AF$5:$AF$1004,0)))</f>
        <v/>
      </c>
      <c r="B87" s="23" t="str">
        <f aca="false">IF($L$4&lt;29,"",INDEX(Programação!$E$5:$E$1004,MATCH(29,Programação!$AF$5:$AF$1004,0)))</f>
        <v/>
      </c>
      <c r="C87" s="24" t="str">
        <f aca="false">IF($L$4&lt;29,"",INDEX(Programação!$F$5:$F$1004,MATCH(29,Programação!$AF$5:$AF$1004,0)))</f>
        <v/>
      </c>
      <c r="D87" s="23" t="str">
        <f aca="false">IF($L$4&lt;29,"",INDEX(Programação!$AG$5:$AG$1004,MATCH(29,Programação!$AF$5:$AF$1004,0)))</f>
        <v/>
      </c>
      <c r="E87" s="25" t="str">
        <f aca="false">IF($L$4&lt;29,"",INDEX(Programação!$O$5:$O$1004,MATCH(29,Programação!$AF$5:$AF$1004,0)))</f>
        <v/>
      </c>
      <c r="F87" s="25" t="str">
        <f aca="false">IF($L$4&lt;29,"",INDEX(Programação!$P$5:$P$1004,MATCH(29,Programação!$AF$5:$AF$1004,0)))</f>
        <v/>
      </c>
      <c r="G87" s="22" t="str">
        <f aca="false">IF($A87="","",IF($H87&lt;&gt;"","Concluída",IF($F87&lt;$C$3,"Atrasada",IF($F87=$C$3,"Fecha neste dia","Em execução"))))</f>
        <v/>
      </c>
      <c r="H87" s="25" t="str">
        <f aca="false">IF($L$4&lt;29,"",IF(INDEX(Programação!$AT$5:$AT$1004,MATCH(29,Programação!$AF$5:$AF$1004,0))="","",INDEX(Programação!$AT$5:$AT$1004,MATCH(29,Programação!$AF$5:$AF$1004,0))))</f>
        <v/>
      </c>
      <c r="I87" s="22" t="str">
        <f aca="false">IF($L$4&lt;29,"",MATCH(29,Programação!$AF$5:$AF$1004,0)+4)</f>
        <v/>
      </c>
    </row>
    <row r="88" customFormat="false" ht="15.75" hidden="false" customHeight="true" outlineLevel="0" collapsed="false">
      <c r="A88" s="22" t="str">
        <f aca="false">IF($L$4&lt;30,"",INDEX(Programação!$D$5:$D$1004,MATCH(30,Programação!$AF$5:$AF$1004,0)))</f>
        <v/>
      </c>
      <c r="B88" s="23" t="str">
        <f aca="false">IF($L$4&lt;30,"",INDEX(Programação!$E$5:$E$1004,MATCH(30,Programação!$AF$5:$AF$1004,0)))</f>
        <v/>
      </c>
      <c r="C88" s="24" t="str">
        <f aca="false">IF($L$4&lt;30,"",INDEX(Programação!$F$5:$F$1004,MATCH(30,Programação!$AF$5:$AF$1004,0)))</f>
        <v/>
      </c>
      <c r="D88" s="23" t="str">
        <f aca="false">IF($L$4&lt;30,"",INDEX(Programação!$AG$5:$AG$1004,MATCH(30,Programação!$AF$5:$AF$1004,0)))</f>
        <v/>
      </c>
      <c r="E88" s="25" t="str">
        <f aca="false">IF($L$4&lt;30,"",INDEX(Programação!$O$5:$O$1004,MATCH(30,Programação!$AF$5:$AF$1004,0)))</f>
        <v/>
      </c>
      <c r="F88" s="25" t="str">
        <f aca="false">IF($L$4&lt;30,"",INDEX(Programação!$P$5:$P$1004,MATCH(30,Programação!$AF$5:$AF$1004,0)))</f>
        <v/>
      </c>
      <c r="G88" s="22" t="str">
        <f aca="false">IF($A88="","",IF($H88&lt;&gt;"","Concluída",IF($F88&lt;$C$3,"Atrasada",IF($F88=$C$3,"Fecha neste dia","Em execução"))))</f>
        <v/>
      </c>
      <c r="H88" s="25" t="str">
        <f aca="false">IF($L$4&lt;30,"",IF(INDEX(Programação!$AT$5:$AT$1004,MATCH(30,Programação!$AF$5:$AF$1004,0))="","",INDEX(Programação!$AT$5:$AT$1004,MATCH(30,Programação!$AF$5:$AF$1004,0))))</f>
        <v/>
      </c>
      <c r="I88" s="22" t="str">
        <f aca="false">IF($L$4&lt;30,"",MATCH(30,Programação!$AF$5:$AF$1004,0)+4)</f>
        <v/>
      </c>
    </row>
    <row r="89" customFormat="false" ht="15.75" hidden="false" customHeight="true" outlineLevel="0" collapsed="false">
      <c r="A89" s="22" t="str">
        <f aca="false">IF($L$4&lt;31,"",INDEX(Programação!$D$5:$D$1004,MATCH(31,Programação!$AF$5:$AF$1004,0)))</f>
        <v/>
      </c>
      <c r="B89" s="23" t="str">
        <f aca="false">IF($L$4&lt;31,"",INDEX(Programação!$E$5:$E$1004,MATCH(31,Programação!$AF$5:$AF$1004,0)))</f>
        <v/>
      </c>
      <c r="C89" s="24" t="str">
        <f aca="false">IF($L$4&lt;31,"",INDEX(Programação!$F$5:$F$1004,MATCH(31,Programação!$AF$5:$AF$1004,0)))</f>
        <v/>
      </c>
      <c r="D89" s="23" t="str">
        <f aca="false">IF($L$4&lt;31,"",INDEX(Programação!$AG$5:$AG$1004,MATCH(31,Programação!$AF$5:$AF$1004,0)))</f>
        <v/>
      </c>
      <c r="E89" s="25" t="str">
        <f aca="false">IF($L$4&lt;31,"",INDEX(Programação!$O$5:$O$1004,MATCH(31,Programação!$AF$5:$AF$1004,0)))</f>
        <v/>
      </c>
      <c r="F89" s="25" t="str">
        <f aca="false">IF($L$4&lt;31,"",INDEX(Programação!$P$5:$P$1004,MATCH(31,Programação!$AF$5:$AF$1004,0)))</f>
        <v/>
      </c>
      <c r="G89" s="22" t="str">
        <f aca="false">IF($A89="","",IF($H89&lt;&gt;"","Concluída",IF($F89&lt;$C$3,"Atrasada",IF($F89=$C$3,"Fecha neste dia","Em execução"))))</f>
        <v/>
      </c>
      <c r="H89" s="25" t="str">
        <f aca="false">IF($L$4&lt;31,"",IF(INDEX(Programação!$AT$5:$AT$1004,MATCH(31,Programação!$AF$5:$AF$1004,0))="","",INDEX(Programação!$AT$5:$AT$1004,MATCH(31,Programação!$AF$5:$AF$1004,0))))</f>
        <v/>
      </c>
      <c r="I89" s="22" t="str">
        <f aca="false">IF($L$4&lt;31,"",MATCH(31,Programação!$AF$5:$AF$1004,0)+4)</f>
        <v/>
      </c>
    </row>
    <row r="90" customFormat="false" ht="15.75" hidden="false" customHeight="true" outlineLevel="0" collapsed="false">
      <c r="A90" s="22" t="str">
        <f aca="false">IF($L$4&lt;32,"",INDEX(Programação!$D$5:$D$1004,MATCH(32,Programação!$AF$5:$AF$1004,0)))</f>
        <v/>
      </c>
      <c r="B90" s="23" t="str">
        <f aca="false">IF($L$4&lt;32,"",INDEX(Programação!$E$5:$E$1004,MATCH(32,Programação!$AF$5:$AF$1004,0)))</f>
        <v/>
      </c>
      <c r="C90" s="24" t="str">
        <f aca="false">IF($L$4&lt;32,"",INDEX(Programação!$F$5:$F$1004,MATCH(32,Programação!$AF$5:$AF$1004,0)))</f>
        <v/>
      </c>
      <c r="D90" s="23" t="str">
        <f aca="false">IF($L$4&lt;32,"",INDEX(Programação!$AG$5:$AG$1004,MATCH(32,Programação!$AF$5:$AF$1004,0)))</f>
        <v/>
      </c>
      <c r="E90" s="25" t="str">
        <f aca="false">IF($L$4&lt;32,"",INDEX(Programação!$O$5:$O$1004,MATCH(32,Programação!$AF$5:$AF$1004,0)))</f>
        <v/>
      </c>
      <c r="F90" s="25" t="str">
        <f aca="false">IF($L$4&lt;32,"",INDEX(Programação!$P$5:$P$1004,MATCH(32,Programação!$AF$5:$AF$1004,0)))</f>
        <v/>
      </c>
      <c r="G90" s="22" t="str">
        <f aca="false">IF($A90="","",IF($H90&lt;&gt;"","Concluída",IF($F90&lt;$C$3,"Atrasada",IF($F90=$C$3,"Fecha neste dia","Em execução"))))</f>
        <v/>
      </c>
      <c r="H90" s="25" t="str">
        <f aca="false">IF($L$4&lt;32,"",IF(INDEX(Programação!$AT$5:$AT$1004,MATCH(32,Programação!$AF$5:$AF$1004,0))="","",INDEX(Programação!$AT$5:$AT$1004,MATCH(32,Programação!$AF$5:$AF$1004,0))))</f>
        <v/>
      </c>
      <c r="I90" s="22" t="str">
        <f aca="false">IF($L$4&lt;32,"",MATCH(32,Programação!$AF$5:$AF$1004,0)+4)</f>
        <v/>
      </c>
    </row>
    <row r="91" customFormat="false" ht="15.75" hidden="false" customHeight="true" outlineLevel="0" collapsed="false">
      <c r="A91" s="22" t="str">
        <f aca="false">IF($L$4&lt;33,"",INDEX(Programação!$D$5:$D$1004,MATCH(33,Programação!$AF$5:$AF$1004,0)))</f>
        <v/>
      </c>
      <c r="B91" s="23" t="str">
        <f aca="false">IF($L$4&lt;33,"",INDEX(Programação!$E$5:$E$1004,MATCH(33,Programação!$AF$5:$AF$1004,0)))</f>
        <v/>
      </c>
      <c r="C91" s="24" t="str">
        <f aca="false">IF($L$4&lt;33,"",INDEX(Programação!$F$5:$F$1004,MATCH(33,Programação!$AF$5:$AF$1004,0)))</f>
        <v/>
      </c>
      <c r="D91" s="23" t="str">
        <f aca="false">IF($L$4&lt;33,"",INDEX(Programação!$AG$5:$AG$1004,MATCH(33,Programação!$AF$5:$AF$1004,0)))</f>
        <v/>
      </c>
      <c r="E91" s="25" t="str">
        <f aca="false">IF($L$4&lt;33,"",INDEX(Programação!$O$5:$O$1004,MATCH(33,Programação!$AF$5:$AF$1004,0)))</f>
        <v/>
      </c>
      <c r="F91" s="25" t="str">
        <f aca="false">IF($L$4&lt;33,"",INDEX(Programação!$P$5:$P$1004,MATCH(33,Programação!$AF$5:$AF$1004,0)))</f>
        <v/>
      </c>
      <c r="G91" s="22" t="str">
        <f aca="false">IF($A91="","",IF($H91&lt;&gt;"","Concluída",IF($F91&lt;$C$3,"Atrasada",IF($F91=$C$3,"Fecha neste dia","Em execução"))))</f>
        <v/>
      </c>
      <c r="H91" s="25" t="str">
        <f aca="false">IF($L$4&lt;33,"",IF(INDEX(Programação!$AT$5:$AT$1004,MATCH(33,Programação!$AF$5:$AF$1004,0))="","",INDEX(Programação!$AT$5:$AT$1004,MATCH(33,Programação!$AF$5:$AF$1004,0))))</f>
        <v/>
      </c>
      <c r="I91" s="22" t="str">
        <f aca="false">IF($L$4&lt;33,"",MATCH(33,Programação!$AF$5:$AF$1004,0)+4)</f>
        <v/>
      </c>
    </row>
    <row r="92" customFormat="false" ht="15.75" hidden="false" customHeight="true" outlineLevel="0" collapsed="false">
      <c r="A92" s="22" t="str">
        <f aca="false">IF($L$4&lt;34,"",INDEX(Programação!$D$5:$D$1004,MATCH(34,Programação!$AF$5:$AF$1004,0)))</f>
        <v/>
      </c>
      <c r="B92" s="23" t="str">
        <f aca="false">IF($L$4&lt;34,"",INDEX(Programação!$E$5:$E$1004,MATCH(34,Programação!$AF$5:$AF$1004,0)))</f>
        <v/>
      </c>
      <c r="C92" s="24" t="str">
        <f aca="false">IF($L$4&lt;34,"",INDEX(Programação!$F$5:$F$1004,MATCH(34,Programação!$AF$5:$AF$1004,0)))</f>
        <v/>
      </c>
      <c r="D92" s="23" t="str">
        <f aca="false">IF($L$4&lt;34,"",INDEX(Programação!$AG$5:$AG$1004,MATCH(34,Programação!$AF$5:$AF$1004,0)))</f>
        <v/>
      </c>
      <c r="E92" s="25" t="str">
        <f aca="false">IF($L$4&lt;34,"",INDEX(Programação!$O$5:$O$1004,MATCH(34,Programação!$AF$5:$AF$1004,0)))</f>
        <v/>
      </c>
      <c r="F92" s="25" t="str">
        <f aca="false">IF($L$4&lt;34,"",INDEX(Programação!$P$5:$P$1004,MATCH(34,Programação!$AF$5:$AF$1004,0)))</f>
        <v/>
      </c>
      <c r="G92" s="22" t="str">
        <f aca="false">IF($A92="","",IF($H92&lt;&gt;"","Concluída",IF($F92&lt;$C$3,"Atrasada",IF($F92=$C$3,"Fecha neste dia","Em execução"))))</f>
        <v/>
      </c>
      <c r="H92" s="25" t="str">
        <f aca="false">IF($L$4&lt;34,"",IF(INDEX(Programação!$AT$5:$AT$1004,MATCH(34,Programação!$AF$5:$AF$1004,0))="","",INDEX(Programação!$AT$5:$AT$1004,MATCH(34,Programação!$AF$5:$AF$1004,0))))</f>
        <v/>
      </c>
      <c r="I92" s="22" t="str">
        <f aca="false">IF($L$4&lt;34,"",MATCH(34,Programação!$AF$5:$AF$1004,0)+4)</f>
        <v/>
      </c>
    </row>
    <row r="93" customFormat="false" ht="15.75" hidden="false" customHeight="true" outlineLevel="0" collapsed="false">
      <c r="A93" s="22" t="str">
        <f aca="false">IF($L$4&lt;35,"",INDEX(Programação!$D$5:$D$1004,MATCH(35,Programação!$AF$5:$AF$1004,0)))</f>
        <v/>
      </c>
      <c r="B93" s="23" t="str">
        <f aca="false">IF($L$4&lt;35,"",INDEX(Programação!$E$5:$E$1004,MATCH(35,Programação!$AF$5:$AF$1004,0)))</f>
        <v/>
      </c>
      <c r="C93" s="24" t="str">
        <f aca="false">IF($L$4&lt;35,"",INDEX(Programação!$F$5:$F$1004,MATCH(35,Programação!$AF$5:$AF$1004,0)))</f>
        <v/>
      </c>
      <c r="D93" s="23" t="str">
        <f aca="false">IF($L$4&lt;35,"",INDEX(Programação!$AG$5:$AG$1004,MATCH(35,Programação!$AF$5:$AF$1004,0)))</f>
        <v/>
      </c>
      <c r="E93" s="25" t="str">
        <f aca="false">IF($L$4&lt;35,"",INDEX(Programação!$O$5:$O$1004,MATCH(35,Programação!$AF$5:$AF$1004,0)))</f>
        <v/>
      </c>
      <c r="F93" s="25" t="str">
        <f aca="false">IF($L$4&lt;35,"",INDEX(Programação!$P$5:$P$1004,MATCH(35,Programação!$AF$5:$AF$1004,0)))</f>
        <v/>
      </c>
      <c r="G93" s="22" t="str">
        <f aca="false">IF($A93="","",IF($H93&lt;&gt;"","Concluída",IF($F93&lt;$C$3,"Atrasada",IF($F93=$C$3,"Fecha neste dia","Em execução"))))</f>
        <v/>
      </c>
      <c r="H93" s="25" t="str">
        <f aca="false">IF($L$4&lt;35,"",IF(INDEX(Programação!$AT$5:$AT$1004,MATCH(35,Programação!$AF$5:$AF$1004,0))="","",INDEX(Programação!$AT$5:$AT$1004,MATCH(35,Programação!$AF$5:$AF$1004,0))))</f>
        <v/>
      </c>
      <c r="I93" s="22" t="str">
        <f aca="false">IF($L$4&lt;35,"",MATCH(35,Programação!$AF$5:$AF$1004,0)+4)</f>
        <v/>
      </c>
    </row>
    <row r="94" customFormat="false" ht="15.75" hidden="false" customHeight="true" outlineLevel="0" collapsed="false">
      <c r="A94" s="22" t="str">
        <f aca="false">IF($L$4&lt;36,"",INDEX(Programação!$D$5:$D$1004,MATCH(36,Programação!$AF$5:$AF$1004,0)))</f>
        <v/>
      </c>
      <c r="B94" s="23" t="str">
        <f aca="false">IF($L$4&lt;36,"",INDEX(Programação!$E$5:$E$1004,MATCH(36,Programação!$AF$5:$AF$1004,0)))</f>
        <v/>
      </c>
      <c r="C94" s="24" t="str">
        <f aca="false">IF($L$4&lt;36,"",INDEX(Programação!$F$5:$F$1004,MATCH(36,Programação!$AF$5:$AF$1004,0)))</f>
        <v/>
      </c>
      <c r="D94" s="23" t="str">
        <f aca="false">IF($L$4&lt;36,"",INDEX(Programação!$AG$5:$AG$1004,MATCH(36,Programação!$AF$5:$AF$1004,0)))</f>
        <v/>
      </c>
      <c r="E94" s="25" t="str">
        <f aca="false">IF($L$4&lt;36,"",INDEX(Programação!$O$5:$O$1004,MATCH(36,Programação!$AF$5:$AF$1004,0)))</f>
        <v/>
      </c>
      <c r="F94" s="25" t="str">
        <f aca="false">IF($L$4&lt;36,"",INDEX(Programação!$P$5:$P$1004,MATCH(36,Programação!$AF$5:$AF$1004,0)))</f>
        <v/>
      </c>
      <c r="G94" s="22" t="str">
        <f aca="false">IF($A94="","",IF($H94&lt;&gt;"","Concluída",IF($F94&lt;$C$3,"Atrasada",IF($F94=$C$3,"Fecha neste dia","Em execução"))))</f>
        <v/>
      </c>
      <c r="H94" s="25" t="str">
        <f aca="false">IF($L$4&lt;36,"",IF(INDEX(Programação!$AT$5:$AT$1004,MATCH(36,Programação!$AF$5:$AF$1004,0))="","",INDEX(Programação!$AT$5:$AT$1004,MATCH(36,Programação!$AF$5:$AF$1004,0))))</f>
        <v/>
      </c>
      <c r="I94" s="22" t="str">
        <f aca="false">IF($L$4&lt;36,"",MATCH(36,Programação!$AF$5:$AF$1004,0)+4)</f>
        <v/>
      </c>
    </row>
    <row r="95" customFormat="false" ht="15.75" hidden="false" customHeight="true" outlineLevel="0" collapsed="false">
      <c r="A95" s="22" t="str">
        <f aca="false">IF($L$4&lt;37,"",INDEX(Programação!$D$5:$D$1004,MATCH(37,Programação!$AF$5:$AF$1004,0)))</f>
        <v/>
      </c>
      <c r="B95" s="23" t="str">
        <f aca="false">IF($L$4&lt;37,"",INDEX(Programação!$E$5:$E$1004,MATCH(37,Programação!$AF$5:$AF$1004,0)))</f>
        <v/>
      </c>
      <c r="C95" s="24" t="str">
        <f aca="false">IF($L$4&lt;37,"",INDEX(Programação!$F$5:$F$1004,MATCH(37,Programação!$AF$5:$AF$1004,0)))</f>
        <v/>
      </c>
      <c r="D95" s="23" t="str">
        <f aca="false">IF($L$4&lt;37,"",INDEX(Programação!$AG$5:$AG$1004,MATCH(37,Programação!$AF$5:$AF$1004,0)))</f>
        <v/>
      </c>
      <c r="E95" s="25" t="str">
        <f aca="false">IF($L$4&lt;37,"",INDEX(Programação!$O$5:$O$1004,MATCH(37,Programação!$AF$5:$AF$1004,0)))</f>
        <v/>
      </c>
      <c r="F95" s="25" t="str">
        <f aca="false">IF($L$4&lt;37,"",INDEX(Programação!$P$5:$P$1004,MATCH(37,Programação!$AF$5:$AF$1004,0)))</f>
        <v/>
      </c>
      <c r="G95" s="22" t="str">
        <f aca="false">IF($A95="","",IF($H95&lt;&gt;"","Concluída",IF($F95&lt;$C$3,"Atrasada",IF($F95=$C$3,"Fecha neste dia","Em execução"))))</f>
        <v/>
      </c>
      <c r="H95" s="25" t="str">
        <f aca="false">IF($L$4&lt;37,"",IF(INDEX(Programação!$AT$5:$AT$1004,MATCH(37,Programação!$AF$5:$AF$1004,0))="","",INDEX(Programação!$AT$5:$AT$1004,MATCH(37,Programação!$AF$5:$AF$1004,0))))</f>
        <v/>
      </c>
      <c r="I95" s="22" t="str">
        <f aca="false">IF($L$4&lt;37,"",MATCH(37,Programação!$AF$5:$AF$1004,0)+4)</f>
        <v/>
      </c>
    </row>
    <row r="96" customFormat="false" ht="15.75" hidden="false" customHeight="true" outlineLevel="0" collapsed="false">
      <c r="A96" s="22" t="str">
        <f aca="false">IF($L$4&lt;38,"",INDEX(Programação!$D$5:$D$1004,MATCH(38,Programação!$AF$5:$AF$1004,0)))</f>
        <v/>
      </c>
      <c r="B96" s="23" t="str">
        <f aca="false">IF($L$4&lt;38,"",INDEX(Programação!$E$5:$E$1004,MATCH(38,Programação!$AF$5:$AF$1004,0)))</f>
        <v/>
      </c>
      <c r="C96" s="24" t="str">
        <f aca="false">IF($L$4&lt;38,"",INDEX(Programação!$F$5:$F$1004,MATCH(38,Programação!$AF$5:$AF$1004,0)))</f>
        <v/>
      </c>
      <c r="D96" s="23" t="str">
        <f aca="false">IF($L$4&lt;38,"",INDEX(Programação!$AG$5:$AG$1004,MATCH(38,Programação!$AF$5:$AF$1004,0)))</f>
        <v/>
      </c>
      <c r="E96" s="25" t="str">
        <f aca="false">IF($L$4&lt;38,"",INDEX(Programação!$O$5:$O$1004,MATCH(38,Programação!$AF$5:$AF$1004,0)))</f>
        <v/>
      </c>
      <c r="F96" s="25" t="str">
        <f aca="false">IF($L$4&lt;38,"",INDEX(Programação!$P$5:$P$1004,MATCH(38,Programação!$AF$5:$AF$1004,0)))</f>
        <v/>
      </c>
      <c r="G96" s="22" t="str">
        <f aca="false">IF($A96="","",IF($H96&lt;&gt;"","Concluída",IF($F96&lt;$C$3,"Atrasada",IF($F96=$C$3,"Fecha neste dia","Em execução"))))</f>
        <v/>
      </c>
      <c r="H96" s="25" t="str">
        <f aca="false">IF($L$4&lt;38,"",IF(INDEX(Programação!$AT$5:$AT$1004,MATCH(38,Programação!$AF$5:$AF$1004,0))="","",INDEX(Programação!$AT$5:$AT$1004,MATCH(38,Programação!$AF$5:$AF$1004,0))))</f>
        <v/>
      </c>
      <c r="I96" s="22" t="str">
        <f aca="false">IF($L$4&lt;38,"",MATCH(38,Programação!$AF$5:$AF$1004,0)+4)</f>
        <v/>
      </c>
    </row>
    <row r="97" customFormat="false" ht="15.75" hidden="false" customHeight="true" outlineLevel="0" collapsed="false">
      <c r="A97" s="22" t="str">
        <f aca="false">IF($L$4&lt;39,"",INDEX(Programação!$D$5:$D$1004,MATCH(39,Programação!$AF$5:$AF$1004,0)))</f>
        <v/>
      </c>
      <c r="B97" s="23" t="str">
        <f aca="false">IF($L$4&lt;39,"",INDEX(Programação!$E$5:$E$1004,MATCH(39,Programação!$AF$5:$AF$1004,0)))</f>
        <v/>
      </c>
      <c r="C97" s="24" t="str">
        <f aca="false">IF($L$4&lt;39,"",INDEX(Programação!$F$5:$F$1004,MATCH(39,Programação!$AF$5:$AF$1004,0)))</f>
        <v/>
      </c>
      <c r="D97" s="23" t="str">
        <f aca="false">IF($L$4&lt;39,"",INDEX(Programação!$AG$5:$AG$1004,MATCH(39,Programação!$AF$5:$AF$1004,0)))</f>
        <v/>
      </c>
      <c r="E97" s="25" t="str">
        <f aca="false">IF($L$4&lt;39,"",INDEX(Programação!$O$5:$O$1004,MATCH(39,Programação!$AF$5:$AF$1004,0)))</f>
        <v/>
      </c>
      <c r="F97" s="25" t="str">
        <f aca="false">IF($L$4&lt;39,"",INDEX(Programação!$P$5:$P$1004,MATCH(39,Programação!$AF$5:$AF$1004,0)))</f>
        <v/>
      </c>
      <c r="G97" s="22" t="str">
        <f aca="false">IF($A97="","",IF($H97&lt;&gt;"","Concluída",IF($F97&lt;$C$3,"Atrasada",IF($F97=$C$3,"Fecha neste dia","Em execução"))))</f>
        <v/>
      </c>
      <c r="H97" s="25" t="str">
        <f aca="false">IF($L$4&lt;39,"",IF(INDEX(Programação!$AT$5:$AT$1004,MATCH(39,Programação!$AF$5:$AF$1004,0))="","",INDEX(Programação!$AT$5:$AT$1004,MATCH(39,Programação!$AF$5:$AF$1004,0))))</f>
        <v/>
      </c>
      <c r="I97" s="22" t="str">
        <f aca="false">IF($L$4&lt;39,"",MATCH(39,Programação!$AF$5:$AF$1004,0)+4)</f>
        <v/>
      </c>
    </row>
    <row r="98" customFormat="false" ht="15.75" hidden="false" customHeight="true" outlineLevel="0" collapsed="false">
      <c r="A98" s="22" t="str">
        <f aca="false">IF($L$4&lt;40,"",INDEX(Programação!$D$5:$D$1004,MATCH(40,Programação!$AF$5:$AF$1004,0)))</f>
        <v/>
      </c>
      <c r="B98" s="23" t="str">
        <f aca="false">IF($L$4&lt;40,"",INDEX(Programação!$E$5:$E$1004,MATCH(40,Programação!$AF$5:$AF$1004,0)))</f>
        <v/>
      </c>
      <c r="C98" s="24" t="str">
        <f aca="false">IF($L$4&lt;40,"",INDEX(Programação!$F$5:$F$1004,MATCH(40,Programação!$AF$5:$AF$1004,0)))</f>
        <v/>
      </c>
      <c r="D98" s="23" t="str">
        <f aca="false">IF($L$4&lt;40,"",INDEX(Programação!$AG$5:$AG$1004,MATCH(40,Programação!$AF$5:$AF$1004,0)))</f>
        <v/>
      </c>
      <c r="E98" s="25" t="str">
        <f aca="false">IF($L$4&lt;40,"",INDEX(Programação!$O$5:$O$1004,MATCH(40,Programação!$AF$5:$AF$1004,0)))</f>
        <v/>
      </c>
      <c r="F98" s="25" t="str">
        <f aca="false">IF($L$4&lt;40,"",INDEX(Programação!$P$5:$P$1004,MATCH(40,Programação!$AF$5:$AF$1004,0)))</f>
        <v/>
      </c>
      <c r="G98" s="22" t="str">
        <f aca="false">IF($A98="","",IF($H98&lt;&gt;"","Concluída",IF($F98&lt;$C$3,"Atrasada",IF($F98=$C$3,"Fecha neste dia","Em execução"))))</f>
        <v/>
      </c>
      <c r="H98" s="25" t="str">
        <f aca="false">IF($L$4&lt;40,"",IF(INDEX(Programação!$AT$5:$AT$1004,MATCH(40,Programação!$AF$5:$AF$1004,0))="","",INDEX(Programação!$AT$5:$AT$1004,MATCH(40,Programação!$AF$5:$AF$1004,0))))</f>
        <v/>
      </c>
      <c r="I98" s="22" t="str">
        <f aca="false">IF($L$4&lt;40,"",MATCH(40,Programação!$AF$5:$AF$1004,0)+4)</f>
        <v/>
      </c>
    </row>
    <row r="99" customFormat="false" ht="18" hidden="false" customHeight="true" outlineLevel="0" collapsed="false">
      <c r="A99" s="29" t="str">
        <f aca="false">IF($L$4&lt;=40,"","⚠ há mais "&amp;($L$4-40)&amp;" atividades além das 40 listadas — veja na aba Programação")</f>
        <v/>
      </c>
      <c r="B99" s="29"/>
      <c r="C99" s="29"/>
      <c r="D99" s="29"/>
      <c r="E99" s="29"/>
      <c r="F99" s="29"/>
      <c r="G99" s="29"/>
      <c r="H99" s="29"/>
      <c r="I99" s="29"/>
    </row>
    <row r="101" customFormat="false" ht="27.75" hidden="false" customHeight="true" outlineLevel="0" collapsed="false">
      <c r="A101" s="31" t="s">
        <v>28</v>
      </c>
      <c r="B101" s="31"/>
      <c r="C101" s="31"/>
      <c r="D101" s="31"/>
      <c r="E101" s="31"/>
      <c r="F101" s="31"/>
      <c r="G101" s="31"/>
      <c r="H101" s="31"/>
      <c r="I101" s="31"/>
    </row>
  </sheetData>
  <mergeCells count="41">
    <mergeCell ref="A1:I1"/>
    <mergeCell ref="A3:B3"/>
    <mergeCell ref="F3:I3"/>
    <mergeCell ref="A5:B5"/>
    <mergeCell ref="D5:E5"/>
    <mergeCell ref="F5:G5"/>
    <mergeCell ref="H5:I5"/>
    <mergeCell ref="A6:B6"/>
    <mergeCell ref="D6:E6"/>
    <mergeCell ref="F6:G6"/>
    <mergeCell ref="H6:I6"/>
    <mergeCell ref="J7:M7"/>
    <mergeCell ref="A8:C8"/>
    <mergeCell ref="D8:I8"/>
    <mergeCell ref="J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A55:I55"/>
    <mergeCell ref="A57:C57"/>
    <mergeCell ref="D57:I57"/>
    <mergeCell ref="A99:I99"/>
    <mergeCell ref="A101:I101"/>
  </mergeCells>
  <conditionalFormatting sqref="D6">
    <cfRule type="cellIs" priority="2" operator="greaterThanOrEqual" aboveAverage="0" equalAverage="0" bottom="0" percent="0" rank="0" text="" dxfId="0">
      <formula>0.85</formula>
    </cfRule>
    <cfRule type="cellIs" priority="3" operator="lessThan" aboveAverage="0" equalAverage="0" bottom="0" percent="0" rank="0" text="" dxfId="1">
      <formula>0.6</formula>
    </cfRule>
  </conditionalFormatting>
  <conditionalFormatting sqref="H6">
    <cfRule type="cellIs" priority="4" operator="equal" aboveAverage="0" equalAverage="0" bottom="0" percent="0" rank="0" text="" dxfId="2">
      <formula>0</formula>
    </cfRule>
  </conditionalFormatting>
  <conditionalFormatting sqref="G10:G54">
    <cfRule type="expression" priority="5" aboveAverage="0" equalAverage="0" bottom="0" percent="0" rank="0" text="" dxfId="3">
      <formula>$G10="Concluída"</formula>
    </cfRule>
    <cfRule type="expression" priority="6" aboveAverage="0" equalAverage="0" bottom="0" percent="0" rank="0" text="" dxfId="4">
      <formula>$G10="Fecha neste dia"</formula>
    </cfRule>
    <cfRule type="expression" priority="7" aboveAverage="0" equalAverage="0" bottom="0" percent="0" rank="0" text="" dxfId="5">
      <formula>$G10="Atrasada"</formula>
    </cfRule>
    <cfRule type="expression" priority="8" aboveAverage="0" equalAverage="0" bottom="0" percent="0" rank="0" text="" dxfId="6">
      <formula>$G10="Em execução"</formula>
    </cfRule>
  </conditionalFormatting>
  <conditionalFormatting sqref="G59:G98">
    <cfRule type="expression" priority="9" aboveAverage="0" equalAverage="0" bottom="0" percent="0" rank="0" text="" dxfId="3">
      <formula>$G59="Concluída"</formula>
    </cfRule>
    <cfRule type="expression" priority="10" aboveAverage="0" equalAverage="0" bottom="0" percent="0" rank="0" text="" dxfId="4">
      <formula>$G59="Fecha neste dia"</formula>
    </cfRule>
    <cfRule type="expression" priority="11" aboveAverage="0" equalAverage="0" bottom="0" percent="0" rank="0" text="" dxfId="5">
      <formula>$G59="Atrasada"</formula>
    </cfRule>
    <cfRule type="expression" priority="12" aboveAverage="0" equalAverage="0" bottom="0" percent="0" rank="0" text="" dxfId="6">
      <formula>$G59="Em execução"</formula>
    </cfRule>
  </conditionalFormatting>
  <conditionalFormatting sqref="L10:M29">
    <cfRule type="expression" priority="13" aboveAverage="0" equalAverage="0" bottom="0" percent="0" rank="0" text="" dxfId="5">
      <formula>$L10="⚠ linha não encontrada"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AT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true" outlineLevel="1" max="5" min="5" style="0" width="25"/>
    <col collapsed="false" customWidth="true" hidden="false" outlineLevel="0" max="6" min="6" style="0" width="38"/>
    <col collapsed="false" customWidth="true" hidden="true" outlineLevel="1" max="7" min="7" style="0" width="11"/>
    <col collapsed="false" customWidth="true" hidden="true" outlineLevel="1" max="8" min="8" style="0" width="12"/>
    <col collapsed="false" customWidth="true" hidden="false" outlineLevel="0" max="9" min="9" style="0" width="14"/>
    <col collapsed="false" customWidth="true" hidden="true" outlineLevel="1" max="11" min="10" style="0" width="16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true" outlineLevel="1" max="14" min="14" style="0" width="9"/>
    <col collapsed="false" customWidth="true" hidden="true" outlineLevel="1" max="15" min="15" style="0" width="11"/>
    <col collapsed="false" customWidth="true" hidden="false" outlineLevel="0" max="17" min="16" style="0" width="12"/>
    <col collapsed="false" customWidth="true" hidden="true" outlineLevel="1" max="18" min="18" style="0" width="12"/>
    <col collapsed="false" customWidth="true" hidden="true" outlineLevel="1" max="19" min="19" style="0" width="11"/>
    <col collapsed="false" customWidth="true" hidden="true" outlineLevel="1" max="20" min="20" style="0" width="26"/>
    <col collapsed="false" customWidth="true" hidden="false" outlineLevel="0" max="21" min="21" style="0" width="18"/>
    <col collapsed="false" customWidth="true" hidden="true" outlineLevel="1" max="22" min="22" style="0" width="12"/>
    <col collapsed="false" customWidth="true" hidden="true" outlineLevel="1" max="23" min="23" style="0" width="11"/>
    <col collapsed="false" customWidth="true" hidden="true" outlineLevel="1" max="28" min="24" style="0" width="8"/>
    <col collapsed="false" customWidth="true" hidden="true" outlineLevel="1" max="29" min="29" style="0" width="7"/>
    <col collapsed="false" customWidth="true" hidden="true" outlineLevel="1" max="30" min="30" style="0" width="8"/>
    <col collapsed="false" customWidth="true" hidden="true" outlineLevel="1" max="32" min="31" style="0" width="9"/>
    <col collapsed="false" customWidth="true" hidden="true" outlineLevel="1" max="33" min="33" style="0" width="22"/>
    <col collapsed="false" customWidth="true" hidden="true" outlineLevel="1" max="35" min="34" style="0" width="9"/>
    <col collapsed="false" customWidth="true" hidden="true" outlineLevel="1" max="36" min="36" style="0" width="18"/>
    <col collapsed="false" customWidth="true" hidden="true" outlineLevel="1" max="38" min="37" style="0" width="9"/>
    <col collapsed="false" customWidth="true" hidden="true" outlineLevel="1" max="39" min="39" style="0" width="10"/>
    <col collapsed="false" customWidth="true" hidden="true" outlineLevel="1" max="40" min="40" style="0" width="14"/>
    <col collapsed="false" customWidth="true" hidden="true" outlineLevel="1" max="41" min="41" style="0" width="20"/>
    <col collapsed="false" customWidth="true" hidden="true" outlineLevel="1" max="42" min="42" style="0" width="12"/>
    <col collapsed="false" customWidth="true" hidden="true" outlineLevel="1" max="43" min="43" style="0" width="9"/>
    <col collapsed="false" customWidth="true" hidden="true" outlineLevel="1" max="44" min="44" style="0" width="11"/>
    <col collapsed="false" customWidth="true" hidden="true" outlineLevel="1" max="46" min="45" style="0" width="13"/>
  </cols>
  <sheetData>
    <row r="1" customFormat="false" ht="30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8" hidden="false" customHeight="true" outlineLevel="0" collapsed="false">
      <c r="A2" s="32" t="s">
        <v>30</v>
      </c>
      <c r="B2" s="32"/>
      <c r="C2" s="33" t="s">
        <v>31</v>
      </c>
      <c r="D2" s="33"/>
      <c r="E2" s="33"/>
      <c r="F2" s="33"/>
      <c r="G2" s="33"/>
      <c r="H2" s="33"/>
      <c r="I2" s="34" t="s">
        <v>32</v>
      </c>
      <c r="J2" s="34"/>
      <c r="K2" s="34"/>
      <c r="L2" s="35" t="s">
        <v>33</v>
      </c>
      <c r="M2" s="35"/>
      <c r="N2" s="35"/>
      <c r="O2" s="32" t="s">
        <v>30</v>
      </c>
      <c r="P2" s="32"/>
      <c r="Q2" s="36" t="s">
        <v>34</v>
      </c>
      <c r="R2" s="36"/>
      <c r="S2" s="36"/>
      <c r="T2" s="36"/>
      <c r="U2" s="36"/>
      <c r="V2" s="32" t="s">
        <v>35</v>
      </c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7" t="s">
        <v>36</v>
      </c>
      <c r="AN2" s="32" t="s">
        <v>35</v>
      </c>
      <c r="AO2" s="32"/>
      <c r="AP2" s="32"/>
      <c r="AQ2" s="32"/>
      <c r="AR2" s="32"/>
      <c r="AS2" s="32"/>
      <c r="AT2" s="32"/>
    </row>
    <row r="3" customFormat="false" ht="31.5" hidden="false" customHeight="true" outlineLevel="0" collapsed="false">
      <c r="A3" s="20" t="s">
        <v>25</v>
      </c>
      <c r="B3" s="20" t="s">
        <v>23</v>
      </c>
      <c r="C3" s="38" t="s">
        <v>37</v>
      </c>
      <c r="D3" s="38" t="s">
        <v>17</v>
      </c>
      <c r="E3" s="38" t="s">
        <v>18</v>
      </c>
      <c r="F3" s="38" t="s">
        <v>19</v>
      </c>
      <c r="G3" s="38" t="s">
        <v>38</v>
      </c>
      <c r="H3" s="38" t="s">
        <v>39</v>
      </c>
      <c r="I3" s="38" t="s">
        <v>40</v>
      </c>
      <c r="J3" s="38" t="s">
        <v>41</v>
      </c>
      <c r="K3" s="38" t="s">
        <v>42</v>
      </c>
      <c r="L3" s="38" t="s">
        <v>43</v>
      </c>
      <c r="M3" s="38" t="s">
        <v>44</v>
      </c>
      <c r="N3" s="38" t="s">
        <v>45</v>
      </c>
      <c r="O3" s="20" t="s">
        <v>21</v>
      </c>
      <c r="P3" s="20" t="s">
        <v>46</v>
      </c>
      <c r="Q3" s="38" t="s">
        <v>24</v>
      </c>
      <c r="R3" s="38" t="s">
        <v>47</v>
      </c>
      <c r="S3" s="38" t="s">
        <v>48</v>
      </c>
      <c r="T3" s="38" t="s">
        <v>49</v>
      </c>
      <c r="U3" s="38" t="s">
        <v>50</v>
      </c>
      <c r="V3" s="20" t="s">
        <v>51</v>
      </c>
      <c r="W3" s="20" t="s">
        <v>52</v>
      </c>
      <c r="X3" s="20" t="s">
        <v>53</v>
      </c>
      <c r="Y3" s="20" t="s">
        <v>54</v>
      </c>
      <c r="Z3" s="20" t="s">
        <v>55</v>
      </c>
      <c r="AA3" s="20" t="s">
        <v>56</v>
      </c>
      <c r="AB3" s="20" t="s">
        <v>57</v>
      </c>
      <c r="AC3" s="20" t="s">
        <v>58</v>
      </c>
      <c r="AD3" s="20" t="s">
        <v>59</v>
      </c>
      <c r="AE3" s="20" t="s">
        <v>60</v>
      </c>
      <c r="AF3" s="20" t="s">
        <v>61</v>
      </c>
      <c r="AG3" s="20" t="s">
        <v>62</v>
      </c>
      <c r="AH3" s="20" t="s">
        <v>63</v>
      </c>
      <c r="AI3" s="20" t="s">
        <v>64</v>
      </c>
      <c r="AJ3" s="20" t="s">
        <v>65</v>
      </c>
      <c r="AK3" s="20" t="s">
        <v>66</v>
      </c>
      <c r="AL3" s="20" t="s">
        <v>67</v>
      </c>
      <c r="AM3" s="38" t="s">
        <v>68</v>
      </c>
      <c r="AN3" s="20" t="s">
        <v>69</v>
      </c>
      <c r="AO3" s="20" t="s">
        <v>70</v>
      </c>
      <c r="AP3" s="20" t="s">
        <v>71</v>
      </c>
      <c r="AQ3" s="20" t="s">
        <v>72</v>
      </c>
      <c r="AR3" s="20" t="s">
        <v>73</v>
      </c>
      <c r="AS3" s="20" t="s">
        <v>74</v>
      </c>
      <c r="AT3" s="20" t="s">
        <v>75</v>
      </c>
    </row>
    <row r="5" customFormat="false" ht="16.5" hidden="false" customHeight="true" outlineLevel="0" collapsed="false">
      <c r="A5" s="39" t="n">
        <f aca="false">IF($F5="","",ROW())</f>
        <v>5</v>
      </c>
      <c r="B5" s="40" t="str">
        <f aca="false">IF($F5="",IF($D5="","","Falta a atividade"),IF($R5="Cancelada","Cancelada",IF($AB5=1,IF(N($Z5)&gt;0,"Concluída com atraso","Concluída"),IF($R5="Em programação","Em programação",IF($O5="",IF($M5="","Na carteira","Falta a semana"),IF($AC5=1,"VENCIDA",IF($O5&gt;Hoje!$L$1,"Programada",IF($P5&gt;Hoje!$L$1,"Em execução","Fecha hoje"))))))))</f>
        <v>Concluída</v>
      </c>
      <c r="C5" s="41" t="s">
        <v>76</v>
      </c>
      <c r="D5" s="42" t="s">
        <v>77</v>
      </c>
      <c r="E5" s="42" t="s">
        <v>78</v>
      </c>
      <c r="F5" s="42" t="s">
        <v>79</v>
      </c>
      <c r="G5" s="43" t="s">
        <v>80</v>
      </c>
      <c r="H5" s="43" t="s">
        <v>81</v>
      </c>
      <c r="I5" s="44" t="s">
        <v>82</v>
      </c>
      <c r="J5" s="44" t="s">
        <v>83</v>
      </c>
      <c r="K5" s="44"/>
      <c r="L5" s="45" t="n">
        <v>35</v>
      </c>
      <c r="M5" s="46" t="s">
        <v>84</v>
      </c>
      <c r="N5" s="45" t="n">
        <v>4</v>
      </c>
      <c r="O5" s="47" t="n">
        <f aca="false">IF(OR($L5="",$M5=""),"",(DATE(Semana!$J$3,1,4)-WEEKDAY(DATE(Semana!$J$3,1,4),3))+($L5-1)*7+MATCH($M5,Listas!$F$5:$F$11,0)-1)</f>
        <v>46260</v>
      </c>
      <c r="P5" s="47" t="n">
        <f aca="false">IF(OR($F5="",$O5=""),"",$O5+MAX(0,ROUNDUP($AK5*MAX(1,IF($N5="",1,$N5))/MAX(1,$AL5),0)-1))</f>
        <v>46260</v>
      </c>
      <c r="Q5" s="48" t="n">
        <v>46260</v>
      </c>
      <c r="R5" s="43" t="s">
        <v>85</v>
      </c>
      <c r="S5" s="49"/>
      <c r="T5" s="42"/>
      <c r="U5" s="42" t="s">
        <v>86</v>
      </c>
      <c r="V5" s="39" t="str">
        <f aca="false">IF($F5="","",IF(ISNUMBER(SEARCH("(externo)",$I5&amp;$J5&amp;$K5)),"Terceirizada","Interna"))</f>
        <v>Interna</v>
      </c>
      <c r="W5" s="47" t="n">
        <f aca="false">IF($O5="","",IF($S5="",$O5,(DATE(Semana!$J$3,1,4)-WEEKDAY(DATE(Semana!$J$3,1,4),3))+($S5-1)*7+IF($M5="",0,MATCH($M5,Listas!$F$5:$F$11,0)-1)))</f>
        <v>46260</v>
      </c>
      <c r="X5" s="39" t="n">
        <f aca="false">IF($F5="","",IF(OR($AT5="",$O5=""),0,IF($AT5&lt;=$O5,1,0)))</f>
        <v>1</v>
      </c>
      <c r="Y5" s="39" t="n">
        <f aca="false">IF($F5="","",IF(OR($AT5="",$W5=""),0,IF($AT5&lt;=$W5,1,0)))</f>
        <v>1</v>
      </c>
      <c r="Z5" s="39" t="n">
        <f aca="false">IF(OR($AT5="",$O5=""),"",MAX(0,$AT5-$O5))</f>
        <v>0</v>
      </c>
      <c r="AA5" s="39" t="n">
        <f aca="false">IF($F5="","",IF(AND($S5&lt;&gt;"",$L5&lt;&gt;"",$S5&lt;&gt;$L5),1,0))</f>
        <v>0</v>
      </c>
      <c r="AB5" s="39" t="n">
        <f aca="false">IF($F5="","",IF($R5="Cancelada",0,IF(OR($AT5&lt;&gt;"",$R5="Concluída"),1,0)))</f>
        <v>1</v>
      </c>
      <c r="AC5" s="39" t="n">
        <f aca="false">IF($P5="",0,IF($P5&lt;Hoje!$L$1,1,IF(AND($P5=Hoje!$L$1,Hoje!$L$2&gt;Semana!$M$3),1,0)))</f>
        <v>1</v>
      </c>
      <c r="AD5" s="39" t="n">
        <f aca="false">IF($F5="","",IF(COUNTA($I5:$K5)=0,0,1/COUNTA($I5:$K5)))</f>
        <v>0.5</v>
      </c>
      <c r="AE5" s="39" t="str">
        <f aca="false">IF($AH5=0,"",SUM($AH$4:$AH5))</f>
        <v/>
      </c>
      <c r="AF5" s="39" t="str">
        <f aca="false">IF($AI5=0,"",SUM($AI$4:$AI5))</f>
        <v/>
      </c>
      <c r="AG5" s="50" t="str">
        <f aca="false">IF($F5="","",$I5&amp;IF($J5="",""," · "&amp;$J5)&amp;IF($K5="",""," · "&amp;$K5))</f>
        <v>Airton · Luiz Paulo</v>
      </c>
      <c r="AH5" s="39" t="n">
        <f aca="false">IF(AND($F5&lt;&gt;"",$O5&lt;&gt;"",$O5&lt;=Hoje!$C$3,$P5&gt;=Hoje!$C$3,$R5&lt;&gt;"Cancelada"),1,0)</f>
        <v>0</v>
      </c>
      <c r="AI5" s="39" t="n">
        <f aca="false">IF(AND($F5&lt;&gt;"",$P5&lt;&gt;"",$P5&lt;Hoje!$C$3,$AB5=0,$R5&lt;&gt;"Cancelada"),1,0)</f>
        <v>0</v>
      </c>
      <c r="AJ5" s="50" t="str">
        <f aca="false">IF($F5="","",$D5&amp;"|"&amp;$E5&amp;"|"&amp;$L5)</f>
        <v>F-326|Calibração e troca de pneus|35</v>
      </c>
      <c r="AK5" s="39" t="n">
        <f aca="false">IF($AJ5="","",COUNTIF($AJ$4:$AJ5,$AJ5))</f>
        <v>1</v>
      </c>
      <c r="AL5" s="39" t="n">
        <f aca="false">IF($AJ5="","",COUNTIF($AJ$4:$AJ$1004,$AJ5))</f>
        <v>5</v>
      </c>
      <c r="AM5" s="42"/>
      <c r="AN5" s="50" t="str">
        <f aca="false">IF($D5="","",IFERROR(T(VLOOKUP($D5,Listas!$B$5:$H$120,7,0)),""))</f>
        <v/>
      </c>
      <c r="AO5" s="50" t="str">
        <f aca="false">IF(OR($F5="",$L5&lt;&gt;"",$R5="Cancelada",$AT5&lt;&gt;""),"",$AN5&amp;"|"&amp;$D5&amp;"|"&amp;IF($C5="","zzz",$C5)&amp;"|"&amp;TEXT(5,"0000"))</f>
        <v/>
      </c>
      <c r="AP5" s="50" t="str">
        <f aca="false">IF($AO5="","",COUNTIF($AO$5:$AO$1004,"&lt;"&amp;$AO5)-(ROWS($AO$5:$AO$1004)-Hoje!$L$5)+1)</f>
        <v/>
      </c>
      <c r="AQ5" s="50" t="n">
        <f aca="false">IF(AND($F5&lt;&gt;"",$D5=Frota!$C$3),1,0)</f>
        <v>0</v>
      </c>
      <c r="AR5" s="50" t="str">
        <f aca="false">IF($AQ5=0,"",SUM($AQ$4:$AQ5))</f>
        <v/>
      </c>
      <c r="AS5" s="50" t="str">
        <f aca="false">IFERROR(INDEX(Hoje!$K$10:$K$29,MATCH(ROW(),Hoje!$J$10:$J$29,0)),"")</f>
        <v/>
      </c>
      <c r="AT5" s="47" t="n">
        <f aca="false">IF($Q5&lt;&gt;"",$Q5,$AS5)</f>
        <v>46260</v>
      </c>
    </row>
    <row r="6" customFormat="false" ht="16.5" hidden="false" customHeight="true" outlineLevel="0" collapsed="false">
      <c r="A6" s="39" t="n">
        <f aca="false">IF($F6="","",ROW())</f>
        <v>6</v>
      </c>
      <c r="B6" s="40" t="str">
        <f aca="false">IF($F6="",IF($D6="","","Falta a atividade"),IF($R6="Cancelada","Cancelada",IF($AB6=1,IF(N($Z6)&gt;0,"Concluída com atraso","Concluída"),IF($R6="Em programação","Em programação",IF($O6="",IF($M6="","Na carteira","Falta a semana"),IF($AC6=1,"VENCIDA",IF($O6&gt;Hoje!$L$1,"Programada",IF($P6&gt;Hoje!$L$1,"Em execução","Fecha hoje"))))))))</f>
        <v>Concluída</v>
      </c>
      <c r="C6" s="41" t="s">
        <v>76</v>
      </c>
      <c r="D6" s="42" t="s">
        <v>77</v>
      </c>
      <c r="E6" s="42" t="s">
        <v>78</v>
      </c>
      <c r="F6" s="42" t="s">
        <v>87</v>
      </c>
      <c r="G6" s="43" t="s">
        <v>80</v>
      </c>
      <c r="H6" s="43" t="s">
        <v>81</v>
      </c>
      <c r="I6" s="44" t="s">
        <v>88</v>
      </c>
      <c r="J6" s="44"/>
      <c r="K6" s="44"/>
      <c r="L6" s="45" t="n">
        <v>35</v>
      </c>
      <c r="M6" s="46" t="s">
        <v>84</v>
      </c>
      <c r="N6" s="45" t="n">
        <v>4</v>
      </c>
      <c r="O6" s="47" t="n">
        <f aca="false">IF(OR($L6="",$M6=""),"",(DATE(Semana!$J$3,1,4)-WEEKDAY(DATE(Semana!$J$3,1,4),3))+($L6-1)*7+MATCH($M6,Listas!$F$5:$F$11,0)-1)</f>
        <v>46260</v>
      </c>
      <c r="P6" s="47" t="n">
        <f aca="false">IF(OR($F6="",$O6=""),"",$O6+MAX(0,ROUNDUP($AK6*MAX(1,IF($N6="",1,$N6))/MAX(1,$AL6),0)-1))</f>
        <v>46261</v>
      </c>
      <c r="Q6" s="48" t="n">
        <v>46260</v>
      </c>
      <c r="R6" s="43" t="s">
        <v>85</v>
      </c>
      <c r="S6" s="49"/>
      <c r="T6" s="42"/>
      <c r="U6" s="42" t="s">
        <v>89</v>
      </c>
      <c r="V6" s="39" t="str">
        <f aca="false">IF($F6="","",IF(ISNUMBER(SEARCH("(externo)",$I6&amp;$J6&amp;$K6)),"Terceirizada","Interna"))</f>
        <v>Interna</v>
      </c>
      <c r="W6" s="47" t="n">
        <f aca="false">IF($O6="","",IF($S6="",$O6,(DATE(Semana!$J$3,1,4)-WEEKDAY(DATE(Semana!$J$3,1,4),3))+($S6-1)*7+IF($M6="",0,MATCH($M6,Listas!$F$5:$F$11,0)-1)))</f>
        <v>46260</v>
      </c>
      <c r="X6" s="39" t="n">
        <f aca="false">IF($F6="","",IF(OR($AT6="",$O6=""),0,IF($AT6&lt;=$O6,1,0)))</f>
        <v>1</v>
      </c>
      <c r="Y6" s="39" t="n">
        <f aca="false">IF($F6="","",IF(OR($AT6="",$W6=""),0,IF($AT6&lt;=$W6,1,0)))</f>
        <v>1</v>
      </c>
      <c r="Z6" s="39" t="n">
        <f aca="false">IF(OR($AT6="",$O6=""),"",MAX(0,$AT6-$O6))</f>
        <v>0</v>
      </c>
      <c r="AA6" s="39" t="n">
        <f aca="false">IF($F6="","",IF(AND($S6&lt;&gt;"",$L6&lt;&gt;"",$S6&lt;&gt;$L6),1,0))</f>
        <v>0</v>
      </c>
      <c r="AB6" s="39" t="n">
        <f aca="false">IF($F6="","",IF($R6="Cancelada",0,IF(OR($AT6&lt;&gt;"",$R6="Concluída"),1,0)))</f>
        <v>1</v>
      </c>
      <c r="AC6" s="39" t="n">
        <f aca="false">IF($P6="",0,IF($P6&lt;Hoje!$L$1,1,IF(AND($P6=Hoje!$L$1,Hoje!$L$2&gt;Semana!$M$3),1,0)))</f>
        <v>1</v>
      </c>
      <c r="AD6" s="39" t="n">
        <f aca="false">IF($F6="","",IF(COUNTA($I6:$K6)=0,0,1/COUNTA($I6:$K6)))</f>
        <v>1</v>
      </c>
      <c r="AE6" s="39" t="str">
        <f aca="false">IF($AH6=0,"",SUM($AH$4:$AH6))</f>
        <v/>
      </c>
      <c r="AF6" s="39" t="str">
        <f aca="false">IF($AI6=0,"",SUM($AI$4:$AI6))</f>
        <v/>
      </c>
      <c r="AG6" s="50" t="str">
        <f aca="false">IF($F6="","",$I6&amp;IF($J6="",""," · "&amp;$J6)&amp;IF($K6="",""," · "&amp;$K6))</f>
        <v>Júnior</v>
      </c>
      <c r="AH6" s="39" t="n">
        <f aca="false">IF(AND($F6&lt;&gt;"",$O6&lt;&gt;"",$O6&lt;=Hoje!$C$3,$P6&gt;=Hoje!$C$3,$R6&lt;&gt;"Cancelada"),1,0)</f>
        <v>0</v>
      </c>
      <c r="AI6" s="39" t="n">
        <f aca="false">IF(AND($F6&lt;&gt;"",$P6&lt;&gt;"",$P6&lt;Hoje!$C$3,$AB6=0,$R6&lt;&gt;"Cancelada"),1,0)</f>
        <v>0</v>
      </c>
      <c r="AJ6" s="50" t="str">
        <f aca="false">IF($F6="","",$D6&amp;"|"&amp;$E6&amp;"|"&amp;$L6)</f>
        <v>F-326|Calibração e troca de pneus|35</v>
      </c>
      <c r="AK6" s="39" t="n">
        <f aca="false">IF($AJ6="","",COUNTIF($AJ$4:$AJ6,$AJ6))</f>
        <v>2</v>
      </c>
      <c r="AL6" s="39" t="n">
        <f aca="false">IF($AJ6="","",COUNTIF($AJ$4:$AJ$1004,$AJ6))</f>
        <v>5</v>
      </c>
      <c r="AM6" s="42"/>
      <c r="AN6" s="50" t="str">
        <f aca="false">IF($D6="","",IFERROR(T(VLOOKUP($D6,Listas!$B$5:$H$120,7,0)),""))</f>
        <v/>
      </c>
      <c r="AO6" s="50" t="str">
        <f aca="false">IF(OR($F6="",$L6&lt;&gt;"",$R6="Cancelada",$AT6&lt;&gt;""),"",$AN6&amp;"|"&amp;$D6&amp;"|"&amp;IF($C6="","zzz",$C6)&amp;"|"&amp;TEXT(6,"0000"))</f>
        <v/>
      </c>
      <c r="AP6" s="50" t="str">
        <f aca="false">IF($AO6="","",COUNTIF($AO$5:$AO$1004,"&lt;"&amp;$AO6)-(ROWS($AO$5:$AO$1004)-Hoje!$L$5)+1)</f>
        <v/>
      </c>
      <c r="AQ6" s="50" t="n">
        <f aca="false">IF(AND($F6&lt;&gt;"",$D6=Frota!$C$3),1,0)</f>
        <v>0</v>
      </c>
      <c r="AR6" s="50" t="str">
        <f aca="false">IF($AQ6=0,"",SUM($AQ$4:$AQ6))</f>
        <v/>
      </c>
      <c r="AS6" s="50" t="str">
        <f aca="false">IFERROR(INDEX(Hoje!$K$10:$K$29,MATCH(ROW(),Hoje!$J$10:$J$29,0)),"")</f>
        <v/>
      </c>
      <c r="AT6" s="47" t="n">
        <f aca="false">IF($Q6&lt;&gt;"",$Q6,$AS6)</f>
        <v>46260</v>
      </c>
    </row>
    <row r="7" customFormat="false" ht="16.5" hidden="false" customHeight="true" outlineLevel="0" collapsed="false">
      <c r="A7" s="39" t="n">
        <f aca="false">IF($F7="","",ROW())</f>
        <v>7</v>
      </c>
      <c r="B7" s="40" t="str">
        <f aca="false">IF($F7="",IF($D7="","","Falta a atividade"),IF($R7="Cancelada","Cancelada",IF($AB7=1,IF(N($Z7)&gt;0,"Concluída com atraso","Concluída"),IF($R7="Em programação","Em programação",IF($O7="",IF($M7="","Na carteira","Falta a semana"),IF($AC7=1,"VENCIDA",IF($O7&gt;Hoje!$L$1,"Programada",IF($P7&gt;Hoje!$L$1,"Em execução","Fecha hoje"))))))))</f>
        <v>Concluída</v>
      </c>
      <c r="C7" s="41" t="s">
        <v>76</v>
      </c>
      <c r="D7" s="42" t="s">
        <v>77</v>
      </c>
      <c r="E7" s="42" t="s">
        <v>78</v>
      </c>
      <c r="F7" s="42" t="s">
        <v>90</v>
      </c>
      <c r="G7" s="43" t="s">
        <v>80</v>
      </c>
      <c r="H7" s="43" t="s">
        <v>81</v>
      </c>
      <c r="I7" s="44" t="s">
        <v>88</v>
      </c>
      <c r="J7" s="44"/>
      <c r="K7" s="44"/>
      <c r="L7" s="45" t="n">
        <v>35</v>
      </c>
      <c r="M7" s="46" t="s">
        <v>84</v>
      </c>
      <c r="N7" s="45" t="n">
        <v>4</v>
      </c>
      <c r="O7" s="47" t="n">
        <f aca="false">IF(OR($L7="",$M7=""),"",(DATE(Semana!$J$3,1,4)-WEEKDAY(DATE(Semana!$J$3,1,4),3))+($L7-1)*7+MATCH($M7,Listas!$F$5:$F$11,0)-1)</f>
        <v>46260</v>
      </c>
      <c r="P7" s="47" t="n">
        <f aca="false">IF(OR($F7="",$O7=""),"",$O7+MAX(0,ROUNDUP($AK7*MAX(1,IF($N7="",1,$N7))/MAX(1,$AL7),0)-1))</f>
        <v>46262</v>
      </c>
      <c r="Q7" s="48" t="n">
        <v>46260</v>
      </c>
      <c r="R7" s="43" t="s">
        <v>85</v>
      </c>
      <c r="S7" s="49"/>
      <c r="T7" s="42"/>
      <c r="U7" s="42" t="s">
        <v>91</v>
      </c>
      <c r="V7" s="39" t="str">
        <f aca="false">IF($F7="","",IF(ISNUMBER(SEARCH("(externo)",$I7&amp;$J7&amp;$K7)),"Terceirizada","Interna"))</f>
        <v>Interna</v>
      </c>
      <c r="W7" s="47" t="n">
        <f aca="false">IF($O7="","",IF($S7="",$O7,(DATE(Semana!$J$3,1,4)-WEEKDAY(DATE(Semana!$J$3,1,4),3))+($S7-1)*7+IF($M7="",0,MATCH($M7,Listas!$F$5:$F$11,0)-1)))</f>
        <v>46260</v>
      </c>
      <c r="X7" s="39" t="n">
        <f aca="false">IF($F7="","",IF(OR($AT7="",$O7=""),0,IF($AT7&lt;=$O7,1,0)))</f>
        <v>1</v>
      </c>
      <c r="Y7" s="39" t="n">
        <f aca="false">IF($F7="","",IF(OR($AT7="",$W7=""),0,IF($AT7&lt;=$W7,1,0)))</f>
        <v>1</v>
      </c>
      <c r="Z7" s="39" t="n">
        <f aca="false">IF(OR($AT7="",$O7=""),"",MAX(0,$AT7-$O7))</f>
        <v>0</v>
      </c>
      <c r="AA7" s="39" t="n">
        <f aca="false">IF($F7="","",IF(AND($S7&lt;&gt;"",$L7&lt;&gt;"",$S7&lt;&gt;$L7),1,0))</f>
        <v>0</v>
      </c>
      <c r="AB7" s="39" t="n">
        <f aca="false">IF($F7="","",IF($R7="Cancelada",0,IF(OR($AT7&lt;&gt;"",$R7="Concluída"),1,0)))</f>
        <v>1</v>
      </c>
      <c r="AC7" s="39" t="n">
        <f aca="false">IF($P7="",0,IF($P7&lt;Hoje!$L$1,1,IF(AND($P7=Hoje!$L$1,Hoje!$L$2&gt;Semana!$M$3),1,0)))</f>
        <v>1</v>
      </c>
      <c r="AD7" s="39" t="n">
        <f aca="false">IF($F7="","",IF(COUNTA($I7:$K7)=0,0,1/COUNTA($I7:$K7)))</f>
        <v>1</v>
      </c>
      <c r="AE7" s="39" t="str">
        <f aca="false">IF($AH7=0,"",SUM($AH$4:$AH7))</f>
        <v/>
      </c>
      <c r="AF7" s="39" t="str">
        <f aca="false">IF($AI7=0,"",SUM($AI$4:$AI7))</f>
        <v/>
      </c>
      <c r="AG7" s="50" t="str">
        <f aca="false">IF($F7="","",$I7&amp;IF($J7="",""," · "&amp;$J7)&amp;IF($K7="",""," · "&amp;$K7))</f>
        <v>Júnior</v>
      </c>
      <c r="AH7" s="39" t="n">
        <f aca="false">IF(AND($F7&lt;&gt;"",$O7&lt;&gt;"",$O7&lt;=Hoje!$C$3,$P7&gt;=Hoje!$C$3,$R7&lt;&gt;"Cancelada"),1,0)</f>
        <v>0</v>
      </c>
      <c r="AI7" s="39" t="n">
        <f aca="false">IF(AND($F7&lt;&gt;"",$P7&lt;&gt;"",$P7&lt;Hoje!$C$3,$AB7=0,$R7&lt;&gt;"Cancelada"),1,0)</f>
        <v>0</v>
      </c>
      <c r="AJ7" s="50" t="str">
        <f aca="false">IF($F7="","",$D7&amp;"|"&amp;$E7&amp;"|"&amp;$L7)</f>
        <v>F-326|Calibração e troca de pneus|35</v>
      </c>
      <c r="AK7" s="39" t="n">
        <f aca="false">IF($AJ7="","",COUNTIF($AJ$4:$AJ7,$AJ7))</f>
        <v>3</v>
      </c>
      <c r="AL7" s="39" t="n">
        <f aca="false">IF($AJ7="","",COUNTIF($AJ$4:$AJ$1004,$AJ7))</f>
        <v>5</v>
      </c>
      <c r="AM7" s="42"/>
      <c r="AN7" s="50" t="str">
        <f aca="false">IF($D7="","",IFERROR(T(VLOOKUP($D7,Listas!$B$5:$H$120,7,0)),""))</f>
        <v/>
      </c>
      <c r="AO7" s="50" t="str">
        <f aca="false">IF(OR($F7="",$L7&lt;&gt;"",$R7="Cancelada",$AT7&lt;&gt;""),"",$AN7&amp;"|"&amp;$D7&amp;"|"&amp;IF($C7="","zzz",$C7)&amp;"|"&amp;TEXT(7,"0000"))</f>
        <v/>
      </c>
      <c r="AP7" s="50" t="str">
        <f aca="false">IF($AO7="","",COUNTIF($AO$5:$AO$1004,"&lt;"&amp;$AO7)-(ROWS($AO$5:$AO$1004)-Hoje!$L$5)+1)</f>
        <v/>
      </c>
      <c r="AQ7" s="50" t="n">
        <f aca="false">IF(AND($F7&lt;&gt;"",$D7=Frota!$C$3),1,0)</f>
        <v>0</v>
      </c>
      <c r="AR7" s="50" t="str">
        <f aca="false">IF($AQ7=0,"",SUM($AQ$4:$AQ7))</f>
        <v/>
      </c>
      <c r="AS7" s="50" t="str">
        <f aca="false">IFERROR(INDEX(Hoje!$K$10:$K$29,MATCH(ROW(),Hoje!$J$10:$J$29,0)),"")</f>
        <v/>
      </c>
      <c r="AT7" s="47" t="n">
        <f aca="false">IF($Q7&lt;&gt;"",$Q7,$AS7)</f>
        <v>46260</v>
      </c>
    </row>
    <row r="8" customFormat="false" ht="16.5" hidden="false" customHeight="true" outlineLevel="0" collapsed="false">
      <c r="A8" s="39" t="n">
        <f aca="false">IF($F8="","",ROW())</f>
        <v>8</v>
      </c>
      <c r="B8" s="40" t="str">
        <f aca="false">IF($F8="",IF($D8="","","Falta a atividade"),IF($R8="Cancelada","Cancelada",IF($AB8=1,IF(N($Z8)&gt;0,"Concluída com atraso","Concluída"),IF($R8="Em programação","Em programação",IF($O8="",IF($M8="","Na carteira","Falta a semana"),IF($AC8=1,"VENCIDA",IF($O8&gt;Hoje!$L$1,"Programada",IF($P8&gt;Hoje!$L$1,"Em execução","Fecha hoje"))))))))</f>
        <v>Concluída</v>
      </c>
      <c r="C8" s="41" t="s">
        <v>76</v>
      </c>
      <c r="D8" s="42" t="s">
        <v>77</v>
      </c>
      <c r="E8" s="42" t="s">
        <v>78</v>
      </c>
      <c r="F8" s="42" t="s">
        <v>92</v>
      </c>
      <c r="G8" s="43" t="s">
        <v>80</v>
      </c>
      <c r="H8" s="43" t="s">
        <v>81</v>
      </c>
      <c r="I8" s="44" t="s">
        <v>88</v>
      </c>
      <c r="J8" s="44"/>
      <c r="K8" s="44"/>
      <c r="L8" s="45" t="n">
        <v>35</v>
      </c>
      <c r="M8" s="46" t="s">
        <v>84</v>
      </c>
      <c r="N8" s="45" t="n">
        <v>4</v>
      </c>
      <c r="O8" s="47" t="n">
        <f aca="false">IF(OR($L8="",$M8=""),"",(DATE(Semana!$J$3,1,4)-WEEKDAY(DATE(Semana!$J$3,1,4),3))+($L8-1)*7+MATCH($M8,Listas!$F$5:$F$11,0)-1)</f>
        <v>46260</v>
      </c>
      <c r="P8" s="47" t="n">
        <f aca="false">IF(OR($F8="",$O8=""),"",$O8+MAX(0,ROUNDUP($AK8*MAX(1,IF($N8="",1,$N8))/MAX(1,$AL8),0)-1))</f>
        <v>46263</v>
      </c>
      <c r="Q8" s="48" t="n">
        <v>46260</v>
      </c>
      <c r="R8" s="43" t="s">
        <v>85</v>
      </c>
      <c r="S8" s="49"/>
      <c r="T8" s="42"/>
      <c r="U8" s="42" t="s">
        <v>93</v>
      </c>
      <c r="V8" s="39" t="str">
        <f aca="false">IF($F8="","",IF(ISNUMBER(SEARCH("(externo)",$I8&amp;$J8&amp;$K8)),"Terceirizada","Interna"))</f>
        <v>Interna</v>
      </c>
      <c r="W8" s="47" t="n">
        <f aca="false">IF($O8="","",IF($S8="",$O8,(DATE(Semana!$J$3,1,4)-WEEKDAY(DATE(Semana!$J$3,1,4),3))+($S8-1)*7+IF($M8="",0,MATCH($M8,Listas!$F$5:$F$11,0)-1)))</f>
        <v>46260</v>
      </c>
      <c r="X8" s="39" t="n">
        <f aca="false">IF($F8="","",IF(OR($AT8="",$O8=""),0,IF($AT8&lt;=$O8,1,0)))</f>
        <v>1</v>
      </c>
      <c r="Y8" s="39" t="n">
        <f aca="false">IF($F8="","",IF(OR($AT8="",$W8=""),0,IF($AT8&lt;=$W8,1,0)))</f>
        <v>1</v>
      </c>
      <c r="Z8" s="39" t="n">
        <f aca="false">IF(OR($AT8="",$O8=""),"",MAX(0,$AT8-$O8))</f>
        <v>0</v>
      </c>
      <c r="AA8" s="39" t="n">
        <f aca="false">IF($F8="","",IF(AND($S8&lt;&gt;"",$L8&lt;&gt;"",$S8&lt;&gt;$L8),1,0))</f>
        <v>0</v>
      </c>
      <c r="AB8" s="39" t="n">
        <f aca="false">IF($F8="","",IF($R8="Cancelada",0,IF(OR($AT8&lt;&gt;"",$R8="Concluída"),1,0)))</f>
        <v>1</v>
      </c>
      <c r="AC8" s="39" t="n">
        <f aca="false">IF($P8="",0,IF($P8&lt;Hoje!$L$1,1,IF(AND($P8=Hoje!$L$1,Hoje!$L$2&gt;Semana!$M$3),1,0)))</f>
        <v>1</v>
      </c>
      <c r="AD8" s="39" t="n">
        <f aca="false">IF($F8="","",IF(COUNTA($I8:$K8)=0,0,1/COUNTA($I8:$K8)))</f>
        <v>1</v>
      </c>
      <c r="AE8" s="39" t="str">
        <f aca="false">IF($AH8=0,"",SUM($AH$4:$AH8))</f>
        <v/>
      </c>
      <c r="AF8" s="39" t="str">
        <f aca="false">IF($AI8=0,"",SUM($AI$4:$AI8))</f>
        <v/>
      </c>
      <c r="AG8" s="50" t="str">
        <f aca="false">IF($F8="","",$I8&amp;IF($J8="",""," · "&amp;$J8)&amp;IF($K8="",""," · "&amp;$K8))</f>
        <v>Júnior</v>
      </c>
      <c r="AH8" s="39" t="n">
        <f aca="false">IF(AND($F8&lt;&gt;"",$O8&lt;&gt;"",$O8&lt;=Hoje!$C$3,$P8&gt;=Hoje!$C$3,$R8&lt;&gt;"Cancelada"),1,0)</f>
        <v>0</v>
      </c>
      <c r="AI8" s="39" t="n">
        <f aca="false">IF(AND($F8&lt;&gt;"",$P8&lt;&gt;"",$P8&lt;Hoje!$C$3,$AB8=0,$R8&lt;&gt;"Cancelada"),1,0)</f>
        <v>0</v>
      </c>
      <c r="AJ8" s="50" t="str">
        <f aca="false">IF($F8="","",$D8&amp;"|"&amp;$E8&amp;"|"&amp;$L8)</f>
        <v>F-326|Calibração e troca de pneus|35</v>
      </c>
      <c r="AK8" s="39" t="n">
        <f aca="false">IF($AJ8="","",COUNTIF($AJ$4:$AJ8,$AJ8))</f>
        <v>4</v>
      </c>
      <c r="AL8" s="39" t="n">
        <f aca="false">IF($AJ8="","",COUNTIF($AJ$4:$AJ$1004,$AJ8))</f>
        <v>5</v>
      </c>
      <c r="AM8" s="42"/>
      <c r="AN8" s="50" t="str">
        <f aca="false">IF($D8="","",IFERROR(T(VLOOKUP($D8,Listas!$B$5:$H$120,7,0)),""))</f>
        <v/>
      </c>
      <c r="AO8" s="50" t="str">
        <f aca="false">IF(OR($F8="",$L8&lt;&gt;"",$R8="Cancelada",$AT8&lt;&gt;""),"",$AN8&amp;"|"&amp;$D8&amp;"|"&amp;IF($C8="","zzz",$C8)&amp;"|"&amp;TEXT(8,"0000"))</f>
        <v/>
      </c>
      <c r="AP8" s="50" t="str">
        <f aca="false">IF($AO8="","",COUNTIF($AO$5:$AO$1004,"&lt;"&amp;$AO8)-(ROWS($AO$5:$AO$1004)-Hoje!$L$5)+1)</f>
        <v/>
      </c>
      <c r="AQ8" s="50" t="n">
        <f aca="false">IF(AND($F8&lt;&gt;"",$D8=Frota!$C$3),1,0)</f>
        <v>0</v>
      </c>
      <c r="AR8" s="50" t="str">
        <f aca="false">IF($AQ8=0,"",SUM($AQ$4:$AQ8))</f>
        <v/>
      </c>
      <c r="AS8" s="50" t="str">
        <f aca="false">IFERROR(INDEX(Hoje!$K$10:$K$29,MATCH(ROW(),Hoje!$J$10:$J$29,0)),"")</f>
        <v/>
      </c>
      <c r="AT8" s="47" t="n">
        <f aca="false">IF($Q8&lt;&gt;"",$Q8,$AS8)</f>
        <v>46260</v>
      </c>
    </row>
    <row r="9" customFormat="false" ht="16.5" hidden="false" customHeight="true" outlineLevel="0" collapsed="false">
      <c r="A9" s="39" t="n">
        <f aca="false">IF($F9="","",ROW())</f>
        <v>9</v>
      </c>
      <c r="B9" s="40" t="str">
        <f aca="false">IF($F9="",IF($D9="","","Falta a atividade"),IF($R9="Cancelada","Cancelada",IF($AB9=1,IF(N($Z9)&gt;0,"Concluída com atraso","Concluída"),IF($R9="Em programação","Em programação",IF($O9="",IF($M9="","Na carteira","Falta a semana"),IF($AC9=1,"VENCIDA",IF($O9&gt;Hoje!$L$1,"Programada",IF($P9&gt;Hoje!$L$1,"Em execução","Fecha hoje"))))))))</f>
        <v>Concluída</v>
      </c>
      <c r="C9" s="41" t="s">
        <v>76</v>
      </c>
      <c r="D9" s="42" t="s">
        <v>77</v>
      </c>
      <c r="E9" s="42" t="s">
        <v>78</v>
      </c>
      <c r="F9" s="42" t="s">
        <v>94</v>
      </c>
      <c r="G9" s="43" t="s">
        <v>80</v>
      </c>
      <c r="H9" s="43" t="s">
        <v>81</v>
      </c>
      <c r="I9" s="44" t="s">
        <v>88</v>
      </c>
      <c r="J9" s="44"/>
      <c r="K9" s="44"/>
      <c r="L9" s="45" t="n">
        <v>35</v>
      </c>
      <c r="M9" s="46" t="s">
        <v>84</v>
      </c>
      <c r="N9" s="45" t="n">
        <v>4</v>
      </c>
      <c r="O9" s="47" t="n">
        <f aca="false">IF(OR($L9="",$M9=""),"",(DATE(Semana!$J$3,1,4)-WEEKDAY(DATE(Semana!$J$3,1,4),3))+($L9-1)*7+MATCH($M9,Listas!$F$5:$F$11,0)-1)</f>
        <v>46260</v>
      </c>
      <c r="P9" s="47" t="n">
        <f aca="false">IF(OR($F9="",$O9=""),"",$O9+MAX(0,ROUNDUP($AK9*MAX(1,IF($N9="",1,$N9))/MAX(1,$AL9),0)-1))</f>
        <v>46263</v>
      </c>
      <c r="Q9" s="48" t="n">
        <v>46260</v>
      </c>
      <c r="R9" s="43" t="s">
        <v>85</v>
      </c>
      <c r="S9" s="49"/>
      <c r="T9" s="42"/>
      <c r="U9" s="42" t="s">
        <v>95</v>
      </c>
      <c r="V9" s="39" t="str">
        <f aca="false">IF($F9="","",IF(ISNUMBER(SEARCH("(externo)",$I9&amp;$J9&amp;$K9)),"Terceirizada","Interna"))</f>
        <v>Interna</v>
      </c>
      <c r="W9" s="47" t="n">
        <f aca="false">IF($O9="","",IF($S9="",$O9,(DATE(Semana!$J$3,1,4)-WEEKDAY(DATE(Semana!$J$3,1,4),3))+($S9-1)*7+IF($M9="",0,MATCH($M9,Listas!$F$5:$F$11,0)-1)))</f>
        <v>46260</v>
      </c>
      <c r="X9" s="39" t="n">
        <f aca="false">IF($F9="","",IF(OR($AT9="",$O9=""),0,IF($AT9&lt;=$O9,1,0)))</f>
        <v>1</v>
      </c>
      <c r="Y9" s="39" t="n">
        <f aca="false">IF($F9="","",IF(OR($AT9="",$W9=""),0,IF($AT9&lt;=$W9,1,0)))</f>
        <v>1</v>
      </c>
      <c r="Z9" s="39" t="n">
        <f aca="false">IF(OR($AT9="",$O9=""),"",MAX(0,$AT9-$O9))</f>
        <v>0</v>
      </c>
      <c r="AA9" s="39" t="n">
        <f aca="false">IF($F9="","",IF(AND($S9&lt;&gt;"",$L9&lt;&gt;"",$S9&lt;&gt;$L9),1,0))</f>
        <v>0</v>
      </c>
      <c r="AB9" s="39" t="n">
        <f aca="false">IF($F9="","",IF($R9="Cancelada",0,IF(OR($AT9&lt;&gt;"",$R9="Concluída"),1,0)))</f>
        <v>1</v>
      </c>
      <c r="AC9" s="39" t="n">
        <f aca="false">IF($P9="",0,IF($P9&lt;Hoje!$L$1,1,IF(AND($P9=Hoje!$L$1,Hoje!$L$2&gt;Semana!$M$3),1,0)))</f>
        <v>1</v>
      </c>
      <c r="AD9" s="39" t="n">
        <f aca="false">IF($F9="","",IF(COUNTA($I9:$K9)=0,0,1/COUNTA($I9:$K9)))</f>
        <v>1</v>
      </c>
      <c r="AE9" s="39" t="str">
        <f aca="false">IF($AH9=0,"",SUM($AH$4:$AH9))</f>
        <v/>
      </c>
      <c r="AF9" s="39" t="str">
        <f aca="false">IF($AI9=0,"",SUM($AI$4:$AI9))</f>
        <v/>
      </c>
      <c r="AG9" s="50" t="str">
        <f aca="false">IF($F9="","",$I9&amp;IF($J9="",""," · "&amp;$J9)&amp;IF($K9="",""," · "&amp;$K9))</f>
        <v>Júnior</v>
      </c>
      <c r="AH9" s="39" t="n">
        <f aca="false">IF(AND($F9&lt;&gt;"",$O9&lt;&gt;"",$O9&lt;=Hoje!$C$3,$P9&gt;=Hoje!$C$3,$R9&lt;&gt;"Cancelada"),1,0)</f>
        <v>0</v>
      </c>
      <c r="AI9" s="39" t="n">
        <f aca="false">IF(AND($F9&lt;&gt;"",$P9&lt;&gt;"",$P9&lt;Hoje!$C$3,$AB9=0,$R9&lt;&gt;"Cancelada"),1,0)</f>
        <v>0</v>
      </c>
      <c r="AJ9" s="50" t="str">
        <f aca="false">IF($F9="","",$D9&amp;"|"&amp;$E9&amp;"|"&amp;$L9)</f>
        <v>F-326|Calibração e troca de pneus|35</v>
      </c>
      <c r="AK9" s="39" t="n">
        <f aca="false">IF($AJ9="","",COUNTIF($AJ$4:$AJ9,$AJ9))</f>
        <v>5</v>
      </c>
      <c r="AL9" s="39" t="n">
        <f aca="false">IF($AJ9="","",COUNTIF($AJ$4:$AJ$1004,$AJ9))</f>
        <v>5</v>
      </c>
      <c r="AM9" s="42"/>
      <c r="AN9" s="50" t="str">
        <f aca="false">IF($D9="","",IFERROR(T(VLOOKUP($D9,Listas!$B$5:$H$120,7,0)),""))</f>
        <v/>
      </c>
      <c r="AO9" s="50" t="str">
        <f aca="false">IF(OR($F9="",$L9&lt;&gt;"",$R9="Cancelada",$AT9&lt;&gt;""),"",$AN9&amp;"|"&amp;$D9&amp;"|"&amp;IF($C9="","zzz",$C9)&amp;"|"&amp;TEXT(9,"0000"))</f>
        <v/>
      </c>
      <c r="AP9" s="50" t="str">
        <f aca="false">IF($AO9="","",COUNTIF($AO$5:$AO$1004,"&lt;"&amp;$AO9)-(ROWS($AO$5:$AO$1004)-Hoje!$L$5)+1)</f>
        <v/>
      </c>
      <c r="AQ9" s="50" t="n">
        <f aca="false">IF(AND($F9&lt;&gt;"",$D9=Frota!$C$3),1,0)</f>
        <v>0</v>
      </c>
      <c r="AR9" s="50" t="str">
        <f aca="false">IF($AQ9=0,"",SUM($AQ$4:$AQ9))</f>
        <v/>
      </c>
      <c r="AS9" s="50" t="str">
        <f aca="false">IFERROR(INDEX(Hoje!$K$10:$K$29,MATCH(ROW(),Hoje!$J$10:$J$29,0)),"")</f>
        <v/>
      </c>
      <c r="AT9" s="47" t="n">
        <f aca="false">IF($Q9&lt;&gt;"",$Q9,$AS9)</f>
        <v>46260</v>
      </c>
    </row>
    <row r="10" customFormat="false" ht="16.5" hidden="false" customHeight="true" outlineLevel="0" collapsed="false">
      <c r="A10" s="39" t="n">
        <f aca="false">IF($F10="","",ROW())</f>
        <v>10</v>
      </c>
      <c r="B10" s="40" t="str">
        <f aca="false">IF($F10="",IF($D10="","","Falta a atividade"),IF($R10="Cancelada","Cancelada",IF($AB10=1,IF(N($Z10)&gt;0,"Concluída com atraso","Concluída"),IF($R10="Em programação","Em programação",IF($O10="",IF($M10="","Na carteira","Falta a semana"),IF($AC10=1,"VENCIDA",IF($O10&gt;Hoje!$L$1,"Programada",IF($P10&gt;Hoje!$L$1,"Em execução","Fecha hoje"))))))))</f>
        <v>Concluída</v>
      </c>
      <c r="C10" s="41" t="s">
        <v>96</v>
      </c>
      <c r="D10" s="42" t="s">
        <v>97</v>
      </c>
      <c r="E10" s="42" t="s">
        <v>98</v>
      </c>
      <c r="F10" s="42" t="s">
        <v>99</v>
      </c>
      <c r="G10" s="43" t="s">
        <v>80</v>
      </c>
      <c r="H10" s="43" t="s">
        <v>100</v>
      </c>
      <c r="I10" s="44" t="s">
        <v>88</v>
      </c>
      <c r="J10" s="44"/>
      <c r="K10" s="44"/>
      <c r="L10" s="45" t="n">
        <v>35</v>
      </c>
      <c r="M10" s="46" t="s">
        <v>84</v>
      </c>
      <c r="N10" s="45" t="n">
        <v>3</v>
      </c>
      <c r="O10" s="47" t="n">
        <f aca="false">IF(OR($L10="",$M10=""),"",(DATE(Semana!$J$3,1,4)-WEEKDAY(DATE(Semana!$J$3,1,4),3))+($L10-1)*7+MATCH($M10,Listas!$F$5:$F$11,0)-1)</f>
        <v>46260</v>
      </c>
      <c r="P10" s="47" t="n">
        <f aca="false">IF(OR($F10="",$O10=""),"",$O10+MAX(0,ROUNDUP($AK10*MAX(1,IF($N10="",1,$N10))/MAX(1,$AL10),0)-1))</f>
        <v>46260</v>
      </c>
      <c r="Q10" s="48" t="n">
        <v>46260</v>
      </c>
      <c r="R10" s="43" t="s">
        <v>85</v>
      </c>
      <c r="S10" s="49"/>
      <c r="T10" s="42"/>
      <c r="U10" s="42" t="s">
        <v>101</v>
      </c>
      <c r="V10" s="39" t="str">
        <f aca="false">IF($F10="","",IF(ISNUMBER(SEARCH("(externo)",$I10&amp;$J10&amp;$K10)),"Terceirizada","Interna"))</f>
        <v>Interna</v>
      </c>
      <c r="W10" s="47" t="n">
        <f aca="false">IF($O10="","",IF($S10="",$O10,(DATE(Semana!$J$3,1,4)-WEEKDAY(DATE(Semana!$J$3,1,4),3))+($S10-1)*7+IF($M10="",0,MATCH($M10,Listas!$F$5:$F$11,0)-1)))</f>
        <v>46260</v>
      </c>
      <c r="X10" s="39" t="n">
        <f aca="false">IF($F10="","",IF(OR($AT10="",$O10=""),0,IF($AT10&lt;=$O10,1,0)))</f>
        <v>1</v>
      </c>
      <c r="Y10" s="39" t="n">
        <f aca="false">IF($F10="","",IF(OR($AT10="",$W10=""),0,IF($AT10&lt;=$W10,1,0)))</f>
        <v>1</v>
      </c>
      <c r="Z10" s="39" t="n">
        <f aca="false">IF(OR($AT10="",$O10=""),"",MAX(0,$AT10-$O10))</f>
        <v>0</v>
      </c>
      <c r="AA10" s="39" t="n">
        <f aca="false">IF($F10="","",IF(AND($S10&lt;&gt;"",$L10&lt;&gt;"",$S10&lt;&gt;$L10),1,0))</f>
        <v>0</v>
      </c>
      <c r="AB10" s="39" t="n">
        <f aca="false">IF($F10="","",IF($R10="Cancelada",0,IF(OR($AT10&lt;&gt;"",$R10="Concluída"),1,0)))</f>
        <v>1</v>
      </c>
      <c r="AC10" s="39" t="n">
        <f aca="false">IF($P10="",0,IF($P10&lt;Hoje!$L$1,1,IF(AND($P10=Hoje!$L$1,Hoje!$L$2&gt;Semana!$M$3),1,0)))</f>
        <v>1</v>
      </c>
      <c r="AD10" s="39" t="n">
        <f aca="false">IF($F10="","",IF(COUNTA($I10:$K10)=0,0,1/COUNTA($I10:$K10)))</f>
        <v>1</v>
      </c>
      <c r="AE10" s="39" t="str">
        <f aca="false">IF($AH10=0,"",SUM($AH$4:$AH10))</f>
        <v/>
      </c>
      <c r="AF10" s="39" t="str">
        <f aca="false">IF($AI10=0,"",SUM($AI$4:$AI10))</f>
        <v/>
      </c>
      <c r="AG10" s="50" t="str">
        <f aca="false">IF($F10="","",$I10&amp;IF($J10="",""," · "&amp;$J10)&amp;IF($K10="",""," · "&amp;$K10))</f>
        <v>Júnior</v>
      </c>
      <c r="AH10" s="39" t="n">
        <f aca="false">IF(AND($F10&lt;&gt;"",$O10&lt;&gt;"",$O10&lt;=Hoje!$C$3,$P10&gt;=Hoje!$C$3,$R10&lt;&gt;"Cancelada"),1,0)</f>
        <v>0</v>
      </c>
      <c r="AI10" s="39" t="n">
        <f aca="false">IF(AND($F10&lt;&gt;"",$P10&lt;&gt;"",$P10&lt;Hoje!$C$3,$AB10=0,$R10&lt;&gt;"Cancelada"),1,0)</f>
        <v>0</v>
      </c>
      <c r="AJ10" s="50" t="str">
        <f aca="false">IF($F10="","",$D10&amp;"|"&amp;$E10&amp;"|"&amp;$L10)</f>
        <v>F-327|Montar adesivos e baixa de carteira|35</v>
      </c>
      <c r="AK10" s="39" t="n">
        <f aca="false">IF($AJ10="","",COUNTIF($AJ$4:$AJ10,$AJ10))</f>
        <v>1</v>
      </c>
      <c r="AL10" s="39" t="n">
        <f aca="false">IF($AJ10="","",COUNTIF($AJ$4:$AJ$1004,$AJ10))</f>
        <v>4</v>
      </c>
      <c r="AM10" s="42"/>
      <c r="AN10" s="50" t="str">
        <f aca="false">IF($D10="","",IFERROR(T(VLOOKUP($D10,Listas!$B$5:$H$120,7,0)),""))</f>
        <v/>
      </c>
      <c r="AO10" s="50" t="str">
        <f aca="false">IF(OR($F10="",$L10&lt;&gt;"",$R10="Cancelada",$AT10&lt;&gt;""),"",$AN10&amp;"|"&amp;$D10&amp;"|"&amp;IF($C10="","zzz",$C10)&amp;"|"&amp;TEXT(10,"0000"))</f>
        <v/>
      </c>
      <c r="AP10" s="50" t="str">
        <f aca="false">IF($AO10="","",COUNTIF($AO$5:$AO$1004,"&lt;"&amp;$AO10)-(ROWS($AO$5:$AO$1004)-Hoje!$L$5)+1)</f>
        <v/>
      </c>
      <c r="AQ10" s="50" t="n">
        <f aca="false">IF(AND($F10&lt;&gt;"",$D10=Frota!$C$3),1,0)</f>
        <v>0</v>
      </c>
      <c r="AR10" s="50" t="str">
        <f aca="false">IF($AQ10=0,"",SUM($AQ$4:$AQ10))</f>
        <v/>
      </c>
      <c r="AS10" s="50" t="str">
        <f aca="false">IFERROR(INDEX(Hoje!$K$10:$K$29,MATCH(ROW(),Hoje!$J$10:$J$29,0)),"")</f>
        <v/>
      </c>
      <c r="AT10" s="47" t="n">
        <f aca="false">IF($Q10&lt;&gt;"",$Q10,$AS10)</f>
        <v>46260</v>
      </c>
    </row>
    <row r="11" customFormat="false" ht="16.5" hidden="false" customHeight="true" outlineLevel="0" collapsed="false">
      <c r="A11" s="39" t="n">
        <f aca="false">IF($F11="","",ROW())</f>
        <v>11</v>
      </c>
      <c r="B11" s="40" t="str">
        <f aca="false">IF($F11="",IF($D11="","","Falta a atividade"),IF($R11="Cancelada","Cancelada",IF($AB11=1,IF(N($Z11)&gt;0,"Concluída com atraso","Concluída"),IF($R11="Em programação","Em programação",IF($O11="",IF($M11="","Na carteira","Falta a semana"),IF($AC11=1,"VENCIDA",IF($O11&gt;Hoje!$L$1,"Programada",IF($P11&gt;Hoje!$L$1,"Em execução","Fecha hoje"))))))))</f>
        <v>Concluída</v>
      </c>
      <c r="C11" s="41" t="s">
        <v>96</v>
      </c>
      <c r="D11" s="42" t="s">
        <v>97</v>
      </c>
      <c r="E11" s="42" t="s">
        <v>98</v>
      </c>
      <c r="F11" s="42" t="s">
        <v>102</v>
      </c>
      <c r="G11" s="43" t="s">
        <v>80</v>
      </c>
      <c r="H11" s="43" t="s">
        <v>100</v>
      </c>
      <c r="I11" s="44" t="s">
        <v>88</v>
      </c>
      <c r="J11" s="44"/>
      <c r="K11" s="44"/>
      <c r="L11" s="45" t="n">
        <v>35</v>
      </c>
      <c r="M11" s="46" t="s">
        <v>84</v>
      </c>
      <c r="N11" s="45" t="n">
        <v>3</v>
      </c>
      <c r="O11" s="47" t="n">
        <f aca="false">IF(OR($L11="",$M11=""),"",(DATE(Semana!$J$3,1,4)-WEEKDAY(DATE(Semana!$J$3,1,4),3))+($L11-1)*7+MATCH($M11,Listas!$F$5:$F$11,0)-1)</f>
        <v>46260</v>
      </c>
      <c r="P11" s="47" t="n">
        <f aca="false">IF(OR($F11="",$O11=""),"",$O11+MAX(0,ROUNDUP($AK11*MAX(1,IF($N11="",1,$N11))/MAX(1,$AL11),0)-1))</f>
        <v>46261</v>
      </c>
      <c r="Q11" s="48" t="n">
        <v>46260</v>
      </c>
      <c r="R11" s="43" t="s">
        <v>85</v>
      </c>
      <c r="S11" s="49"/>
      <c r="T11" s="42"/>
      <c r="U11" s="42" t="s">
        <v>101</v>
      </c>
      <c r="V11" s="39" t="str">
        <f aca="false">IF($F11="","",IF(ISNUMBER(SEARCH("(externo)",$I11&amp;$J11&amp;$K11)),"Terceirizada","Interna"))</f>
        <v>Interna</v>
      </c>
      <c r="W11" s="47" t="n">
        <f aca="false">IF($O11="","",IF($S11="",$O11,(DATE(Semana!$J$3,1,4)-WEEKDAY(DATE(Semana!$J$3,1,4),3))+($S11-1)*7+IF($M11="",0,MATCH($M11,Listas!$F$5:$F$11,0)-1)))</f>
        <v>46260</v>
      </c>
      <c r="X11" s="39" t="n">
        <f aca="false">IF($F11="","",IF(OR($AT11="",$O11=""),0,IF($AT11&lt;=$O11,1,0)))</f>
        <v>1</v>
      </c>
      <c r="Y11" s="39" t="n">
        <f aca="false">IF($F11="","",IF(OR($AT11="",$W11=""),0,IF($AT11&lt;=$W11,1,0)))</f>
        <v>1</v>
      </c>
      <c r="Z11" s="39" t="n">
        <f aca="false">IF(OR($AT11="",$O11=""),"",MAX(0,$AT11-$O11))</f>
        <v>0</v>
      </c>
      <c r="AA11" s="39" t="n">
        <f aca="false">IF($F11="","",IF(AND($S11&lt;&gt;"",$L11&lt;&gt;"",$S11&lt;&gt;$L11),1,0))</f>
        <v>0</v>
      </c>
      <c r="AB11" s="39" t="n">
        <f aca="false">IF($F11="","",IF($R11="Cancelada",0,IF(OR($AT11&lt;&gt;"",$R11="Concluída"),1,0)))</f>
        <v>1</v>
      </c>
      <c r="AC11" s="39" t="n">
        <f aca="false">IF($P11="",0,IF($P11&lt;Hoje!$L$1,1,IF(AND($P11=Hoje!$L$1,Hoje!$L$2&gt;Semana!$M$3),1,0)))</f>
        <v>1</v>
      </c>
      <c r="AD11" s="39" t="n">
        <f aca="false">IF($F11="","",IF(COUNTA($I11:$K11)=0,0,1/COUNTA($I11:$K11)))</f>
        <v>1</v>
      </c>
      <c r="AE11" s="39" t="str">
        <f aca="false">IF($AH11=0,"",SUM($AH$4:$AH11))</f>
        <v/>
      </c>
      <c r="AF11" s="39" t="str">
        <f aca="false">IF($AI11=0,"",SUM($AI$4:$AI11))</f>
        <v/>
      </c>
      <c r="AG11" s="50" t="str">
        <f aca="false">IF($F11="","",$I11&amp;IF($J11="",""," · "&amp;$J11)&amp;IF($K11="",""," · "&amp;$K11))</f>
        <v>Júnior</v>
      </c>
      <c r="AH11" s="39" t="n">
        <f aca="false">IF(AND($F11&lt;&gt;"",$O11&lt;&gt;"",$O11&lt;=Hoje!$C$3,$P11&gt;=Hoje!$C$3,$R11&lt;&gt;"Cancelada"),1,0)</f>
        <v>0</v>
      </c>
      <c r="AI11" s="39" t="n">
        <f aca="false">IF(AND($F11&lt;&gt;"",$P11&lt;&gt;"",$P11&lt;Hoje!$C$3,$AB11=0,$R11&lt;&gt;"Cancelada"),1,0)</f>
        <v>0</v>
      </c>
      <c r="AJ11" s="50" t="str">
        <f aca="false">IF($F11="","",$D11&amp;"|"&amp;$E11&amp;"|"&amp;$L11)</f>
        <v>F-327|Montar adesivos e baixa de carteira|35</v>
      </c>
      <c r="AK11" s="39" t="n">
        <f aca="false">IF($AJ11="","",COUNTIF($AJ$4:$AJ11,$AJ11))</f>
        <v>2</v>
      </c>
      <c r="AL11" s="39" t="n">
        <f aca="false">IF($AJ11="","",COUNTIF($AJ$4:$AJ$1004,$AJ11))</f>
        <v>4</v>
      </c>
      <c r="AM11" s="42"/>
      <c r="AN11" s="50" t="str">
        <f aca="false">IF($D11="","",IFERROR(T(VLOOKUP($D11,Listas!$B$5:$H$120,7,0)),""))</f>
        <v/>
      </c>
      <c r="AO11" s="50" t="str">
        <f aca="false">IF(OR($F11="",$L11&lt;&gt;"",$R11="Cancelada",$AT11&lt;&gt;""),"",$AN11&amp;"|"&amp;$D11&amp;"|"&amp;IF($C11="","zzz",$C11)&amp;"|"&amp;TEXT(11,"0000"))</f>
        <v/>
      </c>
      <c r="AP11" s="50" t="str">
        <f aca="false">IF($AO11="","",COUNTIF($AO$5:$AO$1004,"&lt;"&amp;$AO11)-(ROWS($AO$5:$AO$1004)-Hoje!$L$5)+1)</f>
        <v/>
      </c>
      <c r="AQ11" s="50" t="n">
        <f aca="false">IF(AND($F11&lt;&gt;"",$D11=Frota!$C$3),1,0)</f>
        <v>0</v>
      </c>
      <c r="AR11" s="50" t="str">
        <f aca="false">IF($AQ11=0,"",SUM($AQ$4:$AQ11))</f>
        <v/>
      </c>
      <c r="AS11" s="50" t="str">
        <f aca="false">IFERROR(INDEX(Hoje!$K$10:$K$29,MATCH(ROW(),Hoje!$J$10:$J$29,0)),"")</f>
        <v/>
      </c>
      <c r="AT11" s="47" t="n">
        <f aca="false">IF($Q11&lt;&gt;"",$Q11,$AS11)</f>
        <v>46260</v>
      </c>
    </row>
    <row r="12" customFormat="false" ht="16.5" hidden="false" customHeight="true" outlineLevel="0" collapsed="false">
      <c r="A12" s="39" t="n">
        <f aca="false">IF($F12="","",ROW())</f>
        <v>12</v>
      </c>
      <c r="B12" s="40" t="str">
        <f aca="false">IF($F12="",IF($D12="","","Falta a atividade"),IF($R12="Cancelada","Cancelada",IF($AB12=1,IF(N($Z12)&gt;0,"Concluída com atraso","Concluída"),IF($R12="Em programação","Em programação",IF($O12="",IF($M12="","Na carteira","Falta a semana"),IF($AC12=1,"VENCIDA",IF($O12&gt;Hoje!$L$1,"Programada",IF($P12&gt;Hoje!$L$1,"Em execução","Fecha hoje"))))))))</f>
        <v>Concluída</v>
      </c>
      <c r="C12" s="41" t="s">
        <v>103</v>
      </c>
      <c r="D12" s="42" t="s">
        <v>97</v>
      </c>
      <c r="E12" s="42" t="s">
        <v>104</v>
      </c>
      <c r="F12" s="42" t="s">
        <v>105</v>
      </c>
      <c r="G12" s="43" t="s">
        <v>80</v>
      </c>
      <c r="H12" s="43" t="s">
        <v>81</v>
      </c>
      <c r="I12" s="44" t="s">
        <v>106</v>
      </c>
      <c r="J12" s="44" t="s">
        <v>107</v>
      </c>
      <c r="K12" s="44"/>
      <c r="L12" s="45" t="n">
        <v>36</v>
      </c>
      <c r="M12" s="46" t="s">
        <v>108</v>
      </c>
      <c r="N12" s="45" t="n">
        <v>2</v>
      </c>
      <c r="O12" s="47" t="n">
        <f aca="false">IF(OR($L12="",$M12=""),"",(DATE(Semana!$J$3,1,4)-WEEKDAY(DATE(Semana!$J$3,1,4),3))+($L12-1)*7+MATCH($M12,Listas!$F$5:$F$11,0)-1)</f>
        <v>46265</v>
      </c>
      <c r="P12" s="47" t="n">
        <f aca="false">IF(OR($F12="",$O12=""),"",$O12+MAX(0,ROUNDUP($AK12*MAX(1,IF($N12="",1,$N12))/MAX(1,$AL12),0)-1))</f>
        <v>46265</v>
      </c>
      <c r="Q12" s="48" t="n">
        <v>46265</v>
      </c>
      <c r="R12" s="43" t="s">
        <v>85</v>
      </c>
      <c r="S12" s="49" t="n">
        <v>35</v>
      </c>
      <c r="T12" s="42" t="s">
        <v>109</v>
      </c>
      <c r="U12" s="42" t="s">
        <v>101</v>
      </c>
      <c r="V12" s="39" t="str">
        <f aca="false">IF($F12="","",IF(ISNUMBER(SEARCH("(externo)",$I12&amp;$J12&amp;$K12)),"Terceirizada","Interna"))</f>
        <v>Interna</v>
      </c>
      <c r="W12" s="47" t="n">
        <f aca="false">IF($O12="","",IF($S12="",$O12,(DATE(Semana!$J$3,1,4)-WEEKDAY(DATE(Semana!$J$3,1,4),3))+($S12-1)*7+IF($M12="",0,MATCH($M12,Listas!$F$5:$F$11,0)-1)))</f>
        <v>46258</v>
      </c>
      <c r="X12" s="39" t="n">
        <f aca="false">IF($F12="","",IF(OR($AT12="",$O12=""),0,IF($AT12&lt;=$O12,1,0)))</f>
        <v>1</v>
      </c>
      <c r="Y12" s="39" t="n">
        <f aca="false">IF($F12="","",IF(OR($AT12="",$W12=""),0,IF($AT12&lt;=$W12,1,0)))</f>
        <v>0</v>
      </c>
      <c r="Z12" s="39" t="n">
        <f aca="false">IF(OR($AT12="",$O12=""),"",MAX(0,$AT12-$O12))</f>
        <v>0</v>
      </c>
      <c r="AA12" s="39" t="n">
        <f aca="false">IF($F12="","",IF(AND($S12&lt;&gt;"",$L12&lt;&gt;"",$S12&lt;&gt;$L12),1,0))</f>
        <v>1</v>
      </c>
      <c r="AB12" s="39" t="n">
        <f aca="false">IF($F12="","",IF($R12="Cancelada",0,IF(OR($AT12&lt;&gt;"",$R12="Concluída"),1,0)))</f>
        <v>1</v>
      </c>
      <c r="AC12" s="39" t="n">
        <f aca="false">IF($P12="",0,IF($P12&lt;Hoje!$L$1,1,IF(AND($P12=Hoje!$L$1,Hoje!$L$2&gt;Semana!$M$3),1,0)))</f>
        <v>1</v>
      </c>
      <c r="AD12" s="39" t="n">
        <f aca="false">IF($F12="","",IF(COUNTA($I12:$K12)=0,0,1/COUNTA($I12:$K12)))</f>
        <v>0.5</v>
      </c>
      <c r="AE12" s="39" t="str">
        <f aca="false">IF($AH12=0,"",SUM($AH$4:$AH12))</f>
        <v/>
      </c>
      <c r="AF12" s="39" t="str">
        <f aca="false">IF($AI12=0,"",SUM($AI$4:$AI12))</f>
        <v/>
      </c>
      <c r="AG12" s="50" t="str">
        <f aca="false">IF($F12="","",$I12&amp;IF($J12="",""," · "&amp;$J12)&amp;IF($K12="",""," · "&amp;$K12))</f>
        <v>Adilton · Gabriel</v>
      </c>
      <c r="AH12" s="39" t="n">
        <f aca="false">IF(AND($F12&lt;&gt;"",$O12&lt;&gt;"",$O12&lt;=Hoje!$C$3,$P12&gt;=Hoje!$C$3,$R12&lt;&gt;"Cancelada"),1,0)</f>
        <v>0</v>
      </c>
      <c r="AI12" s="39" t="n">
        <f aca="false">IF(AND($F12&lt;&gt;"",$P12&lt;&gt;"",$P12&lt;Hoje!$C$3,$AB12=0,$R12&lt;&gt;"Cancelada"),1,0)</f>
        <v>0</v>
      </c>
      <c r="AJ12" s="50" t="str">
        <f aca="false">IF($F12="","",$D12&amp;"|"&amp;$E12&amp;"|"&amp;$L12)</f>
        <v>F-327|baixa de carteira|36</v>
      </c>
      <c r="AK12" s="39" t="n">
        <f aca="false">IF($AJ12="","",COUNTIF($AJ$4:$AJ12,$AJ12))</f>
        <v>1</v>
      </c>
      <c r="AL12" s="39" t="n">
        <f aca="false">IF($AJ12="","",COUNTIF($AJ$4:$AJ$1004,$AJ12))</f>
        <v>8</v>
      </c>
      <c r="AM12" s="42"/>
      <c r="AN12" s="50" t="str">
        <f aca="false">IF($D12="","",IFERROR(T(VLOOKUP($D12,Listas!$B$5:$H$120,7,0)),""))</f>
        <v/>
      </c>
      <c r="AO12" s="50" t="str">
        <f aca="false">IF(OR($F12="",$L12&lt;&gt;"",$R12="Cancelada",$AT12&lt;&gt;""),"",$AN12&amp;"|"&amp;$D12&amp;"|"&amp;IF($C12="","zzz",$C12)&amp;"|"&amp;TEXT(12,"0000"))</f>
        <v/>
      </c>
      <c r="AP12" s="50" t="str">
        <f aca="false">IF($AO12="","",COUNTIF($AO$5:$AO$1004,"&lt;"&amp;$AO12)-(ROWS($AO$5:$AO$1004)-Hoje!$L$5)+1)</f>
        <v/>
      </c>
      <c r="AQ12" s="50" t="n">
        <f aca="false">IF(AND($F12&lt;&gt;"",$D12=Frota!$C$3),1,0)</f>
        <v>0</v>
      </c>
      <c r="AR12" s="50" t="str">
        <f aca="false">IF($AQ12=0,"",SUM($AQ$4:$AQ12))</f>
        <v/>
      </c>
      <c r="AS12" s="50" t="str">
        <f aca="false">IFERROR(INDEX(Hoje!$K$10:$K$29,MATCH(ROW(),Hoje!$J$10:$J$29,0)),"")</f>
        <v/>
      </c>
      <c r="AT12" s="47" t="n">
        <f aca="false">IF($Q12&lt;&gt;"",$Q12,$AS12)</f>
        <v>46265</v>
      </c>
    </row>
    <row r="13" customFormat="false" ht="16.5" hidden="false" customHeight="true" outlineLevel="0" collapsed="false">
      <c r="A13" s="39" t="n">
        <f aca="false">IF($F13="","",ROW())</f>
        <v>13</v>
      </c>
      <c r="B13" s="40" t="str">
        <f aca="false">IF($F13="",IF($D13="","","Falta a atividade"),IF($R13="Cancelada","Cancelada",IF($AB13=1,IF(N($Z13)&gt;0,"Concluída com atraso","Concluída"),IF($R13="Em programação","Em programação",IF($O13="",IF($M13="","Na carteira","Falta a semana"),IF($AC13=1,"VENCIDA",IF($O13&gt;Hoje!$L$1,"Programada",IF($P13&gt;Hoje!$L$1,"Em execução","Fecha hoje"))))))))</f>
        <v>Concluída</v>
      </c>
      <c r="C13" s="41" t="s">
        <v>110</v>
      </c>
      <c r="D13" s="42" t="s">
        <v>97</v>
      </c>
      <c r="E13" s="42" t="s">
        <v>104</v>
      </c>
      <c r="F13" s="42" t="s">
        <v>111</v>
      </c>
      <c r="G13" s="43" t="s">
        <v>80</v>
      </c>
      <c r="H13" s="43" t="s">
        <v>81</v>
      </c>
      <c r="I13" s="44" t="s">
        <v>106</v>
      </c>
      <c r="J13" s="44" t="s">
        <v>107</v>
      </c>
      <c r="K13" s="44"/>
      <c r="L13" s="45" t="n">
        <v>36</v>
      </c>
      <c r="M13" s="46" t="s">
        <v>108</v>
      </c>
      <c r="N13" s="45" t="n">
        <v>2</v>
      </c>
      <c r="O13" s="47" t="n">
        <f aca="false">IF(OR($L13="",$M13=""),"",(DATE(Semana!$J$3,1,4)-WEEKDAY(DATE(Semana!$J$3,1,4),3))+($L13-1)*7+MATCH($M13,Listas!$F$5:$F$11,0)-1)</f>
        <v>46265</v>
      </c>
      <c r="P13" s="47" t="n">
        <f aca="false">IF(OR($F13="",$O13=""),"",$O13+MAX(0,ROUNDUP($AK13*MAX(1,IF($N13="",1,$N13))/MAX(1,$AL13),0)-1))</f>
        <v>46265</v>
      </c>
      <c r="Q13" s="48" t="n">
        <v>46265</v>
      </c>
      <c r="R13" s="43" t="s">
        <v>85</v>
      </c>
      <c r="S13" s="49" t="n">
        <v>35</v>
      </c>
      <c r="T13" s="42" t="s">
        <v>109</v>
      </c>
      <c r="U13" s="42" t="s">
        <v>101</v>
      </c>
      <c r="V13" s="39" t="str">
        <f aca="false">IF($F13="","",IF(ISNUMBER(SEARCH("(externo)",$I13&amp;$J13&amp;$K13)),"Terceirizada","Interna"))</f>
        <v>Interna</v>
      </c>
      <c r="W13" s="47" t="n">
        <f aca="false">IF($O13="","",IF($S13="",$O13,(DATE(Semana!$J$3,1,4)-WEEKDAY(DATE(Semana!$J$3,1,4),3))+($S13-1)*7+IF($M13="",0,MATCH($M13,Listas!$F$5:$F$11,0)-1)))</f>
        <v>46258</v>
      </c>
      <c r="X13" s="39" t="n">
        <f aca="false">IF($F13="","",IF(OR($AT13="",$O13=""),0,IF($AT13&lt;=$O13,1,0)))</f>
        <v>1</v>
      </c>
      <c r="Y13" s="39" t="n">
        <f aca="false">IF($F13="","",IF(OR($AT13="",$W13=""),0,IF($AT13&lt;=$W13,1,0)))</f>
        <v>0</v>
      </c>
      <c r="Z13" s="39" t="n">
        <f aca="false">IF(OR($AT13="",$O13=""),"",MAX(0,$AT13-$O13))</f>
        <v>0</v>
      </c>
      <c r="AA13" s="39" t="n">
        <f aca="false">IF($F13="","",IF(AND($S13&lt;&gt;"",$L13&lt;&gt;"",$S13&lt;&gt;$L13),1,0))</f>
        <v>1</v>
      </c>
      <c r="AB13" s="39" t="n">
        <f aca="false">IF($F13="","",IF($R13="Cancelada",0,IF(OR($AT13&lt;&gt;"",$R13="Concluída"),1,0)))</f>
        <v>1</v>
      </c>
      <c r="AC13" s="39" t="n">
        <f aca="false">IF($P13="",0,IF($P13&lt;Hoje!$L$1,1,IF(AND($P13=Hoje!$L$1,Hoje!$L$2&gt;Semana!$M$3),1,0)))</f>
        <v>1</v>
      </c>
      <c r="AD13" s="39" t="n">
        <f aca="false">IF($F13="","",IF(COUNTA($I13:$K13)=0,0,1/COUNTA($I13:$K13)))</f>
        <v>0.5</v>
      </c>
      <c r="AE13" s="39" t="str">
        <f aca="false">IF($AH13=0,"",SUM($AH$4:$AH13))</f>
        <v/>
      </c>
      <c r="AF13" s="39" t="str">
        <f aca="false">IF($AI13=0,"",SUM($AI$4:$AI13))</f>
        <v/>
      </c>
      <c r="AG13" s="50" t="str">
        <f aca="false">IF($F13="","",$I13&amp;IF($J13="",""," · "&amp;$J13)&amp;IF($K13="",""," · "&amp;$K13))</f>
        <v>Adilton · Gabriel</v>
      </c>
      <c r="AH13" s="39" t="n">
        <f aca="false">IF(AND($F13&lt;&gt;"",$O13&lt;&gt;"",$O13&lt;=Hoje!$C$3,$P13&gt;=Hoje!$C$3,$R13&lt;&gt;"Cancelada"),1,0)</f>
        <v>0</v>
      </c>
      <c r="AI13" s="39" t="n">
        <f aca="false">IF(AND($F13&lt;&gt;"",$P13&lt;&gt;"",$P13&lt;Hoje!$C$3,$AB13=0,$R13&lt;&gt;"Cancelada"),1,0)</f>
        <v>0</v>
      </c>
      <c r="AJ13" s="50" t="str">
        <f aca="false">IF($F13="","",$D13&amp;"|"&amp;$E13&amp;"|"&amp;$L13)</f>
        <v>F-327|baixa de carteira|36</v>
      </c>
      <c r="AK13" s="39" t="n">
        <f aca="false">IF($AJ13="","",COUNTIF($AJ$4:$AJ13,$AJ13))</f>
        <v>2</v>
      </c>
      <c r="AL13" s="39" t="n">
        <f aca="false">IF($AJ13="","",COUNTIF($AJ$4:$AJ$1004,$AJ13))</f>
        <v>8</v>
      </c>
      <c r="AM13" s="42"/>
      <c r="AN13" s="50" t="str">
        <f aca="false">IF($D13="","",IFERROR(T(VLOOKUP($D13,Listas!$B$5:$H$120,7,0)),""))</f>
        <v/>
      </c>
      <c r="AO13" s="50" t="str">
        <f aca="false">IF(OR($F13="",$L13&lt;&gt;"",$R13="Cancelada",$AT13&lt;&gt;""),"",$AN13&amp;"|"&amp;$D13&amp;"|"&amp;IF($C13="","zzz",$C13)&amp;"|"&amp;TEXT(13,"0000"))</f>
        <v/>
      </c>
      <c r="AP13" s="50" t="str">
        <f aca="false">IF($AO13="","",COUNTIF($AO$5:$AO$1004,"&lt;"&amp;$AO13)-(ROWS($AO$5:$AO$1004)-Hoje!$L$5)+1)</f>
        <v/>
      </c>
      <c r="AQ13" s="50" t="n">
        <f aca="false">IF(AND($F13&lt;&gt;"",$D13=Frota!$C$3),1,0)</f>
        <v>0</v>
      </c>
      <c r="AR13" s="50" t="str">
        <f aca="false">IF($AQ13=0,"",SUM($AQ$4:$AQ13))</f>
        <v/>
      </c>
      <c r="AS13" s="50" t="str">
        <f aca="false">IFERROR(INDEX(Hoje!$K$10:$K$29,MATCH(ROW(),Hoje!$J$10:$J$29,0)),"")</f>
        <v/>
      </c>
      <c r="AT13" s="47" t="n">
        <f aca="false">IF($Q13&lt;&gt;"",$Q13,$AS13)</f>
        <v>46265</v>
      </c>
    </row>
    <row r="14" customFormat="false" ht="16.5" hidden="false" customHeight="true" outlineLevel="0" collapsed="false">
      <c r="A14" s="39" t="n">
        <f aca="false">IF($F14="","",ROW())</f>
        <v>14</v>
      </c>
      <c r="B14" s="40" t="str">
        <f aca="false">IF($F14="",IF($D14="","","Falta a atividade"),IF($R14="Cancelada","Cancelada",IF($AB14=1,IF(N($Z14)&gt;0,"Concluída com atraso","Concluída"),IF($R14="Em programação","Em programação",IF($O14="",IF($M14="","Na carteira","Falta a semana"),IF($AC14=1,"VENCIDA",IF($O14&gt;Hoje!$L$1,"Programada",IF($P14&gt;Hoje!$L$1,"Em execução","Fecha hoje"))))))))</f>
        <v>Concluída</v>
      </c>
      <c r="C14" s="41" t="s">
        <v>112</v>
      </c>
      <c r="D14" s="42" t="s">
        <v>97</v>
      </c>
      <c r="E14" s="42" t="s">
        <v>104</v>
      </c>
      <c r="F14" s="42" t="s">
        <v>113</v>
      </c>
      <c r="G14" s="43" t="s">
        <v>80</v>
      </c>
      <c r="H14" s="43" t="s">
        <v>81</v>
      </c>
      <c r="I14" s="44" t="s">
        <v>106</v>
      </c>
      <c r="J14" s="44" t="s">
        <v>107</v>
      </c>
      <c r="K14" s="44"/>
      <c r="L14" s="45" t="n">
        <v>36</v>
      </c>
      <c r="M14" s="46" t="s">
        <v>108</v>
      </c>
      <c r="N14" s="45" t="n">
        <v>2</v>
      </c>
      <c r="O14" s="47" t="n">
        <f aca="false">IF(OR($L14="",$M14=""),"",(DATE(Semana!$J$3,1,4)-WEEKDAY(DATE(Semana!$J$3,1,4),3))+($L14-1)*7+MATCH($M14,Listas!$F$5:$F$11,0)-1)</f>
        <v>46265</v>
      </c>
      <c r="P14" s="47" t="n">
        <f aca="false">IF(OR($F14="",$O14=""),"",$O14+MAX(0,ROUNDUP($AK14*MAX(1,IF($N14="",1,$N14))/MAX(1,$AL14),0)-1))</f>
        <v>46265</v>
      </c>
      <c r="Q14" s="48" t="n">
        <v>46265</v>
      </c>
      <c r="R14" s="43" t="s">
        <v>85</v>
      </c>
      <c r="S14" s="49" t="n">
        <v>35</v>
      </c>
      <c r="T14" s="42" t="s">
        <v>114</v>
      </c>
      <c r="U14" s="42" t="s">
        <v>101</v>
      </c>
      <c r="V14" s="39" t="str">
        <f aca="false">IF($F14="","",IF(ISNUMBER(SEARCH("(externo)",$I14&amp;$J14&amp;$K14)),"Terceirizada","Interna"))</f>
        <v>Interna</v>
      </c>
      <c r="W14" s="47" t="n">
        <f aca="false">IF($O14="","",IF($S14="",$O14,(DATE(Semana!$J$3,1,4)-WEEKDAY(DATE(Semana!$J$3,1,4),3))+($S14-1)*7+IF($M14="",0,MATCH($M14,Listas!$F$5:$F$11,0)-1)))</f>
        <v>46258</v>
      </c>
      <c r="X14" s="39" t="n">
        <f aca="false">IF($F14="","",IF(OR($AT14="",$O14=""),0,IF($AT14&lt;=$O14,1,0)))</f>
        <v>1</v>
      </c>
      <c r="Y14" s="39" t="n">
        <f aca="false">IF($F14="","",IF(OR($AT14="",$W14=""),0,IF($AT14&lt;=$W14,1,0)))</f>
        <v>0</v>
      </c>
      <c r="Z14" s="39" t="n">
        <f aca="false">IF(OR($AT14="",$O14=""),"",MAX(0,$AT14-$O14))</f>
        <v>0</v>
      </c>
      <c r="AA14" s="39" t="n">
        <f aca="false">IF($F14="","",IF(AND($S14&lt;&gt;"",$L14&lt;&gt;"",$S14&lt;&gt;$L14),1,0))</f>
        <v>1</v>
      </c>
      <c r="AB14" s="39" t="n">
        <f aca="false">IF($F14="","",IF($R14="Cancelada",0,IF(OR($AT14&lt;&gt;"",$R14="Concluída"),1,0)))</f>
        <v>1</v>
      </c>
      <c r="AC14" s="39" t="n">
        <f aca="false">IF($P14="",0,IF($P14&lt;Hoje!$L$1,1,IF(AND($P14=Hoje!$L$1,Hoje!$L$2&gt;Semana!$M$3),1,0)))</f>
        <v>1</v>
      </c>
      <c r="AD14" s="39" t="n">
        <f aca="false">IF($F14="","",IF(COUNTA($I14:$K14)=0,0,1/COUNTA($I14:$K14)))</f>
        <v>0.5</v>
      </c>
      <c r="AE14" s="39" t="str">
        <f aca="false">IF($AH14=0,"",SUM($AH$4:$AH14))</f>
        <v/>
      </c>
      <c r="AF14" s="39" t="str">
        <f aca="false">IF($AI14=0,"",SUM($AI$4:$AI14))</f>
        <v/>
      </c>
      <c r="AG14" s="50" t="str">
        <f aca="false">IF($F14="","",$I14&amp;IF($J14="",""," · "&amp;$J14)&amp;IF($K14="",""," · "&amp;$K14))</f>
        <v>Adilton · Gabriel</v>
      </c>
      <c r="AH14" s="39" t="n">
        <f aca="false">IF(AND($F14&lt;&gt;"",$O14&lt;&gt;"",$O14&lt;=Hoje!$C$3,$P14&gt;=Hoje!$C$3,$R14&lt;&gt;"Cancelada"),1,0)</f>
        <v>0</v>
      </c>
      <c r="AI14" s="39" t="n">
        <f aca="false">IF(AND($F14&lt;&gt;"",$P14&lt;&gt;"",$P14&lt;Hoje!$C$3,$AB14=0,$R14&lt;&gt;"Cancelada"),1,0)</f>
        <v>0</v>
      </c>
      <c r="AJ14" s="50" t="str">
        <f aca="false">IF($F14="","",$D14&amp;"|"&amp;$E14&amp;"|"&amp;$L14)</f>
        <v>F-327|baixa de carteira|36</v>
      </c>
      <c r="AK14" s="39" t="n">
        <f aca="false">IF($AJ14="","",COUNTIF($AJ$4:$AJ14,$AJ14))</f>
        <v>3</v>
      </c>
      <c r="AL14" s="39" t="n">
        <f aca="false">IF($AJ14="","",COUNTIF($AJ$4:$AJ$1004,$AJ14))</f>
        <v>8</v>
      </c>
      <c r="AM14" s="42"/>
      <c r="AN14" s="50" t="str">
        <f aca="false">IF($D14="","",IFERROR(T(VLOOKUP($D14,Listas!$B$5:$H$120,7,0)),""))</f>
        <v/>
      </c>
      <c r="AO14" s="50" t="str">
        <f aca="false">IF(OR($F14="",$L14&lt;&gt;"",$R14="Cancelada",$AT14&lt;&gt;""),"",$AN14&amp;"|"&amp;$D14&amp;"|"&amp;IF($C14="","zzz",$C14)&amp;"|"&amp;TEXT(14,"0000"))</f>
        <v/>
      </c>
      <c r="AP14" s="50" t="str">
        <f aca="false">IF($AO14="","",COUNTIF($AO$5:$AO$1004,"&lt;"&amp;$AO14)-(ROWS($AO$5:$AO$1004)-Hoje!$L$5)+1)</f>
        <v/>
      </c>
      <c r="AQ14" s="50" t="n">
        <f aca="false">IF(AND($F14&lt;&gt;"",$D14=Frota!$C$3),1,0)</f>
        <v>0</v>
      </c>
      <c r="AR14" s="50" t="str">
        <f aca="false">IF($AQ14=0,"",SUM($AQ$4:$AQ14))</f>
        <v/>
      </c>
      <c r="AS14" s="50" t="str">
        <f aca="false">IFERROR(INDEX(Hoje!$K$10:$K$29,MATCH(ROW(),Hoje!$J$10:$J$29,0)),"")</f>
        <v/>
      </c>
      <c r="AT14" s="47" t="n">
        <f aca="false">IF($Q14&lt;&gt;"",$Q14,$AS14)</f>
        <v>46265</v>
      </c>
    </row>
    <row r="15" customFormat="false" ht="16.5" hidden="false" customHeight="true" outlineLevel="0" collapsed="false">
      <c r="A15" s="39" t="n">
        <f aca="false">IF($F15="","",ROW())</f>
        <v>15</v>
      </c>
      <c r="B15" s="40" t="str">
        <f aca="false">IF($F15="",IF($D15="","","Falta a atividade"),IF($R15="Cancelada","Cancelada",IF($AB15=1,IF(N($Z15)&gt;0,"Concluída com atraso","Concluída"),IF($R15="Em programação","Em programação",IF($O15="",IF($M15="","Na carteira","Falta a semana"),IF($AC15=1,"VENCIDA",IF($O15&gt;Hoje!$L$1,"Programada",IF($P15&gt;Hoje!$L$1,"Em execução","Fecha hoje"))))))))</f>
        <v>Concluída</v>
      </c>
      <c r="C15" s="41" t="s">
        <v>96</v>
      </c>
      <c r="D15" s="42" t="s">
        <v>97</v>
      </c>
      <c r="E15" s="42" t="s">
        <v>98</v>
      </c>
      <c r="F15" s="42" t="s">
        <v>115</v>
      </c>
      <c r="G15" s="43" t="s">
        <v>80</v>
      </c>
      <c r="H15" s="43" t="s">
        <v>100</v>
      </c>
      <c r="I15" s="44" t="s">
        <v>88</v>
      </c>
      <c r="J15" s="44"/>
      <c r="K15" s="44"/>
      <c r="L15" s="45" t="n">
        <v>35</v>
      </c>
      <c r="M15" s="46" t="s">
        <v>84</v>
      </c>
      <c r="N15" s="45" t="n">
        <v>3</v>
      </c>
      <c r="O15" s="47" t="n">
        <f aca="false">IF(OR($L15="",$M15=""),"",(DATE(Semana!$J$3,1,4)-WEEKDAY(DATE(Semana!$J$3,1,4),3))+($L15-1)*7+MATCH($M15,Listas!$F$5:$F$11,0)-1)</f>
        <v>46260</v>
      </c>
      <c r="P15" s="47" t="n">
        <f aca="false">IF(OR($F15="",$O15=""),"",$O15+MAX(0,ROUNDUP($AK15*MAX(1,IF($N15="",1,$N15))/MAX(1,$AL15),0)-1))</f>
        <v>46262</v>
      </c>
      <c r="Q15" s="48" t="n">
        <v>46260</v>
      </c>
      <c r="R15" s="43" t="s">
        <v>85</v>
      </c>
      <c r="S15" s="49"/>
      <c r="T15" s="42"/>
      <c r="U15" s="42" t="s">
        <v>116</v>
      </c>
      <c r="V15" s="39" t="str">
        <f aca="false">IF($F15="","",IF(ISNUMBER(SEARCH("(externo)",$I15&amp;$J15&amp;$K15)),"Terceirizada","Interna"))</f>
        <v>Interna</v>
      </c>
      <c r="W15" s="47" t="n">
        <f aca="false">IF($O15="","",IF($S15="",$O15,(DATE(Semana!$J$3,1,4)-WEEKDAY(DATE(Semana!$J$3,1,4),3))+($S15-1)*7+IF($M15="",0,MATCH($M15,Listas!$F$5:$F$11,0)-1)))</f>
        <v>46260</v>
      </c>
      <c r="X15" s="39" t="n">
        <f aca="false">IF($F15="","",IF(OR($AT15="",$O15=""),0,IF($AT15&lt;=$O15,1,0)))</f>
        <v>1</v>
      </c>
      <c r="Y15" s="39" t="n">
        <f aca="false">IF($F15="","",IF(OR($AT15="",$W15=""),0,IF($AT15&lt;=$W15,1,0)))</f>
        <v>1</v>
      </c>
      <c r="Z15" s="39" t="n">
        <f aca="false">IF(OR($AT15="",$O15=""),"",MAX(0,$AT15-$O15))</f>
        <v>0</v>
      </c>
      <c r="AA15" s="39" t="n">
        <f aca="false">IF($F15="","",IF(AND($S15&lt;&gt;"",$L15&lt;&gt;"",$S15&lt;&gt;$L15),1,0))</f>
        <v>0</v>
      </c>
      <c r="AB15" s="39" t="n">
        <f aca="false">IF($F15="","",IF($R15="Cancelada",0,IF(OR($AT15&lt;&gt;"",$R15="Concluída"),1,0)))</f>
        <v>1</v>
      </c>
      <c r="AC15" s="39" t="n">
        <f aca="false">IF($P15="",0,IF($P15&lt;Hoje!$L$1,1,IF(AND($P15=Hoje!$L$1,Hoje!$L$2&gt;Semana!$M$3),1,0)))</f>
        <v>1</v>
      </c>
      <c r="AD15" s="39" t="n">
        <f aca="false">IF($F15="","",IF(COUNTA($I15:$K15)=0,0,1/COUNTA($I15:$K15)))</f>
        <v>1</v>
      </c>
      <c r="AE15" s="39" t="str">
        <f aca="false">IF($AH15=0,"",SUM($AH$4:$AH15))</f>
        <v/>
      </c>
      <c r="AF15" s="39" t="str">
        <f aca="false">IF($AI15=0,"",SUM($AI$4:$AI15))</f>
        <v/>
      </c>
      <c r="AG15" s="50" t="str">
        <f aca="false">IF($F15="","",$I15&amp;IF($J15="",""," · "&amp;$J15)&amp;IF($K15="",""," · "&amp;$K15))</f>
        <v>Júnior</v>
      </c>
      <c r="AH15" s="39" t="n">
        <f aca="false">IF(AND($F15&lt;&gt;"",$O15&lt;&gt;"",$O15&lt;=Hoje!$C$3,$P15&gt;=Hoje!$C$3,$R15&lt;&gt;"Cancelada"),1,0)</f>
        <v>0</v>
      </c>
      <c r="AI15" s="39" t="n">
        <f aca="false">IF(AND($F15&lt;&gt;"",$P15&lt;&gt;"",$P15&lt;Hoje!$C$3,$AB15=0,$R15&lt;&gt;"Cancelada"),1,0)</f>
        <v>0</v>
      </c>
      <c r="AJ15" s="50" t="str">
        <f aca="false">IF($F15="","",$D15&amp;"|"&amp;$E15&amp;"|"&amp;$L15)</f>
        <v>F-327|Montar adesivos e baixa de carteira|35</v>
      </c>
      <c r="AK15" s="39" t="n">
        <f aca="false">IF($AJ15="","",COUNTIF($AJ$4:$AJ15,$AJ15))</f>
        <v>3</v>
      </c>
      <c r="AL15" s="39" t="n">
        <f aca="false">IF($AJ15="","",COUNTIF($AJ$4:$AJ$1004,$AJ15))</f>
        <v>4</v>
      </c>
      <c r="AM15" s="42"/>
      <c r="AN15" s="50" t="str">
        <f aca="false">IF($D15="","",IFERROR(T(VLOOKUP($D15,Listas!$B$5:$H$120,7,0)),""))</f>
        <v/>
      </c>
      <c r="AO15" s="50" t="str">
        <f aca="false">IF(OR($F15="",$L15&lt;&gt;"",$R15="Cancelada",$AT15&lt;&gt;""),"",$AN15&amp;"|"&amp;$D15&amp;"|"&amp;IF($C15="","zzz",$C15)&amp;"|"&amp;TEXT(15,"0000"))</f>
        <v/>
      </c>
      <c r="AP15" s="50" t="str">
        <f aca="false">IF($AO15="","",COUNTIF($AO$5:$AO$1004,"&lt;"&amp;$AO15)-(ROWS($AO$5:$AO$1004)-Hoje!$L$5)+1)</f>
        <v/>
      </c>
      <c r="AQ15" s="50" t="n">
        <f aca="false">IF(AND($F15&lt;&gt;"",$D15=Frota!$C$3),1,0)</f>
        <v>0</v>
      </c>
      <c r="AR15" s="50" t="str">
        <f aca="false">IF($AQ15=0,"",SUM($AQ$4:$AQ15))</f>
        <v/>
      </c>
      <c r="AS15" s="50" t="str">
        <f aca="false">IFERROR(INDEX(Hoje!$K$10:$K$29,MATCH(ROW(),Hoje!$J$10:$J$29,0)),"")</f>
        <v/>
      </c>
      <c r="AT15" s="47" t="n">
        <f aca="false">IF($Q15&lt;&gt;"",$Q15,$AS15)</f>
        <v>46260</v>
      </c>
    </row>
    <row r="16" customFormat="false" ht="16.5" hidden="false" customHeight="true" outlineLevel="0" collapsed="false">
      <c r="A16" s="39" t="n">
        <f aca="false">IF($F16="","",ROW())</f>
        <v>16</v>
      </c>
      <c r="B16" s="40" t="str">
        <f aca="false">IF($F16="",IF($D16="","","Falta a atividade"),IF($R16="Cancelada","Cancelada",IF($AB16=1,IF(N($Z16)&gt;0,"Concluída com atraso","Concluída"),IF($R16="Em programação","Em programação",IF($O16="",IF($M16="","Na carteira","Falta a semana"),IF($AC16=1,"VENCIDA",IF($O16&gt;Hoje!$L$1,"Programada",IF($P16&gt;Hoje!$L$1,"Em execução","Fecha hoje"))))))))</f>
        <v>Concluída</v>
      </c>
      <c r="C16" s="41" t="s">
        <v>117</v>
      </c>
      <c r="D16" s="42" t="s">
        <v>97</v>
      </c>
      <c r="E16" s="42" t="s">
        <v>104</v>
      </c>
      <c r="F16" s="42" t="s">
        <v>118</v>
      </c>
      <c r="G16" s="43" t="s">
        <v>80</v>
      </c>
      <c r="H16" s="43" t="s">
        <v>81</v>
      </c>
      <c r="I16" s="44" t="s">
        <v>106</v>
      </c>
      <c r="J16" s="44" t="s">
        <v>107</v>
      </c>
      <c r="K16" s="44"/>
      <c r="L16" s="45" t="n">
        <v>36</v>
      </c>
      <c r="M16" s="46" t="s">
        <v>108</v>
      </c>
      <c r="N16" s="45" t="n">
        <v>2</v>
      </c>
      <c r="O16" s="47" t="n">
        <f aca="false">IF(OR($L16="",$M16=""),"",(DATE(Semana!$J$3,1,4)-WEEKDAY(DATE(Semana!$J$3,1,4),3))+($L16-1)*7+MATCH($M16,Listas!$F$5:$F$11,0)-1)</f>
        <v>46265</v>
      </c>
      <c r="P16" s="47" t="n">
        <f aca="false">IF(OR($F16="",$O16=""),"",$O16+MAX(0,ROUNDUP($AK16*MAX(1,IF($N16="",1,$N16))/MAX(1,$AL16),0)-1))</f>
        <v>46265</v>
      </c>
      <c r="Q16" s="48" t="n">
        <v>46265</v>
      </c>
      <c r="R16" s="43" t="s">
        <v>85</v>
      </c>
      <c r="S16" s="49" t="n">
        <v>35</v>
      </c>
      <c r="T16" s="42" t="s">
        <v>109</v>
      </c>
      <c r="U16" s="42" t="s">
        <v>101</v>
      </c>
      <c r="V16" s="39" t="str">
        <f aca="false">IF($F16="","",IF(ISNUMBER(SEARCH("(externo)",$I16&amp;$J16&amp;$K16)),"Terceirizada","Interna"))</f>
        <v>Interna</v>
      </c>
      <c r="W16" s="47" t="n">
        <f aca="false">IF($O16="","",IF($S16="",$O16,(DATE(Semana!$J$3,1,4)-WEEKDAY(DATE(Semana!$J$3,1,4),3))+($S16-1)*7+IF($M16="",0,MATCH($M16,Listas!$F$5:$F$11,0)-1)))</f>
        <v>46258</v>
      </c>
      <c r="X16" s="39" t="n">
        <f aca="false">IF($F16="","",IF(OR($AT16="",$O16=""),0,IF($AT16&lt;=$O16,1,0)))</f>
        <v>1</v>
      </c>
      <c r="Y16" s="39" t="n">
        <f aca="false">IF($F16="","",IF(OR($AT16="",$W16=""),0,IF($AT16&lt;=$W16,1,0)))</f>
        <v>0</v>
      </c>
      <c r="Z16" s="39" t="n">
        <f aca="false">IF(OR($AT16="",$O16=""),"",MAX(0,$AT16-$O16))</f>
        <v>0</v>
      </c>
      <c r="AA16" s="39" t="n">
        <f aca="false">IF($F16="","",IF(AND($S16&lt;&gt;"",$L16&lt;&gt;"",$S16&lt;&gt;$L16),1,0))</f>
        <v>1</v>
      </c>
      <c r="AB16" s="39" t="n">
        <f aca="false">IF($F16="","",IF($R16="Cancelada",0,IF(OR($AT16&lt;&gt;"",$R16="Concluída"),1,0)))</f>
        <v>1</v>
      </c>
      <c r="AC16" s="39" t="n">
        <f aca="false">IF($P16="",0,IF($P16&lt;Hoje!$L$1,1,IF(AND($P16=Hoje!$L$1,Hoje!$L$2&gt;Semana!$M$3),1,0)))</f>
        <v>1</v>
      </c>
      <c r="AD16" s="39" t="n">
        <f aca="false">IF($F16="","",IF(COUNTA($I16:$K16)=0,0,1/COUNTA($I16:$K16)))</f>
        <v>0.5</v>
      </c>
      <c r="AE16" s="39" t="str">
        <f aca="false">IF($AH16=0,"",SUM($AH$4:$AH16))</f>
        <v/>
      </c>
      <c r="AF16" s="39" t="str">
        <f aca="false">IF($AI16=0,"",SUM($AI$4:$AI16))</f>
        <v/>
      </c>
      <c r="AG16" s="50" t="str">
        <f aca="false">IF($F16="","",$I16&amp;IF($J16="",""," · "&amp;$J16)&amp;IF($K16="",""," · "&amp;$K16))</f>
        <v>Adilton · Gabriel</v>
      </c>
      <c r="AH16" s="39" t="n">
        <f aca="false">IF(AND($F16&lt;&gt;"",$O16&lt;&gt;"",$O16&lt;=Hoje!$C$3,$P16&gt;=Hoje!$C$3,$R16&lt;&gt;"Cancelada"),1,0)</f>
        <v>0</v>
      </c>
      <c r="AI16" s="39" t="n">
        <f aca="false">IF(AND($F16&lt;&gt;"",$P16&lt;&gt;"",$P16&lt;Hoje!$C$3,$AB16=0,$R16&lt;&gt;"Cancelada"),1,0)</f>
        <v>0</v>
      </c>
      <c r="AJ16" s="50" t="str">
        <f aca="false">IF($F16="","",$D16&amp;"|"&amp;$E16&amp;"|"&amp;$L16)</f>
        <v>F-327|baixa de carteira|36</v>
      </c>
      <c r="AK16" s="39" t="n">
        <f aca="false">IF($AJ16="","",COUNTIF($AJ$4:$AJ16,$AJ16))</f>
        <v>4</v>
      </c>
      <c r="AL16" s="39" t="n">
        <f aca="false">IF($AJ16="","",COUNTIF($AJ$4:$AJ$1004,$AJ16))</f>
        <v>8</v>
      </c>
      <c r="AM16" s="42"/>
      <c r="AN16" s="50" t="str">
        <f aca="false">IF($D16="","",IFERROR(T(VLOOKUP($D16,Listas!$B$5:$H$120,7,0)),""))</f>
        <v/>
      </c>
      <c r="AO16" s="50" t="str">
        <f aca="false">IF(OR($F16="",$L16&lt;&gt;"",$R16="Cancelada",$AT16&lt;&gt;""),"",$AN16&amp;"|"&amp;$D16&amp;"|"&amp;IF($C16="","zzz",$C16)&amp;"|"&amp;TEXT(16,"0000"))</f>
        <v/>
      </c>
      <c r="AP16" s="50" t="str">
        <f aca="false">IF($AO16="","",COUNTIF($AO$5:$AO$1004,"&lt;"&amp;$AO16)-(ROWS($AO$5:$AO$1004)-Hoje!$L$5)+1)</f>
        <v/>
      </c>
      <c r="AQ16" s="50" t="n">
        <f aca="false">IF(AND($F16&lt;&gt;"",$D16=Frota!$C$3),1,0)</f>
        <v>0</v>
      </c>
      <c r="AR16" s="50" t="str">
        <f aca="false">IF($AQ16=0,"",SUM($AQ$4:$AQ16))</f>
        <v/>
      </c>
      <c r="AS16" s="50" t="str">
        <f aca="false">IFERROR(INDEX(Hoje!$K$10:$K$29,MATCH(ROW(),Hoje!$J$10:$J$29,0)),"")</f>
        <v/>
      </c>
      <c r="AT16" s="47" t="n">
        <f aca="false">IF($Q16&lt;&gt;"",$Q16,$AS16)</f>
        <v>46265</v>
      </c>
    </row>
    <row r="17" customFormat="false" ht="16.5" hidden="false" customHeight="true" outlineLevel="0" collapsed="false">
      <c r="A17" s="39" t="n">
        <f aca="false">IF($F17="","",ROW())</f>
        <v>17</v>
      </c>
      <c r="B17" s="40" t="str">
        <f aca="false">IF($F17="",IF($D17="","","Falta a atividade"),IF($R17="Cancelada","Cancelada",IF($AB17=1,IF(N($Z17)&gt;0,"Concluída com atraso","Concluída"),IF($R17="Em programação","Em programação",IF($O17="",IF($M17="","Na carteira","Falta a semana"),IF($AC17=1,"VENCIDA",IF($O17&gt;Hoje!$L$1,"Programada",IF($P17&gt;Hoje!$L$1,"Em execução","Fecha hoje"))))))))</f>
        <v>Concluída</v>
      </c>
      <c r="C17" s="41" t="s">
        <v>119</v>
      </c>
      <c r="D17" s="42" t="s">
        <v>97</v>
      </c>
      <c r="E17" s="42" t="s">
        <v>104</v>
      </c>
      <c r="F17" s="42" t="s">
        <v>120</v>
      </c>
      <c r="G17" s="43" t="s">
        <v>80</v>
      </c>
      <c r="H17" s="43" t="s">
        <v>81</v>
      </c>
      <c r="I17" s="44" t="s">
        <v>106</v>
      </c>
      <c r="J17" s="44" t="s">
        <v>107</v>
      </c>
      <c r="K17" s="44"/>
      <c r="L17" s="45" t="n">
        <v>36</v>
      </c>
      <c r="M17" s="46" t="s">
        <v>108</v>
      </c>
      <c r="N17" s="45" t="n">
        <v>2</v>
      </c>
      <c r="O17" s="47" t="n">
        <f aca="false">IF(OR($L17="",$M17=""),"",(DATE(Semana!$J$3,1,4)-WEEKDAY(DATE(Semana!$J$3,1,4),3))+($L17-1)*7+MATCH($M17,Listas!$F$5:$F$11,0)-1)</f>
        <v>46265</v>
      </c>
      <c r="P17" s="47" t="n">
        <f aca="false">IF(OR($F17="",$O17=""),"",$O17+MAX(0,ROUNDUP($AK17*MAX(1,IF($N17="",1,$N17))/MAX(1,$AL17),0)-1))</f>
        <v>46266</v>
      </c>
      <c r="Q17" s="48" t="n">
        <v>46265</v>
      </c>
      <c r="R17" s="43" t="s">
        <v>85</v>
      </c>
      <c r="S17" s="49" t="n">
        <v>35</v>
      </c>
      <c r="T17" s="42" t="s">
        <v>109</v>
      </c>
      <c r="U17" s="42" t="s">
        <v>101</v>
      </c>
      <c r="V17" s="39" t="str">
        <f aca="false">IF($F17="","",IF(ISNUMBER(SEARCH("(externo)",$I17&amp;$J17&amp;$K17)),"Terceirizada","Interna"))</f>
        <v>Interna</v>
      </c>
      <c r="W17" s="47" t="n">
        <f aca="false">IF($O17="","",IF($S17="",$O17,(DATE(Semana!$J$3,1,4)-WEEKDAY(DATE(Semana!$J$3,1,4),3))+($S17-1)*7+IF($M17="",0,MATCH($M17,Listas!$F$5:$F$11,0)-1)))</f>
        <v>46258</v>
      </c>
      <c r="X17" s="39" t="n">
        <f aca="false">IF($F17="","",IF(OR($AT17="",$O17=""),0,IF($AT17&lt;=$O17,1,0)))</f>
        <v>1</v>
      </c>
      <c r="Y17" s="39" t="n">
        <f aca="false">IF($F17="","",IF(OR($AT17="",$W17=""),0,IF($AT17&lt;=$W17,1,0)))</f>
        <v>0</v>
      </c>
      <c r="Z17" s="39" t="n">
        <f aca="false">IF(OR($AT17="",$O17=""),"",MAX(0,$AT17-$O17))</f>
        <v>0</v>
      </c>
      <c r="AA17" s="39" t="n">
        <f aca="false">IF($F17="","",IF(AND($S17&lt;&gt;"",$L17&lt;&gt;"",$S17&lt;&gt;$L17),1,0))</f>
        <v>1</v>
      </c>
      <c r="AB17" s="39" t="n">
        <f aca="false">IF($F17="","",IF($R17="Cancelada",0,IF(OR($AT17&lt;&gt;"",$R17="Concluída"),1,0)))</f>
        <v>1</v>
      </c>
      <c r="AC17" s="39" t="n">
        <f aca="false">IF($P17="",0,IF($P17&lt;Hoje!$L$1,1,IF(AND($P17=Hoje!$L$1,Hoje!$L$2&gt;Semana!$M$3),1,0)))</f>
        <v>1</v>
      </c>
      <c r="AD17" s="39" t="n">
        <f aca="false">IF($F17="","",IF(COUNTA($I17:$K17)=0,0,1/COUNTA($I17:$K17)))</f>
        <v>0.5</v>
      </c>
      <c r="AE17" s="39" t="str">
        <f aca="false">IF($AH17=0,"",SUM($AH$4:$AH17))</f>
        <v/>
      </c>
      <c r="AF17" s="39" t="str">
        <f aca="false">IF($AI17=0,"",SUM($AI$4:$AI17))</f>
        <v/>
      </c>
      <c r="AG17" s="50" t="str">
        <f aca="false">IF($F17="","",$I17&amp;IF($J17="",""," · "&amp;$J17)&amp;IF($K17="",""," · "&amp;$K17))</f>
        <v>Adilton · Gabriel</v>
      </c>
      <c r="AH17" s="39" t="n">
        <f aca="false">IF(AND($F17&lt;&gt;"",$O17&lt;&gt;"",$O17&lt;=Hoje!$C$3,$P17&gt;=Hoje!$C$3,$R17&lt;&gt;"Cancelada"),1,0)</f>
        <v>0</v>
      </c>
      <c r="AI17" s="39" t="n">
        <f aca="false">IF(AND($F17&lt;&gt;"",$P17&lt;&gt;"",$P17&lt;Hoje!$C$3,$AB17=0,$R17&lt;&gt;"Cancelada"),1,0)</f>
        <v>0</v>
      </c>
      <c r="AJ17" s="50" t="str">
        <f aca="false">IF($F17="","",$D17&amp;"|"&amp;$E17&amp;"|"&amp;$L17)</f>
        <v>F-327|baixa de carteira|36</v>
      </c>
      <c r="AK17" s="39" t="n">
        <f aca="false">IF($AJ17="","",COUNTIF($AJ$4:$AJ17,$AJ17))</f>
        <v>5</v>
      </c>
      <c r="AL17" s="39" t="n">
        <f aca="false">IF($AJ17="","",COUNTIF($AJ$4:$AJ$1004,$AJ17))</f>
        <v>8</v>
      </c>
      <c r="AM17" s="42"/>
      <c r="AN17" s="50" t="str">
        <f aca="false">IF($D17="","",IFERROR(T(VLOOKUP($D17,Listas!$B$5:$H$120,7,0)),""))</f>
        <v/>
      </c>
      <c r="AO17" s="50" t="str">
        <f aca="false">IF(OR($F17="",$L17&lt;&gt;"",$R17="Cancelada",$AT17&lt;&gt;""),"",$AN17&amp;"|"&amp;$D17&amp;"|"&amp;IF($C17="","zzz",$C17)&amp;"|"&amp;TEXT(17,"0000"))</f>
        <v/>
      </c>
      <c r="AP17" s="50" t="str">
        <f aca="false">IF($AO17="","",COUNTIF($AO$5:$AO$1004,"&lt;"&amp;$AO17)-(ROWS($AO$5:$AO$1004)-Hoje!$L$5)+1)</f>
        <v/>
      </c>
      <c r="AQ17" s="50" t="n">
        <f aca="false">IF(AND($F17&lt;&gt;"",$D17=Frota!$C$3),1,0)</f>
        <v>0</v>
      </c>
      <c r="AR17" s="50" t="str">
        <f aca="false">IF($AQ17=0,"",SUM($AQ$4:$AQ17))</f>
        <v/>
      </c>
      <c r="AS17" s="50" t="str">
        <f aca="false">IFERROR(INDEX(Hoje!$K$10:$K$29,MATCH(ROW(),Hoje!$J$10:$J$29,0)),"")</f>
        <v/>
      </c>
      <c r="AT17" s="47" t="n">
        <f aca="false">IF($Q17&lt;&gt;"",$Q17,$AS17)</f>
        <v>46265</v>
      </c>
    </row>
    <row r="18" customFormat="false" ht="16.5" hidden="false" customHeight="true" outlineLevel="0" collapsed="false">
      <c r="A18" s="39" t="n">
        <f aca="false">IF($F18="","",ROW())</f>
        <v>18</v>
      </c>
      <c r="B18" s="40" t="str">
        <f aca="false">IF($F18="",IF($D18="","","Falta a atividade"),IF($R18="Cancelada","Cancelada",IF($AB18=1,IF(N($Z18)&gt;0,"Concluída com atraso","Concluída"),IF($R18="Em programação","Em programação",IF($O18="",IF($M18="","Na carteira","Falta a semana"),IF($AC18=1,"VENCIDA",IF($O18&gt;Hoje!$L$1,"Programada",IF($P18&gt;Hoje!$L$1,"Em execução","Fecha hoje"))))))))</f>
        <v>Concluída</v>
      </c>
      <c r="C18" s="41" t="s">
        <v>121</v>
      </c>
      <c r="D18" s="42" t="s">
        <v>97</v>
      </c>
      <c r="E18" s="42" t="s">
        <v>104</v>
      </c>
      <c r="F18" s="42" t="s">
        <v>122</v>
      </c>
      <c r="G18" s="43" t="s">
        <v>80</v>
      </c>
      <c r="H18" s="43" t="s">
        <v>81</v>
      </c>
      <c r="I18" s="44" t="s">
        <v>106</v>
      </c>
      <c r="J18" s="44" t="s">
        <v>107</v>
      </c>
      <c r="K18" s="44"/>
      <c r="L18" s="45" t="n">
        <v>36</v>
      </c>
      <c r="M18" s="46" t="s">
        <v>108</v>
      </c>
      <c r="N18" s="45" t="n">
        <v>2</v>
      </c>
      <c r="O18" s="47" t="n">
        <f aca="false">IF(OR($L18="",$M18=""),"",(DATE(Semana!$J$3,1,4)-WEEKDAY(DATE(Semana!$J$3,1,4),3))+($L18-1)*7+MATCH($M18,Listas!$F$5:$F$11,0)-1)</f>
        <v>46265</v>
      </c>
      <c r="P18" s="47" t="n">
        <f aca="false">IF(OR($F18="",$O18=""),"",$O18+MAX(0,ROUNDUP($AK18*MAX(1,IF($N18="",1,$N18))/MAX(1,$AL18),0)-1))</f>
        <v>46266</v>
      </c>
      <c r="Q18" s="48" t="n">
        <v>46265</v>
      </c>
      <c r="R18" s="43" t="s">
        <v>85</v>
      </c>
      <c r="S18" s="49" t="n">
        <v>35</v>
      </c>
      <c r="T18" s="42" t="s">
        <v>109</v>
      </c>
      <c r="U18" s="42" t="s">
        <v>123</v>
      </c>
      <c r="V18" s="39" t="str">
        <f aca="false">IF($F18="","",IF(ISNUMBER(SEARCH("(externo)",$I18&amp;$J18&amp;$K18)),"Terceirizada","Interna"))</f>
        <v>Interna</v>
      </c>
      <c r="W18" s="47" t="n">
        <f aca="false">IF($O18="","",IF($S18="",$O18,(DATE(Semana!$J$3,1,4)-WEEKDAY(DATE(Semana!$J$3,1,4),3))+($S18-1)*7+IF($M18="",0,MATCH($M18,Listas!$F$5:$F$11,0)-1)))</f>
        <v>46258</v>
      </c>
      <c r="X18" s="39" t="n">
        <f aca="false">IF($F18="","",IF(OR($AT18="",$O18=""),0,IF($AT18&lt;=$O18,1,0)))</f>
        <v>1</v>
      </c>
      <c r="Y18" s="39" t="n">
        <f aca="false">IF($F18="","",IF(OR($AT18="",$W18=""),0,IF($AT18&lt;=$W18,1,0)))</f>
        <v>0</v>
      </c>
      <c r="Z18" s="39" t="n">
        <f aca="false">IF(OR($AT18="",$O18=""),"",MAX(0,$AT18-$O18))</f>
        <v>0</v>
      </c>
      <c r="AA18" s="39" t="n">
        <f aca="false">IF($F18="","",IF(AND($S18&lt;&gt;"",$L18&lt;&gt;"",$S18&lt;&gt;$L18),1,0))</f>
        <v>1</v>
      </c>
      <c r="AB18" s="39" t="n">
        <f aca="false">IF($F18="","",IF($R18="Cancelada",0,IF(OR($AT18&lt;&gt;"",$R18="Concluída"),1,0)))</f>
        <v>1</v>
      </c>
      <c r="AC18" s="39" t="n">
        <f aca="false">IF($P18="",0,IF($P18&lt;Hoje!$L$1,1,IF(AND($P18=Hoje!$L$1,Hoje!$L$2&gt;Semana!$M$3),1,0)))</f>
        <v>1</v>
      </c>
      <c r="AD18" s="39" t="n">
        <f aca="false">IF($F18="","",IF(COUNTA($I18:$K18)=0,0,1/COUNTA($I18:$K18)))</f>
        <v>0.5</v>
      </c>
      <c r="AE18" s="39" t="str">
        <f aca="false">IF($AH18=0,"",SUM($AH$4:$AH18))</f>
        <v/>
      </c>
      <c r="AF18" s="39" t="str">
        <f aca="false">IF($AI18=0,"",SUM($AI$4:$AI18))</f>
        <v/>
      </c>
      <c r="AG18" s="50" t="str">
        <f aca="false">IF($F18="","",$I18&amp;IF($J18="",""," · "&amp;$J18)&amp;IF($K18="",""," · "&amp;$K18))</f>
        <v>Adilton · Gabriel</v>
      </c>
      <c r="AH18" s="39" t="n">
        <f aca="false">IF(AND($F18&lt;&gt;"",$O18&lt;&gt;"",$O18&lt;=Hoje!$C$3,$P18&gt;=Hoje!$C$3,$R18&lt;&gt;"Cancelada"),1,0)</f>
        <v>0</v>
      </c>
      <c r="AI18" s="39" t="n">
        <f aca="false">IF(AND($F18&lt;&gt;"",$P18&lt;&gt;"",$P18&lt;Hoje!$C$3,$AB18=0,$R18&lt;&gt;"Cancelada"),1,0)</f>
        <v>0</v>
      </c>
      <c r="AJ18" s="50" t="str">
        <f aca="false">IF($F18="","",$D18&amp;"|"&amp;$E18&amp;"|"&amp;$L18)</f>
        <v>F-327|baixa de carteira|36</v>
      </c>
      <c r="AK18" s="39" t="n">
        <f aca="false">IF($AJ18="","",COUNTIF($AJ$4:$AJ18,$AJ18))</f>
        <v>6</v>
      </c>
      <c r="AL18" s="39" t="n">
        <f aca="false">IF($AJ18="","",COUNTIF($AJ$4:$AJ$1004,$AJ18))</f>
        <v>8</v>
      </c>
      <c r="AM18" s="42"/>
      <c r="AN18" s="50" t="str">
        <f aca="false">IF($D18="","",IFERROR(T(VLOOKUP($D18,Listas!$B$5:$H$120,7,0)),""))</f>
        <v/>
      </c>
      <c r="AO18" s="50" t="str">
        <f aca="false">IF(OR($F18="",$L18&lt;&gt;"",$R18="Cancelada",$AT18&lt;&gt;""),"",$AN18&amp;"|"&amp;$D18&amp;"|"&amp;IF($C18="","zzz",$C18)&amp;"|"&amp;TEXT(18,"0000"))</f>
        <v/>
      </c>
      <c r="AP18" s="50" t="str">
        <f aca="false">IF($AO18="","",COUNTIF($AO$5:$AO$1004,"&lt;"&amp;$AO18)-(ROWS($AO$5:$AO$1004)-Hoje!$L$5)+1)</f>
        <v/>
      </c>
      <c r="AQ18" s="50" t="n">
        <f aca="false">IF(AND($F18&lt;&gt;"",$D18=Frota!$C$3),1,0)</f>
        <v>0</v>
      </c>
      <c r="AR18" s="50" t="str">
        <f aca="false">IF($AQ18=0,"",SUM($AQ$4:$AQ18))</f>
        <v/>
      </c>
      <c r="AS18" s="50" t="str">
        <f aca="false">IFERROR(INDEX(Hoje!$K$10:$K$29,MATCH(ROW(),Hoje!$J$10:$J$29,0)),"")</f>
        <v/>
      </c>
      <c r="AT18" s="47" t="n">
        <f aca="false">IF($Q18&lt;&gt;"",$Q18,$AS18)</f>
        <v>46265</v>
      </c>
    </row>
    <row r="19" customFormat="false" ht="16.5" hidden="false" customHeight="true" outlineLevel="0" collapsed="false">
      <c r="A19" s="39" t="n">
        <f aca="false">IF($F19="","",ROW())</f>
        <v>19</v>
      </c>
      <c r="B19" s="40" t="str">
        <f aca="false">IF($F19="",IF($D19="","","Falta a atividade"),IF($R19="Cancelada","Cancelada",IF($AB19=1,IF(N($Z19)&gt;0,"Concluída com atraso","Concluída"),IF($R19="Em programação","Em programação",IF($O19="",IF($M19="","Na carteira","Falta a semana"),IF($AC19=1,"VENCIDA",IF($O19&gt;Hoje!$L$1,"Programada",IF($P19&gt;Hoje!$L$1,"Em execução","Fecha hoje"))))))))</f>
        <v>Concluída</v>
      </c>
      <c r="C19" s="41" t="s">
        <v>124</v>
      </c>
      <c r="D19" s="42" t="s">
        <v>97</v>
      </c>
      <c r="E19" s="42" t="s">
        <v>104</v>
      </c>
      <c r="F19" s="42" t="s">
        <v>125</v>
      </c>
      <c r="G19" s="43" t="s">
        <v>80</v>
      </c>
      <c r="H19" s="43" t="s">
        <v>81</v>
      </c>
      <c r="I19" s="44" t="s">
        <v>106</v>
      </c>
      <c r="J19" s="44" t="s">
        <v>107</v>
      </c>
      <c r="K19" s="44"/>
      <c r="L19" s="45" t="n">
        <v>36</v>
      </c>
      <c r="M19" s="46" t="s">
        <v>108</v>
      </c>
      <c r="N19" s="45" t="n">
        <v>2</v>
      </c>
      <c r="O19" s="47" t="n">
        <f aca="false">IF(OR($L19="",$M19=""),"",(DATE(Semana!$J$3,1,4)-WEEKDAY(DATE(Semana!$J$3,1,4),3))+($L19-1)*7+MATCH($M19,Listas!$F$5:$F$11,0)-1)</f>
        <v>46265</v>
      </c>
      <c r="P19" s="47" t="n">
        <f aca="false">IF(OR($F19="",$O19=""),"",$O19+MAX(0,ROUNDUP($AK19*MAX(1,IF($N19="",1,$N19))/MAX(1,$AL19),0)-1))</f>
        <v>46266</v>
      </c>
      <c r="Q19" s="48" t="n">
        <v>46265</v>
      </c>
      <c r="R19" s="43" t="s">
        <v>85</v>
      </c>
      <c r="S19" s="49" t="n">
        <v>35</v>
      </c>
      <c r="T19" s="42" t="s">
        <v>109</v>
      </c>
      <c r="U19" s="42" t="s">
        <v>126</v>
      </c>
      <c r="V19" s="39" t="str">
        <f aca="false">IF($F19="","",IF(ISNUMBER(SEARCH("(externo)",$I19&amp;$J19&amp;$K19)),"Terceirizada","Interna"))</f>
        <v>Interna</v>
      </c>
      <c r="W19" s="47" t="n">
        <f aca="false">IF($O19="","",IF($S19="",$O19,(DATE(Semana!$J$3,1,4)-WEEKDAY(DATE(Semana!$J$3,1,4),3))+($S19-1)*7+IF($M19="",0,MATCH($M19,Listas!$F$5:$F$11,0)-1)))</f>
        <v>46258</v>
      </c>
      <c r="X19" s="39" t="n">
        <f aca="false">IF($F19="","",IF(OR($AT19="",$O19=""),0,IF($AT19&lt;=$O19,1,0)))</f>
        <v>1</v>
      </c>
      <c r="Y19" s="39" t="n">
        <f aca="false">IF($F19="","",IF(OR($AT19="",$W19=""),0,IF($AT19&lt;=$W19,1,0)))</f>
        <v>0</v>
      </c>
      <c r="Z19" s="39" t="n">
        <f aca="false">IF(OR($AT19="",$O19=""),"",MAX(0,$AT19-$O19))</f>
        <v>0</v>
      </c>
      <c r="AA19" s="39" t="n">
        <f aca="false">IF($F19="","",IF(AND($S19&lt;&gt;"",$L19&lt;&gt;"",$S19&lt;&gt;$L19),1,0))</f>
        <v>1</v>
      </c>
      <c r="AB19" s="39" t="n">
        <f aca="false">IF($F19="","",IF($R19="Cancelada",0,IF(OR($AT19&lt;&gt;"",$R19="Concluída"),1,0)))</f>
        <v>1</v>
      </c>
      <c r="AC19" s="39" t="n">
        <f aca="false">IF($P19="",0,IF($P19&lt;Hoje!$L$1,1,IF(AND($P19=Hoje!$L$1,Hoje!$L$2&gt;Semana!$M$3),1,0)))</f>
        <v>1</v>
      </c>
      <c r="AD19" s="39" t="n">
        <f aca="false">IF($F19="","",IF(COUNTA($I19:$K19)=0,0,1/COUNTA($I19:$K19)))</f>
        <v>0.5</v>
      </c>
      <c r="AE19" s="39" t="str">
        <f aca="false">IF($AH19=0,"",SUM($AH$4:$AH19))</f>
        <v/>
      </c>
      <c r="AF19" s="39" t="str">
        <f aca="false">IF($AI19=0,"",SUM($AI$4:$AI19))</f>
        <v/>
      </c>
      <c r="AG19" s="50" t="str">
        <f aca="false">IF($F19="","",$I19&amp;IF($J19="",""," · "&amp;$J19)&amp;IF($K19="",""," · "&amp;$K19))</f>
        <v>Adilton · Gabriel</v>
      </c>
      <c r="AH19" s="39" t="n">
        <f aca="false">IF(AND($F19&lt;&gt;"",$O19&lt;&gt;"",$O19&lt;=Hoje!$C$3,$P19&gt;=Hoje!$C$3,$R19&lt;&gt;"Cancelada"),1,0)</f>
        <v>0</v>
      </c>
      <c r="AI19" s="39" t="n">
        <f aca="false">IF(AND($F19&lt;&gt;"",$P19&lt;&gt;"",$P19&lt;Hoje!$C$3,$AB19=0,$R19&lt;&gt;"Cancelada"),1,0)</f>
        <v>0</v>
      </c>
      <c r="AJ19" s="50" t="str">
        <f aca="false">IF($F19="","",$D19&amp;"|"&amp;$E19&amp;"|"&amp;$L19)</f>
        <v>F-327|baixa de carteira|36</v>
      </c>
      <c r="AK19" s="39" t="n">
        <f aca="false">IF($AJ19="","",COUNTIF($AJ$4:$AJ19,$AJ19))</f>
        <v>7</v>
      </c>
      <c r="AL19" s="39" t="n">
        <f aca="false">IF($AJ19="","",COUNTIF($AJ$4:$AJ$1004,$AJ19))</f>
        <v>8</v>
      </c>
      <c r="AM19" s="42"/>
      <c r="AN19" s="50" t="str">
        <f aca="false">IF($D19="","",IFERROR(T(VLOOKUP($D19,Listas!$B$5:$H$120,7,0)),""))</f>
        <v/>
      </c>
      <c r="AO19" s="50" t="str">
        <f aca="false">IF(OR($F19="",$L19&lt;&gt;"",$R19="Cancelada",$AT19&lt;&gt;""),"",$AN19&amp;"|"&amp;$D19&amp;"|"&amp;IF($C19="","zzz",$C19)&amp;"|"&amp;TEXT(19,"0000"))</f>
        <v/>
      </c>
      <c r="AP19" s="50" t="str">
        <f aca="false">IF($AO19="","",COUNTIF($AO$5:$AO$1004,"&lt;"&amp;$AO19)-(ROWS($AO$5:$AO$1004)-Hoje!$L$5)+1)</f>
        <v/>
      </c>
      <c r="AQ19" s="50" t="n">
        <f aca="false">IF(AND($F19&lt;&gt;"",$D19=Frota!$C$3),1,0)</f>
        <v>0</v>
      </c>
      <c r="AR19" s="50" t="str">
        <f aca="false">IF($AQ19=0,"",SUM($AQ$4:$AQ19))</f>
        <v/>
      </c>
      <c r="AS19" s="50" t="str">
        <f aca="false">IFERROR(INDEX(Hoje!$K$10:$K$29,MATCH(ROW(),Hoje!$J$10:$J$29,0)),"")</f>
        <v/>
      </c>
      <c r="AT19" s="47" t="n">
        <f aca="false">IF($Q19&lt;&gt;"",$Q19,$AS19)</f>
        <v>46265</v>
      </c>
    </row>
    <row r="20" customFormat="false" ht="16.5" hidden="false" customHeight="true" outlineLevel="0" collapsed="false">
      <c r="A20" s="39" t="n">
        <f aca="false">IF($F20="","",ROW())</f>
        <v>20</v>
      </c>
      <c r="B20" s="40" t="str">
        <f aca="false">IF($F20="",IF($D20="","","Falta a atividade"),IF($R20="Cancelada","Cancelada",IF($AB20=1,IF(N($Z20)&gt;0,"Concluída com atraso","Concluída"),IF($R20="Em programação","Em programação",IF($O20="",IF($M20="","Na carteira","Falta a semana"),IF($AC20=1,"VENCIDA",IF($O20&gt;Hoje!$L$1,"Programada",IF($P20&gt;Hoje!$L$1,"Em execução","Fecha hoje"))))))))</f>
        <v>Concluída</v>
      </c>
      <c r="C20" s="41" t="s">
        <v>127</v>
      </c>
      <c r="D20" s="42" t="s">
        <v>97</v>
      </c>
      <c r="E20" s="42" t="s">
        <v>98</v>
      </c>
      <c r="F20" s="42" t="s">
        <v>128</v>
      </c>
      <c r="G20" s="43" t="s">
        <v>80</v>
      </c>
      <c r="H20" s="43" t="s">
        <v>100</v>
      </c>
      <c r="I20" s="44" t="s">
        <v>88</v>
      </c>
      <c r="J20" s="44"/>
      <c r="K20" s="44"/>
      <c r="L20" s="45" t="n">
        <v>35</v>
      </c>
      <c r="M20" s="46" t="s">
        <v>84</v>
      </c>
      <c r="N20" s="45" t="n">
        <v>3</v>
      </c>
      <c r="O20" s="47" t="n">
        <f aca="false">IF(OR($L20="",$M20=""),"",(DATE(Semana!$J$3,1,4)-WEEKDAY(DATE(Semana!$J$3,1,4),3))+($L20-1)*7+MATCH($M20,Listas!$F$5:$F$11,0)-1)</f>
        <v>46260</v>
      </c>
      <c r="P20" s="47" t="n">
        <f aca="false">IF(OR($F20="",$O20=""),"",$O20+MAX(0,ROUNDUP($AK20*MAX(1,IF($N20="",1,$N20))/MAX(1,$AL20),0)-1))</f>
        <v>46262</v>
      </c>
      <c r="Q20" s="48" t="n">
        <v>46260</v>
      </c>
      <c r="R20" s="43" t="s">
        <v>85</v>
      </c>
      <c r="S20" s="49"/>
      <c r="T20" s="42"/>
      <c r="U20" s="42" t="s">
        <v>129</v>
      </c>
      <c r="V20" s="39" t="str">
        <f aca="false">IF($F20="","",IF(ISNUMBER(SEARCH("(externo)",$I20&amp;$J20&amp;$K20)),"Terceirizada","Interna"))</f>
        <v>Interna</v>
      </c>
      <c r="W20" s="47" t="n">
        <f aca="false">IF($O20="","",IF($S20="",$O20,(DATE(Semana!$J$3,1,4)-WEEKDAY(DATE(Semana!$J$3,1,4),3))+($S20-1)*7+IF($M20="",0,MATCH($M20,Listas!$F$5:$F$11,0)-1)))</f>
        <v>46260</v>
      </c>
      <c r="X20" s="39" t="n">
        <f aca="false">IF($F20="","",IF(OR($AT20="",$O20=""),0,IF($AT20&lt;=$O20,1,0)))</f>
        <v>1</v>
      </c>
      <c r="Y20" s="39" t="n">
        <f aca="false">IF($F20="","",IF(OR($AT20="",$W20=""),0,IF($AT20&lt;=$W20,1,0)))</f>
        <v>1</v>
      </c>
      <c r="Z20" s="39" t="n">
        <f aca="false">IF(OR($AT20="",$O20=""),"",MAX(0,$AT20-$O20))</f>
        <v>0</v>
      </c>
      <c r="AA20" s="39" t="n">
        <f aca="false">IF($F20="","",IF(AND($S20&lt;&gt;"",$L20&lt;&gt;"",$S20&lt;&gt;$L20),1,0))</f>
        <v>0</v>
      </c>
      <c r="AB20" s="39" t="n">
        <f aca="false">IF($F20="","",IF($R20="Cancelada",0,IF(OR($AT20&lt;&gt;"",$R20="Concluída"),1,0)))</f>
        <v>1</v>
      </c>
      <c r="AC20" s="39" t="n">
        <f aca="false">IF($P20="",0,IF($P20&lt;Hoje!$L$1,1,IF(AND($P20=Hoje!$L$1,Hoje!$L$2&gt;Semana!$M$3),1,0)))</f>
        <v>1</v>
      </c>
      <c r="AD20" s="39" t="n">
        <f aca="false">IF($F20="","",IF(COUNTA($I20:$K20)=0,0,1/COUNTA($I20:$K20)))</f>
        <v>1</v>
      </c>
      <c r="AE20" s="39" t="str">
        <f aca="false">IF($AH20=0,"",SUM($AH$4:$AH20))</f>
        <v/>
      </c>
      <c r="AF20" s="39" t="str">
        <f aca="false">IF($AI20=0,"",SUM($AI$4:$AI20))</f>
        <v/>
      </c>
      <c r="AG20" s="50" t="str">
        <f aca="false">IF($F20="","",$I20&amp;IF($J20="",""," · "&amp;$J20)&amp;IF($K20="",""," · "&amp;$K20))</f>
        <v>Júnior</v>
      </c>
      <c r="AH20" s="39" t="n">
        <f aca="false">IF(AND($F20&lt;&gt;"",$O20&lt;&gt;"",$O20&lt;=Hoje!$C$3,$P20&gt;=Hoje!$C$3,$R20&lt;&gt;"Cancelada"),1,0)</f>
        <v>0</v>
      </c>
      <c r="AI20" s="39" t="n">
        <f aca="false">IF(AND($F20&lt;&gt;"",$P20&lt;&gt;"",$P20&lt;Hoje!$C$3,$AB20=0,$R20&lt;&gt;"Cancelada"),1,0)</f>
        <v>0</v>
      </c>
      <c r="AJ20" s="50" t="str">
        <f aca="false">IF($F20="","",$D20&amp;"|"&amp;$E20&amp;"|"&amp;$L20)</f>
        <v>F-327|Montar adesivos e baixa de carteira|35</v>
      </c>
      <c r="AK20" s="39" t="n">
        <f aca="false">IF($AJ20="","",COUNTIF($AJ$4:$AJ20,$AJ20))</f>
        <v>4</v>
      </c>
      <c r="AL20" s="39" t="n">
        <f aca="false">IF($AJ20="","",COUNTIF($AJ$4:$AJ$1004,$AJ20))</f>
        <v>4</v>
      </c>
      <c r="AM20" s="42"/>
      <c r="AN20" s="50" t="str">
        <f aca="false">IF($D20="","",IFERROR(T(VLOOKUP($D20,Listas!$B$5:$H$120,7,0)),""))</f>
        <v/>
      </c>
      <c r="AO20" s="50" t="str">
        <f aca="false">IF(OR($F20="",$L20&lt;&gt;"",$R20="Cancelada",$AT20&lt;&gt;""),"",$AN20&amp;"|"&amp;$D20&amp;"|"&amp;IF($C20="","zzz",$C20)&amp;"|"&amp;TEXT(20,"0000"))</f>
        <v/>
      </c>
      <c r="AP20" s="50" t="str">
        <f aca="false">IF($AO20="","",COUNTIF($AO$5:$AO$1004,"&lt;"&amp;$AO20)-(ROWS($AO$5:$AO$1004)-Hoje!$L$5)+1)</f>
        <v/>
      </c>
      <c r="AQ20" s="50" t="n">
        <f aca="false">IF(AND($F20&lt;&gt;"",$D20=Frota!$C$3),1,0)</f>
        <v>0</v>
      </c>
      <c r="AR20" s="50" t="str">
        <f aca="false">IF($AQ20=0,"",SUM($AQ$4:$AQ20))</f>
        <v/>
      </c>
      <c r="AS20" s="50" t="str">
        <f aca="false">IFERROR(INDEX(Hoje!$K$10:$K$29,MATCH(ROW(),Hoje!$J$10:$J$29,0)),"")</f>
        <v/>
      </c>
      <c r="AT20" s="47" t="n">
        <f aca="false">IF($Q20&lt;&gt;"",$Q20,$AS20)</f>
        <v>46260</v>
      </c>
    </row>
    <row r="21" customFormat="false" ht="16.5" hidden="false" customHeight="true" outlineLevel="0" collapsed="false">
      <c r="A21" s="39" t="n">
        <f aca="false">IF($F21="","",ROW())</f>
        <v>21</v>
      </c>
      <c r="B21" s="40" t="str">
        <f aca="false">IF($F21="",IF($D21="","","Falta a atividade"),IF($R21="Cancelada","Cancelada",IF($AB21=1,IF(N($Z21)&gt;0,"Concluída com atraso","Concluída"),IF($R21="Em programação","Em programação",IF($O21="",IF($M21="","Na carteira","Falta a semana"),IF($AC21=1,"VENCIDA",IF($O21&gt;Hoje!$L$1,"Programada",IF($P21&gt;Hoje!$L$1,"Em execução","Fecha hoje"))))))))</f>
        <v>Concluída</v>
      </c>
      <c r="C21" s="41"/>
      <c r="D21" s="42" t="s">
        <v>97</v>
      </c>
      <c r="E21" s="42" t="s">
        <v>104</v>
      </c>
      <c r="F21" s="42" t="s">
        <v>130</v>
      </c>
      <c r="G21" s="43" t="s">
        <v>80</v>
      </c>
      <c r="H21" s="43" t="s">
        <v>100</v>
      </c>
      <c r="I21" s="44" t="s">
        <v>88</v>
      </c>
      <c r="J21" s="44"/>
      <c r="K21" s="44"/>
      <c r="L21" s="45" t="n">
        <v>36</v>
      </c>
      <c r="M21" s="46" t="s">
        <v>131</v>
      </c>
      <c r="N21" s="45" t="n">
        <v>2</v>
      </c>
      <c r="O21" s="47" t="n">
        <f aca="false">IF(OR($L21="",$M21=""),"",(DATE(Semana!$J$3,1,4)-WEEKDAY(DATE(Semana!$J$3,1,4),3))+($L21-1)*7+MATCH($M21,Listas!$F$5:$F$11,0)-1)</f>
        <v>46266</v>
      </c>
      <c r="P21" s="47" t="n">
        <f aca="false">IF(OR($F21="",$O21=""),"",$O21+MAX(0,ROUNDUP($AK21*MAX(1,IF($N21="",1,$N21))/MAX(1,$AL21),0)-1))</f>
        <v>46267</v>
      </c>
      <c r="Q21" s="48" t="n">
        <v>46266</v>
      </c>
      <c r="R21" s="43" t="s">
        <v>85</v>
      </c>
      <c r="S21" s="49" t="n">
        <v>35</v>
      </c>
      <c r="T21" s="42" t="s">
        <v>114</v>
      </c>
      <c r="U21" s="42" t="s">
        <v>132</v>
      </c>
      <c r="V21" s="39" t="str">
        <f aca="false">IF($F21="","",IF(ISNUMBER(SEARCH("(externo)",$I21&amp;$J21&amp;$K21)),"Terceirizada","Interna"))</f>
        <v>Interna</v>
      </c>
      <c r="W21" s="47" t="n">
        <f aca="false">IF($O21="","",IF($S21="",$O21,(DATE(Semana!$J$3,1,4)-WEEKDAY(DATE(Semana!$J$3,1,4),3))+($S21-1)*7+IF($M21="",0,MATCH($M21,Listas!$F$5:$F$11,0)-1)))</f>
        <v>46259</v>
      </c>
      <c r="X21" s="39" t="n">
        <f aca="false">IF($F21="","",IF(OR($AT21="",$O21=""),0,IF($AT21&lt;=$O21,1,0)))</f>
        <v>1</v>
      </c>
      <c r="Y21" s="39" t="n">
        <f aca="false">IF($F21="","",IF(OR($AT21="",$W21=""),0,IF($AT21&lt;=$W21,1,0)))</f>
        <v>0</v>
      </c>
      <c r="Z21" s="39" t="n">
        <f aca="false">IF(OR($AT21="",$O21=""),"",MAX(0,$AT21-$O21))</f>
        <v>0</v>
      </c>
      <c r="AA21" s="39" t="n">
        <f aca="false">IF($F21="","",IF(AND($S21&lt;&gt;"",$L21&lt;&gt;"",$S21&lt;&gt;$L21),1,0))</f>
        <v>1</v>
      </c>
      <c r="AB21" s="39" t="n">
        <f aca="false">IF($F21="","",IF($R21="Cancelada",0,IF(OR($AT21&lt;&gt;"",$R21="Concluída"),1,0)))</f>
        <v>1</v>
      </c>
      <c r="AC21" s="39" t="n">
        <f aca="false">IF($P21="",0,IF($P21&lt;Hoje!$L$1,1,IF(AND($P21=Hoje!$L$1,Hoje!$L$2&gt;Semana!$M$3),1,0)))</f>
        <v>1</v>
      </c>
      <c r="AD21" s="39" t="n">
        <f aca="false">IF($F21="","",IF(COUNTA($I21:$K21)=0,0,1/COUNTA($I21:$K21)))</f>
        <v>1</v>
      </c>
      <c r="AE21" s="39" t="str">
        <f aca="false">IF($AH21=0,"",SUM($AH$4:$AH21))</f>
        <v/>
      </c>
      <c r="AF21" s="39" t="str">
        <f aca="false">IF($AI21=0,"",SUM($AI$4:$AI21))</f>
        <v/>
      </c>
      <c r="AG21" s="50" t="str">
        <f aca="false">IF($F21="","",$I21&amp;IF($J21="",""," · "&amp;$J21)&amp;IF($K21="",""," · "&amp;$K21))</f>
        <v>Júnior</v>
      </c>
      <c r="AH21" s="39" t="n">
        <f aca="false">IF(AND($F21&lt;&gt;"",$O21&lt;&gt;"",$O21&lt;=Hoje!$C$3,$P21&gt;=Hoje!$C$3,$R21&lt;&gt;"Cancelada"),1,0)</f>
        <v>0</v>
      </c>
      <c r="AI21" s="39" t="n">
        <f aca="false">IF(AND($F21&lt;&gt;"",$P21&lt;&gt;"",$P21&lt;Hoje!$C$3,$AB21=0,$R21&lt;&gt;"Cancelada"),1,0)</f>
        <v>0</v>
      </c>
      <c r="AJ21" s="50" t="str">
        <f aca="false">IF($F21="","",$D21&amp;"|"&amp;$E21&amp;"|"&amp;$L21)</f>
        <v>F-327|baixa de carteira|36</v>
      </c>
      <c r="AK21" s="39" t="n">
        <f aca="false">IF($AJ21="","",COUNTIF($AJ$4:$AJ21,$AJ21))</f>
        <v>8</v>
      </c>
      <c r="AL21" s="39" t="n">
        <f aca="false">IF($AJ21="","",COUNTIF($AJ$4:$AJ$1004,$AJ21))</f>
        <v>8</v>
      </c>
      <c r="AM21" s="42"/>
      <c r="AN21" s="50" t="str">
        <f aca="false">IF($D21="","",IFERROR(T(VLOOKUP($D21,Listas!$B$5:$H$120,7,0)),""))</f>
        <v/>
      </c>
      <c r="AO21" s="50" t="str">
        <f aca="false">IF(OR($F21="",$L21&lt;&gt;"",$R21="Cancelada",$AT21&lt;&gt;""),"",$AN21&amp;"|"&amp;$D21&amp;"|"&amp;IF($C21="","zzz",$C21)&amp;"|"&amp;TEXT(21,"0000"))</f>
        <v/>
      </c>
      <c r="AP21" s="50" t="str">
        <f aca="false">IF($AO21="","",COUNTIF($AO$5:$AO$1004,"&lt;"&amp;$AO21)-(ROWS($AO$5:$AO$1004)-Hoje!$L$5)+1)</f>
        <v/>
      </c>
      <c r="AQ21" s="50" t="n">
        <f aca="false">IF(AND($F21&lt;&gt;"",$D21=Frota!$C$3),1,0)</f>
        <v>0</v>
      </c>
      <c r="AR21" s="50" t="str">
        <f aca="false">IF($AQ21=0,"",SUM($AQ$4:$AQ21))</f>
        <v/>
      </c>
      <c r="AS21" s="50" t="str">
        <f aca="false">IFERROR(INDEX(Hoje!$K$10:$K$29,MATCH(ROW(),Hoje!$J$10:$J$29,0)),"")</f>
        <v/>
      </c>
      <c r="AT21" s="47" t="n">
        <f aca="false">IF($Q21&lt;&gt;"",$Q21,$AS21)</f>
        <v>46266</v>
      </c>
    </row>
    <row r="22" customFormat="false" ht="16.5" hidden="false" customHeight="true" outlineLevel="0" collapsed="false">
      <c r="A22" s="39" t="n">
        <f aca="false">IF($F22="","",ROW())</f>
        <v>22</v>
      </c>
      <c r="B22" s="40" t="str">
        <f aca="false">IF($F22="",IF($D22="","","Falta a atividade"),IF($R22="Cancelada","Cancelada",IF($AB22=1,IF(N($Z22)&gt;0,"Concluída com atraso","Concluída"),IF($R22="Em programação","Em programação",IF($O22="",IF($M22="","Na carteira","Falta a semana"),IF($AC22=1,"VENCIDA",IF($O22&gt;Hoje!$L$1,"Programada",IF($P22&gt;Hoje!$L$1,"Em execução","Fecha hoje"))))))))</f>
        <v>Concluída</v>
      </c>
      <c r="C22" s="41" t="s">
        <v>133</v>
      </c>
      <c r="D22" s="42" t="s">
        <v>134</v>
      </c>
      <c r="E22" s="42" t="s">
        <v>135</v>
      </c>
      <c r="F22" s="42" t="s">
        <v>136</v>
      </c>
      <c r="G22" s="43" t="s">
        <v>135</v>
      </c>
      <c r="H22" s="43" t="s">
        <v>100</v>
      </c>
      <c r="I22" s="44" t="s">
        <v>106</v>
      </c>
      <c r="J22" s="44" t="s">
        <v>107</v>
      </c>
      <c r="K22" s="44"/>
      <c r="L22" s="45" t="n">
        <v>36</v>
      </c>
      <c r="M22" s="46" t="s">
        <v>108</v>
      </c>
      <c r="N22" s="45" t="n">
        <v>3</v>
      </c>
      <c r="O22" s="47" t="n">
        <f aca="false">IF(OR($L22="",$M22=""),"",(DATE(Semana!$J$3,1,4)-WEEKDAY(DATE(Semana!$J$3,1,4),3))+($L22-1)*7+MATCH($M22,Listas!$F$5:$F$11,0)-1)</f>
        <v>46265</v>
      </c>
      <c r="P22" s="47" t="n">
        <f aca="false">IF(OR($F22="",$O22=""),"",$O22+MAX(0,ROUNDUP($AK22*MAX(1,IF($N22="",1,$N22))/MAX(1,$AL22),0)-1))</f>
        <v>46265</v>
      </c>
      <c r="Q22" s="48" t="n">
        <v>46262</v>
      </c>
      <c r="R22" s="43"/>
      <c r="S22" s="49" t="n">
        <v>35</v>
      </c>
      <c r="T22" s="42" t="s">
        <v>137</v>
      </c>
      <c r="U22" s="42" t="s">
        <v>138</v>
      </c>
      <c r="V22" s="39" t="str">
        <f aca="false">IF($F22="","",IF(ISNUMBER(SEARCH("(externo)",$I22&amp;$J22&amp;$K22)),"Terceirizada","Interna"))</f>
        <v>Interna</v>
      </c>
      <c r="W22" s="47" t="n">
        <f aca="false">IF($O22="","",IF($S22="",$O22,(DATE(Semana!$J$3,1,4)-WEEKDAY(DATE(Semana!$J$3,1,4),3))+($S22-1)*7+IF($M22="",0,MATCH($M22,Listas!$F$5:$F$11,0)-1)))</f>
        <v>46258</v>
      </c>
      <c r="X22" s="39" t="n">
        <f aca="false">IF($F22="","",IF(OR($AT22="",$O22=""),0,IF($AT22&lt;=$O22,1,0)))</f>
        <v>1</v>
      </c>
      <c r="Y22" s="39" t="n">
        <f aca="false">IF($F22="","",IF(OR($AT22="",$W22=""),0,IF($AT22&lt;=$W22,1,0)))</f>
        <v>0</v>
      </c>
      <c r="Z22" s="39" t="n">
        <f aca="false">IF(OR($AT22="",$O22=""),"",MAX(0,$AT22-$O22))</f>
        <v>0</v>
      </c>
      <c r="AA22" s="39" t="n">
        <f aca="false">IF($F22="","",IF(AND($S22&lt;&gt;"",$L22&lt;&gt;"",$S22&lt;&gt;$L22),1,0))</f>
        <v>1</v>
      </c>
      <c r="AB22" s="39" t="n">
        <f aca="false">IF($F22="","",IF($R22="Cancelada",0,IF(OR($AT22&lt;&gt;"",$R22="Concluída"),1,0)))</f>
        <v>1</v>
      </c>
      <c r="AC22" s="39" t="n">
        <f aca="false">IF($P22="",0,IF($P22&lt;Hoje!$L$1,1,IF(AND($P22=Hoje!$L$1,Hoje!$L$2&gt;Semana!$M$3),1,0)))</f>
        <v>1</v>
      </c>
      <c r="AD22" s="39" t="n">
        <f aca="false">IF($F22="","",IF(COUNTA($I22:$K22)=0,0,1/COUNTA($I22:$K22)))</f>
        <v>0.5</v>
      </c>
      <c r="AE22" s="39" t="str">
        <f aca="false">IF($AH22=0,"",SUM($AH$4:$AH22))</f>
        <v/>
      </c>
      <c r="AF22" s="39" t="str">
        <f aca="false">IF($AI22=0,"",SUM($AI$4:$AI22))</f>
        <v/>
      </c>
      <c r="AG22" s="50" t="str">
        <f aca="false">IF($F22="","",$I22&amp;IF($J22="",""," · "&amp;$J22)&amp;IF($K22="",""," · "&amp;$K22))</f>
        <v>Adilton · Gabriel</v>
      </c>
      <c r="AH22" s="39" t="n">
        <f aca="false">IF(AND($F22&lt;&gt;"",$O22&lt;&gt;"",$O22&lt;=Hoje!$C$3,$P22&gt;=Hoje!$C$3,$R22&lt;&gt;"Cancelada"),1,0)</f>
        <v>0</v>
      </c>
      <c r="AI22" s="39" t="n">
        <f aca="false">IF(AND($F22&lt;&gt;"",$P22&lt;&gt;"",$P22&lt;Hoje!$C$3,$AB22=0,$R22&lt;&gt;"Cancelada"),1,0)</f>
        <v>0</v>
      </c>
      <c r="AJ22" s="50" t="str">
        <f aca="false">IF($F22="","",$D22&amp;"|"&amp;$E22&amp;"|"&amp;$L22)</f>
        <v>F-331|Preventiva|36</v>
      </c>
      <c r="AK22" s="39" t="n">
        <f aca="false">IF($AJ22="","",COUNTIF($AJ$4:$AJ22,$AJ22))</f>
        <v>1</v>
      </c>
      <c r="AL22" s="39" t="n">
        <f aca="false">IF($AJ22="","",COUNTIF($AJ$4:$AJ$1004,$AJ22))</f>
        <v>16</v>
      </c>
      <c r="AM22" s="42"/>
      <c r="AN22" s="50" t="str">
        <f aca="false">IF($D22="","",IFERROR(T(VLOOKUP($D22,Listas!$B$5:$H$120,7,0)),""))</f>
        <v/>
      </c>
      <c r="AO22" s="50" t="str">
        <f aca="false">IF(OR($F22="",$L22&lt;&gt;"",$R22="Cancelada",$AT22&lt;&gt;""),"",$AN22&amp;"|"&amp;$D22&amp;"|"&amp;IF($C22="","zzz",$C22)&amp;"|"&amp;TEXT(22,"0000"))</f>
        <v/>
      </c>
      <c r="AP22" s="50" t="str">
        <f aca="false">IF($AO22="","",COUNTIF($AO$5:$AO$1004,"&lt;"&amp;$AO22)-(ROWS($AO$5:$AO$1004)-Hoje!$L$5)+1)</f>
        <v/>
      </c>
      <c r="AQ22" s="50" t="n">
        <f aca="false">IF(AND($F22&lt;&gt;"",$D22=Frota!$C$3),1,0)</f>
        <v>0</v>
      </c>
      <c r="AR22" s="50" t="str">
        <f aca="false">IF($AQ22=0,"",SUM($AQ$4:$AQ22))</f>
        <v/>
      </c>
      <c r="AS22" s="50" t="str">
        <f aca="false">IFERROR(INDEX(Hoje!$K$10:$K$29,MATCH(ROW(),Hoje!$J$10:$J$29,0)),"")</f>
        <v/>
      </c>
      <c r="AT22" s="47" t="n">
        <f aca="false">IF($Q22&lt;&gt;"",$Q22,$AS22)</f>
        <v>46262</v>
      </c>
    </row>
    <row r="23" customFormat="false" ht="16.5" hidden="false" customHeight="true" outlineLevel="0" collapsed="false">
      <c r="A23" s="39" t="n">
        <f aca="false">IF($F23="","",ROW())</f>
        <v>23</v>
      </c>
      <c r="B23" s="40" t="str">
        <f aca="false">IF($F23="",IF($D23="","","Falta a atividade"),IF($R23="Cancelada","Cancelada",IF($AB23=1,IF(N($Z23)&gt;0,"Concluída com atraso","Concluída"),IF($R23="Em programação","Em programação",IF($O23="",IF($M23="","Na carteira","Falta a semana"),IF($AC23=1,"VENCIDA",IF($O23&gt;Hoje!$L$1,"Programada",IF($P23&gt;Hoje!$L$1,"Em execução","Fecha hoje"))))))))</f>
        <v>Concluída</v>
      </c>
      <c r="C23" s="41" t="s">
        <v>133</v>
      </c>
      <c r="D23" s="42" t="s">
        <v>134</v>
      </c>
      <c r="E23" s="42" t="s">
        <v>135</v>
      </c>
      <c r="F23" s="42" t="s">
        <v>139</v>
      </c>
      <c r="G23" s="43" t="s">
        <v>135</v>
      </c>
      <c r="H23" s="43" t="s">
        <v>100</v>
      </c>
      <c r="I23" s="44" t="s">
        <v>106</v>
      </c>
      <c r="J23" s="44" t="s">
        <v>107</v>
      </c>
      <c r="K23" s="44"/>
      <c r="L23" s="45" t="n">
        <v>36</v>
      </c>
      <c r="M23" s="46" t="s">
        <v>108</v>
      </c>
      <c r="N23" s="45" t="n">
        <v>3</v>
      </c>
      <c r="O23" s="47" t="n">
        <f aca="false">IF(OR($L23="",$M23=""),"",(DATE(Semana!$J$3,1,4)-WEEKDAY(DATE(Semana!$J$3,1,4),3))+($L23-1)*7+MATCH($M23,Listas!$F$5:$F$11,0)-1)</f>
        <v>46265</v>
      </c>
      <c r="P23" s="47" t="n">
        <f aca="false">IF(OR($F23="",$O23=""),"",$O23+MAX(0,ROUNDUP($AK23*MAX(1,IF($N23="",1,$N23))/MAX(1,$AL23),0)-1))</f>
        <v>46265</v>
      </c>
      <c r="Q23" s="48" t="n">
        <v>46265</v>
      </c>
      <c r="R23" s="43" t="s">
        <v>85</v>
      </c>
      <c r="S23" s="49" t="n">
        <v>35</v>
      </c>
      <c r="T23" s="42"/>
      <c r="U23" s="42" t="s">
        <v>140</v>
      </c>
      <c r="V23" s="39" t="str">
        <f aca="false">IF($F23="","",IF(ISNUMBER(SEARCH("(externo)",$I23&amp;$J23&amp;$K23)),"Terceirizada","Interna"))</f>
        <v>Interna</v>
      </c>
      <c r="W23" s="47" t="n">
        <f aca="false">IF($O23="","",IF($S23="",$O23,(DATE(Semana!$J$3,1,4)-WEEKDAY(DATE(Semana!$J$3,1,4),3))+($S23-1)*7+IF($M23="",0,MATCH($M23,Listas!$F$5:$F$11,0)-1)))</f>
        <v>46258</v>
      </c>
      <c r="X23" s="39" t="n">
        <f aca="false">IF($F23="","",IF(OR($AT23="",$O23=""),0,IF($AT23&lt;=$O23,1,0)))</f>
        <v>1</v>
      </c>
      <c r="Y23" s="39" t="n">
        <f aca="false">IF($F23="","",IF(OR($AT23="",$W23=""),0,IF($AT23&lt;=$W23,1,0)))</f>
        <v>0</v>
      </c>
      <c r="Z23" s="39" t="n">
        <f aca="false">IF(OR($AT23="",$O23=""),"",MAX(0,$AT23-$O23))</f>
        <v>0</v>
      </c>
      <c r="AA23" s="39" t="n">
        <f aca="false">IF($F23="","",IF(AND($S23&lt;&gt;"",$L23&lt;&gt;"",$S23&lt;&gt;$L23),1,0))</f>
        <v>1</v>
      </c>
      <c r="AB23" s="39" t="n">
        <f aca="false">IF($F23="","",IF($R23="Cancelada",0,IF(OR($AT23&lt;&gt;"",$R23="Concluída"),1,0)))</f>
        <v>1</v>
      </c>
      <c r="AC23" s="39" t="n">
        <f aca="false">IF($P23="",0,IF($P23&lt;Hoje!$L$1,1,IF(AND($P23=Hoje!$L$1,Hoje!$L$2&gt;Semana!$M$3),1,0)))</f>
        <v>1</v>
      </c>
      <c r="AD23" s="39" t="n">
        <f aca="false">IF($F23="","",IF(COUNTA($I23:$K23)=0,0,1/COUNTA($I23:$K23)))</f>
        <v>0.5</v>
      </c>
      <c r="AE23" s="39" t="str">
        <f aca="false">IF($AH23=0,"",SUM($AH$4:$AH23))</f>
        <v/>
      </c>
      <c r="AF23" s="39" t="str">
        <f aca="false">IF($AI23=0,"",SUM($AI$4:$AI23))</f>
        <v/>
      </c>
      <c r="AG23" s="50" t="str">
        <f aca="false">IF($F23="","",$I23&amp;IF($J23="",""," · "&amp;$J23)&amp;IF($K23="",""," · "&amp;$K23))</f>
        <v>Adilton · Gabriel</v>
      </c>
      <c r="AH23" s="39" t="n">
        <f aca="false">IF(AND($F23&lt;&gt;"",$O23&lt;&gt;"",$O23&lt;=Hoje!$C$3,$P23&gt;=Hoje!$C$3,$R23&lt;&gt;"Cancelada"),1,0)</f>
        <v>0</v>
      </c>
      <c r="AI23" s="39" t="n">
        <f aca="false">IF(AND($F23&lt;&gt;"",$P23&lt;&gt;"",$P23&lt;Hoje!$C$3,$AB23=0,$R23&lt;&gt;"Cancelada"),1,0)</f>
        <v>0</v>
      </c>
      <c r="AJ23" s="50" t="str">
        <f aca="false">IF($F23="","",$D23&amp;"|"&amp;$E23&amp;"|"&amp;$L23)</f>
        <v>F-331|Preventiva|36</v>
      </c>
      <c r="AK23" s="39" t="n">
        <f aca="false">IF($AJ23="","",COUNTIF($AJ$4:$AJ23,$AJ23))</f>
        <v>2</v>
      </c>
      <c r="AL23" s="39" t="n">
        <f aca="false">IF($AJ23="","",COUNTIF($AJ$4:$AJ$1004,$AJ23))</f>
        <v>16</v>
      </c>
      <c r="AM23" s="42"/>
      <c r="AN23" s="50" t="str">
        <f aca="false">IF($D23="","",IFERROR(T(VLOOKUP($D23,Listas!$B$5:$H$120,7,0)),""))</f>
        <v/>
      </c>
      <c r="AO23" s="50" t="str">
        <f aca="false">IF(OR($F23="",$L23&lt;&gt;"",$R23="Cancelada",$AT23&lt;&gt;""),"",$AN23&amp;"|"&amp;$D23&amp;"|"&amp;IF($C23="","zzz",$C23)&amp;"|"&amp;TEXT(23,"0000"))</f>
        <v/>
      </c>
      <c r="AP23" s="50" t="str">
        <f aca="false">IF($AO23="","",COUNTIF($AO$5:$AO$1004,"&lt;"&amp;$AO23)-(ROWS($AO$5:$AO$1004)-Hoje!$L$5)+1)</f>
        <v/>
      </c>
      <c r="AQ23" s="50" t="n">
        <f aca="false">IF(AND($F23&lt;&gt;"",$D23=Frota!$C$3),1,0)</f>
        <v>0</v>
      </c>
      <c r="AR23" s="50" t="str">
        <f aca="false">IF($AQ23=0,"",SUM($AQ$4:$AQ23))</f>
        <v/>
      </c>
      <c r="AS23" s="50" t="str">
        <f aca="false">IFERROR(INDEX(Hoje!$K$10:$K$29,MATCH(ROW(),Hoje!$J$10:$J$29,0)),"")</f>
        <v/>
      </c>
      <c r="AT23" s="47" t="n">
        <f aca="false">IF($Q23&lt;&gt;"",$Q23,$AS23)</f>
        <v>46265</v>
      </c>
    </row>
    <row r="24" customFormat="false" ht="16.5" hidden="false" customHeight="true" outlineLevel="0" collapsed="false">
      <c r="A24" s="39" t="n">
        <f aca="false">IF($F24="","",ROW())</f>
        <v>24</v>
      </c>
      <c r="B24" s="40" t="str">
        <f aca="false">IF($F24="",IF($D24="","","Falta a atividade"),IF($R24="Cancelada","Cancelada",IF($AB24=1,IF(N($Z24)&gt;0,"Concluída com atraso","Concluída"),IF($R24="Em programação","Em programação",IF($O24="",IF($M24="","Na carteira","Falta a semana"),IF($AC24=1,"VENCIDA",IF($O24&gt;Hoje!$L$1,"Programada",IF($P24&gt;Hoje!$L$1,"Em execução","Fecha hoje"))))))))</f>
        <v>Concluída</v>
      </c>
      <c r="C24" s="41" t="s">
        <v>133</v>
      </c>
      <c r="D24" s="42" t="s">
        <v>134</v>
      </c>
      <c r="E24" s="42" t="s">
        <v>135</v>
      </c>
      <c r="F24" s="42" t="s">
        <v>141</v>
      </c>
      <c r="G24" s="43" t="s">
        <v>135</v>
      </c>
      <c r="H24" s="43" t="s">
        <v>100</v>
      </c>
      <c r="I24" s="44" t="s">
        <v>106</v>
      </c>
      <c r="J24" s="44" t="s">
        <v>107</v>
      </c>
      <c r="K24" s="44"/>
      <c r="L24" s="45" t="n">
        <v>35</v>
      </c>
      <c r="M24" s="46" t="s">
        <v>142</v>
      </c>
      <c r="N24" s="45" t="n">
        <v>2</v>
      </c>
      <c r="O24" s="47" t="n">
        <f aca="false">IF(OR($L24="",$M24=""),"",(DATE(Semana!$J$3,1,4)-WEEKDAY(DATE(Semana!$J$3,1,4),3))+($L24-1)*7+MATCH($M24,Listas!$F$5:$F$11,0)-1)</f>
        <v>46262</v>
      </c>
      <c r="P24" s="47" t="n">
        <f aca="false">IF(OR($F24="",$O24=""),"",$O24+MAX(0,ROUNDUP($AK24*MAX(1,IF($N24="",1,$N24))/MAX(1,$AL24),0)-1))</f>
        <v>46263</v>
      </c>
      <c r="Q24" s="48" t="n">
        <v>46262</v>
      </c>
      <c r="R24" s="43"/>
      <c r="S24" s="49"/>
      <c r="T24" s="42"/>
      <c r="U24" s="42" t="s">
        <v>143</v>
      </c>
      <c r="V24" s="39" t="str">
        <f aca="false">IF($F24="","",IF(ISNUMBER(SEARCH("(externo)",$I24&amp;$J24&amp;$K24)),"Terceirizada","Interna"))</f>
        <v>Interna</v>
      </c>
      <c r="W24" s="47" t="n">
        <f aca="false">IF($O24="","",IF($S24="",$O24,(DATE(Semana!$J$3,1,4)-WEEKDAY(DATE(Semana!$J$3,1,4),3))+($S24-1)*7+IF($M24="",0,MATCH($M24,Listas!$F$5:$F$11,0)-1)))</f>
        <v>46262</v>
      </c>
      <c r="X24" s="39" t="n">
        <f aca="false">IF($F24="","",IF(OR($AT24="",$O24=""),0,IF($AT24&lt;=$O24,1,0)))</f>
        <v>1</v>
      </c>
      <c r="Y24" s="39" t="n">
        <f aca="false">IF($F24="","",IF(OR($AT24="",$W24=""),0,IF($AT24&lt;=$W24,1,0)))</f>
        <v>1</v>
      </c>
      <c r="Z24" s="39" t="n">
        <f aca="false">IF(OR($AT24="",$O24=""),"",MAX(0,$AT24-$O24))</f>
        <v>0</v>
      </c>
      <c r="AA24" s="39" t="n">
        <f aca="false">IF($F24="","",IF(AND($S24&lt;&gt;"",$L24&lt;&gt;"",$S24&lt;&gt;$L24),1,0))</f>
        <v>0</v>
      </c>
      <c r="AB24" s="39" t="n">
        <f aca="false">IF($F24="","",IF($R24="Cancelada",0,IF(OR($AT24&lt;&gt;"",$R24="Concluída"),1,0)))</f>
        <v>1</v>
      </c>
      <c r="AC24" s="39" t="n">
        <f aca="false">IF($P24="",0,IF($P24&lt;Hoje!$L$1,1,IF(AND($P24=Hoje!$L$1,Hoje!$L$2&gt;Semana!$M$3),1,0)))</f>
        <v>1</v>
      </c>
      <c r="AD24" s="39" t="n">
        <f aca="false">IF($F24="","",IF(COUNTA($I24:$K24)=0,0,1/COUNTA($I24:$K24)))</f>
        <v>0.5</v>
      </c>
      <c r="AE24" s="39" t="str">
        <f aca="false">IF($AH24=0,"",SUM($AH$4:$AH24))</f>
        <v/>
      </c>
      <c r="AF24" s="39" t="str">
        <f aca="false">IF($AI24=0,"",SUM($AI$4:$AI24))</f>
        <v/>
      </c>
      <c r="AG24" s="50" t="str">
        <f aca="false">IF($F24="","",$I24&amp;IF($J24="",""," · "&amp;$J24)&amp;IF($K24="",""," · "&amp;$K24))</f>
        <v>Adilton · Gabriel</v>
      </c>
      <c r="AH24" s="39" t="n">
        <f aca="false">IF(AND($F24&lt;&gt;"",$O24&lt;&gt;"",$O24&lt;=Hoje!$C$3,$P24&gt;=Hoje!$C$3,$R24&lt;&gt;"Cancelada"),1,0)</f>
        <v>0</v>
      </c>
      <c r="AI24" s="39" t="n">
        <f aca="false">IF(AND($F24&lt;&gt;"",$P24&lt;&gt;"",$P24&lt;Hoje!$C$3,$AB24=0,$R24&lt;&gt;"Cancelada"),1,0)</f>
        <v>0</v>
      </c>
      <c r="AJ24" s="50" t="str">
        <f aca="false">IF($F24="","",$D24&amp;"|"&amp;$E24&amp;"|"&amp;$L24)</f>
        <v>F-331|Preventiva|35</v>
      </c>
      <c r="AK24" s="39" t="n">
        <f aca="false">IF($AJ24="","",COUNTIF($AJ$4:$AJ24,$AJ24))</f>
        <v>1</v>
      </c>
      <c r="AL24" s="39" t="n">
        <f aca="false">IF($AJ24="","",COUNTIF($AJ$4:$AJ$1004,$AJ24))</f>
        <v>1</v>
      </c>
      <c r="AM24" s="42"/>
      <c r="AN24" s="50" t="str">
        <f aca="false">IF($D24="","",IFERROR(T(VLOOKUP($D24,Listas!$B$5:$H$120,7,0)),""))</f>
        <v/>
      </c>
      <c r="AO24" s="50" t="str">
        <f aca="false">IF(OR($F24="",$L24&lt;&gt;"",$R24="Cancelada",$AT24&lt;&gt;""),"",$AN24&amp;"|"&amp;$D24&amp;"|"&amp;IF($C24="","zzz",$C24)&amp;"|"&amp;TEXT(24,"0000"))</f>
        <v/>
      </c>
      <c r="AP24" s="50" t="str">
        <f aca="false">IF($AO24="","",COUNTIF($AO$5:$AO$1004,"&lt;"&amp;$AO24)-(ROWS($AO$5:$AO$1004)-Hoje!$L$5)+1)</f>
        <v/>
      </c>
      <c r="AQ24" s="50" t="n">
        <f aca="false">IF(AND($F24&lt;&gt;"",$D24=Frota!$C$3),1,0)</f>
        <v>0</v>
      </c>
      <c r="AR24" s="50" t="str">
        <f aca="false">IF($AQ24=0,"",SUM($AQ$4:$AQ24))</f>
        <v/>
      </c>
      <c r="AS24" s="50" t="str">
        <f aca="false">IFERROR(INDEX(Hoje!$K$10:$K$29,MATCH(ROW(),Hoje!$J$10:$J$29,0)),"")</f>
        <v/>
      </c>
      <c r="AT24" s="47" t="n">
        <f aca="false">IF($Q24&lt;&gt;"",$Q24,$AS24)</f>
        <v>46262</v>
      </c>
    </row>
    <row r="25" customFormat="false" ht="16.5" hidden="false" customHeight="true" outlineLevel="0" collapsed="false">
      <c r="A25" s="39" t="n">
        <f aca="false">IF($F25="","",ROW())</f>
        <v>25</v>
      </c>
      <c r="B25" s="40" t="str">
        <f aca="false">IF($F25="",IF($D25="","","Falta a atividade"),IF($R25="Cancelada","Cancelada",IF($AB25=1,IF(N($Z25)&gt;0,"Concluída com atraso","Concluída"),IF($R25="Em programação","Em programação",IF($O25="",IF($M25="","Na carteira","Falta a semana"),IF($AC25=1,"VENCIDA",IF($O25&gt;Hoje!$L$1,"Programada",IF($P25&gt;Hoje!$L$1,"Em execução","Fecha hoje"))))))))</f>
        <v>Concluída</v>
      </c>
      <c r="C25" s="41" t="s">
        <v>133</v>
      </c>
      <c r="D25" s="42" t="s">
        <v>134</v>
      </c>
      <c r="E25" s="42" t="s">
        <v>135</v>
      </c>
      <c r="F25" s="42" t="s">
        <v>144</v>
      </c>
      <c r="G25" s="43" t="s">
        <v>135</v>
      </c>
      <c r="H25" s="43" t="s">
        <v>100</v>
      </c>
      <c r="I25" s="44" t="s">
        <v>106</v>
      </c>
      <c r="J25" s="44" t="s">
        <v>107</v>
      </c>
      <c r="K25" s="44"/>
      <c r="L25" s="45" t="n">
        <v>36</v>
      </c>
      <c r="M25" s="46" t="s">
        <v>108</v>
      </c>
      <c r="N25" s="45" t="n">
        <v>3</v>
      </c>
      <c r="O25" s="47" t="n">
        <f aca="false">IF(OR($L25="",$M25=""),"",(DATE(Semana!$J$3,1,4)-WEEKDAY(DATE(Semana!$J$3,1,4),3))+($L25-1)*7+MATCH($M25,Listas!$F$5:$F$11,0)-1)</f>
        <v>46265</v>
      </c>
      <c r="P25" s="47" t="n">
        <f aca="false">IF(OR($F25="",$O25=""),"",$O25+MAX(0,ROUNDUP($AK25*MAX(1,IF($N25="",1,$N25))/MAX(1,$AL25),0)-1))</f>
        <v>46265</v>
      </c>
      <c r="Q25" s="48" t="n">
        <v>46265</v>
      </c>
      <c r="R25" s="43" t="s">
        <v>85</v>
      </c>
      <c r="S25" s="49" t="n">
        <v>35</v>
      </c>
      <c r="T25" s="42"/>
      <c r="U25" s="42" t="s">
        <v>140</v>
      </c>
      <c r="V25" s="39" t="str">
        <f aca="false">IF($F25="","",IF(ISNUMBER(SEARCH("(externo)",$I25&amp;$J25&amp;$K25)),"Terceirizada","Interna"))</f>
        <v>Interna</v>
      </c>
      <c r="W25" s="47" t="n">
        <f aca="false">IF($O25="","",IF($S25="",$O25,(DATE(Semana!$J$3,1,4)-WEEKDAY(DATE(Semana!$J$3,1,4),3))+($S25-1)*7+IF($M25="",0,MATCH($M25,Listas!$F$5:$F$11,0)-1)))</f>
        <v>46258</v>
      </c>
      <c r="X25" s="39" t="n">
        <f aca="false">IF($F25="","",IF(OR($AT25="",$O25=""),0,IF($AT25&lt;=$O25,1,0)))</f>
        <v>1</v>
      </c>
      <c r="Y25" s="39" t="n">
        <f aca="false">IF($F25="","",IF(OR($AT25="",$W25=""),0,IF($AT25&lt;=$W25,1,0)))</f>
        <v>0</v>
      </c>
      <c r="Z25" s="39" t="n">
        <f aca="false">IF(OR($AT25="",$O25=""),"",MAX(0,$AT25-$O25))</f>
        <v>0</v>
      </c>
      <c r="AA25" s="39" t="n">
        <f aca="false">IF($F25="","",IF(AND($S25&lt;&gt;"",$L25&lt;&gt;"",$S25&lt;&gt;$L25),1,0))</f>
        <v>1</v>
      </c>
      <c r="AB25" s="39" t="n">
        <f aca="false">IF($F25="","",IF($R25="Cancelada",0,IF(OR($AT25&lt;&gt;"",$R25="Concluída"),1,0)))</f>
        <v>1</v>
      </c>
      <c r="AC25" s="39" t="n">
        <f aca="false">IF($P25="",0,IF($P25&lt;Hoje!$L$1,1,IF(AND($P25=Hoje!$L$1,Hoje!$L$2&gt;Semana!$M$3),1,0)))</f>
        <v>1</v>
      </c>
      <c r="AD25" s="39" t="n">
        <f aca="false">IF($F25="","",IF(COUNTA($I25:$K25)=0,0,1/COUNTA($I25:$K25)))</f>
        <v>0.5</v>
      </c>
      <c r="AE25" s="39" t="str">
        <f aca="false">IF($AH25=0,"",SUM($AH$4:$AH25))</f>
        <v/>
      </c>
      <c r="AF25" s="39" t="str">
        <f aca="false">IF($AI25=0,"",SUM($AI$4:$AI25))</f>
        <v/>
      </c>
      <c r="AG25" s="50" t="str">
        <f aca="false">IF($F25="","",$I25&amp;IF($J25="",""," · "&amp;$J25)&amp;IF($K25="",""," · "&amp;$K25))</f>
        <v>Adilton · Gabriel</v>
      </c>
      <c r="AH25" s="39" t="n">
        <f aca="false">IF(AND($F25&lt;&gt;"",$O25&lt;&gt;"",$O25&lt;=Hoje!$C$3,$P25&gt;=Hoje!$C$3,$R25&lt;&gt;"Cancelada"),1,0)</f>
        <v>0</v>
      </c>
      <c r="AI25" s="39" t="n">
        <f aca="false">IF(AND($F25&lt;&gt;"",$P25&lt;&gt;"",$P25&lt;Hoje!$C$3,$AB25=0,$R25&lt;&gt;"Cancelada"),1,0)</f>
        <v>0</v>
      </c>
      <c r="AJ25" s="50" t="str">
        <f aca="false">IF($F25="","",$D25&amp;"|"&amp;$E25&amp;"|"&amp;$L25)</f>
        <v>F-331|Preventiva|36</v>
      </c>
      <c r="AK25" s="39" t="n">
        <f aca="false">IF($AJ25="","",COUNTIF($AJ$4:$AJ25,$AJ25))</f>
        <v>3</v>
      </c>
      <c r="AL25" s="39" t="n">
        <f aca="false">IF($AJ25="","",COUNTIF($AJ$4:$AJ$1004,$AJ25))</f>
        <v>16</v>
      </c>
      <c r="AM25" s="42"/>
      <c r="AN25" s="50" t="str">
        <f aca="false">IF($D25="","",IFERROR(T(VLOOKUP($D25,Listas!$B$5:$H$120,7,0)),""))</f>
        <v/>
      </c>
      <c r="AO25" s="50" t="str">
        <f aca="false">IF(OR($F25="",$L25&lt;&gt;"",$R25="Cancelada",$AT25&lt;&gt;""),"",$AN25&amp;"|"&amp;$D25&amp;"|"&amp;IF($C25="","zzz",$C25)&amp;"|"&amp;TEXT(25,"0000"))</f>
        <v/>
      </c>
      <c r="AP25" s="50" t="str">
        <f aca="false">IF($AO25="","",COUNTIF($AO$5:$AO$1004,"&lt;"&amp;$AO25)-(ROWS($AO$5:$AO$1004)-Hoje!$L$5)+1)</f>
        <v/>
      </c>
      <c r="AQ25" s="50" t="n">
        <f aca="false">IF(AND($F25&lt;&gt;"",$D25=Frota!$C$3),1,0)</f>
        <v>0</v>
      </c>
      <c r="AR25" s="50" t="str">
        <f aca="false">IF($AQ25=0,"",SUM($AQ$4:$AQ25))</f>
        <v/>
      </c>
      <c r="AS25" s="50" t="str">
        <f aca="false">IFERROR(INDEX(Hoje!$K$10:$K$29,MATCH(ROW(),Hoje!$J$10:$J$29,0)),"")</f>
        <v/>
      </c>
      <c r="AT25" s="47" t="n">
        <f aca="false">IF($Q25&lt;&gt;"",$Q25,$AS25)</f>
        <v>46265</v>
      </c>
    </row>
    <row r="26" customFormat="false" ht="16.5" hidden="false" customHeight="true" outlineLevel="0" collapsed="false">
      <c r="A26" s="39" t="n">
        <f aca="false">IF($F26="","",ROW())</f>
        <v>26</v>
      </c>
      <c r="B26" s="40" t="str">
        <f aca="false">IF($F26="",IF($D26="","","Falta a atividade"),IF($R26="Cancelada","Cancelada",IF($AB26=1,IF(N($Z26)&gt;0,"Concluída com atraso","Concluída"),IF($R26="Em programação","Em programação",IF($O26="",IF($M26="","Na carteira","Falta a semana"),IF($AC26=1,"VENCIDA",IF($O26&gt;Hoje!$L$1,"Programada",IF($P26&gt;Hoje!$L$1,"Em execução","Fecha hoje"))))))))</f>
        <v>Concluída</v>
      </c>
      <c r="C26" s="41" t="s">
        <v>133</v>
      </c>
      <c r="D26" s="42" t="s">
        <v>134</v>
      </c>
      <c r="E26" s="42" t="s">
        <v>135</v>
      </c>
      <c r="F26" s="42" t="s">
        <v>145</v>
      </c>
      <c r="G26" s="43" t="s">
        <v>135</v>
      </c>
      <c r="H26" s="43" t="s">
        <v>100</v>
      </c>
      <c r="I26" s="44" t="s">
        <v>106</v>
      </c>
      <c r="J26" s="44" t="s">
        <v>107</v>
      </c>
      <c r="K26" s="44"/>
      <c r="L26" s="45" t="n">
        <v>36</v>
      </c>
      <c r="M26" s="46" t="s">
        <v>108</v>
      </c>
      <c r="N26" s="45" t="n">
        <v>3</v>
      </c>
      <c r="O26" s="47" t="n">
        <f aca="false">IF(OR($L26="",$M26=""),"",(DATE(Semana!$J$3,1,4)-WEEKDAY(DATE(Semana!$J$3,1,4),3))+($L26-1)*7+MATCH($M26,Listas!$F$5:$F$11,0)-1)</f>
        <v>46265</v>
      </c>
      <c r="P26" s="47" t="n">
        <f aca="false">IF(OR($F26="",$O26=""),"",$O26+MAX(0,ROUNDUP($AK26*MAX(1,IF($N26="",1,$N26))/MAX(1,$AL26),0)-1))</f>
        <v>46265</v>
      </c>
      <c r="Q26" s="48" t="n">
        <v>46265</v>
      </c>
      <c r="R26" s="43" t="s">
        <v>85</v>
      </c>
      <c r="S26" s="49" t="n">
        <v>35</v>
      </c>
      <c r="T26" s="42" t="s">
        <v>137</v>
      </c>
      <c r="U26" s="42" t="s">
        <v>146</v>
      </c>
      <c r="V26" s="39" t="str">
        <f aca="false">IF($F26="","",IF(ISNUMBER(SEARCH("(externo)",$I26&amp;$J26&amp;$K26)),"Terceirizada","Interna"))</f>
        <v>Interna</v>
      </c>
      <c r="W26" s="47" t="n">
        <f aca="false">IF($O26="","",IF($S26="",$O26,(DATE(Semana!$J$3,1,4)-WEEKDAY(DATE(Semana!$J$3,1,4),3))+($S26-1)*7+IF($M26="",0,MATCH($M26,Listas!$F$5:$F$11,0)-1)))</f>
        <v>46258</v>
      </c>
      <c r="X26" s="39" t="n">
        <f aca="false">IF($F26="","",IF(OR($AT26="",$O26=""),0,IF($AT26&lt;=$O26,1,0)))</f>
        <v>1</v>
      </c>
      <c r="Y26" s="39" t="n">
        <f aca="false">IF($F26="","",IF(OR($AT26="",$W26=""),0,IF($AT26&lt;=$W26,1,0)))</f>
        <v>0</v>
      </c>
      <c r="Z26" s="39" t="n">
        <f aca="false">IF(OR($AT26="",$O26=""),"",MAX(0,$AT26-$O26))</f>
        <v>0</v>
      </c>
      <c r="AA26" s="39" t="n">
        <f aca="false">IF($F26="","",IF(AND($S26&lt;&gt;"",$L26&lt;&gt;"",$S26&lt;&gt;$L26),1,0))</f>
        <v>1</v>
      </c>
      <c r="AB26" s="39" t="n">
        <f aca="false">IF($F26="","",IF($R26="Cancelada",0,IF(OR($AT26&lt;&gt;"",$R26="Concluída"),1,0)))</f>
        <v>1</v>
      </c>
      <c r="AC26" s="39" t="n">
        <f aca="false">IF($P26="",0,IF($P26&lt;Hoje!$L$1,1,IF(AND($P26=Hoje!$L$1,Hoje!$L$2&gt;Semana!$M$3),1,0)))</f>
        <v>1</v>
      </c>
      <c r="AD26" s="39" t="n">
        <f aca="false">IF($F26="","",IF(COUNTA($I26:$K26)=0,0,1/COUNTA($I26:$K26)))</f>
        <v>0.5</v>
      </c>
      <c r="AE26" s="39" t="str">
        <f aca="false">IF($AH26=0,"",SUM($AH$4:$AH26))</f>
        <v/>
      </c>
      <c r="AF26" s="39" t="str">
        <f aca="false">IF($AI26=0,"",SUM($AI$4:$AI26))</f>
        <v/>
      </c>
      <c r="AG26" s="50" t="str">
        <f aca="false">IF($F26="","",$I26&amp;IF($J26="",""," · "&amp;$J26)&amp;IF($K26="",""," · "&amp;$K26))</f>
        <v>Adilton · Gabriel</v>
      </c>
      <c r="AH26" s="39" t="n">
        <f aca="false">IF(AND($F26&lt;&gt;"",$O26&lt;&gt;"",$O26&lt;=Hoje!$C$3,$P26&gt;=Hoje!$C$3,$R26&lt;&gt;"Cancelada"),1,0)</f>
        <v>0</v>
      </c>
      <c r="AI26" s="39" t="n">
        <f aca="false">IF(AND($F26&lt;&gt;"",$P26&lt;&gt;"",$P26&lt;Hoje!$C$3,$AB26=0,$R26&lt;&gt;"Cancelada"),1,0)</f>
        <v>0</v>
      </c>
      <c r="AJ26" s="50" t="str">
        <f aca="false">IF($F26="","",$D26&amp;"|"&amp;$E26&amp;"|"&amp;$L26)</f>
        <v>F-331|Preventiva|36</v>
      </c>
      <c r="AK26" s="39" t="n">
        <f aca="false">IF($AJ26="","",COUNTIF($AJ$4:$AJ26,$AJ26))</f>
        <v>4</v>
      </c>
      <c r="AL26" s="39" t="n">
        <f aca="false">IF($AJ26="","",COUNTIF($AJ$4:$AJ$1004,$AJ26))</f>
        <v>16</v>
      </c>
      <c r="AM26" s="42"/>
      <c r="AN26" s="50" t="str">
        <f aca="false">IF($D26="","",IFERROR(T(VLOOKUP($D26,Listas!$B$5:$H$120,7,0)),""))</f>
        <v/>
      </c>
      <c r="AO26" s="50" t="str">
        <f aca="false">IF(OR($F26="",$L26&lt;&gt;"",$R26="Cancelada",$AT26&lt;&gt;""),"",$AN26&amp;"|"&amp;$D26&amp;"|"&amp;IF($C26="","zzz",$C26)&amp;"|"&amp;TEXT(26,"0000"))</f>
        <v/>
      </c>
      <c r="AP26" s="50" t="str">
        <f aca="false">IF($AO26="","",COUNTIF($AO$5:$AO$1004,"&lt;"&amp;$AO26)-(ROWS($AO$5:$AO$1004)-Hoje!$L$5)+1)</f>
        <v/>
      </c>
      <c r="AQ26" s="50" t="n">
        <f aca="false">IF(AND($F26&lt;&gt;"",$D26=Frota!$C$3),1,0)</f>
        <v>0</v>
      </c>
      <c r="AR26" s="50" t="str">
        <f aca="false">IF($AQ26=0,"",SUM($AQ$4:$AQ26))</f>
        <v/>
      </c>
      <c r="AS26" s="50" t="str">
        <f aca="false">IFERROR(INDEX(Hoje!$K$10:$K$29,MATCH(ROW(),Hoje!$J$10:$J$29,0)),"")</f>
        <v/>
      </c>
      <c r="AT26" s="47" t="n">
        <f aca="false">IF($Q26&lt;&gt;"",$Q26,$AS26)</f>
        <v>46265</v>
      </c>
    </row>
    <row r="27" customFormat="false" ht="16.5" hidden="false" customHeight="true" outlineLevel="0" collapsed="false">
      <c r="A27" s="39" t="n">
        <f aca="false">IF($F27="","",ROW())</f>
        <v>27</v>
      </c>
      <c r="B27" s="40" t="str">
        <f aca="false">IF($F27="",IF($D27="","","Falta a atividade"),IF($R27="Cancelada","Cancelada",IF($AB27=1,IF(N($Z27)&gt;0,"Concluída com atraso","Concluída"),IF($R27="Em programação","Em programação",IF($O27="",IF($M27="","Na carteira","Falta a semana"),IF($AC27=1,"VENCIDA",IF($O27&gt;Hoje!$L$1,"Programada",IF($P27&gt;Hoje!$L$1,"Em execução","Fecha hoje"))))))))</f>
        <v>Concluída</v>
      </c>
      <c r="C27" s="41" t="s">
        <v>133</v>
      </c>
      <c r="D27" s="42" t="s">
        <v>134</v>
      </c>
      <c r="E27" s="42" t="s">
        <v>135</v>
      </c>
      <c r="F27" s="42" t="s">
        <v>147</v>
      </c>
      <c r="G27" s="43" t="s">
        <v>135</v>
      </c>
      <c r="H27" s="43" t="s">
        <v>100</v>
      </c>
      <c r="I27" s="44" t="s">
        <v>106</v>
      </c>
      <c r="J27" s="44" t="s">
        <v>107</v>
      </c>
      <c r="K27" s="44"/>
      <c r="L27" s="45" t="n">
        <v>36</v>
      </c>
      <c r="M27" s="46" t="s">
        <v>108</v>
      </c>
      <c r="N27" s="45" t="n">
        <v>3</v>
      </c>
      <c r="O27" s="47" t="n">
        <f aca="false">IF(OR($L27="",$M27=""),"",(DATE(Semana!$J$3,1,4)-WEEKDAY(DATE(Semana!$J$3,1,4),3))+($L27-1)*7+MATCH($M27,Listas!$F$5:$F$11,0)-1)</f>
        <v>46265</v>
      </c>
      <c r="P27" s="47" t="n">
        <f aca="false">IF(OR($F27="",$O27=""),"",$O27+MAX(0,ROUNDUP($AK27*MAX(1,IF($N27="",1,$N27))/MAX(1,$AL27),0)-1))</f>
        <v>46265</v>
      </c>
      <c r="Q27" s="48" t="n">
        <v>46262</v>
      </c>
      <c r="R27" s="43"/>
      <c r="S27" s="49" t="n">
        <v>35</v>
      </c>
      <c r="T27" s="42" t="s">
        <v>137</v>
      </c>
      <c r="U27" s="42" t="s">
        <v>140</v>
      </c>
      <c r="V27" s="39" t="str">
        <f aca="false">IF($F27="","",IF(ISNUMBER(SEARCH("(externo)",$I27&amp;$J27&amp;$K27)),"Terceirizada","Interna"))</f>
        <v>Interna</v>
      </c>
      <c r="W27" s="47" t="n">
        <f aca="false">IF($O27="","",IF($S27="",$O27,(DATE(Semana!$J$3,1,4)-WEEKDAY(DATE(Semana!$J$3,1,4),3))+($S27-1)*7+IF($M27="",0,MATCH($M27,Listas!$F$5:$F$11,0)-1)))</f>
        <v>46258</v>
      </c>
      <c r="X27" s="39" t="n">
        <f aca="false">IF($F27="","",IF(OR($AT27="",$O27=""),0,IF($AT27&lt;=$O27,1,0)))</f>
        <v>1</v>
      </c>
      <c r="Y27" s="39" t="n">
        <f aca="false">IF($F27="","",IF(OR($AT27="",$W27=""),0,IF($AT27&lt;=$W27,1,0)))</f>
        <v>0</v>
      </c>
      <c r="Z27" s="39" t="n">
        <f aca="false">IF(OR($AT27="",$O27=""),"",MAX(0,$AT27-$O27))</f>
        <v>0</v>
      </c>
      <c r="AA27" s="39" t="n">
        <f aca="false">IF($F27="","",IF(AND($S27&lt;&gt;"",$L27&lt;&gt;"",$S27&lt;&gt;$L27),1,0))</f>
        <v>1</v>
      </c>
      <c r="AB27" s="39" t="n">
        <f aca="false">IF($F27="","",IF($R27="Cancelada",0,IF(OR($AT27&lt;&gt;"",$R27="Concluída"),1,0)))</f>
        <v>1</v>
      </c>
      <c r="AC27" s="39" t="n">
        <f aca="false">IF($P27="",0,IF($P27&lt;Hoje!$L$1,1,IF(AND($P27=Hoje!$L$1,Hoje!$L$2&gt;Semana!$M$3),1,0)))</f>
        <v>1</v>
      </c>
      <c r="AD27" s="39" t="n">
        <f aca="false">IF($F27="","",IF(COUNTA($I27:$K27)=0,0,1/COUNTA($I27:$K27)))</f>
        <v>0.5</v>
      </c>
      <c r="AE27" s="39" t="str">
        <f aca="false">IF($AH27=0,"",SUM($AH$4:$AH27))</f>
        <v/>
      </c>
      <c r="AF27" s="39" t="str">
        <f aca="false">IF($AI27=0,"",SUM($AI$4:$AI27))</f>
        <v/>
      </c>
      <c r="AG27" s="50" t="str">
        <f aca="false">IF($F27="","",$I27&amp;IF($J27="",""," · "&amp;$J27)&amp;IF($K27="",""," · "&amp;$K27))</f>
        <v>Adilton · Gabriel</v>
      </c>
      <c r="AH27" s="39" t="n">
        <f aca="false">IF(AND($F27&lt;&gt;"",$O27&lt;&gt;"",$O27&lt;=Hoje!$C$3,$P27&gt;=Hoje!$C$3,$R27&lt;&gt;"Cancelada"),1,0)</f>
        <v>0</v>
      </c>
      <c r="AI27" s="39" t="n">
        <f aca="false">IF(AND($F27&lt;&gt;"",$P27&lt;&gt;"",$P27&lt;Hoje!$C$3,$AB27=0,$R27&lt;&gt;"Cancelada"),1,0)</f>
        <v>0</v>
      </c>
      <c r="AJ27" s="50" t="str">
        <f aca="false">IF($F27="","",$D27&amp;"|"&amp;$E27&amp;"|"&amp;$L27)</f>
        <v>F-331|Preventiva|36</v>
      </c>
      <c r="AK27" s="39" t="n">
        <f aca="false">IF($AJ27="","",COUNTIF($AJ$4:$AJ27,$AJ27))</f>
        <v>5</v>
      </c>
      <c r="AL27" s="39" t="n">
        <f aca="false">IF($AJ27="","",COUNTIF($AJ$4:$AJ$1004,$AJ27))</f>
        <v>16</v>
      </c>
      <c r="AM27" s="42"/>
      <c r="AN27" s="50" t="str">
        <f aca="false">IF($D27="","",IFERROR(T(VLOOKUP($D27,Listas!$B$5:$H$120,7,0)),""))</f>
        <v/>
      </c>
      <c r="AO27" s="50" t="str">
        <f aca="false">IF(OR($F27="",$L27&lt;&gt;"",$R27="Cancelada",$AT27&lt;&gt;""),"",$AN27&amp;"|"&amp;$D27&amp;"|"&amp;IF($C27="","zzz",$C27)&amp;"|"&amp;TEXT(27,"0000"))</f>
        <v/>
      </c>
      <c r="AP27" s="50" t="str">
        <f aca="false">IF($AO27="","",COUNTIF($AO$5:$AO$1004,"&lt;"&amp;$AO27)-(ROWS($AO$5:$AO$1004)-Hoje!$L$5)+1)</f>
        <v/>
      </c>
      <c r="AQ27" s="50" t="n">
        <f aca="false">IF(AND($F27&lt;&gt;"",$D27=Frota!$C$3),1,0)</f>
        <v>0</v>
      </c>
      <c r="AR27" s="50" t="str">
        <f aca="false">IF($AQ27=0,"",SUM($AQ$4:$AQ27))</f>
        <v/>
      </c>
      <c r="AS27" s="50" t="str">
        <f aca="false">IFERROR(INDEX(Hoje!$K$10:$K$29,MATCH(ROW(),Hoje!$J$10:$J$29,0)),"")</f>
        <v/>
      </c>
      <c r="AT27" s="47" t="n">
        <f aca="false">IF($Q27&lt;&gt;"",$Q27,$AS27)</f>
        <v>46262</v>
      </c>
    </row>
    <row r="28" customFormat="false" ht="16.5" hidden="false" customHeight="true" outlineLevel="0" collapsed="false">
      <c r="A28" s="39" t="n">
        <f aca="false">IF($F28="","",ROW())</f>
        <v>28</v>
      </c>
      <c r="B28" s="40" t="str">
        <f aca="false">IF($F28="",IF($D28="","","Falta a atividade"),IF($R28="Cancelada","Cancelada",IF($AB28=1,IF(N($Z28)&gt;0,"Concluída com atraso","Concluída"),IF($R28="Em programação","Em programação",IF($O28="",IF($M28="","Na carteira","Falta a semana"),IF($AC28=1,"VENCIDA",IF($O28&gt;Hoje!$L$1,"Programada",IF($P28&gt;Hoje!$L$1,"Em execução","Fecha hoje"))))))))</f>
        <v>Concluída</v>
      </c>
      <c r="C28" s="41" t="s">
        <v>133</v>
      </c>
      <c r="D28" s="42" t="s">
        <v>134</v>
      </c>
      <c r="E28" s="42" t="s">
        <v>135</v>
      </c>
      <c r="F28" s="42" t="s">
        <v>148</v>
      </c>
      <c r="G28" s="43" t="s">
        <v>135</v>
      </c>
      <c r="H28" s="43" t="s">
        <v>100</v>
      </c>
      <c r="I28" s="44" t="s">
        <v>106</v>
      </c>
      <c r="J28" s="44" t="s">
        <v>107</v>
      </c>
      <c r="K28" s="44"/>
      <c r="L28" s="45" t="n">
        <v>36</v>
      </c>
      <c r="M28" s="46" t="s">
        <v>108</v>
      </c>
      <c r="N28" s="45" t="n">
        <v>3</v>
      </c>
      <c r="O28" s="47" t="n">
        <f aca="false">IF(OR($L28="",$M28=""),"",(DATE(Semana!$J$3,1,4)-WEEKDAY(DATE(Semana!$J$3,1,4),3))+($L28-1)*7+MATCH($M28,Listas!$F$5:$F$11,0)-1)</f>
        <v>46265</v>
      </c>
      <c r="P28" s="47" t="n">
        <f aca="false">IF(OR($F28="",$O28=""),"",$O28+MAX(0,ROUNDUP($AK28*MAX(1,IF($N28="",1,$N28))/MAX(1,$AL28),0)-1))</f>
        <v>46266</v>
      </c>
      <c r="Q28" s="48" t="n">
        <v>46262</v>
      </c>
      <c r="R28" s="43"/>
      <c r="S28" s="49" t="n">
        <v>35</v>
      </c>
      <c r="T28" s="42" t="s">
        <v>137</v>
      </c>
      <c r="U28" s="42" t="s">
        <v>140</v>
      </c>
      <c r="V28" s="39" t="str">
        <f aca="false">IF($F28="","",IF(ISNUMBER(SEARCH("(externo)",$I28&amp;$J28&amp;$K28)),"Terceirizada","Interna"))</f>
        <v>Interna</v>
      </c>
      <c r="W28" s="47" t="n">
        <f aca="false">IF($O28="","",IF($S28="",$O28,(DATE(Semana!$J$3,1,4)-WEEKDAY(DATE(Semana!$J$3,1,4),3))+($S28-1)*7+IF($M28="",0,MATCH($M28,Listas!$F$5:$F$11,0)-1)))</f>
        <v>46258</v>
      </c>
      <c r="X28" s="39" t="n">
        <f aca="false">IF($F28="","",IF(OR($AT28="",$O28=""),0,IF($AT28&lt;=$O28,1,0)))</f>
        <v>1</v>
      </c>
      <c r="Y28" s="39" t="n">
        <f aca="false">IF($F28="","",IF(OR($AT28="",$W28=""),0,IF($AT28&lt;=$W28,1,0)))</f>
        <v>0</v>
      </c>
      <c r="Z28" s="39" t="n">
        <f aca="false">IF(OR($AT28="",$O28=""),"",MAX(0,$AT28-$O28))</f>
        <v>0</v>
      </c>
      <c r="AA28" s="39" t="n">
        <f aca="false">IF($F28="","",IF(AND($S28&lt;&gt;"",$L28&lt;&gt;"",$S28&lt;&gt;$L28),1,0))</f>
        <v>1</v>
      </c>
      <c r="AB28" s="39" t="n">
        <f aca="false">IF($F28="","",IF($R28="Cancelada",0,IF(OR($AT28&lt;&gt;"",$R28="Concluída"),1,0)))</f>
        <v>1</v>
      </c>
      <c r="AC28" s="39" t="n">
        <f aca="false">IF($P28="",0,IF($P28&lt;Hoje!$L$1,1,IF(AND($P28=Hoje!$L$1,Hoje!$L$2&gt;Semana!$M$3),1,0)))</f>
        <v>1</v>
      </c>
      <c r="AD28" s="39" t="n">
        <f aca="false">IF($F28="","",IF(COUNTA($I28:$K28)=0,0,1/COUNTA($I28:$K28)))</f>
        <v>0.5</v>
      </c>
      <c r="AE28" s="39" t="str">
        <f aca="false">IF($AH28=0,"",SUM($AH$4:$AH28))</f>
        <v/>
      </c>
      <c r="AF28" s="39" t="str">
        <f aca="false">IF($AI28=0,"",SUM($AI$4:$AI28))</f>
        <v/>
      </c>
      <c r="AG28" s="50" t="str">
        <f aca="false">IF($F28="","",$I28&amp;IF($J28="",""," · "&amp;$J28)&amp;IF($K28="",""," · "&amp;$K28))</f>
        <v>Adilton · Gabriel</v>
      </c>
      <c r="AH28" s="39" t="n">
        <f aca="false">IF(AND($F28&lt;&gt;"",$O28&lt;&gt;"",$O28&lt;=Hoje!$C$3,$P28&gt;=Hoje!$C$3,$R28&lt;&gt;"Cancelada"),1,0)</f>
        <v>0</v>
      </c>
      <c r="AI28" s="39" t="n">
        <f aca="false">IF(AND($F28&lt;&gt;"",$P28&lt;&gt;"",$P28&lt;Hoje!$C$3,$AB28=0,$R28&lt;&gt;"Cancelada"),1,0)</f>
        <v>0</v>
      </c>
      <c r="AJ28" s="50" t="str">
        <f aca="false">IF($F28="","",$D28&amp;"|"&amp;$E28&amp;"|"&amp;$L28)</f>
        <v>F-331|Preventiva|36</v>
      </c>
      <c r="AK28" s="39" t="n">
        <f aca="false">IF($AJ28="","",COUNTIF($AJ$4:$AJ28,$AJ28))</f>
        <v>6</v>
      </c>
      <c r="AL28" s="39" t="n">
        <f aca="false">IF($AJ28="","",COUNTIF($AJ$4:$AJ$1004,$AJ28))</f>
        <v>16</v>
      </c>
      <c r="AM28" s="42"/>
      <c r="AN28" s="50" t="str">
        <f aca="false">IF($D28="","",IFERROR(T(VLOOKUP($D28,Listas!$B$5:$H$120,7,0)),""))</f>
        <v/>
      </c>
      <c r="AO28" s="50" t="str">
        <f aca="false">IF(OR($F28="",$L28&lt;&gt;"",$R28="Cancelada",$AT28&lt;&gt;""),"",$AN28&amp;"|"&amp;$D28&amp;"|"&amp;IF($C28="","zzz",$C28)&amp;"|"&amp;TEXT(28,"0000"))</f>
        <v/>
      </c>
      <c r="AP28" s="50" t="str">
        <f aca="false">IF($AO28="","",COUNTIF($AO$5:$AO$1004,"&lt;"&amp;$AO28)-(ROWS($AO$5:$AO$1004)-Hoje!$L$5)+1)</f>
        <v/>
      </c>
      <c r="AQ28" s="50" t="n">
        <f aca="false">IF(AND($F28&lt;&gt;"",$D28=Frota!$C$3),1,0)</f>
        <v>0</v>
      </c>
      <c r="AR28" s="50" t="str">
        <f aca="false">IF($AQ28=0,"",SUM($AQ$4:$AQ28))</f>
        <v/>
      </c>
      <c r="AS28" s="50" t="str">
        <f aca="false">IFERROR(INDEX(Hoje!$K$10:$K$29,MATCH(ROW(),Hoje!$J$10:$J$29,0)),"")</f>
        <v/>
      </c>
      <c r="AT28" s="47" t="n">
        <f aca="false">IF($Q28&lt;&gt;"",$Q28,$AS28)</f>
        <v>46262</v>
      </c>
    </row>
    <row r="29" customFormat="false" ht="16.5" hidden="false" customHeight="true" outlineLevel="0" collapsed="false">
      <c r="A29" s="39" t="n">
        <f aca="false">IF($F29="","",ROW())</f>
        <v>29</v>
      </c>
      <c r="B29" s="40" t="str">
        <f aca="false">IF($F29="",IF($D29="","","Falta a atividade"),IF($R29="Cancelada","Cancelada",IF($AB29=1,IF(N($Z29)&gt;0,"Concluída com atraso","Concluída"),IF($R29="Em programação","Em programação",IF($O29="",IF($M29="","Na carteira","Falta a semana"),IF($AC29=1,"VENCIDA",IF($O29&gt;Hoje!$L$1,"Programada",IF($P29&gt;Hoje!$L$1,"Em execução","Fecha hoje"))))))))</f>
        <v>Concluída</v>
      </c>
      <c r="C29" s="41" t="s">
        <v>149</v>
      </c>
      <c r="D29" s="42" t="s">
        <v>134</v>
      </c>
      <c r="E29" s="42" t="s">
        <v>135</v>
      </c>
      <c r="F29" s="42" t="s">
        <v>150</v>
      </c>
      <c r="G29" s="43" t="s">
        <v>135</v>
      </c>
      <c r="H29" s="43" t="s">
        <v>100</v>
      </c>
      <c r="I29" s="44" t="s">
        <v>106</v>
      </c>
      <c r="J29" s="44" t="s">
        <v>107</v>
      </c>
      <c r="K29" s="44"/>
      <c r="L29" s="45" t="n">
        <v>36</v>
      </c>
      <c r="M29" s="46" t="s">
        <v>108</v>
      </c>
      <c r="N29" s="45" t="n">
        <v>3</v>
      </c>
      <c r="O29" s="47" t="n">
        <f aca="false">IF(OR($L29="",$M29=""),"",(DATE(Semana!$J$3,1,4)-WEEKDAY(DATE(Semana!$J$3,1,4),3))+($L29-1)*7+MATCH($M29,Listas!$F$5:$F$11,0)-1)</f>
        <v>46265</v>
      </c>
      <c r="P29" s="47" t="n">
        <f aca="false">IF(OR($F29="",$O29=""),"",$O29+MAX(0,ROUNDUP($AK29*MAX(1,IF($N29="",1,$N29))/MAX(1,$AL29),0)-1))</f>
        <v>46266</v>
      </c>
      <c r="Q29" s="48" t="n">
        <v>46265</v>
      </c>
      <c r="R29" s="43" t="s">
        <v>85</v>
      </c>
      <c r="S29" s="49" t="n">
        <v>35</v>
      </c>
      <c r="T29" s="42"/>
      <c r="U29" s="42" t="s">
        <v>151</v>
      </c>
      <c r="V29" s="39" t="str">
        <f aca="false">IF($F29="","",IF(ISNUMBER(SEARCH("(externo)",$I29&amp;$J29&amp;$K29)),"Terceirizada","Interna"))</f>
        <v>Interna</v>
      </c>
      <c r="W29" s="47" t="n">
        <f aca="false">IF($O29="","",IF($S29="",$O29,(DATE(Semana!$J$3,1,4)-WEEKDAY(DATE(Semana!$J$3,1,4),3))+($S29-1)*7+IF($M29="",0,MATCH($M29,Listas!$F$5:$F$11,0)-1)))</f>
        <v>46258</v>
      </c>
      <c r="X29" s="39" t="n">
        <f aca="false">IF($F29="","",IF(OR($AT29="",$O29=""),0,IF($AT29&lt;=$O29,1,0)))</f>
        <v>1</v>
      </c>
      <c r="Y29" s="39" t="n">
        <f aca="false">IF($F29="","",IF(OR($AT29="",$W29=""),0,IF($AT29&lt;=$W29,1,0)))</f>
        <v>0</v>
      </c>
      <c r="Z29" s="39" t="n">
        <f aca="false">IF(OR($AT29="",$O29=""),"",MAX(0,$AT29-$O29))</f>
        <v>0</v>
      </c>
      <c r="AA29" s="39" t="n">
        <f aca="false">IF($F29="","",IF(AND($S29&lt;&gt;"",$L29&lt;&gt;"",$S29&lt;&gt;$L29),1,0))</f>
        <v>1</v>
      </c>
      <c r="AB29" s="39" t="n">
        <f aca="false">IF($F29="","",IF($R29="Cancelada",0,IF(OR($AT29&lt;&gt;"",$R29="Concluída"),1,0)))</f>
        <v>1</v>
      </c>
      <c r="AC29" s="39" t="n">
        <f aca="false">IF($P29="",0,IF($P29&lt;Hoje!$L$1,1,IF(AND($P29=Hoje!$L$1,Hoje!$L$2&gt;Semana!$M$3),1,0)))</f>
        <v>1</v>
      </c>
      <c r="AD29" s="39" t="n">
        <f aca="false">IF($F29="","",IF(COUNTA($I29:$K29)=0,0,1/COUNTA($I29:$K29)))</f>
        <v>0.5</v>
      </c>
      <c r="AE29" s="39" t="str">
        <f aca="false">IF($AH29=0,"",SUM($AH$4:$AH29))</f>
        <v/>
      </c>
      <c r="AF29" s="39" t="str">
        <f aca="false">IF($AI29=0,"",SUM($AI$4:$AI29))</f>
        <v/>
      </c>
      <c r="AG29" s="50" t="str">
        <f aca="false">IF($F29="","",$I29&amp;IF($J29="",""," · "&amp;$J29)&amp;IF($K29="",""," · "&amp;$K29))</f>
        <v>Adilton · Gabriel</v>
      </c>
      <c r="AH29" s="39" t="n">
        <f aca="false">IF(AND($F29&lt;&gt;"",$O29&lt;&gt;"",$O29&lt;=Hoje!$C$3,$P29&gt;=Hoje!$C$3,$R29&lt;&gt;"Cancelada"),1,0)</f>
        <v>0</v>
      </c>
      <c r="AI29" s="39" t="n">
        <f aca="false">IF(AND($F29&lt;&gt;"",$P29&lt;&gt;"",$P29&lt;Hoje!$C$3,$AB29=0,$R29&lt;&gt;"Cancelada"),1,0)</f>
        <v>0</v>
      </c>
      <c r="AJ29" s="50" t="str">
        <f aca="false">IF($F29="","",$D29&amp;"|"&amp;$E29&amp;"|"&amp;$L29)</f>
        <v>F-331|Preventiva|36</v>
      </c>
      <c r="AK29" s="39" t="n">
        <f aca="false">IF($AJ29="","",COUNTIF($AJ$4:$AJ29,$AJ29))</f>
        <v>7</v>
      </c>
      <c r="AL29" s="39" t="n">
        <f aca="false">IF($AJ29="","",COUNTIF($AJ$4:$AJ$1004,$AJ29))</f>
        <v>16</v>
      </c>
      <c r="AM29" s="42"/>
      <c r="AN29" s="50" t="str">
        <f aca="false">IF($D29="","",IFERROR(T(VLOOKUP($D29,Listas!$B$5:$H$120,7,0)),""))</f>
        <v/>
      </c>
      <c r="AO29" s="50" t="str">
        <f aca="false">IF(OR($F29="",$L29&lt;&gt;"",$R29="Cancelada",$AT29&lt;&gt;""),"",$AN29&amp;"|"&amp;$D29&amp;"|"&amp;IF($C29="","zzz",$C29)&amp;"|"&amp;TEXT(29,"0000"))</f>
        <v/>
      </c>
      <c r="AP29" s="50" t="str">
        <f aca="false">IF($AO29="","",COUNTIF($AO$5:$AO$1004,"&lt;"&amp;$AO29)-(ROWS($AO$5:$AO$1004)-Hoje!$L$5)+1)</f>
        <v/>
      </c>
      <c r="AQ29" s="50" t="n">
        <f aca="false">IF(AND($F29&lt;&gt;"",$D29=Frota!$C$3),1,0)</f>
        <v>0</v>
      </c>
      <c r="AR29" s="50" t="str">
        <f aca="false">IF($AQ29=0,"",SUM($AQ$4:$AQ29))</f>
        <v/>
      </c>
      <c r="AS29" s="50" t="str">
        <f aca="false">IFERROR(INDEX(Hoje!$K$10:$K$29,MATCH(ROW(),Hoje!$J$10:$J$29,0)),"")</f>
        <v/>
      </c>
      <c r="AT29" s="47" t="n">
        <f aca="false">IF($Q29&lt;&gt;"",$Q29,$AS29)</f>
        <v>46265</v>
      </c>
    </row>
    <row r="30" customFormat="false" ht="16.5" hidden="false" customHeight="true" outlineLevel="0" collapsed="false">
      <c r="A30" s="39" t="n">
        <f aca="false">IF($F30="","",ROW())</f>
        <v>30</v>
      </c>
      <c r="B30" s="40" t="str">
        <f aca="false">IF($F30="",IF($D30="","","Falta a atividade"),IF($R30="Cancelada","Cancelada",IF($AB30=1,IF(N($Z30)&gt;0,"Concluída com atraso","Concluída"),IF($R30="Em programação","Em programação",IF($O30="",IF($M30="","Na carteira","Falta a semana"),IF($AC30=1,"VENCIDA",IF($O30&gt;Hoje!$L$1,"Programada",IF($P30&gt;Hoje!$L$1,"Em execução","Fecha hoje"))))))))</f>
        <v>Concluída</v>
      </c>
      <c r="C30" s="41" t="s">
        <v>149</v>
      </c>
      <c r="D30" s="42" t="s">
        <v>134</v>
      </c>
      <c r="E30" s="42" t="s">
        <v>135</v>
      </c>
      <c r="F30" s="42" t="s">
        <v>152</v>
      </c>
      <c r="G30" s="43" t="s">
        <v>135</v>
      </c>
      <c r="H30" s="43" t="s">
        <v>100</v>
      </c>
      <c r="I30" s="44" t="s">
        <v>106</v>
      </c>
      <c r="J30" s="44" t="s">
        <v>107</v>
      </c>
      <c r="K30" s="44"/>
      <c r="L30" s="45" t="n">
        <v>36</v>
      </c>
      <c r="M30" s="46" t="s">
        <v>108</v>
      </c>
      <c r="N30" s="45" t="n">
        <v>3</v>
      </c>
      <c r="O30" s="47" t="n">
        <f aca="false">IF(OR($L30="",$M30=""),"",(DATE(Semana!$J$3,1,4)-WEEKDAY(DATE(Semana!$J$3,1,4),3))+($L30-1)*7+MATCH($M30,Listas!$F$5:$F$11,0)-1)</f>
        <v>46265</v>
      </c>
      <c r="P30" s="47" t="n">
        <f aca="false">IF(OR($F30="",$O30=""),"",$O30+MAX(0,ROUNDUP($AK30*MAX(1,IF($N30="",1,$N30))/MAX(1,$AL30),0)-1))</f>
        <v>46266</v>
      </c>
      <c r="Q30" s="48" t="n">
        <v>46265</v>
      </c>
      <c r="R30" s="43" t="s">
        <v>85</v>
      </c>
      <c r="S30" s="49" t="n">
        <v>35</v>
      </c>
      <c r="T30" s="42"/>
      <c r="U30" s="42" t="s">
        <v>153</v>
      </c>
      <c r="V30" s="39" t="str">
        <f aca="false">IF($F30="","",IF(ISNUMBER(SEARCH("(externo)",$I30&amp;$J30&amp;$K30)),"Terceirizada","Interna"))</f>
        <v>Interna</v>
      </c>
      <c r="W30" s="47" t="n">
        <f aca="false">IF($O30="","",IF($S30="",$O30,(DATE(Semana!$J$3,1,4)-WEEKDAY(DATE(Semana!$J$3,1,4),3))+($S30-1)*7+IF($M30="",0,MATCH($M30,Listas!$F$5:$F$11,0)-1)))</f>
        <v>46258</v>
      </c>
      <c r="X30" s="39" t="n">
        <f aca="false">IF($F30="","",IF(OR($AT30="",$O30=""),0,IF($AT30&lt;=$O30,1,0)))</f>
        <v>1</v>
      </c>
      <c r="Y30" s="39" t="n">
        <f aca="false">IF($F30="","",IF(OR($AT30="",$W30=""),0,IF($AT30&lt;=$W30,1,0)))</f>
        <v>0</v>
      </c>
      <c r="Z30" s="39" t="n">
        <f aca="false">IF(OR($AT30="",$O30=""),"",MAX(0,$AT30-$O30))</f>
        <v>0</v>
      </c>
      <c r="AA30" s="39" t="n">
        <f aca="false">IF($F30="","",IF(AND($S30&lt;&gt;"",$L30&lt;&gt;"",$S30&lt;&gt;$L30),1,0))</f>
        <v>1</v>
      </c>
      <c r="AB30" s="39" t="n">
        <f aca="false">IF($F30="","",IF($R30="Cancelada",0,IF(OR($AT30&lt;&gt;"",$R30="Concluída"),1,0)))</f>
        <v>1</v>
      </c>
      <c r="AC30" s="39" t="n">
        <f aca="false">IF($P30="",0,IF($P30&lt;Hoje!$L$1,1,IF(AND($P30=Hoje!$L$1,Hoje!$L$2&gt;Semana!$M$3),1,0)))</f>
        <v>1</v>
      </c>
      <c r="AD30" s="39" t="n">
        <f aca="false">IF($F30="","",IF(COUNTA($I30:$K30)=0,0,1/COUNTA($I30:$K30)))</f>
        <v>0.5</v>
      </c>
      <c r="AE30" s="39" t="str">
        <f aca="false">IF($AH30=0,"",SUM($AH$4:$AH30))</f>
        <v/>
      </c>
      <c r="AF30" s="39" t="str">
        <f aca="false">IF($AI30=0,"",SUM($AI$4:$AI30))</f>
        <v/>
      </c>
      <c r="AG30" s="50" t="str">
        <f aca="false">IF($F30="","",$I30&amp;IF($J30="",""," · "&amp;$J30)&amp;IF($K30="",""," · "&amp;$K30))</f>
        <v>Adilton · Gabriel</v>
      </c>
      <c r="AH30" s="39" t="n">
        <f aca="false">IF(AND($F30&lt;&gt;"",$O30&lt;&gt;"",$O30&lt;=Hoje!$C$3,$P30&gt;=Hoje!$C$3,$R30&lt;&gt;"Cancelada"),1,0)</f>
        <v>0</v>
      </c>
      <c r="AI30" s="39" t="n">
        <f aca="false">IF(AND($F30&lt;&gt;"",$P30&lt;&gt;"",$P30&lt;Hoje!$C$3,$AB30=0,$R30&lt;&gt;"Cancelada"),1,0)</f>
        <v>0</v>
      </c>
      <c r="AJ30" s="50" t="str">
        <f aca="false">IF($F30="","",$D30&amp;"|"&amp;$E30&amp;"|"&amp;$L30)</f>
        <v>F-331|Preventiva|36</v>
      </c>
      <c r="AK30" s="39" t="n">
        <f aca="false">IF($AJ30="","",COUNTIF($AJ$4:$AJ30,$AJ30))</f>
        <v>8</v>
      </c>
      <c r="AL30" s="39" t="n">
        <f aca="false">IF($AJ30="","",COUNTIF($AJ$4:$AJ$1004,$AJ30))</f>
        <v>16</v>
      </c>
      <c r="AM30" s="42"/>
      <c r="AN30" s="50" t="str">
        <f aca="false">IF($D30="","",IFERROR(T(VLOOKUP($D30,Listas!$B$5:$H$120,7,0)),""))</f>
        <v/>
      </c>
      <c r="AO30" s="50" t="str">
        <f aca="false">IF(OR($F30="",$L30&lt;&gt;"",$R30="Cancelada",$AT30&lt;&gt;""),"",$AN30&amp;"|"&amp;$D30&amp;"|"&amp;IF($C30="","zzz",$C30)&amp;"|"&amp;TEXT(30,"0000"))</f>
        <v/>
      </c>
      <c r="AP30" s="50" t="str">
        <f aca="false">IF($AO30="","",COUNTIF($AO$5:$AO$1004,"&lt;"&amp;$AO30)-(ROWS($AO$5:$AO$1004)-Hoje!$L$5)+1)</f>
        <v/>
      </c>
      <c r="AQ30" s="50" t="n">
        <f aca="false">IF(AND($F30&lt;&gt;"",$D30=Frota!$C$3),1,0)</f>
        <v>0</v>
      </c>
      <c r="AR30" s="50" t="str">
        <f aca="false">IF($AQ30=0,"",SUM($AQ$4:$AQ30))</f>
        <v/>
      </c>
      <c r="AS30" s="50" t="str">
        <f aca="false">IFERROR(INDEX(Hoje!$K$10:$K$29,MATCH(ROW(),Hoje!$J$10:$J$29,0)),"")</f>
        <v/>
      </c>
      <c r="AT30" s="47" t="n">
        <f aca="false">IF($Q30&lt;&gt;"",$Q30,$AS30)</f>
        <v>46265</v>
      </c>
    </row>
    <row r="31" customFormat="false" ht="16.5" hidden="false" customHeight="true" outlineLevel="0" collapsed="false">
      <c r="A31" s="39" t="n">
        <f aca="false">IF($F31="","",ROW())</f>
        <v>31</v>
      </c>
      <c r="B31" s="40" t="str">
        <f aca="false">IF($F31="",IF($D31="","","Falta a atividade"),IF($R31="Cancelada","Cancelada",IF($AB31=1,IF(N($Z31)&gt;0,"Concluída com atraso","Concluída"),IF($R31="Em programação","Em programação",IF($O31="",IF($M31="","Na carteira","Falta a semana"),IF($AC31=1,"VENCIDA",IF($O31&gt;Hoje!$L$1,"Programada",IF($P31&gt;Hoje!$L$1,"Em execução","Fecha hoje"))))))))</f>
        <v>Concluída</v>
      </c>
      <c r="C31" s="41" t="s">
        <v>149</v>
      </c>
      <c r="D31" s="42" t="s">
        <v>134</v>
      </c>
      <c r="E31" s="42" t="s">
        <v>135</v>
      </c>
      <c r="F31" s="42" t="s">
        <v>154</v>
      </c>
      <c r="G31" s="43" t="s">
        <v>135</v>
      </c>
      <c r="H31" s="43" t="s">
        <v>100</v>
      </c>
      <c r="I31" s="44" t="s">
        <v>106</v>
      </c>
      <c r="J31" s="44" t="s">
        <v>107</v>
      </c>
      <c r="K31" s="44"/>
      <c r="L31" s="45" t="n">
        <v>36</v>
      </c>
      <c r="M31" s="46" t="s">
        <v>108</v>
      </c>
      <c r="N31" s="45" t="n">
        <v>3</v>
      </c>
      <c r="O31" s="47" t="n">
        <f aca="false">IF(OR($L31="",$M31=""),"",(DATE(Semana!$J$3,1,4)-WEEKDAY(DATE(Semana!$J$3,1,4),3))+($L31-1)*7+MATCH($M31,Listas!$F$5:$F$11,0)-1)</f>
        <v>46265</v>
      </c>
      <c r="P31" s="47" t="n">
        <f aca="false">IF(OR($F31="",$O31=""),"",$O31+MAX(0,ROUNDUP($AK31*MAX(1,IF($N31="",1,$N31))/MAX(1,$AL31),0)-1))</f>
        <v>46266</v>
      </c>
      <c r="Q31" s="48" t="n">
        <v>46265</v>
      </c>
      <c r="R31" s="43" t="s">
        <v>85</v>
      </c>
      <c r="S31" s="49" t="n">
        <v>35</v>
      </c>
      <c r="T31" s="42" t="s">
        <v>137</v>
      </c>
      <c r="U31" s="42" t="s">
        <v>140</v>
      </c>
      <c r="V31" s="39" t="str">
        <f aca="false">IF($F31="","",IF(ISNUMBER(SEARCH("(externo)",$I31&amp;$J31&amp;$K31)),"Terceirizada","Interna"))</f>
        <v>Interna</v>
      </c>
      <c r="W31" s="47" t="n">
        <f aca="false">IF($O31="","",IF($S31="",$O31,(DATE(Semana!$J$3,1,4)-WEEKDAY(DATE(Semana!$J$3,1,4),3))+($S31-1)*7+IF($M31="",0,MATCH($M31,Listas!$F$5:$F$11,0)-1)))</f>
        <v>46258</v>
      </c>
      <c r="X31" s="39" t="n">
        <f aca="false">IF($F31="","",IF(OR($AT31="",$O31=""),0,IF($AT31&lt;=$O31,1,0)))</f>
        <v>1</v>
      </c>
      <c r="Y31" s="39" t="n">
        <f aca="false">IF($F31="","",IF(OR($AT31="",$W31=""),0,IF($AT31&lt;=$W31,1,0)))</f>
        <v>0</v>
      </c>
      <c r="Z31" s="39" t="n">
        <f aca="false">IF(OR($AT31="",$O31=""),"",MAX(0,$AT31-$O31))</f>
        <v>0</v>
      </c>
      <c r="AA31" s="39" t="n">
        <f aca="false">IF($F31="","",IF(AND($S31&lt;&gt;"",$L31&lt;&gt;"",$S31&lt;&gt;$L31),1,0))</f>
        <v>1</v>
      </c>
      <c r="AB31" s="39" t="n">
        <f aca="false">IF($F31="","",IF($R31="Cancelada",0,IF(OR($AT31&lt;&gt;"",$R31="Concluída"),1,0)))</f>
        <v>1</v>
      </c>
      <c r="AC31" s="39" t="n">
        <f aca="false">IF($P31="",0,IF($P31&lt;Hoje!$L$1,1,IF(AND($P31=Hoje!$L$1,Hoje!$L$2&gt;Semana!$M$3),1,0)))</f>
        <v>1</v>
      </c>
      <c r="AD31" s="39" t="n">
        <f aca="false">IF($F31="","",IF(COUNTA($I31:$K31)=0,0,1/COUNTA($I31:$K31)))</f>
        <v>0.5</v>
      </c>
      <c r="AE31" s="39" t="str">
        <f aca="false">IF($AH31=0,"",SUM($AH$4:$AH31))</f>
        <v/>
      </c>
      <c r="AF31" s="39" t="str">
        <f aca="false">IF($AI31=0,"",SUM($AI$4:$AI31))</f>
        <v/>
      </c>
      <c r="AG31" s="50" t="str">
        <f aca="false">IF($F31="","",$I31&amp;IF($J31="",""," · "&amp;$J31)&amp;IF($K31="",""," · "&amp;$K31))</f>
        <v>Adilton · Gabriel</v>
      </c>
      <c r="AH31" s="39" t="n">
        <f aca="false">IF(AND($F31&lt;&gt;"",$O31&lt;&gt;"",$O31&lt;=Hoje!$C$3,$P31&gt;=Hoje!$C$3,$R31&lt;&gt;"Cancelada"),1,0)</f>
        <v>0</v>
      </c>
      <c r="AI31" s="39" t="n">
        <f aca="false">IF(AND($F31&lt;&gt;"",$P31&lt;&gt;"",$P31&lt;Hoje!$C$3,$AB31=0,$R31&lt;&gt;"Cancelada"),1,0)</f>
        <v>0</v>
      </c>
      <c r="AJ31" s="50" t="str">
        <f aca="false">IF($F31="","",$D31&amp;"|"&amp;$E31&amp;"|"&amp;$L31)</f>
        <v>F-331|Preventiva|36</v>
      </c>
      <c r="AK31" s="39" t="n">
        <f aca="false">IF($AJ31="","",COUNTIF($AJ$4:$AJ31,$AJ31))</f>
        <v>9</v>
      </c>
      <c r="AL31" s="39" t="n">
        <f aca="false">IF($AJ31="","",COUNTIF($AJ$4:$AJ$1004,$AJ31))</f>
        <v>16</v>
      </c>
      <c r="AM31" s="42"/>
      <c r="AN31" s="50" t="str">
        <f aca="false">IF($D31="","",IFERROR(T(VLOOKUP($D31,Listas!$B$5:$H$120,7,0)),""))</f>
        <v/>
      </c>
      <c r="AO31" s="50" t="str">
        <f aca="false">IF(OR($F31="",$L31&lt;&gt;"",$R31="Cancelada",$AT31&lt;&gt;""),"",$AN31&amp;"|"&amp;$D31&amp;"|"&amp;IF($C31="","zzz",$C31)&amp;"|"&amp;TEXT(31,"0000"))</f>
        <v/>
      </c>
      <c r="AP31" s="50" t="str">
        <f aca="false">IF($AO31="","",COUNTIF($AO$5:$AO$1004,"&lt;"&amp;$AO31)-(ROWS($AO$5:$AO$1004)-Hoje!$L$5)+1)</f>
        <v/>
      </c>
      <c r="AQ31" s="50" t="n">
        <f aca="false">IF(AND($F31&lt;&gt;"",$D31=Frota!$C$3),1,0)</f>
        <v>0</v>
      </c>
      <c r="AR31" s="50" t="str">
        <f aca="false">IF($AQ31=0,"",SUM($AQ$4:$AQ31))</f>
        <v/>
      </c>
      <c r="AS31" s="50" t="str">
        <f aca="false">IFERROR(INDEX(Hoje!$K$10:$K$29,MATCH(ROW(),Hoje!$J$10:$J$29,0)),"")</f>
        <v/>
      </c>
      <c r="AT31" s="47" t="n">
        <f aca="false">IF($Q31&lt;&gt;"",$Q31,$AS31)</f>
        <v>46265</v>
      </c>
    </row>
    <row r="32" customFormat="false" ht="16.5" hidden="false" customHeight="true" outlineLevel="0" collapsed="false">
      <c r="A32" s="39" t="n">
        <f aca="false">IF($F32="","",ROW())</f>
        <v>32</v>
      </c>
      <c r="B32" s="40" t="str">
        <f aca="false">IF($F32="",IF($D32="","","Falta a atividade"),IF($R32="Cancelada","Cancelada",IF($AB32=1,IF(N($Z32)&gt;0,"Concluída com atraso","Concluída"),IF($R32="Em programação","Em programação",IF($O32="",IF($M32="","Na carteira","Falta a semana"),IF($AC32=1,"VENCIDA",IF($O32&gt;Hoje!$L$1,"Programada",IF($P32&gt;Hoje!$L$1,"Em execução","Fecha hoje"))))))))</f>
        <v>Concluída</v>
      </c>
      <c r="C32" s="41" t="s">
        <v>133</v>
      </c>
      <c r="D32" s="42" t="s">
        <v>134</v>
      </c>
      <c r="E32" s="42" t="s">
        <v>135</v>
      </c>
      <c r="F32" s="42" t="s">
        <v>155</v>
      </c>
      <c r="G32" s="43" t="s">
        <v>135</v>
      </c>
      <c r="H32" s="43" t="s">
        <v>100</v>
      </c>
      <c r="I32" s="44" t="s">
        <v>106</v>
      </c>
      <c r="J32" s="44" t="s">
        <v>107</v>
      </c>
      <c r="K32" s="44"/>
      <c r="L32" s="45" t="n">
        <v>36</v>
      </c>
      <c r="M32" s="46" t="s">
        <v>108</v>
      </c>
      <c r="N32" s="45" t="n">
        <v>3</v>
      </c>
      <c r="O32" s="47" t="n">
        <f aca="false">IF(OR($L32="",$M32=""),"",(DATE(Semana!$J$3,1,4)-WEEKDAY(DATE(Semana!$J$3,1,4),3))+($L32-1)*7+MATCH($M32,Listas!$F$5:$F$11,0)-1)</f>
        <v>46265</v>
      </c>
      <c r="P32" s="47" t="n">
        <f aca="false">IF(OR($F32="",$O32=""),"",$O32+MAX(0,ROUNDUP($AK32*MAX(1,IF($N32="",1,$N32))/MAX(1,$AL32),0)-1))</f>
        <v>46266</v>
      </c>
      <c r="Q32" s="48" t="n">
        <v>46262</v>
      </c>
      <c r="R32" s="43"/>
      <c r="S32" s="49" t="n">
        <v>35</v>
      </c>
      <c r="T32" s="42" t="s">
        <v>137</v>
      </c>
      <c r="U32" s="42" t="s">
        <v>140</v>
      </c>
      <c r="V32" s="39" t="str">
        <f aca="false">IF($F32="","",IF(ISNUMBER(SEARCH("(externo)",$I32&amp;$J32&amp;$K32)),"Terceirizada","Interna"))</f>
        <v>Interna</v>
      </c>
      <c r="W32" s="47" t="n">
        <f aca="false">IF($O32="","",IF($S32="",$O32,(DATE(Semana!$J$3,1,4)-WEEKDAY(DATE(Semana!$J$3,1,4),3))+($S32-1)*7+IF($M32="",0,MATCH($M32,Listas!$F$5:$F$11,0)-1)))</f>
        <v>46258</v>
      </c>
      <c r="X32" s="39" t="n">
        <f aca="false">IF($F32="","",IF(OR($AT32="",$O32=""),0,IF($AT32&lt;=$O32,1,0)))</f>
        <v>1</v>
      </c>
      <c r="Y32" s="39" t="n">
        <f aca="false">IF($F32="","",IF(OR($AT32="",$W32=""),0,IF($AT32&lt;=$W32,1,0)))</f>
        <v>0</v>
      </c>
      <c r="Z32" s="39" t="n">
        <f aca="false">IF(OR($AT32="",$O32=""),"",MAX(0,$AT32-$O32))</f>
        <v>0</v>
      </c>
      <c r="AA32" s="39" t="n">
        <f aca="false">IF($F32="","",IF(AND($S32&lt;&gt;"",$L32&lt;&gt;"",$S32&lt;&gt;$L32),1,0))</f>
        <v>1</v>
      </c>
      <c r="AB32" s="39" t="n">
        <f aca="false">IF($F32="","",IF($R32="Cancelada",0,IF(OR($AT32&lt;&gt;"",$R32="Concluída"),1,0)))</f>
        <v>1</v>
      </c>
      <c r="AC32" s="39" t="n">
        <f aca="false">IF($P32="",0,IF($P32&lt;Hoje!$L$1,1,IF(AND($P32=Hoje!$L$1,Hoje!$L$2&gt;Semana!$M$3),1,0)))</f>
        <v>1</v>
      </c>
      <c r="AD32" s="39" t="n">
        <f aca="false">IF($F32="","",IF(COUNTA($I32:$K32)=0,0,1/COUNTA($I32:$K32)))</f>
        <v>0.5</v>
      </c>
      <c r="AE32" s="39" t="str">
        <f aca="false">IF($AH32=0,"",SUM($AH$4:$AH32))</f>
        <v/>
      </c>
      <c r="AF32" s="39" t="str">
        <f aca="false">IF($AI32=0,"",SUM($AI$4:$AI32))</f>
        <v/>
      </c>
      <c r="AG32" s="50" t="str">
        <f aca="false">IF($F32="","",$I32&amp;IF($J32="",""," · "&amp;$J32)&amp;IF($K32="",""," · "&amp;$K32))</f>
        <v>Adilton · Gabriel</v>
      </c>
      <c r="AH32" s="39" t="n">
        <f aca="false">IF(AND($F32&lt;&gt;"",$O32&lt;&gt;"",$O32&lt;=Hoje!$C$3,$P32&gt;=Hoje!$C$3,$R32&lt;&gt;"Cancelada"),1,0)</f>
        <v>0</v>
      </c>
      <c r="AI32" s="39" t="n">
        <f aca="false">IF(AND($F32&lt;&gt;"",$P32&lt;&gt;"",$P32&lt;Hoje!$C$3,$AB32=0,$R32&lt;&gt;"Cancelada"),1,0)</f>
        <v>0</v>
      </c>
      <c r="AJ32" s="50" t="str">
        <f aca="false">IF($F32="","",$D32&amp;"|"&amp;$E32&amp;"|"&amp;$L32)</f>
        <v>F-331|Preventiva|36</v>
      </c>
      <c r="AK32" s="39" t="n">
        <f aca="false">IF($AJ32="","",COUNTIF($AJ$4:$AJ32,$AJ32))</f>
        <v>10</v>
      </c>
      <c r="AL32" s="39" t="n">
        <f aca="false">IF($AJ32="","",COUNTIF($AJ$4:$AJ$1004,$AJ32))</f>
        <v>16</v>
      </c>
      <c r="AM32" s="42"/>
      <c r="AN32" s="50" t="str">
        <f aca="false">IF($D32="","",IFERROR(T(VLOOKUP($D32,Listas!$B$5:$H$120,7,0)),""))</f>
        <v/>
      </c>
      <c r="AO32" s="50" t="str">
        <f aca="false">IF(OR($F32="",$L32&lt;&gt;"",$R32="Cancelada",$AT32&lt;&gt;""),"",$AN32&amp;"|"&amp;$D32&amp;"|"&amp;IF($C32="","zzz",$C32)&amp;"|"&amp;TEXT(32,"0000"))</f>
        <v/>
      </c>
      <c r="AP32" s="50" t="str">
        <f aca="false">IF($AO32="","",COUNTIF($AO$5:$AO$1004,"&lt;"&amp;$AO32)-(ROWS($AO$5:$AO$1004)-Hoje!$L$5)+1)</f>
        <v/>
      </c>
      <c r="AQ32" s="50" t="n">
        <f aca="false">IF(AND($F32&lt;&gt;"",$D32=Frota!$C$3),1,0)</f>
        <v>0</v>
      </c>
      <c r="AR32" s="50" t="str">
        <f aca="false">IF($AQ32=0,"",SUM($AQ$4:$AQ32))</f>
        <v/>
      </c>
      <c r="AS32" s="50" t="str">
        <f aca="false">IFERROR(INDEX(Hoje!$K$10:$K$29,MATCH(ROW(),Hoje!$J$10:$J$29,0)),"")</f>
        <v/>
      </c>
      <c r="AT32" s="47" t="n">
        <f aca="false">IF($Q32&lt;&gt;"",$Q32,$AS32)</f>
        <v>46262</v>
      </c>
    </row>
    <row r="33" customFormat="false" ht="16.5" hidden="false" customHeight="true" outlineLevel="0" collapsed="false">
      <c r="A33" s="39" t="n">
        <f aca="false">IF($F33="","",ROW())</f>
        <v>33</v>
      </c>
      <c r="B33" s="40" t="str">
        <f aca="false">IF($F33="",IF($D33="","","Falta a atividade"),IF($R33="Cancelada","Cancelada",IF($AB33=1,IF(N($Z33)&gt;0,"Concluída com atraso","Concluída"),IF($R33="Em programação","Em programação",IF($O33="",IF($M33="","Na carteira","Falta a semana"),IF($AC33=1,"VENCIDA",IF($O33&gt;Hoje!$L$1,"Programada",IF($P33&gt;Hoje!$L$1,"Em execução","Fecha hoje"))))))))</f>
        <v>Concluída</v>
      </c>
      <c r="C33" s="41" t="s">
        <v>156</v>
      </c>
      <c r="D33" s="42" t="s">
        <v>134</v>
      </c>
      <c r="E33" s="42" t="s">
        <v>135</v>
      </c>
      <c r="F33" s="42" t="s">
        <v>157</v>
      </c>
      <c r="G33" s="43" t="s">
        <v>135</v>
      </c>
      <c r="H33" s="43" t="s">
        <v>100</v>
      </c>
      <c r="I33" s="44" t="s">
        <v>106</v>
      </c>
      <c r="J33" s="44" t="s">
        <v>107</v>
      </c>
      <c r="K33" s="44"/>
      <c r="L33" s="45" t="n">
        <v>36</v>
      </c>
      <c r="M33" s="46" t="s">
        <v>108</v>
      </c>
      <c r="N33" s="45" t="n">
        <v>3</v>
      </c>
      <c r="O33" s="47" t="n">
        <f aca="false">IF(OR($L33="",$M33=""),"",(DATE(Semana!$J$3,1,4)-WEEKDAY(DATE(Semana!$J$3,1,4),3))+($L33-1)*7+MATCH($M33,Listas!$F$5:$F$11,0)-1)</f>
        <v>46265</v>
      </c>
      <c r="P33" s="47" t="n">
        <f aca="false">IF(OR($F33="",$O33=""),"",$O33+MAX(0,ROUNDUP($AK33*MAX(1,IF($N33="",1,$N33))/MAX(1,$AL33),0)-1))</f>
        <v>46267</v>
      </c>
      <c r="Q33" s="48" t="n">
        <v>46265</v>
      </c>
      <c r="R33" s="43" t="s">
        <v>85</v>
      </c>
      <c r="S33" s="49" t="n">
        <v>35</v>
      </c>
      <c r="T33" s="42" t="s">
        <v>114</v>
      </c>
      <c r="U33" s="42"/>
      <c r="V33" s="39" t="str">
        <f aca="false">IF($F33="","",IF(ISNUMBER(SEARCH("(externo)",$I33&amp;$J33&amp;$K33)),"Terceirizada","Interna"))</f>
        <v>Interna</v>
      </c>
      <c r="W33" s="47" t="n">
        <f aca="false">IF($O33="","",IF($S33="",$O33,(DATE(Semana!$J$3,1,4)-WEEKDAY(DATE(Semana!$J$3,1,4),3))+($S33-1)*7+IF($M33="",0,MATCH($M33,Listas!$F$5:$F$11,0)-1)))</f>
        <v>46258</v>
      </c>
      <c r="X33" s="39" t="n">
        <f aca="false">IF($F33="","",IF(OR($AT33="",$O33=""),0,IF($AT33&lt;=$O33,1,0)))</f>
        <v>1</v>
      </c>
      <c r="Y33" s="39" t="n">
        <f aca="false">IF($F33="","",IF(OR($AT33="",$W33=""),0,IF($AT33&lt;=$W33,1,0)))</f>
        <v>0</v>
      </c>
      <c r="Z33" s="39" t="n">
        <f aca="false">IF(OR($AT33="",$O33=""),"",MAX(0,$AT33-$O33))</f>
        <v>0</v>
      </c>
      <c r="AA33" s="39" t="n">
        <f aca="false">IF($F33="","",IF(AND($S33&lt;&gt;"",$L33&lt;&gt;"",$S33&lt;&gt;$L33),1,0))</f>
        <v>1</v>
      </c>
      <c r="AB33" s="39" t="n">
        <f aca="false">IF($F33="","",IF($R33="Cancelada",0,IF(OR($AT33&lt;&gt;"",$R33="Concluída"),1,0)))</f>
        <v>1</v>
      </c>
      <c r="AC33" s="39" t="n">
        <f aca="false">IF($P33="",0,IF($P33&lt;Hoje!$L$1,1,IF(AND($P33=Hoje!$L$1,Hoje!$L$2&gt;Semana!$M$3),1,0)))</f>
        <v>1</v>
      </c>
      <c r="AD33" s="39" t="n">
        <f aca="false">IF($F33="","",IF(COUNTA($I33:$K33)=0,0,1/COUNTA($I33:$K33)))</f>
        <v>0.5</v>
      </c>
      <c r="AE33" s="39" t="str">
        <f aca="false">IF($AH33=0,"",SUM($AH$4:$AH33))</f>
        <v/>
      </c>
      <c r="AF33" s="39" t="str">
        <f aca="false">IF($AI33=0,"",SUM($AI$4:$AI33))</f>
        <v/>
      </c>
      <c r="AG33" s="50" t="str">
        <f aca="false">IF($F33="","",$I33&amp;IF($J33="",""," · "&amp;$J33)&amp;IF($K33="",""," · "&amp;$K33))</f>
        <v>Adilton · Gabriel</v>
      </c>
      <c r="AH33" s="39" t="n">
        <f aca="false">IF(AND($F33&lt;&gt;"",$O33&lt;&gt;"",$O33&lt;=Hoje!$C$3,$P33&gt;=Hoje!$C$3,$R33&lt;&gt;"Cancelada"),1,0)</f>
        <v>0</v>
      </c>
      <c r="AI33" s="39" t="n">
        <f aca="false">IF(AND($F33&lt;&gt;"",$P33&lt;&gt;"",$P33&lt;Hoje!$C$3,$AB33=0,$R33&lt;&gt;"Cancelada"),1,0)</f>
        <v>0</v>
      </c>
      <c r="AJ33" s="50" t="str">
        <f aca="false">IF($F33="","",$D33&amp;"|"&amp;$E33&amp;"|"&amp;$L33)</f>
        <v>F-331|Preventiva|36</v>
      </c>
      <c r="AK33" s="39" t="n">
        <f aca="false">IF($AJ33="","",COUNTIF($AJ$4:$AJ33,$AJ33))</f>
        <v>11</v>
      </c>
      <c r="AL33" s="39" t="n">
        <f aca="false">IF($AJ33="","",COUNTIF($AJ$4:$AJ$1004,$AJ33))</f>
        <v>16</v>
      </c>
      <c r="AM33" s="42"/>
      <c r="AN33" s="50" t="str">
        <f aca="false">IF($D33="","",IFERROR(T(VLOOKUP($D33,Listas!$B$5:$H$120,7,0)),""))</f>
        <v/>
      </c>
      <c r="AO33" s="50" t="str">
        <f aca="false">IF(OR($F33="",$L33&lt;&gt;"",$R33="Cancelada",$AT33&lt;&gt;""),"",$AN33&amp;"|"&amp;$D33&amp;"|"&amp;IF($C33="","zzz",$C33)&amp;"|"&amp;TEXT(33,"0000"))</f>
        <v/>
      </c>
      <c r="AP33" s="50" t="str">
        <f aca="false">IF($AO33="","",COUNTIF($AO$5:$AO$1004,"&lt;"&amp;$AO33)-(ROWS($AO$5:$AO$1004)-Hoje!$L$5)+1)</f>
        <v/>
      </c>
      <c r="AQ33" s="50" t="n">
        <f aca="false">IF(AND($F33&lt;&gt;"",$D33=Frota!$C$3),1,0)</f>
        <v>0</v>
      </c>
      <c r="AR33" s="50" t="str">
        <f aca="false">IF($AQ33=0,"",SUM($AQ$4:$AQ33))</f>
        <v/>
      </c>
      <c r="AS33" s="50" t="str">
        <f aca="false">IFERROR(INDEX(Hoje!$K$10:$K$29,MATCH(ROW(),Hoje!$J$10:$J$29,0)),"")</f>
        <v/>
      </c>
      <c r="AT33" s="47" t="n">
        <f aca="false">IF($Q33&lt;&gt;"",$Q33,$AS33)</f>
        <v>46265</v>
      </c>
    </row>
    <row r="34" customFormat="false" ht="16.5" hidden="false" customHeight="true" outlineLevel="0" collapsed="false">
      <c r="A34" s="39" t="n">
        <f aca="false">IF($F34="","",ROW())</f>
        <v>34</v>
      </c>
      <c r="B34" s="40" t="str">
        <f aca="false">IF($F34="",IF($D34="","","Falta a atividade"),IF($R34="Cancelada","Cancelada",IF($AB34=1,IF(N($Z34)&gt;0,"Concluída com atraso","Concluída"),IF($R34="Em programação","Em programação",IF($O34="",IF($M34="","Na carteira","Falta a semana"),IF($AC34=1,"VENCIDA",IF($O34&gt;Hoje!$L$1,"Programada",IF($P34&gt;Hoje!$L$1,"Em execução","Fecha hoje"))))))))</f>
        <v>Concluída</v>
      </c>
      <c r="C34" s="41" t="s">
        <v>158</v>
      </c>
      <c r="D34" s="42" t="s">
        <v>134</v>
      </c>
      <c r="E34" s="42" t="s">
        <v>135</v>
      </c>
      <c r="F34" s="42" t="s">
        <v>159</v>
      </c>
      <c r="G34" s="43" t="s">
        <v>135</v>
      </c>
      <c r="H34" s="43" t="s">
        <v>100</v>
      </c>
      <c r="I34" s="44" t="s">
        <v>106</v>
      </c>
      <c r="J34" s="44" t="s">
        <v>107</v>
      </c>
      <c r="K34" s="44"/>
      <c r="L34" s="45" t="n">
        <v>36</v>
      </c>
      <c r="M34" s="46" t="s">
        <v>108</v>
      </c>
      <c r="N34" s="45" t="n">
        <v>3</v>
      </c>
      <c r="O34" s="47" t="n">
        <f aca="false">IF(OR($L34="",$M34=""),"",(DATE(Semana!$J$3,1,4)-WEEKDAY(DATE(Semana!$J$3,1,4),3))+($L34-1)*7+MATCH($M34,Listas!$F$5:$F$11,0)-1)</f>
        <v>46265</v>
      </c>
      <c r="P34" s="47" t="n">
        <f aca="false">IF(OR($F34="",$O34=""),"",$O34+MAX(0,ROUNDUP($AK34*MAX(1,IF($N34="",1,$N34))/MAX(1,$AL34),0)-1))</f>
        <v>46267</v>
      </c>
      <c r="Q34" s="48" t="n">
        <v>46265</v>
      </c>
      <c r="R34" s="43" t="s">
        <v>85</v>
      </c>
      <c r="S34" s="49" t="n">
        <v>35</v>
      </c>
      <c r="T34" s="42" t="s">
        <v>114</v>
      </c>
      <c r="U34" s="42"/>
      <c r="V34" s="39" t="str">
        <f aca="false">IF($F34="","",IF(ISNUMBER(SEARCH("(externo)",$I34&amp;$J34&amp;$K34)),"Terceirizada","Interna"))</f>
        <v>Interna</v>
      </c>
      <c r="W34" s="47" t="n">
        <f aca="false">IF($O34="","",IF($S34="",$O34,(DATE(Semana!$J$3,1,4)-WEEKDAY(DATE(Semana!$J$3,1,4),3))+($S34-1)*7+IF($M34="",0,MATCH($M34,Listas!$F$5:$F$11,0)-1)))</f>
        <v>46258</v>
      </c>
      <c r="X34" s="39" t="n">
        <f aca="false">IF($F34="","",IF(OR($AT34="",$O34=""),0,IF($AT34&lt;=$O34,1,0)))</f>
        <v>1</v>
      </c>
      <c r="Y34" s="39" t="n">
        <f aca="false">IF($F34="","",IF(OR($AT34="",$W34=""),0,IF($AT34&lt;=$W34,1,0)))</f>
        <v>0</v>
      </c>
      <c r="Z34" s="39" t="n">
        <f aca="false">IF(OR($AT34="",$O34=""),"",MAX(0,$AT34-$O34))</f>
        <v>0</v>
      </c>
      <c r="AA34" s="39" t="n">
        <f aca="false">IF($F34="","",IF(AND($S34&lt;&gt;"",$L34&lt;&gt;"",$S34&lt;&gt;$L34),1,0))</f>
        <v>1</v>
      </c>
      <c r="AB34" s="39" t="n">
        <f aca="false">IF($F34="","",IF($R34="Cancelada",0,IF(OR($AT34&lt;&gt;"",$R34="Concluída"),1,0)))</f>
        <v>1</v>
      </c>
      <c r="AC34" s="39" t="n">
        <f aca="false">IF($P34="",0,IF($P34&lt;Hoje!$L$1,1,IF(AND($P34=Hoje!$L$1,Hoje!$L$2&gt;Semana!$M$3),1,0)))</f>
        <v>1</v>
      </c>
      <c r="AD34" s="39" t="n">
        <f aca="false">IF($F34="","",IF(COUNTA($I34:$K34)=0,0,1/COUNTA($I34:$K34)))</f>
        <v>0.5</v>
      </c>
      <c r="AE34" s="39" t="str">
        <f aca="false">IF($AH34=0,"",SUM($AH$4:$AH34))</f>
        <v/>
      </c>
      <c r="AF34" s="39" t="str">
        <f aca="false">IF($AI34=0,"",SUM($AI$4:$AI34))</f>
        <v/>
      </c>
      <c r="AG34" s="50" t="str">
        <f aca="false">IF($F34="","",$I34&amp;IF($J34="",""," · "&amp;$J34)&amp;IF($K34="",""," · "&amp;$K34))</f>
        <v>Adilton · Gabriel</v>
      </c>
      <c r="AH34" s="39" t="n">
        <f aca="false">IF(AND($F34&lt;&gt;"",$O34&lt;&gt;"",$O34&lt;=Hoje!$C$3,$P34&gt;=Hoje!$C$3,$R34&lt;&gt;"Cancelada"),1,0)</f>
        <v>0</v>
      </c>
      <c r="AI34" s="39" t="n">
        <f aca="false">IF(AND($F34&lt;&gt;"",$P34&lt;&gt;"",$P34&lt;Hoje!$C$3,$AB34=0,$R34&lt;&gt;"Cancelada"),1,0)</f>
        <v>0</v>
      </c>
      <c r="AJ34" s="50" t="str">
        <f aca="false">IF($F34="","",$D34&amp;"|"&amp;$E34&amp;"|"&amp;$L34)</f>
        <v>F-331|Preventiva|36</v>
      </c>
      <c r="AK34" s="39" t="n">
        <f aca="false">IF($AJ34="","",COUNTIF($AJ$4:$AJ34,$AJ34))</f>
        <v>12</v>
      </c>
      <c r="AL34" s="39" t="n">
        <f aca="false">IF($AJ34="","",COUNTIF($AJ$4:$AJ$1004,$AJ34))</f>
        <v>16</v>
      </c>
      <c r="AM34" s="42"/>
      <c r="AN34" s="50" t="str">
        <f aca="false">IF($D34="","",IFERROR(T(VLOOKUP($D34,Listas!$B$5:$H$120,7,0)),""))</f>
        <v/>
      </c>
      <c r="AO34" s="50" t="str">
        <f aca="false">IF(OR($F34="",$L34&lt;&gt;"",$R34="Cancelada",$AT34&lt;&gt;""),"",$AN34&amp;"|"&amp;$D34&amp;"|"&amp;IF($C34="","zzz",$C34)&amp;"|"&amp;TEXT(34,"0000"))</f>
        <v/>
      </c>
      <c r="AP34" s="50" t="str">
        <f aca="false">IF($AO34="","",COUNTIF($AO$5:$AO$1004,"&lt;"&amp;$AO34)-(ROWS($AO$5:$AO$1004)-Hoje!$L$5)+1)</f>
        <v/>
      </c>
      <c r="AQ34" s="50" t="n">
        <f aca="false">IF(AND($F34&lt;&gt;"",$D34=Frota!$C$3),1,0)</f>
        <v>0</v>
      </c>
      <c r="AR34" s="50" t="str">
        <f aca="false">IF($AQ34=0,"",SUM($AQ$4:$AQ34))</f>
        <v/>
      </c>
      <c r="AS34" s="50" t="str">
        <f aca="false">IFERROR(INDEX(Hoje!$K$10:$K$29,MATCH(ROW(),Hoje!$J$10:$J$29,0)),"")</f>
        <v/>
      </c>
      <c r="AT34" s="47" t="n">
        <f aca="false">IF($Q34&lt;&gt;"",$Q34,$AS34)</f>
        <v>46265</v>
      </c>
    </row>
    <row r="35" customFormat="false" ht="16.5" hidden="false" customHeight="true" outlineLevel="0" collapsed="false">
      <c r="A35" s="39" t="n">
        <f aca="false">IF($F35="","",ROW())</f>
        <v>35</v>
      </c>
      <c r="B35" s="40" t="str">
        <f aca="false">IF($F35="",IF($D35="","","Falta a atividade"),IF($R35="Cancelada","Cancelada",IF($AB35=1,IF(N($Z35)&gt;0,"Concluída com atraso","Concluída"),IF($R35="Em programação","Em programação",IF($O35="",IF($M35="","Na carteira","Falta a semana"),IF($AC35=1,"VENCIDA",IF($O35&gt;Hoje!$L$1,"Programada",IF($P35&gt;Hoje!$L$1,"Em execução","Fecha hoje"))))))))</f>
        <v>Concluída</v>
      </c>
      <c r="C35" s="41" t="s">
        <v>160</v>
      </c>
      <c r="D35" s="42" t="s">
        <v>134</v>
      </c>
      <c r="E35" s="42" t="s">
        <v>135</v>
      </c>
      <c r="F35" s="42" t="s">
        <v>161</v>
      </c>
      <c r="G35" s="43" t="s">
        <v>135</v>
      </c>
      <c r="H35" s="43" t="s">
        <v>100</v>
      </c>
      <c r="I35" s="44" t="s">
        <v>106</v>
      </c>
      <c r="J35" s="44" t="s">
        <v>107</v>
      </c>
      <c r="K35" s="44"/>
      <c r="L35" s="45" t="n">
        <v>36</v>
      </c>
      <c r="M35" s="46" t="s">
        <v>108</v>
      </c>
      <c r="N35" s="45" t="n">
        <v>3</v>
      </c>
      <c r="O35" s="47" t="n">
        <f aca="false">IF(OR($L35="",$M35=""),"",(DATE(Semana!$J$3,1,4)-WEEKDAY(DATE(Semana!$J$3,1,4),3))+($L35-1)*7+MATCH($M35,Listas!$F$5:$F$11,0)-1)</f>
        <v>46265</v>
      </c>
      <c r="P35" s="47" t="n">
        <f aca="false">IF(OR($F35="",$O35=""),"",$O35+MAX(0,ROUNDUP($AK35*MAX(1,IF($N35="",1,$N35))/MAX(1,$AL35),0)-1))</f>
        <v>46267</v>
      </c>
      <c r="Q35" s="48" t="n">
        <v>46265</v>
      </c>
      <c r="R35" s="43" t="s">
        <v>85</v>
      </c>
      <c r="S35" s="49" t="n">
        <v>35</v>
      </c>
      <c r="T35" s="42" t="s">
        <v>114</v>
      </c>
      <c r="U35" s="42"/>
      <c r="V35" s="39" t="str">
        <f aca="false">IF($F35="","",IF(ISNUMBER(SEARCH("(externo)",$I35&amp;$J35&amp;$K35)),"Terceirizada","Interna"))</f>
        <v>Interna</v>
      </c>
      <c r="W35" s="47" t="n">
        <f aca="false">IF($O35="","",IF($S35="",$O35,(DATE(Semana!$J$3,1,4)-WEEKDAY(DATE(Semana!$J$3,1,4),3))+($S35-1)*7+IF($M35="",0,MATCH($M35,Listas!$F$5:$F$11,0)-1)))</f>
        <v>46258</v>
      </c>
      <c r="X35" s="39" t="n">
        <f aca="false">IF($F35="","",IF(OR($AT35="",$O35=""),0,IF($AT35&lt;=$O35,1,0)))</f>
        <v>1</v>
      </c>
      <c r="Y35" s="39" t="n">
        <f aca="false">IF($F35="","",IF(OR($AT35="",$W35=""),0,IF($AT35&lt;=$W35,1,0)))</f>
        <v>0</v>
      </c>
      <c r="Z35" s="39" t="n">
        <f aca="false">IF(OR($AT35="",$O35=""),"",MAX(0,$AT35-$O35))</f>
        <v>0</v>
      </c>
      <c r="AA35" s="39" t="n">
        <f aca="false">IF($F35="","",IF(AND($S35&lt;&gt;"",$L35&lt;&gt;"",$S35&lt;&gt;$L35),1,0))</f>
        <v>1</v>
      </c>
      <c r="AB35" s="39" t="n">
        <f aca="false">IF($F35="","",IF($R35="Cancelada",0,IF(OR($AT35&lt;&gt;"",$R35="Concluída"),1,0)))</f>
        <v>1</v>
      </c>
      <c r="AC35" s="39" t="n">
        <f aca="false">IF($P35="",0,IF($P35&lt;Hoje!$L$1,1,IF(AND($P35=Hoje!$L$1,Hoje!$L$2&gt;Semana!$M$3),1,0)))</f>
        <v>1</v>
      </c>
      <c r="AD35" s="39" t="n">
        <f aca="false">IF($F35="","",IF(COUNTA($I35:$K35)=0,0,1/COUNTA($I35:$K35)))</f>
        <v>0.5</v>
      </c>
      <c r="AE35" s="39" t="str">
        <f aca="false">IF($AH35=0,"",SUM($AH$4:$AH35))</f>
        <v/>
      </c>
      <c r="AF35" s="39" t="str">
        <f aca="false">IF($AI35=0,"",SUM($AI$4:$AI35))</f>
        <v/>
      </c>
      <c r="AG35" s="50" t="str">
        <f aca="false">IF($F35="","",$I35&amp;IF($J35="",""," · "&amp;$J35)&amp;IF($K35="",""," · "&amp;$K35))</f>
        <v>Adilton · Gabriel</v>
      </c>
      <c r="AH35" s="39" t="n">
        <f aca="false">IF(AND($F35&lt;&gt;"",$O35&lt;&gt;"",$O35&lt;=Hoje!$C$3,$P35&gt;=Hoje!$C$3,$R35&lt;&gt;"Cancelada"),1,0)</f>
        <v>0</v>
      </c>
      <c r="AI35" s="39" t="n">
        <f aca="false">IF(AND($F35&lt;&gt;"",$P35&lt;&gt;"",$P35&lt;Hoje!$C$3,$AB35=0,$R35&lt;&gt;"Cancelada"),1,0)</f>
        <v>0</v>
      </c>
      <c r="AJ35" s="50" t="str">
        <f aca="false">IF($F35="","",$D35&amp;"|"&amp;$E35&amp;"|"&amp;$L35)</f>
        <v>F-331|Preventiva|36</v>
      </c>
      <c r="AK35" s="39" t="n">
        <f aca="false">IF($AJ35="","",COUNTIF($AJ$4:$AJ35,$AJ35))</f>
        <v>13</v>
      </c>
      <c r="AL35" s="39" t="n">
        <f aca="false">IF($AJ35="","",COUNTIF($AJ$4:$AJ$1004,$AJ35))</f>
        <v>16</v>
      </c>
      <c r="AM35" s="42"/>
      <c r="AN35" s="50" t="str">
        <f aca="false">IF($D35="","",IFERROR(T(VLOOKUP($D35,Listas!$B$5:$H$120,7,0)),""))</f>
        <v/>
      </c>
      <c r="AO35" s="50" t="str">
        <f aca="false">IF(OR($F35="",$L35&lt;&gt;"",$R35="Cancelada",$AT35&lt;&gt;""),"",$AN35&amp;"|"&amp;$D35&amp;"|"&amp;IF($C35="","zzz",$C35)&amp;"|"&amp;TEXT(35,"0000"))</f>
        <v/>
      </c>
      <c r="AP35" s="50" t="str">
        <f aca="false">IF($AO35="","",COUNTIF($AO$5:$AO$1004,"&lt;"&amp;$AO35)-(ROWS($AO$5:$AO$1004)-Hoje!$L$5)+1)</f>
        <v/>
      </c>
      <c r="AQ35" s="50" t="n">
        <f aca="false">IF(AND($F35&lt;&gt;"",$D35=Frota!$C$3),1,0)</f>
        <v>0</v>
      </c>
      <c r="AR35" s="50" t="str">
        <f aca="false">IF($AQ35=0,"",SUM($AQ$4:$AQ35))</f>
        <v/>
      </c>
      <c r="AS35" s="50" t="str">
        <f aca="false">IFERROR(INDEX(Hoje!$K$10:$K$29,MATCH(ROW(),Hoje!$J$10:$J$29,0)),"")</f>
        <v/>
      </c>
      <c r="AT35" s="47" t="n">
        <f aca="false">IF($Q35&lt;&gt;"",$Q35,$AS35)</f>
        <v>46265</v>
      </c>
    </row>
    <row r="36" customFormat="false" ht="16.5" hidden="false" customHeight="true" outlineLevel="0" collapsed="false">
      <c r="A36" s="39" t="n">
        <f aca="false">IF($F36="","",ROW())</f>
        <v>36</v>
      </c>
      <c r="B36" s="40" t="str">
        <f aca="false">IF($F36="",IF($D36="","","Falta a atividade"),IF($R36="Cancelada","Cancelada",IF($AB36=1,IF(N($Z36)&gt;0,"Concluída com atraso","Concluída"),IF($R36="Em programação","Em programação",IF($O36="",IF($M36="","Na carteira","Falta a semana"),IF($AC36=1,"VENCIDA",IF($O36&gt;Hoje!$L$1,"Programada",IF($P36&gt;Hoje!$L$1,"Em execução","Fecha hoje"))))))))</f>
        <v>Concluída</v>
      </c>
      <c r="C36" s="41" t="s">
        <v>162</v>
      </c>
      <c r="D36" s="42" t="s">
        <v>134</v>
      </c>
      <c r="E36" s="42" t="s">
        <v>135</v>
      </c>
      <c r="F36" s="42" t="s">
        <v>163</v>
      </c>
      <c r="G36" s="43" t="s">
        <v>135</v>
      </c>
      <c r="H36" s="43" t="s">
        <v>100</v>
      </c>
      <c r="I36" s="44" t="s">
        <v>106</v>
      </c>
      <c r="J36" s="44" t="s">
        <v>107</v>
      </c>
      <c r="K36" s="44"/>
      <c r="L36" s="45" t="n">
        <v>36</v>
      </c>
      <c r="M36" s="46" t="s">
        <v>108</v>
      </c>
      <c r="N36" s="45" t="n">
        <v>3</v>
      </c>
      <c r="O36" s="47" t="n">
        <f aca="false">IF(OR($L36="",$M36=""),"",(DATE(Semana!$J$3,1,4)-WEEKDAY(DATE(Semana!$J$3,1,4),3))+($L36-1)*7+MATCH($M36,Listas!$F$5:$F$11,0)-1)</f>
        <v>46265</v>
      </c>
      <c r="P36" s="47" t="n">
        <f aca="false">IF(OR($F36="",$O36=""),"",$O36+MAX(0,ROUNDUP($AK36*MAX(1,IF($N36="",1,$N36))/MAX(1,$AL36),0)-1))</f>
        <v>46267</v>
      </c>
      <c r="Q36" s="48" t="n">
        <v>46265</v>
      </c>
      <c r="R36" s="43" t="s">
        <v>85</v>
      </c>
      <c r="S36" s="49" t="n">
        <v>35</v>
      </c>
      <c r="T36" s="42" t="s">
        <v>114</v>
      </c>
      <c r="U36" s="42"/>
      <c r="V36" s="39" t="str">
        <f aca="false">IF($F36="","",IF(ISNUMBER(SEARCH("(externo)",$I36&amp;$J36&amp;$K36)),"Terceirizada","Interna"))</f>
        <v>Interna</v>
      </c>
      <c r="W36" s="47" t="n">
        <f aca="false">IF($O36="","",IF($S36="",$O36,(DATE(Semana!$J$3,1,4)-WEEKDAY(DATE(Semana!$J$3,1,4),3))+($S36-1)*7+IF($M36="",0,MATCH($M36,Listas!$F$5:$F$11,0)-1)))</f>
        <v>46258</v>
      </c>
      <c r="X36" s="39" t="n">
        <f aca="false">IF($F36="","",IF(OR($AT36="",$O36=""),0,IF($AT36&lt;=$O36,1,0)))</f>
        <v>1</v>
      </c>
      <c r="Y36" s="39" t="n">
        <f aca="false">IF($F36="","",IF(OR($AT36="",$W36=""),0,IF($AT36&lt;=$W36,1,0)))</f>
        <v>0</v>
      </c>
      <c r="Z36" s="39" t="n">
        <f aca="false">IF(OR($AT36="",$O36=""),"",MAX(0,$AT36-$O36))</f>
        <v>0</v>
      </c>
      <c r="AA36" s="39" t="n">
        <f aca="false">IF($F36="","",IF(AND($S36&lt;&gt;"",$L36&lt;&gt;"",$S36&lt;&gt;$L36),1,0))</f>
        <v>1</v>
      </c>
      <c r="AB36" s="39" t="n">
        <f aca="false">IF($F36="","",IF($R36="Cancelada",0,IF(OR($AT36&lt;&gt;"",$R36="Concluída"),1,0)))</f>
        <v>1</v>
      </c>
      <c r="AC36" s="39" t="n">
        <f aca="false">IF($P36="",0,IF($P36&lt;Hoje!$L$1,1,IF(AND($P36=Hoje!$L$1,Hoje!$L$2&gt;Semana!$M$3),1,0)))</f>
        <v>1</v>
      </c>
      <c r="AD36" s="39" t="n">
        <f aca="false">IF($F36="","",IF(COUNTA($I36:$K36)=0,0,1/COUNTA($I36:$K36)))</f>
        <v>0.5</v>
      </c>
      <c r="AE36" s="39" t="str">
        <f aca="false">IF($AH36=0,"",SUM($AH$4:$AH36))</f>
        <v/>
      </c>
      <c r="AF36" s="39" t="str">
        <f aca="false">IF($AI36=0,"",SUM($AI$4:$AI36))</f>
        <v/>
      </c>
      <c r="AG36" s="50" t="str">
        <f aca="false">IF($F36="","",$I36&amp;IF($J36="",""," · "&amp;$J36)&amp;IF($K36="",""," · "&amp;$K36))</f>
        <v>Adilton · Gabriel</v>
      </c>
      <c r="AH36" s="39" t="n">
        <f aca="false">IF(AND($F36&lt;&gt;"",$O36&lt;&gt;"",$O36&lt;=Hoje!$C$3,$P36&gt;=Hoje!$C$3,$R36&lt;&gt;"Cancelada"),1,0)</f>
        <v>0</v>
      </c>
      <c r="AI36" s="39" t="n">
        <f aca="false">IF(AND($F36&lt;&gt;"",$P36&lt;&gt;"",$P36&lt;Hoje!$C$3,$AB36=0,$R36&lt;&gt;"Cancelada"),1,0)</f>
        <v>0</v>
      </c>
      <c r="AJ36" s="50" t="str">
        <f aca="false">IF($F36="","",$D36&amp;"|"&amp;$E36&amp;"|"&amp;$L36)</f>
        <v>F-331|Preventiva|36</v>
      </c>
      <c r="AK36" s="39" t="n">
        <f aca="false">IF($AJ36="","",COUNTIF($AJ$4:$AJ36,$AJ36))</f>
        <v>14</v>
      </c>
      <c r="AL36" s="39" t="n">
        <f aca="false">IF($AJ36="","",COUNTIF($AJ$4:$AJ$1004,$AJ36))</f>
        <v>16</v>
      </c>
      <c r="AM36" s="42"/>
      <c r="AN36" s="50" t="str">
        <f aca="false">IF($D36="","",IFERROR(T(VLOOKUP($D36,Listas!$B$5:$H$120,7,0)),""))</f>
        <v/>
      </c>
      <c r="AO36" s="50" t="str">
        <f aca="false">IF(OR($F36="",$L36&lt;&gt;"",$R36="Cancelada",$AT36&lt;&gt;""),"",$AN36&amp;"|"&amp;$D36&amp;"|"&amp;IF($C36="","zzz",$C36)&amp;"|"&amp;TEXT(36,"0000"))</f>
        <v/>
      </c>
      <c r="AP36" s="50" t="str">
        <f aca="false">IF($AO36="","",COUNTIF($AO$5:$AO$1004,"&lt;"&amp;$AO36)-(ROWS($AO$5:$AO$1004)-Hoje!$L$5)+1)</f>
        <v/>
      </c>
      <c r="AQ36" s="50" t="n">
        <f aca="false">IF(AND($F36&lt;&gt;"",$D36=Frota!$C$3),1,0)</f>
        <v>0</v>
      </c>
      <c r="AR36" s="50" t="str">
        <f aca="false">IF($AQ36=0,"",SUM($AQ$4:$AQ36))</f>
        <v/>
      </c>
      <c r="AS36" s="50" t="str">
        <f aca="false">IFERROR(INDEX(Hoje!$K$10:$K$29,MATCH(ROW(),Hoje!$J$10:$J$29,0)),"")</f>
        <v/>
      </c>
      <c r="AT36" s="47" t="n">
        <f aca="false">IF($Q36&lt;&gt;"",$Q36,$AS36)</f>
        <v>46265</v>
      </c>
    </row>
    <row r="37" customFormat="false" ht="16.5" hidden="false" customHeight="true" outlineLevel="0" collapsed="false">
      <c r="A37" s="39" t="n">
        <f aca="false">IF($F37="","",ROW())</f>
        <v>37</v>
      </c>
      <c r="B37" s="40" t="str">
        <f aca="false">IF($F37="",IF($D37="","","Falta a atividade"),IF($R37="Cancelada","Cancelada",IF($AB37=1,IF(N($Z37)&gt;0,"Concluída com atraso","Concluída"),IF($R37="Em programação","Em programação",IF($O37="",IF($M37="","Na carteira","Falta a semana"),IF($AC37=1,"VENCIDA",IF($O37&gt;Hoje!$L$1,"Programada",IF($P37&gt;Hoje!$L$1,"Em execução","Fecha hoje"))))))))</f>
        <v>Concluída</v>
      </c>
      <c r="C37" s="41" t="s">
        <v>164</v>
      </c>
      <c r="D37" s="42" t="s">
        <v>134</v>
      </c>
      <c r="E37" s="42" t="s">
        <v>135</v>
      </c>
      <c r="F37" s="42" t="s">
        <v>165</v>
      </c>
      <c r="G37" s="43" t="s">
        <v>135</v>
      </c>
      <c r="H37" s="43" t="s">
        <v>100</v>
      </c>
      <c r="I37" s="44" t="s">
        <v>106</v>
      </c>
      <c r="J37" s="44" t="s">
        <v>107</v>
      </c>
      <c r="K37" s="44"/>
      <c r="L37" s="45" t="n">
        <v>36</v>
      </c>
      <c r="M37" s="46" t="s">
        <v>108</v>
      </c>
      <c r="N37" s="45" t="n">
        <v>3</v>
      </c>
      <c r="O37" s="47" t="n">
        <f aca="false">IF(OR($L37="",$M37=""),"",(DATE(Semana!$J$3,1,4)-WEEKDAY(DATE(Semana!$J$3,1,4),3))+($L37-1)*7+MATCH($M37,Listas!$F$5:$F$11,0)-1)</f>
        <v>46265</v>
      </c>
      <c r="P37" s="47" t="n">
        <f aca="false">IF(OR($F37="",$O37=""),"",$O37+MAX(0,ROUNDUP($AK37*MAX(1,IF($N37="",1,$N37))/MAX(1,$AL37),0)-1))</f>
        <v>46267</v>
      </c>
      <c r="Q37" s="48" t="n">
        <v>46265</v>
      </c>
      <c r="R37" s="43" t="s">
        <v>85</v>
      </c>
      <c r="S37" s="49" t="n">
        <v>35</v>
      </c>
      <c r="T37" s="42" t="s">
        <v>114</v>
      </c>
      <c r="U37" s="42"/>
      <c r="V37" s="39" t="str">
        <f aca="false">IF($F37="","",IF(ISNUMBER(SEARCH("(externo)",$I37&amp;$J37&amp;$K37)),"Terceirizada","Interna"))</f>
        <v>Interna</v>
      </c>
      <c r="W37" s="47" t="n">
        <f aca="false">IF($O37="","",IF($S37="",$O37,(DATE(Semana!$J$3,1,4)-WEEKDAY(DATE(Semana!$J$3,1,4),3))+($S37-1)*7+IF($M37="",0,MATCH($M37,Listas!$F$5:$F$11,0)-1)))</f>
        <v>46258</v>
      </c>
      <c r="X37" s="39" t="n">
        <f aca="false">IF($F37="","",IF(OR($AT37="",$O37=""),0,IF($AT37&lt;=$O37,1,0)))</f>
        <v>1</v>
      </c>
      <c r="Y37" s="39" t="n">
        <f aca="false">IF($F37="","",IF(OR($AT37="",$W37=""),0,IF($AT37&lt;=$W37,1,0)))</f>
        <v>0</v>
      </c>
      <c r="Z37" s="39" t="n">
        <f aca="false">IF(OR($AT37="",$O37=""),"",MAX(0,$AT37-$O37))</f>
        <v>0</v>
      </c>
      <c r="AA37" s="39" t="n">
        <f aca="false">IF($F37="","",IF(AND($S37&lt;&gt;"",$L37&lt;&gt;"",$S37&lt;&gt;$L37),1,0))</f>
        <v>1</v>
      </c>
      <c r="AB37" s="39" t="n">
        <f aca="false">IF($F37="","",IF($R37="Cancelada",0,IF(OR($AT37&lt;&gt;"",$R37="Concluída"),1,0)))</f>
        <v>1</v>
      </c>
      <c r="AC37" s="39" t="n">
        <f aca="false">IF($P37="",0,IF($P37&lt;Hoje!$L$1,1,IF(AND($P37=Hoje!$L$1,Hoje!$L$2&gt;Semana!$M$3),1,0)))</f>
        <v>1</v>
      </c>
      <c r="AD37" s="39" t="n">
        <f aca="false">IF($F37="","",IF(COUNTA($I37:$K37)=0,0,1/COUNTA($I37:$K37)))</f>
        <v>0.5</v>
      </c>
      <c r="AE37" s="39" t="str">
        <f aca="false">IF($AH37=0,"",SUM($AH$4:$AH37))</f>
        <v/>
      </c>
      <c r="AF37" s="39" t="str">
        <f aca="false">IF($AI37=0,"",SUM($AI$4:$AI37))</f>
        <v/>
      </c>
      <c r="AG37" s="50" t="str">
        <f aca="false">IF($F37="","",$I37&amp;IF($J37="",""," · "&amp;$J37)&amp;IF($K37="",""," · "&amp;$K37))</f>
        <v>Adilton · Gabriel</v>
      </c>
      <c r="AH37" s="39" t="n">
        <f aca="false">IF(AND($F37&lt;&gt;"",$O37&lt;&gt;"",$O37&lt;=Hoje!$C$3,$P37&gt;=Hoje!$C$3,$R37&lt;&gt;"Cancelada"),1,0)</f>
        <v>0</v>
      </c>
      <c r="AI37" s="39" t="n">
        <f aca="false">IF(AND($F37&lt;&gt;"",$P37&lt;&gt;"",$P37&lt;Hoje!$C$3,$AB37=0,$R37&lt;&gt;"Cancelada"),1,0)</f>
        <v>0</v>
      </c>
      <c r="AJ37" s="50" t="str">
        <f aca="false">IF($F37="","",$D37&amp;"|"&amp;$E37&amp;"|"&amp;$L37)</f>
        <v>F-331|Preventiva|36</v>
      </c>
      <c r="AK37" s="39" t="n">
        <f aca="false">IF($AJ37="","",COUNTIF($AJ$4:$AJ37,$AJ37))</f>
        <v>15</v>
      </c>
      <c r="AL37" s="39" t="n">
        <f aca="false">IF($AJ37="","",COUNTIF($AJ$4:$AJ$1004,$AJ37))</f>
        <v>16</v>
      </c>
      <c r="AM37" s="42"/>
      <c r="AN37" s="50" t="str">
        <f aca="false">IF($D37="","",IFERROR(T(VLOOKUP($D37,Listas!$B$5:$H$120,7,0)),""))</f>
        <v/>
      </c>
      <c r="AO37" s="50" t="str">
        <f aca="false">IF(OR($F37="",$L37&lt;&gt;"",$R37="Cancelada",$AT37&lt;&gt;""),"",$AN37&amp;"|"&amp;$D37&amp;"|"&amp;IF($C37="","zzz",$C37)&amp;"|"&amp;TEXT(37,"0000"))</f>
        <v/>
      </c>
      <c r="AP37" s="50" t="str">
        <f aca="false">IF($AO37="","",COUNTIF($AO$5:$AO$1004,"&lt;"&amp;$AO37)-(ROWS($AO$5:$AO$1004)-Hoje!$L$5)+1)</f>
        <v/>
      </c>
      <c r="AQ37" s="50" t="n">
        <f aca="false">IF(AND($F37&lt;&gt;"",$D37=Frota!$C$3),1,0)</f>
        <v>0</v>
      </c>
      <c r="AR37" s="50" t="str">
        <f aca="false">IF($AQ37=0,"",SUM($AQ$4:$AQ37))</f>
        <v/>
      </c>
      <c r="AS37" s="50" t="str">
        <f aca="false">IFERROR(INDEX(Hoje!$K$10:$K$29,MATCH(ROW(),Hoje!$J$10:$J$29,0)),"")</f>
        <v/>
      </c>
      <c r="AT37" s="47" t="n">
        <f aca="false">IF($Q37&lt;&gt;"",$Q37,$AS37)</f>
        <v>46265</v>
      </c>
    </row>
    <row r="38" customFormat="false" ht="16.5" hidden="false" customHeight="true" outlineLevel="0" collapsed="false">
      <c r="A38" s="39" t="n">
        <f aca="false">IF($F38="","",ROW())</f>
        <v>38</v>
      </c>
      <c r="B38" s="40" t="str">
        <f aca="false">IF($F38="",IF($D38="","","Falta a atividade"),IF($R38="Cancelada","Cancelada",IF($AB38=1,IF(N($Z38)&gt;0,"Concluída com atraso","Concluída"),IF($R38="Em programação","Em programação",IF($O38="",IF($M38="","Na carteira","Falta a semana"),IF($AC38=1,"VENCIDA",IF($O38&gt;Hoje!$L$1,"Programada",IF($P38&gt;Hoje!$L$1,"Em execução","Fecha hoje"))))))))</f>
        <v>Concluída com atraso</v>
      </c>
      <c r="C38" s="41" t="s">
        <v>166</v>
      </c>
      <c r="D38" s="42" t="s">
        <v>134</v>
      </c>
      <c r="E38" s="42" t="s">
        <v>135</v>
      </c>
      <c r="F38" s="42" t="s">
        <v>167</v>
      </c>
      <c r="G38" s="43" t="s">
        <v>80</v>
      </c>
      <c r="H38" s="43" t="s">
        <v>81</v>
      </c>
      <c r="I38" s="44" t="s">
        <v>106</v>
      </c>
      <c r="J38" s="44" t="s">
        <v>107</v>
      </c>
      <c r="K38" s="44"/>
      <c r="L38" s="45" t="n">
        <v>36</v>
      </c>
      <c r="M38" s="46" t="s">
        <v>108</v>
      </c>
      <c r="N38" s="45" t="n">
        <v>3</v>
      </c>
      <c r="O38" s="47" t="n">
        <f aca="false">IF(OR($L38="",$M38=""),"",(DATE(Semana!$J$3,1,4)-WEEKDAY(DATE(Semana!$J$3,1,4),3))+($L38-1)*7+MATCH($M38,Listas!$F$5:$F$11,0)-1)</f>
        <v>46265</v>
      </c>
      <c r="P38" s="47" t="n">
        <f aca="false">IF(OR($F38="",$O38=""),"",$O38+MAX(0,ROUNDUP($AK38*MAX(1,IF($N38="",1,$N38))/MAX(1,$AL38),0)-1))</f>
        <v>46267</v>
      </c>
      <c r="Q38" s="48" t="n">
        <v>46268</v>
      </c>
      <c r="R38" s="43" t="s">
        <v>85</v>
      </c>
      <c r="S38" s="49" t="n">
        <v>35</v>
      </c>
      <c r="T38" s="42" t="s">
        <v>114</v>
      </c>
      <c r="U38" s="42"/>
      <c r="V38" s="39" t="str">
        <f aca="false">IF($F38="","",IF(ISNUMBER(SEARCH("(externo)",$I38&amp;$J38&amp;$K38)),"Terceirizada","Interna"))</f>
        <v>Interna</v>
      </c>
      <c r="W38" s="47" t="n">
        <f aca="false">IF($O38="","",IF($S38="",$O38,(DATE(Semana!$J$3,1,4)-WEEKDAY(DATE(Semana!$J$3,1,4),3))+($S38-1)*7+IF($M38="",0,MATCH($M38,Listas!$F$5:$F$11,0)-1)))</f>
        <v>46258</v>
      </c>
      <c r="X38" s="39" t="n">
        <f aca="false">IF($F38="","",IF(OR($AT38="",$O38=""),0,IF($AT38&lt;=$O38,1,0)))</f>
        <v>0</v>
      </c>
      <c r="Y38" s="39" t="n">
        <f aca="false">IF($F38="","",IF(OR($AT38="",$W38=""),0,IF($AT38&lt;=$W38,1,0)))</f>
        <v>0</v>
      </c>
      <c r="Z38" s="39" t="n">
        <f aca="false">IF(OR($AT38="",$O38=""),"",MAX(0,$AT38-$O38))</f>
        <v>3</v>
      </c>
      <c r="AA38" s="39" t="n">
        <f aca="false">IF($F38="","",IF(AND($S38&lt;&gt;"",$L38&lt;&gt;"",$S38&lt;&gt;$L38),1,0))</f>
        <v>1</v>
      </c>
      <c r="AB38" s="39" t="n">
        <f aca="false">IF($F38="","",IF($R38="Cancelada",0,IF(OR($AT38&lt;&gt;"",$R38="Concluída"),1,0)))</f>
        <v>1</v>
      </c>
      <c r="AC38" s="39" t="n">
        <f aca="false">IF($P38="",0,IF($P38&lt;Hoje!$L$1,1,IF(AND($P38=Hoje!$L$1,Hoje!$L$2&gt;Semana!$M$3),1,0)))</f>
        <v>1</v>
      </c>
      <c r="AD38" s="39" t="n">
        <f aca="false">IF($F38="","",IF(COUNTA($I38:$K38)=0,0,1/COUNTA($I38:$K38)))</f>
        <v>0.5</v>
      </c>
      <c r="AE38" s="39" t="str">
        <f aca="false">IF($AH38=0,"",SUM($AH$4:$AH38))</f>
        <v/>
      </c>
      <c r="AF38" s="39" t="str">
        <f aca="false">IF($AI38=0,"",SUM($AI$4:$AI38))</f>
        <v/>
      </c>
      <c r="AG38" s="50" t="str">
        <f aca="false">IF($F38="","",$I38&amp;IF($J38="",""," · "&amp;$J38)&amp;IF($K38="",""," · "&amp;$K38))</f>
        <v>Adilton · Gabriel</v>
      </c>
      <c r="AH38" s="39" t="n">
        <f aca="false">IF(AND($F38&lt;&gt;"",$O38&lt;&gt;"",$O38&lt;=Hoje!$C$3,$P38&gt;=Hoje!$C$3,$R38&lt;&gt;"Cancelada"),1,0)</f>
        <v>0</v>
      </c>
      <c r="AI38" s="39" t="n">
        <f aca="false">IF(AND($F38&lt;&gt;"",$P38&lt;&gt;"",$P38&lt;Hoje!$C$3,$AB38=0,$R38&lt;&gt;"Cancelada"),1,0)</f>
        <v>0</v>
      </c>
      <c r="AJ38" s="50" t="str">
        <f aca="false">IF($F38="","",$D38&amp;"|"&amp;$E38&amp;"|"&amp;$L38)</f>
        <v>F-331|Preventiva|36</v>
      </c>
      <c r="AK38" s="39" t="n">
        <f aca="false">IF($AJ38="","",COUNTIF($AJ$4:$AJ38,$AJ38))</f>
        <v>16</v>
      </c>
      <c r="AL38" s="39" t="n">
        <f aca="false">IF($AJ38="","",COUNTIF($AJ$4:$AJ$1004,$AJ38))</f>
        <v>16</v>
      </c>
      <c r="AM38" s="42"/>
      <c r="AN38" s="50" t="str">
        <f aca="false">IF($D38="","",IFERROR(T(VLOOKUP($D38,Listas!$B$5:$H$120,7,0)),""))</f>
        <v/>
      </c>
      <c r="AO38" s="50" t="str">
        <f aca="false">IF(OR($F38="",$L38&lt;&gt;"",$R38="Cancelada",$AT38&lt;&gt;""),"",$AN38&amp;"|"&amp;$D38&amp;"|"&amp;IF($C38="","zzz",$C38)&amp;"|"&amp;TEXT(38,"0000"))</f>
        <v/>
      </c>
      <c r="AP38" s="50" t="str">
        <f aca="false">IF($AO38="","",COUNTIF($AO$5:$AO$1004,"&lt;"&amp;$AO38)-(ROWS($AO$5:$AO$1004)-Hoje!$L$5)+1)</f>
        <v/>
      </c>
      <c r="AQ38" s="50" t="n">
        <f aca="false">IF(AND($F38&lt;&gt;"",$D38=Frota!$C$3),1,0)</f>
        <v>0</v>
      </c>
      <c r="AR38" s="50" t="str">
        <f aca="false">IF($AQ38=0,"",SUM($AQ$4:$AQ38))</f>
        <v/>
      </c>
      <c r="AS38" s="50" t="str">
        <f aca="false">IFERROR(INDEX(Hoje!$K$10:$K$29,MATCH(ROW(),Hoje!$J$10:$J$29,0)),"")</f>
        <v/>
      </c>
      <c r="AT38" s="47" t="n">
        <f aca="false">IF($Q38&lt;&gt;"",$Q38,$AS38)</f>
        <v>46268</v>
      </c>
    </row>
    <row r="39" customFormat="false" ht="16.5" hidden="false" customHeight="true" outlineLevel="0" collapsed="false">
      <c r="A39" s="39" t="n">
        <f aca="false">IF($F39="","",ROW())</f>
        <v>39</v>
      </c>
      <c r="B39" s="40" t="str">
        <f aca="false">IF($F39="",IF($D39="","","Falta a atividade"),IF($R39="Cancelada","Cancelada",IF($AB39=1,IF(N($Z39)&gt;0,"Concluída com atraso","Concluída"),IF($R39="Em programação","Em programação",IF($O39="",IF($M39="","Na carteira","Falta a semana"),IF($AC39=1,"VENCIDA",IF($O39&gt;Hoje!$L$1,"Programada",IF($P39&gt;Hoje!$L$1,"Em execução","Fecha hoje"))))))))</f>
        <v>Concluída</v>
      </c>
      <c r="C39" s="41" t="s">
        <v>168</v>
      </c>
      <c r="D39" s="42" t="s">
        <v>134</v>
      </c>
      <c r="E39" s="42" t="s">
        <v>169</v>
      </c>
      <c r="F39" s="42" t="s">
        <v>170</v>
      </c>
      <c r="G39" s="43" t="s">
        <v>80</v>
      </c>
      <c r="H39" s="43" t="s">
        <v>100</v>
      </c>
      <c r="I39" s="44" t="s">
        <v>82</v>
      </c>
      <c r="J39" s="44" t="s">
        <v>83</v>
      </c>
      <c r="K39" s="44"/>
      <c r="L39" s="45" t="n">
        <v>36</v>
      </c>
      <c r="M39" s="46" t="s">
        <v>108</v>
      </c>
      <c r="N39" s="45" t="n">
        <v>3</v>
      </c>
      <c r="O39" s="47" t="n">
        <f aca="false">IF(OR($L39="",$M39=""),"",(DATE(Semana!$J$3,1,4)-WEEKDAY(DATE(Semana!$J$3,1,4),3))+($L39-1)*7+MATCH($M39,Listas!$F$5:$F$11,0)-1)</f>
        <v>46265</v>
      </c>
      <c r="P39" s="47" t="n">
        <f aca="false">IF(OR($F39="",$O39=""),"",$O39+MAX(0,ROUNDUP($AK39*MAX(1,IF($N39="",1,$N39))/MAX(1,$AL39),0)-1))</f>
        <v>46267</v>
      </c>
      <c r="Q39" s="48" t="n">
        <v>46265</v>
      </c>
      <c r="R39" s="43" t="s">
        <v>85</v>
      </c>
      <c r="S39" s="49"/>
      <c r="T39" s="42"/>
      <c r="U39" s="42"/>
      <c r="V39" s="39" t="str">
        <f aca="false">IF($F39="","",IF(ISNUMBER(SEARCH("(externo)",$I39&amp;$J39&amp;$K39)),"Terceirizada","Interna"))</f>
        <v>Interna</v>
      </c>
      <c r="W39" s="47" t="n">
        <f aca="false">IF($O39="","",IF($S39="",$O39,(DATE(Semana!$J$3,1,4)-WEEKDAY(DATE(Semana!$J$3,1,4),3))+($S39-1)*7+IF($M39="",0,MATCH($M39,Listas!$F$5:$F$11,0)-1)))</f>
        <v>46265</v>
      </c>
      <c r="X39" s="39" t="n">
        <f aca="false">IF($F39="","",IF(OR($AT39="",$O39=""),0,IF($AT39&lt;=$O39,1,0)))</f>
        <v>1</v>
      </c>
      <c r="Y39" s="39" t="n">
        <f aca="false">IF($F39="","",IF(OR($AT39="",$W39=""),0,IF($AT39&lt;=$W39,1,0)))</f>
        <v>1</v>
      </c>
      <c r="Z39" s="39" t="n">
        <f aca="false">IF(OR($AT39="",$O39=""),"",MAX(0,$AT39-$O39))</f>
        <v>0</v>
      </c>
      <c r="AA39" s="39" t="n">
        <f aca="false">IF($F39="","",IF(AND($S39&lt;&gt;"",$L39&lt;&gt;"",$S39&lt;&gt;$L39),1,0))</f>
        <v>0</v>
      </c>
      <c r="AB39" s="39" t="n">
        <f aca="false">IF($F39="","",IF($R39="Cancelada",0,IF(OR($AT39&lt;&gt;"",$R39="Concluída"),1,0)))</f>
        <v>1</v>
      </c>
      <c r="AC39" s="39" t="n">
        <f aca="false">IF($P39="",0,IF($P39&lt;Hoje!$L$1,1,IF(AND($P39=Hoje!$L$1,Hoje!$L$2&gt;Semana!$M$3),1,0)))</f>
        <v>1</v>
      </c>
      <c r="AD39" s="39" t="n">
        <f aca="false">IF($F39="","",IF(COUNTA($I39:$K39)=0,0,1/COUNTA($I39:$K39)))</f>
        <v>0.5</v>
      </c>
      <c r="AE39" s="39" t="str">
        <f aca="false">IF($AH39=0,"",SUM($AH$4:$AH39))</f>
        <v/>
      </c>
      <c r="AF39" s="39" t="str">
        <f aca="false">IF($AI39=0,"",SUM($AI$4:$AI39))</f>
        <v/>
      </c>
      <c r="AG39" s="50" t="str">
        <f aca="false">IF($F39="","",$I39&amp;IF($J39="",""," · "&amp;$J39)&amp;IF($K39="",""," · "&amp;$K39))</f>
        <v>Airton · Luiz Paulo</v>
      </c>
      <c r="AH39" s="39" t="n">
        <f aca="false">IF(AND($F39&lt;&gt;"",$O39&lt;&gt;"",$O39&lt;=Hoje!$C$3,$P39&gt;=Hoje!$C$3,$R39&lt;&gt;"Cancelada"),1,0)</f>
        <v>0</v>
      </c>
      <c r="AI39" s="39" t="n">
        <f aca="false">IF(AND($F39&lt;&gt;"",$P39&lt;&gt;"",$P39&lt;Hoje!$C$3,$AB39=0,$R39&lt;&gt;"Cancelada"),1,0)</f>
        <v>0</v>
      </c>
      <c r="AJ39" s="50" t="str">
        <f aca="false">IF($F39="","",$D39&amp;"|"&amp;$E39&amp;"|"&amp;$L39)</f>
        <v>F-331|Alinhar pneus|36</v>
      </c>
      <c r="AK39" s="39" t="n">
        <f aca="false">IF($AJ39="","",COUNTIF($AJ$4:$AJ39,$AJ39))</f>
        <v>1</v>
      </c>
      <c r="AL39" s="39" t="n">
        <f aca="false">IF($AJ39="","",COUNTIF($AJ$4:$AJ$1004,$AJ39))</f>
        <v>1</v>
      </c>
      <c r="AM39" s="42"/>
      <c r="AN39" s="50" t="str">
        <f aca="false">IF($D39="","",IFERROR(T(VLOOKUP($D39,Listas!$B$5:$H$120,7,0)),""))</f>
        <v/>
      </c>
      <c r="AO39" s="50" t="str">
        <f aca="false">IF(OR($F39="",$L39&lt;&gt;"",$R39="Cancelada",$AT39&lt;&gt;""),"",$AN39&amp;"|"&amp;$D39&amp;"|"&amp;IF($C39="","zzz",$C39)&amp;"|"&amp;TEXT(39,"0000"))</f>
        <v/>
      </c>
      <c r="AP39" s="50" t="str">
        <f aca="false">IF($AO39="","",COUNTIF($AO$5:$AO$1004,"&lt;"&amp;$AO39)-(ROWS($AO$5:$AO$1004)-Hoje!$L$5)+1)</f>
        <v/>
      </c>
      <c r="AQ39" s="50" t="n">
        <f aca="false">IF(AND($F39&lt;&gt;"",$D39=Frota!$C$3),1,0)</f>
        <v>0</v>
      </c>
      <c r="AR39" s="50" t="str">
        <f aca="false">IF($AQ39=0,"",SUM($AQ$4:$AQ39))</f>
        <v/>
      </c>
      <c r="AS39" s="50" t="str">
        <f aca="false">IFERROR(INDEX(Hoje!$K$10:$K$29,MATCH(ROW(),Hoje!$J$10:$J$29,0)),"")</f>
        <v/>
      </c>
      <c r="AT39" s="47" t="n">
        <f aca="false">IF($Q39&lt;&gt;"",$Q39,$AS39)</f>
        <v>46265</v>
      </c>
    </row>
    <row r="40" customFormat="false" ht="16.5" hidden="false" customHeight="true" outlineLevel="0" collapsed="false">
      <c r="A40" s="39" t="n">
        <f aca="false">IF($F40="","",ROW())</f>
        <v>40</v>
      </c>
      <c r="B40" s="40" t="str">
        <f aca="false">IF($F40="",IF($D40="","","Falta a atividade"),IF($R40="Cancelada","Cancelada",IF($AB40=1,IF(N($Z40)&gt;0,"Concluída com atraso","Concluída"),IF($R40="Em programação","Em programação",IF($O40="",IF($M40="","Na carteira","Falta a semana"),IF($AC40=1,"VENCIDA",IF($O40&gt;Hoje!$L$1,"Programada",IF($P40&gt;Hoje!$L$1,"Em execução","Fecha hoje"))))))))</f>
        <v>Concluída</v>
      </c>
      <c r="C40" s="41"/>
      <c r="D40" s="42" t="s">
        <v>171</v>
      </c>
      <c r="E40" s="42" t="s">
        <v>172</v>
      </c>
      <c r="F40" s="42" t="s">
        <v>172</v>
      </c>
      <c r="G40" s="43" t="s">
        <v>80</v>
      </c>
      <c r="H40" s="43" t="s">
        <v>81</v>
      </c>
      <c r="I40" s="44" t="s">
        <v>106</v>
      </c>
      <c r="J40" s="44"/>
      <c r="K40" s="44"/>
      <c r="L40" s="45" t="n">
        <v>35</v>
      </c>
      <c r="M40" s="46" t="s">
        <v>173</v>
      </c>
      <c r="N40" s="45" t="n">
        <v>2</v>
      </c>
      <c r="O40" s="47" t="n">
        <f aca="false">IF(OR($L40="",$M40=""),"",(DATE(Semana!$J$3,1,4)-WEEKDAY(DATE(Semana!$J$3,1,4),3))+($L40-1)*7+MATCH($M40,Listas!$F$5:$F$11,0)-1)</f>
        <v>46261</v>
      </c>
      <c r="P40" s="47" t="n">
        <f aca="false">IF(OR($F40="",$O40=""),"",$O40+MAX(0,ROUNDUP($AK40*MAX(1,IF($N40="",1,$N40))/MAX(1,$AL40),0)-1))</f>
        <v>46262</v>
      </c>
      <c r="Q40" s="48" t="n">
        <v>46261</v>
      </c>
      <c r="R40" s="43"/>
      <c r="S40" s="49"/>
      <c r="T40" s="42"/>
      <c r="U40" s="42" t="s">
        <v>174</v>
      </c>
      <c r="V40" s="39" t="str">
        <f aca="false">IF($F40="","",IF(ISNUMBER(SEARCH("(externo)",$I40&amp;$J40&amp;$K40)),"Terceirizada","Interna"))</f>
        <v>Interna</v>
      </c>
      <c r="W40" s="47" t="n">
        <f aca="false">IF($O40="","",IF($S40="",$O40,(DATE(Semana!$J$3,1,4)-WEEKDAY(DATE(Semana!$J$3,1,4),3))+($S40-1)*7+IF($M40="",0,MATCH($M40,Listas!$F$5:$F$11,0)-1)))</f>
        <v>46261</v>
      </c>
      <c r="X40" s="39" t="n">
        <f aca="false">IF($F40="","",IF(OR($AT40="",$O40=""),0,IF($AT40&lt;=$O40,1,0)))</f>
        <v>1</v>
      </c>
      <c r="Y40" s="39" t="n">
        <f aca="false">IF($F40="","",IF(OR($AT40="",$W40=""),0,IF($AT40&lt;=$W40,1,0)))</f>
        <v>1</v>
      </c>
      <c r="Z40" s="39" t="n">
        <f aca="false">IF(OR($AT40="",$O40=""),"",MAX(0,$AT40-$O40))</f>
        <v>0</v>
      </c>
      <c r="AA40" s="39" t="n">
        <f aca="false">IF($F40="","",IF(AND($S40&lt;&gt;"",$L40&lt;&gt;"",$S40&lt;&gt;$L40),1,0))</f>
        <v>0</v>
      </c>
      <c r="AB40" s="39" t="n">
        <f aca="false">IF($F40="","",IF($R40="Cancelada",0,IF(OR($AT40&lt;&gt;"",$R40="Concluída"),1,0)))</f>
        <v>1</v>
      </c>
      <c r="AC40" s="39" t="n">
        <f aca="false">IF($P40="",0,IF($P40&lt;Hoje!$L$1,1,IF(AND($P40=Hoje!$L$1,Hoje!$L$2&gt;Semana!$M$3),1,0)))</f>
        <v>1</v>
      </c>
      <c r="AD40" s="39" t="n">
        <f aca="false">IF($F40="","",IF(COUNTA($I40:$K40)=0,0,1/COUNTA($I40:$K40)))</f>
        <v>1</v>
      </c>
      <c r="AE40" s="39" t="str">
        <f aca="false">IF($AH40=0,"",SUM($AH$4:$AH40))</f>
        <v/>
      </c>
      <c r="AF40" s="39" t="str">
        <f aca="false">IF($AI40=0,"",SUM($AI$4:$AI40))</f>
        <v/>
      </c>
      <c r="AG40" s="50" t="str">
        <f aca="false">IF($F40="","",$I40&amp;IF($J40="",""," · "&amp;$J40)&amp;IF($K40="",""," · "&amp;$K40))</f>
        <v>Adilton</v>
      </c>
      <c r="AH40" s="39" t="n">
        <f aca="false">IF(AND($F40&lt;&gt;"",$O40&lt;&gt;"",$O40&lt;=Hoje!$C$3,$P40&gt;=Hoje!$C$3,$R40&lt;&gt;"Cancelada"),1,0)</f>
        <v>0</v>
      </c>
      <c r="AI40" s="39" t="n">
        <f aca="false">IF(AND($F40&lt;&gt;"",$P40&lt;&gt;"",$P40&lt;Hoje!$C$3,$AB40=0,$R40&lt;&gt;"Cancelada"),1,0)</f>
        <v>0</v>
      </c>
      <c r="AJ40" s="50" t="str">
        <f aca="false">IF($F40="","",$D40&amp;"|"&amp;$E40&amp;"|"&amp;$L40)</f>
        <v>F-457|Verificar válvula de freio|35</v>
      </c>
      <c r="AK40" s="39" t="n">
        <f aca="false">IF($AJ40="","",COUNTIF($AJ$4:$AJ40,$AJ40))</f>
        <v>1</v>
      </c>
      <c r="AL40" s="39" t="n">
        <f aca="false">IF($AJ40="","",COUNTIF($AJ$4:$AJ$1004,$AJ40))</f>
        <v>1</v>
      </c>
      <c r="AM40" s="42"/>
      <c r="AN40" s="50" t="str">
        <f aca="false">IF($D40="","",IFERROR(T(VLOOKUP($D40,Listas!$B$5:$H$120,7,0)),""))</f>
        <v/>
      </c>
      <c r="AO40" s="50" t="str">
        <f aca="false">IF(OR($F40="",$L40&lt;&gt;"",$R40="Cancelada",$AT40&lt;&gt;""),"",$AN40&amp;"|"&amp;$D40&amp;"|"&amp;IF($C40="","zzz",$C40)&amp;"|"&amp;TEXT(40,"0000"))</f>
        <v/>
      </c>
      <c r="AP40" s="50" t="str">
        <f aca="false">IF($AO40="","",COUNTIF($AO$5:$AO$1004,"&lt;"&amp;$AO40)-(ROWS($AO$5:$AO$1004)-Hoje!$L$5)+1)</f>
        <v/>
      </c>
      <c r="AQ40" s="50" t="n">
        <f aca="false">IF(AND($F40&lt;&gt;"",$D40=Frota!$C$3),1,0)</f>
        <v>0</v>
      </c>
      <c r="AR40" s="50" t="str">
        <f aca="false">IF($AQ40=0,"",SUM($AQ$4:$AQ40))</f>
        <v/>
      </c>
      <c r="AS40" s="50" t="str">
        <f aca="false">IFERROR(INDEX(Hoje!$K$10:$K$29,MATCH(ROW(),Hoje!$J$10:$J$29,0)),"")</f>
        <v/>
      </c>
      <c r="AT40" s="47" t="n">
        <f aca="false">IF($Q40&lt;&gt;"",$Q40,$AS40)</f>
        <v>46261</v>
      </c>
    </row>
    <row r="41" customFormat="false" ht="16.5" hidden="false" customHeight="true" outlineLevel="0" collapsed="false">
      <c r="A41" s="39" t="n">
        <f aca="false">IF($F41="","",ROW())</f>
        <v>41</v>
      </c>
      <c r="B41" s="40" t="str">
        <f aca="false">IF($F41="",IF($D41="","","Falta a atividade"),IF($R41="Cancelada","Cancelada",IF($AB41=1,IF(N($Z41)&gt;0,"Concluída com atraso","Concluída"),IF($R41="Em programação","Em programação",IF($O41="",IF($M41="","Na carteira","Falta a semana"),IF($AC41=1,"VENCIDA",IF($O41&gt;Hoje!$L$1,"Programada",IF($P41&gt;Hoje!$L$1,"Em execução","Fecha hoje"))))))))</f>
        <v>Concluída</v>
      </c>
      <c r="C41" s="41"/>
      <c r="D41" s="42" t="s">
        <v>175</v>
      </c>
      <c r="E41" s="42" t="s">
        <v>172</v>
      </c>
      <c r="F41" s="42" t="s">
        <v>172</v>
      </c>
      <c r="G41" s="43" t="s">
        <v>80</v>
      </c>
      <c r="H41" s="43" t="s">
        <v>81</v>
      </c>
      <c r="I41" s="44" t="s">
        <v>106</v>
      </c>
      <c r="J41" s="44"/>
      <c r="K41" s="44"/>
      <c r="L41" s="45" t="n">
        <v>35</v>
      </c>
      <c r="M41" s="46" t="s">
        <v>173</v>
      </c>
      <c r="N41" s="45" t="n">
        <v>2</v>
      </c>
      <c r="O41" s="47" t="n">
        <f aca="false">IF(OR($L41="",$M41=""),"",(DATE(Semana!$J$3,1,4)-WEEKDAY(DATE(Semana!$J$3,1,4),3))+($L41-1)*7+MATCH($M41,Listas!$F$5:$F$11,0)-1)</f>
        <v>46261</v>
      </c>
      <c r="P41" s="47" t="n">
        <f aca="false">IF(OR($F41="",$O41=""),"",$O41+MAX(0,ROUNDUP($AK41*MAX(1,IF($N41="",1,$N41))/MAX(1,$AL41),0)-1))</f>
        <v>46262</v>
      </c>
      <c r="Q41" s="48" t="n">
        <v>46261</v>
      </c>
      <c r="R41" s="43"/>
      <c r="S41" s="49"/>
      <c r="T41" s="42"/>
      <c r="U41" s="42" t="s">
        <v>174</v>
      </c>
      <c r="V41" s="39" t="str">
        <f aca="false">IF($F41="","",IF(ISNUMBER(SEARCH("(externo)",$I41&amp;$J41&amp;$K41)),"Terceirizada","Interna"))</f>
        <v>Interna</v>
      </c>
      <c r="W41" s="47" t="n">
        <f aca="false">IF($O41="","",IF($S41="",$O41,(DATE(Semana!$J$3,1,4)-WEEKDAY(DATE(Semana!$J$3,1,4),3))+($S41-1)*7+IF($M41="",0,MATCH($M41,Listas!$F$5:$F$11,0)-1)))</f>
        <v>46261</v>
      </c>
      <c r="X41" s="39" t="n">
        <f aca="false">IF($F41="","",IF(OR($AT41="",$O41=""),0,IF($AT41&lt;=$O41,1,0)))</f>
        <v>1</v>
      </c>
      <c r="Y41" s="39" t="n">
        <f aca="false">IF($F41="","",IF(OR($AT41="",$W41=""),0,IF($AT41&lt;=$W41,1,0)))</f>
        <v>1</v>
      </c>
      <c r="Z41" s="39" t="n">
        <f aca="false">IF(OR($AT41="",$O41=""),"",MAX(0,$AT41-$O41))</f>
        <v>0</v>
      </c>
      <c r="AA41" s="39" t="n">
        <f aca="false">IF($F41="","",IF(AND($S41&lt;&gt;"",$L41&lt;&gt;"",$S41&lt;&gt;$L41),1,0))</f>
        <v>0</v>
      </c>
      <c r="AB41" s="39" t="n">
        <f aca="false">IF($F41="","",IF($R41="Cancelada",0,IF(OR($AT41&lt;&gt;"",$R41="Concluída"),1,0)))</f>
        <v>1</v>
      </c>
      <c r="AC41" s="39" t="n">
        <f aca="false">IF($P41="",0,IF($P41&lt;Hoje!$L$1,1,IF(AND($P41=Hoje!$L$1,Hoje!$L$2&gt;Semana!$M$3),1,0)))</f>
        <v>1</v>
      </c>
      <c r="AD41" s="39" t="n">
        <f aca="false">IF($F41="","",IF(COUNTA($I41:$K41)=0,0,1/COUNTA($I41:$K41)))</f>
        <v>1</v>
      </c>
      <c r="AE41" s="39" t="str">
        <f aca="false">IF($AH41=0,"",SUM($AH$4:$AH41))</f>
        <v/>
      </c>
      <c r="AF41" s="39" t="str">
        <f aca="false">IF($AI41=0,"",SUM($AI$4:$AI41))</f>
        <v/>
      </c>
      <c r="AG41" s="50" t="str">
        <f aca="false">IF($F41="","",$I41&amp;IF($J41="",""," · "&amp;$J41)&amp;IF($K41="",""," · "&amp;$K41))</f>
        <v>Adilton</v>
      </c>
      <c r="AH41" s="39" t="n">
        <f aca="false">IF(AND($F41&lt;&gt;"",$O41&lt;&gt;"",$O41&lt;=Hoje!$C$3,$P41&gt;=Hoje!$C$3,$R41&lt;&gt;"Cancelada"),1,0)</f>
        <v>0</v>
      </c>
      <c r="AI41" s="39" t="n">
        <f aca="false">IF(AND($F41&lt;&gt;"",$P41&lt;&gt;"",$P41&lt;Hoje!$C$3,$AB41=0,$R41&lt;&gt;"Cancelada"),1,0)</f>
        <v>0</v>
      </c>
      <c r="AJ41" s="50" t="str">
        <f aca="false">IF($F41="","",$D41&amp;"|"&amp;$E41&amp;"|"&amp;$L41)</f>
        <v>F-458|Verificar válvula de freio|35</v>
      </c>
      <c r="AK41" s="39" t="n">
        <f aca="false">IF($AJ41="","",COUNTIF($AJ$4:$AJ41,$AJ41))</f>
        <v>1</v>
      </c>
      <c r="AL41" s="39" t="n">
        <f aca="false">IF($AJ41="","",COUNTIF($AJ$4:$AJ$1004,$AJ41))</f>
        <v>1</v>
      </c>
      <c r="AM41" s="42"/>
      <c r="AN41" s="50" t="str">
        <f aca="false">IF($D41="","",IFERROR(T(VLOOKUP($D41,Listas!$B$5:$H$120,7,0)),""))</f>
        <v/>
      </c>
      <c r="AO41" s="50" t="str">
        <f aca="false">IF(OR($F41="",$L41&lt;&gt;"",$R41="Cancelada",$AT41&lt;&gt;""),"",$AN41&amp;"|"&amp;$D41&amp;"|"&amp;IF($C41="","zzz",$C41)&amp;"|"&amp;TEXT(41,"0000"))</f>
        <v/>
      </c>
      <c r="AP41" s="50" t="str">
        <f aca="false">IF($AO41="","",COUNTIF($AO$5:$AO$1004,"&lt;"&amp;$AO41)-(ROWS($AO$5:$AO$1004)-Hoje!$L$5)+1)</f>
        <v/>
      </c>
      <c r="AQ41" s="50" t="n">
        <f aca="false">IF(AND($F41&lt;&gt;"",$D41=Frota!$C$3),1,0)</f>
        <v>0</v>
      </c>
      <c r="AR41" s="50" t="str">
        <f aca="false">IF($AQ41=0,"",SUM($AQ$4:$AQ41))</f>
        <v/>
      </c>
      <c r="AS41" s="50" t="str">
        <f aca="false">IFERROR(INDEX(Hoje!$K$10:$K$29,MATCH(ROW(),Hoje!$J$10:$J$29,0)),"")</f>
        <v/>
      </c>
      <c r="AT41" s="47" t="n">
        <f aca="false">IF($Q41&lt;&gt;"",$Q41,$AS41)</f>
        <v>46261</v>
      </c>
    </row>
    <row r="42" customFormat="false" ht="16.5" hidden="false" customHeight="true" outlineLevel="0" collapsed="false">
      <c r="A42" s="39" t="n">
        <f aca="false">IF($F42="","",ROW())</f>
        <v>42</v>
      </c>
      <c r="B42" s="40" t="str">
        <f aca="false">IF($F42="",IF($D42="","","Falta a atividade"),IF($R42="Cancelada","Cancelada",IF($AB42=1,IF(N($Z42)&gt;0,"Concluída com atraso","Concluída"),IF($R42="Em programação","Em programação",IF($O42="",IF($M42="","Na carteira","Falta a semana"),IF($AC42=1,"VENCIDA",IF($O42&gt;Hoje!$L$1,"Programada",IF($P42&gt;Hoje!$L$1,"Em execução","Fecha hoje"))))))))</f>
        <v>Concluída</v>
      </c>
      <c r="C42" s="41" t="s">
        <v>176</v>
      </c>
      <c r="D42" s="42" t="s">
        <v>177</v>
      </c>
      <c r="E42" s="42" t="s">
        <v>78</v>
      </c>
      <c r="F42" s="42" t="s">
        <v>178</v>
      </c>
      <c r="G42" s="43" t="s">
        <v>80</v>
      </c>
      <c r="H42" s="43" t="s">
        <v>81</v>
      </c>
      <c r="I42" s="44" t="s">
        <v>82</v>
      </c>
      <c r="J42" s="44" t="s">
        <v>83</v>
      </c>
      <c r="K42" s="44"/>
      <c r="L42" s="45" t="n">
        <v>35</v>
      </c>
      <c r="M42" s="46" t="s">
        <v>173</v>
      </c>
      <c r="N42" s="45" t="n">
        <v>2</v>
      </c>
      <c r="O42" s="47" t="n">
        <f aca="false">IF(OR($L42="",$M42=""),"",(DATE(Semana!$J$3,1,4)-WEEKDAY(DATE(Semana!$J$3,1,4),3))+($L42-1)*7+MATCH($M42,Listas!$F$5:$F$11,0)-1)</f>
        <v>46261</v>
      </c>
      <c r="P42" s="47" t="n">
        <f aca="false">IF(OR($F42="",$O42=""),"",$O42+MAX(0,ROUNDUP($AK42*MAX(1,IF($N42="",1,$N42))/MAX(1,$AL42),0)-1))</f>
        <v>46262</v>
      </c>
      <c r="Q42" s="48" t="n">
        <v>46261</v>
      </c>
      <c r="R42" s="43" t="s">
        <v>85</v>
      </c>
      <c r="S42" s="49"/>
      <c r="T42" s="42"/>
      <c r="U42" s="42"/>
      <c r="V42" s="39" t="str">
        <f aca="false">IF($F42="","",IF(ISNUMBER(SEARCH("(externo)",$I42&amp;$J42&amp;$K42)),"Terceirizada","Interna"))</f>
        <v>Interna</v>
      </c>
      <c r="W42" s="47" t="n">
        <f aca="false">IF($O42="","",IF($S42="",$O42,(DATE(Semana!$J$3,1,4)-WEEKDAY(DATE(Semana!$J$3,1,4),3))+($S42-1)*7+IF($M42="",0,MATCH($M42,Listas!$F$5:$F$11,0)-1)))</f>
        <v>46261</v>
      </c>
      <c r="X42" s="39" t="n">
        <f aca="false">IF($F42="","",IF(OR($AT42="",$O42=""),0,IF($AT42&lt;=$O42,1,0)))</f>
        <v>1</v>
      </c>
      <c r="Y42" s="39" t="n">
        <f aca="false">IF($F42="","",IF(OR($AT42="",$W42=""),0,IF($AT42&lt;=$W42,1,0)))</f>
        <v>1</v>
      </c>
      <c r="Z42" s="39" t="n">
        <f aca="false">IF(OR($AT42="",$O42=""),"",MAX(0,$AT42-$O42))</f>
        <v>0</v>
      </c>
      <c r="AA42" s="39" t="n">
        <f aca="false">IF($F42="","",IF(AND($S42&lt;&gt;"",$L42&lt;&gt;"",$S42&lt;&gt;$L42),1,0))</f>
        <v>0</v>
      </c>
      <c r="AB42" s="39" t="n">
        <f aca="false">IF($F42="","",IF($R42="Cancelada",0,IF(OR($AT42&lt;&gt;"",$R42="Concluída"),1,0)))</f>
        <v>1</v>
      </c>
      <c r="AC42" s="39" t="n">
        <f aca="false">IF($P42="",0,IF($P42&lt;Hoje!$L$1,1,IF(AND($P42=Hoje!$L$1,Hoje!$L$2&gt;Semana!$M$3),1,0)))</f>
        <v>1</v>
      </c>
      <c r="AD42" s="39" t="n">
        <f aca="false">IF($F42="","",IF(COUNTA($I42:$K42)=0,0,1/COUNTA($I42:$K42)))</f>
        <v>0.5</v>
      </c>
      <c r="AE42" s="39" t="str">
        <f aca="false">IF($AH42=0,"",SUM($AH$4:$AH42))</f>
        <v/>
      </c>
      <c r="AF42" s="39" t="str">
        <f aca="false">IF($AI42=0,"",SUM($AI$4:$AI42))</f>
        <v/>
      </c>
      <c r="AG42" s="50" t="str">
        <f aca="false">IF($F42="","",$I42&amp;IF($J42="",""," · "&amp;$J42)&amp;IF($K42="",""," · "&amp;$K42))</f>
        <v>Airton · Luiz Paulo</v>
      </c>
      <c r="AH42" s="39" t="n">
        <f aca="false">IF(AND($F42&lt;&gt;"",$O42&lt;&gt;"",$O42&lt;=Hoje!$C$3,$P42&gt;=Hoje!$C$3,$R42&lt;&gt;"Cancelada"),1,0)</f>
        <v>0</v>
      </c>
      <c r="AI42" s="39" t="n">
        <f aca="false">IF(AND($F42&lt;&gt;"",$P42&lt;&gt;"",$P42&lt;Hoje!$C$3,$AB42=0,$R42&lt;&gt;"Cancelada"),1,0)</f>
        <v>0</v>
      </c>
      <c r="AJ42" s="50" t="str">
        <f aca="false">IF($F42="","",$D42&amp;"|"&amp;$E42&amp;"|"&amp;$L42)</f>
        <v>F-617|Calibração e troca de pneus|35</v>
      </c>
      <c r="AK42" s="39" t="n">
        <f aca="false">IF($AJ42="","",COUNTIF($AJ$4:$AJ42,$AJ42))</f>
        <v>1</v>
      </c>
      <c r="AL42" s="39" t="n">
        <f aca="false">IF($AJ42="","",COUNTIF($AJ$4:$AJ$1004,$AJ42))</f>
        <v>1</v>
      </c>
      <c r="AM42" s="42"/>
      <c r="AN42" s="50" t="str">
        <f aca="false">IF($D42="","",IFERROR(T(VLOOKUP($D42,Listas!$B$5:$H$120,7,0)),""))</f>
        <v/>
      </c>
      <c r="AO42" s="50" t="str">
        <f aca="false">IF(OR($F42="",$L42&lt;&gt;"",$R42="Cancelada",$AT42&lt;&gt;""),"",$AN42&amp;"|"&amp;$D42&amp;"|"&amp;IF($C42="","zzz",$C42)&amp;"|"&amp;TEXT(42,"0000"))</f>
        <v/>
      </c>
      <c r="AP42" s="50" t="str">
        <f aca="false">IF($AO42="","",COUNTIF($AO$5:$AO$1004,"&lt;"&amp;$AO42)-(ROWS($AO$5:$AO$1004)-Hoje!$L$5)+1)</f>
        <v/>
      </c>
      <c r="AQ42" s="50" t="n">
        <f aca="false">IF(AND($F42&lt;&gt;"",$D42=Frota!$C$3),1,0)</f>
        <v>0</v>
      </c>
      <c r="AR42" s="50" t="str">
        <f aca="false">IF($AQ42=0,"",SUM($AQ$4:$AQ42))</f>
        <v/>
      </c>
      <c r="AS42" s="50" t="str">
        <f aca="false">IFERROR(INDEX(Hoje!$K$10:$K$29,MATCH(ROW(),Hoje!$J$10:$J$29,0)),"")</f>
        <v/>
      </c>
      <c r="AT42" s="47" t="n">
        <f aca="false">IF($Q42&lt;&gt;"",$Q42,$AS42)</f>
        <v>46261</v>
      </c>
    </row>
    <row r="43" customFormat="false" ht="16.5" hidden="false" customHeight="true" outlineLevel="0" collapsed="false">
      <c r="A43" s="39" t="n">
        <f aca="false">IF($F43="","",ROW())</f>
        <v>43</v>
      </c>
      <c r="B43" s="40" t="str">
        <f aca="false">IF($F43="",IF($D43="","","Falta a atividade"),IF($R43="Cancelada","Cancelada",IF($AB43=1,IF(N($Z43)&gt;0,"Concluída com atraso","Concluída"),IF($R43="Em programação","Em programação",IF($O43="",IF($M43="","Na carteira","Falta a semana"),IF($AC43=1,"VENCIDA",IF($O43&gt;Hoje!$L$1,"Programada",IF($P43&gt;Hoje!$L$1,"Em execução","Fecha hoje"))))))))</f>
        <v>Concluída com atraso</v>
      </c>
      <c r="C43" s="41" t="s">
        <v>179</v>
      </c>
      <c r="D43" s="42" t="s">
        <v>177</v>
      </c>
      <c r="E43" s="42" t="s">
        <v>180</v>
      </c>
      <c r="F43" s="42" t="s">
        <v>181</v>
      </c>
      <c r="G43" s="43" t="s">
        <v>80</v>
      </c>
      <c r="H43" s="43" t="s">
        <v>100</v>
      </c>
      <c r="I43" s="44" t="s">
        <v>182</v>
      </c>
      <c r="J43" s="44"/>
      <c r="K43" s="44"/>
      <c r="L43" s="45" t="n">
        <v>36</v>
      </c>
      <c r="M43" s="46" t="s">
        <v>108</v>
      </c>
      <c r="N43" s="45" t="n">
        <v>2</v>
      </c>
      <c r="O43" s="47" t="n">
        <f aca="false">IF(OR($L43="",$M43=""),"",(DATE(Semana!$J$3,1,4)-WEEKDAY(DATE(Semana!$J$3,1,4),3))+($L43-1)*7+MATCH($M43,Listas!$F$5:$F$11,0)-1)</f>
        <v>46265</v>
      </c>
      <c r="P43" s="47" t="n">
        <f aca="false">IF(OR($F43="",$O43=""),"",$O43+MAX(0,ROUNDUP($AK43*MAX(1,IF($N43="",1,$N43))/MAX(1,$AL43),0)-1))</f>
        <v>46265</v>
      </c>
      <c r="Q43" s="48" t="n">
        <v>46266</v>
      </c>
      <c r="R43" s="43" t="s">
        <v>85</v>
      </c>
      <c r="S43" s="49" t="n">
        <v>35</v>
      </c>
      <c r="T43" s="42"/>
      <c r="U43" s="42"/>
      <c r="V43" s="39" t="str">
        <f aca="false">IF($F43="","",IF(ISNUMBER(SEARCH("(externo)",$I43&amp;$J43&amp;$K43)),"Terceirizada","Interna"))</f>
        <v>Interna</v>
      </c>
      <c r="W43" s="47" t="n">
        <f aca="false">IF($O43="","",IF($S43="",$O43,(DATE(Semana!$J$3,1,4)-WEEKDAY(DATE(Semana!$J$3,1,4),3))+($S43-1)*7+IF($M43="",0,MATCH($M43,Listas!$F$5:$F$11,0)-1)))</f>
        <v>46258</v>
      </c>
      <c r="X43" s="39" t="n">
        <f aca="false">IF($F43="","",IF(OR($AT43="",$O43=""),0,IF($AT43&lt;=$O43,1,0)))</f>
        <v>0</v>
      </c>
      <c r="Y43" s="39" t="n">
        <f aca="false">IF($F43="","",IF(OR($AT43="",$W43=""),0,IF($AT43&lt;=$W43,1,0)))</f>
        <v>0</v>
      </c>
      <c r="Z43" s="39" t="n">
        <f aca="false">IF(OR($AT43="",$O43=""),"",MAX(0,$AT43-$O43))</f>
        <v>1</v>
      </c>
      <c r="AA43" s="39" t="n">
        <f aca="false">IF($F43="","",IF(AND($S43&lt;&gt;"",$L43&lt;&gt;"",$S43&lt;&gt;$L43),1,0))</f>
        <v>1</v>
      </c>
      <c r="AB43" s="39" t="n">
        <f aca="false">IF($F43="","",IF($R43="Cancelada",0,IF(OR($AT43&lt;&gt;"",$R43="Concluída"),1,0)))</f>
        <v>1</v>
      </c>
      <c r="AC43" s="39" t="n">
        <f aca="false">IF($P43="",0,IF($P43&lt;Hoje!$L$1,1,IF(AND($P43=Hoje!$L$1,Hoje!$L$2&gt;Semana!$M$3),1,0)))</f>
        <v>1</v>
      </c>
      <c r="AD43" s="39" t="n">
        <f aca="false">IF($F43="","",IF(COUNTA($I43:$K43)=0,0,1/COUNTA($I43:$K43)))</f>
        <v>1</v>
      </c>
      <c r="AE43" s="39" t="str">
        <f aca="false">IF($AH43=0,"",SUM($AH$4:$AH43))</f>
        <v/>
      </c>
      <c r="AF43" s="39" t="str">
        <f aca="false">IF($AI43=0,"",SUM($AI$4:$AI43))</f>
        <v/>
      </c>
      <c r="AG43" s="50" t="str">
        <f aca="false">IF($F43="","",$I43&amp;IF($J43="",""," · "&amp;$J43)&amp;IF($K43="",""," · "&amp;$K43))</f>
        <v>Alexandre</v>
      </c>
      <c r="AH43" s="39" t="n">
        <f aca="false">IF(AND($F43&lt;&gt;"",$O43&lt;&gt;"",$O43&lt;=Hoje!$C$3,$P43&gt;=Hoje!$C$3,$R43&lt;&gt;"Cancelada"),1,0)</f>
        <v>0</v>
      </c>
      <c r="AI43" s="39" t="n">
        <f aca="false">IF(AND($F43&lt;&gt;"",$P43&lt;&gt;"",$P43&lt;Hoje!$C$3,$AB43=0,$R43&lt;&gt;"Cancelada"),1,0)</f>
        <v>0</v>
      </c>
      <c r="AJ43" s="50" t="str">
        <f aca="false">IF($F43="","",$D43&amp;"|"&amp;$E43&amp;"|"&amp;$L43)</f>
        <v>F-617|Baixa de carteira|36</v>
      </c>
      <c r="AK43" s="39" t="n">
        <f aca="false">IF($AJ43="","",COUNTIF($AJ$4:$AJ43,$AJ43))</f>
        <v>1</v>
      </c>
      <c r="AL43" s="39" t="n">
        <f aca="false">IF($AJ43="","",COUNTIF($AJ$4:$AJ$1004,$AJ43))</f>
        <v>25</v>
      </c>
      <c r="AM43" s="42"/>
      <c r="AN43" s="50" t="str">
        <f aca="false">IF($D43="","",IFERROR(T(VLOOKUP($D43,Listas!$B$5:$H$120,7,0)),""))</f>
        <v/>
      </c>
      <c r="AO43" s="50" t="str">
        <f aca="false">IF(OR($F43="",$L43&lt;&gt;"",$R43="Cancelada",$AT43&lt;&gt;""),"",$AN43&amp;"|"&amp;$D43&amp;"|"&amp;IF($C43="","zzz",$C43)&amp;"|"&amp;TEXT(43,"0000"))</f>
        <v/>
      </c>
      <c r="AP43" s="50" t="str">
        <f aca="false">IF($AO43="","",COUNTIF($AO$5:$AO$1004,"&lt;"&amp;$AO43)-(ROWS($AO$5:$AO$1004)-Hoje!$L$5)+1)</f>
        <v/>
      </c>
      <c r="AQ43" s="50" t="n">
        <f aca="false">IF(AND($F43&lt;&gt;"",$D43=Frota!$C$3),1,0)</f>
        <v>0</v>
      </c>
      <c r="AR43" s="50" t="str">
        <f aca="false">IF($AQ43=0,"",SUM($AQ$4:$AQ43))</f>
        <v/>
      </c>
      <c r="AS43" s="50" t="str">
        <f aca="false">IFERROR(INDEX(Hoje!$K$10:$K$29,MATCH(ROW(),Hoje!$J$10:$J$29,0)),"")</f>
        <v/>
      </c>
      <c r="AT43" s="47" t="n">
        <f aca="false">IF($Q43&lt;&gt;"",$Q43,$AS43)</f>
        <v>46266</v>
      </c>
    </row>
    <row r="44" customFormat="false" ht="16.5" hidden="false" customHeight="true" outlineLevel="0" collapsed="false">
      <c r="A44" s="39" t="n">
        <f aca="false">IF($F44="","",ROW())</f>
        <v>44</v>
      </c>
      <c r="B44" s="40" t="str">
        <f aca="false">IF($F44="",IF($D44="","","Falta a atividade"),IF($R44="Cancelada","Cancelada",IF($AB44=1,IF(N($Z44)&gt;0,"Concluída com atraso","Concluída"),IF($R44="Em programação","Em programação",IF($O44="",IF($M44="","Na carteira","Falta a semana"),IF($AC44=1,"VENCIDA",IF($O44&gt;Hoje!$L$1,"Programada",IF($P44&gt;Hoje!$L$1,"Em execução","Fecha hoje"))))))))</f>
        <v>Concluída com atraso</v>
      </c>
      <c r="C44" s="41" t="s">
        <v>183</v>
      </c>
      <c r="D44" s="42" t="s">
        <v>177</v>
      </c>
      <c r="E44" s="42" t="s">
        <v>180</v>
      </c>
      <c r="F44" s="42" t="s">
        <v>184</v>
      </c>
      <c r="G44" s="43" t="s">
        <v>80</v>
      </c>
      <c r="H44" s="43" t="s">
        <v>100</v>
      </c>
      <c r="I44" s="44" t="s">
        <v>182</v>
      </c>
      <c r="J44" s="44"/>
      <c r="K44" s="44"/>
      <c r="L44" s="45" t="n">
        <v>36</v>
      </c>
      <c r="M44" s="46" t="s">
        <v>108</v>
      </c>
      <c r="N44" s="45" t="n">
        <v>2</v>
      </c>
      <c r="O44" s="47" t="n">
        <f aca="false">IF(OR($L44="",$M44=""),"",(DATE(Semana!$J$3,1,4)-WEEKDAY(DATE(Semana!$J$3,1,4),3))+($L44-1)*7+MATCH($M44,Listas!$F$5:$F$11,0)-1)</f>
        <v>46265</v>
      </c>
      <c r="P44" s="47" t="n">
        <f aca="false">IF(OR($F44="",$O44=""),"",$O44+MAX(0,ROUNDUP($AK44*MAX(1,IF($N44="",1,$N44))/MAX(1,$AL44),0)-1))</f>
        <v>46265</v>
      </c>
      <c r="Q44" s="48" t="n">
        <v>46269</v>
      </c>
      <c r="R44" s="43" t="s">
        <v>85</v>
      </c>
      <c r="S44" s="49" t="n">
        <v>35</v>
      </c>
      <c r="T44" s="42"/>
      <c r="U44" s="42"/>
      <c r="V44" s="39" t="str">
        <f aca="false">IF($F44="","",IF(ISNUMBER(SEARCH("(externo)",$I44&amp;$J44&amp;$K44)),"Terceirizada","Interna"))</f>
        <v>Interna</v>
      </c>
      <c r="W44" s="47" t="n">
        <f aca="false">IF($O44="","",IF($S44="",$O44,(DATE(Semana!$J$3,1,4)-WEEKDAY(DATE(Semana!$J$3,1,4),3))+($S44-1)*7+IF($M44="",0,MATCH($M44,Listas!$F$5:$F$11,0)-1)))</f>
        <v>46258</v>
      </c>
      <c r="X44" s="39" t="n">
        <f aca="false">IF($F44="","",IF(OR($AT44="",$O44=""),0,IF($AT44&lt;=$O44,1,0)))</f>
        <v>0</v>
      </c>
      <c r="Y44" s="39" t="n">
        <f aca="false">IF($F44="","",IF(OR($AT44="",$W44=""),0,IF($AT44&lt;=$W44,1,0)))</f>
        <v>0</v>
      </c>
      <c r="Z44" s="39" t="n">
        <f aca="false">IF(OR($AT44="",$O44=""),"",MAX(0,$AT44-$O44))</f>
        <v>4</v>
      </c>
      <c r="AA44" s="39" t="n">
        <f aca="false">IF($F44="","",IF(AND($S44&lt;&gt;"",$L44&lt;&gt;"",$S44&lt;&gt;$L44),1,0))</f>
        <v>1</v>
      </c>
      <c r="AB44" s="39" t="n">
        <f aca="false">IF($F44="","",IF($R44="Cancelada",0,IF(OR($AT44&lt;&gt;"",$R44="Concluída"),1,0)))</f>
        <v>1</v>
      </c>
      <c r="AC44" s="39" t="n">
        <f aca="false">IF($P44="",0,IF($P44&lt;Hoje!$L$1,1,IF(AND($P44=Hoje!$L$1,Hoje!$L$2&gt;Semana!$M$3),1,0)))</f>
        <v>1</v>
      </c>
      <c r="AD44" s="39" t="n">
        <f aca="false">IF($F44="","",IF(COUNTA($I44:$K44)=0,0,1/COUNTA($I44:$K44)))</f>
        <v>1</v>
      </c>
      <c r="AE44" s="39" t="str">
        <f aca="false">IF($AH44=0,"",SUM($AH$4:$AH44))</f>
        <v/>
      </c>
      <c r="AF44" s="39" t="str">
        <f aca="false">IF($AI44=0,"",SUM($AI$4:$AI44))</f>
        <v/>
      </c>
      <c r="AG44" s="50" t="str">
        <f aca="false">IF($F44="","",$I44&amp;IF($J44="",""," · "&amp;$J44)&amp;IF($K44="",""," · "&amp;$K44))</f>
        <v>Alexandre</v>
      </c>
      <c r="AH44" s="39" t="n">
        <f aca="false">IF(AND($F44&lt;&gt;"",$O44&lt;&gt;"",$O44&lt;=Hoje!$C$3,$P44&gt;=Hoje!$C$3,$R44&lt;&gt;"Cancelada"),1,0)</f>
        <v>0</v>
      </c>
      <c r="AI44" s="39" t="n">
        <f aca="false">IF(AND($F44&lt;&gt;"",$P44&lt;&gt;"",$P44&lt;Hoje!$C$3,$AB44=0,$R44&lt;&gt;"Cancelada"),1,0)</f>
        <v>0</v>
      </c>
      <c r="AJ44" s="50" t="str">
        <f aca="false">IF($F44="","",$D44&amp;"|"&amp;$E44&amp;"|"&amp;$L44)</f>
        <v>F-617|Baixa de carteira|36</v>
      </c>
      <c r="AK44" s="39" t="n">
        <f aca="false">IF($AJ44="","",COUNTIF($AJ$4:$AJ44,$AJ44))</f>
        <v>2</v>
      </c>
      <c r="AL44" s="39" t="n">
        <f aca="false">IF($AJ44="","",COUNTIF($AJ$4:$AJ$1004,$AJ44))</f>
        <v>25</v>
      </c>
      <c r="AM44" s="42"/>
      <c r="AN44" s="50" t="str">
        <f aca="false">IF($D44="","",IFERROR(T(VLOOKUP($D44,Listas!$B$5:$H$120,7,0)),""))</f>
        <v/>
      </c>
      <c r="AO44" s="50" t="str">
        <f aca="false">IF(OR($F44="",$L44&lt;&gt;"",$R44="Cancelada",$AT44&lt;&gt;""),"",$AN44&amp;"|"&amp;$D44&amp;"|"&amp;IF($C44="","zzz",$C44)&amp;"|"&amp;TEXT(44,"0000"))</f>
        <v/>
      </c>
      <c r="AP44" s="50" t="str">
        <f aca="false">IF($AO44="","",COUNTIF($AO$5:$AO$1004,"&lt;"&amp;$AO44)-(ROWS($AO$5:$AO$1004)-Hoje!$L$5)+1)</f>
        <v/>
      </c>
      <c r="AQ44" s="50" t="n">
        <f aca="false">IF(AND($F44&lt;&gt;"",$D44=Frota!$C$3),1,0)</f>
        <v>0</v>
      </c>
      <c r="AR44" s="50" t="str">
        <f aca="false">IF($AQ44=0,"",SUM($AQ$4:$AQ44))</f>
        <v/>
      </c>
      <c r="AS44" s="50" t="str">
        <f aca="false">IFERROR(INDEX(Hoje!$K$10:$K$29,MATCH(ROW(),Hoje!$J$10:$J$29,0)),"")</f>
        <v/>
      </c>
      <c r="AT44" s="47" t="n">
        <f aca="false">IF($Q44&lt;&gt;"",$Q44,$AS44)</f>
        <v>46269</v>
      </c>
    </row>
    <row r="45" customFormat="false" ht="16.5" hidden="false" customHeight="true" outlineLevel="0" collapsed="false">
      <c r="A45" s="39" t="n">
        <f aca="false">IF($F45="","",ROW())</f>
        <v>45</v>
      </c>
      <c r="B45" s="40" t="str">
        <f aca="false">IF($F45="",IF($D45="","","Falta a atividade"),IF($R45="Cancelada","Cancelada",IF($AB45=1,IF(N($Z45)&gt;0,"Concluída com atraso","Concluída"),IF($R45="Em programação","Em programação",IF($O45="",IF($M45="","Na carteira","Falta a semana"),IF($AC45=1,"VENCIDA",IF($O45&gt;Hoje!$L$1,"Programada",IF($P45&gt;Hoje!$L$1,"Em execução","Fecha hoje"))))))))</f>
        <v>Concluída com atraso</v>
      </c>
      <c r="C45" s="41" t="s">
        <v>183</v>
      </c>
      <c r="D45" s="42" t="s">
        <v>177</v>
      </c>
      <c r="E45" s="42" t="s">
        <v>180</v>
      </c>
      <c r="F45" s="42" t="s">
        <v>185</v>
      </c>
      <c r="G45" s="43" t="s">
        <v>80</v>
      </c>
      <c r="H45" s="43" t="s">
        <v>100</v>
      </c>
      <c r="I45" s="44" t="s">
        <v>182</v>
      </c>
      <c r="J45" s="44"/>
      <c r="K45" s="44"/>
      <c r="L45" s="45" t="n">
        <v>36</v>
      </c>
      <c r="M45" s="46" t="s">
        <v>108</v>
      </c>
      <c r="N45" s="45" t="n">
        <v>2</v>
      </c>
      <c r="O45" s="47" t="n">
        <f aca="false">IF(OR($L45="",$M45=""),"",(DATE(Semana!$J$3,1,4)-WEEKDAY(DATE(Semana!$J$3,1,4),3))+($L45-1)*7+MATCH($M45,Listas!$F$5:$F$11,0)-1)</f>
        <v>46265</v>
      </c>
      <c r="P45" s="47" t="n">
        <f aca="false">IF(OR($F45="",$O45=""),"",$O45+MAX(0,ROUNDUP($AK45*MAX(1,IF($N45="",1,$N45))/MAX(1,$AL45),0)-1))</f>
        <v>46265</v>
      </c>
      <c r="Q45" s="48" t="n">
        <v>46269</v>
      </c>
      <c r="R45" s="43" t="s">
        <v>85</v>
      </c>
      <c r="S45" s="49" t="n">
        <v>35</v>
      </c>
      <c r="T45" s="42"/>
      <c r="U45" s="42"/>
      <c r="V45" s="39" t="str">
        <f aca="false">IF($F45="","",IF(ISNUMBER(SEARCH("(externo)",$I45&amp;$J45&amp;$K45)),"Terceirizada","Interna"))</f>
        <v>Interna</v>
      </c>
      <c r="W45" s="47" t="n">
        <f aca="false">IF($O45="","",IF($S45="",$O45,(DATE(Semana!$J$3,1,4)-WEEKDAY(DATE(Semana!$J$3,1,4),3))+($S45-1)*7+IF($M45="",0,MATCH($M45,Listas!$F$5:$F$11,0)-1)))</f>
        <v>46258</v>
      </c>
      <c r="X45" s="39" t="n">
        <f aca="false">IF($F45="","",IF(OR($AT45="",$O45=""),0,IF($AT45&lt;=$O45,1,0)))</f>
        <v>0</v>
      </c>
      <c r="Y45" s="39" t="n">
        <f aca="false">IF($F45="","",IF(OR($AT45="",$W45=""),0,IF($AT45&lt;=$W45,1,0)))</f>
        <v>0</v>
      </c>
      <c r="Z45" s="39" t="n">
        <f aca="false">IF(OR($AT45="",$O45=""),"",MAX(0,$AT45-$O45))</f>
        <v>4</v>
      </c>
      <c r="AA45" s="39" t="n">
        <f aca="false">IF($F45="","",IF(AND($S45&lt;&gt;"",$L45&lt;&gt;"",$S45&lt;&gt;$L45),1,0))</f>
        <v>1</v>
      </c>
      <c r="AB45" s="39" t="n">
        <f aca="false">IF($F45="","",IF($R45="Cancelada",0,IF(OR($AT45&lt;&gt;"",$R45="Concluída"),1,0)))</f>
        <v>1</v>
      </c>
      <c r="AC45" s="39" t="n">
        <f aca="false">IF($P45="",0,IF($P45&lt;Hoje!$L$1,1,IF(AND($P45=Hoje!$L$1,Hoje!$L$2&gt;Semana!$M$3),1,0)))</f>
        <v>1</v>
      </c>
      <c r="AD45" s="39" t="n">
        <f aca="false">IF($F45="","",IF(COUNTA($I45:$K45)=0,0,1/COUNTA($I45:$K45)))</f>
        <v>1</v>
      </c>
      <c r="AE45" s="39" t="str">
        <f aca="false">IF($AH45=0,"",SUM($AH$4:$AH45))</f>
        <v/>
      </c>
      <c r="AF45" s="39" t="str">
        <f aca="false">IF($AI45=0,"",SUM($AI$4:$AI45))</f>
        <v/>
      </c>
      <c r="AG45" s="50" t="str">
        <f aca="false">IF($F45="","",$I45&amp;IF($J45="",""," · "&amp;$J45)&amp;IF($K45="",""," · "&amp;$K45))</f>
        <v>Alexandre</v>
      </c>
      <c r="AH45" s="39" t="n">
        <f aca="false">IF(AND($F45&lt;&gt;"",$O45&lt;&gt;"",$O45&lt;=Hoje!$C$3,$P45&gt;=Hoje!$C$3,$R45&lt;&gt;"Cancelada"),1,0)</f>
        <v>0</v>
      </c>
      <c r="AI45" s="39" t="n">
        <f aca="false">IF(AND($F45&lt;&gt;"",$P45&lt;&gt;"",$P45&lt;Hoje!$C$3,$AB45=0,$R45&lt;&gt;"Cancelada"),1,0)</f>
        <v>0</v>
      </c>
      <c r="AJ45" s="50" t="str">
        <f aca="false">IF($F45="","",$D45&amp;"|"&amp;$E45&amp;"|"&amp;$L45)</f>
        <v>F-617|Baixa de carteira|36</v>
      </c>
      <c r="AK45" s="39" t="n">
        <f aca="false">IF($AJ45="","",COUNTIF($AJ$4:$AJ45,$AJ45))</f>
        <v>3</v>
      </c>
      <c r="AL45" s="39" t="n">
        <f aca="false">IF($AJ45="","",COUNTIF($AJ$4:$AJ$1004,$AJ45))</f>
        <v>25</v>
      </c>
      <c r="AM45" s="42"/>
      <c r="AN45" s="50" t="str">
        <f aca="false">IF($D45="","",IFERROR(T(VLOOKUP($D45,Listas!$B$5:$H$120,7,0)),""))</f>
        <v/>
      </c>
      <c r="AO45" s="50" t="str">
        <f aca="false">IF(OR($F45="",$L45&lt;&gt;"",$R45="Cancelada",$AT45&lt;&gt;""),"",$AN45&amp;"|"&amp;$D45&amp;"|"&amp;IF($C45="","zzz",$C45)&amp;"|"&amp;TEXT(45,"0000"))</f>
        <v/>
      </c>
      <c r="AP45" s="50" t="str">
        <f aca="false">IF($AO45="","",COUNTIF($AO$5:$AO$1004,"&lt;"&amp;$AO45)-(ROWS($AO$5:$AO$1004)-Hoje!$L$5)+1)</f>
        <v/>
      </c>
      <c r="AQ45" s="50" t="n">
        <f aca="false">IF(AND($F45&lt;&gt;"",$D45=Frota!$C$3),1,0)</f>
        <v>0</v>
      </c>
      <c r="AR45" s="50" t="str">
        <f aca="false">IF($AQ45=0,"",SUM($AQ$4:$AQ45))</f>
        <v/>
      </c>
      <c r="AS45" s="50" t="str">
        <f aca="false">IFERROR(INDEX(Hoje!$K$10:$K$29,MATCH(ROW(),Hoje!$J$10:$J$29,0)),"")</f>
        <v/>
      </c>
      <c r="AT45" s="47" t="n">
        <f aca="false">IF($Q45&lt;&gt;"",$Q45,$AS45)</f>
        <v>46269</v>
      </c>
    </row>
    <row r="46" customFormat="false" ht="16.5" hidden="false" customHeight="true" outlineLevel="0" collapsed="false">
      <c r="A46" s="39" t="n">
        <f aca="false">IF($F46="","",ROW())</f>
        <v>46</v>
      </c>
      <c r="B46" s="40" t="str">
        <f aca="false">IF($F46="",IF($D46="","","Falta a atividade"),IF($R46="Cancelada","Cancelada",IF($AB46=1,IF(N($Z46)&gt;0,"Concluída com atraso","Concluída"),IF($R46="Em programação","Em programação",IF($O46="",IF($M46="","Na carteira","Falta a semana"),IF($AC46=1,"VENCIDA",IF($O46&gt;Hoje!$L$1,"Programada",IF($P46&gt;Hoje!$L$1,"Em execução","Fecha hoje"))))))))</f>
        <v>Concluída</v>
      </c>
      <c r="C46" s="41" t="s">
        <v>186</v>
      </c>
      <c r="D46" s="42" t="s">
        <v>177</v>
      </c>
      <c r="E46" s="42" t="s">
        <v>180</v>
      </c>
      <c r="F46" s="42" t="s">
        <v>187</v>
      </c>
      <c r="G46" s="43" t="s">
        <v>80</v>
      </c>
      <c r="H46" s="43" t="s">
        <v>100</v>
      </c>
      <c r="I46" s="44" t="s">
        <v>182</v>
      </c>
      <c r="J46" s="44"/>
      <c r="K46" s="44"/>
      <c r="L46" s="45" t="n">
        <v>36</v>
      </c>
      <c r="M46" s="46" t="s">
        <v>108</v>
      </c>
      <c r="N46" s="45" t="n">
        <v>2</v>
      </c>
      <c r="O46" s="47" t="n">
        <f aca="false">IF(OR($L46="",$M46=""),"",(DATE(Semana!$J$3,1,4)-WEEKDAY(DATE(Semana!$J$3,1,4),3))+($L46-1)*7+MATCH($M46,Listas!$F$5:$F$11,0)-1)</f>
        <v>46265</v>
      </c>
      <c r="P46" s="47" t="n">
        <f aca="false">IF(OR($F46="",$O46=""),"",$O46+MAX(0,ROUNDUP($AK46*MAX(1,IF($N46="",1,$N46))/MAX(1,$AL46),0)-1))</f>
        <v>46265</v>
      </c>
      <c r="Q46" s="48" t="n">
        <v>46265</v>
      </c>
      <c r="R46" s="43" t="s">
        <v>85</v>
      </c>
      <c r="S46" s="49" t="n">
        <v>35</v>
      </c>
      <c r="T46" s="42"/>
      <c r="U46" s="42" t="s">
        <v>188</v>
      </c>
      <c r="V46" s="39" t="str">
        <f aca="false">IF($F46="","",IF(ISNUMBER(SEARCH("(externo)",$I46&amp;$J46&amp;$K46)),"Terceirizada","Interna"))</f>
        <v>Interna</v>
      </c>
      <c r="W46" s="47" t="n">
        <f aca="false">IF($O46="","",IF($S46="",$O46,(DATE(Semana!$J$3,1,4)-WEEKDAY(DATE(Semana!$J$3,1,4),3))+($S46-1)*7+IF($M46="",0,MATCH($M46,Listas!$F$5:$F$11,0)-1)))</f>
        <v>46258</v>
      </c>
      <c r="X46" s="39" t="n">
        <f aca="false">IF($F46="","",IF(OR($AT46="",$O46=""),0,IF($AT46&lt;=$O46,1,0)))</f>
        <v>1</v>
      </c>
      <c r="Y46" s="39" t="n">
        <f aca="false">IF($F46="","",IF(OR($AT46="",$W46=""),0,IF($AT46&lt;=$W46,1,0)))</f>
        <v>0</v>
      </c>
      <c r="Z46" s="39" t="n">
        <f aca="false">IF(OR($AT46="",$O46=""),"",MAX(0,$AT46-$O46))</f>
        <v>0</v>
      </c>
      <c r="AA46" s="39" t="n">
        <f aca="false">IF($F46="","",IF(AND($S46&lt;&gt;"",$L46&lt;&gt;"",$S46&lt;&gt;$L46),1,0))</f>
        <v>1</v>
      </c>
      <c r="AB46" s="39" t="n">
        <f aca="false">IF($F46="","",IF($R46="Cancelada",0,IF(OR($AT46&lt;&gt;"",$R46="Concluída"),1,0)))</f>
        <v>1</v>
      </c>
      <c r="AC46" s="39" t="n">
        <f aca="false">IF($P46="",0,IF($P46&lt;Hoje!$L$1,1,IF(AND($P46=Hoje!$L$1,Hoje!$L$2&gt;Semana!$M$3),1,0)))</f>
        <v>1</v>
      </c>
      <c r="AD46" s="39" t="n">
        <f aca="false">IF($F46="","",IF(COUNTA($I46:$K46)=0,0,1/COUNTA($I46:$K46)))</f>
        <v>1</v>
      </c>
      <c r="AE46" s="39" t="str">
        <f aca="false">IF($AH46=0,"",SUM($AH$4:$AH46))</f>
        <v/>
      </c>
      <c r="AF46" s="39" t="str">
        <f aca="false">IF($AI46=0,"",SUM($AI$4:$AI46))</f>
        <v/>
      </c>
      <c r="AG46" s="50" t="str">
        <f aca="false">IF($F46="","",$I46&amp;IF($J46="",""," · "&amp;$J46)&amp;IF($K46="",""," · "&amp;$K46))</f>
        <v>Alexandre</v>
      </c>
      <c r="AH46" s="39" t="n">
        <f aca="false">IF(AND($F46&lt;&gt;"",$O46&lt;&gt;"",$O46&lt;=Hoje!$C$3,$P46&gt;=Hoje!$C$3,$R46&lt;&gt;"Cancelada"),1,0)</f>
        <v>0</v>
      </c>
      <c r="AI46" s="39" t="n">
        <f aca="false">IF(AND($F46&lt;&gt;"",$P46&lt;&gt;"",$P46&lt;Hoje!$C$3,$AB46=0,$R46&lt;&gt;"Cancelada"),1,0)</f>
        <v>0</v>
      </c>
      <c r="AJ46" s="50" t="str">
        <f aca="false">IF($F46="","",$D46&amp;"|"&amp;$E46&amp;"|"&amp;$L46)</f>
        <v>F-617|Baixa de carteira|36</v>
      </c>
      <c r="AK46" s="39" t="n">
        <f aca="false">IF($AJ46="","",COUNTIF($AJ$4:$AJ46,$AJ46))</f>
        <v>4</v>
      </c>
      <c r="AL46" s="39" t="n">
        <f aca="false">IF($AJ46="","",COUNTIF($AJ$4:$AJ$1004,$AJ46))</f>
        <v>25</v>
      </c>
      <c r="AM46" s="42"/>
      <c r="AN46" s="50" t="str">
        <f aca="false">IF($D46="","",IFERROR(T(VLOOKUP($D46,Listas!$B$5:$H$120,7,0)),""))</f>
        <v/>
      </c>
      <c r="AO46" s="50" t="str">
        <f aca="false">IF(OR($F46="",$L46&lt;&gt;"",$R46="Cancelada",$AT46&lt;&gt;""),"",$AN46&amp;"|"&amp;$D46&amp;"|"&amp;IF($C46="","zzz",$C46)&amp;"|"&amp;TEXT(46,"0000"))</f>
        <v/>
      </c>
      <c r="AP46" s="50" t="str">
        <f aca="false">IF($AO46="","",COUNTIF($AO$5:$AO$1004,"&lt;"&amp;$AO46)-(ROWS($AO$5:$AO$1004)-Hoje!$L$5)+1)</f>
        <v/>
      </c>
      <c r="AQ46" s="50" t="n">
        <f aca="false">IF(AND($F46&lt;&gt;"",$D46=Frota!$C$3),1,0)</f>
        <v>0</v>
      </c>
      <c r="AR46" s="50" t="str">
        <f aca="false">IF($AQ46=0,"",SUM($AQ$4:$AQ46))</f>
        <v/>
      </c>
      <c r="AS46" s="50" t="str">
        <f aca="false">IFERROR(INDEX(Hoje!$K$10:$K$29,MATCH(ROW(),Hoje!$J$10:$J$29,0)),"")</f>
        <v/>
      </c>
      <c r="AT46" s="47" t="n">
        <f aca="false">IF($Q46&lt;&gt;"",$Q46,$AS46)</f>
        <v>46265</v>
      </c>
    </row>
    <row r="47" customFormat="false" ht="16.5" hidden="false" customHeight="true" outlineLevel="0" collapsed="false">
      <c r="A47" s="39" t="n">
        <f aca="false">IF($F47="","",ROW())</f>
        <v>47</v>
      </c>
      <c r="B47" s="40" t="str">
        <f aca="false">IF($F47="",IF($D47="","","Falta a atividade"),IF($R47="Cancelada","Cancelada",IF($AB47=1,IF(N($Z47)&gt;0,"Concluída com atraso","Concluída"),IF($R47="Em programação","Em programação",IF($O47="",IF($M47="","Na carteira","Falta a semana"),IF($AC47=1,"VENCIDA",IF($O47&gt;Hoje!$L$1,"Programada",IF($P47&gt;Hoje!$L$1,"Em execução","Fecha hoje"))))))))</f>
        <v>Cancelada</v>
      </c>
      <c r="C47" s="41" t="s">
        <v>189</v>
      </c>
      <c r="D47" s="42" t="s">
        <v>177</v>
      </c>
      <c r="E47" s="42" t="s">
        <v>180</v>
      </c>
      <c r="F47" s="42" t="s">
        <v>190</v>
      </c>
      <c r="G47" s="43" t="s">
        <v>80</v>
      </c>
      <c r="H47" s="43" t="s">
        <v>100</v>
      </c>
      <c r="I47" s="44" t="s">
        <v>182</v>
      </c>
      <c r="J47" s="44"/>
      <c r="K47" s="44"/>
      <c r="L47" s="45" t="n">
        <v>36</v>
      </c>
      <c r="M47" s="46" t="s">
        <v>108</v>
      </c>
      <c r="N47" s="45" t="n">
        <v>2</v>
      </c>
      <c r="O47" s="47" t="n">
        <f aca="false">IF(OR($L47="",$M47=""),"",(DATE(Semana!$J$3,1,4)-WEEKDAY(DATE(Semana!$J$3,1,4),3))+($L47-1)*7+MATCH($M47,Listas!$F$5:$F$11,0)-1)</f>
        <v>46265</v>
      </c>
      <c r="P47" s="47" t="n">
        <f aca="false">IF(OR($F47="",$O47=""),"",$O47+MAX(0,ROUNDUP($AK47*MAX(1,IF($N47="",1,$N47))/MAX(1,$AL47),0)-1))</f>
        <v>46265</v>
      </c>
      <c r="Q47" s="48"/>
      <c r="R47" s="43" t="s">
        <v>191</v>
      </c>
      <c r="S47" s="49" t="n">
        <v>35</v>
      </c>
      <c r="T47" s="42"/>
      <c r="U47" s="42" t="s">
        <v>192</v>
      </c>
      <c r="V47" s="39" t="str">
        <f aca="false">IF($F47="","",IF(ISNUMBER(SEARCH("(externo)",$I47&amp;$J47&amp;$K47)),"Terceirizada","Interna"))</f>
        <v>Interna</v>
      </c>
      <c r="W47" s="47" t="n">
        <f aca="false">IF($O47="","",IF($S47="",$O47,(DATE(Semana!$J$3,1,4)-WEEKDAY(DATE(Semana!$J$3,1,4),3))+($S47-1)*7+IF($M47="",0,MATCH($M47,Listas!$F$5:$F$11,0)-1)))</f>
        <v>46258</v>
      </c>
      <c r="X47" s="39" t="n">
        <f aca="false">IF($F47="","",IF(OR($AT47="",$O47=""),0,IF($AT47&lt;=$O47,1,0)))</f>
        <v>0</v>
      </c>
      <c r="Y47" s="39" t="n">
        <f aca="false">IF($F47="","",IF(OR($AT47="",$W47=""),0,IF($AT47&lt;=$W47,1,0)))</f>
        <v>0</v>
      </c>
      <c r="Z47" s="39" t="str">
        <f aca="false">IF(OR($AT47="",$O47=""),"",MAX(0,$AT47-$O47))</f>
        <v/>
      </c>
      <c r="AA47" s="39" t="n">
        <f aca="false">IF($F47="","",IF(AND($S47&lt;&gt;"",$L47&lt;&gt;"",$S47&lt;&gt;$L47),1,0))</f>
        <v>1</v>
      </c>
      <c r="AB47" s="39" t="n">
        <f aca="false">IF($F47="","",IF($R47="Cancelada",0,IF(OR($AT47&lt;&gt;"",$R47="Concluída"),1,0)))</f>
        <v>0</v>
      </c>
      <c r="AC47" s="39" t="n">
        <f aca="false">IF($P47="",0,IF($P47&lt;Hoje!$L$1,1,IF(AND($P47=Hoje!$L$1,Hoje!$L$2&gt;Semana!$M$3),1,0)))</f>
        <v>1</v>
      </c>
      <c r="AD47" s="39" t="n">
        <f aca="false">IF($F47="","",IF(COUNTA($I47:$K47)=0,0,1/COUNTA($I47:$K47)))</f>
        <v>1</v>
      </c>
      <c r="AE47" s="39" t="str">
        <f aca="false">IF($AH47=0,"",SUM($AH$4:$AH47))</f>
        <v/>
      </c>
      <c r="AF47" s="39" t="str">
        <f aca="false">IF($AI47=0,"",SUM($AI$4:$AI47))</f>
        <v/>
      </c>
      <c r="AG47" s="50" t="str">
        <f aca="false">IF($F47="","",$I47&amp;IF($J47="",""," · "&amp;$J47)&amp;IF($K47="",""," · "&amp;$K47))</f>
        <v>Alexandre</v>
      </c>
      <c r="AH47" s="39" t="n">
        <f aca="false">IF(AND($F47&lt;&gt;"",$O47&lt;&gt;"",$O47&lt;=Hoje!$C$3,$P47&gt;=Hoje!$C$3,$R47&lt;&gt;"Cancelada"),1,0)</f>
        <v>0</v>
      </c>
      <c r="AI47" s="39" t="n">
        <f aca="false">IF(AND($F47&lt;&gt;"",$P47&lt;&gt;"",$P47&lt;Hoje!$C$3,$AB47=0,$R47&lt;&gt;"Cancelada"),1,0)</f>
        <v>0</v>
      </c>
      <c r="AJ47" s="50" t="str">
        <f aca="false">IF($F47="","",$D47&amp;"|"&amp;$E47&amp;"|"&amp;$L47)</f>
        <v>F-617|Baixa de carteira|36</v>
      </c>
      <c r="AK47" s="39" t="n">
        <f aca="false">IF($AJ47="","",COUNTIF($AJ$4:$AJ47,$AJ47))</f>
        <v>5</v>
      </c>
      <c r="AL47" s="39" t="n">
        <f aca="false">IF($AJ47="","",COUNTIF($AJ$4:$AJ$1004,$AJ47))</f>
        <v>25</v>
      </c>
      <c r="AM47" s="42"/>
      <c r="AN47" s="50" t="str">
        <f aca="false">IF($D47="","",IFERROR(T(VLOOKUP($D47,Listas!$B$5:$H$120,7,0)),""))</f>
        <v/>
      </c>
      <c r="AO47" s="50" t="str">
        <f aca="false">IF(OR($F47="",$L47&lt;&gt;"",$R47="Cancelada",$AT47&lt;&gt;""),"",$AN47&amp;"|"&amp;$D47&amp;"|"&amp;IF($C47="","zzz",$C47)&amp;"|"&amp;TEXT(47,"0000"))</f>
        <v/>
      </c>
      <c r="AP47" s="50" t="str">
        <f aca="false">IF($AO47="","",COUNTIF($AO$5:$AO$1004,"&lt;"&amp;$AO47)-(ROWS($AO$5:$AO$1004)-Hoje!$L$5)+1)</f>
        <v/>
      </c>
      <c r="AQ47" s="50" t="n">
        <f aca="false">IF(AND($F47&lt;&gt;"",$D47=Frota!$C$3),1,0)</f>
        <v>0</v>
      </c>
      <c r="AR47" s="50" t="str">
        <f aca="false">IF($AQ47=0,"",SUM($AQ$4:$AQ47))</f>
        <v/>
      </c>
      <c r="AS47" s="50" t="str">
        <f aca="false">IFERROR(INDEX(Hoje!$K$10:$K$29,MATCH(ROW(),Hoje!$J$10:$J$29,0)),"")</f>
        <v/>
      </c>
      <c r="AT47" s="50" t="str">
        <f aca="false">IF($Q47&lt;&gt;"",$Q47,$AS47)</f>
        <v/>
      </c>
    </row>
    <row r="48" customFormat="false" ht="16.5" hidden="false" customHeight="true" outlineLevel="0" collapsed="false">
      <c r="A48" s="39" t="n">
        <f aca="false">IF($F48="","",ROW())</f>
        <v>48</v>
      </c>
      <c r="B48" s="40" t="str">
        <f aca="false">IF($F48="",IF($D48="","","Falta a atividade"),IF($R48="Cancelada","Cancelada",IF($AB48=1,IF(N($Z48)&gt;0,"Concluída com atraso","Concluída"),IF($R48="Em programação","Em programação",IF($O48="",IF($M48="","Na carteira","Falta a semana"),IF($AC48=1,"VENCIDA",IF($O48&gt;Hoje!$L$1,"Programada",IF($P48&gt;Hoje!$L$1,"Em execução","Fecha hoje"))))))))</f>
        <v>Concluída com atraso</v>
      </c>
      <c r="C48" s="41" t="s">
        <v>193</v>
      </c>
      <c r="D48" s="42" t="s">
        <v>177</v>
      </c>
      <c r="E48" s="42" t="s">
        <v>180</v>
      </c>
      <c r="F48" s="42" t="s">
        <v>194</v>
      </c>
      <c r="G48" s="43" t="s">
        <v>80</v>
      </c>
      <c r="H48" s="43" t="s">
        <v>100</v>
      </c>
      <c r="I48" s="44" t="s">
        <v>88</v>
      </c>
      <c r="J48" s="44"/>
      <c r="K48" s="44"/>
      <c r="L48" s="45" t="n">
        <v>36</v>
      </c>
      <c r="M48" s="46" t="s">
        <v>108</v>
      </c>
      <c r="N48" s="45" t="n">
        <v>2</v>
      </c>
      <c r="O48" s="47" t="n">
        <f aca="false">IF(OR($L48="",$M48=""),"",(DATE(Semana!$J$3,1,4)-WEEKDAY(DATE(Semana!$J$3,1,4),3))+($L48-1)*7+MATCH($M48,Listas!$F$5:$F$11,0)-1)</f>
        <v>46265</v>
      </c>
      <c r="P48" s="47" t="n">
        <f aca="false">IF(OR($F48="",$O48=""),"",$O48+MAX(0,ROUNDUP($AK48*MAX(1,IF($N48="",1,$N48))/MAX(1,$AL48),0)-1))</f>
        <v>46265</v>
      </c>
      <c r="Q48" s="48" t="n">
        <v>46269</v>
      </c>
      <c r="R48" s="43" t="s">
        <v>85</v>
      </c>
      <c r="S48" s="49" t="n">
        <v>35</v>
      </c>
      <c r="T48" s="42"/>
      <c r="U48" s="42" t="s">
        <v>195</v>
      </c>
      <c r="V48" s="39" t="str">
        <f aca="false">IF($F48="","",IF(ISNUMBER(SEARCH("(externo)",$I48&amp;$J48&amp;$K48)),"Terceirizada","Interna"))</f>
        <v>Interna</v>
      </c>
      <c r="W48" s="47" t="n">
        <f aca="false">IF($O48="","",IF($S48="",$O48,(DATE(Semana!$J$3,1,4)-WEEKDAY(DATE(Semana!$J$3,1,4),3))+($S48-1)*7+IF($M48="",0,MATCH($M48,Listas!$F$5:$F$11,0)-1)))</f>
        <v>46258</v>
      </c>
      <c r="X48" s="39" t="n">
        <f aca="false">IF($F48="","",IF(OR($AT48="",$O48=""),0,IF($AT48&lt;=$O48,1,0)))</f>
        <v>0</v>
      </c>
      <c r="Y48" s="39" t="n">
        <f aca="false">IF($F48="","",IF(OR($AT48="",$W48=""),0,IF($AT48&lt;=$W48,1,0)))</f>
        <v>0</v>
      </c>
      <c r="Z48" s="39" t="n">
        <f aca="false">IF(OR($AT48="",$O48=""),"",MAX(0,$AT48-$O48))</f>
        <v>4</v>
      </c>
      <c r="AA48" s="39" t="n">
        <f aca="false">IF($F48="","",IF(AND($S48&lt;&gt;"",$L48&lt;&gt;"",$S48&lt;&gt;$L48),1,0))</f>
        <v>1</v>
      </c>
      <c r="AB48" s="39" t="n">
        <f aca="false">IF($F48="","",IF($R48="Cancelada",0,IF(OR($AT48&lt;&gt;"",$R48="Concluída"),1,0)))</f>
        <v>1</v>
      </c>
      <c r="AC48" s="39" t="n">
        <f aca="false">IF($P48="",0,IF($P48&lt;Hoje!$L$1,1,IF(AND($P48=Hoje!$L$1,Hoje!$L$2&gt;Semana!$M$3),1,0)))</f>
        <v>1</v>
      </c>
      <c r="AD48" s="39" t="n">
        <f aca="false">IF($F48="","",IF(COUNTA($I48:$K48)=0,0,1/COUNTA($I48:$K48)))</f>
        <v>1</v>
      </c>
      <c r="AE48" s="39" t="str">
        <f aca="false">IF($AH48=0,"",SUM($AH$4:$AH48))</f>
        <v/>
      </c>
      <c r="AF48" s="39" t="str">
        <f aca="false">IF($AI48=0,"",SUM($AI$4:$AI48))</f>
        <v/>
      </c>
      <c r="AG48" s="50" t="str">
        <f aca="false">IF($F48="","",$I48&amp;IF($J48="",""," · "&amp;$J48)&amp;IF($K48="",""," · "&amp;$K48))</f>
        <v>Júnior</v>
      </c>
      <c r="AH48" s="39" t="n">
        <f aca="false">IF(AND($F48&lt;&gt;"",$O48&lt;&gt;"",$O48&lt;=Hoje!$C$3,$P48&gt;=Hoje!$C$3,$R48&lt;&gt;"Cancelada"),1,0)</f>
        <v>0</v>
      </c>
      <c r="AI48" s="39" t="n">
        <f aca="false">IF(AND($F48&lt;&gt;"",$P48&lt;&gt;"",$P48&lt;Hoje!$C$3,$AB48=0,$R48&lt;&gt;"Cancelada"),1,0)</f>
        <v>0</v>
      </c>
      <c r="AJ48" s="50" t="str">
        <f aca="false">IF($F48="","",$D48&amp;"|"&amp;$E48&amp;"|"&amp;$L48)</f>
        <v>F-617|Baixa de carteira|36</v>
      </c>
      <c r="AK48" s="39" t="n">
        <f aca="false">IF($AJ48="","",COUNTIF($AJ$4:$AJ48,$AJ48))</f>
        <v>6</v>
      </c>
      <c r="AL48" s="39" t="n">
        <f aca="false">IF($AJ48="","",COUNTIF($AJ$4:$AJ$1004,$AJ48))</f>
        <v>25</v>
      </c>
      <c r="AM48" s="42"/>
      <c r="AN48" s="50" t="str">
        <f aca="false">IF($D48="","",IFERROR(T(VLOOKUP($D48,Listas!$B$5:$H$120,7,0)),""))</f>
        <v/>
      </c>
      <c r="AO48" s="50" t="str">
        <f aca="false">IF(OR($F48="",$L48&lt;&gt;"",$R48="Cancelada",$AT48&lt;&gt;""),"",$AN48&amp;"|"&amp;$D48&amp;"|"&amp;IF($C48="","zzz",$C48)&amp;"|"&amp;TEXT(48,"0000"))</f>
        <v/>
      </c>
      <c r="AP48" s="50" t="str">
        <f aca="false">IF($AO48="","",COUNTIF($AO$5:$AO$1004,"&lt;"&amp;$AO48)-(ROWS($AO$5:$AO$1004)-Hoje!$L$5)+1)</f>
        <v/>
      </c>
      <c r="AQ48" s="50" t="n">
        <f aca="false">IF(AND($F48&lt;&gt;"",$D48=Frota!$C$3),1,0)</f>
        <v>0</v>
      </c>
      <c r="AR48" s="50" t="str">
        <f aca="false">IF($AQ48=0,"",SUM($AQ$4:$AQ48))</f>
        <v/>
      </c>
      <c r="AS48" s="50" t="str">
        <f aca="false">IFERROR(INDEX(Hoje!$K$10:$K$29,MATCH(ROW(),Hoje!$J$10:$J$29,0)),"")</f>
        <v/>
      </c>
      <c r="AT48" s="47" t="n">
        <f aca="false">IF($Q48&lt;&gt;"",$Q48,$AS48)</f>
        <v>46269</v>
      </c>
    </row>
    <row r="49" customFormat="false" ht="16.5" hidden="false" customHeight="true" outlineLevel="0" collapsed="false">
      <c r="A49" s="39" t="n">
        <f aca="false">IF($F49="","",ROW())</f>
        <v>49</v>
      </c>
      <c r="B49" s="40" t="str">
        <f aca="false">IF($F49="",IF($D49="","","Falta a atividade"),IF($R49="Cancelada","Cancelada",IF($AB49=1,IF(N($Z49)&gt;0,"Concluída com atraso","Concluída"),IF($R49="Em programação","Em programação",IF($O49="",IF($M49="","Na carteira","Falta a semana"),IF($AC49=1,"VENCIDA",IF($O49&gt;Hoje!$L$1,"Programada",IF($P49&gt;Hoje!$L$1,"Em execução","Fecha hoje"))))))))</f>
        <v>Concluída com atraso</v>
      </c>
      <c r="C49" s="41" t="s">
        <v>196</v>
      </c>
      <c r="D49" s="42" t="s">
        <v>177</v>
      </c>
      <c r="E49" s="42" t="s">
        <v>180</v>
      </c>
      <c r="F49" s="42" t="s">
        <v>197</v>
      </c>
      <c r="G49" s="43" t="s">
        <v>80</v>
      </c>
      <c r="H49" s="43" t="s">
        <v>100</v>
      </c>
      <c r="I49" s="44" t="s">
        <v>88</v>
      </c>
      <c r="J49" s="44"/>
      <c r="K49" s="44"/>
      <c r="L49" s="45" t="n">
        <v>36</v>
      </c>
      <c r="M49" s="46" t="s">
        <v>108</v>
      </c>
      <c r="N49" s="45" t="n">
        <v>2</v>
      </c>
      <c r="O49" s="47" t="n">
        <f aca="false">IF(OR($L49="",$M49=""),"",(DATE(Semana!$J$3,1,4)-WEEKDAY(DATE(Semana!$J$3,1,4),3))+($L49-1)*7+MATCH($M49,Listas!$F$5:$F$11,0)-1)</f>
        <v>46265</v>
      </c>
      <c r="P49" s="47" t="n">
        <f aca="false">IF(OR($F49="",$O49=""),"",$O49+MAX(0,ROUNDUP($AK49*MAX(1,IF($N49="",1,$N49))/MAX(1,$AL49),0)-1))</f>
        <v>46265</v>
      </c>
      <c r="Q49" s="48" t="n">
        <v>46269</v>
      </c>
      <c r="R49" s="43" t="s">
        <v>85</v>
      </c>
      <c r="S49" s="49" t="n">
        <v>35</v>
      </c>
      <c r="T49" s="42"/>
      <c r="U49" s="42"/>
      <c r="V49" s="39" t="str">
        <f aca="false">IF($F49="","",IF(ISNUMBER(SEARCH("(externo)",$I49&amp;$J49&amp;$K49)),"Terceirizada","Interna"))</f>
        <v>Interna</v>
      </c>
      <c r="W49" s="47" t="n">
        <f aca="false">IF($O49="","",IF($S49="",$O49,(DATE(Semana!$J$3,1,4)-WEEKDAY(DATE(Semana!$J$3,1,4),3))+($S49-1)*7+IF($M49="",0,MATCH($M49,Listas!$F$5:$F$11,0)-1)))</f>
        <v>46258</v>
      </c>
      <c r="X49" s="39" t="n">
        <f aca="false">IF($F49="","",IF(OR($AT49="",$O49=""),0,IF($AT49&lt;=$O49,1,0)))</f>
        <v>0</v>
      </c>
      <c r="Y49" s="39" t="n">
        <f aca="false">IF($F49="","",IF(OR($AT49="",$W49=""),0,IF($AT49&lt;=$W49,1,0)))</f>
        <v>0</v>
      </c>
      <c r="Z49" s="39" t="n">
        <f aca="false">IF(OR($AT49="",$O49=""),"",MAX(0,$AT49-$O49))</f>
        <v>4</v>
      </c>
      <c r="AA49" s="39" t="n">
        <f aca="false">IF($F49="","",IF(AND($S49&lt;&gt;"",$L49&lt;&gt;"",$S49&lt;&gt;$L49),1,0))</f>
        <v>1</v>
      </c>
      <c r="AB49" s="39" t="n">
        <f aca="false">IF($F49="","",IF($R49="Cancelada",0,IF(OR($AT49&lt;&gt;"",$R49="Concluída"),1,0)))</f>
        <v>1</v>
      </c>
      <c r="AC49" s="39" t="n">
        <f aca="false">IF($P49="",0,IF($P49&lt;Hoje!$L$1,1,IF(AND($P49=Hoje!$L$1,Hoje!$L$2&gt;Semana!$M$3),1,0)))</f>
        <v>1</v>
      </c>
      <c r="AD49" s="39" t="n">
        <f aca="false">IF($F49="","",IF(COUNTA($I49:$K49)=0,0,1/COUNTA($I49:$K49)))</f>
        <v>1</v>
      </c>
      <c r="AE49" s="39" t="str">
        <f aca="false">IF($AH49=0,"",SUM($AH$4:$AH49))</f>
        <v/>
      </c>
      <c r="AF49" s="39" t="str">
        <f aca="false">IF($AI49=0,"",SUM($AI$4:$AI49))</f>
        <v/>
      </c>
      <c r="AG49" s="50" t="str">
        <f aca="false">IF($F49="","",$I49&amp;IF($J49="",""," · "&amp;$J49)&amp;IF($K49="",""," · "&amp;$K49))</f>
        <v>Júnior</v>
      </c>
      <c r="AH49" s="39" t="n">
        <f aca="false">IF(AND($F49&lt;&gt;"",$O49&lt;&gt;"",$O49&lt;=Hoje!$C$3,$P49&gt;=Hoje!$C$3,$R49&lt;&gt;"Cancelada"),1,0)</f>
        <v>0</v>
      </c>
      <c r="AI49" s="39" t="n">
        <f aca="false">IF(AND($F49&lt;&gt;"",$P49&lt;&gt;"",$P49&lt;Hoje!$C$3,$AB49=0,$R49&lt;&gt;"Cancelada"),1,0)</f>
        <v>0</v>
      </c>
      <c r="AJ49" s="50" t="str">
        <f aca="false">IF($F49="","",$D49&amp;"|"&amp;$E49&amp;"|"&amp;$L49)</f>
        <v>F-617|Baixa de carteira|36</v>
      </c>
      <c r="AK49" s="39" t="n">
        <f aca="false">IF($AJ49="","",COUNTIF($AJ$4:$AJ49,$AJ49))</f>
        <v>7</v>
      </c>
      <c r="AL49" s="39" t="n">
        <f aca="false">IF($AJ49="","",COUNTIF($AJ$4:$AJ$1004,$AJ49))</f>
        <v>25</v>
      </c>
      <c r="AM49" s="42"/>
      <c r="AN49" s="50" t="str">
        <f aca="false">IF($D49="","",IFERROR(T(VLOOKUP($D49,Listas!$B$5:$H$120,7,0)),""))</f>
        <v/>
      </c>
      <c r="AO49" s="50" t="str">
        <f aca="false">IF(OR($F49="",$L49&lt;&gt;"",$R49="Cancelada",$AT49&lt;&gt;""),"",$AN49&amp;"|"&amp;$D49&amp;"|"&amp;IF($C49="","zzz",$C49)&amp;"|"&amp;TEXT(49,"0000"))</f>
        <v/>
      </c>
      <c r="AP49" s="50" t="str">
        <f aca="false">IF($AO49="","",COUNTIF($AO$5:$AO$1004,"&lt;"&amp;$AO49)-(ROWS($AO$5:$AO$1004)-Hoje!$L$5)+1)</f>
        <v/>
      </c>
      <c r="AQ49" s="50" t="n">
        <f aca="false">IF(AND($F49&lt;&gt;"",$D49=Frota!$C$3),1,0)</f>
        <v>0</v>
      </c>
      <c r="AR49" s="50" t="str">
        <f aca="false">IF($AQ49=0,"",SUM($AQ$4:$AQ49))</f>
        <v/>
      </c>
      <c r="AS49" s="50" t="str">
        <f aca="false">IFERROR(INDEX(Hoje!$K$10:$K$29,MATCH(ROW(),Hoje!$J$10:$J$29,0)),"")</f>
        <v/>
      </c>
      <c r="AT49" s="47" t="n">
        <f aca="false">IF($Q49&lt;&gt;"",$Q49,$AS49)</f>
        <v>46269</v>
      </c>
    </row>
    <row r="50" customFormat="false" ht="16.5" hidden="false" customHeight="true" outlineLevel="0" collapsed="false">
      <c r="A50" s="39" t="n">
        <f aca="false">IF($F50="","",ROW())</f>
        <v>50</v>
      </c>
      <c r="B50" s="40" t="str">
        <f aca="false">IF($F50="",IF($D50="","","Falta a atividade"),IF($R50="Cancelada","Cancelada",IF($AB50=1,IF(N($Z50)&gt;0,"Concluída com atraso","Concluída"),IF($R50="Em programação","Em programação",IF($O50="",IF($M50="","Na carteira","Falta a semana"),IF($AC50=1,"VENCIDA",IF($O50&gt;Hoje!$L$1,"Programada",IF($P50&gt;Hoje!$L$1,"Em execução","Fecha hoje"))))))))</f>
        <v>Concluída com atraso</v>
      </c>
      <c r="C50" s="41" t="s">
        <v>198</v>
      </c>
      <c r="D50" s="42" t="s">
        <v>177</v>
      </c>
      <c r="E50" s="42" t="s">
        <v>180</v>
      </c>
      <c r="F50" s="42" t="s">
        <v>199</v>
      </c>
      <c r="G50" s="43" t="s">
        <v>80</v>
      </c>
      <c r="H50" s="43" t="s">
        <v>100</v>
      </c>
      <c r="I50" s="44" t="s">
        <v>88</v>
      </c>
      <c r="J50" s="44"/>
      <c r="K50" s="44"/>
      <c r="L50" s="45" t="n">
        <v>36</v>
      </c>
      <c r="M50" s="46" t="s">
        <v>108</v>
      </c>
      <c r="N50" s="45" t="n">
        <v>2</v>
      </c>
      <c r="O50" s="47" t="n">
        <f aca="false">IF(OR($L50="",$M50=""),"",(DATE(Semana!$J$3,1,4)-WEEKDAY(DATE(Semana!$J$3,1,4),3))+($L50-1)*7+MATCH($M50,Listas!$F$5:$F$11,0)-1)</f>
        <v>46265</v>
      </c>
      <c r="P50" s="47" t="n">
        <f aca="false">IF(OR($F50="",$O50=""),"",$O50+MAX(0,ROUNDUP($AK50*MAX(1,IF($N50="",1,$N50))/MAX(1,$AL50),0)-1))</f>
        <v>46265</v>
      </c>
      <c r="Q50" s="48" t="n">
        <v>46269</v>
      </c>
      <c r="R50" s="43" t="s">
        <v>85</v>
      </c>
      <c r="S50" s="49" t="n">
        <v>35</v>
      </c>
      <c r="T50" s="42"/>
      <c r="U50" s="42"/>
      <c r="V50" s="39" t="str">
        <f aca="false">IF($F50="","",IF(ISNUMBER(SEARCH("(externo)",$I50&amp;$J50&amp;$K50)),"Terceirizada","Interna"))</f>
        <v>Interna</v>
      </c>
      <c r="W50" s="47" t="n">
        <f aca="false">IF($O50="","",IF($S50="",$O50,(DATE(Semana!$J$3,1,4)-WEEKDAY(DATE(Semana!$J$3,1,4),3))+($S50-1)*7+IF($M50="",0,MATCH($M50,Listas!$F$5:$F$11,0)-1)))</f>
        <v>46258</v>
      </c>
      <c r="X50" s="39" t="n">
        <f aca="false">IF($F50="","",IF(OR($AT50="",$O50=""),0,IF($AT50&lt;=$O50,1,0)))</f>
        <v>0</v>
      </c>
      <c r="Y50" s="39" t="n">
        <f aca="false">IF($F50="","",IF(OR($AT50="",$W50=""),0,IF($AT50&lt;=$W50,1,0)))</f>
        <v>0</v>
      </c>
      <c r="Z50" s="39" t="n">
        <f aca="false">IF(OR($AT50="",$O50=""),"",MAX(0,$AT50-$O50))</f>
        <v>4</v>
      </c>
      <c r="AA50" s="39" t="n">
        <f aca="false">IF($F50="","",IF(AND($S50&lt;&gt;"",$L50&lt;&gt;"",$S50&lt;&gt;$L50),1,0))</f>
        <v>1</v>
      </c>
      <c r="AB50" s="39" t="n">
        <f aca="false">IF($F50="","",IF($R50="Cancelada",0,IF(OR($AT50&lt;&gt;"",$R50="Concluída"),1,0)))</f>
        <v>1</v>
      </c>
      <c r="AC50" s="39" t="n">
        <f aca="false">IF($P50="",0,IF($P50&lt;Hoje!$L$1,1,IF(AND($P50=Hoje!$L$1,Hoje!$L$2&gt;Semana!$M$3),1,0)))</f>
        <v>1</v>
      </c>
      <c r="AD50" s="39" t="n">
        <f aca="false">IF($F50="","",IF(COUNTA($I50:$K50)=0,0,1/COUNTA($I50:$K50)))</f>
        <v>1</v>
      </c>
      <c r="AE50" s="39" t="str">
        <f aca="false">IF($AH50=0,"",SUM($AH$4:$AH50))</f>
        <v/>
      </c>
      <c r="AF50" s="39" t="str">
        <f aca="false">IF($AI50=0,"",SUM($AI$4:$AI50))</f>
        <v/>
      </c>
      <c r="AG50" s="50" t="str">
        <f aca="false">IF($F50="","",$I50&amp;IF($J50="",""," · "&amp;$J50)&amp;IF($K50="",""," · "&amp;$K50))</f>
        <v>Júnior</v>
      </c>
      <c r="AH50" s="39" t="n">
        <f aca="false">IF(AND($F50&lt;&gt;"",$O50&lt;&gt;"",$O50&lt;=Hoje!$C$3,$P50&gt;=Hoje!$C$3,$R50&lt;&gt;"Cancelada"),1,0)</f>
        <v>0</v>
      </c>
      <c r="AI50" s="39" t="n">
        <f aca="false">IF(AND($F50&lt;&gt;"",$P50&lt;&gt;"",$P50&lt;Hoje!$C$3,$AB50=0,$R50&lt;&gt;"Cancelada"),1,0)</f>
        <v>0</v>
      </c>
      <c r="AJ50" s="50" t="str">
        <f aca="false">IF($F50="","",$D50&amp;"|"&amp;$E50&amp;"|"&amp;$L50)</f>
        <v>F-617|Baixa de carteira|36</v>
      </c>
      <c r="AK50" s="39" t="n">
        <f aca="false">IF($AJ50="","",COUNTIF($AJ$4:$AJ50,$AJ50))</f>
        <v>8</v>
      </c>
      <c r="AL50" s="39" t="n">
        <f aca="false">IF($AJ50="","",COUNTIF($AJ$4:$AJ$1004,$AJ50))</f>
        <v>25</v>
      </c>
      <c r="AM50" s="42"/>
      <c r="AN50" s="50" t="str">
        <f aca="false">IF($D50="","",IFERROR(T(VLOOKUP($D50,Listas!$B$5:$H$120,7,0)),""))</f>
        <v/>
      </c>
      <c r="AO50" s="50" t="str">
        <f aca="false">IF(OR($F50="",$L50&lt;&gt;"",$R50="Cancelada",$AT50&lt;&gt;""),"",$AN50&amp;"|"&amp;$D50&amp;"|"&amp;IF($C50="","zzz",$C50)&amp;"|"&amp;TEXT(50,"0000"))</f>
        <v/>
      </c>
      <c r="AP50" s="50" t="str">
        <f aca="false">IF($AO50="","",COUNTIF($AO$5:$AO$1004,"&lt;"&amp;$AO50)-(ROWS($AO$5:$AO$1004)-Hoje!$L$5)+1)</f>
        <v/>
      </c>
      <c r="AQ50" s="50" t="n">
        <f aca="false">IF(AND($F50&lt;&gt;"",$D50=Frota!$C$3),1,0)</f>
        <v>0</v>
      </c>
      <c r="AR50" s="50" t="str">
        <f aca="false">IF($AQ50=0,"",SUM($AQ$4:$AQ50))</f>
        <v/>
      </c>
      <c r="AS50" s="50" t="str">
        <f aca="false">IFERROR(INDEX(Hoje!$K$10:$K$29,MATCH(ROW(),Hoje!$J$10:$J$29,0)),"")</f>
        <v/>
      </c>
      <c r="AT50" s="47" t="n">
        <f aca="false">IF($Q50&lt;&gt;"",$Q50,$AS50)</f>
        <v>46269</v>
      </c>
    </row>
    <row r="51" customFormat="false" ht="16.5" hidden="false" customHeight="true" outlineLevel="0" collapsed="false">
      <c r="A51" s="39" t="n">
        <f aca="false">IF($F51="","",ROW())</f>
        <v>51</v>
      </c>
      <c r="B51" s="40" t="str">
        <f aca="false">IF($F51="",IF($D51="","","Falta a atividade"),IF($R51="Cancelada","Cancelada",IF($AB51=1,IF(N($Z51)&gt;0,"Concluída com atraso","Concluída"),IF($R51="Em programação","Em programação",IF($O51="",IF($M51="","Na carteira","Falta a semana"),IF($AC51=1,"VENCIDA",IF($O51&gt;Hoje!$L$1,"Programada",IF($P51&gt;Hoje!$L$1,"Em execução","Fecha hoje"))))))))</f>
        <v>Concluída com atraso</v>
      </c>
      <c r="C51" s="41" t="s">
        <v>200</v>
      </c>
      <c r="D51" s="42" t="s">
        <v>177</v>
      </c>
      <c r="E51" s="42" t="s">
        <v>180</v>
      </c>
      <c r="F51" s="42" t="s">
        <v>201</v>
      </c>
      <c r="G51" s="43" t="s">
        <v>80</v>
      </c>
      <c r="H51" s="43" t="s">
        <v>100</v>
      </c>
      <c r="I51" s="44" t="s">
        <v>88</v>
      </c>
      <c r="J51" s="44"/>
      <c r="K51" s="44"/>
      <c r="L51" s="45" t="n">
        <v>36</v>
      </c>
      <c r="M51" s="46" t="s">
        <v>108</v>
      </c>
      <c r="N51" s="45" t="n">
        <v>2</v>
      </c>
      <c r="O51" s="47" t="n">
        <f aca="false">IF(OR($L51="",$M51=""),"",(DATE(Semana!$J$3,1,4)-WEEKDAY(DATE(Semana!$J$3,1,4),3))+($L51-1)*7+MATCH($M51,Listas!$F$5:$F$11,0)-1)</f>
        <v>46265</v>
      </c>
      <c r="P51" s="47" t="n">
        <f aca="false">IF(OR($F51="",$O51=""),"",$O51+MAX(0,ROUNDUP($AK51*MAX(1,IF($N51="",1,$N51))/MAX(1,$AL51),0)-1))</f>
        <v>46265</v>
      </c>
      <c r="Q51" s="48" t="n">
        <v>46269</v>
      </c>
      <c r="R51" s="43" t="s">
        <v>85</v>
      </c>
      <c r="S51" s="49" t="n">
        <v>35</v>
      </c>
      <c r="T51" s="42"/>
      <c r="U51" s="42"/>
      <c r="V51" s="39" t="str">
        <f aca="false">IF($F51="","",IF(ISNUMBER(SEARCH("(externo)",$I51&amp;$J51&amp;$K51)),"Terceirizada","Interna"))</f>
        <v>Interna</v>
      </c>
      <c r="W51" s="47" t="n">
        <f aca="false">IF($O51="","",IF($S51="",$O51,(DATE(Semana!$J$3,1,4)-WEEKDAY(DATE(Semana!$J$3,1,4),3))+($S51-1)*7+IF($M51="",0,MATCH($M51,Listas!$F$5:$F$11,0)-1)))</f>
        <v>46258</v>
      </c>
      <c r="X51" s="39" t="n">
        <f aca="false">IF($F51="","",IF(OR($AT51="",$O51=""),0,IF($AT51&lt;=$O51,1,0)))</f>
        <v>0</v>
      </c>
      <c r="Y51" s="39" t="n">
        <f aca="false">IF($F51="","",IF(OR($AT51="",$W51=""),0,IF($AT51&lt;=$W51,1,0)))</f>
        <v>0</v>
      </c>
      <c r="Z51" s="39" t="n">
        <f aca="false">IF(OR($AT51="",$O51=""),"",MAX(0,$AT51-$O51))</f>
        <v>4</v>
      </c>
      <c r="AA51" s="39" t="n">
        <f aca="false">IF($F51="","",IF(AND($S51&lt;&gt;"",$L51&lt;&gt;"",$S51&lt;&gt;$L51),1,0))</f>
        <v>1</v>
      </c>
      <c r="AB51" s="39" t="n">
        <f aca="false">IF($F51="","",IF($R51="Cancelada",0,IF(OR($AT51&lt;&gt;"",$R51="Concluída"),1,0)))</f>
        <v>1</v>
      </c>
      <c r="AC51" s="39" t="n">
        <f aca="false">IF($P51="",0,IF($P51&lt;Hoje!$L$1,1,IF(AND($P51=Hoje!$L$1,Hoje!$L$2&gt;Semana!$M$3),1,0)))</f>
        <v>1</v>
      </c>
      <c r="AD51" s="39" t="n">
        <f aca="false">IF($F51="","",IF(COUNTA($I51:$K51)=0,0,1/COUNTA($I51:$K51)))</f>
        <v>1</v>
      </c>
      <c r="AE51" s="39" t="str">
        <f aca="false">IF($AH51=0,"",SUM($AH$4:$AH51))</f>
        <v/>
      </c>
      <c r="AF51" s="39" t="str">
        <f aca="false">IF($AI51=0,"",SUM($AI$4:$AI51))</f>
        <v/>
      </c>
      <c r="AG51" s="50" t="str">
        <f aca="false">IF($F51="","",$I51&amp;IF($J51="",""," · "&amp;$J51)&amp;IF($K51="",""," · "&amp;$K51))</f>
        <v>Júnior</v>
      </c>
      <c r="AH51" s="39" t="n">
        <f aca="false">IF(AND($F51&lt;&gt;"",$O51&lt;&gt;"",$O51&lt;=Hoje!$C$3,$P51&gt;=Hoje!$C$3,$R51&lt;&gt;"Cancelada"),1,0)</f>
        <v>0</v>
      </c>
      <c r="AI51" s="39" t="n">
        <f aca="false">IF(AND($F51&lt;&gt;"",$P51&lt;&gt;"",$P51&lt;Hoje!$C$3,$AB51=0,$R51&lt;&gt;"Cancelada"),1,0)</f>
        <v>0</v>
      </c>
      <c r="AJ51" s="50" t="str">
        <f aca="false">IF($F51="","",$D51&amp;"|"&amp;$E51&amp;"|"&amp;$L51)</f>
        <v>F-617|Baixa de carteira|36</v>
      </c>
      <c r="AK51" s="39" t="n">
        <f aca="false">IF($AJ51="","",COUNTIF($AJ$4:$AJ51,$AJ51))</f>
        <v>9</v>
      </c>
      <c r="AL51" s="39" t="n">
        <f aca="false">IF($AJ51="","",COUNTIF($AJ$4:$AJ$1004,$AJ51))</f>
        <v>25</v>
      </c>
      <c r="AM51" s="42"/>
      <c r="AN51" s="50" t="str">
        <f aca="false">IF($D51="","",IFERROR(T(VLOOKUP($D51,Listas!$B$5:$H$120,7,0)),""))</f>
        <v/>
      </c>
      <c r="AO51" s="50" t="str">
        <f aca="false">IF(OR($F51="",$L51&lt;&gt;"",$R51="Cancelada",$AT51&lt;&gt;""),"",$AN51&amp;"|"&amp;$D51&amp;"|"&amp;IF($C51="","zzz",$C51)&amp;"|"&amp;TEXT(51,"0000"))</f>
        <v/>
      </c>
      <c r="AP51" s="50" t="str">
        <f aca="false">IF($AO51="","",COUNTIF($AO$5:$AO$1004,"&lt;"&amp;$AO51)-(ROWS($AO$5:$AO$1004)-Hoje!$L$5)+1)</f>
        <v/>
      </c>
      <c r="AQ51" s="50" t="n">
        <f aca="false">IF(AND($F51&lt;&gt;"",$D51=Frota!$C$3),1,0)</f>
        <v>0</v>
      </c>
      <c r="AR51" s="50" t="str">
        <f aca="false">IF($AQ51=0,"",SUM($AQ$4:$AQ51))</f>
        <v/>
      </c>
      <c r="AS51" s="50" t="str">
        <f aca="false">IFERROR(INDEX(Hoje!$K$10:$K$29,MATCH(ROW(),Hoje!$J$10:$J$29,0)),"")</f>
        <v/>
      </c>
      <c r="AT51" s="47" t="n">
        <f aca="false">IF($Q51&lt;&gt;"",$Q51,$AS51)</f>
        <v>46269</v>
      </c>
    </row>
    <row r="52" customFormat="false" ht="16.5" hidden="false" customHeight="true" outlineLevel="0" collapsed="false">
      <c r="A52" s="39" t="n">
        <f aca="false">IF($F52="","",ROW())</f>
        <v>52</v>
      </c>
      <c r="B52" s="40" t="str">
        <f aca="false">IF($F52="",IF($D52="","","Falta a atividade"),IF($R52="Cancelada","Cancelada",IF($AB52=1,IF(N($Z52)&gt;0,"Concluída com atraso","Concluída"),IF($R52="Em programação","Em programação",IF($O52="",IF($M52="","Na carteira","Falta a semana"),IF($AC52=1,"VENCIDA",IF($O52&gt;Hoje!$L$1,"Programada",IF($P52&gt;Hoje!$L$1,"Em execução","Fecha hoje"))))))))</f>
        <v>Concluída com atraso</v>
      </c>
      <c r="C52" s="41" t="s">
        <v>202</v>
      </c>
      <c r="D52" s="42" t="s">
        <v>177</v>
      </c>
      <c r="E52" s="42" t="s">
        <v>180</v>
      </c>
      <c r="F52" s="42" t="s">
        <v>203</v>
      </c>
      <c r="G52" s="43" t="s">
        <v>80</v>
      </c>
      <c r="H52" s="43" t="s">
        <v>100</v>
      </c>
      <c r="I52" s="44" t="s">
        <v>88</v>
      </c>
      <c r="J52" s="44"/>
      <c r="K52" s="44"/>
      <c r="L52" s="45" t="n">
        <v>36</v>
      </c>
      <c r="M52" s="46" t="s">
        <v>108</v>
      </c>
      <c r="N52" s="45" t="n">
        <v>2</v>
      </c>
      <c r="O52" s="47" t="n">
        <f aca="false">IF(OR($L52="",$M52=""),"",(DATE(Semana!$J$3,1,4)-WEEKDAY(DATE(Semana!$J$3,1,4),3))+($L52-1)*7+MATCH($M52,Listas!$F$5:$F$11,0)-1)</f>
        <v>46265</v>
      </c>
      <c r="P52" s="47" t="n">
        <f aca="false">IF(OR($F52="",$O52=""),"",$O52+MAX(0,ROUNDUP($AK52*MAX(1,IF($N52="",1,$N52))/MAX(1,$AL52),0)-1))</f>
        <v>46265</v>
      </c>
      <c r="Q52" s="48" t="n">
        <v>46269</v>
      </c>
      <c r="R52" s="43" t="s">
        <v>85</v>
      </c>
      <c r="S52" s="49" t="n">
        <v>35</v>
      </c>
      <c r="T52" s="42"/>
      <c r="U52" s="42"/>
      <c r="V52" s="39" t="str">
        <f aca="false">IF($F52="","",IF(ISNUMBER(SEARCH("(externo)",$I52&amp;$J52&amp;$K52)),"Terceirizada","Interna"))</f>
        <v>Interna</v>
      </c>
      <c r="W52" s="47" t="n">
        <f aca="false">IF($O52="","",IF($S52="",$O52,(DATE(Semana!$J$3,1,4)-WEEKDAY(DATE(Semana!$J$3,1,4),3))+($S52-1)*7+IF($M52="",0,MATCH($M52,Listas!$F$5:$F$11,0)-1)))</f>
        <v>46258</v>
      </c>
      <c r="X52" s="39" t="n">
        <f aca="false">IF($F52="","",IF(OR($AT52="",$O52=""),0,IF($AT52&lt;=$O52,1,0)))</f>
        <v>0</v>
      </c>
      <c r="Y52" s="39" t="n">
        <f aca="false">IF($F52="","",IF(OR($AT52="",$W52=""),0,IF($AT52&lt;=$W52,1,0)))</f>
        <v>0</v>
      </c>
      <c r="Z52" s="39" t="n">
        <f aca="false">IF(OR($AT52="",$O52=""),"",MAX(0,$AT52-$O52))</f>
        <v>4</v>
      </c>
      <c r="AA52" s="39" t="n">
        <f aca="false">IF($F52="","",IF(AND($S52&lt;&gt;"",$L52&lt;&gt;"",$S52&lt;&gt;$L52),1,0))</f>
        <v>1</v>
      </c>
      <c r="AB52" s="39" t="n">
        <f aca="false">IF($F52="","",IF($R52="Cancelada",0,IF(OR($AT52&lt;&gt;"",$R52="Concluída"),1,0)))</f>
        <v>1</v>
      </c>
      <c r="AC52" s="39" t="n">
        <f aca="false">IF($P52="",0,IF($P52&lt;Hoje!$L$1,1,IF(AND($P52=Hoje!$L$1,Hoje!$L$2&gt;Semana!$M$3),1,0)))</f>
        <v>1</v>
      </c>
      <c r="AD52" s="39" t="n">
        <f aca="false">IF($F52="","",IF(COUNTA($I52:$K52)=0,0,1/COUNTA($I52:$K52)))</f>
        <v>1</v>
      </c>
      <c r="AE52" s="39" t="str">
        <f aca="false">IF($AH52=0,"",SUM($AH$4:$AH52))</f>
        <v/>
      </c>
      <c r="AF52" s="39" t="str">
        <f aca="false">IF($AI52=0,"",SUM($AI$4:$AI52))</f>
        <v/>
      </c>
      <c r="AG52" s="50" t="str">
        <f aca="false">IF($F52="","",$I52&amp;IF($J52="",""," · "&amp;$J52)&amp;IF($K52="",""," · "&amp;$K52))</f>
        <v>Júnior</v>
      </c>
      <c r="AH52" s="39" t="n">
        <f aca="false">IF(AND($F52&lt;&gt;"",$O52&lt;&gt;"",$O52&lt;=Hoje!$C$3,$P52&gt;=Hoje!$C$3,$R52&lt;&gt;"Cancelada"),1,0)</f>
        <v>0</v>
      </c>
      <c r="AI52" s="39" t="n">
        <f aca="false">IF(AND($F52&lt;&gt;"",$P52&lt;&gt;"",$P52&lt;Hoje!$C$3,$AB52=0,$R52&lt;&gt;"Cancelada"),1,0)</f>
        <v>0</v>
      </c>
      <c r="AJ52" s="50" t="str">
        <f aca="false">IF($F52="","",$D52&amp;"|"&amp;$E52&amp;"|"&amp;$L52)</f>
        <v>F-617|Baixa de carteira|36</v>
      </c>
      <c r="AK52" s="39" t="n">
        <f aca="false">IF($AJ52="","",COUNTIF($AJ$4:$AJ52,$AJ52))</f>
        <v>10</v>
      </c>
      <c r="AL52" s="39" t="n">
        <f aca="false">IF($AJ52="","",COUNTIF($AJ$4:$AJ$1004,$AJ52))</f>
        <v>25</v>
      </c>
      <c r="AM52" s="42"/>
      <c r="AN52" s="50" t="str">
        <f aca="false">IF($D52="","",IFERROR(T(VLOOKUP($D52,Listas!$B$5:$H$120,7,0)),""))</f>
        <v/>
      </c>
      <c r="AO52" s="50" t="str">
        <f aca="false">IF(OR($F52="",$L52&lt;&gt;"",$R52="Cancelada",$AT52&lt;&gt;""),"",$AN52&amp;"|"&amp;$D52&amp;"|"&amp;IF($C52="","zzz",$C52)&amp;"|"&amp;TEXT(52,"0000"))</f>
        <v/>
      </c>
      <c r="AP52" s="50" t="str">
        <f aca="false">IF($AO52="","",COUNTIF($AO$5:$AO$1004,"&lt;"&amp;$AO52)-(ROWS($AO$5:$AO$1004)-Hoje!$L$5)+1)</f>
        <v/>
      </c>
      <c r="AQ52" s="50" t="n">
        <f aca="false">IF(AND($F52&lt;&gt;"",$D52=Frota!$C$3),1,0)</f>
        <v>0</v>
      </c>
      <c r="AR52" s="50" t="str">
        <f aca="false">IF($AQ52=0,"",SUM($AQ$4:$AQ52))</f>
        <v/>
      </c>
      <c r="AS52" s="50" t="str">
        <f aca="false">IFERROR(INDEX(Hoje!$K$10:$K$29,MATCH(ROW(),Hoje!$J$10:$J$29,0)),"")</f>
        <v/>
      </c>
      <c r="AT52" s="47" t="n">
        <f aca="false">IF($Q52&lt;&gt;"",$Q52,$AS52)</f>
        <v>46269</v>
      </c>
    </row>
    <row r="53" customFormat="false" ht="16.5" hidden="false" customHeight="true" outlineLevel="0" collapsed="false">
      <c r="A53" s="39" t="n">
        <f aca="false">IF($F53="","",ROW())</f>
        <v>53</v>
      </c>
      <c r="B53" s="40" t="str">
        <f aca="false">IF($F53="",IF($D53="","","Falta a atividade"),IF($R53="Cancelada","Cancelada",IF($AB53=1,IF(N($Z53)&gt;0,"Concluída com atraso","Concluída"),IF($R53="Em programação","Em programação",IF($O53="",IF($M53="","Na carteira","Falta a semana"),IF($AC53=1,"VENCIDA",IF($O53&gt;Hoje!$L$1,"Programada",IF($P53&gt;Hoje!$L$1,"Em execução","Fecha hoje"))))))))</f>
        <v>Concluída com atraso</v>
      </c>
      <c r="C53" s="41" t="s">
        <v>204</v>
      </c>
      <c r="D53" s="42" t="s">
        <v>177</v>
      </c>
      <c r="E53" s="42" t="s">
        <v>180</v>
      </c>
      <c r="F53" s="42" t="s">
        <v>205</v>
      </c>
      <c r="G53" s="43" t="s">
        <v>80</v>
      </c>
      <c r="H53" s="43" t="s">
        <v>100</v>
      </c>
      <c r="I53" s="44" t="s">
        <v>88</v>
      </c>
      <c r="J53" s="44"/>
      <c r="K53" s="44"/>
      <c r="L53" s="45" t="n">
        <v>36</v>
      </c>
      <c r="M53" s="46" t="s">
        <v>108</v>
      </c>
      <c r="N53" s="45" t="n">
        <v>2</v>
      </c>
      <c r="O53" s="47" t="n">
        <f aca="false">IF(OR($L53="",$M53=""),"",(DATE(Semana!$J$3,1,4)-WEEKDAY(DATE(Semana!$J$3,1,4),3))+($L53-1)*7+MATCH($M53,Listas!$F$5:$F$11,0)-1)</f>
        <v>46265</v>
      </c>
      <c r="P53" s="47" t="n">
        <f aca="false">IF(OR($F53="",$O53=""),"",$O53+MAX(0,ROUNDUP($AK53*MAX(1,IF($N53="",1,$N53))/MAX(1,$AL53),0)-1))</f>
        <v>46265</v>
      </c>
      <c r="Q53" s="48" t="n">
        <v>46269</v>
      </c>
      <c r="R53" s="43" t="s">
        <v>85</v>
      </c>
      <c r="S53" s="49" t="n">
        <v>35</v>
      </c>
      <c r="T53" s="42"/>
      <c r="U53" s="42" t="s">
        <v>206</v>
      </c>
      <c r="V53" s="39" t="str">
        <f aca="false">IF($F53="","",IF(ISNUMBER(SEARCH("(externo)",$I53&amp;$J53&amp;$K53)),"Terceirizada","Interna"))</f>
        <v>Interna</v>
      </c>
      <c r="W53" s="47" t="n">
        <f aca="false">IF($O53="","",IF($S53="",$O53,(DATE(Semana!$J$3,1,4)-WEEKDAY(DATE(Semana!$J$3,1,4),3))+($S53-1)*7+IF($M53="",0,MATCH($M53,Listas!$F$5:$F$11,0)-1)))</f>
        <v>46258</v>
      </c>
      <c r="X53" s="39" t="n">
        <f aca="false">IF($F53="","",IF(OR($AT53="",$O53=""),0,IF($AT53&lt;=$O53,1,0)))</f>
        <v>0</v>
      </c>
      <c r="Y53" s="39" t="n">
        <f aca="false">IF($F53="","",IF(OR($AT53="",$W53=""),0,IF($AT53&lt;=$W53,1,0)))</f>
        <v>0</v>
      </c>
      <c r="Z53" s="39" t="n">
        <f aca="false">IF(OR($AT53="",$O53=""),"",MAX(0,$AT53-$O53))</f>
        <v>4</v>
      </c>
      <c r="AA53" s="39" t="n">
        <f aca="false">IF($F53="","",IF(AND($S53&lt;&gt;"",$L53&lt;&gt;"",$S53&lt;&gt;$L53),1,0))</f>
        <v>1</v>
      </c>
      <c r="AB53" s="39" t="n">
        <f aca="false">IF($F53="","",IF($R53="Cancelada",0,IF(OR($AT53&lt;&gt;"",$R53="Concluída"),1,0)))</f>
        <v>1</v>
      </c>
      <c r="AC53" s="39" t="n">
        <f aca="false">IF($P53="",0,IF($P53&lt;Hoje!$L$1,1,IF(AND($P53=Hoje!$L$1,Hoje!$L$2&gt;Semana!$M$3),1,0)))</f>
        <v>1</v>
      </c>
      <c r="AD53" s="39" t="n">
        <f aca="false">IF($F53="","",IF(COUNTA($I53:$K53)=0,0,1/COUNTA($I53:$K53)))</f>
        <v>1</v>
      </c>
      <c r="AE53" s="39" t="str">
        <f aca="false">IF($AH53=0,"",SUM($AH$4:$AH53))</f>
        <v/>
      </c>
      <c r="AF53" s="39" t="str">
        <f aca="false">IF($AI53=0,"",SUM($AI$4:$AI53))</f>
        <v/>
      </c>
      <c r="AG53" s="50" t="str">
        <f aca="false">IF($F53="","",$I53&amp;IF($J53="",""," · "&amp;$J53)&amp;IF($K53="",""," · "&amp;$K53))</f>
        <v>Júnior</v>
      </c>
      <c r="AH53" s="39" t="n">
        <f aca="false">IF(AND($F53&lt;&gt;"",$O53&lt;&gt;"",$O53&lt;=Hoje!$C$3,$P53&gt;=Hoje!$C$3,$R53&lt;&gt;"Cancelada"),1,0)</f>
        <v>0</v>
      </c>
      <c r="AI53" s="39" t="n">
        <f aca="false">IF(AND($F53&lt;&gt;"",$P53&lt;&gt;"",$P53&lt;Hoje!$C$3,$AB53=0,$R53&lt;&gt;"Cancelada"),1,0)</f>
        <v>0</v>
      </c>
      <c r="AJ53" s="50" t="str">
        <f aca="false">IF($F53="","",$D53&amp;"|"&amp;$E53&amp;"|"&amp;$L53)</f>
        <v>F-617|Baixa de carteira|36</v>
      </c>
      <c r="AK53" s="39" t="n">
        <f aca="false">IF($AJ53="","",COUNTIF($AJ$4:$AJ53,$AJ53))</f>
        <v>11</v>
      </c>
      <c r="AL53" s="39" t="n">
        <f aca="false">IF($AJ53="","",COUNTIF($AJ$4:$AJ$1004,$AJ53))</f>
        <v>25</v>
      </c>
      <c r="AM53" s="42"/>
      <c r="AN53" s="50" t="str">
        <f aca="false">IF($D53="","",IFERROR(T(VLOOKUP($D53,Listas!$B$5:$H$120,7,0)),""))</f>
        <v/>
      </c>
      <c r="AO53" s="50" t="str">
        <f aca="false">IF(OR($F53="",$L53&lt;&gt;"",$R53="Cancelada",$AT53&lt;&gt;""),"",$AN53&amp;"|"&amp;$D53&amp;"|"&amp;IF($C53="","zzz",$C53)&amp;"|"&amp;TEXT(53,"0000"))</f>
        <v/>
      </c>
      <c r="AP53" s="50" t="str">
        <f aca="false">IF($AO53="","",COUNTIF($AO$5:$AO$1004,"&lt;"&amp;$AO53)-(ROWS($AO$5:$AO$1004)-Hoje!$L$5)+1)</f>
        <v/>
      </c>
      <c r="AQ53" s="50" t="n">
        <f aca="false">IF(AND($F53&lt;&gt;"",$D53=Frota!$C$3),1,0)</f>
        <v>0</v>
      </c>
      <c r="AR53" s="50" t="str">
        <f aca="false">IF($AQ53=0,"",SUM($AQ$4:$AQ53))</f>
        <v/>
      </c>
      <c r="AS53" s="50" t="str">
        <f aca="false">IFERROR(INDEX(Hoje!$K$10:$K$29,MATCH(ROW(),Hoje!$J$10:$J$29,0)),"")</f>
        <v/>
      </c>
      <c r="AT53" s="47" t="n">
        <f aca="false">IF($Q53&lt;&gt;"",$Q53,$AS53)</f>
        <v>46269</v>
      </c>
    </row>
    <row r="54" customFormat="false" ht="16.5" hidden="false" customHeight="true" outlineLevel="0" collapsed="false">
      <c r="A54" s="39" t="n">
        <f aca="false">IF($F54="","",ROW())</f>
        <v>54</v>
      </c>
      <c r="B54" s="40" t="str">
        <f aca="false">IF($F54="",IF($D54="","","Falta a atividade"),IF($R54="Cancelada","Cancelada",IF($AB54=1,IF(N($Z54)&gt;0,"Concluída com atraso","Concluída"),IF($R54="Em programação","Em programação",IF($O54="",IF($M54="","Na carteira","Falta a semana"),IF($AC54=1,"VENCIDA",IF($O54&gt;Hoje!$L$1,"Programada",IF($P54&gt;Hoje!$L$1,"Em execução","Fecha hoje"))))))))</f>
        <v>Concluída com atraso</v>
      </c>
      <c r="C54" s="41" t="s">
        <v>207</v>
      </c>
      <c r="D54" s="42" t="s">
        <v>177</v>
      </c>
      <c r="E54" s="42" t="s">
        <v>180</v>
      </c>
      <c r="F54" s="42" t="s">
        <v>208</v>
      </c>
      <c r="G54" s="43" t="s">
        <v>80</v>
      </c>
      <c r="H54" s="43" t="s">
        <v>100</v>
      </c>
      <c r="I54" s="44" t="s">
        <v>88</v>
      </c>
      <c r="J54" s="44"/>
      <c r="K54" s="44"/>
      <c r="L54" s="45" t="n">
        <v>36</v>
      </c>
      <c r="M54" s="46" t="s">
        <v>108</v>
      </c>
      <c r="N54" s="45" t="n">
        <v>2</v>
      </c>
      <c r="O54" s="47" t="n">
        <f aca="false">IF(OR($L54="",$M54=""),"",(DATE(Semana!$J$3,1,4)-WEEKDAY(DATE(Semana!$J$3,1,4),3))+($L54-1)*7+MATCH($M54,Listas!$F$5:$F$11,0)-1)</f>
        <v>46265</v>
      </c>
      <c r="P54" s="47" t="n">
        <f aca="false">IF(OR($F54="",$O54=""),"",$O54+MAX(0,ROUNDUP($AK54*MAX(1,IF($N54="",1,$N54))/MAX(1,$AL54),0)-1))</f>
        <v>46265</v>
      </c>
      <c r="Q54" s="48" t="n">
        <v>46269</v>
      </c>
      <c r="R54" s="43" t="s">
        <v>85</v>
      </c>
      <c r="S54" s="49" t="n">
        <v>35</v>
      </c>
      <c r="T54" s="42"/>
      <c r="U54" s="42"/>
      <c r="V54" s="39" t="str">
        <f aca="false">IF($F54="","",IF(ISNUMBER(SEARCH("(externo)",$I54&amp;$J54&amp;$K54)),"Terceirizada","Interna"))</f>
        <v>Interna</v>
      </c>
      <c r="W54" s="47" t="n">
        <f aca="false">IF($O54="","",IF($S54="",$O54,(DATE(Semana!$J$3,1,4)-WEEKDAY(DATE(Semana!$J$3,1,4),3))+($S54-1)*7+IF($M54="",0,MATCH($M54,Listas!$F$5:$F$11,0)-1)))</f>
        <v>46258</v>
      </c>
      <c r="X54" s="39" t="n">
        <f aca="false">IF($F54="","",IF(OR($AT54="",$O54=""),0,IF($AT54&lt;=$O54,1,0)))</f>
        <v>0</v>
      </c>
      <c r="Y54" s="39" t="n">
        <f aca="false">IF($F54="","",IF(OR($AT54="",$W54=""),0,IF($AT54&lt;=$W54,1,0)))</f>
        <v>0</v>
      </c>
      <c r="Z54" s="39" t="n">
        <f aca="false">IF(OR($AT54="",$O54=""),"",MAX(0,$AT54-$O54))</f>
        <v>4</v>
      </c>
      <c r="AA54" s="39" t="n">
        <f aca="false">IF($F54="","",IF(AND($S54&lt;&gt;"",$L54&lt;&gt;"",$S54&lt;&gt;$L54),1,0))</f>
        <v>1</v>
      </c>
      <c r="AB54" s="39" t="n">
        <f aca="false">IF($F54="","",IF($R54="Cancelada",0,IF(OR($AT54&lt;&gt;"",$R54="Concluída"),1,0)))</f>
        <v>1</v>
      </c>
      <c r="AC54" s="39" t="n">
        <f aca="false">IF($P54="",0,IF($P54&lt;Hoje!$L$1,1,IF(AND($P54=Hoje!$L$1,Hoje!$L$2&gt;Semana!$M$3),1,0)))</f>
        <v>1</v>
      </c>
      <c r="AD54" s="39" t="n">
        <f aca="false">IF($F54="","",IF(COUNTA($I54:$K54)=0,0,1/COUNTA($I54:$K54)))</f>
        <v>1</v>
      </c>
      <c r="AE54" s="39" t="str">
        <f aca="false">IF($AH54=0,"",SUM($AH$4:$AH54))</f>
        <v/>
      </c>
      <c r="AF54" s="39" t="str">
        <f aca="false">IF($AI54=0,"",SUM($AI$4:$AI54))</f>
        <v/>
      </c>
      <c r="AG54" s="50" t="str">
        <f aca="false">IF($F54="","",$I54&amp;IF($J54="",""," · "&amp;$J54)&amp;IF($K54="",""," · "&amp;$K54))</f>
        <v>Júnior</v>
      </c>
      <c r="AH54" s="39" t="n">
        <f aca="false">IF(AND($F54&lt;&gt;"",$O54&lt;&gt;"",$O54&lt;=Hoje!$C$3,$P54&gt;=Hoje!$C$3,$R54&lt;&gt;"Cancelada"),1,0)</f>
        <v>0</v>
      </c>
      <c r="AI54" s="39" t="n">
        <f aca="false">IF(AND($F54&lt;&gt;"",$P54&lt;&gt;"",$P54&lt;Hoje!$C$3,$AB54=0,$R54&lt;&gt;"Cancelada"),1,0)</f>
        <v>0</v>
      </c>
      <c r="AJ54" s="50" t="str">
        <f aca="false">IF($F54="","",$D54&amp;"|"&amp;$E54&amp;"|"&amp;$L54)</f>
        <v>F-617|Baixa de carteira|36</v>
      </c>
      <c r="AK54" s="39" t="n">
        <f aca="false">IF($AJ54="","",COUNTIF($AJ$4:$AJ54,$AJ54))</f>
        <v>12</v>
      </c>
      <c r="AL54" s="39" t="n">
        <f aca="false">IF($AJ54="","",COUNTIF($AJ$4:$AJ$1004,$AJ54))</f>
        <v>25</v>
      </c>
      <c r="AM54" s="42"/>
      <c r="AN54" s="50" t="str">
        <f aca="false">IF($D54="","",IFERROR(T(VLOOKUP($D54,Listas!$B$5:$H$120,7,0)),""))</f>
        <v/>
      </c>
      <c r="AO54" s="50" t="str">
        <f aca="false">IF(OR($F54="",$L54&lt;&gt;"",$R54="Cancelada",$AT54&lt;&gt;""),"",$AN54&amp;"|"&amp;$D54&amp;"|"&amp;IF($C54="","zzz",$C54)&amp;"|"&amp;TEXT(54,"0000"))</f>
        <v/>
      </c>
      <c r="AP54" s="50" t="str">
        <f aca="false">IF($AO54="","",COUNTIF($AO$5:$AO$1004,"&lt;"&amp;$AO54)-(ROWS($AO$5:$AO$1004)-Hoje!$L$5)+1)</f>
        <v/>
      </c>
      <c r="AQ54" s="50" t="n">
        <f aca="false">IF(AND($F54&lt;&gt;"",$D54=Frota!$C$3),1,0)</f>
        <v>0</v>
      </c>
      <c r="AR54" s="50" t="str">
        <f aca="false">IF($AQ54=0,"",SUM($AQ$4:$AQ54))</f>
        <v/>
      </c>
      <c r="AS54" s="50" t="str">
        <f aca="false">IFERROR(INDEX(Hoje!$K$10:$K$29,MATCH(ROW(),Hoje!$J$10:$J$29,0)),"")</f>
        <v/>
      </c>
      <c r="AT54" s="47" t="n">
        <f aca="false">IF($Q54&lt;&gt;"",$Q54,$AS54)</f>
        <v>46269</v>
      </c>
    </row>
    <row r="55" customFormat="false" ht="16.5" hidden="false" customHeight="true" outlineLevel="0" collapsed="false">
      <c r="A55" s="39" t="n">
        <f aca="false">IF($F55="","",ROW())</f>
        <v>55</v>
      </c>
      <c r="B55" s="40" t="str">
        <f aca="false">IF($F55="",IF($D55="","","Falta a atividade"),IF($R55="Cancelada","Cancelada",IF($AB55=1,IF(N($Z55)&gt;0,"Concluída com atraso","Concluída"),IF($R55="Em programação","Em programação",IF($O55="",IF($M55="","Na carteira","Falta a semana"),IF($AC55=1,"VENCIDA",IF($O55&gt;Hoje!$L$1,"Programada",IF($P55&gt;Hoje!$L$1,"Em execução","Fecha hoje"))))))))</f>
        <v>Concluída</v>
      </c>
      <c r="C55" s="41" t="s">
        <v>207</v>
      </c>
      <c r="D55" s="42" t="s">
        <v>177</v>
      </c>
      <c r="E55" s="42" t="s">
        <v>180</v>
      </c>
      <c r="F55" s="42" t="s">
        <v>209</v>
      </c>
      <c r="G55" s="43" t="s">
        <v>80</v>
      </c>
      <c r="H55" s="43" t="s">
        <v>100</v>
      </c>
      <c r="I55" s="44" t="s">
        <v>88</v>
      </c>
      <c r="J55" s="44"/>
      <c r="K55" s="44"/>
      <c r="L55" s="45" t="n">
        <v>36</v>
      </c>
      <c r="M55" s="46" t="s">
        <v>108</v>
      </c>
      <c r="N55" s="45" t="n">
        <v>2</v>
      </c>
      <c r="O55" s="47" t="n">
        <f aca="false">IF(OR($L55="",$M55=""),"",(DATE(Semana!$J$3,1,4)-WEEKDAY(DATE(Semana!$J$3,1,4),3))+($L55-1)*7+MATCH($M55,Listas!$F$5:$F$11,0)-1)</f>
        <v>46265</v>
      </c>
      <c r="P55" s="47" t="n">
        <f aca="false">IF(OR($F55="",$O55=""),"",$O55+MAX(0,ROUNDUP($AK55*MAX(1,IF($N55="",1,$N55))/MAX(1,$AL55),0)-1))</f>
        <v>46266</v>
      </c>
      <c r="Q55" s="48" t="n">
        <v>46265</v>
      </c>
      <c r="R55" s="43" t="s">
        <v>85</v>
      </c>
      <c r="S55" s="49" t="n">
        <v>35</v>
      </c>
      <c r="T55" s="42"/>
      <c r="U55" s="42"/>
      <c r="V55" s="39" t="str">
        <f aca="false">IF($F55="","",IF(ISNUMBER(SEARCH("(externo)",$I55&amp;$J55&amp;$K55)),"Terceirizada","Interna"))</f>
        <v>Interna</v>
      </c>
      <c r="W55" s="47" t="n">
        <f aca="false">IF($O55="","",IF($S55="",$O55,(DATE(Semana!$J$3,1,4)-WEEKDAY(DATE(Semana!$J$3,1,4),3))+($S55-1)*7+IF($M55="",0,MATCH($M55,Listas!$F$5:$F$11,0)-1)))</f>
        <v>46258</v>
      </c>
      <c r="X55" s="39" t="n">
        <f aca="false">IF($F55="","",IF(OR($AT55="",$O55=""),0,IF($AT55&lt;=$O55,1,0)))</f>
        <v>1</v>
      </c>
      <c r="Y55" s="39" t="n">
        <f aca="false">IF($F55="","",IF(OR($AT55="",$W55=""),0,IF($AT55&lt;=$W55,1,0)))</f>
        <v>0</v>
      </c>
      <c r="Z55" s="39" t="n">
        <f aca="false">IF(OR($AT55="",$O55=""),"",MAX(0,$AT55-$O55))</f>
        <v>0</v>
      </c>
      <c r="AA55" s="39" t="n">
        <f aca="false">IF($F55="","",IF(AND($S55&lt;&gt;"",$L55&lt;&gt;"",$S55&lt;&gt;$L55),1,0))</f>
        <v>1</v>
      </c>
      <c r="AB55" s="39" t="n">
        <f aca="false">IF($F55="","",IF($R55="Cancelada",0,IF(OR($AT55&lt;&gt;"",$R55="Concluída"),1,0)))</f>
        <v>1</v>
      </c>
      <c r="AC55" s="39" t="n">
        <f aca="false">IF($P55="",0,IF($P55&lt;Hoje!$L$1,1,IF(AND($P55=Hoje!$L$1,Hoje!$L$2&gt;Semana!$M$3),1,0)))</f>
        <v>1</v>
      </c>
      <c r="AD55" s="39" t="n">
        <f aca="false">IF($F55="","",IF(COUNTA($I55:$K55)=0,0,1/COUNTA($I55:$K55)))</f>
        <v>1</v>
      </c>
      <c r="AE55" s="39" t="str">
        <f aca="false">IF($AH55=0,"",SUM($AH$4:$AH55))</f>
        <v/>
      </c>
      <c r="AF55" s="39" t="str">
        <f aca="false">IF($AI55=0,"",SUM($AI$4:$AI55))</f>
        <v/>
      </c>
      <c r="AG55" s="50" t="str">
        <f aca="false">IF($F55="","",$I55&amp;IF($J55="",""," · "&amp;$J55)&amp;IF($K55="",""," · "&amp;$K55))</f>
        <v>Júnior</v>
      </c>
      <c r="AH55" s="39" t="n">
        <f aca="false">IF(AND($F55&lt;&gt;"",$O55&lt;&gt;"",$O55&lt;=Hoje!$C$3,$P55&gt;=Hoje!$C$3,$R55&lt;&gt;"Cancelada"),1,0)</f>
        <v>0</v>
      </c>
      <c r="AI55" s="39" t="n">
        <f aca="false">IF(AND($F55&lt;&gt;"",$P55&lt;&gt;"",$P55&lt;Hoje!$C$3,$AB55=0,$R55&lt;&gt;"Cancelada"),1,0)</f>
        <v>0</v>
      </c>
      <c r="AJ55" s="50" t="str">
        <f aca="false">IF($F55="","",$D55&amp;"|"&amp;$E55&amp;"|"&amp;$L55)</f>
        <v>F-617|Baixa de carteira|36</v>
      </c>
      <c r="AK55" s="39" t="n">
        <f aca="false">IF($AJ55="","",COUNTIF($AJ$4:$AJ55,$AJ55))</f>
        <v>13</v>
      </c>
      <c r="AL55" s="39" t="n">
        <f aca="false">IF($AJ55="","",COUNTIF($AJ$4:$AJ$1004,$AJ55))</f>
        <v>25</v>
      </c>
      <c r="AM55" s="42"/>
      <c r="AN55" s="50" t="str">
        <f aca="false">IF($D55="","",IFERROR(T(VLOOKUP($D55,Listas!$B$5:$H$120,7,0)),""))</f>
        <v/>
      </c>
      <c r="AO55" s="50" t="str">
        <f aca="false">IF(OR($F55="",$L55&lt;&gt;"",$R55="Cancelada",$AT55&lt;&gt;""),"",$AN55&amp;"|"&amp;$D55&amp;"|"&amp;IF($C55="","zzz",$C55)&amp;"|"&amp;TEXT(55,"0000"))</f>
        <v/>
      </c>
      <c r="AP55" s="50" t="str">
        <f aca="false">IF($AO55="","",COUNTIF($AO$5:$AO$1004,"&lt;"&amp;$AO55)-(ROWS($AO$5:$AO$1004)-Hoje!$L$5)+1)</f>
        <v/>
      </c>
      <c r="AQ55" s="50" t="n">
        <f aca="false">IF(AND($F55&lt;&gt;"",$D55=Frota!$C$3),1,0)</f>
        <v>0</v>
      </c>
      <c r="AR55" s="50" t="str">
        <f aca="false">IF($AQ55=0,"",SUM($AQ$4:$AQ55))</f>
        <v/>
      </c>
      <c r="AS55" s="50" t="str">
        <f aca="false">IFERROR(INDEX(Hoje!$K$10:$K$29,MATCH(ROW(),Hoje!$J$10:$J$29,0)),"")</f>
        <v/>
      </c>
      <c r="AT55" s="47" t="n">
        <f aca="false">IF($Q55&lt;&gt;"",$Q55,$AS55)</f>
        <v>46265</v>
      </c>
    </row>
    <row r="56" customFormat="false" ht="16.5" hidden="false" customHeight="true" outlineLevel="0" collapsed="false">
      <c r="A56" s="39" t="n">
        <f aca="false">IF($F56="","",ROW())</f>
        <v>56</v>
      </c>
      <c r="B56" s="40" t="str">
        <f aca="false">IF($F56="",IF($D56="","","Falta a atividade"),IF($R56="Cancelada","Cancelada",IF($AB56=1,IF(N($Z56)&gt;0,"Concluída com atraso","Concluída"),IF($R56="Em programação","Em programação",IF($O56="",IF($M56="","Na carteira","Falta a semana"),IF($AC56=1,"VENCIDA",IF($O56&gt;Hoje!$L$1,"Programada",IF($P56&gt;Hoje!$L$1,"Em execução","Fecha hoje"))))))))</f>
        <v>Concluída com atraso</v>
      </c>
      <c r="C56" s="41" t="s">
        <v>210</v>
      </c>
      <c r="D56" s="42" t="s">
        <v>177</v>
      </c>
      <c r="E56" s="42" t="s">
        <v>180</v>
      </c>
      <c r="F56" s="42" t="s">
        <v>211</v>
      </c>
      <c r="G56" s="43" t="s">
        <v>80</v>
      </c>
      <c r="H56" s="43" t="s">
        <v>100</v>
      </c>
      <c r="I56" s="44" t="s">
        <v>88</v>
      </c>
      <c r="J56" s="44"/>
      <c r="K56" s="44"/>
      <c r="L56" s="45" t="n">
        <v>36</v>
      </c>
      <c r="M56" s="46" t="s">
        <v>108</v>
      </c>
      <c r="N56" s="45" t="n">
        <v>2</v>
      </c>
      <c r="O56" s="47" t="n">
        <f aca="false">IF(OR($L56="",$M56=""),"",(DATE(Semana!$J$3,1,4)-WEEKDAY(DATE(Semana!$J$3,1,4),3))+($L56-1)*7+MATCH($M56,Listas!$F$5:$F$11,0)-1)</f>
        <v>46265</v>
      </c>
      <c r="P56" s="47" t="n">
        <f aca="false">IF(OR($F56="",$O56=""),"",$O56+MAX(0,ROUNDUP($AK56*MAX(1,IF($N56="",1,$N56))/MAX(1,$AL56),0)-1))</f>
        <v>46266</v>
      </c>
      <c r="Q56" s="48" t="n">
        <v>46266</v>
      </c>
      <c r="R56" s="43" t="s">
        <v>85</v>
      </c>
      <c r="S56" s="49" t="n">
        <v>35</v>
      </c>
      <c r="T56" s="42"/>
      <c r="U56" s="42"/>
      <c r="V56" s="39" t="str">
        <f aca="false">IF($F56="","",IF(ISNUMBER(SEARCH("(externo)",$I56&amp;$J56&amp;$K56)),"Terceirizada","Interna"))</f>
        <v>Interna</v>
      </c>
      <c r="W56" s="47" t="n">
        <f aca="false">IF($O56="","",IF($S56="",$O56,(DATE(Semana!$J$3,1,4)-WEEKDAY(DATE(Semana!$J$3,1,4),3))+($S56-1)*7+IF($M56="",0,MATCH($M56,Listas!$F$5:$F$11,0)-1)))</f>
        <v>46258</v>
      </c>
      <c r="X56" s="39" t="n">
        <f aca="false">IF($F56="","",IF(OR($AT56="",$O56=""),0,IF($AT56&lt;=$O56,1,0)))</f>
        <v>0</v>
      </c>
      <c r="Y56" s="39" t="n">
        <f aca="false">IF($F56="","",IF(OR($AT56="",$W56=""),0,IF($AT56&lt;=$W56,1,0)))</f>
        <v>0</v>
      </c>
      <c r="Z56" s="39" t="n">
        <f aca="false">IF(OR($AT56="",$O56=""),"",MAX(0,$AT56-$O56))</f>
        <v>1</v>
      </c>
      <c r="AA56" s="39" t="n">
        <f aca="false">IF($F56="","",IF(AND($S56&lt;&gt;"",$L56&lt;&gt;"",$S56&lt;&gt;$L56),1,0))</f>
        <v>1</v>
      </c>
      <c r="AB56" s="39" t="n">
        <f aca="false">IF($F56="","",IF($R56="Cancelada",0,IF(OR($AT56&lt;&gt;"",$R56="Concluída"),1,0)))</f>
        <v>1</v>
      </c>
      <c r="AC56" s="39" t="n">
        <f aca="false">IF($P56="",0,IF($P56&lt;Hoje!$L$1,1,IF(AND($P56=Hoje!$L$1,Hoje!$L$2&gt;Semana!$M$3),1,0)))</f>
        <v>1</v>
      </c>
      <c r="AD56" s="39" t="n">
        <f aca="false">IF($F56="","",IF(COUNTA($I56:$K56)=0,0,1/COUNTA($I56:$K56)))</f>
        <v>1</v>
      </c>
      <c r="AE56" s="39" t="str">
        <f aca="false">IF($AH56=0,"",SUM($AH$4:$AH56))</f>
        <v/>
      </c>
      <c r="AF56" s="39" t="str">
        <f aca="false">IF($AI56=0,"",SUM($AI$4:$AI56))</f>
        <v/>
      </c>
      <c r="AG56" s="50" t="str">
        <f aca="false">IF($F56="","",$I56&amp;IF($J56="",""," · "&amp;$J56)&amp;IF($K56="",""," · "&amp;$K56))</f>
        <v>Júnior</v>
      </c>
      <c r="AH56" s="39" t="n">
        <f aca="false">IF(AND($F56&lt;&gt;"",$O56&lt;&gt;"",$O56&lt;=Hoje!$C$3,$P56&gt;=Hoje!$C$3,$R56&lt;&gt;"Cancelada"),1,0)</f>
        <v>0</v>
      </c>
      <c r="AI56" s="39" t="n">
        <f aca="false">IF(AND($F56&lt;&gt;"",$P56&lt;&gt;"",$P56&lt;Hoje!$C$3,$AB56=0,$R56&lt;&gt;"Cancelada"),1,0)</f>
        <v>0</v>
      </c>
      <c r="AJ56" s="50" t="str">
        <f aca="false">IF($F56="","",$D56&amp;"|"&amp;$E56&amp;"|"&amp;$L56)</f>
        <v>F-617|Baixa de carteira|36</v>
      </c>
      <c r="AK56" s="39" t="n">
        <f aca="false">IF($AJ56="","",COUNTIF($AJ$4:$AJ56,$AJ56))</f>
        <v>14</v>
      </c>
      <c r="AL56" s="39" t="n">
        <f aca="false">IF($AJ56="","",COUNTIF($AJ$4:$AJ$1004,$AJ56))</f>
        <v>25</v>
      </c>
      <c r="AM56" s="42"/>
      <c r="AN56" s="50" t="str">
        <f aca="false">IF($D56="","",IFERROR(T(VLOOKUP($D56,Listas!$B$5:$H$120,7,0)),""))</f>
        <v/>
      </c>
      <c r="AO56" s="50" t="str">
        <f aca="false">IF(OR($F56="",$L56&lt;&gt;"",$R56="Cancelada",$AT56&lt;&gt;""),"",$AN56&amp;"|"&amp;$D56&amp;"|"&amp;IF($C56="","zzz",$C56)&amp;"|"&amp;TEXT(56,"0000"))</f>
        <v/>
      </c>
      <c r="AP56" s="50" t="str">
        <f aca="false">IF($AO56="","",COUNTIF($AO$5:$AO$1004,"&lt;"&amp;$AO56)-(ROWS($AO$5:$AO$1004)-Hoje!$L$5)+1)</f>
        <v/>
      </c>
      <c r="AQ56" s="50" t="n">
        <f aca="false">IF(AND($F56&lt;&gt;"",$D56=Frota!$C$3),1,0)</f>
        <v>0</v>
      </c>
      <c r="AR56" s="50" t="str">
        <f aca="false">IF($AQ56=0,"",SUM($AQ$4:$AQ56))</f>
        <v/>
      </c>
      <c r="AS56" s="50" t="str">
        <f aca="false">IFERROR(INDEX(Hoje!$K$10:$K$29,MATCH(ROW(),Hoje!$J$10:$J$29,0)),"")</f>
        <v/>
      </c>
      <c r="AT56" s="47" t="n">
        <f aca="false">IF($Q56&lt;&gt;"",$Q56,$AS56)</f>
        <v>46266</v>
      </c>
    </row>
    <row r="57" customFormat="false" ht="16.5" hidden="false" customHeight="true" outlineLevel="0" collapsed="false">
      <c r="A57" s="39" t="n">
        <f aca="false">IF($F57="","",ROW())</f>
        <v>57</v>
      </c>
      <c r="B57" s="40" t="str">
        <f aca="false">IF($F57="",IF($D57="","","Falta a atividade"),IF($R57="Cancelada","Cancelada",IF($AB57=1,IF(N($Z57)&gt;0,"Concluída com atraso","Concluída"),IF($R57="Em programação","Em programação",IF($O57="",IF($M57="","Na carteira","Falta a semana"),IF($AC57=1,"VENCIDA",IF($O57&gt;Hoje!$L$1,"Programada",IF($P57&gt;Hoje!$L$1,"Em execução","Fecha hoje"))))))))</f>
        <v>Concluída com atraso</v>
      </c>
      <c r="C57" s="41" t="s">
        <v>212</v>
      </c>
      <c r="D57" s="42" t="s">
        <v>177</v>
      </c>
      <c r="E57" s="42" t="s">
        <v>180</v>
      </c>
      <c r="F57" s="42" t="s">
        <v>213</v>
      </c>
      <c r="G57" s="43" t="s">
        <v>80</v>
      </c>
      <c r="H57" s="43" t="s">
        <v>100</v>
      </c>
      <c r="I57" s="44" t="s">
        <v>88</v>
      </c>
      <c r="J57" s="44"/>
      <c r="K57" s="44"/>
      <c r="L57" s="45" t="n">
        <v>36</v>
      </c>
      <c r="M57" s="46" t="s">
        <v>108</v>
      </c>
      <c r="N57" s="45" t="n">
        <v>2</v>
      </c>
      <c r="O57" s="47" t="n">
        <f aca="false">IF(OR($L57="",$M57=""),"",(DATE(Semana!$J$3,1,4)-WEEKDAY(DATE(Semana!$J$3,1,4),3))+($L57-1)*7+MATCH($M57,Listas!$F$5:$F$11,0)-1)</f>
        <v>46265</v>
      </c>
      <c r="P57" s="47" t="n">
        <f aca="false">IF(OR($F57="",$O57=""),"",$O57+MAX(0,ROUNDUP($AK57*MAX(1,IF($N57="",1,$N57))/MAX(1,$AL57),0)-1))</f>
        <v>46266</v>
      </c>
      <c r="Q57" s="48" t="n">
        <v>46266</v>
      </c>
      <c r="R57" s="43" t="s">
        <v>85</v>
      </c>
      <c r="S57" s="49" t="n">
        <v>35</v>
      </c>
      <c r="T57" s="42"/>
      <c r="U57" s="42"/>
      <c r="V57" s="39" t="str">
        <f aca="false">IF($F57="","",IF(ISNUMBER(SEARCH("(externo)",$I57&amp;$J57&amp;$K57)),"Terceirizada","Interna"))</f>
        <v>Interna</v>
      </c>
      <c r="W57" s="47" t="n">
        <f aca="false">IF($O57="","",IF($S57="",$O57,(DATE(Semana!$J$3,1,4)-WEEKDAY(DATE(Semana!$J$3,1,4),3))+($S57-1)*7+IF($M57="",0,MATCH($M57,Listas!$F$5:$F$11,0)-1)))</f>
        <v>46258</v>
      </c>
      <c r="X57" s="39" t="n">
        <f aca="false">IF($F57="","",IF(OR($AT57="",$O57=""),0,IF($AT57&lt;=$O57,1,0)))</f>
        <v>0</v>
      </c>
      <c r="Y57" s="39" t="n">
        <f aca="false">IF($F57="","",IF(OR($AT57="",$W57=""),0,IF($AT57&lt;=$W57,1,0)))</f>
        <v>0</v>
      </c>
      <c r="Z57" s="39" t="n">
        <f aca="false">IF(OR($AT57="",$O57=""),"",MAX(0,$AT57-$O57))</f>
        <v>1</v>
      </c>
      <c r="AA57" s="39" t="n">
        <f aca="false">IF($F57="","",IF(AND($S57&lt;&gt;"",$L57&lt;&gt;"",$S57&lt;&gt;$L57),1,0))</f>
        <v>1</v>
      </c>
      <c r="AB57" s="39" t="n">
        <f aca="false">IF($F57="","",IF($R57="Cancelada",0,IF(OR($AT57&lt;&gt;"",$R57="Concluída"),1,0)))</f>
        <v>1</v>
      </c>
      <c r="AC57" s="39" t="n">
        <f aca="false">IF($P57="",0,IF($P57&lt;Hoje!$L$1,1,IF(AND($P57=Hoje!$L$1,Hoje!$L$2&gt;Semana!$M$3),1,0)))</f>
        <v>1</v>
      </c>
      <c r="AD57" s="39" t="n">
        <f aca="false">IF($F57="","",IF(COUNTA($I57:$K57)=0,0,1/COUNTA($I57:$K57)))</f>
        <v>1</v>
      </c>
      <c r="AE57" s="39" t="str">
        <f aca="false">IF($AH57=0,"",SUM($AH$4:$AH57))</f>
        <v/>
      </c>
      <c r="AF57" s="39" t="str">
        <f aca="false">IF($AI57=0,"",SUM($AI$4:$AI57))</f>
        <v/>
      </c>
      <c r="AG57" s="50" t="str">
        <f aca="false">IF($F57="","",$I57&amp;IF($J57="",""," · "&amp;$J57)&amp;IF($K57="",""," · "&amp;$K57))</f>
        <v>Júnior</v>
      </c>
      <c r="AH57" s="39" t="n">
        <f aca="false">IF(AND($F57&lt;&gt;"",$O57&lt;&gt;"",$O57&lt;=Hoje!$C$3,$P57&gt;=Hoje!$C$3,$R57&lt;&gt;"Cancelada"),1,0)</f>
        <v>0</v>
      </c>
      <c r="AI57" s="39" t="n">
        <f aca="false">IF(AND($F57&lt;&gt;"",$P57&lt;&gt;"",$P57&lt;Hoje!$C$3,$AB57=0,$R57&lt;&gt;"Cancelada"),1,0)</f>
        <v>0</v>
      </c>
      <c r="AJ57" s="50" t="str">
        <f aca="false">IF($F57="","",$D57&amp;"|"&amp;$E57&amp;"|"&amp;$L57)</f>
        <v>F-617|Baixa de carteira|36</v>
      </c>
      <c r="AK57" s="39" t="n">
        <f aca="false">IF($AJ57="","",COUNTIF($AJ$4:$AJ57,$AJ57))</f>
        <v>15</v>
      </c>
      <c r="AL57" s="39" t="n">
        <f aca="false">IF($AJ57="","",COUNTIF($AJ$4:$AJ$1004,$AJ57))</f>
        <v>25</v>
      </c>
      <c r="AM57" s="42"/>
      <c r="AN57" s="50" t="str">
        <f aca="false">IF($D57="","",IFERROR(T(VLOOKUP($D57,Listas!$B$5:$H$120,7,0)),""))</f>
        <v/>
      </c>
      <c r="AO57" s="50" t="str">
        <f aca="false">IF(OR($F57="",$L57&lt;&gt;"",$R57="Cancelada",$AT57&lt;&gt;""),"",$AN57&amp;"|"&amp;$D57&amp;"|"&amp;IF($C57="","zzz",$C57)&amp;"|"&amp;TEXT(57,"0000"))</f>
        <v/>
      </c>
      <c r="AP57" s="50" t="str">
        <f aca="false">IF($AO57="","",COUNTIF($AO$5:$AO$1004,"&lt;"&amp;$AO57)-(ROWS($AO$5:$AO$1004)-Hoje!$L$5)+1)</f>
        <v/>
      </c>
      <c r="AQ57" s="50" t="n">
        <f aca="false">IF(AND($F57&lt;&gt;"",$D57=Frota!$C$3),1,0)</f>
        <v>0</v>
      </c>
      <c r="AR57" s="50" t="str">
        <f aca="false">IF($AQ57=0,"",SUM($AQ$4:$AQ57))</f>
        <v/>
      </c>
      <c r="AS57" s="50" t="str">
        <f aca="false">IFERROR(INDEX(Hoje!$K$10:$K$29,MATCH(ROW(),Hoje!$J$10:$J$29,0)),"")</f>
        <v/>
      </c>
      <c r="AT57" s="47" t="n">
        <f aca="false">IF($Q57&lt;&gt;"",$Q57,$AS57)</f>
        <v>46266</v>
      </c>
    </row>
    <row r="58" customFormat="false" ht="16.5" hidden="false" customHeight="true" outlineLevel="0" collapsed="false">
      <c r="A58" s="39" t="n">
        <f aca="false">IF($F58="","",ROW())</f>
        <v>58</v>
      </c>
      <c r="B58" s="40" t="str">
        <f aca="false">IF($F58="",IF($D58="","","Falta a atividade"),IF($R58="Cancelada","Cancelada",IF($AB58=1,IF(N($Z58)&gt;0,"Concluída com atraso","Concluída"),IF($R58="Em programação","Em programação",IF($O58="",IF($M58="","Na carteira","Falta a semana"),IF($AC58=1,"VENCIDA",IF($O58&gt;Hoje!$L$1,"Programada",IF($P58&gt;Hoje!$L$1,"Em execução","Fecha hoje"))))))))</f>
        <v>Concluída com atraso</v>
      </c>
      <c r="C58" s="41" t="s">
        <v>214</v>
      </c>
      <c r="D58" s="42" t="s">
        <v>177</v>
      </c>
      <c r="E58" s="42" t="s">
        <v>180</v>
      </c>
      <c r="F58" s="42" t="s">
        <v>215</v>
      </c>
      <c r="G58" s="43" t="s">
        <v>80</v>
      </c>
      <c r="H58" s="43" t="s">
        <v>100</v>
      </c>
      <c r="I58" s="44" t="s">
        <v>182</v>
      </c>
      <c r="J58" s="44"/>
      <c r="K58" s="44"/>
      <c r="L58" s="45" t="n">
        <v>36</v>
      </c>
      <c r="M58" s="46" t="s">
        <v>108</v>
      </c>
      <c r="N58" s="45" t="n">
        <v>2</v>
      </c>
      <c r="O58" s="47" t="n">
        <f aca="false">IF(OR($L58="",$M58=""),"",(DATE(Semana!$J$3,1,4)-WEEKDAY(DATE(Semana!$J$3,1,4),3))+($L58-1)*7+MATCH($M58,Listas!$F$5:$F$11,0)-1)</f>
        <v>46265</v>
      </c>
      <c r="P58" s="47" t="n">
        <f aca="false">IF(OR($F58="",$O58=""),"",$O58+MAX(0,ROUNDUP($AK58*MAX(1,IF($N58="",1,$N58))/MAX(1,$AL58),0)-1))</f>
        <v>46266</v>
      </c>
      <c r="Q58" s="48" t="n">
        <v>46266</v>
      </c>
      <c r="R58" s="43" t="s">
        <v>85</v>
      </c>
      <c r="S58" s="49" t="n">
        <v>35</v>
      </c>
      <c r="T58" s="42"/>
      <c r="U58" s="42"/>
      <c r="V58" s="39" t="str">
        <f aca="false">IF($F58="","",IF(ISNUMBER(SEARCH("(externo)",$I58&amp;$J58&amp;$K58)),"Terceirizada","Interna"))</f>
        <v>Interna</v>
      </c>
      <c r="W58" s="47" t="n">
        <f aca="false">IF($O58="","",IF($S58="",$O58,(DATE(Semana!$J$3,1,4)-WEEKDAY(DATE(Semana!$J$3,1,4),3))+($S58-1)*7+IF($M58="",0,MATCH($M58,Listas!$F$5:$F$11,0)-1)))</f>
        <v>46258</v>
      </c>
      <c r="X58" s="39" t="n">
        <f aca="false">IF($F58="","",IF(OR($AT58="",$O58=""),0,IF($AT58&lt;=$O58,1,0)))</f>
        <v>0</v>
      </c>
      <c r="Y58" s="39" t="n">
        <f aca="false">IF($F58="","",IF(OR($AT58="",$W58=""),0,IF($AT58&lt;=$W58,1,0)))</f>
        <v>0</v>
      </c>
      <c r="Z58" s="39" t="n">
        <f aca="false">IF(OR($AT58="",$O58=""),"",MAX(0,$AT58-$O58))</f>
        <v>1</v>
      </c>
      <c r="AA58" s="39" t="n">
        <f aca="false">IF($F58="","",IF(AND($S58&lt;&gt;"",$L58&lt;&gt;"",$S58&lt;&gt;$L58),1,0))</f>
        <v>1</v>
      </c>
      <c r="AB58" s="39" t="n">
        <f aca="false">IF($F58="","",IF($R58="Cancelada",0,IF(OR($AT58&lt;&gt;"",$R58="Concluída"),1,0)))</f>
        <v>1</v>
      </c>
      <c r="AC58" s="39" t="n">
        <f aca="false">IF($P58="",0,IF($P58&lt;Hoje!$L$1,1,IF(AND($P58=Hoje!$L$1,Hoje!$L$2&gt;Semana!$M$3),1,0)))</f>
        <v>1</v>
      </c>
      <c r="AD58" s="39" t="n">
        <f aca="false">IF($F58="","",IF(COUNTA($I58:$K58)=0,0,1/COUNTA($I58:$K58)))</f>
        <v>1</v>
      </c>
      <c r="AE58" s="39" t="str">
        <f aca="false">IF($AH58=0,"",SUM($AH$4:$AH58))</f>
        <v/>
      </c>
      <c r="AF58" s="39" t="str">
        <f aca="false">IF($AI58=0,"",SUM($AI$4:$AI58))</f>
        <v/>
      </c>
      <c r="AG58" s="50" t="str">
        <f aca="false">IF($F58="","",$I58&amp;IF($J58="",""," · "&amp;$J58)&amp;IF($K58="",""," · "&amp;$K58))</f>
        <v>Alexandre</v>
      </c>
      <c r="AH58" s="39" t="n">
        <f aca="false">IF(AND($F58&lt;&gt;"",$O58&lt;&gt;"",$O58&lt;=Hoje!$C$3,$P58&gt;=Hoje!$C$3,$R58&lt;&gt;"Cancelada"),1,0)</f>
        <v>0</v>
      </c>
      <c r="AI58" s="39" t="n">
        <f aca="false">IF(AND($F58&lt;&gt;"",$P58&lt;&gt;"",$P58&lt;Hoje!$C$3,$AB58=0,$R58&lt;&gt;"Cancelada"),1,0)</f>
        <v>0</v>
      </c>
      <c r="AJ58" s="50" t="str">
        <f aca="false">IF($F58="","",$D58&amp;"|"&amp;$E58&amp;"|"&amp;$L58)</f>
        <v>F-617|Baixa de carteira|36</v>
      </c>
      <c r="AK58" s="39" t="n">
        <f aca="false">IF($AJ58="","",COUNTIF($AJ$4:$AJ58,$AJ58))</f>
        <v>16</v>
      </c>
      <c r="AL58" s="39" t="n">
        <f aca="false">IF($AJ58="","",COUNTIF($AJ$4:$AJ$1004,$AJ58))</f>
        <v>25</v>
      </c>
      <c r="AM58" s="42"/>
      <c r="AN58" s="50" t="str">
        <f aca="false">IF($D58="","",IFERROR(T(VLOOKUP($D58,Listas!$B$5:$H$120,7,0)),""))</f>
        <v/>
      </c>
      <c r="AO58" s="50" t="str">
        <f aca="false">IF(OR($F58="",$L58&lt;&gt;"",$R58="Cancelada",$AT58&lt;&gt;""),"",$AN58&amp;"|"&amp;$D58&amp;"|"&amp;IF($C58="","zzz",$C58)&amp;"|"&amp;TEXT(58,"0000"))</f>
        <v/>
      </c>
      <c r="AP58" s="50" t="str">
        <f aca="false">IF($AO58="","",COUNTIF($AO$5:$AO$1004,"&lt;"&amp;$AO58)-(ROWS($AO$5:$AO$1004)-Hoje!$L$5)+1)</f>
        <v/>
      </c>
      <c r="AQ58" s="50" t="n">
        <f aca="false">IF(AND($F58&lt;&gt;"",$D58=Frota!$C$3),1,0)</f>
        <v>0</v>
      </c>
      <c r="AR58" s="50" t="str">
        <f aca="false">IF($AQ58=0,"",SUM($AQ$4:$AQ58))</f>
        <v/>
      </c>
      <c r="AS58" s="50" t="str">
        <f aca="false">IFERROR(INDEX(Hoje!$K$10:$K$29,MATCH(ROW(),Hoje!$J$10:$J$29,0)),"")</f>
        <v/>
      </c>
      <c r="AT58" s="47" t="n">
        <f aca="false">IF($Q58&lt;&gt;"",$Q58,$AS58)</f>
        <v>46266</v>
      </c>
    </row>
    <row r="59" customFormat="false" ht="16.5" hidden="false" customHeight="true" outlineLevel="0" collapsed="false">
      <c r="A59" s="39" t="n">
        <f aca="false">IF($F59="","",ROW())</f>
        <v>59</v>
      </c>
      <c r="B59" s="40" t="str">
        <f aca="false">IF($F59="",IF($D59="","","Falta a atividade"),IF($R59="Cancelada","Cancelada",IF($AB59=1,IF(N($Z59)&gt;0,"Concluída com atraso","Concluída"),IF($R59="Em programação","Em programação",IF($O59="",IF($M59="","Na carteira","Falta a semana"),IF($AC59=1,"VENCIDA",IF($O59&gt;Hoje!$L$1,"Programada",IF($P59&gt;Hoje!$L$1,"Em execução","Fecha hoje"))))))))</f>
        <v>Cancelada</v>
      </c>
      <c r="C59" s="41" t="s">
        <v>186</v>
      </c>
      <c r="D59" s="42" t="s">
        <v>177</v>
      </c>
      <c r="E59" s="42" t="s">
        <v>180</v>
      </c>
      <c r="F59" s="42" t="s">
        <v>216</v>
      </c>
      <c r="G59" s="43" t="s">
        <v>80</v>
      </c>
      <c r="H59" s="43" t="s">
        <v>100</v>
      </c>
      <c r="I59" s="44" t="s">
        <v>182</v>
      </c>
      <c r="J59" s="44"/>
      <c r="K59" s="44"/>
      <c r="L59" s="45" t="n">
        <v>36</v>
      </c>
      <c r="M59" s="46" t="s">
        <v>108</v>
      </c>
      <c r="N59" s="45" t="n">
        <v>2</v>
      </c>
      <c r="O59" s="47" t="n">
        <f aca="false">IF(OR($L59="",$M59=""),"",(DATE(Semana!$J$3,1,4)-WEEKDAY(DATE(Semana!$J$3,1,4),3))+($L59-1)*7+MATCH($M59,Listas!$F$5:$F$11,0)-1)</f>
        <v>46265</v>
      </c>
      <c r="P59" s="47" t="n">
        <f aca="false">IF(OR($F59="",$O59=""),"",$O59+MAX(0,ROUNDUP($AK59*MAX(1,IF($N59="",1,$N59))/MAX(1,$AL59),0)-1))</f>
        <v>46266</v>
      </c>
      <c r="Q59" s="48"/>
      <c r="R59" s="43" t="s">
        <v>191</v>
      </c>
      <c r="S59" s="49" t="n">
        <v>35</v>
      </c>
      <c r="T59" s="42" t="s">
        <v>109</v>
      </c>
      <c r="U59" s="42"/>
      <c r="V59" s="39" t="str">
        <f aca="false">IF($F59="","",IF(ISNUMBER(SEARCH("(externo)",$I59&amp;$J59&amp;$K59)),"Terceirizada","Interna"))</f>
        <v>Interna</v>
      </c>
      <c r="W59" s="47" t="n">
        <f aca="false">IF($O59="","",IF($S59="",$O59,(DATE(Semana!$J$3,1,4)-WEEKDAY(DATE(Semana!$J$3,1,4),3))+($S59-1)*7+IF($M59="",0,MATCH($M59,Listas!$F$5:$F$11,0)-1)))</f>
        <v>46258</v>
      </c>
      <c r="X59" s="39" t="n">
        <f aca="false">IF($F59="","",IF(OR($AT59="",$O59=""),0,IF($AT59&lt;=$O59,1,0)))</f>
        <v>0</v>
      </c>
      <c r="Y59" s="39" t="n">
        <f aca="false">IF($F59="","",IF(OR($AT59="",$W59=""),0,IF($AT59&lt;=$W59,1,0)))</f>
        <v>0</v>
      </c>
      <c r="Z59" s="39" t="str">
        <f aca="false">IF(OR($AT59="",$O59=""),"",MAX(0,$AT59-$O59))</f>
        <v/>
      </c>
      <c r="AA59" s="39" t="n">
        <f aca="false">IF($F59="","",IF(AND($S59&lt;&gt;"",$L59&lt;&gt;"",$S59&lt;&gt;$L59),1,0))</f>
        <v>1</v>
      </c>
      <c r="AB59" s="39" t="n">
        <f aca="false">IF($F59="","",IF($R59="Cancelada",0,IF(OR($AT59&lt;&gt;"",$R59="Concluída"),1,0)))</f>
        <v>0</v>
      </c>
      <c r="AC59" s="39" t="n">
        <f aca="false">IF($P59="",0,IF($P59&lt;Hoje!$L$1,1,IF(AND($P59=Hoje!$L$1,Hoje!$L$2&gt;Semana!$M$3),1,0)))</f>
        <v>1</v>
      </c>
      <c r="AD59" s="39" t="n">
        <f aca="false">IF($F59="","",IF(COUNTA($I59:$K59)=0,0,1/COUNTA($I59:$K59)))</f>
        <v>1</v>
      </c>
      <c r="AE59" s="39" t="str">
        <f aca="false">IF($AH59=0,"",SUM($AH$4:$AH59))</f>
        <v/>
      </c>
      <c r="AF59" s="39" t="str">
        <f aca="false">IF($AI59=0,"",SUM($AI$4:$AI59))</f>
        <v/>
      </c>
      <c r="AG59" s="50" t="str">
        <f aca="false">IF($F59="","",$I59&amp;IF($J59="",""," · "&amp;$J59)&amp;IF($K59="",""," · "&amp;$K59))</f>
        <v>Alexandre</v>
      </c>
      <c r="AH59" s="39" t="n">
        <f aca="false">IF(AND($F59&lt;&gt;"",$O59&lt;&gt;"",$O59&lt;=Hoje!$C$3,$P59&gt;=Hoje!$C$3,$R59&lt;&gt;"Cancelada"),1,0)</f>
        <v>0</v>
      </c>
      <c r="AI59" s="39" t="n">
        <f aca="false">IF(AND($F59&lt;&gt;"",$P59&lt;&gt;"",$P59&lt;Hoje!$C$3,$AB59=0,$R59&lt;&gt;"Cancelada"),1,0)</f>
        <v>0</v>
      </c>
      <c r="AJ59" s="50" t="str">
        <f aca="false">IF($F59="","",$D59&amp;"|"&amp;$E59&amp;"|"&amp;$L59)</f>
        <v>F-617|Baixa de carteira|36</v>
      </c>
      <c r="AK59" s="39" t="n">
        <f aca="false">IF($AJ59="","",COUNTIF($AJ$4:$AJ59,$AJ59))</f>
        <v>17</v>
      </c>
      <c r="AL59" s="39" t="n">
        <f aca="false">IF($AJ59="","",COUNTIF($AJ$4:$AJ$1004,$AJ59))</f>
        <v>25</v>
      </c>
      <c r="AM59" s="42"/>
      <c r="AN59" s="50" t="str">
        <f aca="false">IF($D59="","",IFERROR(T(VLOOKUP($D59,Listas!$B$5:$H$120,7,0)),""))</f>
        <v/>
      </c>
      <c r="AO59" s="50" t="str">
        <f aca="false">IF(OR($F59="",$L59&lt;&gt;"",$R59="Cancelada",$AT59&lt;&gt;""),"",$AN59&amp;"|"&amp;$D59&amp;"|"&amp;IF($C59="","zzz",$C59)&amp;"|"&amp;TEXT(59,"0000"))</f>
        <v/>
      </c>
      <c r="AP59" s="50" t="str">
        <f aca="false">IF($AO59="","",COUNTIF($AO$5:$AO$1004,"&lt;"&amp;$AO59)-(ROWS($AO$5:$AO$1004)-Hoje!$L$5)+1)</f>
        <v/>
      </c>
      <c r="AQ59" s="50" t="n">
        <f aca="false">IF(AND($F59&lt;&gt;"",$D59=Frota!$C$3),1,0)</f>
        <v>0</v>
      </c>
      <c r="AR59" s="50" t="str">
        <f aca="false">IF($AQ59=0,"",SUM($AQ$4:$AQ59))</f>
        <v/>
      </c>
      <c r="AS59" s="50" t="str">
        <f aca="false">IFERROR(INDEX(Hoje!$K$10:$K$29,MATCH(ROW(),Hoje!$J$10:$J$29,0)),"")</f>
        <v/>
      </c>
      <c r="AT59" s="50" t="str">
        <f aca="false">IF($Q59&lt;&gt;"",$Q59,$AS59)</f>
        <v/>
      </c>
    </row>
    <row r="60" customFormat="false" ht="16.5" hidden="false" customHeight="true" outlineLevel="0" collapsed="false">
      <c r="A60" s="39" t="n">
        <f aca="false">IF($F60="","",ROW())</f>
        <v>60</v>
      </c>
      <c r="B60" s="40" t="str">
        <f aca="false">IF($F60="",IF($D60="","","Falta a atividade"),IF($R60="Cancelada","Cancelada",IF($AB60=1,IF(N($Z60)&gt;0,"Concluída com atraso","Concluída"),IF($R60="Em programação","Em programação",IF($O60="",IF($M60="","Na carteira","Falta a semana"),IF($AC60=1,"VENCIDA",IF($O60&gt;Hoje!$L$1,"Programada",IF($P60&gt;Hoje!$L$1,"Em execução","Fecha hoje"))))))))</f>
        <v>Concluída</v>
      </c>
      <c r="C60" s="41" t="s">
        <v>217</v>
      </c>
      <c r="D60" s="42" t="s">
        <v>177</v>
      </c>
      <c r="E60" s="42" t="s">
        <v>180</v>
      </c>
      <c r="F60" s="42" t="s">
        <v>218</v>
      </c>
      <c r="G60" s="43" t="s">
        <v>80</v>
      </c>
      <c r="H60" s="43" t="s">
        <v>100</v>
      </c>
      <c r="I60" s="44" t="s">
        <v>182</v>
      </c>
      <c r="J60" s="44"/>
      <c r="K60" s="44"/>
      <c r="L60" s="45" t="n">
        <v>36</v>
      </c>
      <c r="M60" s="46" t="s">
        <v>108</v>
      </c>
      <c r="N60" s="45" t="n">
        <v>2</v>
      </c>
      <c r="O60" s="47" t="n">
        <f aca="false">IF(OR($L60="",$M60=""),"",(DATE(Semana!$J$3,1,4)-WEEKDAY(DATE(Semana!$J$3,1,4),3))+($L60-1)*7+MATCH($M60,Listas!$F$5:$F$11,0)-1)</f>
        <v>46265</v>
      </c>
      <c r="P60" s="47" t="n">
        <f aca="false">IF(OR($F60="",$O60=""),"",$O60+MAX(0,ROUNDUP($AK60*MAX(1,IF($N60="",1,$N60))/MAX(1,$AL60),0)-1))</f>
        <v>46266</v>
      </c>
      <c r="Q60" s="48" t="n">
        <v>46265</v>
      </c>
      <c r="R60" s="43" t="s">
        <v>85</v>
      </c>
      <c r="S60" s="49" t="n">
        <v>35</v>
      </c>
      <c r="T60" s="42"/>
      <c r="U60" s="42"/>
      <c r="V60" s="39" t="str">
        <f aca="false">IF($F60="","",IF(ISNUMBER(SEARCH("(externo)",$I60&amp;$J60&amp;$K60)),"Terceirizada","Interna"))</f>
        <v>Interna</v>
      </c>
      <c r="W60" s="47" t="n">
        <f aca="false">IF($O60="","",IF($S60="",$O60,(DATE(Semana!$J$3,1,4)-WEEKDAY(DATE(Semana!$J$3,1,4),3))+($S60-1)*7+IF($M60="",0,MATCH($M60,Listas!$F$5:$F$11,0)-1)))</f>
        <v>46258</v>
      </c>
      <c r="X60" s="39" t="n">
        <f aca="false">IF($F60="","",IF(OR($AT60="",$O60=""),0,IF($AT60&lt;=$O60,1,0)))</f>
        <v>1</v>
      </c>
      <c r="Y60" s="39" t="n">
        <f aca="false">IF($F60="","",IF(OR($AT60="",$W60=""),0,IF($AT60&lt;=$W60,1,0)))</f>
        <v>0</v>
      </c>
      <c r="Z60" s="39" t="n">
        <f aca="false">IF(OR($AT60="",$O60=""),"",MAX(0,$AT60-$O60))</f>
        <v>0</v>
      </c>
      <c r="AA60" s="39" t="n">
        <f aca="false">IF($F60="","",IF(AND($S60&lt;&gt;"",$L60&lt;&gt;"",$S60&lt;&gt;$L60),1,0))</f>
        <v>1</v>
      </c>
      <c r="AB60" s="39" t="n">
        <f aca="false">IF($F60="","",IF($R60="Cancelada",0,IF(OR($AT60&lt;&gt;"",$R60="Concluída"),1,0)))</f>
        <v>1</v>
      </c>
      <c r="AC60" s="39" t="n">
        <f aca="false">IF($P60="",0,IF($P60&lt;Hoje!$L$1,1,IF(AND($P60=Hoje!$L$1,Hoje!$L$2&gt;Semana!$M$3),1,0)))</f>
        <v>1</v>
      </c>
      <c r="AD60" s="39" t="n">
        <f aca="false">IF($F60="","",IF(COUNTA($I60:$K60)=0,0,1/COUNTA($I60:$K60)))</f>
        <v>1</v>
      </c>
      <c r="AE60" s="39" t="str">
        <f aca="false">IF($AH60=0,"",SUM($AH$4:$AH60))</f>
        <v/>
      </c>
      <c r="AF60" s="39" t="str">
        <f aca="false">IF($AI60=0,"",SUM($AI$4:$AI60))</f>
        <v/>
      </c>
      <c r="AG60" s="50" t="str">
        <f aca="false">IF($F60="","",$I60&amp;IF($J60="",""," · "&amp;$J60)&amp;IF($K60="",""," · "&amp;$K60))</f>
        <v>Alexandre</v>
      </c>
      <c r="AH60" s="39" t="n">
        <f aca="false">IF(AND($F60&lt;&gt;"",$O60&lt;&gt;"",$O60&lt;=Hoje!$C$3,$P60&gt;=Hoje!$C$3,$R60&lt;&gt;"Cancelada"),1,0)</f>
        <v>0</v>
      </c>
      <c r="AI60" s="39" t="n">
        <f aca="false">IF(AND($F60&lt;&gt;"",$P60&lt;&gt;"",$P60&lt;Hoje!$C$3,$AB60=0,$R60&lt;&gt;"Cancelada"),1,0)</f>
        <v>0</v>
      </c>
      <c r="AJ60" s="50" t="str">
        <f aca="false">IF($F60="","",$D60&amp;"|"&amp;$E60&amp;"|"&amp;$L60)</f>
        <v>F-617|Baixa de carteira|36</v>
      </c>
      <c r="AK60" s="39" t="n">
        <f aca="false">IF($AJ60="","",COUNTIF($AJ$4:$AJ60,$AJ60))</f>
        <v>18</v>
      </c>
      <c r="AL60" s="39" t="n">
        <f aca="false">IF($AJ60="","",COUNTIF($AJ$4:$AJ$1004,$AJ60))</f>
        <v>25</v>
      </c>
      <c r="AM60" s="42"/>
      <c r="AN60" s="50" t="str">
        <f aca="false">IF($D60="","",IFERROR(T(VLOOKUP($D60,Listas!$B$5:$H$120,7,0)),""))</f>
        <v/>
      </c>
      <c r="AO60" s="50" t="str">
        <f aca="false">IF(OR($F60="",$L60&lt;&gt;"",$R60="Cancelada",$AT60&lt;&gt;""),"",$AN60&amp;"|"&amp;$D60&amp;"|"&amp;IF($C60="","zzz",$C60)&amp;"|"&amp;TEXT(60,"0000"))</f>
        <v/>
      </c>
      <c r="AP60" s="50" t="str">
        <f aca="false">IF($AO60="","",COUNTIF($AO$5:$AO$1004,"&lt;"&amp;$AO60)-(ROWS($AO$5:$AO$1004)-Hoje!$L$5)+1)</f>
        <v/>
      </c>
      <c r="AQ60" s="50" t="n">
        <f aca="false">IF(AND($F60&lt;&gt;"",$D60=Frota!$C$3),1,0)</f>
        <v>0</v>
      </c>
      <c r="AR60" s="50" t="str">
        <f aca="false">IF($AQ60=0,"",SUM($AQ$4:$AQ60))</f>
        <v/>
      </c>
      <c r="AS60" s="50" t="str">
        <f aca="false">IFERROR(INDEX(Hoje!$K$10:$K$29,MATCH(ROW(),Hoje!$J$10:$J$29,0)),"")</f>
        <v/>
      </c>
      <c r="AT60" s="47" t="n">
        <f aca="false">IF($Q60&lt;&gt;"",$Q60,$AS60)</f>
        <v>46265</v>
      </c>
    </row>
    <row r="61" customFormat="false" ht="16.5" hidden="false" customHeight="true" outlineLevel="0" collapsed="false">
      <c r="A61" s="39" t="n">
        <f aca="false">IF($F61="","",ROW())</f>
        <v>61</v>
      </c>
      <c r="B61" s="40" t="str">
        <f aca="false">IF($F61="",IF($D61="","","Falta a atividade"),IF($R61="Cancelada","Cancelada",IF($AB61=1,IF(N($Z61)&gt;0,"Concluída com atraso","Concluída"),IF($R61="Em programação","Em programação",IF($O61="",IF($M61="","Na carteira","Falta a semana"),IF($AC61=1,"VENCIDA",IF($O61&gt;Hoje!$L$1,"Programada",IF($P61&gt;Hoje!$L$1,"Em execução","Fecha hoje"))))))))</f>
        <v>Concluída</v>
      </c>
      <c r="C61" s="41" t="s">
        <v>219</v>
      </c>
      <c r="D61" s="42" t="s">
        <v>177</v>
      </c>
      <c r="E61" s="42" t="s">
        <v>180</v>
      </c>
      <c r="F61" s="42" t="s">
        <v>220</v>
      </c>
      <c r="G61" s="43" t="s">
        <v>80</v>
      </c>
      <c r="H61" s="43" t="s">
        <v>100</v>
      </c>
      <c r="I61" s="44" t="s">
        <v>88</v>
      </c>
      <c r="J61" s="44"/>
      <c r="K61" s="44"/>
      <c r="L61" s="45" t="n">
        <v>36</v>
      </c>
      <c r="M61" s="46" t="s">
        <v>108</v>
      </c>
      <c r="N61" s="45" t="n">
        <v>2</v>
      </c>
      <c r="O61" s="47" t="n">
        <f aca="false">IF(OR($L61="",$M61=""),"",(DATE(Semana!$J$3,1,4)-WEEKDAY(DATE(Semana!$J$3,1,4),3))+($L61-1)*7+MATCH($M61,Listas!$F$5:$F$11,0)-1)</f>
        <v>46265</v>
      </c>
      <c r="P61" s="47" t="n">
        <f aca="false">IF(OR($F61="",$O61=""),"",$O61+MAX(0,ROUNDUP($AK61*MAX(1,IF($N61="",1,$N61))/MAX(1,$AL61),0)-1))</f>
        <v>46266</v>
      </c>
      <c r="Q61" s="48" t="n">
        <v>46265</v>
      </c>
      <c r="R61" s="43" t="s">
        <v>85</v>
      </c>
      <c r="S61" s="49" t="n">
        <v>35</v>
      </c>
      <c r="T61" s="42"/>
      <c r="U61" s="42"/>
      <c r="V61" s="39" t="str">
        <f aca="false">IF($F61="","",IF(ISNUMBER(SEARCH("(externo)",$I61&amp;$J61&amp;$K61)),"Terceirizada","Interna"))</f>
        <v>Interna</v>
      </c>
      <c r="W61" s="47" t="n">
        <f aca="false">IF($O61="","",IF($S61="",$O61,(DATE(Semana!$J$3,1,4)-WEEKDAY(DATE(Semana!$J$3,1,4),3))+($S61-1)*7+IF($M61="",0,MATCH($M61,Listas!$F$5:$F$11,0)-1)))</f>
        <v>46258</v>
      </c>
      <c r="X61" s="39" t="n">
        <f aca="false">IF($F61="","",IF(OR($AT61="",$O61=""),0,IF($AT61&lt;=$O61,1,0)))</f>
        <v>1</v>
      </c>
      <c r="Y61" s="39" t="n">
        <f aca="false">IF($F61="","",IF(OR($AT61="",$W61=""),0,IF($AT61&lt;=$W61,1,0)))</f>
        <v>0</v>
      </c>
      <c r="Z61" s="39" t="n">
        <f aca="false">IF(OR($AT61="",$O61=""),"",MAX(0,$AT61-$O61))</f>
        <v>0</v>
      </c>
      <c r="AA61" s="39" t="n">
        <f aca="false">IF($F61="","",IF(AND($S61&lt;&gt;"",$L61&lt;&gt;"",$S61&lt;&gt;$L61),1,0))</f>
        <v>1</v>
      </c>
      <c r="AB61" s="39" t="n">
        <f aca="false">IF($F61="","",IF($R61="Cancelada",0,IF(OR($AT61&lt;&gt;"",$R61="Concluída"),1,0)))</f>
        <v>1</v>
      </c>
      <c r="AC61" s="39" t="n">
        <f aca="false">IF($P61="",0,IF($P61&lt;Hoje!$L$1,1,IF(AND($P61=Hoje!$L$1,Hoje!$L$2&gt;Semana!$M$3),1,0)))</f>
        <v>1</v>
      </c>
      <c r="AD61" s="39" t="n">
        <f aca="false">IF($F61="","",IF(COUNTA($I61:$K61)=0,0,1/COUNTA($I61:$K61)))</f>
        <v>1</v>
      </c>
      <c r="AE61" s="39" t="str">
        <f aca="false">IF($AH61=0,"",SUM($AH$4:$AH61))</f>
        <v/>
      </c>
      <c r="AF61" s="39" t="str">
        <f aca="false">IF($AI61=0,"",SUM($AI$4:$AI61))</f>
        <v/>
      </c>
      <c r="AG61" s="50" t="str">
        <f aca="false">IF($F61="","",$I61&amp;IF($J61="",""," · "&amp;$J61)&amp;IF($K61="",""," · "&amp;$K61))</f>
        <v>Júnior</v>
      </c>
      <c r="AH61" s="39" t="n">
        <f aca="false">IF(AND($F61&lt;&gt;"",$O61&lt;&gt;"",$O61&lt;=Hoje!$C$3,$P61&gt;=Hoje!$C$3,$R61&lt;&gt;"Cancelada"),1,0)</f>
        <v>0</v>
      </c>
      <c r="AI61" s="39" t="n">
        <f aca="false">IF(AND($F61&lt;&gt;"",$P61&lt;&gt;"",$P61&lt;Hoje!$C$3,$AB61=0,$R61&lt;&gt;"Cancelada"),1,0)</f>
        <v>0</v>
      </c>
      <c r="AJ61" s="50" t="str">
        <f aca="false">IF($F61="","",$D61&amp;"|"&amp;$E61&amp;"|"&amp;$L61)</f>
        <v>F-617|Baixa de carteira|36</v>
      </c>
      <c r="AK61" s="39" t="n">
        <f aca="false">IF($AJ61="","",COUNTIF($AJ$4:$AJ61,$AJ61))</f>
        <v>19</v>
      </c>
      <c r="AL61" s="39" t="n">
        <f aca="false">IF($AJ61="","",COUNTIF($AJ$4:$AJ$1004,$AJ61))</f>
        <v>25</v>
      </c>
      <c r="AM61" s="42"/>
      <c r="AN61" s="50" t="str">
        <f aca="false">IF($D61="","",IFERROR(T(VLOOKUP($D61,Listas!$B$5:$H$120,7,0)),""))</f>
        <v/>
      </c>
      <c r="AO61" s="50" t="str">
        <f aca="false">IF(OR($F61="",$L61&lt;&gt;"",$R61="Cancelada",$AT61&lt;&gt;""),"",$AN61&amp;"|"&amp;$D61&amp;"|"&amp;IF($C61="","zzz",$C61)&amp;"|"&amp;TEXT(61,"0000"))</f>
        <v/>
      </c>
      <c r="AP61" s="50" t="str">
        <f aca="false">IF($AO61="","",COUNTIF($AO$5:$AO$1004,"&lt;"&amp;$AO61)-(ROWS($AO$5:$AO$1004)-Hoje!$L$5)+1)</f>
        <v/>
      </c>
      <c r="AQ61" s="50" t="n">
        <f aca="false">IF(AND($F61&lt;&gt;"",$D61=Frota!$C$3),1,0)</f>
        <v>0</v>
      </c>
      <c r="AR61" s="50" t="str">
        <f aca="false">IF($AQ61=0,"",SUM($AQ$4:$AQ61))</f>
        <v/>
      </c>
      <c r="AS61" s="50" t="str">
        <f aca="false">IFERROR(INDEX(Hoje!$K$10:$K$29,MATCH(ROW(),Hoje!$J$10:$J$29,0)),"")</f>
        <v/>
      </c>
      <c r="AT61" s="47" t="n">
        <f aca="false">IF($Q61&lt;&gt;"",$Q61,$AS61)</f>
        <v>46265</v>
      </c>
    </row>
    <row r="62" customFormat="false" ht="16.5" hidden="false" customHeight="true" outlineLevel="0" collapsed="false">
      <c r="A62" s="39" t="n">
        <f aca="false">IF($F62="","",ROW())</f>
        <v>62</v>
      </c>
      <c r="B62" s="40" t="str">
        <f aca="false">IF($F62="",IF($D62="","","Falta a atividade"),IF($R62="Cancelada","Cancelada",IF($AB62=1,IF(N($Z62)&gt;0,"Concluída com atraso","Concluída"),IF($R62="Em programação","Em programação",IF($O62="",IF($M62="","Na carteira","Falta a semana"),IF($AC62=1,"VENCIDA",IF($O62&gt;Hoje!$L$1,"Programada",IF($P62&gt;Hoje!$L$1,"Em execução","Fecha hoje"))))))))</f>
        <v>Concluída</v>
      </c>
      <c r="C62" s="41" t="s">
        <v>219</v>
      </c>
      <c r="D62" s="42" t="s">
        <v>177</v>
      </c>
      <c r="E62" s="42" t="s">
        <v>180</v>
      </c>
      <c r="F62" s="42" t="s">
        <v>221</v>
      </c>
      <c r="G62" s="43" t="s">
        <v>80</v>
      </c>
      <c r="H62" s="43" t="s">
        <v>100</v>
      </c>
      <c r="I62" s="44" t="s">
        <v>88</v>
      </c>
      <c r="J62" s="44"/>
      <c r="K62" s="44"/>
      <c r="L62" s="45" t="n">
        <v>36</v>
      </c>
      <c r="M62" s="46" t="s">
        <v>108</v>
      </c>
      <c r="N62" s="45" t="n">
        <v>2</v>
      </c>
      <c r="O62" s="47" t="n">
        <f aca="false">IF(OR($L62="",$M62=""),"",(DATE(Semana!$J$3,1,4)-WEEKDAY(DATE(Semana!$J$3,1,4),3))+($L62-1)*7+MATCH($M62,Listas!$F$5:$F$11,0)-1)</f>
        <v>46265</v>
      </c>
      <c r="P62" s="47" t="n">
        <f aca="false">IF(OR($F62="",$O62=""),"",$O62+MAX(0,ROUNDUP($AK62*MAX(1,IF($N62="",1,$N62))/MAX(1,$AL62),0)-1))</f>
        <v>46266</v>
      </c>
      <c r="Q62" s="48" t="n">
        <v>46265</v>
      </c>
      <c r="R62" s="43" t="s">
        <v>85</v>
      </c>
      <c r="S62" s="49" t="n">
        <v>35</v>
      </c>
      <c r="T62" s="42"/>
      <c r="U62" s="42"/>
      <c r="V62" s="39" t="str">
        <f aca="false">IF($F62="","",IF(ISNUMBER(SEARCH("(externo)",$I62&amp;$J62&amp;$K62)),"Terceirizada","Interna"))</f>
        <v>Interna</v>
      </c>
      <c r="W62" s="47" t="n">
        <f aca="false">IF($O62="","",IF($S62="",$O62,(DATE(Semana!$J$3,1,4)-WEEKDAY(DATE(Semana!$J$3,1,4),3))+($S62-1)*7+IF($M62="",0,MATCH($M62,Listas!$F$5:$F$11,0)-1)))</f>
        <v>46258</v>
      </c>
      <c r="X62" s="39" t="n">
        <f aca="false">IF($F62="","",IF(OR($AT62="",$O62=""),0,IF($AT62&lt;=$O62,1,0)))</f>
        <v>1</v>
      </c>
      <c r="Y62" s="39" t="n">
        <f aca="false">IF($F62="","",IF(OR($AT62="",$W62=""),0,IF($AT62&lt;=$W62,1,0)))</f>
        <v>0</v>
      </c>
      <c r="Z62" s="39" t="n">
        <f aca="false">IF(OR($AT62="",$O62=""),"",MAX(0,$AT62-$O62))</f>
        <v>0</v>
      </c>
      <c r="AA62" s="39" t="n">
        <f aca="false">IF($F62="","",IF(AND($S62&lt;&gt;"",$L62&lt;&gt;"",$S62&lt;&gt;$L62),1,0))</f>
        <v>1</v>
      </c>
      <c r="AB62" s="39" t="n">
        <f aca="false">IF($F62="","",IF($R62="Cancelada",0,IF(OR($AT62&lt;&gt;"",$R62="Concluída"),1,0)))</f>
        <v>1</v>
      </c>
      <c r="AC62" s="39" t="n">
        <f aca="false">IF($P62="",0,IF($P62&lt;Hoje!$L$1,1,IF(AND($P62=Hoje!$L$1,Hoje!$L$2&gt;Semana!$M$3),1,0)))</f>
        <v>1</v>
      </c>
      <c r="AD62" s="39" t="n">
        <f aca="false">IF($F62="","",IF(COUNTA($I62:$K62)=0,0,1/COUNTA($I62:$K62)))</f>
        <v>1</v>
      </c>
      <c r="AE62" s="39" t="str">
        <f aca="false">IF($AH62=0,"",SUM($AH$4:$AH62))</f>
        <v/>
      </c>
      <c r="AF62" s="39" t="str">
        <f aca="false">IF($AI62=0,"",SUM($AI$4:$AI62))</f>
        <v/>
      </c>
      <c r="AG62" s="50" t="str">
        <f aca="false">IF($F62="","",$I62&amp;IF($J62="",""," · "&amp;$J62)&amp;IF($K62="",""," · "&amp;$K62))</f>
        <v>Júnior</v>
      </c>
      <c r="AH62" s="39" t="n">
        <f aca="false">IF(AND($F62&lt;&gt;"",$O62&lt;&gt;"",$O62&lt;=Hoje!$C$3,$P62&gt;=Hoje!$C$3,$R62&lt;&gt;"Cancelada"),1,0)</f>
        <v>0</v>
      </c>
      <c r="AI62" s="39" t="n">
        <f aca="false">IF(AND($F62&lt;&gt;"",$P62&lt;&gt;"",$P62&lt;Hoje!$C$3,$AB62=0,$R62&lt;&gt;"Cancelada"),1,0)</f>
        <v>0</v>
      </c>
      <c r="AJ62" s="50" t="str">
        <f aca="false">IF($F62="","",$D62&amp;"|"&amp;$E62&amp;"|"&amp;$L62)</f>
        <v>F-617|Baixa de carteira|36</v>
      </c>
      <c r="AK62" s="39" t="n">
        <f aca="false">IF($AJ62="","",COUNTIF($AJ$4:$AJ62,$AJ62))</f>
        <v>20</v>
      </c>
      <c r="AL62" s="39" t="n">
        <f aca="false">IF($AJ62="","",COUNTIF($AJ$4:$AJ$1004,$AJ62))</f>
        <v>25</v>
      </c>
      <c r="AM62" s="42"/>
      <c r="AN62" s="50" t="str">
        <f aca="false">IF($D62="","",IFERROR(T(VLOOKUP($D62,Listas!$B$5:$H$120,7,0)),""))</f>
        <v/>
      </c>
      <c r="AO62" s="50" t="str">
        <f aca="false">IF(OR($F62="",$L62&lt;&gt;"",$R62="Cancelada",$AT62&lt;&gt;""),"",$AN62&amp;"|"&amp;$D62&amp;"|"&amp;IF($C62="","zzz",$C62)&amp;"|"&amp;TEXT(62,"0000"))</f>
        <v/>
      </c>
      <c r="AP62" s="50" t="str">
        <f aca="false">IF($AO62="","",COUNTIF($AO$5:$AO$1004,"&lt;"&amp;$AO62)-(ROWS($AO$5:$AO$1004)-Hoje!$L$5)+1)</f>
        <v/>
      </c>
      <c r="AQ62" s="50" t="n">
        <f aca="false">IF(AND($F62&lt;&gt;"",$D62=Frota!$C$3),1,0)</f>
        <v>0</v>
      </c>
      <c r="AR62" s="50" t="str">
        <f aca="false">IF($AQ62=0,"",SUM($AQ$4:$AQ62))</f>
        <v/>
      </c>
      <c r="AS62" s="50" t="str">
        <f aca="false">IFERROR(INDEX(Hoje!$K$10:$K$29,MATCH(ROW(),Hoje!$J$10:$J$29,0)),"")</f>
        <v/>
      </c>
      <c r="AT62" s="47" t="n">
        <f aca="false">IF($Q62&lt;&gt;"",$Q62,$AS62)</f>
        <v>46265</v>
      </c>
    </row>
    <row r="63" customFormat="false" ht="16.5" hidden="false" customHeight="true" outlineLevel="0" collapsed="false">
      <c r="A63" s="39" t="n">
        <f aca="false">IF($F63="","",ROW())</f>
        <v>63</v>
      </c>
      <c r="B63" s="40" t="str">
        <f aca="false">IF($F63="",IF($D63="","","Falta a atividade"),IF($R63="Cancelada","Cancelada",IF($AB63=1,IF(N($Z63)&gt;0,"Concluída com atraso","Concluída"),IF($R63="Em programação","Em programação",IF($O63="",IF($M63="","Na carteira","Falta a semana"),IF($AC63=1,"VENCIDA",IF($O63&gt;Hoje!$L$1,"Programada",IF($P63&gt;Hoje!$L$1,"Em execução","Fecha hoje"))))))))</f>
        <v>Concluída com atraso</v>
      </c>
      <c r="C63" s="41" t="s">
        <v>222</v>
      </c>
      <c r="D63" s="42" t="s">
        <v>177</v>
      </c>
      <c r="E63" s="42" t="s">
        <v>180</v>
      </c>
      <c r="F63" s="42" t="s">
        <v>223</v>
      </c>
      <c r="G63" s="43" t="s">
        <v>80</v>
      </c>
      <c r="H63" s="43" t="s">
        <v>100</v>
      </c>
      <c r="I63" s="44" t="s">
        <v>182</v>
      </c>
      <c r="J63" s="44"/>
      <c r="K63" s="44"/>
      <c r="L63" s="45" t="n">
        <v>36</v>
      </c>
      <c r="M63" s="46" t="s">
        <v>108</v>
      </c>
      <c r="N63" s="45" t="n">
        <v>2</v>
      </c>
      <c r="O63" s="47" t="n">
        <f aca="false">IF(OR($L63="",$M63=""),"",(DATE(Semana!$J$3,1,4)-WEEKDAY(DATE(Semana!$J$3,1,4),3))+($L63-1)*7+MATCH($M63,Listas!$F$5:$F$11,0)-1)</f>
        <v>46265</v>
      </c>
      <c r="P63" s="47" t="n">
        <f aca="false">IF(OR($F63="",$O63=""),"",$O63+MAX(0,ROUNDUP($AK63*MAX(1,IF($N63="",1,$N63))/MAX(1,$AL63),0)-1))</f>
        <v>46266</v>
      </c>
      <c r="Q63" s="48" t="n">
        <v>46266</v>
      </c>
      <c r="R63" s="43" t="s">
        <v>85</v>
      </c>
      <c r="S63" s="49" t="n">
        <v>35</v>
      </c>
      <c r="T63" s="42"/>
      <c r="U63" s="42"/>
      <c r="V63" s="39" t="str">
        <f aca="false">IF($F63="","",IF(ISNUMBER(SEARCH("(externo)",$I63&amp;$J63&amp;$K63)),"Terceirizada","Interna"))</f>
        <v>Interna</v>
      </c>
      <c r="W63" s="47" t="n">
        <f aca="false">IF($O63="","",IF($S63="",$O63,(DATE(Semana!$J$3,1,4)-WEEKDAY(DATE(Semana!$J$3,1,4),3))+($S63-1)*7+IF($M63="",0,MATCH($M63,Listas!$F$5:$F$11,0)-1)))</f>
        <v>46258</v>
      </c>
      <c r="X63" s="39" t="n">
        <f aca="false">IF($F63="","",IF(OR($AT63="",$O63=""),0,IF($AT63&lt;=$O63,1,0)))</f>
        <v>0</v>
      </c>
      <c r="Y63" s="39" t="n">
        <f aca="false">IF($F63="","",IF(OR($AT63="",$W63=""),0,IF($AT63&lt;=$W63,1,0)))</f>
        <v>0</v>
      </c>
      <c r="Z63" s="39" t="n">
        <f aca="false">IF(OR($AT63="",$O63=""),"",MAX(0,$AT63-$O63))</f>
        <v>1</v>
      </c>
      <c r="AA63" s="39" t="n">
        <f aca="false">IF($F63="","",IF(AND($S63&lt;&gt;"",$L63&lt;&gt;"",$S63&lt;&gt;$L63),1,0))</f>
        <v>1</v>
      </c>
      <c r="AB63" s="39" t="n">
        <f aca="false">IF($F63="","",IF($R63="Cancelada",0,IF(OR($AT63&lt;&gt;"",$R63="Concluída"),1,0)))</f>
        <v>1</v>
      </c>
      <c r="AC63" s="39" t="n">
        <f aca="false">IF($P63="",0,IF($P63&lt;Hoje!$L$1,1,IF(AND($P63=Hoje!$L$1,Hoje!$L$2&gt;Semana!$M$3),1,0)))</f>
        <v>1</v>
      </c>
      <c r="AD63" s="39" t="n">
        <f aca="false">IF($F63="","",IF(COUNTA($I63:$K63)=0,0,1/COUNTA($I63:$K63)))</f>
        <v>1</v>
      </c>
      <c r="AE63" s="39" t="str">
        <f aca="false">IF($AH63=0,"",SUM($AH$4:$AH63))</f>
        <v/>
      </c>
      <c r="AF63" s="39" t="str">
        <f aca="false">IF($AI63=0,"",SUM($AI$4:$AI63))</f>
        <v/>
      </c>
      <c r="AG63" s="50" t="str">
        <f aca="false">IF($F63="","",$I63&amp;IF($J63="",""," · "&amp;$J63)&amp;IF($K63="",""," · "&amp;$K63))</f>
        <v>Alexandre</v>
      </c>
      <c r="AH63" s="39" t="n">
        <f aca="false">IF(AND($F63&lt;&gt;"",$O63&lt;&gt;"",$O63&lt;=Hoje!$C$3,$P63&gt;=Hoje!$C$3,$R63&lt;&gt;"Cancelada"),1,0)</f>
        <v>0</v>
      </c>
      <c r="AI63" s="39" t="n">
        <f aca="false">IF(AND($F63&lt;&gt;"",$P63&lt;&gt;"",$P63&lt;Hoje!$C$3,$AB63=0,$R63&lt;&gt;"Cancelada"),1,0)</f>
        <v>0</v>
      </c>
      <c r="AJ63" s="50" t="str">
        <f aca="false">IF($F63="","",$D63&amp;"|"&amp;$E63&amp;"|"&amp;$L63)</f>
        <v>F-617|Baixa de carteira|36</v>
      </c>
      <c r="AK63" s="39" t="n">
        <f aca="false">IF($AJ63="","",COUNTIF($AJ$4:$AJ63,$AJ63))</f>
        <v>21</v>
      </c>
      <c r="AL63" s="39" t="n">
        <f aca="false">IF($AJ63="","",COUNTIF($AJ$4:$AJ$1004,$AJ63))</f>
        <v>25</v>
      </c>
      <c r="AM63" s="42"/>
      <c r="AN63" s="50" t="str">
        <f aca="false">IF($D63="","",IFERROR(T(VLOOKUP($D63,Listas!$B$5:$H$120,7,0)),""))</f>
        <v/>
      </c>
      <c r="AO63" s="50" t="str">
        <f aca="false">IF(OR($F63="",$L63&lt;&gt;"",$R63="Cancelada",$AT63&lt;&gt;""),"",$AN63&amp;"|"&amp;$D63&amp;"|"&amp;IF($C63="","zzz",$C63)&amp;"|"&amp;TEXT(63,"0000"))</f>
        <v/>
      </c>
      <c r="AP63" s="50" t="str">
        <f aca="false">IF($AO63="","",COUNTIF($AO$5:$AO$1004,"&lt;"&amp;$AO63)-(ROWS($AO$5:$AO$1004)-Hoje!$L$5)+1)</f>
        <v/>
      </c>
      <c r="AQ63" s="50" t="n">
        <f aca="false">IF(AND($F63&lt;&gt;"",$D63=Frota!$C$3),1,0)</f>
        <v>0</v>
      </c>
      <c r="AR63" s="50" t="str">
        <f aca="false">IF($AQ63=0,"",SUM($AQ$4:$AQ63))</f>
        <v/>
      </c>
      <c r="AS63" s="50" t="str">
        <f aca="false">IFERROR(INDEX(Hoje!$K$10:$K$29,MATCH(ROW(),Hoje!$J$10:$J$29,0)),"")</f>
        <v/>
      </c>
      <c r="AT63" s="47" t="n">
        <f aca="false">IF($Q63&lt;&gt;"",$Q63,$AS63)</f>
        <v>46266</v>
      </c>
    </row>
    <row r="64" customFormat="false" ht="16.5" hidden="false" customHeight="true" outlineLevel="0" collapsed="false">
      <c r="A64" s="39" t="n">
        <f aca="false">IF($F64="","",ROW())</f>
        <v>64</v>
      </c>
      <c r="B64" s="40" t="str">
        <f aca="false">IF($F64="",IF($D64="","","Falta a atividade"),IF($R64="Cancelada","Cancelada",IF($AB64=1,IF(N($Z64)&gt;0,"Concluída com atraso","Concluída"),IF($R64="Em programação","Em programação",IF($O64="",IF($M64="","Na carteira","Falta a semana"),IF($AC64=1,"VENCIDA",IF($O64&gt;Hoje!$L$1,"Programada",IF($P64&gt;Hoje!$L$1,"Em execução","Fecha hoje"))))))))</f>
        <v>Concluída</v>
      </c>
      <c r="C64" s="41" t="s">
        <v>222</v>
      </c>
      <c r="D64" s="42" t="s">
        <v>177</v>
      </c>
      <c r="E64" s="42" t="s">
        <v>180</v>
      </c>
      <c r="F64" s="42" t="s">
        <v>224</v>
      </c>
      <c r="G64" s="43" t="s">
        <v>80</v>
      </c>
      <c r="H64" s="43" t="s">
        <v>100</v>
      </c>
      <c r="I64" s="44" t="s">
        <v>182</v>
      </c>
      <c r="J64" s="44"/>
      <c r="K64" s="44"/>
      <c r="L64" s="45" t="n">
        <v>36</v>
      </c>
      <c r="M64" s="46" t="s">
        <v>108</v>
      </c>
      <c r="N64" s="45" t="n">
        <v>2</v>
      </c>
      <c r="O64" s="47" t="n">
        <f aca="false">IF(OR($L64="",$M64=""),"",(DATE(Semana!$J$3,1,4)-WEEKDAY(DATE(Semana!$J$3,1,4),3))+($L64-1)*7+MATCH($M64,Listas!$F$5:$F$11,0)-1)</f>
        <v>46265</v>
      </c>
      <c r="P64" s="47" t="n">
        <f aca="false">IF(OR($F64="",$O64=""),"",$O64+MAX(0,ROUNDUP($AK64*MAX(1,IF($N64="",1,$N64))/MAX(1,$AL64),0)-1))</f>
        <v>46266</v>
      </c>
      <c r="Q64" s="48" t="n">
        <v>46265</v>
      </c>
      <c r="R64" s="43" t="s">
        <v>85</v>
      </c>
      <c r="S64" s="49" t="n">
        <v>35</v>
      </c>
      <c r="T64" s="42"/>
      <c r="U64" s="42"/>
      <c r="V64" s="39" t="str">
        <f aca="false">IF($F64="","",IF(ISNUMBER(SEARCH("(externo)",$I64&amp;$J64&amp;$K64)),"Terceirizada","Interna"))</f>
        <v>Interna</v>
      </c>
      <c r="W64" s="47" t="n">
        <f aca="false">IF($O64="","",IF($S64="",$O64,(DATE(Semana!$J$3,1,4)-WEEKDAY(DATE(Semana!$J$3,1,4),3))+($S64-1)*7+IF($M64="",0,MATCH($M64,Listas!$F$5:$F$11,0)-1)))</f>
        <v>46258</v>
      </c>
      <c r="X64" s="39" t="n">
        <f aca="false">IF($F64="","",IF(OR($AT64="",$O64=""),0,IF($AT64&lt;=$O64,1,0)))</f>
        <v>1</v>
      </c>
      <c r="Y64" s="39" t="n">
        <f aca="false">IF($F64="","",IF(OR($AT64="",$W64=""),0,IF($AT64&lt;=$W64,1,0)))</f>
        <v>0</v>
      </c>
      <c r="Z64" s="39" t="n">
        <f aca="false">IF(OR($AT64="",$O64=""),"",MAX(0,$AT64-$O64))</f>
        <v>0</v>
      </c>
      <c r="AA64" s="39" t="n">
        <f aca="false">IF($F64="","",IF(AND($S64&lt;&gt;"",$L64&lt;&gt;"",$S64&lt;&gt;$L64),1,0))</f>
        <v>1</v>
      </c>
      <c r="AB64" s="39" t="n">
        <f aca="false">IF($F64="","",IF($R64="Cancelada",0,IF(OR($AT64&lt;&gt;"",$R64="Concluída"),1,0)))</f>
        <v>1</v>
      </c>
      <c r="AC64" s="39" t="n">
        <f aca="false">IF($P64="",0,IF($P64&lt;Hoje!$L$1,1,IF(AND($P64=Hoje!$L$1,Hoje!$L$2&gt;Semana!$M$3),1,0)))</f>
        <v>1</v>
      </c>
      <c r="AD64" s="39" t="n">
        <f aca="false">IF($F64="","",IF(COUNTA($I64:$K64)=0,0,1/COUNTA($I64:$K64)))</f>
        <v>1</v>
      </c>
      <c r="AE64" s="39" t="str">
        <f aca="false">IF($AH64=0,"",SUM($AH$4:$AH64))</f>
        <v/>
      </c>
      <c r="AF64" s="39" t="str">
        <f aca="false">IF($AI64=0,"",SUM($AI$4:$AI64))</f>
        <v/>
      </c>
      <c r="AG64" s="50" t="str">
        <f aca="false">IF($F64="","",$I64&amp;IF($J64="",""," · "&amp;$J64)&amp;IF($K64="",""," · "&amp;$K64))</f>
        <v>Alexandre</v>
      </c>
      <c r="AH64" s="39" t="n">
        <f aca="false">IF(AND($F64&lt;&gt;"",$O64&lt;&gt;"",$O64&lt;=Hoje!$C$3,$P64&gt;=Hoje!$C$3,$R64&lt;&gt;"Cancelada"),1,0)</f>
        <v>0</v>
      </c>
      <c r="AI64" s="39" t="n">
        <f aca="false">IF(AND($F64&lt;&gt;"",$P64&lt;&gt;"",$P64&lt;Hoje!$C$3,$AB64=0,$R64&lt;&gt;"Cancelada"),1,0)</f>
        <v>0</v>
      </c>
      <c r="AJ64" s="50" t="str">
        <f aca="false">IF($F64="","",$D64&amp;"|"&amp;$E64&amp;"|"&amp;$L64)</f>
        <v>F-617|Baixa de carteira|36</v>
      </c>
      <c r="AK64" s="39" t="n">
        <f aca="false">IF($AJ64="","",COUNTIF($AJ$4:$AJ64,$AJ64))</f>
        <v>22</v>
      </c>
      <c r="AL64" s="39" t="n">
        <f aca="false">IF($AJ64="","",COUNTIF($AJ$4:$AJ$1004,$AJ64))</f>
        <v>25</v>
      </c>
      <c r="AM64" s="42"/>
      <c r="AN64" s="50" t="str">
        <f aca="false">IF($D64="","",IFERROR(T(VLOOKUP($D64,Listas!$B$5:$H$120,7,0)),""))</f>
        <v/>
      </c>
      <c r="AO64" s="50" t="str">
        <f aca="false">IF(OR($F64="",$L64&lt;&gt;"",$R64="Cancelada",$AT64&lt;&gt;""),"",$AN64&amp;"|"&amp;$D64&amp;"|"&amp;IF($C64="","zzz",$C64)&amp;"|"&amp;TEXT(64,"0000"))</f>
        <v/>
      </c>
      <c r="AP64" s="50" t="str">
        <f aca="false">IF($AO64="","",COUNTIF($AO$5:$AO$1004,"&lt;"&amp;$AO64)-(ROWS($AO$5:$AO$1004)-Hoje!$L$5)+1)</f>
        <v/>
      </c>
      <c r="AQ64" s="50" t="n">
        <f aca="false">IF(AND($F64&lt;&gt;"",$D64=Frota!$C$3),1,0)</f>
        <v>0</v>
      </c>
      <c r="AR64" s="50" t="str">
        <f aca="false">IF($AQ64=0,"",SUM($AQ$4:$AQ64))</f>
        <v/>
      </c>
      <c r="AS64" s="50" t="str">
        <f aca="false">IFERROR(INDEX(Hoje!$K$10:$K$29,MATCH(ROW(),Hoje!$J$10:$J$29,0)),"")</f>
        <v/>
      </c>
      <c r="AT64" s="47" t="n">
        <f aca="false">IF($Q64&lt;&gt;"",$Q64,$AS64)</f>
        <v>46265</v>
      </c>
    </row>
    <row r="65" customFormat="false" ht="16.5" hidden="false" customHeight="true" outlineLevel="0" collapsed="false">
      <c r="A65" s="39" t="n">
        <f aca="false">IF($F65="","",ROW())</f>
        <v>65</v>
      </c>
      <c r="B65" s="40" t="str">
        <f aca="false">IF($F65="",IF($D65="","","Falta a atividade"),IF($R65="Cancelada","Cancelada",IF($AB65=1,IF(N($Z65)&gt;0,"Concluída com atraso","Concluída"),IF($R65="Em programação","Em programação",IF($O65="",IF($M65="","Na carteira","Falta a semana"),IF($AC65=1,"VENCIDA",IF($O65&gt;Hoje!$L$1,"Programada",IF($P65&gt;Hoje!$L$1,"Em execução","Fecha hoje"))))))))</f>
        <v>Concluída com atraso</v>
      </c>
      <c r="C65" s="41"/>
      <c r="D65" s="42" t="s">
        <v>177</v>
      </c>
      <c r="E65" s="42" t="s">
        <v>180</v>
      </c>
      <c r="F65" s="42" t="s">
        <v>225</v>
      </c>
      <c r="G65" s="43" t="s">
        <v>80</v>
      </c>
      <c r="H65" s="43" t="s">
        <v>100</v>
      </c>
      <c r="I65" s="44" t="s">
        <v>88</v>
      </c>
      <c r="J65" s="44"/>
      <c r="K65" s="44"/>
      <c r="L65" s="45" t="n">
        <v>36</v>
      </c>
      <c r="M65" s="46" t="s">
        <v>108</v>
      </c>
      <c r="N65" s="45" t="n">
        <v>2</v>
      </c>
      <c r="O65" s="47" t="n">
        <f aca="false">IF(OR($L65="",$M65=""),"",(DATE(Semana!$J$3,1,4)-WEEKDAY(DATE(Semana!$J$3,1,4),3))+($L65-1)*7+MATCH($M65,Listas!$F$5:$F$11,0)-1)</f>
        <v>46265</v>
      </c>
      <c r="P65" s="47" t="n">
        <f aca="false">IF(OR($F65="",$O65=""),"",$O65+MAX(0,ROUNDUP($AK65*MAX(1,IF($N65="",1,$N65))/MAX(1,$AL65),0)-1))</f>
        <v>46266</v>
      </c>
      <c r="Q65" s="48" t="n">
        <v>46267</v>
      </c>
      <c r="R65" s="43" t="s">
        <v>85</v>
      </c>
      <c r="S65" s="49" t="n">
        <v>35</v>
      </c>
      <c r="T65" s="42"/>
      <c r="U65" s="42"/>
      <c r="V65" s="39" t="str">
        <f aca="false">IF($F65="","",IF(ISNUMBER(SEARCH("(externo)",$I65&amp;$J65&amp;$K65)),"Terceirizada","Interna"))</f>
        <v>Interna</v>
      </c>
      <c r="W65" s="47" t="n">
        <f aca="false">IF($O65="","",IF($S65="",$O65,(DATE(Semana!$J$3,1,4)-WEEKDAY(DATE(Semana!$J$3,1,4),3))+($S65-1)*7+IF($M65="",0,MATCH($M65,Listas!$F$5:$F$11,0)-1)))</f>
        <v>46258</v>
      </c>
      <c r="X65" s="39" t="n">
        <f aca="false">IF($F65="","",IF(OR($AT65="",$O65=""),0,IF($AT65&lt;=$O65,1,0)))</f>
        <v>0</v>
      </c>
      <c r="Y65" s="39" t="n">
        <f aca="false">IF($F65="","",IF(OR($AT65="",$W65=""),0,IF($AT65&lt;=$W65,1,0)))</f>
        <v>0</v>
      </c>
      <c r="Z65" s="39" t="n">
        <f aca="false">IF(OR($AT65="",$O65=""),"",MAX(0,$AT65-$O65))</f>
        <v>2</v>
      </c>
      <c r="AA65" s="39" t="n">
        <f aca="false">IF($F65="","",IF(AND($S65&lt;&gt;"",$L65&lt;&gt;"",$S65&lt;&gt;$L65),1,0))</f>
        <v>1</v>
      </c>
      <c r="AB65" s="39" t="n">
        <f aca="false">IF($F65="","",IF($R65="Cancelada",0,IF(OR($AT65&lt;&gt;"",$R65="Concluída"),1,0)))</f>
        <v>1</v>
      </c>
      <c r="AC65" s="39" t="n">
        <f aca="false">IF($P65="",0,IF($P65&lt;Hoje!$L$1,1,IF(AND($P65=Hoje!$L$1,Hoje!$L$2&gt;Semana!$M$3),1,0)))</f>
        <v>1</v>
      </c>
      <c r="AD65" s="39" t="n">
        <f aca="false">IF($F65="","",IF(COUNTA($I65:$K65)=0,0,1/COUNTA($I65:$K65)))</f>
        <v>1</v>
      </c>
      <c r="AE65" s="39" t="str">
        <f aca="false">IF($AH65=0,"",SUM($AH$4:$AH65))</f>
        <v/>
      </c>
      <c r="AF65" s="39" t="str">
        <f aca="false">IF($AI65=0,"",SUM($AI$4:$AI65))</f>
        <v/>
      </c>
      <c r="AG65" s="50" t="str">
        <f aca="false">IF($F65="","",$I65&amp;IF($J65="",""," · "&amp;$J65)&amp;IF($K65="",""," · "&amp;$K65))</f>
        <v>Júnior</v>
      </c>
      <c r="AH65" s="39" t="n">
        <f aca="false">IF(AND($F65&lt;&gt;"",$O65&lt;&gt;"",$O65&lt;=Hoje!$C$3,$P65&gt;=Hoje!$C$3,$R65&lt;&gt;"Cancelada"),1,0)</f>
        <v>0</v>
      </c>
      <c r="AI65" s="39" t="n">
        <f aca="false">IF(AND($F65&lt;&gt;"",$P65&lt;&gt;"",$P65&lt;Hoje!$C$3,$AB65=0,$R65&lt;&gt;"Cancelada"),1,0)</f>
        <v>0</v>
      </c>
      <c r="AJ65" s="50" t="str">
        <f aca="false">IF($F65="","",$D65&amp;"|"&amp;$E65&amp;"|"&amp;$L65)</f>
        <v>F-617|Baixa de carteira|36</v>
      </c>
      <c r="AK65" s="39" t="n">
        <f aca="false">IF($AJ65="","",COUNTIF($AJ$4:$AJ65,$AJ65))</f>
        <v>23</v>
      </c>
      <c r="AL65" s="39" t="n">
        <f aca="false">IF($AJ65="","",COUNTIF($AJ$4:$AJ$1004,$AJ65))</f>
        <v>25</v>
      </c>
      <c r="AM65" s="42"/>
      <c r="AN65" s="50" t="str">
        <f aca="false">IF($D65="","",IFERROR(T(VLOOKUP($D65,Listas!$B$5:$H$120,7,0)),""))</f>
        <v/>
      </c>
      <c r="AO65" s="50" t="str">
        <f aca="false">IF(OR($F65="",$L65&lt;&gt;"",$R65="Cancelada",$AT65&lt;&gt;""),"",$AN65&amp;"|"&amp;$D65&amp;"|"&amp;IF($C65="","zzz",$C65)&amp;"|"&amp;TEXT(65,"0000"))</f>
        <v/>
      </c>
      <c r="AP65" s="50" t="str">
        <f aca="false">IF($AO65="","",COUNTIF($AO$5:$AO$1004,"&lt;"&amp;$AO65)-(ROWS($AO$5:$AO$1004)-Hoje!$L$5)+1)</f>
        <v/>
      </c>
      <c r="AQ65" s="50" t="n">
        <f aca="false">IF(AND($F65&lt;&gt;"",$D65=Frota!$C$3),1,0)</f>
        <v>0</v>
      </c>
      <c r="AR65" s="50" t="str">
        <f aca="false">IF($AQ65=0,"",SUM($AQ$4:$AQ65))</f>
        <v/>
      </c>
      <c r="AS65" s="50" t="str">
        <f aca="false">IFERROR(INDEX(Hoje!$K$10:$K$29,MATCH(ROW(),Hoje!$J$10:$J$29,0)),"")</f>
        <v/>
      </c>
      <c r="AT65" s="47" t="n">
        <f aca="false">IF($Q65&lt;&gt;"",$Q65,$AS65)</f>
        <v>46267</v>
      </c>
    </row>
    <row r="66" customFormat="false" ht="16.5" hidden="false" customHeight="true" outlineLevel="0" collapsed="false">
      <c r="A66" s="39" t="n">
        <f aca="false">IF($F66="","",ROW())</f>
        <v>66</v>
      </c>
      <c r="B66" s="40" t="str">
        <f aca="false">IF($F66="",IF($D66="","","Falta a atividade"),IF($R66="Cancelada","Cancelada",IF($AB66=1,IF(N($Z66)&gt;0,"Concluída com atraso","Concluída"),IF($R66="Em programação","Em programação",IF($O66="",IF($M66="","Na carteira","Falta a semana"),IF($AC66=1,"VENCIDA",IF($O66&gt;Hoje!$L$1,"Programada",IF($P66&gt;Hoje!$L$1,"Em execução","Fecha hoje"))))))))</f>
        <v>Concluída com atraso</v>
      </c>
      <c r="C66" s="41" t="s">
        <v>222</v>
      </c>
      <c r="D66" s="42" t="s">
        <v>177</v>
      </c>
      <c r="E66" s="42" t="s">
        <v>180</v>
      </c>
      <c r="F66" s="42" t="s">
        <v>226</v>
      </c>
      <c r="G66" s="43" t="s">
        <v>80</v>
      </c>
      <c r="H66" s="43" t="s">
        <v>100</v>
      </c>
      <c r="I66" s="44" t="s">
        <v>182</v>
      </c>
      <c r="J66" s="44"/>
      <c r="K66" s="44"/>
      <c r="L66" s="45" t="n">
        <v>36</v>
      </c>
      <c r="M66" s="46" t="s">
        <v>108</v>
      </c>
      <c r="N66" s="45" t="n">
        <v>2</v>
      </c>
      <c r="O66" s="47" t="n">
        <f aca="false">IF(OR($L66="",$M66=""),"",(DATE(Semana!$J$3,1,4)-WEEKDAY(DATE(Semana!$J$3,1,4),3))+($L66-1)*7+MATCH($M66,Listas!$F$5:$F$11,0)-1)</f>
        <v>46265</v>
      </c>
      <c r="P66" s="47" t="n">
        <f aca="false">IF(OR($F66="",$O66=""),"",$O66+MAX(0,ROUNDUP($AK66*MAX(1,IF($N66="",1,$N66))/MAX(1,$AL66),0)-1))</f>
        <v>46266</v>
      </c>
      <c r="Q66" s="48" t="n">
        <v>46267</v>
      </c>
      <c r="R66" s="43" t="s">
        <v>85</v>
      </c>
      <c r="S66" s="49" t="n">
        <v>35</v>
      </c>
      <c r="T66" s="42"/>
      <c r="U66" s="42"/>
      <c r="V66" s="39" t="str">
        <f aca="false">IF($F66="","",IF(ISNUMBER(SEARCH("(externo)",$I66&amp;$J66&amp;$K66)),"Terceirizada","Interna"))</f>
        <v>Interna</v>
      </c>
      <c r="W66" s="47" t="n">
        <f aca="false">IF($O66="","",IF($S66="",$O66,(DATE(Semana!$J$3,1,4)-WEEKDAY(DATE(Semana!$J$3,1,4),3))+($S66-1)*7+IF($M66="",0,MATCH($M66,Listas!$F$5:$F$11,0)-1)))</f>
        <v>46258</v>
      </c>
      <c r="X66" s="39" t="n">
        <f aca="false">IF($F66="","",IF(OR($AT66="",$O66=""),0,IF($AT66&lt;=$O66,1,0)))</f>
        <v>0</v>
      </c>
      <c r="Y66" s="39" t="n">
        <f aca="false">IF($F66="","",IF(OR($AT66="",$W66=""),0,IF($AT66&lt;=$W66,1,0)))</f>
        <v>0</v>
      </c>
      <c r="Z66" s="39" t="n">
        <f aca="false">IF(OR($AT66="",$O66=""),"",MAX(0,$AT66-$O66))</f>
        <v>2</v>
      </c>
      <c r="AA66" s="39" t="n">
        <f aca="false">IF($F66="","",IF(AND($S66&lt;&gt;"",$L66&lt;&gt;"",$S66&lt;&gt;$L66),1,0))</f>
        <v>1</v>
      </c>
      <c r="AB66" s="39" t="n">
        <f aca="false">IF($F66="","",IF($R66="Cancelada",0,IF(OR($AT66&lt;&gt;"",$R66="Concluída"),1,0)))</f>
        <v>1</v>
      </c>
      <c r="AC66" s="39" t="n">
        <f aca="false">IF($P66="",0,IF($P66&lt;Hoje!$L$1,1,IF(AND($P66=Hoje!$L$1,Hoje!$L$2&gt;Semana!$M$3),1,0)))</f>
        <v>1</v>
      </c>
      <c r="AD66" s="39" t="n">
        <f aca="false">IF($F66="","",IF(COUNTA($I66:$K66)=0,0,1/COUNTA($I66:$K66)))</f>
        <v>1</v>
      </c>
      <c r="AE66" s="39" t="str">
        <f aca="false">IF($AH66=0,"",SUM($AH$4:$AH66))</f>
        <v/>
      </c>
      <c r="AF66" s="39" t="str">
        <f aca="false">IF($AI66=0,"",SUM($AI$4:$AI66))</f>
        <v/>
      </c>
      <c r="AG66" s="50" t="str">
        <f aca="false">IF($F66="","",$I66&amp;IF($J66="",""," · "&amp;$J66)&amp;IF($K66="",""," · "&amp;$K66))</f>
        <v>Alexandre</v>
      </c>
      <c r="AH66" s="39" t="n">
        <f aca="false">IF(AND($F66&lt;&gt;"",$O66&lt;&gt;"",$O66&lt;=Hoje!$C$3,$P66&gt;=Hoje!$C$3,$R66&lt;&gt;"Cancelada"),1,0)</f>
        <v>0</v>
      </c>
      <c r="AI66" s="39" t="n">
        <f aca="false">IF(AND($F66&lt;&gt;"",$P66&lt;&gt;"",$P66&lt;Hoje!$C$3,$AB66=0,$R66&lt;&gt;"Cancelada"),1,0)</f>
        <v>0</v>
      </c>
      <c r="AJ66" s="50" t="str">
        <f aca="false">IF($F66="","",$D66&amp;"|"&amp;$E66&amp;"|"&amp;$L66)</f>
        <v>F-617|Baixa de carteira|36</v>
      </c>
      <c r="AK66" s="39" t="n">
        <f aca="false">IF($AJ66="","",COUNTIF($AJ$4:$AJ66,$AJ66))</f>
        <v>24</v>
      </c>
      <c r="AL66" s="39" t="n">
        <f aca="false">IF($AJ66="","",COUNTIF($AJ$4:$AJ$1004,$AJ66))</f>
        <v>25</v>
      </c>
      <c r="AM66" s="42"/>
      <c r="AN66" s="50" t="str">
        <f aca="false">IF($D66="","",IFERROR(T(VLOOKUP($D66,Listas!$B$5:$H$120,7,0)),""))</f>
        <v/>
      </c>
      <c r="AO66" s="50" t="str">
        <f aca="false">IF(OR($F66="",$L66&lt;&gt;"",$R66="Cancelada",$AT66&lt;&gt;""),"",$AN66&amp;"|"&amp;$D66&amp;"|"&amp;IF($C66="","zzz",$C66)&amp;"|"&amp;TEXT(66,"0000"))</f>
        <v/>
      </c>
      <c r="AP66" s="50" t="str">
        <f aca="false">IF($AO66="","",COUNTIF($AO$5:$AO$1004,"&lt;"&amp;$AO66)-(ROWS($AO$5:$AO$1004)-Hoje!$L$5)+1)</f>
        <v/>
      </c>
      <c r="AQ66" s="50" t="n">
        <f aca="false">IF(AND($F66&lt;&gt;"",$D66=Frota!$C$3),1,0)</f>
        <v>0</v>
      </c>
      <c r="AR66" s="50" t="str">
        <f aca="false">IF($AQ66=0,"",SUM($AQ$4:$AQ66))</f>
        <v/>
      </c>
      <c r="AS66" s="50" t="str">
        <f aca="false">IFERROR(INDEX(Hoje!$K$10:$K$29,MATCH(ROW(),Hoje!$J$10:$J$29,0)),"")</f>
        <v/>
      </c>
      <c r="AT66" s="47" t="n">
        <f aca="false">IF($Q66&lt;&gt;"",$Q66,$AS66)</f>
        <v>46267</v>
      </c>
    </row>
    <row r="67" customFormat="false" ht="16.5" hidden="false" customHeight="true" outlineLevel="0" collapsed="false">
      <c r="A67" s="39" t="n">
        <f aca="false">IF($F67="","",ROW())</f>
        <v>67</v>
      </c>
      <c r="B67" s="40" t="str">
        <f aca="false">IF($F67="",IF($D67="","","Falta a atividade"),IF($R67="Cancelada","Cancelada",IF($AB67=1,IF(N($Z67)&gt;0,"Concluída com atraso","Concluída"),IF($R67="Em programação","Em programação",IF($O67="",IF($M67="","Na carteira","Falta a semana"),IF($AC67=1,"VENCIDA",IF($O67&gt;Hoje!$L$1,"Programada",IF($P67&gt;Hoje!$L$1,"Em execução","Fecha hoje"))))))))</f>
        <v>Concluída com atraso</v>
      </c>
      <c r="C67" s="41" t="s">
        <v>176</v>
      </c>
      <c r="D67" s="42" t="s">
        <v>177</v>
      </c>
      <c r="E67" s="42" t="s">
        <v>180</v>
      </c>
      <c r="F67" s="42" t="s">
        <v>227</v>
      </c>
      <c r="G67" s="43" t="s">
        <v>80</v>
      </c>
      <c r="H67" s="43" t="s">
        <v>100</v>
      </c>
      <c r="I67" s="44" t="s">
        <v>82</v>
      </c>
      <c r="J67" s="44" t="s">
        <v>83</v>
      </c>
      <c r="K67" s="44"/>
      <c r="L67" s="45" t="n">
        <v>36</v>
      </c>
      <c r="M67" s="46" t="s">
        <v>108</v>
      </c>
      <c r="N67" s="45" t="n">
        <v>2</v>
      </c>
      <c r="O67" s="47" t="n">
        <f aca="false">IF(OR($L67="",$M67=""),"",(DATE(Semana!$J$3,1,4)-WEEKDAY(DATE(Semana!$J$3,1,4),3))+($L67-1)*7+MATCH($M67,Listas!$F$5:$F$11,0)-1)</f>
        <v>46265</v>
      </c>
      <c r="P67" s="47" t="n">
        <f aca="false">IF(OR($F67="",$O67=""),"",$O67+MAX(0,ROUNDUP($AK67*MAX(1,IF($N67="",1,$N67))/MAX(1,$AL67),0)-1))</f>
        <v>46266</v>
      </c>
      <c r="Q67" s="48" t="n">
        <v>46267</v>
      </c>
      <c r="R67" s="43" t="s">
        <v>85</v>
      </c>
      <c r="S67" s="49" t="n">
        <v>35</v>
      </c>
      <c r="T67" s="42"/>
      <c r="U67" s="42"/>
      <c r="V67" s="39" t="str">
        <f aca="false">IF($F67="","",IF(ISNUMBER(SEARCH("(externo)",$I67&amp;$J67&amp;$K67)),"Terceirizada","Interna"))</f>
        <v>Interna</v>
      </c>
      <c r="W67" s="47" t="n">
        <f aca="false">IF($O67="","",IF($S67="",$O67,(DATE(Semana!$J$3,1,4)-WEEKDAY(DATE(Semana!$J$3,1,4),3))+($S67-1)*7+IF($M67="",0,MATCH($M67,Listas!$F$5:$F$11,0)-1)))</f>
        <v>46258</v>
      </c>
      <c r="X67" s="39" t="n">
        <f aca="false">IF($F67="","",IF(OR($AT67="",$O67=""),0,IF($AT67&lt;=$O67,1,0)))</f>
        <v>0</v>
      </c>
      <c r="Y67" s="39" t="n">
        <f aca="false">IF($F67="","",IF(OR($AT67="",$W67=""),0,IF($AT67&lt;=$W67,1,0)))</f>
        <v>0</v>
      </c>
      <c r="Z67" s="39" t="n">
        <f aca="false">IF(OR($AT67="",$O67=""),"",MAX(0,$AT67-$O67))</f>
        <v>2</v>
      </c>
      <c r="AA67" s="39" t="n">
        <f aca="false">IF($F67="","",IF(AND($S67&lt;&gt;"",$L67&lt;&gt;"",$S67&lt;&gt;$L67),1,0))</f>
        <v>1</v>
      </c>
      <c r="AB67" s="39" t="n">
        <f aca="false">IF($F67="","",IF($R67="Cancelada",0,IF(OR($AT67&lt;&gt;"",$R67="Concluída"),1,0)))</f>
        <v>1</v>
      </c>
      <c r="AC67" s="39" t="n">
        <f aca="false">IF($P67="",0,IF($P67&lt;Hoje!$L$1,1,IF(AND($P67=Hoje!$L$1,Hoje!$L$2&gt;Semana!$M$3),1,0)))</f>
        <v>1</v>
      </c>
      <c r="AD67" s="39" t="n">
        <f aca="false">IF($F67="","",IF(COUNTA($I67:$K67)=0,0,1/COUNTA($I67:$K67)))</f>
        <v>0.5</v>
      </c>
      <c r="AE67" s="39" t="str">
        <f aca="false">IF($AH67=0,"",SUM($AH$4:$AH67))</f>
        <v/>
      </c>
      <c r="AF67" s="39" t="str">
        <f aca="false">IF($AI67=0,"",SUM($AI$4:$AI67))</f>
        <v/>
      </c>
      <c r="AG67" s="50" t="str">
        <f aca="false">IF($F67="","",$I67&amp;IF($J67="",""," · "&amp;$J67)&amp;IF($K67="",""," · "&amp;$K67))</f>
        <v>Airton · Luiz Paulo</v>
      </c>
      <c r="AH67" s="39" t="n">
        <f aca="false">IF(AND($F67&lt;&gt;"",$O67&lt;&gt;"",$O67&lt;=Hoje!$C$3,$P67&gt;=Hoje!$C$3,$R67&lt;&gt;"Cancelada"),1,0)</f>
        <v>0</v>
      </c>
      <c r="AI67" s="39" t="n">
        <f aca="false">IF(AND($F67&lt;&gt;"",$P67&lt;&gt;"",$P67&lt;Hoje!$C$3,$AB67=0,$R67&lt;&gt;"Cancelada"),1,0)</f>
        <v>0</v>
      </c>
      <c r="AJ67" s="50" t="str">
        <f aca="false">IF($F67="","",$D67&amp;"|"&amp;$E67&amp;"|"&amp;$L67)</f>
        <v>F-617|Baixa de carteira|36</v>
      </c>
      <c r="AK67" s="39" t="n">
        <f aca="false">IF($AJ67="","",COUNTIF($AJ$4:$AJ67,$AJ67))</f>
        <v>25</v>
      </c>
      <c r="AL67" s="39" t="n">
        <f aca="false">IF($AJ67="","",COUNTIF($AJ$4:$AJ$1004,$AJ67))</f>
        <v>25</v>
      </c>
      <c r="AM67" s="42"/>
      <c r="AN67" s="50" t="str">
        <f aca="false">IF($D67="","",IFERROR(T(VLOOKUP($D67,Listas!$B$5:$H$120,7,0)),""))</f>
        <v/>
      </c>
      <c r="AO67" s="50" t="str">
        <f aca="false">IF(OR($F67="",$L67&lt;&gt;"",$R67="Cancelada",$AT67&lt;&gt;""),"",$AN67&amp;"|"&amp;$D67&amp;"|"&amp;IF($C67="","zzz",$C67)&amp;"|"&amp;TEXT(67,"0000"))</f>
        <v/>
      </c>
      <c r="AP67" s="50" t="str">
        <f aca="false">IF($AO67="","",COUNTIF($AO$5:$AO$1004,"&lt;"&amp;$AO67)-(ROWS($AO$5:$AO$1004)-Hoje!$L$5)+1)</f>
        <v/>
      </c>
      <c r="AQ67" s="50" t="n">
        <f aca="false">IF(AND($F67&lt;&gt;"",$D67=Frota!$C$3),1,0)</f>
        <v>0</v>
      </c>
      <c r="AR67" s="50" t="str">
        <f aca="false">IF($AQ67=0,"",SUM($AQ$4:$AQ67))</f>
        <v/>
      </c>
      <c r="AS67" s="50" t="str">
        <f aca="false">IFERROR(INDEX(Hoje!$K$10:$K$29,MATCH(ROW(),Hoje!$J$10:$J$29,0)),"")</f>
        <v/>
      </c>
      <c r="AT67" s="47" t="n">
        <f aca="false">IF($Q67&lt;&gt;"",$Q67,$AS67)</f>
        <v>46267</v>
      </c>
    </row>
    <row r="68" customFormat="false" ht="16.5" hidden="false" customHeight="true" outlineLevel="0" collapsed="false">
      <c r="A68" s="39" t="n">
        <f aca="false">IF($F68="","",ROW())</f>
        <v>68</v>
      </c>
      <c r="B68" s="40" t="str">
        <f aca="false">IF($F68="",IF($D68="","","Falta a atividade"),IF($R68="Cancelada","Cancelada",IF($AB68=1,IF(N($Z68)&gt;0,"Concluída com atraso","Concluída"),IF($R68="Em programação","Em programação",IF($O68="",IF($M68="","Na carteira","Falta a semana"),IF($AC68=1,"VENCIDA",IF($O68&gt;Hoje!$L$1,"Programada",IF($P68&gt;Hoje!$L$1,"Em execução","Fecha hoje"))))))))</f>
        <v>Concluída com atraso</v>
      </c>
      <c r="C68" s="41" t="s">
        <v>228</v>
      </c>
      <c r="D68" s="42" t="s">
        <v>229</v>
      </c>
      <c r="E68" s="42" t="s">
        <v>230</v>
      </c>
      <c r="F68" s="42" t="s">
        <v>231</v>
      </c>
      <c r="G68" s="43" t="s">
        <v>80</v>
      </c>
      <c r="H68" s="43" t="s">
        <v>100</v>
      </c>
      <c r="I68" s="44" t="s">
        <v>106</v>
      </c>
      <c r="J68" s="44" t="s">
        <v>107</v>
      </c>
      <c r="K68" s="44" t="s">
        <v>88</v>
      </c>
      <c r="L68" s="45" t="n">
        <v>35</v>
      </c>
      <c r="M68" s="46" t="s">
        <v>131</v>
      </c>
      <c r="N68" s="45" t="n">
        <v>4</v>
      </c>
      <c r="O68" s="47" t="n">
        <f aca="false">IF(OR($L68="",$M68=""),"",(DATE(Semana!$J$3,1,4)-WEEKDAY(DATE(Semana!$J$3,1,4),3))+($L68-1)*7+MATCH($M68,Listas!$F$5:$F$11,0)-1)</f>
        <v>46259</v>
      </c>
      <c r="P68" s="47" t="n">
        <f aca="false">IF(OR($F68="",$O68=""),"",$O68+MAX(0,ROUNDUP($AK68*MAX(1,IF($N68="",1,$N68))/MAX(1,$AL68),0)-1))</f>
        <v>46259</v>
      </c>
      <c r="Q68" s="48" t="n">
        <v>46260</v>
      </c>
      <c r="R68" s="43" t="s">
        <v>85</v>
      </c>
      <c r="S68" s="49"/>
      <c r="T68" s="42"/>
      <c r="U68" s="42" t="s">
        <v>232</v>
      </c>
      <c r="V68" s="39" t="str">
        <f aca="false">IF($F68="","",IF(ISNUMBER(SEARCH("(externo)",$I68&amp;$J68&amp;$K68)),"Terceirizada","Interna"))</f>
        <v>Interna</v>
      </c>
      <c r="W68" s="47" t="n">
        <f aca="false">IF($O68="","",IF($S68="",$O68,(DATE(Semana!$J$3,1,4)-WEEKDAY(DATE(Semana!$J$3,1,4),3))+($S68-1)*7+IF($M68="",0,MATCH($M68,Listas!$F$5:$F$11,0)-1)))</f>
        <v>46259</v>
      </c>
      <c r="X68" s="39" t="n">
        <f aca="false">IF($F68="","",IF(OR($AT68="",$O68=""),0,IF($AT68&lt;=$O68,1,0)))</f>
        <v>0</v>
      </c>
      <c r="Y68" s="39" t="n">
        <f aca="false">IF($F68="","",IF(OR($AT68="",$W68=""),0,IF($AT68&lt;=$W68,1,0)))</f>
        <v>0</v>
      </c>
      <c r="Z68" s="39" t="n">
        <f aca="false">IF(OR($AT68="",$O68=""),"",MAX(0,$AT68-$O68))</f>
        <v>1</v>
      </c>
      <c r="AA68" s="39" t="n">
        <f aca="false">IF($F68="","",IF(AND($S68&lt;&gt;"",$L68&lt;&gt;"",$S68&lt;&gt;$L68),1,0))</f>
        <v>0</v>
      </c>
      <c r="AB68" s="39" t="n">
        <f aca="false">IF($F68="","",IF($R68="Cancelada",0,IF(OR($AT68&lt;&gt;"",$R68="Concluída"),1,0)))</f>
        <v>1</v>
      </c>
      <c r="AC68" s="39" t="n">
        <f aca="false">IF($P68="",0,IF($P68&lt;Hoje!$L$1,1,IF(AND($P68=Hoje!$L$1,Hoje!$L$2&gt;Semana!$M$3),1,0)))</f>
        <v>1</v>
      </c>
      <c r="AD68" s="39" t="n">
        <f aca="false">IF($F68="","",IF(COUNTA($I68:$K68)=0,0,1/COUNTA($I68:$K68)))</f>
        <v>0.333333333333333</v>
      </c>
      <c r="AE68" s="39" t="str">
        <f aca="false">IF($AH68=0,"",SUM($AH$4:$AH68))</f>
        <v/>
      </c>
      <c r="AF68" s="39" t="str">
        <f aca="false">IF($AI68=0,"",SUM($AI$4:$AI68))</f>
        <v/>
      </c>
      <c r="AG68" s="50" t="str">
        <f aca="false">IF($F68="","",$I68&amp;IF($J68="",""," · "&amp;$J68)&amp;IF($K68="",""," · "&amp;$K68))</f>
        <v>Adilton · Gabriel · Júnior</v>
      </c>
      <c r="AH68" s="39" t="n">
        <f aca="false">IF(AND($F68&lt;&gt;"",$O68&lt;&gt;"",$O68&lt;=Hoje!$C$3,$P68&gt;=Hoje!$C$3,$R68&lt;&gt;"Cancelada"),1,0)</f>
        <v>0</v>
      </c>
      <c r="AI68" s="39" t="n">
        <f aca="false">IF(AND($F68&lt;&gt;"",$P68&lt;&gt;"",$P68&lt;Hoje!$C$3,$AB68=0,$R68&lt;&gt;"Cancelada"),1,0)</f>
        <v>0</v>
      </c>
      <c r="AJ68" s="50" t="str">
        <f aca="false">IF($F68="","",$D68&amp;"|"&amp;$E68&amp;"|"&amp;$L68)</f>
        <v>F-624|Baixa de pendências backlog|35</v>
      </c>
      <c r="AK68" s="39" t="n">
        <f aca="false">IF($AJ68="","",COUNTIF($AJ$4:$AJ68,$AJ68))</f>
        <v>1</v>
      </c>
      <c r="AL68" s="39" t="n">
        <f aca="false">IF($AJ68="","",COUNTIF($AJ$4:$AJ$1004,$AJ68))</f>
        <v>20</v>
      </c>
      <c r="AM68" s="42"/>
      <c r="AN68" s="50" t="str">
        <f aca="false">IF($D68="","",IFERROR(T(VLOOKUP($D68,Listas!$B$5:$H$120,7,0)),""))</f>
        <v/>
      </c>
      <c r="AO68" s="50" t="str">
        <f aca="false">IF(OR($F68="",$L68&lt;&gt;"",$R68="Cancelada",$AT68&lt;&gt;""),"",$AN68&amp;"|"&amp;$D68&amp;"|"&amp;IF($C68="","zzz",$C68)&amp;"|"&amp;TEXT(68,"0000"))</f>
        <v/>
      </c>
      <c r="AP68" s="50" t="str">
        <f aca="false">IF($AO68="","",COUNTIF($AO$5:$AO$1004,"&lt;"&amp;$AO68)-(ROWS($AO$5:$AO$1004)-Hoje!$L$5)+1)</f>
        <v/>
      </c>
      <c r="AQ68" s="50" t="n">
        <f aca="false">IF(AND($F68&lt;&gt;"",$D68=Frota!$C$3),1,0)</f>
        <v>0</v>
      </c>
      <c r="AR68" s="50" t="str">
        <f aca="false">IF($AQ68=0,"",SUM($AQ$4:$AQ68))</f>
        <v/>
      </c>
      <c r="AS68" s="50" t="str">
        <f aca="false">IFERROR(INDEX(Hoje!$K$10:$K$29,MATCH(ROW(),Hoje!$J$10:$J$29,0)),"")</f>
        <v/>
      </c>
      <c r="AT68" s="47" t="n">
        <f aca="false">IF($Q68&lt;&gt;"",$Q68,$AS68)</f>
        <v>46260</v>
      </c>
    </row>
    <row r="69" customFormat="false" ht="16.5" hidden="false" customHeight="true" outlineLevel="0" collapsed="false">
      <c r="A69" s="39" t="n">
        <f aca="false">IF($F69="","",ROW())</f>
        <v>69</v>
      </c>
      <c r="B69" s="40" t="str">
        <f aca="false">IF($F69="",IF($D69="","","Falta a atividade"),IF($R69="Cancelada","Cancelada",IF($AB69=1,IF(N($Z69)&gt;0,"Concluída com atraso","Concluída"),IF($R69="Em programação","Em programação",IF($O69="",IF($M69="","Na carteira","Falta a semana"),IF($AC69=1,"VENCIDA",IF($O69&gt;Hoje!$L$1,"Programada",IF($P69&gt;Hoje!$L$1,"Em execução","Fecha hoje"))))))))</f>
        <v>Concluída com atraso</v>
      </c>
      <c r="C69" s="41" t="s">
        <v>233</v>
      </c>
      <c r="D69" s="42" t="s">
        <v>229</v>
      </c>
      <c r="E69" s="42" t="s">
        <v>230</v>
      </c>
      <c r="F69" s="42" t="s">
        <v>234</v>
      </c>
      <c r="G69" s="43" t="s">
        <v>80</v>
      </c>
      <c r="H69" s="43" t="s">
        <v>100</v>
      </c>
      <c r="I69" s="44" t="s">
        <v>106</v>
      </c>
      <c r="J69" s="44" t="s">
        <v>107</v>
      </c>
      <c r="K69" s="44" t="s">
        <v>88</v>
      </c>
      <c r="L69" s="45" t="n">
        <v>35</v>
      </c>
      <c r="M69" s="46" t="s">
        <v>131</v>
      </c>
      <c r="N69" s="45" t="n">
        <v>4</v>
      </c>
      <c r="O69" s="47" t="n">
        <f aca="false">IF(OR($L69="",$M69=""),"",(DATE(Semana!$J$3,1,4)-WEEKDAY(DATE(Semana!$J$3,1,4),3))+($L69-1)*7+MATCH($M69,Listas!$F$5:$F$11,0)-1)</f>
        <v>46259</v>
      </c>
      <c r="P69" s="47" t="n">
        <f aca="false">IF(OR($F69="",$O69=""),"",$O69+MAX(0,ROUNDUP($AK69*MAX(1,IF($N69="",1,$N69))/MAX(1,$AL69),0)-1))</f>
        <v>46259</v>
      </c>
      <c r="Q69" s="48" t="n">
        <v>46260</v>
      </c>
      <c r="R69" s="43" t="s">
        <v>85</v>
      </c>
      <c r="S69" s="49"/>
      <c r="T69" s="42"/>
      <c r="U69" s="42" t="s">
        <v>232</v>
      </c>
      <c r="V69" s="39" t="str">
        <f aca="false">IF($F69="","",IF(ISNUMBER(SEARCH("(externo)",$I69&amp;$J69&amp;$K69)),"Terceirizada","Interna"))</f>
        <v>Interna</v>
      </c>
      <c r="W69" s="47" t="n">
        <f aca="false">IF($O69="","",IF($S69="",$O69,(DATE(Semana!$J$3,1,4)-WEEKDAY(DATE(Semana!$J$3,1,4),3))+($S69-1)*7+IF($M69="",0,MATCH($M69,Listas!$F$5:$F$11,0)-1)))</f>
        <v>46259</v>
      </c>
      <c r="X69" s="39" t="n">
        <f aca="false">IF($F69="","",IF(OR($AT69="",$O69=""),0,IF($AT69&lt;=$O69,1,0)))</f>
        <v>0</v>
      </c>
      <c r="Y69" s="39" t="n">
        <f aca="false">IF($F69="","",IF(OR($AT69="",$W69=""),0,IF($AT69&lt;=$W69,1,0)))</f>
        <v>0</v>
      </c>
      <c r="Z69" s="39" t="n">
        <f aca="false">IF(OR($AT69="",$O69=""),"",MAX(0,$AT69-$O69))</f>
        <v>1</v>
      </c>
      <c r="AA69" s="39" t="n">
        <f aca="false">IF($F69="","",IF(AND($S69&lt;&gt;"",$L69&lt;&gt;"",$S69&lt;&gt;$L69),1,0))</f>
        <v>0</v>
      </c>
      <c r="AB69" s="39" t="n">
        <f aca="false">IF($F69="","",IF($R69="Cancelada",0,IF(OR($AT69&lt;&gt;"",$R69="Concluída"),1,0)))</f>
        <v>1</v>
      </c>
      <c r="AC69" s="39" t="n">
        <f aca="false">IF($P69="",0,IF($P69&lt;Hoje!$L$1,1,IF(AND($P69=Hoje!$L$1,Hoje!$L$2&gt;Semana!$M$3),1,0)))</f>
        <v>1</v>
      </c>
      <c r="AD69" s="39" t="n">
        <f aca="false">IF($F69="","",IF(COUNTA($I69:$K69)=0,0,1/COUNTA($I69:$K69)))</f>
        <v>0.333333333333333</v>
      </c>
      <c r="AE69" s="39" t="str">
        <f aca="false">IF($AH69=0,"",SUM($AH$4:$AH69))</f>
        <v/>
      </c>
      <c r="AF69" s="39" t="str">
        <f aca="false">IF($AI69=0,"",SUM($AI$4:$AI69))</f>
        <v/>
      </c>
      <c r="AG69" s="50" t="str">
        <f aca="false">IF($F69="","",$I69&amp;IF($J69="",""," · "&amp;$J69)&amp;IF($K69="",""," · "&amp;$K69))</f>
        <v>Adilton · Gabriel · Júnior</v>
      </c>
      <c r="AH69" s="39" t="n">
        <f aca="false">IF(AND($F69&lt;&gt;"",$O69&lt;&gt;"",$O69&lt;=Hoje!$C$3,$P69&gt;=Hoje!$C$3,$R69&lt;&gt;"Cancelada"),1,0)</f>
        <v>0</v>
      </c>
      <c r="AI69" s="39" t="n">
        <f aca="false">IF(AND($F69&lt;&gt;"",$P69&lt;&gt;"",$P69&lt;Hoje!$C$3,$AB69=0,$R69&lt;&gt;"Cancelada"),1,0)</f>
        <v>0</v>
      </c>
      <c r="AJ69" s="50" t="str">
        <f aca="false">IF($F69="","",$D69&amp;"|"&amp;$E69&amp;"|"&amp;$L69)</f>
        <v>F-624|Baixa de pendências backlog|35</v>
      </c>
      <c r="AK69" s="39" t="n">
        <f aca="false">IF($AJ69="","",COUNTIF($AJ$4:$AJ69,$AJ69))</f>
        <v>2</v>
      </c>
      <c r="AL69" s="39" t="n">
        <f aca="false">IF($AJ69="","",COUNTIF($AJ$4:$AJ$1004,$AJ69))</f>
        <v>20</v>
      </c>
      <c r="AM69" s="42"/>
      <c r="AN69" s="50" t="str">
        <f aca="false">IF($D69="","",IFERROR(T(VLOOKUP($D69,Listas!$B$5:$H$120,7,0)),""))</f>
        <v/>
      </c>
      <c r="AO69" s="50" t="str">
        <f aca="false">IF(OR($F69="",$L69&lt;&gt;"",$R69="Cancelada",$AT69&lt;&gt;""),"",$AN69&amp;"|"&amp;$D69&amp;"|"&amp;IF($C69="","zzz",$C69)&amp;"|"&amp;TEXT(69,"0000"))</f>
        <v/>
      </c>
      <c r="AP69" s="50" t="str">
        <f aca="false">IF($AO69="","",COUNTIF($AO$5:$AO$1004,"&lt;"&amp;$AO69)-(ROWS($AO$5:$AO$1004)-Hoje!$L$5)+1)</f>
        <v/>
      </c>
      <c r="AQ69" s="50" t="n">
        <f aca="false">IF(AND($F69&lt;&gt;"",$D69=Frota!$C$3),1,0)</f>
        <v>0</v>
      </c>
      <c r="AR69" s="50" t="str">
        <f aca="false">IF($AQ69=0,"",SUM($AQ$4:$AQ69))</f>
        <v/>
      </c>
      <c r="AS69" s="50" t="str">
        <f aca="false">IFERROR(INDEX(Hoje!$K$10:$K$29,MATCH(ROW(),Hoje!$J$10:$J$29,0)),"")</f>
        <v/>
      </c>
      <c r="AT69" s="47" t="n">
        <f aca="false">IF($Q69&lt;&gt;"",$Q69,$AS69)</f>
        <v>46260</v>
      </c>
    </row>
    <row r="70" customFormat="false" ht="16.5" hidden="false" customHeight="true" outlineLevel="0" collapsed="false">
      <c r="A70" s="39" t="n">
        <f aca="false">IF($F70="","",ROW())</f>
        <v>70</v>
      </c>
      <c r="B70" s="40" t="str">
        <f aca="false">IF($F70="",IF($D70="","","Falta a atividade"),IF($R70="Cancelada","Cancelada",IF($AB70=1,IF(N($Z70)&gt;0,"Concluída com atraso","Concluída"),IF($R70="Em programação","Em programação",IF($O70="",IF($M70="","Na carteira","Falta a semana"),IF($AC70=1,"VENCIDA",IF($O70&gt;Hoje!$L$1,"Programada",IF($P70&gt;Hoje!$L$1,"Em execução","Fecha hoje"))))))))</f>
        <v>Concluída com atraso</v>
      </c>
      <c r="C70" s="41"/>
      <c r="D70" s="42" t="s">
        <v>229</v>
      </c>
      <c r="E70" s="42" t="s">
        <v>230</v>
      </c>
      <c r="F70" s="42" t="s">
        <v>235</v>
      </c>
      <c r="G70" s="43" t="s">
        <v>80</v>
      </c>
      <c r="H70" s="43" t="s">
        <v>81</v>
      </c>
      <c r="I70" s="44" t="s">
        <v>106</v>
      </c>
      <c r="J70" s="44" t="s">
        <v>107</v>
      </c>
      <c r="K70" s="44" t="s">
        <v>88</v>
      </c>
      <c r="L70" s="45" t="n">
        <v>35</v>
      </c>
      <c r="M70" s="46" t="s">
        <v>131</v>
      </c>
      <c r="N70" s="45" t="n">
        <v>4</v>
      </c>
      <c r="O70" s="47" t="n">
        <f aca="false">IF(OR($L70="",$M70=""),"",(DATE(Semana!$J$3,1,4)-WEEKDAY(DATE(Semana!$J$3,1,4),3))+($L70-1)*7+MATCH($M70,Listas!$F$5:$F$11,0)-1)</f>
        <v>46259</v>
      </c>
      <c r="P70" s="47" t="n">
        <f aca="false">IF(OR($F70="",$O70=""),"",$O70+MAX(0,ROUNDUP($AK70*MAX(1,IF($N70="",1,$N70))/MAX(1,$AL70),0)-1))</f>
        <v>46259</v>
      </c>
      <c r="Q70" s="48" t="n">
        <v>46260</v>
      </c>
      <c r="R70" s="43" t="s">
        <v>85</v>
      </c>
      <c r="S70" s="49"/>
      <c r="T70" s="42"/>
      <c r="U70" s="42" t="s">
        <v>232</v>
      </c>
      <c r="V70" s="39" t="str">
        <f aca="false">IF($F70="","",IF(ISNUMBER(SEARCH("(externo)",$I70&amp;$J70&amp;$K70)),"Terceirizada","Interna"))</f>
        <v>Interna</v>
      </c>
      <c r="W70" s="47" t="n">
        <f aca="false">IF($O70="","",IF($S70="",$O70,(DATE(Semana!$J$3,1,4)-WEEKDAY(DATE(Semana!$J$3,1,4),3))+($S70-1)*7+IF($M70="",0,MATCH($M70,Listas!$F$5:$F$11,0)-1)))</f>
        <v>46259</v>
      </c>
      <c r="X70" s="39" t="n">
        <f aca="false">IF($F70="","",IF(OR($AT70="",$O70=""),0,IF($AT70&lt;=$O70,1,0)))</f>
        <v>0</v>
      </c>
      <c r="Y70" s="39" t="n">
        <f aca="false">IF($F70="","",IF(OR($AT70="",$W70=""),0,IF($AT70&lt;=$W70,1,0)))</f>
        <v>0</v>
      </c>
      <c r="Z70" s="39" t="n">
        <f aca="false">IF(OR($AT70="",$O70=""),"",MAX(0,$AT70-$O70))</f>
        <v>1</v>
      </c>
      <c r="AA70" s="39" t="n">
        <f aca="false">IF($F70="","",IF(AND($S70&lt;&gt;"",$L70&lt;&gt;"",$S70&lt;&gt;$L70),1,0))</f>
        <v>0</v>
      </c>
      <c r="AB70" s="39" t="n">
        <f aca="false">IF($F70="","",IF($R70="Cancelada",0,IF(OR($AT70&lt;&gt;"",$R70="Concluída"),1,0)))</f>
        <v>1</v>
      </c>
      <c r="AC70" s="39" t="n">
        <f aca="false">IF($P70="",0,IF($P70&lt;Hoje!$L$1,1,IF(AND($P70=Hoje!$L$1,Hoje!$L$2&gt;Semana!$M$3),1,0)))</f>
        <v>1</v>
      </c>
      <c r="AD70" s="39" t="n">
        <f aca="false">IF($F70="","",IF(COUNTA($I70:$K70)=0,0,1/COUNTA($I70:$K70)))</f>
        <v>0.333333333333333</v>
      </c>
      <c r="AE70" s="39" t="str">
        <f aca="false">IF($AH70=0,"",SUM($AH$4:$AH70))</f>
        <v/>
      </c>
      <c r="AF70" s="39" t="str">
        <f aca="false">IF($AI70=0,"",SUM($AI$4:$AI70))</f>
        <v/>
      </c>
      <c r="AG70" s="50" t="str">
        <f aca="false">IF($F70="","",$I70&amp;IF($J70="",""," · "&amp;$J70)&amp;IF($K70="",""," · "&amp;$K70))</f>
        <v>Adilton · Gabriel · Júnior</v>
      </c>
      <c r="AH70" s="39" t="n">
        <f aca="false">IF(AND($F70&lt;&gt;"",$O70&lt;&gt;"",$O70&lt;=Hoje!$C$3,$P70&gt;=Hoje!$C$3,$R70&lt;&gt;"Cancelada"),1,0)</f>
        <v>0</v>
      </c>
      <c r="AI70" s="39" t="n">
        <f aca="false">IF(AND($F70&lt;&gt;"",$P70&lt;&gt;"",$P70&lt;Hoje!$C$3,$AB70=0,$R70&lt;&gt;"Cancelada"),1,0)</f>
        <v>0</v>
      </c>
      <c r="AJ70" s="50" t="str">
        <f aca="false">IF($F70="","",$D70&amp;"|"&amp;$E70&amp;"|"&amp;$L70)</f>
        <v>F-624|Baixa de pendências backlog|35</v>
      </c>
      <c r="AK70" s="39" t="n">
        <f aca="false">IF($AJ70="","",COUNTIF($AJ$4:$AJ70,$AJ70))</f>
        <v>3</v>
      </c>
      <c r="AL70" s="39" t="n">
        <f aca="false">IF($AJ70="","",COUNTIF($AJ$4:$AJ$1004,$AJ70))</f>
        <v>20</v>
      </c>
      <c r="AM70" s="42"/>
      <c r="AN70" s="50" t="str">
        <f aca="false">IF($D70="","",IFERROR(T(VLOOKUP($D70,Listas!$B$5:$H$120,7,0)),""))</f>
        <v/>
      </c>
      <c r="AO70" s="50" t="str">
        <f aca="false">IF(OR($F70="",$L70&lt;&gt;"",$R70="Cancelada",$AT70&lt;&gt;""),"",$AN70&amp;"|"&amp;$D70&amp;"|"&amp;IF($C70="","zzz",$C70)&amp;"|"&amp;TEXT(70,"0000"))</f>
        <v/>
      </c>
      <c r="AP70" s="50" t="str">
        <f aca="false">IF($AO70="","",COUNTIF($AO$5:$AO$1004,"&lt;"&amp;$AO70)-(ROWS($AO$5:$AO$1004)-Hoje!$L$5)+1)</f>
        <v/>
      </c>
      <c r="AQ70" s="50" t="n">
        <f aca="false">IF(AND($F70&lt;&gt;"",$D70=Frota!$C$3),1,0)</f>
        <v>0</v>
      </c>
      <c r="AR70" s="50" t="str">
        <f aca="false">IF($AQ70=0,"",SUM($AQ$4:$AQ70))</f>
        <v/>
      </c>
      <c r="AS70" s="50" t="str">
        <f aca="false">IFERROR(INDEX(Hoje!$K$10:$K$29,MATCH(ROW(),Hoje!$J$10:$J$29,0)),"")</f>
        <v/>
      </c>
      <c r="AT70" s="47" t="n">
        <f aca="false">IF($Q70&lt;&gt;"",$Q70,$AS70)</f>
        <v>46260</v>
      </c>
    </row>
    <row r="71" customFormat="false" ht="16.5" hidden="false" customHeight="true" outlineLevel="0" collapsed="false">
      <c r="A71" s="39" t="n">
        <f aca="false">IF($F71="","",ROW())</f>
        <v>71</v>
      </c>
      <c r="B71" s="40" t="str">
        <f aca="false">IF($F71="",IF($D71="","","Falta a atividade"),IF($R71="Cancelada","Cancelada",IF($AB71=1,IF(N($Z71)&gt;0,"Concluída com atraso","Concluída"),IF($R71="Em programação","Em programação",IF($O71="",IF($M71="","Na carteira","Falta a semana"),IF($AC71=1,"VENCIDA",IF($O71&gt;Hoje!$L$1,"Programada",IF($P71&gt;Hoje!$L$1,"Em execução","Fecha hoje"))))))))</f>
        <v>Concluída com atraso</v>
      </c>
      <c r="C71" s="41"/>
      <c r="D71" s="42" t="s">
        <v>229</v>
      </c>
      <c r="E71" s="42" t="s">
        <v>230</v>
      </c>
      <c r="F71" s="42" t="s">
        <v>236</v>
      </c>
      <c r="G71" s="43" t="s">
        <v>80</v>
      </c>
      <c r="H71" s="43" t="s">
        <v>81</v>
      </c>
      <c r="I71" s="44" t="s">
        <v>106</v>
      </c>
      <c r="J71" s="44" t="s">
        <v>107</v>
      </c>
      <c r="K71" s="44" t="s">
        <v>88</v>
      </c>
      <c r="L71" s="45" t="n">
        <v>35</v>
      </c>
      <c r="M71" s="46" t="s">
        <v>131</v>
      </c>
      <c r="N71" s="45" t="n">
        <v>4</v>
      </c>
      <c r="O71" s="47" t="n">
        <f aca="false">IF(OR($L71="",$M71=""),"",(DATE(Semana!$J$3,1,4)-WEEKDAY(DATE(Semana!$J$3,1,4),3))+($L71-1)*7+MATCH($M71,Listas!$F$5:$F$11,0)-1)</f>
        <v>46259</v>
      </c>
      <c r="P71" s="47" t="n">
        <f aca="false">IF(OR($F71="",$O71=""),"",$O71+MAX(0,ROUNDUP($AK71*MAX(1,IF($N71="",1,$N71))/MAX(1,$AL71),0)-1))</f>
        <v>46259</v>
      </c>
      <c r="Q71" s="48" t="n">
        <v>46260</v>
      </c>
      <c r="R71" s="43" t="s">
        <v>85</v>
      </c>
      <c r="S71" s="49"/>
      <c r="T71" s="42"/>
      <c r="U71" s="42" t="s">
        <v>237</v>
      </c>
      <c r="V71" s="39" t="str">
        <f aca="false">IF($F71="","",IF(ISNUMBER(SEARCH("(externo)",$I71&amp;$J71&amp;$K71)),"Terceirizada","Interna"))</f>
        <v>Interna</v>
      </c>
      <c r="W71" s="47" t="n">
        <f aca="false">IF($O71="","",IF($S71="",$O71,(DATE(Semana!$J$3,1,4)-WEEKDAY(DATE(Semana!$J$3,1,4),3))+($S71-1)*7+IF($M71="",0,MATCH($M71,Listas!$F$5:$F$11,0)-1)))</f>
        <v>46259</v>
      </c>
      <c r="X71" s="39" t="n">
        <f aca="false">IF($F71="","",IF(OR($AT71="",$O71=""),0,IF($AT71&lt;=$O71,1,0)))</f>
        <v>0</v>
      </c>
      <c r="Y71" s="39" t="n">
        <f aca="false">IF($F71="","",IF(OR($AT71="",$W71=""),0,IF($AT71&lt;=$W71,1,0)))</f>
        <v>0</v>
      </c>
      <c r="Z71" s="39" t="n">
        <f aca="false">IF(OR($AT71="",$O71=""),"",MAX(0,$AT71-$O71))</f>
        <v>1</v>
      </c>
      <c r="AA71" s="39" t="n">
        <f aca="false">IF($F71="","",IF(AND($S71&lt;&gt;"",$L71&lt;&gt;"",$S71&lt;&gt;$L71),1,0))</f>
        <v>0</v>
      </c>
      <c r="AB71" s="39" t="n">
        <f aca="false">IF($F71="","",IF($R71="Cancelada",0,IF(OR($AT71&lt;&gt;"",$R71="Concluída"),1,0)))</f>
        <v>1</v>
      </c>
      <c r="AC71" s="39" t="n">
        <f aca="false">IF($P71="",0,IF($P71&lt;Hoje!$L$1,1,IF(AND($P71=Hoje!$L$1,Hoje!$L$2&gt;Semana!$M$3),1,0)))</f>
        <v>1</v>
      </c>
      <c r="AD71" s="39" t="n">
        <f aca="false">IF($F71="","",IF(COUNTA($I71:$K71)=0,0,1/COUNTA($I71:$K71)))</f>
        <v>0.333333333333333</v>
      </c>
      <c r="AE71" s="39" t="str">
        <f aca="false">IF($AH71=0,"",SUM($AH$4:$AH71))</f>
        <v/>
      </c>
      <c r="AF71" s="39" t="str">
        <f aca="false">IF($AI71=0,"",SUM($AI$4:$AI71))</f>
        <v/>
      </c>
      <c r="AG71" s="50" t="str">
        <f aca="false">IF($F71="","",$I71&amp;IF($J71="",""," · "&amp;$J71)&amp;IF($K71="",""," · "&amp;$K71))</f>
        <v>Adilton · Gabriel · Júnior</v>
      </c>
      <c r="AH71" s="39" t="n">
        <f aca="false">IF(AND($F71&lt;&gt;"",$O71&lt;&gt;"",$O71&lt;=Hoje!$C$3,$P71&gt;=Hoje!$C$3,$R71&lt;&gt;"Cancelada"),1,0)</f>
        <v>0</v>
      </c>
      <c r="AI71" s="39" t="n">
        <f aca="false">IF(AND($F71&lt;&gt;"",$P71&lt;&gt;"",$P71&lt;Hoje!$C$3,$AB71=0,$R71&lt;&gt;"Cancelada"),1,0)</f>
        <v>0</v>
      </c>
      <c r="AJ71" s="50" t="str">
        <f aca="false">IF($F71="","",$D71&amp;"|"&amp;$E71&amp;"|"&amp;$L71)</f>
        <v>F-624|Baixa de pendências backlog|35</v>
      </c>
      <c r="AK71" s="39" t="n">
        <f aca="false">IF($AJ71="","",COUNTIF($AJ$4:$AJ71,$AJ71))</f>
        <v>4</v>
      </c>
      <c r="AL71" s="39" t="n">
        <f aca="false">IF($AJ71="","",COUNTIF($AJ$4:$AJ$1004,$AJ71))</f>
        <v>20</v>
      </c>
      <c r="AM71" s="42"/>
      <c r="AN71" s="50" t="str">
        <f aca="false">IF($D71="","",IFERROR(T(VLOOKUP($D71,Listas!$B$5:$H$120,7,0)),""))</f>
        <v/>
      </c>
      <c r="AO71" s="50" t="str">
        <f aca="false">IF(OR($F71="",$L71&lt;&gt;"",$R71="Cancelada",$AT71&lt;&gt;""),"",$AN71&amp;"|"&amp;$D71&amp;"|"&amp;IF($C71="","zzz",$C71)&amp;"|"&amp;TEXT(71,"0000"))</f>
        <v/>
      </c>
      <c r="AP71" s="50" t="str">
        <f aca="false">IF($AO71="","",COUNTIF($AO$5:$AO$1004,"&lt;"&amp;$AO71)-(ROWS($AO$5:$AO$1004)-Hoje!$L$5)+1)</f>
        <v/>
      </c>
      <c r="AQ71" s="50" t="n">
        <f aca="false">IF(AND($F71&lt;&gt;"",$D71=Frota!$C$3),1,0)</f>
        <v>0</v>
      </c>
      <c r="AR71" s="50" t="str">
        <f aca="false">IF($AQ71=0,"",SUM($AQ$4:$AQ71))</f>
        <v/>
      </c>
      <c r="AS71" s="50" t="str">
        <f aca="false">IFERROR(INDEX(Hoje!$K$10:$K$29,MATCH(ROW(),Hoje!$J$10:$J$29,0)),"")</f>
        <v/>
      </c>
      <c r="AT71" s="47" t="n">
        <f aca="false">IF($Q71&lt;&gt;"",$Q71,$AS71)</f>
        <v>46260</v>
      </c>
    </row>
    <row r="72" customFormat="false" ht="16.5" hidden="false" customHeight="true" outlineLevel="0" collapsed="false">
      <c r="A72" s="39" t="n">
        <f aca="false">IF($F72="","",ROW())</f>
        <v>72</v>
      </c>
      <c r="B72" s="40" t="str">
        <f aca="false">IF($F72="",IF($D72="","","Falta a atividade"),IF($R72="Cancelada","Cancelada",IF($AB72=1,IF(N($Z72)&gt;0,"Concluída com atraso","Concluída"),IF($R72="Em programação","Em programação",IF($O72="",IF($M72="","Na carteira","Falta a semana"),IF($AC72=1,"VENCIDA",IF($O72&gt;Hoje!$L$1,"Programada",IF($P72&gt;Hoje!$L$1,"Em execução","Fecha hoje"))))))))</f>
        <v>Concluída com atraso</v>
      </c>
      <c r="C72" s="41"/>
      <c r="D72" s="42" t="s">
        <v>229</v>
      </c>
      <c r="E72" s="42" t="s">
        <v>230</v>
      </c>
      <c r="F72" s="42" t="s">
        <v>238</v>
      </c>
      <c r="G72" s="43" t="s">
        <v>80</v>
      </c>
      <c r="H72" s="43" t="s">
        <v>81</v>
      </c>
      <c r="I72" s="44" t="s">
        <v>106</v>
      </c>
      <c r="J72" s="44" t="s">
        <v>107</v>
      </c>
      <c r="K72" s="44" t="s">
        <v>88</v>
      </c>
      <c r="L72" s="45" t="n">
        <v>35</v>
      </c>
      <c r="M72" s="46" t="s">
        <v>131</v>
      </c>
      <c r="N72" s="45" t="n">
        <v>4</v>
      </c>
      <c r="O72" s="47" t="n">
        <f aca="false">IF(OR($L72="",$M72=""),"",(DATE(Semana!$J$3,1,4)-WEEKDAY(DATE(Semana!$J$3,1,4),3))+($L72-1)*7+MATCH($M72,Listas!$F$5:$F$11,0)-1)</f>
        <v>46259</v>
      </c>
      <c r="P72" s="47" t="n">
        <f aca="false">IF(OR($F72="",$O72=""),"",$O72+MAX(0,ROUNDUP($AK72*MAX(1,IF($N72="",1,$N72))/MAX(1,$AL72),0)-1))</f>
        <v>46259</v>
      </c>
      <c r="Q72" s="48" t="n">
        <v>46260</v>
      </c>
      <c r="R72" s="43" t="s">
        <v>85</v>
      </c>
      <c r="S72" s="49"/>
      <c r="T72" s="42"/>
      <c r="U72" s="42" t="s">
        <v>232</v>
      </c>
      <c r="V72" s="39" t="str">
        <f aca="false">IF($F72="","",IF(ISNUMBER(SEARCH("(externo)",$I72&amp;$J72&amp;$K72)),"Terceirizada","Interna"))</f>
        <v>Interna</v>
      </c>
      <c r="W72" s="47" t="n">
        <f aca="false">IF($O72="","",IF($S72="",$O72,(DATE(Semana!$J$3,1,4)-WEEKDAY(DATE(Semana!$J$3,1,4),3))+($S72-1)*7+IF($M72="",0,MATCH($M72,Listas!$F$5:$F$11,0)-1)))</f>
        <v>46259</v>
      </c>
      <c r="X72" s="39" t="n">
        <f aca="false">IF($F72="","",IF(OR($AT72="",$O72=""),0,IF($AT72&lt;=$O72,1,0)))</f>
        <v>0</v>
      </c>
      <c r="Y72" s="39" t="n">
        <f aca="false">IF($F72="","",IF(OR($AT72="",$W72=""),0,IF($AT72&lt;=$W72,1,0)))</f>
        <v>0</v>
      </c>
      <c r="Z72" s="39" t="n">
        <f aca="false">IF(OR($AT72="",$O72=""),"",MAX(0,$AT72-$O72))</f>
        <v>1</v>
      </c>
      <c r="AA72" s="39" t="n">
        <f aca="false">IF($F72="","",IF(AND($S72&lt;&gt;"",$L72&lt;&gt;"",$S72&lt;&gt;$L72),1,0))</f>
        <v>0</v>
      </c>
      <c r="AB72" s="39" t="n">
        <f aca="false">IF($F72="","",IF($R72="Cancelada",0,IF(OR($AT72&lt;&gt;"",$R72="Concluída"),1,0)))</f>
        <v>1</v>
      </c>
      <c r="AC72" s="39" t="n">
        <f aca="false">IF($P72="",0,IF($P72&lt;Hoje!$L$1,1,IF(AND($P72=Hoje!$L$1,Hoje!$L$2&gt;Semana!$M$3),1,0)))</f>
        <v>1</v>
      </c>
      <c r="AD72" s="39" t="n">
        <f aca="false">IF($F72="","",IF(COUNTA($I72:$K72)=0,0,1/COUNTA($I72:$K72)))</f>
        <v>0.333333333333333</v>
      </c>
      <c r="AE72" s="39" t="str">
        <f aca="false">IF($AH72=0,"",SUM($AH$4:$AH72))</f>
        <v/>
      </c>
      <c r="AF72" s="39" t="str">
        <f aca="false">IF($AI72=0,"",SUM($AI$4:$AI72))</f>
        <v/>
      </c>
      <c r="AG72" s="50" t="str">
        <f aca="false">IF($F72="","",$I72&amp;IF($J72="",""," · "&amp;$J72)&amp;IF($K72="",""," · "&amp;$K72))</f>
        <v>Adilton · Gabriel · Júnior</v>
      </c>
      <c r="AH72" s="39" t="n">
        <f aca="false">IF(AND($F72&lt;&gt;"",$O72&lt;&gt;"",$O72&lt;=Hoje!$C$3,$P72&gt;=Hoje!$C$3,$R72&lt;&gt;"Cancelada"),1,0)</f>
        <v>0</v>
      </c>
      <c r="AI72" s="39" t="n">
        <f aca="false">IF(AND($F72&lt;&gt;"",$P72&lt;&gt;"",$P72&lt;Hoje!$C$3,$AB72=0,$R72&lt;&gt;"Cancelada"),1,0)</f>
        <v>0</v>
      </c>
      <c r="AJ72" s="50" t="str">
        <f aca="false">IF($F72="","",$D72&amp;"|"&amp;$E72&amp;"|"&amp;$L72)</f>
        <v>F-624|Baixa de pendências backlog|35</v>
      </c>
      <c r="AK72" s="39" t="n">
        <f aca="false">IF($AJ72="","",COUNTIF($AJ$4:$AJ72,$AJ72))</f>
        <v>5</v>
      </c>
      <c r="AL72" s="39" t="n">
        <f aca="false">IF($AJ72="","",COUNTIF($AJ$4:$AJ$1004,$AJ72))</f>
        <v>20</v>
      </c>
      <c r="AM72" s="42"/>
      <c r="AN72" s="50" t="str">
        <f aca="false">IF($D72="","",IFERROR(T(VLOOKUP($D72,Listas!$B$5:$H$120,7,0)),""))</f>
        <v/>
      </c>
      <c r="AO72" s="50" t="str">
        <f aca="false">IF(OR($F72="",$L72&lt;&gt;"",$R72="Cancelada",$AT72&lt;&gt;""),"",$AN72&amp;"|"&amp;$D72&amp;"|"&amp;IF($C72="","zzz",$C72)&amp;"|"&amp;TEXT(72,"0000"))</f>
        <v/>
      </c>
      <c r="AP72" s="50" t="str">
        <f aca="false">IF($AO72="","",COUNTIF($AO$5:$AO$1004,"&lt;"&amp;$AO72)-(ROWS($AO$5:$AO$1004)-Hoje!$L$5)+1)</f>
        <v/>
      </c>
      <c r="AQ72" s="50" t="n">
        <f aca="false">IF(AND($F72&lt;&gt;"",$D72=Frota!$C$3),1,0)</f>
        <v>0</v>
      </c>
      <c r="AR72" s="50" t="str">
        <f aca="false">IF($AQ72=0,"",SUM($AQ$4:$AQ72))</f>
        <v/>
      </c>
      <c r="AS72" s="50" t="str">
        <f aca="false">IFERROR(INDEX(Hoje!$K$10:$K$29,MATCH(ROW(),Hoje!$J$10:$J$29,0)),"")</f>
        <v/>
      </c>
      <c r="AT72" s="47" t="n">
        <f aca="false">IF($Q72&lt;&gt;"",$Q72,$AS72)</f>
        <v>46260</v>
      </c>
    </row>
    <row r="73" customFormat="false" ht="16.5" hidden="false" customHeight="true" outlineLevel="0" collapsed="false">
      <c r="A73" s="39" t="n">
        <f aca="false">IF($F73="","",ROW())</f>
        <v>73</v>
      </c>
      <c r="B73" s="40" t="str">
        <f aca="false">IF($F73="",IF($D73="","","Falta a atividade"),IF($R73="Cancelada","Cancelada",IF($AB73=1,IF(N($Z73)&gt;0,"Concluída com atraso","Concluída"),IF($R73="Em programação","Em programação",IF($O73="",IF($M73="","Na carteira","Falta a semana"),IF($AC73=1,"VENCIDA",IF($O73&gt;Hoje!$L$1,"Programada",IF($P73&gt;Hoje!$L$1,"Em execução","Fecha hoje"))))))))</f>
        <v>Concluída com atraso</v>
      </c>
      <c r="C73" s="41"/>
      <c r="D73" s="42" t="s">
        <v>229</v>
      </c>
      <c r="E73" s="42" t="s">
        <v>230</v>
      </c>
      <c r="F73" s="42" t="s">
        <v>239</v>
      </c>
      <c r="G73" s="43" t="s">
        <v>80</v>
      </c>
      <c r="H73" s="43" t="s">
        <v>81</v>
      </c>
      <c r="I73" s="44" t="s">
        <v>106</v>
      </c>
      <c r="J73" s="44" t="s">
        <v>107</v>
      </c>
      <c r="K73" s="44" t="s">
        <v>88</v>
      </c>
      <c r="L73" s="45" t="n">
        <v>35</v>
      </c>
      <c r="M73" s="46" t="s">
        <v>131</v>
      </c>
      <c r="N73" s="45" t="n">
        <v>4</v>
      </c>
      <c r="O73" s="47" t="n">
        <f aca="false">IF(OR($L73="",$M73=""),"",(DATE(Semana!$J$3,1,4)-WEEKDAY(DATE(Semana!$J$3,1,4),3))+($L73-1)*7+MATCH($M73,Listas!$F$5:$F$11,0)-1)</f>
        <v>46259</v>
      </c>
      <c r="P73" s="47" t="n">
        <f aca="false">IF(OR($F73="",$O73=""),"",$O73+MAX(0,ROUNDUP($AK73*MAX(1,IF($N73="",1,$N73))/MAX(1,$AL73),0)-1))</f>
        <v>46260</v>
      </c>
      <c r="Q73" s="48" t="n">
        <v>46260</v>
      </c>
      <c r="R73" s="43" t="s">
        <v>85</v>
      </c>
      <c r="S73" s="49"/>
      <c r="T73" s="42"/>
      <c r="U73" s="42" t="s">
        <v>232</v>
      </c>
      <c r="V73" s="39" t="str">
        <f aca="false">IF($F73="","",IF(ISNUMBER(SEARCH("(externo)",$I73&amp;$J73&amp;$K73)),"Terceirizada","Interna"))</f>
        <v>Interna</v>
      </c>
      <c r="W73" s="47" t="n">
        <f aca="false">IF($O73="","",IF($S73="",$O73,(DATE(Semana!$J$3,1,4)-WEEKDAY(DATE(Semana!$J$3,1,4),3))+($S73-1)*7+IF($M73="",0,MATCH($M73,Listas!$F$5:$F$11,0)-1)))</f>
        <v>46259</v>
      </c>
      <c r="X73" s="39" t="n">
        <f aca="false">IF($F73="","",IF(OR($AT73="",$O73=""),0,IF($AT73&lt;=$O73,1,0)))</f>
        <v>0</v>
      </c>
      <c r="Y73" s="39" t="n">
        <f aca="false">IF($F73="","",IF(OR($AT73="",$W73=""),0,IF($AT73&lt;=$W73,1,0)))</f>
        <v>0</v>
      </c>
      <c r="Z73" s="39" t="n">
        <f aca="false">IF(OR($AT73="",$O73=""),"",MAX(0,$AT73-$O73))</f>
        <v>1</v>
      </c>
      <c r="AA73" s="39" t="n">
        <f aca="false">IF($F73="","",IF(AND($S73&lt;&gt;"",$L73&lt;&gt;"",$S73&lt;&gt;$L73),1,0))</f>
        <v>0</v>
      </c>
      <c r="AB73" s="39" t="n">
        <f aca="false">IF($F73="","",IF($R73="Cancelada",0,IF(OR($AT73&lt;&gt;"",$R73="Concluída"),1,0)))</f>
        <v>1</v>
      </c>
      <c r="AC73" s="39" t="n">
        <f aca="false">IF($P73="",0,IF($P73&lt;Hoje!$L$1,1,IF(AND($P73=Hoje!$L$1,Hoje!$L$2&gt;Semana!$M$3),1,0)))</f>
        <v>1</v>
      </c>
      <c r="AD73" s="39" t="n">
        <f aca="false">IF($F73="","",IF(COUNTA($I73:$K73)=0,0,1/COUNTA($I73:$K73)))</f>
        <v>0.333333333333333</v>
      </c>
      <c r="AE73" s="39" t="str">
        <f aca="false">IF($AH73=0,"",SUM($AH$4:$AH73))</f>
        <v/>
      </c>
      <c r="AF73" s="39" t="str">
        <f aca="false">IF($AI73=0,"",SUM($AI$4:$AI73))</f>
        <v/>
      </c>
      <c r="AG73" s="50" t="str">
        <f aca="false">IF($F73="","",$I73&amp;IF($J73="",""," · "&amp;$J73)&amp;IF($K73="",""," · "&amp;$K73))</f>
        <v>Adilton · Gabriel · Júnior</v>
      </c>
      <c r="AH73" s="39" t="n">
        <f aca="false">IF(AND($F73&lt;&gt;"",$O73&lt;&gt;"",$O73&lt;=Hoje!$C$3,$P73&gt;=Hoje!$C$3,$R73&lt;&gt;"Cancelada"),1,0)</f>
        <v>0</v>
      </c>
      <c r="AI73" s="39" t="n">
        <f aca="false">IF(AND($F73&lt;&gt;"",$P73&lt;&gt;"",$P73&lt;Hoje!$C$3,$AB73=0,$R73&lt;&gt;"Cancelada"),1,0)</f>
        <v>0</v>
      </c>
      <c r="AJ73" s="50" t="str">
        <f aca="false">IF($F73="","",$D73&amp;"|"&amp;$E73&amp;"|"&amp;$L73)</f>
        <v>F-624|Baixa de pendências backlog|35</v>
      </c>
      <c r="AK73" s="39" t="n">
        <f aca="false">IF($AJ73="","",COUNTIF($AJ$4:$AJ73,$AJ73))</f>
        <v>6</v>
      </c>
      <c r="AL73" s="39" t="n">
        <f aca="false">IF($AJ73="","",COUNTIF($AJ$4:$AJ$1004,$AJ73))</f>
        <v>20</v>
      </c>
      <c r="AM73" s="42"/>
      <c r="AN73" s="50" t="str">
        <f aca="false">IF($D73="","",IFERROR(T(VLOOKUP($D73,Listas!$B$5:$H$120,7,0)),""))</f>
        <v/>
      </c>
      <c r="AO73" s="50" t="str">
        <f aca="false">IF(OR($F73="",$L73&lt;&gt;"",$R73="Cancelada",$AT73&lt;&gt;""),"",$AN73&amp;"|"&amp;$D73&amp;"|"&amp;IF($C73="","zzz",$C73)&amp;"|"&amp;TEXT(73,"0000"))</f>
        <v/>
      </c>
      <c r="AP73" s="50" t="str">
        <f aca="false">IF($AO73="","",COUNTIF($AO$5:$AO$1004,"&lt;"&amp;$AO73)-(ROWS($AO$5:$AO$1004)-Hoje!$L$5)+1)</f>
        <v/>
      </c>
      <c r="AQ73" s="50" t="n">
        <f aca="false">IF(AND($F73&lt;&gt;"",$D73=Frota!$C$3),1,0)</f>
        <v>0</v>
      </c>
      <c r="AR73" s="50" t="str">
        <f aca="false">IF($AQ73=0,"",SUM($AQ$4:$AQ73))</f>
        <v/>
      </c>
      <c r="AS73" s="50" t="str">
        <f aca="false">IFERROR(INDEX(Hoje!$K$10:$K$29,MATCH(ROW(),Hoje!$J$10:$J$29,0)),"")</f>
        <v/>
      </c>
      <c r="AT73" s="47" t="n">
        <f aca="false">IF($Q73&lt;&gt;"",$Q73,$AS73)</f>
        <v>46260</v>
      </c>
    </row>
    <row r="74" customFormat="false" ht="16.5" hidden="false" customHeight="true" outlineLevel="0" collapsed="false">
      <c r="A74" s="39" t="n">
        <f aca="false">IF($F74="","",ROW())</f>
        <v>74</v>
      </c>
      <c r="B74" s="40" t="str">
        <f aca="false">IF($F74="",IF($D74="","","Falta a atividade"),IF($R74="Cancelada","Cancelada",IF($AB74=1,IF(N($Z74)&gt;0,"Concluída com atraso","Concluída"),IF($R74="Em programação","Em programação",IF($O74="",IF($M74="","Na carteira","Falta a semana"),IF($AC74=1,"VENCIDA",IF($O74&gt;Hoje!$L$1,"Programada",IF($P74&gt;Hoje!$L$1,"Em execução","Fecha hoje"))))))))</f>
        <v>Concluída com atraso</v>
      </c>
      <c r="C74" s="41"/>
      <c r="D74" s="42" t="s">
        <v>229</v>
      </c>
      <c r="E74" s="42" t="s">
        <v>230</v>
      </c>
      <c r="F74" s="42" t="s">
        <v>240</v>
      </c>
      <c r="G74" s="43" t="s">
        <v>80</v>
      </c>
      <c r="H74" s="43" t="s">
        <v>81</v>
      </c>
      <c r="I74" s="44" t="s">
        <v>106</v>
      </c>
      <c r="J74" s="44" t="s">
        <v>107</v>
      </c>
      <c r="K74" s="44" t="s">
        <v>88</v>
      </c>
      <c r="L74" s="45" t="n">
        <v>35</v>
      </c>
      <c r="M74" s="46" t="s">
        <v>131</v>
      </c>
      <c r="N74" s="45" t="n">
        <v>4</v>
      </c>
      <c r="O74" s="47" t="n">
        <f aca="false">IF(OR($L74="",$M74=""),"",(DATE(Semana!$J$3,1,4)-WEEKDAY(DATE(Semana!$J$3,1,4),3))+($L74-1)*7+MATCH($M74,Listas!$F$5:$F$11,0)-1)</f>
        <v>46259</v>
      </c>
      <c r="P74" s="47" t="n">
        <f aca="false">IF(OR($F74="",$O74=""),"",$O74+MAX(0,ROUNDUP($AK74*MAX(1,IF($N74="",1,$N74))/MAX(1,$AL74),0)-1))</f>
        <v>46260</v>
      </c>
      <c r="Q74" s="48" t="n">
        <v>46260</v>
      </c>
      <c r="R74" s="43" t="s">
        <v>85</v>
      </c>
      <c r="S74" s="49"/>
      <c r="T74" s="42"/>
      <c r="U74" s="42" t="s">
        <v>232</v>
      </c>
      <c r="V74" s="39" t="str">
        <f aca="false">IF($F74="","",IF(ISNUMBER(SEARCH("(externo)",$I74&amp;$J74&amp;$K74)),"Terceirizada","Interna"))</f>
        <v>Interna</v>
      </c>
      <c r="W74" s="47" t="n">
        <f aca="false">IF($O74="","",IF($S74="",$O74,(DATE(Semana!$J$3,1,4)-WEEKDAY(DATE(Semana!$J$3,1,4),3))+($S74-1)*7+IF($M74="",0,MATCH($M74,Listas!$F$5:$F$11,0)-1)))</f>
        <v>46259</v>
      </c>
      <c r="X74" s="39" t="n">
        <f aca="false">IF($F74="","",IF(OR($AT74="",$O74=""),0,IF($AT74&lt;=$O74,1,0)))</f>
        <v>0</v>
      </c>
      <c r="Y74" s="39" t="n">
        <f aca="false">IF($F74="","",IF(OR($AT74="",$W74=""),0,IF($AT74&lt;=$W74,1,0)))</f>
        <v>0</v>
      </c>
      <c r="Z74" s="39" t="n">
        <f aca="false">IF(OR($AT74="",$O74=""),"",MAX(0,$AT74-$O74))</f>
        <v>1</v>
      </c>
      <c r="AA74" s="39" t="n">
        <f aca="false">IF($F74="","",IF(AND($S74&lt;&gt;"",$L74&lt;&gt;"",$S74&lt;&gt;$L74),1,0))</f>
        <v>0</v>
      </c>
      <c r="AB74" s="39" t="n">
        <f aca="false">IF($F74="","",IF($R74="Cancelada",0,IF(OR($AT74&lt;&gt;"",$R74="Concluída"),1,0)))</f>
        <v>1</v>
      </c>
      <c r="AC74" s="39" t="n">
        <f aca="false">IF($P74="",0,IF($P74&lt;Hoje!$L$1,1,IF(AND($P74=Hoje!$L$1,Hoje!$L$2&gt;Semana!$M$3),1,0)))</f>
        <v>1</v>
      </c>
      <c r="AD74" s="39" t="n">
        <f aca="false">IF($F74="","",IF(COUNTA($I74:$K74)=0,0,1/COUNTA($I74:$K74)))</f>
        <v>0.333333333333333</v>
      </c>
      <c r="AE74" s="39" t="str">
        <f aca="false">IF($AH74=0,"",SUM($AH$4:$AH74))</f>
        <v/>
      </c>
      <c r="AF74" s="39" t="str">
        <f aca="false">IF($AI74=0,"",SUM($AI$4:$AI74))</f>
        <v/>
      </c>
      <c r="AG74" s="50" t="str">
        <f aca="false">IF($F74="","",$I74&amp;IF($J74="",""," · "&amp;$J74)&amp;IF($K74="",""," · "&amp;$K74))</f>
        <v>Adilton · Gabriel · Júnior</v>
      </c>
      <c r="AH74" s="39" t="n">
        <f aca="false">IF(AND($F74&lt;&gt;"",$O74&lt;&gt;"",$O74&lt;=Hoje!$C$3,$P74&gt;=Hoje!$C$3,$R74&lt;&gt;"Cancelada"),1,0)</f>
        <v>0</v>
      </c>
      <c r="AI74" s="39" t="n">
        <f aca="false">IF(AND($F74&lt;&gt;"",$P74&lt;&gt;"",$P74&lt;Hoje!$C$3,$AB74=0,$R74&lt;&gt;"Cancelada"),1,0)</f>
        <v>0</v>
      </c>
      <c r="AJ74" s="50" t="str">
        <f aca="false">IF($F74="","",$D74&amp;"|"&amp;$E74&amp;"|"&amp;$L74)</f>
        <v>F-624|Baixa de pendências backlog|35</v>
      </c>
      <c r="AK74" s="39" t="n">
        <f aca="false">IF($AJ74="","",COUNTIF($AJ$4:$AJ74,$AJ74))</f>
        <v>7</v>
      </c>
      <c r="AL74" s="39" t="n">
        <f aca="false">IF($AJ74="","",COUNTIF($AJ$4:$AJ$1004,$AJ74))</f>
        <v>20</v>
      </c>
      <c r="AM74" s="42"/>
      <c r="AN74" s="50" t="str">
        <f aca="false">IF($D74="","",IFERROR(T(VLOOKUP($D74,Listas!$B$5:$H$120,7,0)),""))</f>
        <v/>
      </c>
      <c r="AO74" s="50" t="str">
        <f aca="false">IF(OR($F74="",$L74&lt;&gt;"",$R74="Cancelada",$AT74&lt;&gt;""),"",$AN74&amp;"|"&amp;$D74&amp;"|"&amp;IF($C74="","zzz",$C74)&amp;"|"&amp;TEXT(74,"0000"))</f>
        <v/>
      </c>
      <c r="AP74" s="50" t="str">
        <f aca="false">IF($AO74="","",COUNTIF($AO$5:$AO$1004,"&lt;"&amp;$AO74)-(ROWS($AO$5:$AO$1004)-Hoje!$L$5)+1)</f>
        <v/>
      </c>
      <c r="AQ74" s="50" t="n">
        <f aca="false">IF(AND($F74&lt;&gt;"",$D74=Frota!$C$3),1,0)</f>
        <v>0</v>
      </c>
      <c r="AR74" s="50" t="str">
        <f aca="false">IF($AQ74=0,"",SUM($AQ$4:$AQ74))</f>
        <v/>
      </c>
      <c r="AS74" s="50" t="str">
        <f aca="false">IFERROR(INDEX(Hoje!$K$10:$K$29,MATCH(ROW(),Hoje!$J$10:$J$29,0)),"")</f>
        <v/>
      </c>
      <c r="AT74" s="47" t="n">
        <f aca="false">IF($Q74&lt;&gt;"",$Q74,$AS74)</f>
        <v>46260</v>
      </c>
    </row>
    <row r="75" customFormat="false" ht="16.5" hidden="false" customHeight="true" outlineLevel="0" collapsed="false">
      <c r="A75" s="39" t="n">
        <f aca="false">IF($F75="","",ROW())</f>
        <v>75</v>
      </c>
      <c r="B75" s="40" t="str">
        <f aca="false">IF($F75="",IF($D75="","","Falta a atividade"),IF($R75="Cancelada","Cancelada",IF($AB75=1,IF(N($Z75)&gt;0,"Concluída com atraso","Concluída"),IF($R75="Em programação","Em programação",IF($O75="",IF($M75="","Na carteira","Falta a semana"),IF($AC75=1,"VENCIDA",IF($O75&gt;Hoje!$L$1,"Programada",IF($P75&gt;Hoje!$L$1,"Em execução","Fecha hoje"))))))))</f>
        <v>Concluída com atraso</v>
      </c>
      <c r="C75" s="41"/>
      <c r="D75" s="42" t="s">
        <v>229</v>
      </c>
      <c r="E75" s="42" t="s">
        <v>230</v>
      </c>
      <c r="F75" s="42" t="s">
        <v>241</v>
      </c>
      <c r="G75" s="43" t="s">
        <v>80</v>
      </c>
      <c r="H75" s="43" t="s">
        <v>81</v>
      </c>
      <c r="I75" s="44" t="s">
        <v>106</v>
      </c>
      <c r="J75" s="44" t="s">
        <v>107</v>
      </c>
      <c r="K75" s="44" t="s">
        <v>88</v>
      </c>
      <c r="L75" s="45" t="n">
        <v>35</v>
      </c>
      <c r="M75" s="46" t="s">
        <v>131</v>
      </c>
      <c r="N75" s="45" t="n">
        <v>4</v>
      </c>
      <c r="O75" s="47" t="n">
        <f aca="false">IF(OR($L75="",$M75=""),"",(DATE(Semana!$J$3,1,4)-WEEKDAY(DATE(Semana!$J$3,1,4),3))+($L75-1)*7+MATCH($M75,Listas!$F$5:$F$11,0)-1)</f>
        <v>46259</v>
      </c>
      <c r="P75" s="47" t="n">
        <f aca="false">IF(OR($F75="",$O75=""),"",$O75+MAX(0,ROUNDUP($AK75*MAX(1,IF($N75="",1,$N75))/MAX(1,$AL75),0)-1))</f>
        <v>46260</v>
      </c>
      <c r="Q75" s="48" t="n">
        <v>46260</v>
      </c>
      <c r="R75" s="43" t="s">
        <v>85</v>
      </c>
      <c r="S75" s="49"/>
      <c r="T75" s="42"/>
      <c r="U75" s="42" t="s">
        <v>232</v>
      </c>
      <c r="V75" s="39" t="str">
        <f aca="false">IF($F75="","",IF(ISNUMBER(SEARCH("(externo)",$I75&amp;$J75&amp;$K75)),"Terceirizada","Interna"))</f>
        <v>Interna</v>
      </c>
      <c r="W75" s="47" t="n">
        <f aca="false">IF($O75="","",IF($S75="",$O75,(DATE(Semana!$J$3,1,4)-WEEKDAY(DATE(Semana!$J$3,1,4),3))+($S75-1)*7+IF($M75="",0,MATCH($M75,Listas!$F$5:$F$11,0)-1)))</f>
        <v>46259</v>
      </c>
      <c r="X75" s="39" t="n">
        <f aca="false">IF($F75="","",IF(OR($AT75="",$O75=""),0,IF($AT75&lt;=$O75,1,0)))</f>
        <v>0</v>
      </c>
      <c r="Y75" s="39" t="n">
        <f aca="false">IF($F75="","",IF(OR($AT75="",$W75=""),0,IF($AT75&lt;=$W75,1,0)))</f>
        <v>0</v>
      </c>
      <c r="Z75" s="39" t="n">
        <f aca="false">IF(OR($AT75="",$O75=""),"",MAX(0,$AT75-$O75))</f>
        <v>1</v>
      </c>
      <c r="AA75" s="39" t="n">
        <f aca="false">IF($F75="","",IF(AND($S75&lt;&gt;"",$L75&lt;&gt;"",$S75&lt;&gt;$L75),1,0))</f>
        <v>0</v>
      </c>
      <c r="AB75" s="39" t="n">
        <f aca="false">IF($F75="","",IF($R75="Cancelada",0,IF(OR($AT75&lt;&gt;"",$R75="Concluída"),1,0)))</f>
        <v>1</v>
      </c>
      <c r="AC75" s="39" t="n">
        <f aca="false">IF($P75="",0,IF($P75&lt;Hoje!$L$1,1,IF(AND($P75=Hoje!$L$1,Hoje!$L$2&gt;Semana!$M$3),1,0)))</f>
        <v>1</v>
      </c>
      <c r="AD75" s="39" t="n">
        <f aca="false">IF($F75="","",IF(COUNTA($I75:$K75)=0,0,1/COUNTA($I75:$K75)))</f>
        <v>0.333333333333333</v>
      </c>
      <c r="AE75" s="39" t="str">
        <f aca="false">IF($AH75=0,"",SUM($AH$4:$AH75))</f>
        <v/>
      </c>
      <c r="AF75" s="39" t="str">
        <f aca="false">IF($AI75=0,"",SUM($AI$4:$AI75))</f>
        <v/>
      </c>
      <c r="AG75" s="50" t="str">
        <f aca="false">IF($F75="","",$I75&amp;IF($J75="",""," · "&amp;$J75)&amp;IF($K75="",""," · "&amp;$K75))</f>
        <v>Adilton · Gabriel · Júnior</v>
      </c>
      <c r="AH75" s="39" t="n">
        <f aca="false">IF(AND($F75&lt;&gt;"",$O75&lt;&gt;"",$O75&lt;=Hoje!$C$3,$P75&gt;=Hoje!$C$3,$R75&lt;&gt;"Cancelada"),1,0)</f>
        <v>0</v>
      </c>
      <c r="AI75" s="39" t="n">
        <f aca="false">IF(AND($F75&lt;&gt;"",$P75&lt;&gt;"",$P75&lt;Hoje!$C$3,$AB75=0,$R75&lt;&gt;"Cancelada"),1,0)</f>
        <v>0</v>
      </c>
      <c r="AJ75" s="50" t="str">
        <f aca="false">IF($F75="","",$D75&amp;"|"&amp;$E75&amp;"|"&amp;$L75)</f>
        <v>F-624|Baixa de pendências backlog|35</v>
      </c>
      <c r="AK75" s="39" t="n">
        <f aca="false">IF($AJ75="","",COUNTIF($AJ$4:$AJ75,$AJ75))</f>
        <v>8</v>
      </c>
      <c r="AL75" s="39" t="n">
        <f aca="false">IF($AJ75="","",COUNTIF($AJ$4:$AJ$1004,$AJ75))</f>
        <v>20</v>
      </c>
      <c r="AM75" s="42"/>
      <c r="AN75" s="50" t="str">
        <f aca="false">IF($D75="","",IFERROR(T(VLOOKUP($D75,Listas!$B$5:$H$120,7,0)),""))</f>
        <v/>
      </c>
      <c r="AO75" s="50" t="str">
        <f aca="false">IF(OR($F75="",$L75&lt;&gt;"",$R75="Cancelada",$AT75&lt;&gt;""),"",$AN75&amp;"|"&amp;$D75&amp;"|"&amp;IF($C75="","zzz",$C75)&amp;"|"&amp;TEXT(75,"0000"))</f>
        <v/>
      </c>
      <c r="AP75" s="50" t="str">
        <f aca="false">IF($AO75="","",COUNTIF($AO$5:$AO$1004,"&lt;"&amp;$AO75)-(ROWS($AO$5:$AO$1004)-Hoje!$L$5)+1)</f>
        <v/>
      </c>
      <c r="AQ75" s="50" t="n">
        <f aca="false">IF(AND($F75&lt;&gt;"",$D75=Frota!$C$3),1,0)</f>
        <v>0</v>
      </c>
      <c r="AR75" s="50" t="str">
        <f aca="false">IF($AQ75=0,"",SUM($AQ$4:$AQ75))</f>
        <v/>
      </c>
      <c r="AS75" s="50" t="str">
        <f aca="false">IFERROR(INDEX(Hoje!$K$10:$K$29,MATCH(ROW(),Hoje!$J$10:$J$29,0)),"")</f>
        <v/>
      </c>
      <c r="AT75" s="47" t="n">
        <f aca="false">IF($Q75&lt;&gt;"",$Q75,$AS75)</f>
        <v>46260</v>
      </c>
    </row>
    <row r="76" customFormat="false" ht="16.5" hidden="false" customHeight="true" outlineLevel="0" collapsed="false">
      <c r="A76" s="39" t="n">
        <f aca="false">IF($F76="","",ROW())</f>
        <v>76</v>
      </c>
      <c r="B76" s="40" t="str">
        <f aca="false">IF($F76="",IF($D76="","","Falta a atividade"),IF($R76="Cancelada","Cancelada",IF($AB76=1,IF(N($Z76)&gt;0,"Concluída com atraso","Concluída"),IF($R76="Em programação","Em programação",IF($O76="",IF($M76="","Na carteira","Falta a semana"),IF($AC76=1,"VENCIDA",IF($O76&gt;Hoje!$L$1,"Programada",IF($P76&gt;Hoje!$L$1,"Em execução","Fecha hoje"))))))))</f>
        <v>Concluída com atraso</v>
      </c>
      <c r="C76" s="41"/>
      <c r="D76" s="42" t="s">
        <v>229</v>
      </c>
      <c r="E76" s="42" t="s">
        <v>230</v>
      </c>
      <c r="F76" s="42" t="s">
        <v>242</v>
      </c>
      <c r="G76" s="43" t="s">
        <v>80</v>
      </c>
      <c r="H76" s="43" t="s">
        <v>81</v>
      </c>
      <c r="I76" s="44" t="s">
        <v>106</v>
      </c>
      <c r="J76" s="44" t="s">
        <v>107</v>
      </c>
      <c r="K76" s="44" t="s">
        <v>88</v>
      </c>
      <c r="L76" s="45" t="n">
        <v>35</v>
      </c>
      <c r="M76" s="46" t="s">
        <v>131</v>
      </c>
      <c r="N76" s="45" t="n">
        <v>4</v>
      </c>
      <c r="O76" s="47" t="n">
        <f aca="false">IF(OR($L76="",$M76=""),"",(DATE(Semana!$J$3,1,4)-WEEKDAY(DATE(Semana!$J$3,1,4),3))+($L76-1)*7+MATCH($M76,Listas!$F$5:$F$11,0)-1)</f>
        <v>46259</v>
      </c>
      <c r="P76" s="47" t="n">
        <f aca="false">IF(OR($F76="",$O76=""),"",$O76+MAX(0,ROUNDUP($AK76*MAX(1,IF($N76="",1,$N76))/MAX(1,$AL76),0)-1))</f>
        <v>46260</v>
      </c>
      <c r="Q76" s="48" t="n">
        <v>46260</v>
      </c>
      <c r="R76" s="43" t="s">
        <v>85</v>
      </c>
      <c r="S76" s="49"/>
      <c r="T76" s="42"/>
      <c r="U76" s="42" t="s">
        <v>232</v>
      </c>
      <c r="V76" s="39" t="str">
        <f aca="false">IF($F76="","",IF(ISNUMBER(SEARCH("(externo)",$I76&amp;$J76&amp;$K76)),"Terceirizada","Interna"))</f>
        <v>Interna</v>
      </c>
      <c r="W76" s="47" t="n">
        <f aca="false">IF($O76="","",IF($S76="",$O76,(DATE(Semana!$J$3,1,4)-WEEKDAY(DATE(Semana!$J$3,1,4),3))+($S76-1)*7+IF($M76="",0,MATCH($M76,Listas!$F$5:$F$11,0)-1)))</f>
        <v>46259</v>
      </c>
      <c r="X76" s="39" t="n">
        <f aca="false">IF($F76="","",IF(OR($AT76="",$O76=""),0,IF($AT76&lt;=$O76,1,0)))</f>
        <v>0</v>
      </c>
      <c r="Y76" s="39" t="n">
        <f aca="false">IF($F76="","",IF(OR($AT76="",$W76=""),0,IF($AT76&lt;=$W76,1,0)))</f>
        <v>0</v>
      </c>
      <c r="Z76" s="39" t="n">
        <f aca="false">IF(OR($AT76="",$O76=""),"",MAX(0,$AT76-$O76))</f>
        <v>1</v>
      </c>
      <c r="AA76" s="39" t="n">
        <f aca="false">IF($F76="","",IF(AND($S76&lt;&gt;"",$L76&lt;&gt;"",$S76&lt;&gt;$L76),1,0))</f>
        <v>0</v>
      </c>
      <c r="AB76" s="39" t="n">
        <f aca="false">IF($F76="","",IF($R76="Cancelada",0,IF(OR($AT76&lt;&gt;"",$R76="Concluída"),1,0)))</f>
        <v>1</v>
      </c>
      <c r="AC76" s="39" t="n">
        <f aca="false">IF($P76="",0,IF($P76&lt;Hoje!$L$1,1,IF(AND($P76=Hoje!$L$1,Hoje!$L$2&gt;Semana!$M$3),1,0)))</f>
        <v>1</v>
      </c>
      <c r="AD76" s="39" t="n">
        <f aca="false">IF($F76="","",IF(COUNTA($I76:$K76)=0,0,1/COUNTA($I76:$K76)))</f>
        <v>0.333333333333333</v>
      </c>
      <c r="AE76" s="39" t="str">
        <f aca="false">IF($AH76=0,"",SUM($AH$4:$AH76))</f>
        <v/>
      </c>
      <c r="AF76" s="39" t="str">
        <f aca="false">IF($AI76=0,"",SUM($AI$4:$AI76))</f>
        <v/>
      </c>
      <c r="AG76" s="50" t="str">
        <f aca="false">IF($F76="","",$I76&amp;IF($J76="",""," · "&amp;$J76)&amp;IF($K76="",""," · "&amp;$K76))</f>
        <v>Adilton · Gabriel · Júnior</v>
      </c>
      <c r="AH76" s="39" t="n">
        <f aca="false">IF(AND($F76&lt;&gt;"",$O76&lt;&gt;"",$O76&lt;=Hoje!$C$3,$P76&gt;=Hoje!$C$3,$R76&lt;&gt;"Cancelada"),1,0)</f>
        <v>0</v>
      </c>
      <c r="AI76" s="39" t="n">
        <f aca="false">IF(AND($F76&lt;&gt;"",$P76&lt;&gt;"",$P76&lt;Hoje!$C$3,$AB76=0,$R76&lt;&gt;"Cancelada"),1,0)</f>
        <v>0</v>
      </c>
      <c r="AJ76" s="50" t="str">
        <f aca="false">IF($F76="","",$D76&amp;"|"&amp;$E76&amp;"|"&amp;$L76)</f>
        <v>F-624|Baixa de pendências backlog|35</v>
      </c>
      <c r="AK76" s="39" t="n">
        <f aca="false">IF($AJ76="","",COUNTIF($AJ$4:$AJ76,$AJ76))</f>
        <v>9</v>
      </c>
      <c r="AL76" s="39" t="n">
        <f aca="false">IF($AJ76="","",COUNTIF($AJ$4:$AJ$1004,$AJ76))</f>
        <v>20</v>
      </c>
      <c r="AM76" s="42"/>
      <c r="AN76" s="50" t="str">
        <f aca="false">IF($D76="","",IFERROR(T(VLOOKUP($D76,Listas!$B$5:$H$120,7,0)),""))</f>
        <v/>
      </c>
      <c r="AO76" s="50" t="str">
        <f aca="false">IF(OR($F76="",$L76&lt;&gt;"",$R76="Cancelada",$AT76&lt;&gt;""),"",$AN76&amp;"|"&amp;$D76&amp;"|"&amp;IF($C76="","zzz",$C76)&amp;"|"&amp;TEXT(76,"0000"))</f>
        <v/>
      </c>
      <c r="AP76" s="50" t="str">
        <f aca="false">IF($AO76="","",COUNTIF($AO$5:$AO$1004,"&lt;"&amp;$AO76)-(ROWS($AO$5:$AO$1004)-Hoje!$L$5)+1)</f>
        <v/>
      </c>
      <c r="AQ76" s="50" t="n">
        <f aca="false">IF(AND($F76&lt;&gt;"",$D76=Frota!$C$3),1,0)</f>
        <v>0</v>
      </c>
      <c r="AR76" s="50" t="str">
        <f aca="false">IF($AQ76=0,"",SUM($AQ$4:$AQ76))</f>
        <v/>
      </c>
      <c r="AS76" s="50" t="str">
        <f aca="false">IFERROR(INDEX(Hoje!$K$10:$K$29,MATCH(ROW(),Hoje!$J$10:$J$29,0)),"")</f>
        <v/>
      </c>
      <c r="AT76" s="47" t="n">
        <f aca="false">IF($Q76&lt;&gt;"",$Q76,$AS76)</f>
        <v>46260</v>
      </c>
    </row>
    <row r="77" customFormat="false" ht="16.5" hidden="false" customHeight="true" outlineLevel="0" collapsed="false">
      <c r="A77" s="39" t="n">
        <f aca="false">IF($F77="","",ROW())</f>
        <v>77</v>
      </c>
      <c r="B77" s="40" t="str">
        <f aca="false">IF($F77="",IF($D77="","","Falta a atividade"),IF($R77="Cancelada","Cancelada",IF($AB77=1,IF(N($Z77)&gt;0,"Concluída com atraso","Concluída"),IF($R77="Em programação","Em programação",IF($O77="",IF($M77="","Na carteira","Falta a semana"),IF($AC77=1,"VENCIDA",IF($O77&gt;Hoje!$L$1,"Programada",IF($P77&gt;Hoje!$L$1,"Em execução","Fecha hoje"))))))))</f>
        <v>Concluída com atraso</v>
      </c>
      <c r="C77" s="41"/>
      <c r="D77" s="42" t="s">
        <v>229</v>
      </c>
      <c r="E77" s="42" t="s">
        <v>230</v>
      </c>
      <c r="F77" s="42" t="s">
        <v>243</v>
      </c>
      <c r="G77" s="43" t="s">
        <v>80</v>
      </c>
      <c r="H77" s="43" t="s">
        <v>81</v>
      </c>
      <c r="I77" s="44" t="s">
        <v>106</v>
      </c>
      <c r="J77" s="44" t="s">
        <v>107</v>
      </c>
      <c r="K77" s="44" t="s">
        <v>88</v>
      </c>
      <c r="L77" s="45" t="n">
        <v>35</v>
      </c>
      <c r="M77" s="46" t="s">
        <v>131</v>
      </c>
      <c r="N77" s="45" t="n">
        <v>4</v>
      </c>
      <c r="O77" s="47" t="n">
        <f aca="false">IF(OR($L77="",$M77=""),"",(DATE(Semana!$J$3,1,4)-WEEKDAY(DATE(Semana!$J$3,1,4),3))+($L77-1)*7+MATCH($M77,Listas!$F$5:$F$11,0)-1)</f>
        <v>46259</v>
      </c>
      <c r="P77" s="47" t="n">
        <f aca="false">IF(OR($F77="",$O77=""),"",$O77+MAX(0,ROUNDUP($AK77*MAX(1,IF($N77="",1,$N77))/MAX(1,$AL77),0)-1))</f>
        <v>46260</v>
      </c>
      <c r="Q77" s="48" t="n">
        <v>46260</v>
      </c>
      <c r="R77" s="43" t="s">
        <v>85</v>
      </c>
      <c r="S77" s="49"/>
      <c r="T77" s="42"/>
      <c r="U77" s="42" t="s">
        <v>232</v>
      </c>
      <c r="V77" s="39" t="str">
        <f aca="false">IF($F77="","",IF(ISNUMBER(SEARCH("(externo)",$I77&amp;$J77&amp;$K77)),"Terceirizada","Interna"))</f>
        <v>Interna</v>
      </c>
      <c r="W77" s="47" t="n">
        <f aca="false">IF($O77="","",IF($S77="",$O77,(DATE(Semana!$J$3,1,4)-WEEKDAY(DATE(Semana!$J$3,1,4),3))+($S77-1)*7+IF($M77="",0,MATCH($M77,Listas!$F$5:$F$11,0)-1)))</f>
        <v>46259</v>
      </c>
      <c r="X77" s="39" t="n">
        <f aca="false">IF($F77="","",IF(OR($AT77="",$O77=""),0,IF($AT77&lt;=$O77,1,0)))</f>
        <v>0</v>
      </c>
      <c r="Y77" s="39" t="n">
        <f aca="false">IF($F77="","",IF(OR($AT77="",$W77=""),0,IF($AT77&lt;=$W77,1,0)))</f>
        <v>0</v>
      </c>
      <c r="Z77" s="39" t="n">
        <f aca="false">IF(OR($AT77="",$O77=""),"",MAX(0,$AT77-$O77))</f>
        <v>1</v>
      </c>
      <c r="AA77" s="39" t="n">
        <f aca="false">IF($F77="","",IF(AND($S77&lt;&gt;"",$L77&lt;&gt;"",$S77&lt;&gt;$L77),1,0))</f>
        <v>0</v>
      </c>
      <c r="AB77" s="39" t="n">
        <f aca="false">IF($F77="","",IF($R77="Cancelada",0,IF(OR($AT77&lt;&gt;"",$R77="Concluída"),1,0)))</f>
        <v>1</v>
      </c>
      <c r="AC77" s="39" t="n">
        <f aca="false">IF($P77="",0,IF($P77&lt;Hoje!$L$1,1,IF(AND($P77=Hoje!$L$1,Hoje!$L$2&gt;Semana!$M$3),1,0)))</f>
        <v>1</v>
      </c>
      <c r="AD77" s="39" t="n">
        <f aca="false">IF($F77="","",IF(COUNTA($I77:$K77)=0,0,1/COUNTA($I77:$K77)))</f>
        <v>0.333333333333333</v>
      </c>
      <c r="AE77" s="39" t="str">
        <f aca="false">IF($AH77=0,"",SUM($AH$4:$AH77))</f>
        <v/>
      </c>
      <c r="AF77" s="39" t="str">
        <f aca="false">IF($AI77=0,"",SUM($AI$4:$AI77))</f>
        <v/>
      </c>
      <c r="AG77" s="50" t="str">
        <f aca="false">IF($F77="","",$I77&amp;IF($J77="",""," · "&amp;$J77)&amp;IF($K77="",""," · "&amp;$K77))</f>
        <v>Adilton · Gabriel · Júnior</v>
      </c>
      <c r="AH77" s="39" t="n">
        <f aca="false">IF(AND($F77&lt;&gt;"",$O77&lt;&gt;"",$O77&lt;=Hoje!$C$3,$P77&gt;=Hoje!$C$3,$R77&lt;&gt;"Cancelada"),1,0)</f>
        <v>0</v>
      </c>
      <c r="AI77" s="39" t="n">
        <f aca="false">IF(AND($F77&lt;&gt;"",$P77&lt;&gt;"",$P77&lt;Hoje!$C$3,$AB77=0,$R77&lt;&gt;"Cancelada"),1,0)</f>
        <v>0</v>
      </c>
      <c r="AJ77" s="50" t="str">
        <f aca="false">IF($F77="","",$D77&amp;"|"&amp;$E77&amp;"|"&amp;$L77)</f>
        <v>F-624|Baixa de pendências backlog|35</v>
      </c>
      <c r="AK77" s="39" t="n">
        <f aca="false">IF($AJ77="","",COUNTIF($AJ$4:$AJ77,$AJ77))</f>
        <v>10</v>
      </c>
      <c r="AL77" s="39" t="n">
        <f aca="false">IF($AJ77="","",COUNTIF($AJ$4:$AJ$1004,$AJ77))</f>
        <v>20</v>
      </c>
      <c r="AM77" s="42"/>
      <c r="AN77" s="50" t="str">
        <f aca="false">IF($D77="","",IFERROR(T(VLOOKUP($D77,Listas!$B$5:$H$120,7,0)),""))</f>
        <v/>
      </c>
      <c r="AO77" s="50" t="str">
        <f aca="false">IF(OR($F77="",$L77&lt;&gt;"",$R77="Cancelada",$AT77&lt;&gt;""),"",$AN77&amp;"|"&amp;$D77&amp;"|"&amp;IF($C77="","zzz",$C77)&amp;"|"&amp;TEXT(77,"0000"))</f>
        <v/>
      </c>
      <c r="AP77" s="50" t="str">
        <f aca="false">IF($AO77="","",COUNTIF($AO$5:$AO$1004,"&lt;"&amp;$AO77)-(ROWS($AO$5:$AO$1004)-Hoje!$L$5)+1)</f>
        <v/>
      </c>
      <c r="AQ77" s="50" t="n">
        <f aca="false">IF(AND($F77&lt;&gt;"",$D77=Frota!$C$3),1,0)</f>
        <v>0</v>
      </c>
      <c r="AR77" s="50" t="str">
        <f aca="false">IF($AQ77=0,"",SUM($AQ$4:$AQ77))</f>
        <v/>
      </c>
      <c r="AS77" s="50" t="str">
        <f aca="false">IFERROR(INDEX(Hoje!$K$10:$K$29,MATCH(ROW(),Hoje!$J$10:$J$29,0)),"")</f>
        <v/>
      </c>
      <c r="AT77" s="47" t="n">
        <f aca="false">IF($Q77&lt;&gt;"",$Q77,$AS77)</f>
        <v>46260</v>
      </c>
    </row>
    <row r="78" customFormat="false" ht="16.5" hidden="false" customHeight="true" outlineLevel="0" collapsed="false">
      <c r="A78" s="39" t="n">
        <f aca="false">IF($F78="","",ROW())</f>
        <v>78</v>
      </c>
      <c r="B78" s="40" t="str">
        <f aca="false">IF($F78="",IF($D78="","","Falta a atividade"),IF($R78="Cancelada","Cancelada",IF($AB78=1,IF(N($Z78)&gt;0,"Concluída com atraso","Concluída"),IF($R78="Em programação","Em programação",IF($O78="",IF($M78="","Na carteira","Falta a semana"),IF($AC78=1,"VENCIDA",IF($O78&gt;Hoje!$L$1,"Programada",IF($P78&gt;Hoje!$L$1,"Em execução","Fecha hoje"))))))))</f>
        <v>Concluída</v>
      </c>
      <c r="C78" s="41"/>
      <c r="D78" s="42" t="s">
        <v>229</v>
      </c>
      <c r="E78" s="42" t="s">
        <v>230</v>
      </c>
      <c r="F78" s="42" t="s">
        <v>244</v>
      </c>
      <c r="G78" s="43" t="s">
        <v>80</v>
      </c>
      <c r="H78" s="43" t="s">
        <v>81</v>
      </c>
      <c r="I78" s="44" t="s">
        <v>106</v>
      </c>
      <c r="J78" s="44" t="s">
        <v>107</v>
      </c>
      <c r="K78" s="44" t="s">
        <v>88</v>
      </c>
      <c r="L78" s="45" t="n">
        <v>35</v>
      </c>
      <c r="M78" s="46" t="s">
        <v>84</v>
      </c>
      <c r="N78" s="45" t="n">
        <v>4</v>
      </c>
      <c r="O78" s="47" t="n">
        <f aca="false">IF(OR($L78="",$M78=""),"",(DATE(Semana!$J$3,1,4)-WEEKDAY(DATE(Semana!$J$3,1,4),3))+($L78-1)*7+MATCH($M78,Listas!$F$5:$F$11,0)-1)</f>
        <v>46260</v>
      </c>
      <c r="P78" s="47" t="n">
        <f aca="false">IF(OR($F78="",$O78=""),"",$O78+MAX(0,ROUNDUP($AK78*MAX(1,IF($N78="",1,$N78))/MAX(1,$AL78),0)-1))</f>
        <v>46262</v>
      </c>
      <c r="Q78" s="48" t="n">
        <v>46260</v>
      </c>
      <c r="R78" s="43" t="s">
        <v>85</v>
      </c>
      <c r="S78" s="49"/>
      <c r="T78" s="42"/>
      <c r="U78" s="42" t="s">
        <v>232</v>
      </c>
      <c r="V78" s="39" t="str">
        <f aca="false">IF($F78="","",IF(ISNUMBER(SEARCH("(externo)",$I78&amp;$J78&amp;$K78)),"Terceirizada","Interna"))</f>
        <v>Interna</v>
      </c>
      <c r="W78" s="47" t="n">
        <f aca="false">IF($O78="","",IF($S78="",$O78,(DATE(Semana!$J$3,1,4)-WEEKDAY(DATE(Semana!$J$3,1,4),3))+($S78-1)*7+IF($M78="",0,MATCH($M78,Listas!$F$5:$F$11,0)-1)))</f>
        <v>46260</v>
      </c>
      <c r="X78" s="39" t="n">
        <f aca="false">IF($F78="","",IF(OR($AT78="",$O78=""),0,IF($AT78&lt;=$O78,1,0)))</f>
        <v>1</v>
      </c>
      <c r="Y78" s="39" t="n">
        <f aca="false">IF($F78="","",IF(OR($AT78="",$W78=""),0,IF($AT78&lt;=$W78,1,0)))</f>
        <v>1</v>
      </c>
      <c r="Z78" s="39" t="n">
        <f aca="false">IF(OR($AT78="",$O78=""),"",MAX(0,$AT78-$O78))</f>
        <v>0</v>
      </c>
      <c r="AA78" s="39" t="n">
        <f aca="false">IF($F78="","",IF(AND($S78&lt;&gt;"",$L78&lt;&gt;"",$S78&lt;&gt;$L78),1,0))</f>
        <v>0</v>
      </c>
      <c r="AB78" s="39" t="n">
        <f aca="false">IF($F78="","",IF($R78="Cancelada",0,IF(OR($AT78&lt;&gt;"",$R78="Concluída"),1,0)))</f>
        <v>1</v>
      </c>
      <c r="AC78" s="39" t="n">
        <f aca="false">IF($P78="",0,IF($P78&lt;Hoje!$L$1,1,IF(AND($P78=Hoje!$L$1,Hoje!$L$2&gt;Semana!$M$3),1,0)))</f>
        <v>1</v>
      </c>
      <c r="AD78" s="39" t="n">
        <f aca="false">IF($F78="","",IF(COUNTA($I78:$K78)=0,0,1/COUNTA($I78:$K78)))</f>
        <v>0.333333333333333</v>
      </c>
      <c r="AE78" s="39" t="str">
        <f aca="false">IF($AH78=0,"",SUM($AH$4:$AH78))</f>
        <v/>
      </c>
      <c r="AF78" s="39" t="str">
        <f aca="false">IF($AI78=0,"",SUM($AI$4:$AI78))</f>
        <v/>
      </c>
      <c r="AG78" s="50" t="str">
        <f aca="false">IF($F78="","",$I78&amp;IF($J78="",""," · "&amp;$J78)&amp;IF($K78="",""," · "&amp;$K78))</f>
        <v>Adilton · Gabriel · Júnior</v>
      </c>
      <c r="AH78" s="39" t="n">
        <f aca="false">IF(AND($F78&lt;&gt;"",$O78&lt;&gt;"",$O78&lt;=Hoje!$C$3,$P78&gt;=Hoje!$C$3,$R78&lt;&gt;"Cancelada"),1,0)</f>
        <v>0</v>
      </c>
      <c r="AI78" s="39" t="n">
        <f aca="false">IF(AND($F78&lt;&gt;"",$P78&lt;&gt;"",$P78&lt;Hoje!$C$3,$AB78=0,$R78&lt;&gt;"Cancelada"),1,0)</f>
        <v>0</v>
      </c>
      <c r="AJ78" s="50" t="str">
        <f aca="false">IF($F78="","",$D78&amp;"|"&amp;$E78&amp;"|"&amp;$L78)</f>
        <v>F-624|Baixa de pendências backlog|35</v>
      </c>
      <c r="AK78" s="39" t="n">
        <f aca="false">IF($AJ78="","",COUNTIF($AJ$4:$AJ78,$AJ78))</f>
        <v>11</v>
      </c>
      <c r="AL78" s="39" t="n">
        <f aca="false">IF($AJ78="","",COUNTIF($AJ$4:$AJ$1004,$AJ78))</f>
        <v>20</v>
      </c>
      <c r="AM78" s="42"/>
      <c r="AN78" s="50" t="str">
        <f aca="false">IF($D78="","",IFERROR(T(VLOOKUP($D78,Listas!$B$5:$H$120,7,0)),""))</f>
        <v/>
      </c>
      <c r="AO78" s="50" t="str">
        <f aca="false">IF(OR($F78="",$L78&lt;&gt;"",$R78="Cancelada",$AT78&lt;&gt;""),"",$AN78&amp;"|"&amp;$D78&amp;"|"&amp;IF($C78="","zzz",$C78)&amp;"|"&amp;TEXT(78,"0000"))</f>
        <v/>
      </c>
      <c r="AP78" s="50" t="str">
        <f aca="false">IF($AO78="","",COUNTIF($AO$5:$AO$1004,"&lt;"&amp;$AO78)-(ROWS($AO$5:$AO$1004)-Hoje!$L$5)+1)</f>
        <v/>
      </c>
      <c r="AQ78" s="50" t="n">
        <f aca="false">IF(AND($F78&lt;&gt;"",$D78=Frota!$C$3),1,0)</f>
        <v>0</v>
      </c>
      <c r="AR78" s="50" t="str">
        <f aca="false">IF($AQ78=0,"",SUM($AQ$4:$AQ78))</f>
        <v/>
      </c>
      <c r="AS78" s="50" t="str">
        <f aca="false">IFERROR(INDEX(Hoje!$K$10:$K$29,MATCH(ROW(),Hoje!$J$10:$J$29,0)),"")</f>
        <v/>
      </c>
      <c r="AT78" s="47" t="n">
        <f aca="false">IF($Q78&lt;&gt;"",$Q78,$AS78)</f>
        <v>46260</v>
      </c>
    </row>
    <row r="79" customFormat="false" ht="16.5" hidden="false" customHeight="true" outlineLevel="0" collapsed="false">
      <c r="A79" s="39" t="n">
        <f aca="false">IF($F79="","",ROW())</f>
        <v>79</v>
      </c>
      <c r="B79" s="40" t="str">
        <f aca="false">IF($F79="",IF($D79="","","Falta a atividade"),IF($R79="Cancelada","Cancelada",IF($AB79=1,IF(N($Z79)&gt;0,"Concluída com atraso","Concluída"),IF($R79="Em programação","Em programação",IF($O79="",IF($M79="","Na carteira","Falta a semana"),IF($AC79=1,"VENCIDA",IF($O79&gt;Hoje!$L$1,"Programada",IF($P79&gt;Hoje!$L$1,"Em execução","Fecha hoje"))))))))</f>
        <v>Concluída</v>
      </c>
      <c r="C79" s="41"/>
      <c r="D79" s="42" t="s">
        <v>229</v>
      </c>
      <c r="E79" s="42" t="s">
        <v>230</v>
      </c>
      <c r="F79" s="42" t="s">
        <v>245</v>
      </c>
      <c r="G79" s="43" t="s">
        <v>80</v>
      </c>
      <c r="H79" s="43" t="s">
        <v>81</v>
      </c>
      <c r="I79" s="44" t="s">
        <v>106</v>
      </c>
      <c r="J79" s="44" t="s">
        <v>107</v>
      </c>
      <c r="K79" s="44" t="s">
        <v>88</v>
      </c>
      <c r="L79" s="45" t="n">
        <v>35</v>
      </c>
      <c r="M79" s="46" t="s">
        <v>84</v>
      </c>
      <c r="N79" s="45" t="n">
        <v>4</v>
      </c>
      <c r="O79" s="47" t="n">
        <f aca="false">IF(OR($L79="",$M79=""),"",(DATE(Semana!$J$3,1,4)-WEEKDAY(DATE(Semana!$J$3,1,4),3))+($L79-1)*7+MATCH($M79,Listas!$F$5:$F$11,0)-1)</f>
        <v>46260</v>
      </c>
      <c r="P79" s="47" t="n">
        <f aca="false">IF(OR($F79="",$O79=""),"",$O79+MAX(0,ROUNDUP($AK79*MAX(1,IF($N79="",1,$N79))/MAX(1,$AL79),0)-1))</f>
        <v>46262</v>
      </c>
      <c r="Q79" s="48" t="n">
        <v>46260</v>
      </c>
      <c r="R79" s="43" t="s">
        <v>85</v>
      </c>
      <c r="S79" s="49"/>
      <c r="T79" s="42"/>
      <c r="U79" s="42" t="s">
        <v>232</v>
      </c>
      <c r="V79" s="39" t="str">
        <f aca="false">IF($F79="","",IF(ISNUMBER(SEARCH("(externo)",$I79&amp;$J79&amp;$K79)),"Terceirizada","Interna"))</f>
        <v>Interna</v>
      </c>
      <c r="W79" s="47" t="n">
        <f aca="false">IF($O79="","",IF($S79="",$O79,(DATE(Semana!$J$3,1,4)-WEEKDAY(DATE(Semana!$J$3,1,4),3))+($S79-1)*7+IF($M79="",0,MATCH($M79,Listas!$F$5:$F$11,0)-1)))</f>
        <v>46260</v>
      </c>
      <c r="X79" s="39" t="n">
        <f aca="false">IF($F79="","",IF(OR($AT79="",$O79=""),0,IF($AT79&lt;=$O79,1,0)))</f>
        <v>1</v>
      </c>
      <c r="Y79" s="39" t="n">
        <f aca="false">IF($F79="","",IF(OR($AT79="",$W79=""),0,IF($AT79&lt;=$W79,1,0)))</f>
        <v>1</v>
      </c>
      <c r="Z79" s="39" t="n">
        <f aca="false">IF(OR($AT79="",$O79=""),"",MAX(0,$AT79-$O79))</f>
        <v>0</v>
      </c>
      <c r="AA79" s="39" t="n">
        <f aca="false">IF($F79="","",IF(AND($S79&lt;&gt;"",$L79&lt;&gt;"",$S79&lt;&gt;$L79),1,0))</f>
        <v>0</v>
      </c>
      <c r="AB79" s="39" t="n">
        <f aca="false">IF($F79="","",IF($R79="Cancelada",0,IF(OR($AT79&lt;&gt;"",$R79="Concluída"),1,0)))</f>
        <v>1</v>
      </c>
      <c r="AC79" s="39" t="n">
        <f aca="false">IF($P79="",0,IF($P79&lt;Hoje!$L$1,1,IF(AND($P79=Hoje!$L$1,Hoje!$L$2&gt;Semana!$M$3),1,0)))</f>
        <v>1</v>
      </c>
      <c r="AD79" s="39" t="n">
        <f aca="false">IF($F79="","",IF(COUNTA($I79:$K79)=0,0,1/COUNTA($I79:$K79)))</f>
        <v>0.333333333333333</v>
      </c>
      <c r="AE79" s="39" t="str">
        <f aca="false">IF($AH79=0,"",SUM($AH$4:$AH79))</f>
        <v/>
      </c>
      <c r="AF79" s="39" t="str">
        <f aca="false">IF($AI79=0,"",SUM($AI$4:$AI79))</f>
        <v/>
      </c>
      <c r="AG79" s="50" t="str">
        <f aca="false">IF($F79="","",$I79&amp;IF($J79="",""," · "&amp;$J79)&amp;IF($K79="",""," · "&amp;$K79))</f>
        <v>Adilton · Gabriel · Júnior</v>
      </c>
      <c r="AH79" s="39" t="n">
        <f aca="false">IF(AND($F79&lt;&gt;"",$O79&lt;&gt;"",$O79&lt;=Hoje!$C$3,$P79&gt;=Hoje!$C$3,$R79&lt;&gt;"Cancelada"),1,0)</f>
        <v>0</v>
      </c>
      <c r="AI79" s="39" t="n">
        <f aca="false">IF(AND($F79&lt;&gt;"",$P79&lt;&gt;"",$P79&lt;Hoje!$C$3,$AB79=0,$R79&lt;&gt;"Cancelada"),1,0)</f>
        <v>0</v>
      </c>
      <c r="AJ79" s="50" t="str">
        <f aca="false">IF($F79="","",$D79&amp;"|"&amp;$E79&amp;"|"&amp;$L79)</f>
        <v>F-624|Baixa de pendências backlog|35</v>
      </c>
      <c r="AK79" s="39" t="n">
        <f aca="false">IF($AJ79="","",COUNTIF($AJ$4:$AJ79,$AJ79))</f>
        <v>12</v>
      </c>
      <c r="AL79" s="39" t="n">
        <f aca="false">IF($AJ79="","",COUNTIF($AJ$4:$AJ$1004,$AJ79))</f>
        <v>20</v>
      </c>
      <c r="AM79" s="42"/>
      <c r="AN79" s="50" t="str">
        <f aca="false">IF($D79="","",IFERROR(T(VLOOKUP($D79,Listas!$B$5:$H$120,7,0)),""))</f>
        <v/>
      </c>
      <c r="AO79" s="50" t="str">
        <f aca="false">IF(OR($F79="",$L79&lt;&gt;"",$R79="Cancelada",$AT79&lt;&gt;""),"",$AN79&amp;"|"&amp;$D79&amp;"|"&amp;IF($C79="","zzz",$C79)&amp;"|"&amp;TEXT(79,"0000"))</f>
        <v/>
      </c>
      <c r="AP79" s="50" t="str">
        <f aca="false">IF($AO79="","",COUNTIF($AO$5:$AO$1004,"&lt;"&amp;$AO79)-(ROWS($AO$5:$AO$1004)-Hoje!$L$5)+1)</f>
        <v/>
      </c>
      <c r="AQ79" s="50" t="n">
        <f aca="false">IF(AND($F79&lt;&gt;"",$D79=Frota!$C$3),1,0)</f>
        <v>0</v>
      </c>
      <c r="AR79" s="50" t="str">
        <f aca="false">IF($AQ79=0,"",SUM($AQ$4:$AQ79))</f>
        <v/>
      </c>
      <c r="AS79" s="50" t="str">
        <f aca="false">IFERROR(INDEX(Hoje!$K$10:$K$29,MATCH(ROW(),Hoje!$J$10:$J$29,0)),"")</f>
        <v/>
      </c>
      <c r="AT79" s="47" t="n">
        <f aca="false">IF($Q79&lt;&gt;"",$Q79,$AS79)</f>
        <v>46260</v>
      </c>
    </row>
    <row r="80" customFormat="false" ht="16.5" hidden="false" customHeight="true" outlineLevel="0" collapsed="false">
      <c r="A80" s="39" t="n">
        <f aca="false">IF($F80="","",ROW())</f>
        <v>80</v>
      </c>
      <c r="B80" s="40" t="str">
        <f aca="false">IF($F80="",IF($D80="","","Falta a atividade"),IF($R80="Cancelada","Cancelada",IF($AB80=1,IF(N($Z80)&gt;0,"Concluída com atraso","Concluída"),IF($R80="Em programação","Em programação",IF($O80="",IF($M80="","Na carteira","Falta a semana"),IF($AC80=1,"VENCIDA",IF($O80&gt;Hoje!$L$1,"Programada",IF($P80&gt;Hoje!$L$1,"Em execução","Fecha hoje"))))))))</f>
        <v>Concluída</v>
      </c>
      <c r="C80" s="41"/>
      <c r="D80" s="42" t="s">
        <v>229</v>
      </c>
      <c r="E80" s="42" t="s">
        <v>230</v>
      </c>
      <c r="F80" s="42" t="s">
        <v>246</v>
      </c>
      <c r="G80" s="43" t="s">
        <v>80</v>
      </c>
      <c r="H80" s="43" t="s">
        <v>81</v>
      </c>
      <c r="I80" s="44" t="s">
        <v>106</v>
      </c>
      <c r="J80" s="44" t="s">
        <v>107</v>
      </c>
      <c r="K80" s="44" t="s">
        <v>88</v>
      </c>
      <c r="L80" s="45" t="n">
        <v>35</v>
      </c>
      <c r="M80" s="46" t="s">
        <v>84</v>
      </c>
      <c r="N80" s="45" t="n">
        <v>4</v>
      </c>
      <c r="O80" s="47" t="n">
        <f aca="false">IF(OR($L80="",$M80=""),"",(DATE(Semana!$J$3,1,4)-WEEKDAY(DATE(Semana!$J$3,1,4),3))+($L80-1)*7+MATCH($M80,Listas!$F$5:$F$11,0)-1)</f>
        <v>46260</v>
      </c>
      <c r="P80" s="47" t="n">
        <f aca="false">IF(OR($F80="",$O80=""),"",$O80+MAX(0,ROUNDUP($AK80*MAX(1,IF($N80="",1,$N80))/MAX(1,$AL80),0)-1))</f>
        <v>46262</v>
      </c>
      <c r="Q80" s="48" t="n">
        <v>46260</v>
      </c>
      <c r="R80" s="43" t="s">
        <v>85</v>
      </c>
      <c r="S80" s="49"/>
      <c r="T80" s="42"/>
      <c r="U80" s="42" t="s">
        <v>232</v>
      </c>
      <c r="V80" s="39" t="str">
        <f aca="false">IF($F80="","",IF(ISNUMBER(SEARCH("(externo)",$I80&amp;$J80&amp;$K80)),"Terceirizada","Interna"))</f>
        <v>Interna</v>
      </c>
      <c r="W80" s="47" t="n">
        <f aca="false">IF($O80="","",IF($S80="",$O80,(DATE(Semana!$J$3,1,4)-WEEKDAY(DATE(Semana!$J$3,1,4),3))+($S80-1)*7+IF($M80="",0,MATCH($M80,Listas!$F$5:$F$11,0)-1)))</f>
        <v>46260</v>
      </c>
      <c r="X80" s="39" t="n">
        <f aca="false">IF($F80="","",IF(OR($AT80="",$O80=""),0,IF($AT80&lt;=$O80,1,0)))</f>
        <v>1</v>
      </c>
      <c r="Y80" s="39" t="n">
        <f aca="false">IF($F80="","",IF(OR($AT80="",$W80=""),0,IF($AT80&lt;=$W80,1,0)))</f>
        <v>1</v>
      </c>
      <c r="Z80" s="39" t="n">
        <f aca="false">IF(OR($AT80="",$O80=""),"",MAX(0,$AT80-$O80))</f>
        <v>0</v>
      </c>
      <c r="AA80" s="39" t="n">
        <f aca="false">IF($F80="","",IF(AND($S80&lt;&gt;"",$L80&lt;&gt;"",$S80&lt;&gt;$L80),1,0))</f>
        <v>0</v>
      </c>
      <c r="AB80" s="39" t="n">
        <f aca="false">IF($F80="","",IF($R80="Cancelada",0,IF(OR($AT80&lt;&gt;"",$R80="Concluída"),1,0)))</f>
        <v>1</v>
      </c>
      <c r="AC80" s="39" t="n">
        <f aca="false">IF($P80="",0,IF($P80&lt;Hoje!$L$1,1,IF(AND($P80=Hoje!$L$1,Hoje!$L$2&gt;Semana!$M$3),1,0)))</f>
        <v>1</v>
      </c>
      <c r="AD80" s="39" t="n">
        <f aca="false">IF($F80="","",IF(COUNTA($I80:$K80)=0,0,1/COUNTA($I80:$K80)))</f>
        <v>0.333333333333333</v>
      </c>
      <c r="AE80" s="39" t="str">
        <f aca="false">IF($AH80=0,"",SUM($AH$4:$AH80))</f>
        <v/>
      </c>
      <c r="AF80" s="39" t="str">
        <f aca="false">IF($AI80=0,"",SUM($AI$4:$AI80))</f>
        <v/>
      </c>
      <c r="AG80" s="50" t="str">
        <f aca="false">IF($F80="","",$I80&amp;IF($J80="",""," · "&amp;$J80)&amp;IF($K80="",""," · "&amp;$K80))</f>
        <v>Adilton · Gabriel · Júnior</v>
      </c>
      <c r="AH80" s="39" t="n">
        <f aca="false">IF(AND($F80&lt;&gt;"",$O80&lt;&gt;"",$O80&lt;=Hoje!$C$3,$P80&gt;=Hoje!$C$3,$R80&lt;&gt;"Cancelada"),1,0)</f>
        <v>0</v>
      </c>
      <c r="AI80" s="39" t="n">
        <f aca="false">IF(AND($F80&lt;&gt;"",$P80&lt;&gt;"",$P80&lt;Hoje!$C$3,$AB80=0,$R80&lt;&gt;"Cancelada"),1,0)</f>
        <v>0</v>
      </c>
      <c r="AJ80" s="50" t="str">
        <f aca="false">IF($F80="","",$D80&amp;"|"&amp;$E80&amp;"|"&amp;$L80)</f>
        <v>F-624|Baixa de pendências backlog|35</v>
      </c>
      <c r="AK80" s="39" t="n">
        <f aca="false">IF($AJ80="","",COUNTIF($AJ$4:$AJ80,$AJ80))</f>
        <v>13</v>
      </c>
      <c r="AL80" s="39" t="n">
        <f aca="false">IF($AJ80="","",COUNTIF($AJ$4:$AJ$1004,$AJ80))</f>
        <v>20</v>
      </c>
      <c r="AM80" s="42"/>
      <c r="AN80" s="50" t="str">
        <f aca="false">IF($D80="","",IFERROR(T(VLOOKUP($D80,Listas!$B$5:$H$120,7,0)),""))</f>
        <v/>
      </c>
      <c r="AO80" s="50" t="str">
        <f aca="false">IF(OR($F80="",$L80&lt;&gt;"",$R80="Cancelada",$AT80&lt;&gt;""),"",$AN80&amp;"|"&amp;$D80&amp;"|"&amp;IF($C80="","zzz",$C80)&amp;"|"&amp;TEXT(80,"0000"))</f>
        <v/>
      </c>
      <c r="AP80" s="50" t="str">
        <f aca="false">IF($AO80="","",COUNTIF($AO$5:$AO$1004,"&lt;"&amp;$AO80)-(ROWS($AO$5:$AO$1004)-Hoje!$L$5)+1)</f>
        <v/>
      </c>
      <c r="AQ80" s="50" t="n">
        <f aca="false">IF(AND($F80&lt;&gt;"",$D80=Frota!$C$3),1,0)</f>
        <v>0</v>
      </c>
      <c r="AR80" s="50" t="str">
        <f aca="false">IF($AQ80=0,"",SUM($AQ$4:$AQ80))</f>
        <v/>
      </c>
      <c r="AS80" s="50" t="str">
        <f aca="false">IFERROR(INDEX(Hoje!$K$10:$K$29,MATCH(ROW(),Hoje!$J$10:$J$29,0)),"")</f>
        <v/>
      </c>
      <c r="AT80" s="47" t="n">
        <f aca="false">IF($Q80&lt;&gt;"",$Q80,$AS80)</f>
        <v>46260</v>
      </c>
    </row>
    <row r="81" customFormat="false" ht="16.5" hidden="false" customHeight="true" outlineLevel="0" collapsed="false">
      <c r="A81" s="39" t="n">
        <f aca="false">IF($F81="","",ROW())</f>
        <v>81</v>
      </c>
      <c r="B81" s="40" t="str">
        <f aca="false">IF($F81="",IF($D81="","","Falta a atividade"),IF($R81="Cancelada","Cancelada",IF($AB81=1,IF(N($Z81)&gt;0,"Concluída com atraso","Concluída"),IF($R81="Em programação","Em programação",IF($O81="",IF($M81="","Na carteira","Falta a semana"),IF($AC81=1,"VENCIDA",IF($O81&gt;Hoje!$L$1,"Programada",IF($P81&gt;Hoje!$L$1,"Em execução","Fecha hoje"))))))))</f>
        <v>Concluída</v>
      </c>
      <c r="C81" s="41"/>
      <c r="D81" s="42" t="s">
        <v>229</v>
      </c>
      <c r="E81" s="42" t="s">
        <v>230</v>
      </c>
      <c r="F81" s="42" t="s">
        <v>247</v>
      </c>
      <c r="G81" s="43" t="s">
        <v>80</v>
      </c>
      <c r="H81" s="43" t="s">
        <v>81</v>
      </c>
      <c r="I81" s="44" t="s">
        <v>106</v>
      </c>
      <c r="J81" s="44" t="s">
        <v>107</v>
      </c>
      <c r="K81" s="44" t="s">
        <v>88</v>
      </c>
      <c r="L81" s="45" t="n">
        <v>35</v>
      </c>
      <c r="M81" s="46" t="s">
        <v>84</v>
      </c>
      <c r="N81" s="45" t="n">
        <v>4</v>
      </c>
      <c r="O81" s="47" t="n">
        <f aca="false">IF(OR($L81="",$M81=""),"",(DATE(Semana!$J$3,1,4)-WEEKDAY(DATE(Semana!$J$3,1,4),3))+($L81-1)*7+MATCH($M81,Listas!$F$5:$F$11,0)-1)</f>
        <v>46260</v>
      </c>
      <c r="P81" s="47" t="n">
        <f aca="false">IF(OR($F81="",$O81=""),"",$O81+MAX(0,ROUNDUP($AK81*MAX(1,IF($N81="",1,$N81))/MAX(1,$AL81),0)-1))</f>
        <v>46262</v>
      </c>
      <c r="Q81" s="48" t="n">
        <v>46260</v>
      </c>
      <c r="R81" s="43" t="s">
        <v>85</v>
      </c>
      <c r="S81" s="49"/>
      <c r="T81" s="42"/>
      <c r="U81" s="42" t="s">
        <v>232</v>
      </c>
      <c r="V81" s="39" t="str">
        <f aca="false">IF($F81="","",IF(ISNUMBER(SEARCH("(externo)",$I81&amp;$J81&amp;$K81)),"Terceirizada","Interna"))</f>
        <v>Interna</v>
      </c>
      <c r="W81" s="47" t="n">
        <f aca="false">IF($O81="","",IF($S81="",$O81,(DATE(Semana!$J$3,1,4)-WEEKDAY(DATE(Semana!$J$3,1,4),3))+($S81-1)*7+IF($M81="",0,MATCH($M81,Listas!$F$5:$F$11,0)-1)))</f>
        <v>46260</v>
      </c>
      <c r="X81" s="39" t="n">
        <f aca="false">IF($F81="","",IF(OR($AT81="",$O81=""),0,IF($AT81&lt;=$O81,1,0)))</f>
        <v>1</v>
      </c>
      <c r="Y81" s="39" t="n">
        <f aca="false">IF($F81="","",IF(OR($AT81="",$W81=""),0,IF($AT81&lt;=$W81,1,0)))</f>
        <v>1</v>
      </c>
      <c r="Z81" s="39" t="n">
        <f aca="false">IF(OR($AT81="",$O81=""),"",MAX(0,$AT81-$O81))</f>
        <v>0</v>
      </c>
      <c r="AA81" s="39" t="n">
        <f aca="false">IF($F81="","",IF(AND($S81&lt;&gt;"",$L81&lt;&gt;"",$S81&lt;&gt;$L81),1,0))</f>
        <v>0</v>
      </c>
      <c r="AB81" s="39" t="n">
        <f aca="false">IF($F81="","",IF($R81="Cancelada",0,IF(OR($AT81&lt;&gt;"",$R81="Concluída"),1,0)))</f>
        <v>1</v>
      </c>
      <c r="AC81" s="39" t="n">
        <f aca="false">IF($P81="",0,IF($P81&lt;Hoje!$L$1,1,IF(AND($P81=Hoje!$L$1,Hoje!$L$2&gt;Semana!$M$3),1,0)))</f>
        <v>1</v>
      </c>
      <c r="AD81" s="39" t="n">
        <f aca="false">IF($F81="","",IF(COUNTA($I81:$K81)=0,0,1/COUNTA($I81:$K81)))</f>
        <v>0.333333333333333</v>
      </c>
      <c r="AE81" s="39" t="str">
        <f aca="false">IF($AH81=0,"",SUM($AH$4:$AH81))</f>
        <v/>
      </c>
      <c r="AF81" s="39" t="str">
        <f aca="false">IF($AI81=0,"",SUM($AI$4:$AI81))</f>
        <v/>
      </c>
      <c r="AG81" s="50" t="str">
        <f aca="false">IF($F81="","",$I81&amp;IF($J81="",""," · "&amp;$J81)&amp;IF($K81="",""," · "&amp;$K81))</f>
        <v>Adilton · Gabriel · Júnior</v>
      </c>
      <c r="AH81" s="39" t="n">
        <f aca="false">IF(AND($F81&lt;&gt;"",$O81&lt;&gt;"",$O81&lt;=Hoje!$C$3,$P81&gt;=Hoje!$C$3,$R81&lt;&gt;"Cancelada"),1,0)</f>
        <v>0</v>
      </c>
      <c r="AI81" s="39" t="n">
        <f aca="false">IF(AND($F81&lt;&gt;"",$P81&lt;&gt;"",$P81&lt;Hoje!$C$3,$AB81=0,$R81&lt;&gt;"Cancelada"),1,0)</f>
        <v>0</v>
      </c>
      <c r="AJ81" s="50" t="str">
        <f aca="false">IF($F81="","",$D81&amp;"|"&amp;$E81&amp;"|"&amp;$L81)</f>
        <v>F-624|Baixa de pendências backlog|35</v>
      </c>
      <c r="AK81" s="39" t="n">
        <f aca="false">IF($AJ81="","",COUNTIF($AJ$4:$AJ81,$AJ81))</f>
        <v>14</v>
      </c>
      <c r="AL81" s="39" t="n">
        <f aca="false">IF($AJ81="","",COUNTIF($AJ$4:$AJ$1004,$AJ81))</f>
        <v>20</v>
      </c>
      <c r="AM81" s="42"/>
      <c r="AN81" s="50" t="str">
        <f aca="false">IF($D81="","",IFERROR(T(VLOOKUP($D81,Listas!$B$5:$H$120,7,0)),""))</f>
        <v/>
      </c>
      <c r="AO81" s="50" t="str">
        <f aca="false">IF(OR($F81="",$L81&lt;&gt;"",$R81="Cancelada",$AT81&lt;&gt;""),"",$AN81&amp;"|"&amp;$D81&amp;"|"&amp;IF($C81="","zzz",$C81)&amp;"|"&amp;TEXT(81,"0000"))</f>
        <v/>
      </c>
      <c r="AP81" s="50" t="str">
        <f aca="false">IF($AO81="","",COUNTIF($AO$5:$AO$1004,"&lt;"&amp;$AO81)-(ROWS($AO$5:$AO$1004)-Hoje!$L$5)+1)</f>
        <v/>
      </c>
      <c r="AQ81" s="50" t="n">
        <f aca="false">IF(AND($F81&lt;&gt;"",$D81=Frota!$C$3),1,0)</f>
        <v>0</v>
      </c>
      <c r="AR81" s="50" t="str">
        <f aca="false">IF($AQ81=0,"",SUM($AQ$4:$AQ81))</f>
        <v/>
      </c>
      <c r="AS81" s="50" t="str">
        <f aca="false">IFERROR(INDEX(Hoje!$K$10:$K$29,MATCH(ROW(),Hoje!$J$10:$J$29,0)),"")</f>
        <v/>
      </c>
      <c r="AT81" s="47" t="n">
        <f aca="false">IF($Q81&lt;&gt;"",$Q81,$AS81)</f>
        <v>46260</v>
      </c>
    </row>
    <row r="82" customFormat="false" ht="16.5" hidden="false" customHeight="true" outlineLevel="0" collapsed="false">
      <c r="A82" s="39" t="n">
        <f aca="false">IF($F82="","",ROW())</f>
        <v>82</v>
      </c>
      <c r="B82" s="40" t="str">
        <f aca="false">IF($F82="",IF($D82="","","Falta a atividade"),IF($R82="Cancelada","Cancelada",IF($AB82=1,IF(N($Z82)&gt;0,"Concluída com atraso","Concluída"),IF($R82="Em programação","Em programação",IF($O82="",IF($M82="","Na carteira","Falta a semana"),IF($AC82=1,"VENCIDA",IF($O82&gt;Hoje!$L$1,"Programada",IF($P82&gt;Hoje!$L$1,"Em execução","Fecha hoje"))))))))</f>
        <v>Concluída</v>
      </c>
      <c r="C82" s="41"/>
      <c r="D82" s="42" t="s">
        <v>229</v>
      </c>
      <c r="E82" s="42" t="s">
        <v>230</v>
      </c>
      <c r="F82" s="42" t="s">
        <v>248</v>
      </c>
      <c r="G82" s="43" t="s">
        <v>80</v>
      </c>
      <c r="H82" s="43" t="s">
        <v>81</v>
      </c>
      <c r="I82" s="44" t="s">
        <v>106</v>
      </c>
      <c r="J82" s="44" t="s">
        <v>107</v>
      </c>
      <c r="K82" s="44" t="s">
        <v>88</v>
      </c>
      <c r="L82" s="45" t="n">
        <v>35</v>
      </c>
      <c r="M82" s="46" t="s">
        <v>84</v>
      </c>
      <c r="N82" s="45" t="n">
        <v>4</v>
      </c>
      <c r="O82" s="47" t="n">
        <f aca="false">IF(OR($L82="",$M82=""),"",(DATE(Semana!$J$3,1,4)-WEEKDAY(DATE(Semana!$J$3,1,4),3))+($L82-1)*7+MATCH($M82,Listas!$F$5:$F$11,0)-1)</f>
        <v>46260</v>
      </c>
      <c r="P82" s="47" t="n">
        <f aca="false">IF(OR($F82="",$O82=""),"",$O82+MAX(0,ROUNDUP($AK82*MAX(1,IF($N82="",1,$N82))/MAX(1,$AL82),0)-1))</f>
        <v>46262</v>
      </c>
      <c r="Q82" s="48" t="n">
        <v>46260</v>
      </c>
      <c r="R82" s="43" t="s">
        <v>85</v>
      </c>
      <c r="S82" s="49"/>
      <c r="T82" s="42"/>
      <c r="U82" s="42" t="s">
        <v>249</v>
      </c>
      <c r="V82" s="39" t="str">
        <f aca="false">IF($F82="","",IF(ISNUMBER(SEARCH("(externo)",$I82&amp;$J82&amp;$K82)),"Terceirizada","Interna"))</f>
        <v>Interna</v>
      </c>
      <c r="W82" s="47" t="n">
        <f aca="false">IF($O82="","",IF($S82="",$O82,(DATE(Semana!$J$3,1,4)-WEEKDAY(DATE(Semana!$J$3,1,4),3))+($S82-1)*7+IF($M82="",0,MATCH($M82,Listas!$F$5:$F$11,0)-1)))</f>
        <v>46260</v>
      </c>
      <c r="X82" s="39" t="n">
        <f aca="false">IF($F82="","",IF(OR($AT82="",$O82=""),0,IF($AT82&lt;=$O82,1,0)))</f>
        <v>1</v>
      </c>
      <c r="Y82" s="39" t="n">
        <f aca="false">IF($F82="","",IF(OR($AT82="",$W82=""),0,IF($AT82&lt;=$W82,1,0)))</f>
        <v>1</v>
      </c>
      <c r="Z82" s="39" t="n">
        <f aca="false">IF(OR($AT82="",$O82=""),"",MAX(0,$AT82-$O82))</f>
        <v>0</v>
      </c>
      <c r="AA82" s="39" t="n">
        <f aca="false">IF($F82="","",IF(AND($S82&lt;&gt;"",$L82&lt;&gt;"",$S82&lt;&gt;$L82),1,0))</f>
        <v>0</v>
      </c>
      <c r="AB82" s="39" t="n">
        <f aca="false">IF($F82="","",IF($R82="Cancelada",0,IF(OR($AT82&lt;&gt;"",$R82="Concluída"),1,0)))</f>
        <v>1</v>
      </c>
      <c r="AC82" s="39" t="n">
        <f aca="false">IF($P82="",0,IF($P82&lt;Hoje!$L$1,1,IF(AND($P82=Hoje!$L$1,Hoje!$L$2&gt;Semana!$M$3),1,0)))</f>
        <v>1</v>
      </c>
      <c r="AD82" s="39" t="n">
        <f aca="false">IF($F82="","",IF(COUNTA($I82:$K82)=0,0,1/COUNTA($I82:$K82)))</f>
        <v>0.333333333333333</v>
      </c>
      <c r="AE82" s="39" t="str">
        <f aca="false">IF($AH82=0,"",SUM($AH$4:$AH82))</f>
        <v/>
      </c>
      <c r="AF82" s="39" t="str">
        <f aca="false">IF($AI82=0,"",SUM($AI$4:$AI82))</f>
        <v/>
      </c>
      <c r="AG82" s="50" t="str">
        <f aca="false">IF($F82="","",$I82&amp;IF($J82="",""," · "&amp;$J82)&amp;IF($K82="",""," · "&amp;$K82))</f>
        <v>Adilton · Gabriel · Júnior</v>
      </c>
      <c r="AH82" s="39" t="n">
        <f aca="false">IF(AND($F82&lt;&gt;"",$O82&lt;&gt;"",$O82&lt;=Hoje!$C$3,$P82&gt;=Hoje!$C$3,$R82&lt;&gt;"Cancelada"),1,0)</f>
        <v>0</v>
      </c>
      <c r="AI82" s="39" t="n">
        <f aca="false">IF(AND($F82&lt;&gt;"",$P82&lt;&gt;"",$P82&lt;Hoje!$C$3,$AB82=0,$R82&lt;&gt;"Cancelada"),1,0)</f>
        <v>0</v>
      </c>
      <c r="AJ82" s="50" t="str">
        <f aca="false">IF($F82="","",$D82&amp;"|"&amp;$E82&amp;"|"&amp;$L82)</f>
        <v>F-624|Baixa de pendências backlog|35</v>
      </c>
      <c r="AK82" s="39" t="n">
        <f aca="false">IF($AJ82="","",COUNTIF($AJ$4:$AJ82,$AJ82))</f>
        <v>15</v>
      </c>
      <c r="AL82" s="39" t="n">
        <f aca="false">IF($AJ82="","",COUNTIF($AJ$4:$AJ$1004,$AJ82))</f>
        <v>20</v>
      </c>
      <c r="AM82" s="42"/>
      <c r="AN82" s="50" t="str">
        <f aca="false">IF($D82="","",IFERROR(T(VLOOKUP($D82,Listas!$B$5:$H$120,7,0)),""))</f>
        <v/>
      </c>
      <c r="AO82" s="50" t="str">
        <f aca="false">IF(OR($F82="",$L82&lt;&gt;"",$R82="Cancelada",$AT82&lt;&gt;""),"",$AN82&amp;"|"&amp;$D82&amp;"|"&amp;IF($C82="","zzz",$C82)&amp;"|"&amp;TEXT(82,"0000"))</f>
        <v/>
      </c>
      <c r="AP82" s="50" t="str">
        <f aca="false">IF($AO82="","",COUNTIF($AO$5:$AO$1004,"&lt;"&amp;$AO82)-(ROWS($AO$5:$AO$1004)-Hoje!$L$5)+1)</f>
        <v/>
      </c>
      <c r="AQ82" s="50" t="n">
        <f aca="false">IF(AND($F82&lt;&gt;"",$D82=Frota!$C$3),1,0)</f>
        <v>0</v>
      </c>
      <c r="AR82" s="50" t="str">
        <f aca="false">IF($AQ82=0,"",SUM($AQ$4:$AQ82))</f>
        <v/>
      </c>
      <c r="AS82" s="50" t="str">
        <f aca="false">IFERROR(INDEX(Hoje!$K$10:$K$29,MATCH(ROW(),Hoje!$J$10:$J$29,0)),"")</f>
        <v/>
      </c>
      <c r="AT82" s="47" t="n">
        <f aca="false">IF($Q82&lt;&gt;"",$Q82,$AS82)</f>
        <v>46260</v>
      </c>
    </row>
    <row r="83" customFormat="false" ht="16.5" hidden="false" customHeight="true" outlineLevel="0" collapsed="false">
      <c r="A83" s="39" t="n">
        <f aca="false">IF($F83="","",ROW())</f>
        <v>83</v>
      </c>
      <c r="B83" s="40" t="str">
        <f aca="false">IF($F83="",IF($D83="","","Falta a atividade"),IF($R83="Cancelada","Cancelada",IF($AB83=1,IF(N($Z83)&gt;0,"Concluída com atraso","Concluída"),IF($R83="Em programação","Em programação",IF($O83="",IF($M83="","Na carteira","Falta a semana"),IF($AC83=1,"VENCIDA",IF($O83&gt;Hoje!$L$1,"Programada",IF($P83&gt;Hoje!$L$1,"Em execução","Fecha hoje"))))))))</f>
        <v>Concluída</v>
      </c>
      <c r="C83" s="41"/>
      <c r="D83" s="42" t="s">
        <v>229</v>
      </c>
      <c r="E83" s="42" t="s">
        <v>230</v>
      </c>
      <c r="F83" s="42" t="s">
        <v>250</v>
      </c>
      <c r="G83" s="43" t="s">
        <v>80</v>
      </c>
      <c r="H83" s="43" t="s">
        <v>81</v>
      </c>
      <c r="I83" s="44" t="s">
        <v>106</v>
      </c>
      <c r="J83" s="44" t="s">
        <v>107</v>
      </c>
      <c r="K83" s="44" t="s">
        <v>88</v>
      </c>
      <c r="L83" s="45" t="n">
        <v>35</v>
      </c>
      <c r="M83" s="46" t="s">
        <v>84</v>
      </c>
      <c r="N83" s="45" t="n">
        <v>4</v>
      </c>
      <c r="O83" s="47" t="n">
        <f aca="false">IF(OR($L83="",$M83=""),"",(DATE(Semana!$J$3,1,4)-WEEKDAY(DATE(Semana!$J$3,1,4),3))+($L83-1)*7+MATCH($M83,Listas!$F$5:$F$11,0)-1)</f>
        <v>46260</v>
      </c>
      <c r="P83" s="47" t="n">
        <f aca="false">IF(OR($F83="",$O83=""),"",$O83+MAX(0,ROUNDUP($AK83*MAX(1,IF($N83="",1,$N83))/MAX(1,$AL83),0)-1))</f>
        <v>46263</v>
      </c>
      <c r="Q83" s="48" t="n">
        <v>46260</v>
      </c>
      <c r="R83" s="43" t="s">
        <v>85</v>
      </c>
      <c r="S83" s="49"/>
      <c r="T83" s="42"/>
      <c r="U83" s="42" t="s">
        <v>232</v>
      </c>
      <c r="V83" s="39" t="str">
        <f aca="false">IF($F83="","",IF(ISNUMBER(SEARCH("(externo)",$I83&amp;$J83&amp;$K83)),"Terceirizada","Interna"))</f>
        <v>Interna</v>
      </c>
      <c r="W83" s="47" t="n">
        <f aca="false">IF($O83="","",IF($S83="",$O83,(DATE(Semana!$J$3,1,4)-WEEKDAY(DATE(Semana!$J$3,1,4),3))+($S83-1)*7+IF($M83="",0,MATCH($M83,Listas!$F$5:$F$11,0)-1)))</f>
        <v>46260</v>
      </c>
      <c r="X83" s="39" t="n">
        <f aca="false">IF($F83="","",IF(OR($AT83="",$O83=""),0,IF($AT83&lt;=$O83,1,0)))</f>
        <v>1</v>
      </c>
      <c r="Y83" s="39" t="n">
        <f aca="false">IF($F83="","",IF(OR($AT83="",$W83=""),0,IF($AT83&lt;=$W83,1,0)))</f>
        <v>1</v>
      </c>
      <c r="Z83" s="39" t="n">
        <f aca="false">IF(OR($AT83="",$O83=""),"",MAX(0,$AT83-$O83))</f>
        <v>0</v>
      </c>
      <c r="AA83" s="39" t="n">
        <f aca="false">IF($F83="","",IF(AND($S83&lt;&gt;"",$L83&lt;&gt;"",$S83&lt;&gt;$L83),1,0))</f>
        <v>0</v>
      </c>
      <c r="AB83" s="39" t="n">
        <f aca="false">IF($F83="","",IF($R83="Cancelada",0,IF(OR($AT83&lt;&gt;"",$R83="Concluída"),1,0)))</f>
        <v>1</v>
      </c>
      <c r="AC83" s="39" t="n">
        <f aca="false">IF($P83="",0,IF($P83&lt;Hoje!$L$1,1,IF(AND($P83=Hoje!$L$1,Hoje!$L$2&gt;Semana!$M$3),1,0)))</f>
        <v>1</v>
      </c>
      <c r="AD83" s="39" t="n">
        <f aca="false">IF($F83="","",IF(COUNTA($I83:$K83)=0,0,1/COUNTA($I83:$K83)))</f>
        <v>0.333333333333333</v>
      </c>
      <c r="AE83" s="39" t="str">
        <f aca="false">IF($AH83=0,"",SUM($AH$4:$AH83))</f>
        <v/>
      </c>
      <c r="AF83" s="39" t="str">
        <f aca="false">IF($AI83=0,"",SUM($AI$4:$AI83))</f>
        <v/>
      </c>
      <c r="AG83" s="50" t="str">
        <f aca="false">IF($F83="","",$I83&amp;IF($J83="",""," · "&amp;$J83)&amp;IF($K83="",""," · "&amp;$K83))</f>
        <v>Adilton · Gabriel · Júnior</v>
      </c>
      <c r="AH83" s="39" t="n">
        <f aca="false">IF(AND($F83&lt;&gt;"",$O83&lt;&gt;"",$O83&lt;=Hoje!$C$3,$P83&gt;=Hoje!$C$3,$R83&lt;&gt;"Cancelada"),1,0)</f>
        <v>0</v>
      </c>
      <c r="AI83" s="39" t="n">
        <f aca="false">IF(AND($F83&lt;&gt;"",$P83&lt;&gt;"",$P83&lt;Hoje!$C$3,$AB83=0,$R83&lt;&gt;"Cancelada"),1,0)</f>
        <v>0</v>
      </c>
      <c r="AJ83" s="50" t="str">
        <f aca="false">IF($F83="","",$D83&amp;"|"&amp;$E83&amp;"|"&amp;$L83)</f>
        <v>F-624|Baixa de pendências backlog|35</v>
      </c>
      <c r="AK83" s="39" t="n">
        <f aca="false">IF($AJ83="","",COUNTIF($AJ$4:$AJ83,$AJ83))</f>
        <v>16</v>
      </c>
      <c r="AL83" s="39" t="n">
        <f aca="false">IF($AJ83="","",COUNTIF($AJ$4:$AJ$1004,$AJ83))</f>
        <v>20</v>
      </c>
      <c r="AM83" s="42"/>
      <c r="AN83" s="50" t="str">
        <f aca="false">IF($D83="","",IFERROR(T(VLOOKUP($D83,Listas!$B$5:$H$120,7,0)),""))</f>
        <v/>
      </c>
      <c r="AO83" s="50" t="str">
        <f aca="false">IF(OR($F83="",$L83&lt;&gt;"",$R83="Cancelada",$AT83&lt;&gt;""),"",$AN83&amp;"|"&amp;$D83&amp;"|"&amp;IF($C83="","zzz",$C83)&amp;"|"&amp;TEXT(83,"0000"))</f>
        <v/>
      </c>
      <c r="AP83" s="50" t="str">
        <f aca="false">IF($AO83="","",COUNTIF($AO$5:$AO$1004,"&lt;"&amp;$AO83)-(ROWS($AO$5:$AO$1004)-Hoje!$L$5)+1)</f>
        <v/>
      </c>
      <c r="AQ83" s="50" t="n">
        <f aca="false">IF(AND($F83&lt;&gt;"",$D83=Frota!$C$3),1,0)</f>
        <v>0</v>
      </c>
      <c r="AR83" s="50" t="str">
        <f aca="false">IF($AQ83=0,"",SUM($AQ$4:$AQ83))</f>
        <v/>
      </c>
      <c r="AS83" s="50" t="str">
        <f aca="false">IFERROR(INDEX(Hoje!$K$10:$K$29,MATCH(ROW(),Hoje!$J$10:$J$29,0)),"")</f>
        <v/>
      </c>
      <c r="AT83" s="47" t="n">
        <f aca="false">IF($Q83&lt;&gt;"",$Q83,$AS83)</f>
        <v>46260</v>
      </c>
    </row>
    <row r="84" customFormat="false" ht="16.5" hidden="false" customHeight="true" outlineLevel="0" collapsed="false">
      <c r="A84" s="39" t="n">
        <f aca="false">IF($F84="","",ROW())</f>
        <v>84</v>
      </c>
      <c r="B84" s="40" t="str">
        <f aca="false">IF($F84="",IF($D84="","","Falta a atividade"),IF($R84="Cancelada","Cancelada",IF($AB84=1,IF(N($Z84)&gt;0,"Concluída com atraso","Concluída"),IF($R84="Em programação","Em programação",IF($O84="",IF($M84="","Na carteira","Falta a semana"),IF($AC84=1,"VENCIDA",IF($O84&gt;Hoje!$L$1,"Programada",IF($P84&gt;Hoje!$L$1,"Em execução","Fecha hoje"))))))))</f>
        <v>Concluída</v>
      </c>
      <c r="C84" s="41"/>
      <c r="D84" s="42" t="s">
        <v>229</v>
      </c>
      <c r="E84" s="42" t="s">
        <v>230</v>
      </c>
      <c r="F84" s="42" t="s">
        <v>251</v>
      </c>
      <c r="G84" s="43" t="s">
        <v>80</v>
      </c>
      <c r="H84" s="43" t="s">
        <v>81</v>
      </c>
      <c r="I84" s="44" t="s">
        <v>106</v>
      </c>
      <c r="J84" s="44" t="s">
        <v>107</v>
      </c>
      <c r="K84" s="44" t="s">
        <v>88</v>
      </c>
      <c r="L84" s="45" t="n">
        <v>35</v>
      </c>
      <c r="M84" s="46" t="s">
        <v>84</v>
      </c>
      <c r="N84" s="45" t="n">
        <v>4</v>
      </c>
      <c r="O84" s="47" t="n">
        <f aca="false">IF(OR($L84="",$M84=""),"",(DATE(Semana!$J$3,1,4)-WEEKDAY(DATE(Semana!$J$3,1,4),3))+($L84-1)*7+MATCH($M84,Listas!$F$5:$F$11,0)-1)</f>
        <v>46260</v>
      </c>
      <c r="P84" s="47" t="n">
        <f aca="false">IF(OR($F84="",$O84=""),"",$O84+MAX(0,ROUNDUP($AK84*MAX(1,IF($N84="",1,$N84))/MAX(1,$AL84),0)-1))</f>
        <v>46263</v>
      </c>
      <c r="Q84" s="48" t="n">
        <v>46260</v>
      </c>
      <c r="R84" s="43" t="s">
        <v>85</v>
      </c>
      <c r="S84" s="49"/>
      <c r="T84" s="42"/>
      <c r="U84" s="42" t="s">
        <v>232</v>
      </c>
      <c r="V84" s="39" t="str">
        <f aca="false">IF($F84="","",IF(ISNUMBER(SEARCH("(externo)",$I84&amp;$J84&amp;$K84)),"Terceirizada","Interna"))</f>
        <v>Interna</v>
      </c>
      <c r="W84" s="47" t="n">
        <f aca="false">IF($O84="","",IF($S84="",$O84,(DATE(Semana!$J$3,1,4)-WEEKDAY(DATE(Semana!$J$3,1,4),3))+($S84-1)*7+IF($M84="",0,MATCH($M84,Listas!$F$5:$F$11,0)-1)))</f>
        <v>46260</v>
      </c>
      <c r="X84" s="39" t="n">
        <f aca="false">IF($F84="","",IF(OR($AT84="",$O84=""),0,IF($AT84&lt;=$O84,1,0)))</f>
        <v>1</v>
      </c>
      <c r="Y84" s="39" t="n">
        <f aca="false">IF($F84="","",IF(OR($AT84="",$W84=""),0,IF($AT84&lt;=$W84,1,0)))</f>
        <v>1</v>
      </c>
      <c r="Z84" s="39" t="n">
        <f aca="false">IF(OR($AT84="",$O84=""),"",MAX(0,$AT84-$O84))</f>
        <v>0</v>
      </c>
      <c r="AA84" s="39" t="n">
        <f aca="false">IF($F84="","",IF(AND($S84&lt;&gt;"",$L84&lt;&gt;"",$S84&lt;&gt;$L84),1,0))</f>
        <v>0</v>
      </c>
      <c r="AB84" s="39" t="n">
        <f aca="false">IF($F84="","",IF($R84="Cancelada",0,IF(OR($AT84&lt;&gt;"",$R84="Concluída"),1,0)))</f>
        <v>1</v>
      </c>
      <c r="AC84" s="39" t="n">
        <f aca="false">IF($P84="",0,IF($P84&lt;Hoje!$L$1,1,IF(AND($P84=Hoje!$L$1,Hoje!$L$2&gt;Semana!$M$3),1,0)))</f>
        <v>1</v>
      </c>
      <c r="AD84" s="39" t="n">
        <f aca="false">IF($F84="","",IF(COUNTA($I84:$K84)=0,0,1/COUNTA($I84:$K84)))</f>
        <v>0.333333333333333</v>
      </c>
      <c r="AE84" s="39" t="str">
        <f aca="false">IF($AH84=0,"",SUM($AH$4:$AH84))</f>
        <v/>
      </c>
      <c r="AF84" s="39" t="str">
        <f aca="false">IF($AI84=0,"",SUM($AI$4:$AI84))</f>
        <v/>
      </c>
      <c r="AG84" s="50" t="str">
        <f aca="false">IF($F84="","",$I84&amp;IF($J84="",""," · "&amp;$J84)&amp;IF($K84="",""," · "&amp;$K84))</f>
        <v>Adilton · Gabriel · Júnior</v>
      </c>
      <c r="AH84" s="39" t="n">
        <f aca="false">IF(AND($F84&lt;&gt;"",$O84&lt;&gt;"",$O84&lt;=Hoje!$C$3,$P84&gt;=Hoje!$C$3,$R84&lt;&gt;"Cancelada"),1,0)</f>
        <v>0</v>
      </c>
      <c r="AI84" s="39" t="n">
        <f aca="false">IF(AND($F84&lt;&gt;"",$P84&lt;&gt;"",$P84&lt;Hoje!$C$3,$AB84=0,$R84&lt;&gt;"Cancelada"),1,0)</f>
        <v>0</v>
      </c>
      <c r="AJ84" s="50" t="str">
        <f aca="false">IF($F84="","",$D84&amp;"|"&amp;$E84&amp;"|"&amp;$L84)</f>
        <v>F-624|Baixa de pendências backlog|35</v>
      </c>
      <c r="AK84" s="39" t="n">
        <f aca="false">IF($AJ84="","",COUNTIF($AJ$4:$AJ84,$AJ84))</f>
        <v>17</v>
      </c>
      <c r="AL84" s="39" t="n">
        <f aca="false">IF($AJ84="","",COUNTIF($AJ$4:$AJ$1004,$AJ84))</f>
        <v>20</v>
      </c>
      <c r="AM84" s="42"/>
      <c r="AN84" s="50" t="str">
        <f aca="false">IF($D84="","",IFERROR(T(VLOOKUP($D84,Listas!$B$5:$H$120,7,0)),""))</f>
        <v/>
      </c>
      <c r="AO84" s="50" t="str">
        <f aca="false">IF(OR($F84="",$L84&lt;&gt;"",$R84="Cancelada",$AT84&lt;&gt;""),"",$AN84&amp;"|"&amp;$D84&amp;"|"&amp;IF($C84="","zzz",$C84)&amp;"|"&amp;TEXT(84,"0000"))</f>
        <v/>
      </c>
      <c r="AP84" s="50" t="str">
        <f aca="false">IF($AO84="","",COUNTIF($AO$5:$AO$1004,"&lt;"&amp;$AO84)-(ROWS($AO$5:$AO$1004)-Hoje!$L$5)+1)</f>
        <v/>
      </c>
      <c r="AQ84" s="50" t="n">
        <f aca="false">IF(AND($F84&lt;&gt;"",$D84=Frota!$C$3),1,0)</f>
        <v>0</v>
      </c>
      <c r="AR84" s="50" t="str">
        <f aca="false">IF($AQ84=0,"",SUM($AQ$4:$AQ84))</f>
        <v/>
      </c>
      <c r="AS84" s="50" t="str">
        <f aca="false">IFERROR(INDEX(Hoje!$K$10:$K$29,MATCH(ROW(),Hoje!$J$10:$J$29,0)),"")</f>
        <v/>
      </c>
      <c r="AT84" s="47" t="n">
        <f aca="false">IF($Q84&lt;&gt;"",$Q84,$AS84)</f>
        <v>46260</v>
      </c>
    </row>
    <row r="85" customFormat="false" ht="16.5" hidden="false" customHeight="true" outlineLevel="0" collapsed="false">
      <c r="A85" s="39" t="n">
        <f aca="false">IF($F85="","",ROW())</f>
        <v>85</v>
      </c>
      <c r="B85" s="40" t="str">
        <f aca="false">IF($F85="",IF($D85="","","Falta a atividade"),IF($R85="Cancelada","Cancelada",IF($AB85=1,IF(N($Z85)&gt;0,"Concluída com atraso","Concluída"),IF($R85="Em programação","Em programação",IF($O85="",IF($M85="","Na carteira","Falta a semana"),IF($AC85=1,"VENCIDA",IF($O85&gt;Hoje!$L$1,"Programada",IF($P85&gt;Hoje!$L$1,"Em execução","Fecha hoje"))))))))</f>
        <v>Concluída</v>
      </c>
      <c r="C85" s="41"/>
      <c r="D85" s="42" t="s">
        <v>229</v>
      </c>
      <c r="E85" s="42" t="s">
        <v>230</v>
      </c>
      <c r="F85" s="42" t="s">
        <v>252</v>
      </c>
      <c r="G85" s="43" t="s">
        <v>80</v>
      </c>
      <c r="H85" s="43" t="s">
        <v>81</v>
      </c>
      <c r="I85" s="44" t="s">
        <v>106</v>
      </c>
      <c r="J85" s="44" t="s">
        <v>107</v>
      </c>
      <c r="K85" s="44" t="s">
        <v>88</v>
      </c>
      <c r="L85" s="45" t="n">
        <v>35</v>
      </c>
      <c r="M85" s="46" t="s">
        <v>84</v>
      </c>
      <c r="N85" s="45" t="n">
        <v>4</v>
      </c>
      <c r="O85" s="47" t="n">
        <f aca="false">IF(OR($L85="",$M85=""),"",(DATE(Semana!$J$3,1,4)-WEEKDAY(DATE(Semana!$J$3,1,4),3))+($L85-1)*7+MATCH($M85,Listas!$F$5:$F$11,0)-1)</f>
        <v>46260</v>
      </c>
      <c r="P85" s="47" t="n">
        <f aca="false">IF(OR($F85="",$O85=""),"",$O85+MAX(0,ROUNDUP($AK85*MAX(1,IF($N85="",1,$N85))/MAX(1,$AL85),0)-1))</f>
        <v>46263</v>
      </c>
      <c r="Q85" s="48" t="n">
        <v>46260</v>
      </c>
      <c r="R85" s="43" t="s">
        <v>85</v>
      </c>
      <c r="S85" s="49"/>
      <c r="T85" s="42"/>
      <c r="U85" s="42" t="s">
        <v>253</v>
      </c>
      <c r="V85" s="39" t="str">
        <f aca="false">IF($F85="","",IF(ISNUMBER(SEARCH("(externo)",$I85&amp;$J85&amp;$K85)),"Terceirizada","Interna"))</f>
        <v>Interna</v>
      </c>
      <c r="W85" s="47" t="n">
        <f aca="false">IF($O85="","",IF($S85="",$O85,(DATE(Semana!$J$3,1,4)-WEEKDAY(DATE(Semana!$J$3,1,4),3))+($S85-1)*7+IF($M85="",0,MATCH($M85,Listas!$F$5:$F$11,0)-1)))</f>
        <v>46260</v>
      </c>
      <c r="X85" s="39" t="n">
        <f aca="false">IF($F85="","",IF(OR($AT85="",$O85=""),0,IF($AT85&lt;=$O85,1,0)))</f>
        <v>1</v>
      </c>
      <c r="Y85" s="39" t="n">
        <f aca="false">IF($F85="","",IF(OR($AT85="",$W85=""),0,IF($AT85&lt;=$W85,1,0)))</f>
        <v>1</v>
      </c>
      <c r="Z85" s="39" t="n">
        <f aca="false">IF(OR($AT85="",$O85=""),"",MAX(0,$AT85-$O85))</f>
        <v>0</v>
      </c>
      <c r="AA85" s="39" t="n">
        <f aca="false">IF($F85="","",IF(AND($S85&lt;&gt;"",$L85&lt;&gt;"",$S85&lt;&gt;$L85),1,0))</f>
        <v>0</v>
      </c>
      <c r="AB85" s="39" t="n">
        <f aca="false">IF($F85="","",IF($R85="Cancelada",0,IF(OR($AT85&lt;&gt;"",$R85="Concluída"),1,0)))</f>
        <v>1</v>
      </c>
      <c r="AC85" s="39" t="n">
        <f aca="false">IF($P85="",0,IF($P85&lt;Hoje!$L$1,1,IF(AND($P85=Hoje!$L$1,Hoje!$L$2&gt;Semana!$M$3),1,0)))</f>
        <v>1</v>
      </c>
      <c r="AD85" s="39" t="n">
        <f aca="false">IF($F85="","",IF(COUNTA($I85:$K85)=0,0,1/COUNTA($I85:$K85)))</f>
        <v>0.333333333333333</v>
      </c>
      <c r="AE85" s="39" t="str">
        <f aca="false">IF($AH85=0,"",SUM($AH$4:$AH85))</f>
        <v/>
      </c>
      <c r="AF85" s="39" t="str">
        <f aca="false">IF($AI85=0,"",SUM($AI$4:$AI85))</f>
        <v/>
      </c>
      <c r="AG85" s="50" t="str">
        <f aca="false">IF($F85="","",$I85&amp;IF($J85="",""," · "&amp;$J85)&amp;IF($K85="",""," · "&amp;$K85))</f>
        <v>Adilton · Gabriel · Júnior</v>
      </c>
      <c r="AH85" s="39" t="n">
        <f aca="false">IF(AND($F85&lt;&gt;"",$O85&lt;&gt;"",$O85&lt;=Hoje!$C$3,$P85&gt;=Hoje!$C$3,$R85&lt;&gt;"Cancelada"),1,0)</f>
        <v>0</v>
      </c>
      <c r="AI85" s="39" t="n">
        <f aca="false">IF(AND($F85&lt;&gt;"",$P85&lt;&gt;"",$P85&lt;Hoje!$C$3,$AB85=0,$R85&lt;&gt;"Cancelada"),1,0)</f>
        <v>0</v>
      </c>
      <c r="AJ85" s="50" t="str">
        <f aca="false">IF($F85="","",$D85&amp;"|"&amp;$E85&amp;"|"&amp;$L85)</f>
        <v>F-624|Baixa de pendências backlog|35</v>
      </c>
      <c r="AK85" s="39" t="n">
        <f aca="false">IF($AJ85="","",COUNTIF($AJ$4:$AJ85,$AJ85))</f>
        <v>18</v>
      </c>
      <c r="AL85" s="39" t="n">
        <f aca="false">IF($AJ85="","",COUNTIF($AJ$4:$AJ$1004,$AJ85))</f>
        <v>20</v>
      </c>
      <c r="AM85" s="42"/>
      <c r="AN85" s="50" t="str">
        <f aca="false">IF($D85="","",IFERROR(T(VLOOKUP($D85,Listas!$B$5:$H$120,7,0)),""))</f>
        <v/>
      </c>
      <c r="AO85" s="50" t="str">
        <f aca="false">IF(OR($F85="",$L85&lt;&gt;"",$R85="Cancelada",$AT85&lt;&gt;""),"",$AN85&amp;"|"&amp;$D85&amp;"|"&amp;IF($C85="","zzz",$C85)&amp;"|"&amp;TEXT(85,"0000"))</f>
        <v/>
      </c>
      <c r="AP85" s="50" t="str">
        <f aca="false">IF($AO85="","",COUNTIF($AO$5:$AO$1004,"&lt;"&amp;$AO85)-(ROWS($AO$5:$AO$1004)-Hoje!$L$5)+1)</f>
        <v/>
      </c>
      <c r="AQ85" s="50" t="n">
        <f aca="false">IF(AND($F85&lt;&gt;"",$D85=Frota!$C$3),1,0)</f>
        <v>0</v>
      </c>
      <c r="AR85" s="50" t="str">
        <f aca="false">IF($AQ85=0,"",SUM($AQ$4:$AQ85))</f>
        <v/>
      </c>
      <c r="AS85" s="50" t="str">
        <f aca="false">IFERROR(INDEX(Hoje!$K$10:$K$29,MATCH(ROW(),Hoje!$J$10:$J$29,0)),"")</f>
        <v/>
      </c>
      <c r="AT85" s="47" t="n">
        <f aca="false">IF($Q85&lt;&gt;"",$Q85,$AS85)</f>
        <v>46260</v>
      </c>
    </row>
    <row r="86" customFormat="false" ht="16.5" hidden="false" customHeight="true" outlineLevel="0" collapsed="false">
      <c r="A86" s="39" t="n">
        <f aca="false">IF($F86="","",ROW())</f>
        <v>86</v>
      </c>
      <c r="B86" s="40" t="str">
        <f aca="false">IF($F86="",IF($D86="","","Falta a atividade"),IF($R86="Cancelada","Cancelada",IF($AB86=1,IF(N($Z86)&gt;0,"Concluída com atraso","Concluída"),IF($R86="Em programação","Em programação",IF($O86="",IF($M86="","Na carteira","Falta a semana"),IF($AC86=1,"VENCIDA",IF($O86&gt;Hoje!$L$1,"Programada",IF($P86&gt;Hoje!$L$1,"Em execução","Fecha hoje"))))))))</f>
        <v>Concluída</v>
      </c>
      <c r="C86" s="41"/>
      <c r="D86" s="42" t="s">
        <v>229</v>
      </c>
      <c r="E86" s="42" t="s">
        <v>230</v>
      </c>
      <c r="F86" s="42" t="s">
        <v>254</v>
      </c>
      <c r="G86" s="43" t="s">
        <v>80</v>
      </c>
      <c r="H86" s="43" t="s">
        <v>81</v>
      </c>
      <c r="I86" s="44" t="s">
        <v>106</v>
      </c>
      <c r="J86" s="44" t="s">
        <v>107</v>
      </c>
      <c r="K86" s="44" t="s">
        <v>88</v>
      </c>
      <c r="L86" s="45" t="n">
        <v>35</v>
      </c>
      <c r="M86" s="46" t="s">
        <v>84</v>
      </c>
      <c r="N86" s="45" t="n">
        <v>4</v>
      </c>
      <c r="O86" s="47" t="n">
        <f aca="false">IF(OR($L86="",$M86=""),"",(DATE(Semana!$J$3,1,4)-WEEKDAY(DATE(Semana!$J$3,1,4),3))+($L86-1)*7+MATCH($M86,Listas!$F$5:$F$11,0)-1)</f>
        <v>46260</v>
      </c>
      <c r="P86" s="47" t="n">
        <f aca="false">IF(OR($F86="",$O86=""),"",$O86+MAX(0,ROUNDUP($AK86*MAX(1,IF($N86="",1,$N86))/MAX(1,$AL86),0)-1))</f>
        <v>46263</v>
      </c>
      <c r="Q86" s="48" t="n">
        <v>46260</v>
      </c>
      <c r="R86" s="43" t="s">
        <v>85</v>
      </c>
      <c r="S86" s="49"/>
      <c r="T86" s="42"/>
      <c r="U86" s="42" t="s">
        <v>255</v>
      </c>
      <c r="V86" s="39" t="str">
        <f aca="false">IF($F86="","",IF(ISNUMBER(SEARCH("(externo)",$I86&amp;$J86&amp;$K86)),"Terceirizada","Interna"))</f>
        <v>Interna</v>
      </c>
      <c r="W86" s="47" t="n">
        <f aca="false">IF($O86="","",IF($S86="",$O86,(DATE(Semana!$J$3,1,4)-WEEKDAY(DATE(Semana!$J$3,1,4),3))+($S86-1)*7+IF($M86="",0,MATCH($M86,Listas!$F$5:$F$11,0)-1)))</f>
        <v>46260</v>
      </c>
      <c r="X86" s="39" t="n">
        <f aca="false">IF($F86="","",IF(OR($AT86="",$O86=""),0,IF($AT86&lt;=$O86,1,0)))</f>
        <v>1</v>
      </c>
      <c r="Y86" s="39" t="n">
        <f aca="false">IF($F86="","",IF(OR($AT86="",$W86=""),0,IF($AT86&lt;=$W86,1,0)))</f>
        <v>1</v>
      </c>
      <c r="Z86" s="39" t="n">
        <f aca="false">IF(OR($AT86="",$O86=""),"",MAX(0,$AT86-$O86))</f>
        <v>0</v>
      </c>
      <c r="AA86" s="39" t="n">
        <f aca="false">IF($F86="","",IF(AND($S86&lt;&gt;"",$L86&lt;&gt;"",$S86&lt;&gt;$L86),1,0))</f>
        <v>0</v>
      </c>
      <c r="AB86" s="39" t="n">
        <f aca="false">IF($F86="","",IF($R86="Cancelada",0,IF(OR($AT86&lt;&gt;"",$R86="Concluída"),1,0)))</f>
        <v>1</v>
      </c>
      <c r="AC86" s="39" t="n">
        <f aca="false">IF($P86="",0,IF($P86&lt;Hoje!$L$1,1,IF(AND($P86=Hoje!$L$1,Hoje!$L$2&gt;Semana!$M$3),1,0)))</f>
        <v>1</v>
      </c>
      <c r="AD86" s="39" t="n">
        <f aca="false">IF($F86="","",IF(COUNTA($I86:$K86)=0,0,1/COUNTA($I86:$K86)))</f>
        <v>0.333333333333333</v>
      </c>
      <c r="AE86" s="39" t="str">
        <f aca="false">IF($AH86=0,"",SUM($AH$4:$AH86))</f>
        <v/>
      </c>
      <c r="AF86" s="39" t="str">
        <f aca="false">IF($AI86=0,"",SUM($AI$4:$AI86))</f>
        <v/>
      </c>
      <c r="AG86" s="50" t="str">
        <f aca="false">IF($F86="","",$I86&amp;IF($J86="",""," · "&amp;$J86)&amp;IF($K86="",""," · "&amp;$K86))</f>
        <v>Adilton · Gabriel · Júnior</v>
      </c>
      <c r="AH86" s="39" t="n">
        <f aca="false">IF(AND($F86&lt;&gt;"",$O86&lt;&gt;"",$O86&lt;=Hoje!$C$3,$P86&gt;=Hoje!$C$3,$R86&lt;&gt;"Cancelada"),1,0)</f>
        <v>0</v>
      </c>
      <c r="AI86" s="39" t="n">
        <f aca="false">IF(AND($F86&lt;&gt;"",$P86&lt;&gt;"",$P86&lt;Hoje!$C$3,$AB86=0,$R86&lt;&gt;"Cancelada"),1,0)</f>
        <v>0</v>
      </c>
      <c r="AJ86" s="50" t="str">
        <f aca="false">IF($F86="","",$D86&amp;"|"&amp;$E86&amp;"|"&amp;$L86)</f>
        <v>F-624|Baixa de pendências backlog|35</v>
      </c>
      <c r="AK86" s="39" t="n">
        <f aca="false">IF($AJ86="","",COUNTIF($AJ$4:$AJ86,$AJ86))</f>
        <v>19</v>
      </c>
      <c r="AL86" s="39" t="n">
        <f aca="false">IF($AJ86="","",COUNTIF($AJ$4:$AJ$1004,$AJ86))</f>
        <v>20</v>
      </c>
      <c r="AM86" s="42"/>
      <c r="AN86" s="50" t="str">
        <f aca="false">IF($D86="","",IFERROR(T(VLOOKUP($D86,Listas!$B$5:$H$120,7,0)),""))</f>
        <v/>
      </c>
      <c r="AO86" s="50" t="str">
        <f aca="false">IF(OR($F86="",$L86&lt;&gt;"",$R86="Cancelada",$AT86&lt;&gt;""),"",$AN86&amp;"|"&amp;$D86&amp;"|"&amp;IF($C86="","zzz",$C86)&amp;"|"&amp;TEXT(86,"0000"))</f>
        <v/>
      </c>
      <c r="AP86" s="50" t="str">
        <f aca="false">IF($AO86="","",COUNTIF($AO$5:$AO$1004,"&lt;"&amp;$AO86)-(ROWS($AO$5:$AO$1004)-Hoje!$L$5)+1)</f>
        <v/>
      </c>
      <c r="AQ86" s="50" t="n">
        <f aca="false">IF(AND($F86&lt;&gt;"",$D86=Frota!$C$3),1,0)</f>
        <v>0</v>
      </c>
      <c r="AR86" s="50" t="str">
        <f aca="false">IF($AQ86=0,"",SUM($AQ$4:$AQ86))</f>
        <v/>
      </c>
      <c r="AS86" s="50" t="str">
        <f aca="false">IFERROR(INDEX(Hoje!$K$10:$K$29,MATCH(ROW(),Hoje!$J$10:$J$29,0)),"")</f>
        <v/>
      </c>
      <c r="AT86" s="47" t="n">
        <f aca="false">IF($Q86&lt;&gt;"",$Q86,$AS86)</f>
        <v>46260</v>
      </c>
    </row>
    <row r="87" customFormat="false" ht="16.5" hidden="false" customHeight="true" outlineLevel="0" collapsed="false">
      <c r="A87" s="39" t="n">
        <f aca="false">IF($F87="","",ROW())</f>
        <v>87</v>
      </c>
      <c r="B87" s="40" t="str">
        <f aca="false">IF($F87="",IF($D87="","","Falta a atividade"),IF($R87="Cancelada","Cancelada",IF($AB87=1,IF(N($Z87)&gt;0,"Concluída com atraso","Concluída"),IF($R87="Em programação","Em programação",IF($O87="",IF($M87="","Na carteira","Falta a semana"),IF($AC87=1,"VENCIDA",IF($O87&gt;Hoje!$L$1,"Programada",IF($P87&gt;Hoje!$L$1,"Em execução","Fecha hoje"))))))))</f>
        <v>Concluída</v>
      </c>
      <c r="C87" s="41"/>
      <c r="D87" s="42" t="s">
        <v>229</v>
      </c>
      <c r="E87" s="42" t="s">
        <v>230</v>
      </c>
      <c r="F87" s="42" t="s">
        <v>256</v>
      </c>
      <c r="G87" s="43" t="s">
        <v>80</v>
      </c>
      <c r="H87" s="43" t="s">
        <v>81</v>
      </c>
      <c r="I87" s="44" t="s">
        <v>106</v>
      </c>
      <c r="J87" s="44" t="s">
        <v>107</v>
      </c>
      <c r="K87" s="44" t="s">
        <v>88</v>
      </c>
      <c r="L87" s="45" t="n">
        <v>35</v>
      </c>
      <c r="M87" s="46" t="s">
        <v>84</v>
      </c>
      <c r="N87" s="45" t="n">
        <v>4</v>
      </c>
      <c r="O87" s="47" t="n">
        <f aca="false">IF(OR($L87="",$M87=""),"",(DATE(Semana!$J$3,1,4)-WEEKDAY(DATE(Semana!$J$3,1,4),3))+($L87-1)*7+MATCH($M87,Listas!$F$5:$F$11,0)-1)</f>
        <v>46260</v>
      </c>
      <c r="P87" s="47" t="n">
        <f aca="false">IF(OR($F87="",$O87=""),"",$O87+MAX(0,ROUNDUP($AK87*MAX(1,IF($N87="",1,$N87))/MAX(1,$AL87),0)-1))</f>
        <v>46263</v>
      </c>
      <c r="Q87" s="48" t="n">
        <v>46260</v>
      </c>
      <c r="R87" s="43" t="s">
        <v>85</v>
      </c>
      <c r="S87" s="49"/>
      <c r="T87" s="42"/>
      <c r="U87" s="42" t="s">
        <v>249</v>
      </c>
      <c r="V87" s="39" t="str">
        <f aca="false">IF($F87="","",IF(ISNUMBER(SEARCH("(externo)",$I87&amp;$J87&amp;$K87)),"Terceirizada","Interna"))</f>
        <v>Interna</v>
      </c>
      <c r="W87" s="47" t="n">
        <f aca="false">IF($O87="","",IF($S87="",$O87,(DATE(Semana!$J$3,1,4)-WEEKDAY(DATE(Semana!$J$3,1,4),3))+($S87-1)*7+IF($M87="",0,MATCH($M87,Listas!$F$5:$F$11,0)-1)))</f>
        <v>46260</v>
      </c>
      <c r="X87" s="39" t="n">
        <f aca="false">IF($F87="","",IF(OR($AT87="",$O87=""),0,IF($AT87&lt;=$O87,1,0)))</f>
        <v>1</v>
      </c>
      <c r="Y87" s="39" t="n">
        <f aca="false">IF($F87="","",IF(OR($AT87="",$W87=""),0,IF($AT87&lt;=$W87,1,0)))</f>
        <v>1</v>
      </c>
      <c r="Z87" s="39" t="n">
        <f aca="false">IF(OR($AT87="",$O87=""),"",MAX(0,$AT87-$O87))</f>
        <v>0</v>
      </c>
      <c r="AA87" s="39" t="n">
        <f aca="false">IF($F87="","",IF(AND($S87&lt;&gt;"",$L87&lt;&gt;"",$S87&lt;&gt;$L87),1,0))</f>
        <v>0</v>
      </c>
      <c r="AB87" s="39" t="n">
        <f aca="false">IF($F87="","",IF($R87="Cancelada",0,IF(OR($AT87&lt;&gt;"",$R87="Concluída"),1,0)))</f>
        <v>1</v>
      </c>
      <c r="AC87" s="39" t="n">
        <f aca="false">IF($P87="",0,IF($P87&lt;Hoje!$L$1,1,IF(AND($P87=Hoje!$L$1,Hoje!$L$2&gt;Semana!$M$3),1,0)))</f>
        <v>1</v>
      </c>
      <c r="AD87" s="39" t="n">
        <f aca="false">IF($F87="","",IF(COUNTA($I87:$K87)=0,0,1/COUNTA($I87:$K87)))</f>
        <v>0.333333333333333</v>
      </c>
      <c r="AE87" s="39" t="str">
        <f aca="false">IF($AH87=0,"",SUM($AH$4:$AH87))</f>
        <v/>
      </c>
      <c r="AF87" s="39" t="str">
        <f aca="false">IF($AI87=0,"",SUM($AI$4:$AI87))</f>
        <v/>
      </c>
      <c r="AG87" s="50" t="str">
        <f aca="false">IF($F87="","",$I87&amp;IF($J87="",""," · "&amp;$J87)&amp;IF($K87="",""," · "&amp;$K87))</f>
        <v>Adilton · Gabriel · Júnior</v>
      </c>
      <c r="AH87" s="39" t="n">
        <f aca="false">IF(AND($F87&lt;&gt;"",$O87&lt;&gt;"",$O87&lt;=Hoje!$C$3,$P87&gt;=Hoje!$C$3,$R87&lt;&gt;"Cancelada"),1,0)</f>
        <v>0</v>
      </c>
      <c r="AI87" s="39" t="n">
        <f aca="false">IF(AND($F87&lt;&gt;"",$P87&lt;&gt;"",$P87&lt;Hoje!$C$3,$AB87=0,$R87&lt;&gt;"Cancelada"),1,0)</f>
        <v>0</v>
      </c>
      <c r="AJ87" s="50" t="str">
        <f aca="false">IF($F87="","",$D87&amp;"|"&amp;$E87&amp;"|"&amp;$L87)</f>
        <v>F-624|Baixa de pendências backlog|35</v>
      </c>
      <c r="AK87" s="39" t="n">
        <f aca="false">IF($AJ87="","",COUNTIF($AJ$4:$AJ87,$AJ87))</f>
        <v>20</v>
      </c>
      <c r="AL87" s="39" t="n">
        <f aca="false">IF($AJ87="","",COUNTIF($AJ$4:$AJ$1004,$AJ87))</f>
        <v>20</v>
      </c>
      <c r="AM87" s="42"/>
      <c r="AN87" s="50" t="str">
        <f aca="false">IF($D87="","",IFERROR(T(VLOOKUP($D87,Listas!$B$5:$H$120,7,0)),""))</f>
        <v/>
      </c>
      <c r="AO87" s="50" t="str">
        <f aca="false">IF(OR($F87="",$L87&lt;&gt;"",$R87="Cancelada",$AT87&lt;&gt;""),"",$AN87&amp;"|"&amp;$D87&amp;"|"&amp;IF($C87="","zzz",$C87)&amp;"|"&amp;TEXT(87,"0000"))</f>
        <v/>
      </c>
      <c r="AP87" s="50" t="str">
        <f aca="false">IF($AO87="","",COUNTIF($AO$5:$AO$1004,"&lt;"&amp;$AO87)-(ROWS($AO$5:$AO$1004)-Hoje!$L$5)+1)</f>
        <v/>
      </c>
      <c r="AQ87" s="50" t="n">
        <f aca="false">IF(AND($F87&lt;&gt;"",$D87=Frota!$C$3),1,0)</f>
        <v>0</v>
      </c>
      <c r="AR87" s="50" t="str">
        <f aca="false">IF($AQ87=0,"",SUM($AQ$4:$AQ87))</f>
        <v/>
      </c>
      <c r="AS87" s="50" t="str">
        <f aca="false">IFERROR(INDEX(Hoje!$K$10:$K$29,MATCH(ROW(),Hoje!$J$10:$J$29,0)),"")</f>
        <v/>
      </c>
      <c r="AT87" s="47" t="n">
        <f aca="false">IF($Q87&lt;&gt;"",$Q87,$AS87)</f>
        <v>46260</v>
      </c>
    </row>
    <row r="88" customFormat="false" ht="16.5" hidden="false" customHeight="true" outlineLevel="0" collapsed="false">
      <c r="A88" s="39" t="n">
        <f aca="false">IF($F88="","",ROW())</f>
        <v>88</v>
      </c>
      <c r="B88" s="40" t="str">
        <f aca="false">IF($F88="",IF($D88="","","Falta a atividade"),IF($R88="Cancelada","Cancelada",IF($AB88=1,IF(N($Z88)&gt;0,"Concluída com atraso","Concluída"),IF($R88="Em programação","Em programação",IF($O88="",IF($M88="","Na carteira","Falta a semana"),IF($AC88=1,"VENCIDA",IF($O88&gt;Hoje!$L$1,"Programada",IF($P88&gt;Hoje!$L$1,"Em execução","Fecha hoje"))))))))</f>
        <v>Concluída com atraso</v>
      </c>
      <c r="C88" s="41" t="s">
        <v>257</v>
      </c>
      <c r="D88" s="42" t="s">
        <v>258</v>
      </c>
      <c r="E88" s="42" t="s">
        <v>259</v>
      </c>
      <c r="F88" s="42" t="s">
        <v>260</v>
      </c>
      <c r="G88" s="43" t="s">
        <v>80</v>
      </c>
      <c r="H88" s="43" t="s">
        <v>81</v>
      </c>
      <c r="I88" s="44" t="s">
        <v>106</v>
      </c>
      <c r="J88" s="44" t="s">
        <v>182</v>
      </c>
      <c r="K88" s="44"/>
      <c r="L88" s="45" t="n">
        <v>35</v>
      </c>
      <c r="M88" s="46" t="s">
        <v>108</v>
      </c>
      <c r="N88" s="45" t="n">
        <v>4</v>
      </c>
      <c r="O88" s="47" t="n">
        <f aca="false">IF(OR($L88="",$M88=""),"",(DATE(Semana!$J$3,1,4)-WEEKDAY(DATE(Semana!$J$3,1,4),3))+($L88-1)*7+MATCH($M88,Listas!$F$5:$F$11,0)-1)</f>
        <v>46258</v>
      </c>
      <c r="P88" s="47" t="n">
        <f aca="false">IF(OR($F88="",$O88=""),"",$O88+MAX(0,ROUNDUP($AK88*MAX(1,IF($N88="",1,$N88))/MAX(1,$AL88),0)-1))</f>
        <v>46258</v>
      </c>
      <c r="Q88" s="48" t="n">
        <v>46260</v>
      </c>
      <c r="R88" s="43" t="s">
        <v>85</v>
      </c>
      <c r="S88" s="49"/>
      <c r="T88" s="42"/>
      <c r="U88" s="42"/>
      <c r="V88" s="39" t="str">
        <f aca="false">IF($F88="","",IF(ISNUMBER(SEARCH("(externo)",$I88&amp;$J88&amp;$K88)),"Terceirizada","Interna"))</f>
        <v>Interna</v>
      </c>
      <c r="W88" s="47" t="n">
        <f aca="false">IF($O88="","",IF($S88="",$O88,(DATE(Semana!$J$3,1,4)-WEEKDAY(DATE(Semana!$J$3,1,4),3))+($S88-1)*7+IF($M88="",0,MATCH($M88,Listas!$F$5:$F$11,0)-1)))</f>
        <v>46258</v>
      </c>
      <c r="X88" s="39" t="n">
        <f aca="false">IF($F88="","",IF(OR($AT88="",$O88=""),0,IF($AT88&lt;=$O88,1,0)))</f>
        <v>0</v>
      </c>
      <c r="Y88" s="39" t="n">
        <f aca="false">IF($F88="","",IF(OR($AT88="",$W88=""),0,IF($AT88&lt;=$W88,1,0)))</f>
        <v>0</v>
      </c>
      <c r="Z88" s="39" t="n">
        <f aca="false">IF(OR($AT88="",$O88=""),"",MAX(0,$AT88-$O88))</f>
        <v>2</v>
      </c>
      <c r="AA88" s="39" t="n">
        <f aca="false">IF($F88="","",IF(AND($S88&lt;&gt;"",$L88&lt;&gt;"",$S88&lt;&gt;$L88),1,0))</f>
        <v>0</v>
      </c>
      <c r="AB88" s="39" t="n">
        <f aca="false">IF($F88="","",IF($R88="Cancelada",0,IF(OR($AT88&lt;&gt;"",$R88="Concluída"),1,0)))</f>
        <v>1</v>
      </c>
      <c r="AC88" s="39" t="n">
        <f aca="false">IF($P88="",0,IF($P88&lt;Hoje!$L$1,1,IF(AND($P88=Hoje!$L$1,Hoje!$L$2&gt;Semana!$M$3),1,0)))</f>
        <v>1</v>
      </c>
      <c r="AD88" s="39" t="n">
        <f aca="false">IF($F88="","",IF(COUNTA($I88:$K88)=0,0,1/COUNTA($I88:$K88)))</f>
        <v>0.5</v>
      </c>
      <c r="AE88" s="39" t="str">
        <f aca="false">IF($AH88=0,"",SUM($AH$4:$AH88))</f>
        <v/>
      </c>
      <c r="AF88" s="39" t="str">
        <f aca="false">IF($AI88=0,"",SUM($AI$4:$AI88))</f>
        <v/>
      </c>
      <c r="AG88" s="50" t="str">
        <f aca="false">IF($F88="","",$I88&amp;IF($J88="",""," · "&amp;$J88)&amp;IF($K88="",""," · "&amp;$K88))</f>
        <v>Adilton · Alexandre</v>
      </c>
      <c r="AH88" s="39" t="n">
        <f aca="false">IF(AND($F88&lt;&gt;"",$O88&lt;&gt;"",$O88&lt;=Hoje!$C$3,$P88&gt;=Hoje!$C$3,$R88&lt;&gt;"Cancelada"),1,0)</f>
        <v>0</v>
      </c>
      <c r="AI88" s="39" t="n">
        <f aca="false">IF(AND($F88&lt;&gt;"",$P88&lt;&gt;"",$P88&lt;Hoje!$C$3,$AB88=0,$R88&lt;&gt;"Cancelada"),1,0)</f>
        <v>0</v>
      </c>
      <c r="AJ88" s="50" t="str">
        <f aca="false">IF($F88="","",$D88&amp;"|"&amp;$E88&amp;"|"&amp;$L88)</f>
        <v>F-626|Trocar o cabeçote|35</v>
      </c>
      <c r="AK88" s="39" t="n">
        <f aca="false">IF($AJ88="","",COUNTIF($AJ$4:$AJ88,$AJ88))</f>
        <v>1</v>
      </c>
      <c r="AL88" s="39" t="n">
        <f aca="false">IF($AJ88="","",COUNTIF($AJ$4:$AJ$1004,$AJ88))</f>
        <v>8</v>
      </c>
      <c r="AM88" s="42"/>
      <c r="AN88" s="50" t="str">
        <f aca="false">IF($D88="","",IFERROR(T(VLOOKUP($D88,Listas!$B$5:$H$120,7,0)),""))</f>
        <v/>
      </c>
      <c r="AO88" s="50" t="str">
        <f aca="false">IF(OR($F88="",$L88&lt;&gt;"",$R88="Cancelada",$AT88&lt;&gt;""),"",$AN88&amp;"|"&amp;$D88&amp;"|"&amp;IF($C88="","zzz",$C88)&amp;"|"&amp;TEXT(88,"0000"))</f>
        <v/>
      </c>
      <c r="AP88" s="50" t="str">
        <f aca="false">IF($AO88="","",COUNTIF($AO$5:$AO$1004,"&lt;"&amp;$AO88)-(ROWS($AO$5:$AO$1004)-Hoje!$L$5)+1)</f>
        <v/>
      </c>
      <c r="AQ88" s="50" t="n">
        <f aca="false">IF(AND($F88&lt;&gt;"",$D88=Frota!$C$3),1,0)</f>
        <v>0</v>
      </c>
      <c r="AR88" s="50" t="str">
        <f aca="false">IF($AQ88=0,"",SUM($AQ$4:$AQ88))</f>
        <v/>
      </c>
      <c r="AS88" s="50" t="str">
        <f aca="false">IFERROR(INDEX(Hoje!$K$10:$K$29,MATCH(ROW(),Hoje!$J$10:$J$29,0)),"")</f>
        <v/>
      </c>
      <c r="AT88" s="47" t="n">
        <f aca="false">IF($Q88&lt;&gt;"",$Q88,$AS88)</f>
        <v>46260</v>
      </c>
    </row>
    <row r="89" customFormat="false" ht="16.5" hidden="false" customHeight="true" outlineLevel="0" collapsed="false">
      <c r="A89" s="39" t="n">
        <f aca="false">IF($F89="","",ROW())</f>
        <v>89</v>
      </c>
      <c r="B89" s="40" t="str">
        <f aca="false">IF($F89="",IF($D89="","","Falta a atividade"),IF($R89="Cancelada","Cancelada",IF($AB89=1,IF(N($Z89)&gt;0,"Concluída com atraso","Concluída"),IF($R89="Em programação","Em programação",IF($O89="",IF($M89="","Na carteira","Falta a semana"),IF($AC89=1,"VENCIDA",IF($O89&gt;Hoje!$L$1,"Programada",IF($P89&gt;Hoje!$L$1,"Em execução","Fecha hoje"))))))))</f>
        <v>Concluída com atraso</v>
      </c>
      <c r="C89" s="41" t="s">
        <v>261</v>
      </c>
      <c r="D89" s="42" t="s">
        <v>258</v>
      </c>
      <c r="E89" s="42" t="s">
        <v>259</v>
      </c>
      <c r="F89" s="42" t="s">
        <v>262</v>
      </c>
      <c r="G89" s="43" t="s">
        <v>80</v>
      </c>
      <c r="H89" s="43" t="s">
        <v>81</v>
      </c>
      <c r="I89" s="44" t="s">
        <v>106</v>
      </c>
      <c r="J89" s="44" t="s">
        <v>182</v>
      </c>
      <c r="K89" s="44"/>
      <c r="L89" s="45" t="n">
        <v>35</v>
      </c>
      <c r="M89" s="46" t="s">
        <v>108</v>
      </c>
      <c r="N89" s="45" t="n">
        <v>4</v>
      </c>
      <c r="O89" s="47" t="n">
        <f aca="false">IF(OR($L89="",$M89=""),"",(DATE(Semana!$J$3,1,4)-WEEKDAY(DATE(Semana!$J$3,1,4),3))+($L89-1)*7+MATCH($M89,Listas!$F$5:$F$11,0)-1)</f>
        <v>46258</v>
      </c>
      <c r="P89" s="47" t="n">
        <f aca="false">IF(OR($F89="",$O89=""),"",$O89+MAX(0,ROUNDUP($AK89*MAX(1,IF($N89="",1,$N89))/MAX(1,$AL89),0)-1))</f>
        <v>46258</v>
      </c>
      <c r="Q89" s="48" t="n">
        <v>46260</v>
      </c>
      <c r="R89" s="43" t="s">
        <v>85</v>
      </c>
      <c r="S89" s="49"/>
      <c r="T89" s="42"/>
      <c r="U89" s="42"/>
      <c r="V89" s="39" t="str">
        <f aca="false">IF($F89="","",IF(ISNUMBER(SEARCH("(externo)",$I89&amp;$J89&amp;$K89)),"Terceirizada","Interna"))</f>
        <v>Interna</v>
      </c>
      <c r="W89" s="47" t="n">
        <f aca="false">IF($O89="","",IF($S89="",$O89,(DATE(Semana!$J$3,1,4)-WEEKDAY(DATE(Semana!$J$3,1,4),3))+($S89-1)*7+IF($M89="",0,MATCH($M89,Listas!$F$5:$F$11,0)-1)))</f>
        <v>46258</v>
      </c>
      <c r="X89" s="39" t="n">
        <f aca="false">IF($F89="","",IF(OR($AT89="",$O89=""),0,IF($AT89&lt;=$O89,1,0)))</f>
        <v>0</v>
      </c>
      <c r="Y89" s="39" t="n">
        <f aca="false">IF($F89="","",IF(OR($AT89="",$W89=""),0,IF($AT89&lt;=$W89,1,0)))</f>
        <v>0</v>
      </c>
      <c r="Z89" s="39" t="n">
        <f aca="false">IF(OR($AT89="",$O89=""),"",MAX(0,$AT89-$O89))</f>
        <v>2</v>
      </c>
      <c r="AA89" s="39" t="n">
        <f aca="false">IF($F89="","",IF(AND($S89&lt;&gt;"",$L89&lt;&gt;"",$S89&lt;&gt;$L89),1,0))</f>
        <v>0</v>
      </c>
      <c r="AB89" s="39" t="n">
        <f aca="false">IF($F89="","",IF($R89="Cancelada",0,IF(OR($AT89&lt;&gt;"",$R89="Concluída"),1,0)))</f>
        <v>1</v>
      </c>
      <c r="AC89" s="39" t="n">
        <f aca="false">IF($P89="",0,IF($P89&lt;Hoje!$L$1,1,IF(AND($P89=Hoje!$L$1,Hoje!$L$2&gt;Semana!$M$3),1,0)))</f>
        <v>1</v>
      </c>
      <c r="AD89" s="39" t="n">
        <f aca="false">IF($F89="","",IF(COUNTA($I89:$K89)=0,0,1/COUNTA($I89:$K89)))</f>
        <v>0.5</v>
      </c>
      <c r="AE89" s="39" t="str">
        <f aca="false">IF($AH89=0,"",SUM($AH$4:$AH89))</f>
        <v/>
      </c>
      <c r="AF89" s="39" t="str">
        <f aca="false">IF($AI89=0,"",SUM($AI$4:$AI89))</f>
        <v/>
      </c>
      <c r="AG89" s="50" t="str">
        <f aca="false">IF($F89="","",$I89&amp;IF($J89="",""," · "&amp;$J89)&amp;IF($K89="",""," · "&amp;$K89))</f>
        <v>Adilton · Alexandre</v>
      </c>
      <c r="AH89" s="39" t="n">
        <f aca="false">IF(AND($F89&lt;&gt;"",$O89&lt;&gt;"",$O89&lt;=Hoje!$C$3,$P89&gt;=Hoje!$C$3,$R89&lt;&gt;"Cancelada"),1,0)</f>
        <v>0</v>
      </c>
      <c r="AI89" s="39" t="n">
        <f aca="false">IF(AND($F89&lt;&gt;"",$P89&lt;&gt;"",$P89&lt;Hoje!$C$3,$AB89=0,$R89&lt;&gt;"Cancelada"),1,0)</f>
        <v>0</v>
      </c>
      <c r="AJ89" s="50" t="str">
        <f aca="false">IF($F89="","",$D89&amp;"|"&amp;$E89&amp;"|"&amp;$L89)</f>
        <v>F-626|Trocar o cabeçote|35</v>
      </c>
      <c r="AK89" s="39" t="n">
        <f aca="false">IF($AJ89="","",COUNTIF($AJ$4:$AJ89,$AJ89))</f>
        <v>2</v>
      </c>
      <c r="AL89" s="39" t="n">
        <f aca="false">IF($AJ89="","",COUNTIF($AJ$4:$AJ$1004,$AJ89))</f>
        <v>8</v>
      </c>
      <c r="AM89" s="42"/>
      <c r="AN89" s="50" t="str">
        <f aca="false">IF($D89="","",IFERROR(T(VLOOKUP($D89,Listas!$B$5:$H$120,7,0)),""))</f>
        <v/>
      </c>
      <c r="AO89" s="50" t="str">
        <f aca="false">IF(OR($F89="",$L89&lt;&gt;"",$R89="Cancelada",$AT89&lt;&gt;""),"",$AN89&amp;"|"&amp;$D89&amp;"|"&amp;IF($C89="","zzz",$C89)&amp;"|"&amp;TEXT(89,"0000"))</f>
        <v/>
      </c>
      <c r="AP89" s="50" t="str">
        <f aca="false">IF($AO89="","",COUNTIF($AO$5:$AO$1004,"&lt;"&amp;$AO89)-(ROWS($AO$5:$AO$1004)-Hoje!$L$5)+1)</f>
        <v/>
      </c>
      <c r="AQ89" s="50" t="n">
        <f aca="false">IF(AND($F89&lt;&gt;"",$D89=Frota!$C$3),1,0)</f>
        <v>0</v>
      </c>
      <c r="AR89" s="50" t="str">
        <f aca="false">IF($AQ89=0,"",SUM($AQ$4:$AQ89))</f>
        <v/>
      </c>
      <c r="AS89" s="50" t="str">
        <f aca="false">IFERROR(INDEX(Hoje!$K$10:$K$29,MATCH(ROW(),Hoje!$J$10:$J$29,0)),"")</f>
        <v/>
      </c>
      <c r="AT89" s="47" t="n">
        <f aca="false">IF($Q89&lt;&gt;"",$Q89,$AS89)</f>
        <v>46260</v>
      </c>
    </row>
    <row r="90" customFormat="false" ht="16.5" hidden="false" customHeight="true" outlineLevel="0" collapsed="false">
      <c r="A90" s="39" t="n">
        <f aca="false">IF($F90="","",ROW())</f>
        <v>90</v>
      </c>
      <c r="B90" s="40" t="str">
        <f aca="false">IF($F90="",IF($D90="","","Falta a atividade"),IF($R90="Cancelada","Cancelada",IF($AB90=1,IF(N($Z90)&gt;0,"Concluída com atraso","Concluída"),IF($R90="Em programação","Em programação",IF($O90="",IF($M90="","Na carteira","Falta a semana"),IF($AC90=1,"VENCIDA",IF($O90&gt;Hoje!$L$1,"Programada",IF($P90&gt;Hoje!$L$1,"Em execução","Fecha hoje"))))))))</f>
        <v>Concluída com atraso</v>
      </c>
      <c r="C90" s="41" t="s">
        <v>263</v>
      </c>
      <c r="D90" s="42" t="s">
        <v>258</v>
      </c>
      <c r="E90" s="42" t="s">
        <v>259</v>
      </c>
      <c r="F90" s="42" t="s">
        <v>264</v>
      </c>
      <c r="G90" s="43" t="s">
        <v>80</v>
      </c>
      <c r="H90" s="43" t="s">
        <v>81</v>
      </c>
      <c r="I90" s="44" t="s">
        <v>106</v>
      </c>
      <c r="J90" s="44" t="s">
        <v>182</v>
      </c>
      <c r="K90" s="44"/>
      <c r="L90" s="45" t="n">
        <v>35</v>
      </c>
      <c r="M90" s="46" t="s">
        <v>108</v>
      </c>
      <c r="N90" s="45" t="n">
        <v>4</v>
      </c>
      <c r="O90" s="47" t="n">
        <f aca="false">IF(OR($L90="",$M90=""),"",(DATE(Semana!$J$3,1,4)-WEEKDAY(DATE(Semana!$J$3,1,4),3))+($L90-1)*7+MATCH($M90,Listas!$F$5:$F$11,0)-1)</f>
        <v>46258</v>
      </c>
      <c r="P90" s="47" t="n">
        <f aca="false">IF(OR($F90="",$O90=""),"",$O90+MAX(0,ROUNDUP($AK90*MAX(1,IF($N90="",1,$N90))/MAX(1,$AL90),0)-1))</f>
        <v>46259</v>
      </c>
      <c r="Q90" s="48" t="n">
        <v>46260</v>
      </c>
      <c r="R90" s="43" t="s">
        <v>85</v>
      </c>
      <c r="S90" s="49"/>
      <c r="T90" s="42"/>
      <c r="U90" s="42"/>
      <c r="V90" s="39" t="str">
        <f aca="false">IF($F90="","",IF(ISNUMBER(SEARCH("(externo)",$I90&amp;$J90&amp;$K90)),"Terceirizada","Interna"))</f>
        <v>Interna</v>
      </c>
      <c r="W90" s="47" t="n">
        <f aca="false">IF($O90="","",IF($S90="",$O90,(DATE(Semana!$J$3,1,4)-WEEKDAY(DATE(Semana!$J$3,1,4),3))+($S90-1)*7+IF($M90="",0,MATCH($M90,Listas!$F$5:$F$11,0)-1)))</f>
        <v>46258</v>
      </c>
      <c r="X90" s="39" t="n">
        <f aca="false">IF($F90="","",IF(OR($AT90="",$O90=""),0,IF($AT90&lt;=$O90,1,0)))</f>
        <v>0</v>
      </c>
      <c r="Y90" s="39" t="n">
        <f aca="false">IF($F90="","",IF(OR($AT90="",$W90=""),0,IF($AT90&lt;=$W90,1,0)))</f>
        <v>0</v>
      </c>
      <c r="Z90" s="39" t="n">
        <f aca="false">IF(OR($AT90="",$O90=""),"",MAX(0,$AT90-$O90))</f>
        <v>2</v>
      </c>
      <c r="AA90" s="39" t="n">
        <f aca="false">IF($F90="","",IF(AND($S90&lt;&gt;"",$L90&lt;&gt;"",$S90&lt;&gt;$L90),1,0))</f>
        <v>0</v>
      </c>
      <c r="AB90" s="39" t="n">
        <f aca="false">IF($F90="","",IF($R90="Cancelada",0,IF(OR($AT90&lt;&gt;"",$R90="Concluída"),1,0)))</f>
        <v>1</v>
      </c>
      <c r="AC90" s="39" t="n">
        <f aca="false">IF($P90="",0,IF($P90&lt;Hoje!$L$1,1,IF(AND($P90=Hoje!$L$1,Hoje!$L$2&gt;Semana!$M$3),1,0)))</f>
        <v>1</v>
      </c>
      <c r="AD90" s="39" t="n">
        <f aca="false">IF($F90="","",IF(COUNTA($I90:$K90)=0,0,1/COUNTA($I90:$K90)))</f>
        <v>0.5</v>
      </c>
      <c r="AE90" s="39" t="str">
        <f aca="false">IF($AH90=0,"",SUM($AH$4:$AH90))</f>
        <v/>
      </c>
      <c r="AF90" s="39" t="str">
        <f aca="false">IF($AI90=0,"",SUM($AI$4:$AI90))</f>
        <v/>
      </c>
      <c r="AG90" s="50" t="str">
        <f aca="false">IF($F90="","",$I90&amp;IF($J90="",""," · "&amp;$J90)&amp;IF($K90="",""," · "&amp;$K90))</f>
        <v>Adilton · Alexandre</v>
      </c>
      <c r="AH90" s="39" t="n">
        <f aca="false">IF(AND($F90&lt;&gt;"",$O90&lt;&gt;"",$O90&lt;=Hoje!$C$3,$P90&gt;=Hoje!$C$3,$R90&lt;&gt;"Cancelada"),1,0)</f>
        <v>0</v>
      </c>
      <c r="AI90" s="39" t="n">
        <f aca="false">IF(AND($F90&lt;&gt;"",$P90&lt;&gt;"",$P90&lt;Hoje!$C$3,$AB90=0,$R90&lt;&gt;"Cancelada"),1,0)</f>
        <v>0</v>
      </c>
      <c r="AJ90" s="50" t="str">
        <f aca="false">IF($F90="","",$D90&amp;"|"&amp;$E90&amp;"|"&amp;$L90)</f>
        <v>F-626|Trocar o cabeçote|35</v>
      </c>
      <c r="AK90" s="39" t="n">
        <f aca="false">IF($AJ90="","",COUNTIF($AJ$4:$AJ90,$AJ90))</f>
        <v>3</v>
      </c>
      <c r="AL90" s="39" t="n">
        <f aca="false">IF($AJ90="","",COUNTIF($AJ$4:$AJ$1004,$AJ90))</f>
        <v>8</v>
      </c>
      <c r="AM90" s="42"/>
      <c r="AN90" s="50" t="str">
        <f aca="false">IF($D90="","",IFERROR(T(VLOOKUP($D90,Listas!$B$5:$H$120,7,0)),""))</f>
        <v/>
      </c>
      <c r="AO90" s="50" t="str">
        <f aca="false">IF(OR($F90="",$L90&lt;&gt;"",$R90="Cancelada",$AT90&lt;&gt;""),"",$AN90&amp;"|"&amp;$D90&amp;"|"&amp;IF($C90="","zzz",$C90)&amp;"|"&amp;TEXT(90,"0000"))</f>
        <v/>
      </c>
      <c r="AP90" s="50" t="str">
        <f aca="false">IF($AO90="","",COUNTIF($AO$5:$AO$1004,"&lt;"&amp;$AO90)-(ROWS($AO$5:$AO$1004)-Hoje!$L$5)+1)</f>
        <v/>
      </c>
      <c r="AQ90" s="50" t="n">
        <f aca="false">IF(AND($F90&lt;&gt;"",$D90=Frota!$C$3),1,0)</f>
        <v>0</v>
      </c>
      <c r="AR90" s="50" t="str">
        <f aca="false">IF($AQ90=0,"",SUM($AQ$4:$AQ90))</f>
        <v/>
      </c>
      <c r="AS90" s="50" t="str">
        <f aca="false">IFERROR(INDEX(Hoje!$K$10:$K$29,MATCH(ROW(),Hoje!$J$10:$J$29,0)),"")</f>
        <v/>
      </c>
      <c r="AT90" s="47" t="n">
        <f aca="false">IF($Q90&lt;&gt;"",$Q90,$AS90)</f>
        <v>46260</v>
      </c>
    </row>
    <row r="91" customFormat="false" ht="16.5" hidden="false" customHeight="true" outlineLevel="0" collapsed="false">
      <c r="A91" s="39" t="n">
        <f aca="false">IF($F91="","",ROW())</f>
        <v>91</v>
      </c>
      <c r="B91" s="40" t="str">
        <f aca="false">IF($F91="",IF($D91="","","Falta a atividade"),IF($R91="Cancelada","Cancelada",IF($AB91=1,IF(N($Z91)&gt;0,"Concluída com atraso","Concluída"),IF($R91="Em programação","Em programação",IF($O91="",IF($M91="","Na carteira","Falta a semana"),IF($AC91=1,"VENCIDA",IF($O91&gt;Hoje!$L$1,"Programada",IF($P91&gt;Hoje!$L$1,"Em execução","Fecha hoje"))))))))</f>
        <v>Concluída com atraso</v>
      </c>
      <c r="C91" s="41" t="s">
        <v>265</v>
      </c>
      <c r="D91" s="42" t="s">
        <v>258</v>
      </c>
      <c r="E91" s="42" t="s">
        <v>259</v>
      </c>
      <c r="F91" s="42" t="s">
        <v>266</v>
      </c>
      <c r="G91" s="43" t="s">
        <v>80</v>
      </c>
      <c r="H91" s="43" t="s">
        <v>100</v>
      </c>
      <c r="I91" s="44" t="s">
        <v>106</v>
      </c>
      <c r="J91" s="44" t="s">
        <v>182</v>
      </c>
      <c r="K91" s="44"/>
      <c r="L91" s="45" t="n">
        <v>35</v>
      </c>
      <c r="M91" s="46" t="s">
        <v>131</v>
      </c>
      <c r="N91" s="45" t="n">
        <v>4</v>
      </c>
      <c r="O91" s="47" t="n">
        <f aca="false">IF(OR($L91="",$M91=""),"",(DATE(Semana!$J$3,1,4)-WEEKDAY(DATE(Semana!$J$3,1,4),3))+($L91-1)*7+MATCH($M91,Listas!$F$5:$F$11,0)-1)</f>
        <v>46259</v>
      </c>
      <c r="P91" s="47" t="n">
        <f aca="false">IF(OR($F91="",$O91=""),"",$O91+MAX(0,ROUNDUP($AK91*MAX(1,IF($N91="",1,$N91))/MAX(1,$AL91),0)-1))</f>
        <v>46260</v>
      </c>
      <c r="Q91" s="48" t="n">
        <v>46260</v>
      </c>
      <c r="R91" s="43" t="s">
        <v>85</v>
      </c>
      <c r="S91" s="49"/>
      <c r="T91" s="42"/>
      <c r="U91" s="42" t="s">
        <v>267</v>
      </c>
      <c r="V91" s="39" t="str">
        <f aca="false">IF($F91="","",IF(ISNUMBER(SEARCH("(externo)",$I91&amp;$J91&amp;$K91)),"Terceirizada","Interna"))</f>
        <v>Interna</v>
      </c>
      <c r="W91" s="47" t="n">
        <f aca="false">IF($O91="","",IF($S91="",$O91,(DATE(Semana!$J$3,1,4)-WEEKDAY(DATE(Semana!$J$3,1,4),3))+($S91-1)*7+IF($M91="",0,MATCH($M91,Listas!$F$5:$F$11,0)-1)))</f>
        <v>46259</v>
      </c>
      <c r="X91" s="39" t="n">
        <f aca="false">IF($F91="","",IF(OR($AT91="",$O91=""),0,IF($AT91&lt;=$O91,1,0)))</f>
        <v>0</v>
      </c>
      <c r="Y91" s="39" t="n">
        <f aca="false">IF($F91="","",IF(OR($AT91="",$W91=""),0,IF($AT91&lt;=$W91,1,0)))</f>
        <v>0</v>
      </c>
      <c r="Z91" s="39" t="n">
        <f aca="false">IF(OR($AT91="",$O91=""),"",MAX(0,$AT91-$O91))</f>
        <v>1</v>
      </c>
      <c r="AA91" s="39" t="n">
        <f aca="false">IF($F91="","",IF(AND($S91&lt;&gt;"",$L91&lt;&gt;"",$S91&lt;&gt;$L91),1,0))</f>
        <v>0</v>
      </c>
      <c r="AB91" s="39" t="n">
        <f aca="false">IF($F91="","",IF($R91="Cancelada",0,IF(OR($AT91&lt;&gt;"",$R91="Concluída"),1,0)))</f>
        <v>1</v>
      </c>
      <c r="AC91" s="39" t="n">
        <f aca="false">IF($P91="",0,IF($P91&lt;Hoje!$L$1,1,IF(AND($P91=Hoje!$L$1,Hoje!$L$2&gt;Semana!$M$3),1,0)))</f>
        <v>1</v>
      </c>
      <c r="AD91" s="39" t="n">
        <f aca="false">IF($F91="","",IF(COUNTA($I91:$K91)=0,0,1/COUNTA($I91:$K91)))</f>
        <v>0.5</v>
      </c>
      <c r="AE91" s="39" t="str">
        <f aca="false">IF($AH91=0,"",SUM($AH$4:$AH91))</f>
        <v/>
      </c>
      <c r="AF91" s="39" t="str">
        <f aca="false">IF($AI91=0,"",SUM($AI$4:$AI91))</f>
        <v/>
      </c>
      <c r="AG91" s="50" t="str">
        <f aca="false">IF($F91="","",$I91&amp;IF($J91="",""," · "&amp;$J91)&amp;IF($K91="",""," · "&amp;$K91))</f>
        <v>Adilton · Alexandre</v>
      </c>
      <c r="AH91" s="39" t="n">
        <f aca="false">IF(AND($F91&lt;&gt;"",$O91&lt;&gt;"",$O91&lt;=Hoje!$C$3,$P91&gt;=Hoje!$C$3,$R91&lt;&gt;"Cancelada"),1,0)</f>
        <v>0</v>
      </c>
      <c r="AI91" s="39" t="n">
        <f aca="false">IF(AND($F91&lt;&gt;"",$P91&lt;&gt;"",$P91&lt;Hoje!$C$3,$AB91=0,$R91&lt;&gt;"Cancelada"),1,0)</f>
        <v>0</v>
      </c>
      <c r="AJ91" s="50" t="str">
        <f aca="false">IF($F91="","",$D91&amp;"|"&amp;$E91&amp;"|"&amp;$L91)</f>
        <v>F-626|Trocar o cabeçote|35</v>
      </c>
      <c r="AK91" s="39" t="n">
        <f aca="false">IF($AJ91="","",COUNTIF($AJ$4:$AJ91,$AJ91))</f>
        <v>4</v>
      </c>
      <c r="AL91" s="39" t="n">
        <f aca="false">IF($AJ91="","",COUNTIF($AJ$4:$AJ$1004,$AJ91))</f>
        <v>8</v>
      </c>
      <c r="AM91" s="42"/>
      <c r="AN91" s="50" t="str">
        <f aca="false">IF($D91="","",IFERROR(T(VLOOKUP($D91,Listas!$B$5:$H$120,7,0)),""))</f>
        <v/>
      </c>
      <c r="AO91" s="50" t="str">
        <f aca="false">IF(OR($F91="",$L91&lt;&gt;"",$R91="Cancelada",$AT91&lt;&gt;""),"",$AN91&amp;"|"&amp;$D91&amp;"|"&amp;IF($C91="","zzz",$C91)&amp;"|"&amp;TEXT(91,"0000"))</f>
        <v/>
      </c>
      <c r="AP91" s="50" t="str">
        <f aca="false">IF($AO91="","",COUNTIF($AO$5:$AO$1004,"&lt;"&amp;$AO91)-(ROWS($AO$5:$AO$1004)-Hoje!$L$5)+1)</f>
        <v/>
      </c>
      <c r="AQ91" s="50" t="n">
        <f aca="false">IF(AND($F91&lt;&gt;"",$D91=Frota!$C$3),1,0)</f>
        <v>0</v>
      </c>
      <c r="AR91" s="50" t="str">
        <f aca="false">IF($AQ91=0,"",SUM($AQ$4:$AQ91))</f>
        <v/>
      </c>
      <c r="AS91" s="50" t="str">
        <f aca="false">IFERROR(INDEX(Hoje!$K$10:$K$29,MATCH(ROW(),Hoje!$J$10:$J$29,0)),"")</f>
        <v/>
      </c>
      <c r="AT91" s="47" t="n">
        <f aca="false">IF($Q91&lt;&gt;"",$Q91,$AS91)</f>
        <v>46260</v>
      </c>
    </row>
    <row r="92" customFormat="false" ht="16.5" hidden="false" customHeight="true" outlineLevel="0" collapsed="false">
      <c r="A92" s="39" t="n">
        <f aca="false">IF($F92="","",ROW())</f>
        <v>92</v>
      </c>
      <c r="B92" s="40" t="str">
        <f aca="false">IF($F92="",IF($D92="","","Falta a atividade"),IF($R92="Cancelada","Cancelada",IF($AB92=1,IF(N($Z92)&gt;0,"Concluída com atraso","Concluída"),IF($R92="Em programação","Em programação",IF($O92="",IF($M92="","Na carteira","Falta a semana"),IF($AC92=1,"VENCIDA",IF($O92&gt;Hoje!$L$1,"Programada",IF($P92&gt;Hoje!$L$1,"Em execução","Fecha hoje"))))))))</f>
        <v>Concluída com atraso</v>
      </c>
      <c r="C92" s="41" t="s">
        <v>268</v>
      </c>
      <c r="D92" s="42" t="s">
        <v>258</v>
      </c>
      <c r="E92" s="42" t="s">
        <v>259</v>
      </c>
      <c r="F92" s="42" t="s">
        <v>269</v>
      </c>
      <c r="G92" s="43" t="s">
        <v>80</v>
      </c>
      <c r="H92" s="43" t="s">
        <v>100</v>
      </c>
      <c r="I92" s="44" t="s">
        <v>106</v>
      </c>
      <c r="J92" s="44" t="s">
        <v>182</v>
      </c>
      <c r="K92" s="44"/>
      <c r="L92" s="45" t="n">
        <v>35</v>
      </c>
      <c r="M92" s="46" t="s">
        <v>131</v>
      </c>
      <c r="N92" s="45" t="n">
        <v>4</v>
      </c>
      <c r="O92" s="47" t="n">
        <f aca="false">IF(OR($L92="",$M92=""),"",(DATE(Semana!$J$3,1,4)-WEEKDAY(DATE(Semana!$J$3,1,4),3))+($L92-1)*7+MATCH($M92,Listas!$F$5:$F$11,0)-1)</f>
        <v>46259</v>
      </c>
      <c r="P92" s="47" t="n">
        <f aca="false">IF(OR($F92="",$O92=""),"",$O92+MAX(0,ROUNDUP($AK92*MAX(1,IF($N92="",1,$N92))/MAX(1,$AL92),0)-1))</f>
        <v>46261</v>
      </c>
      <c r="Q92" s="48" t="n">
        <v>46260</v>
      </c>
      <c r="R92" s="43" t="s">
        <v>85</v>
      </c>
      <c r="S92" s="49"/>
      <c r="T92" s="42"/>
      <c r="U92" s="42" t="s">
        <v>270</v>
      </c>
      <c r="V92" s="39" t="str">
        <f aca="false">IF($F92="","",IF(ISNUMBER(SEARCH("(externo)",$I92&amp;$J92&amp;$K92)),"Terceirizada","Interna"))</f>
        <v>Interna</v>
      </c>
      <c r="W92" s="47" t="n">
        <f aca="false">IF($O92="","",IF($S92="",$O92,(DATE(Semana!$J$3,1,4)-WEEKDAY(DATE(Semana!$J$3,1,4),3))+($S92-1)*7+IF($M92="",0,MATCH($M92,Listas!$F$5:$F$11,0)-1)))</f>
        <v>46259</v>
      </c>
      <c r="X92" s="39" t="n">
        <f aca="false">IF($F92="","",IF(OR($AT92="",$O92=""),0,IF($AT92&lt;=$O92,1,0)))</f>
        <v>0</v>
      </c>
      <c r="Y92" s="39" t="n">
        <f aca="false">IF($F92="","",IF(OR($AT92="",$W92=""),0,IF($AT92&lt;=$W92,1,0)))</f>
        <v>0</v>
      </c>
      <c r="Z92" s="39" t="n">
        <f aca="false">IF(OR($AT92="",$O92=""),"",MAX(0,$AT92-$O92))</f>
        <v>1</v>
      </c>
      <c r="AA92" s="39" t="n">
        <f aca="false">IF($F92="","",IF(AND($S92&lt;&gt;"",$L92&lt;&gt;"",$S92&lt;&gt;$L92),1,0))</f>
        <v>0</v>
      </c>
      <c r="AB92" s="39" t="n">
        <f aca="false">IF($F92="","",IF($R92="Cancelada",0,IF(OR($AT92&lt;&gt;"",$R92="Concluída"),1,0)))</f>
        <v>1</v>
      </c>
      <c r="AC92" s="39" t="n">
        <f aca="false">IF($P92="",0,IF($P92&lt;Hoje!$L$1,1,IF(AND($P92=Hoje!$L$1,Hoje!$L$2&gt;Semana!$M$3),1,0)))</f>
        <v>1</v>
      </c>
      <c r="AD92" s="39" t="n">
        <f aca="false">IF($F92="","",IF(COUNTA($I92:$K92)=0,0,1/COUNTA($I92:$K92)))</f>
        <v>0.5</v>
      </c>
      <c r="AE92" s="39" t="str">
        <f aca="false">IF($AH92=0,"",SUM($AH$4:$AH92))</f>
        <v/>
      </c>
      <c r="AF92" s="39" t="str">
        <f aca="false">IF($AI92=0,"",SUM($AI$4:$AI92))</f>
        <v/>
      </c>
      <c r="AG92" s="50" t="str">
        <f aca="false">IF($F92="","",$I92&amp;IF($J92="",""," · "&amp;$J92)&amp;IF($K92="",""," · "&amp;$K92))</f>
        <v>Adilton · Alexandre</v>
      </c>
      <c r="AH92" s="39" t="n">
        <f aca="false">IF(AND($F92&lt;&gt;"",$O92&lt;&gt;"",$O92&lt;=Hoje!$C$3,$P92&gt;=Hoje!$C$3,$R92&lt;&gt;"Cancelada"),1,0)</f>
        <v>0</v>
      </c>
      <c r="AI92" s="39" t="n">
        <f aca="false">IF(AND($F92&lt;&gt;"",$P92&lt;&gt;"",$P92&lt;Hoje!$C$3,$AB92=0,$R92&lt;&gt;"Cancelada"),1,0)</f>
        <v>0</v>
      </c>
      <c r="AJ92" s="50" t="str">
        <f aca="false">IF($F92="","",$D92&amp;"|"&amp;$E92&amp;"|"&amp;$L92)</f>
        <v>F-626|Trocar o cabeçote|35</v>
      </c>
      <c r="AK92" s="39" t="n">
        <f aca="false">IF($AJ92="","",COUNTIF($AJ$4:$AJ92,$AJ92))</f>
        <v>5</v>
      </c>
      <c r="AL92" s="39" t="n">
        <f aca="false">IF($AJ92="","",COUNTIF($AJ$4:$AJ$1004,$AJ92))</f>
        <v>8</v>
      </c>
      <c r="AM92" s="42"/>
      <c r="AN92" s="50" t="str">
        <f aca="false">IF($D92="","",IFERROR(T(VLOOKUP($D92,Listas!$B$5:$H$120,7,0)),""))</f>
        <v/>
      </c>
      <c r="AO92" s="50" t="str">
        <f aca="false">IF(OR($F92="",$L92&lt;&gt;"",$R92="Cancelada",$AT92&lt;&gt;""),"",$AN92&amp;"|"&amp;$D92&amp;"|"&amp;IF($C92="","zzz",$C92)&amp;"|"&amp;TEXT(92,"0000"))</f>
        <v/>
      </c>
      <c r="AP92" s="50" t="str">
        <f aca="false">IF($AO92="","",COUNTIF($AO$5:$AO$1004,"&lt;"&amp;$AO92)-(ROWS($AO$5:$AO$1004)-Hoje!$L$5)+1)</f>
        <v/>
      </c>
      <c r="AQ92" s="50" t="n">
        <f aca="false">IF(AND($F92&lt;&gt;"",$D92=Frota!$C$3),1,0)</f>
        <v>0</v>
      </c>
      <c r="AR92" s="50" t="str">
        <f aca="false">IF($AQ92=0,"",SUM($AQ$4:$AQ92))</f>
        <v/>
      </c>
      <c r="AS92" s="50" t="str">
        <f aca="false">IFERROR(INDEX(Hoje!$K$10:$K$29,MATCH(ROW(),Hoje!$J$10:$J$29,0)),"")</f>
        <v/>
      </c>
      <c r="AT92" s="47" t="n">
        <f aca="false">IF($Q92&lt;&gt;"",$Q92,$AS92)</f>
        <v>46260</v>
      </c>
    </row>
    <row r="93" customFormat="false" ht="16.5" hidden="false" customHeight="true" outlineLevel="0" collapsed="false">
      <c r="A93" s="39" t="n">
        <f aca="false">IF($F93="","",ROW())</f>
        <v>93</v>
      </c>
      <c r="B93" s="40" t="str">
        <f aca="false">IF($F93="",IF($D93="","","Falta a atividade"),IF($R93="Cancelada","Cancelada",IF($AB93=1,IF(N($Z93)&gt;0,"Concluída com atraso","Concluída"),IF($R93="Em programação","Em programação",IF($O93="",IF($M93="","Na carteira","Falta a semana"),IF($AC93=1,"VENCIDA",IF($O93&gt;Hoje!$L$1,"Programada",IF($P93&gt;Hoje!$L$1,"Em execução","Fecha hoje"))))))))</f>
        <v>Concluída com atraso</v>
      </c>
      <c r="C93" s="41" t="s">
        <v>271</v>
      </c>
      <c r="D93" s="42" t="s">
        <v>258</v>
      </c>
      <c r="E93" s="42" t="s">
        <v>259</v>
      </c>
      <c r="F93" s="42" t="s">
        <v>272</v>
      </c>
      <c r="G93" s="43" t="s">
        <v>80</v>
      </c>
      <c r="H93" s="43" t="s">
        <v>100</v>
      </c>
      <c r="I93" s="44" t="s">
        <v>106</v>
      </c>
      <c r="J93" s="44" t="s">
        <v>182</v>
      </c>
      <c r="K93" s="44"/>
      <c r="L93" s="45" t="n">
        <v>35</v>
      </c>
      <c r="M93" s="46" t="s">
        <v>131</v>
      </c>
      <c r="N93" s="45" t="n">
        <v>4</v>
      </c>
      <c r="O93" s="47" t="n">
        <f aca="false">IF(OR($L93="",$M93=""),"",(DATE(Semana!$J$3,1,4)-WEEKDAY(DATE(Semana!$J$3,1,4),3))+($L93-1)*7+MATCH($M93,Listas!$F$5:$F$11,0)-1)</f>
        <v>46259</v>
      </c>
      <c r="P93" s="47" t="n">
        <f aca="false">IF(OR($F93="",$O93=""),"",$O93+MAX(0,ROUNDUP($AK93*MAX(1,IF($N93="",1,$N93))/MAX(1,$AL93),0)-1))</f>
        <v>46261</v>
      </c>
      <c r="Q93" s="48" t="n">
        <v>46260</v>
      </c>
      <c r="R93" s="43" t="s">
        <v>85</v>
      </c>
      <c r="S93" s="49"/>
      <c r="T93" s="42"/>
      <c r="U93" s="42" t="s">
        <v>270</v>
      </c>
      <c r="V93" s="39" t="str">
        <f aca="false">IF($F93="","",IF(ISNUMBER(SEARCH("(externo)",$I93&amp;$J93&amp;$K93)),"Terceirizada","Interna"))</f>
        <v>Interna</v>
      </c>
      <c r="W93" s="47" t="n">
        <f aca="false">IF($O93="","",IF($S93="",$O93,(DATE(Semana!$J$3,1,4)-WEEKDAY(DATE(Semana!$J$3,1,4),3))+($S93-1)*7+IF($M93="",0,MATCH($M93,Listas!$F$5:$F$11,0)-1)))</f>
        <v>46259</v>
      </c>
      <c r="X93" s="39" t="n">
        <f aca="false">IF($F93="","",IF(OR($AT93="",$O93=""),0,IF($AT93&lt;=$O93,1,0)))</f>
        <v>0</v>
      </c>
      <c r="Y93" s="39" t="n">
        <f aca="false">IF($F93="","",IF(OR($AT93="",$W93=""),0,IF($AT93&lt;=$W93,1,0)))</f>
        <v>0</v>
      </c>
      <c r="Z93" s="39" t="n">
        <f aca="false">IF(OR($AT93="",$O93=""),"",MAX(0,$AT93-$O93))</f>
        <v>1</v>
      </c>
      <c r="AA93" s="39" t="n">
        <f aca="false">IF($F93="","",IF(AND($S93&lt;&gt;"",$L93&lt;&gt;"",$S93&lt;&gt;$L93),1,0))</f>
        <v>0</v>
      </c>
      <c r="AB93" s="39" t="n">
        <f aca="false">IF($F93="","",IF($R93="Cancelada",0,IF(OR($AT93&lt;&gt;"",$R93="Concluída"),1,0)))</f>
        <v>1</v>
      </c>
      <c r="AC93" s="39" t="n">
        <f aca="false">IF($P93="",0,IF($P93&lt;Hoje!$L$1,1,IF(AND($P93=Hoje!$L$1,Hoje!$L$2&gt;Semana!$M$3),1,0)))</f>
        <v>1</v>
      </c>
      <c r="AD93" s="39" t="n">
        <f aca="false">IF($F93="","",IF(COUNTA($I93:$K93)=0,0,1/COUNTA($I93:$K93)))</f>
        <v>0.5</v>
      </c>
      <c r="AE93" s="39" t="str">
        <f aca="false">IF($AH93=0,"",SUM($AH$4:$AH93))</f>
        <v/>
      </c>
      <c r="AF93" s="39" t="str">
        <f aca="false">IF($AI93=0,"",SUM($AI$4:$AI93))</f>
        <v/>
      </c>
      <c r="AG93" s="50" t="str">
        <f aca="false">IF($F93="","",$I93&amp;IF($J93="",""," · "&amp;$J93)&amp;IF($K93="",""," · "&amp;$K93))</f>
        <v>Adilton · Alexandre</v>
      </c>
      <c r="AH93" s="39" t="n">
        <f aca="false">IF(AND($F93&lt;&gt;"",$O93&lt;&gt;"",$O93&lt;=Hoje!$C$3,$P93&gt;=Hoje!$C$3,$R93&lt;&gt;"Cancelada"),1,0)</f>
        <v>0</v>
      </c>
      <c r="AI93" s="39" t="n">
        <f aca="false">IF(AND($F93&lt;&gt;"",$P93&lt;&gt;"",$P93&lt;Hoje!$C$3,$AB93=0,$R93&lt;&gt;"Cancelada"),1,0)</f>
        <v>0</v>
      </c>
      <c r="AJ93" s="50" t="str">
        <f aca="false">IF($F93="","",$D93&amp;"|"&amp;$E93&amp;"|"&amp;$L93)</f>
        <v>F-626|Trocar o cabeçote|35</v>
      </c>
      <c r="AK93" s="39" t="n">
        <f aca="false">IF($AJ93="","",COUNTIF($AJ$4:$AJ93,$AJ93))</f>
        <v>6</v>
      </c>
      <c r="AL93" s="39" t="n">
        <f aca="false">IF($AJ93="","",COUNTIF($AJ$4:$AJ$1004,$AJ93))</f>
        <v>8</v>
      </c>
      <c r="AM93" s="42"/>
      <c r="AN93" s="50" t="str">
        <f aca="false">IF($D93="","",IFERROR(T(VLOOKUP($D93,Listas!$B$5:$H$120,7,0)),""))</f>
        <v/>
      </c>
      <c r="AO93" s="50" t="str">
        <f aca="false">IF(OR($F93="",$L93&lt;&gt;"",$R93="Cancelada",$AT93&lt;&gt;""),"",$AN93&amp;"|"&amp;$D93&amp;"|"&amp;IF($C93="","zzz",$C93)&amp;"|"&amp;TEXT(93,"0000"))</f>
        <v/>
      </c>
      <c r="AP93" s="50" t="str">
        <f aca="false">IF($AO93="","",COUNTIF($AO$5:$AO$1004,"&lt;"&amp;$AO93)-(ROWS($AO$5:$AO$1004)-Hoje!$L$5)+1)</f>
        <v/>
      </c>
      <c r="AQ93" s="50" t="n">
        <f aca="false">IF(AND($F93&lt;&gt;"",$D93=Frota!$C$3),1,0)</f>
        <v>0</v>
      </c>
      <c r="AR93" s="50" t="str">
        <f aca="false">IF($AQ93=0,"",SUM($AQ$4:$AQ93))</f>
        <v/>
      </c>
      <c r="AS93" s="50" t="str">
        <f aca="false">IFERROR(INDEX(Hoje!$K$10:$K$29,MATCH(ROW(),Hoje!$J$10:$J$29,0)),"")</f>
        <v/>
      </c>
      <c r="AT93" s="47" t="n">
        <f aca="false">IF($Q93&lt;&gt;"",$Q93,$AS93)</f>
        <v>46260</v>
      </c>
    </row>
    <row r="94" customFormat="false" ht="16.5" hidden="false" customHeight="true" outlineLevel="0" collapsed="false">
      <c r="A94" s="39" t="n">
        <f aca="false">IF($F94="","",ROW())</f>
        <v>94</v>
      </c>
      <c r="B94" s="40" t="str">
        <f aca="false">IF($F94="",IF($D94="","","Falta a atividade"),IF($R94="Cancelada","Cancelada",IF($AB94=1,IF(N($Z94)&gt;0,"Concluída com atraso","Concluída"),IF($R94="Em programação","Em programação",IF($O94="",IF($M94="","Na carteira","Falta a semana"),IF($AC94=1,"VENCIDA",IF($O94&gt;Hoje!$L$1,"Programada",IF($P94&gt;Hoje!$L$1,"Em execução","Fecha hoje"))))))))</f>
        <v>Concluída</v>
      </c>
      <c r="C94" s="41" t="s">
        <v>271</v>
      </c>
      <c r="D94" s="42" t="s">
        <v>258</v>
      </c>
      <c r="E94" s="42" t="s">
        <v>259</v>
      </c>
      <c r="F94" s="42" t="s">
        <v>273</v>
      </c>
      <c r="G94" s="43" t="s">
        <v>80</v>
      </c>
      <c r="H94" s="43" t="s">
        <v>100</v>
      </c>
      <c r="I94" s="44" t="s">
        <v>106</v>
      </c>
      <c r="J94" s="44" t="s">
        <v>182</v>
      </c>
      <c r="K94" s="44"/>
      <c r="L94" s="45" t="n">
        <v>35</v>
      </c>
      <c r="M94" s="46" t="s">
        <v>84</v>
      </c>
      <c r="N94" s="45" t="n">
        <v>4</v>
      </c>
      <c r="O94" s="47" t="n">
        <f aca="false">IF(OR($L94="",$M94=""),"",(DATE(Semana!$J$3,1,4)-WEEKDAY(DATE(Semana!$J$3,1,4),3))+($L94-1)*7+MATCH($M94,Listas!$F$5:$F$11,0)-1)</f>
        <v>46260</v>
      </c>
      <c r="P94" s="47" t="n">
        <f aca="false">IF(OR($F94="",$O94=""),"",$O94+MAX(0,ROUNDUP($AK94*MAX(1,IF($N94="",1,$N94))/MAX(1,$AL94),0)-1))</f>
        <v>46263</v>
      </c>
      <c r="Q94" s="48" t="n">
        <v>46260</v>
      </c>
      <c r="R94" s="43" t="s">
        <v>85</v>
      </c>
      <c r="S94" s="49"/>
      <c r="T94" s="42"/>
      <c r="U94" s="42" t="s">
        <v>270</v>
      </c>
      <c r="V94" s="39" t="str">
        <f aca="false">IF($F94="","",IF(ISNUMBER(SEARCH("(externo)",$I94&amp;$J94&amp;$K94)),"Terceirizada","Interna"))</f>
        <v>Interna</v>
      </c>
      <c r="W94" s="47" t="n">
        <f aca="false">IF($O94="","",IF($S94="",$O94,(DATE(Semana!$J$3,1,4)-WEEKDAY(DATE(Semana!$J$3,1,4),3))+($S94-1)*7+IF($M94="",0,MATCH($M94,Listas!$F$5:$F$11,0)-1)))</f>
        <v>46260</v>
      </c>
      <c r="X94" s="39" t="n">
        <f aca="false">IF($F94="","",IF(OR($AT94="",$O94=""),0,IF($AT94&lt;=$O94,1,0)))</f>
        <v>1</v>
      </c>
      <c r="Y94" s="39" t="n">
        <f aca="false">IF($F94="","",IF(OR($AT94="",$W94=""),0,IF($AT94&lt;=$W94,1,0)))</f>
        <v>1</v>
      </c>
      <c r="Z94" s="39" t="n">
        <f aca="false">IF(OR($AT94="",$O94=""),"",MAX(0,$AT94-$O94))</f>
        <v>0</v>
      </c>
      <c r="AA94" s="39" t="n">
        <f aca="false">IF($F94="","",IF(AND($S94&lt;&gt;"",$L94&lt;&gt;"",$S94&lt;&gt;$L94),1,0))</f>
        <v>0</v>
      </c>
      <c r="AB94" s="39" t="n">
        <f aca="false">IF($F94="","",IF($R94="Cancelada",0,IF(OR($AT94&lt;&gt;"",$R94="Concluída"),1,0)))</f>
        <v>1</v>
      </c>
      <c r="AC94" s="39" t="n">
        <f aca="false">IF($P94="",0,IF($P94&lt;Hoje!$L$1,1,IF(AND($P94=Hoje!$L$1,Hoje!$L$2&gt;Semana!$M$3),1,0)))</f>
        <v>1</v>
      </c>
      <c r="AD94" s="39" t="n">
        <f aca="false">IF($F94="","",IF(COUNTA($I94:$K94)=0,0,1/COUNTA($I94:$K94)))</f>
        <v>0.5</v>
      </c>
      <c r="AE94" s="39" t="str">
        <f aca="false">IF($AH94=0,"",SUM($AH$4:$AH94))</f>
        <v/>
      </c>
      <c r="AF94" s="39" t="str">
        <f aca="false">IF($AI94=0,"",SUM($AI$4:$AI94))</f>
        <v/>
      </c>
      <c r="AG94" s="50" t="str">
        <f aca="false">IF($F94="","",$I94&amp;IF($J94="",""," · "&amp;$J94)&amp;IF($K94="",""," · "&amp;$K94))</f>
        <v>Adilton · Alexandre</v>
      </c>
      <c r="AH94" s="39" t="n">
        <f aca="false">IF(AND($F94&lt;&gt;"",$O94&lt;&gt;"",$O94&lt;=Hoje!$C$3,$P94&gt;=Hoje!$C$3,$R94&lt;&gt;"Cancelada"),1,0)</f>
        <v>0</v>
      </c>
      <c r="AI94" s="39" t="n">
        <f aca="false">IF(AND($F94&lt;&gt;"",$P94&lt;&gt;"",$P94&lt;Hoje!$C$3,$AB94=0,$R94&lt;&gt;"Cancelada"),1,0)</f>
        <v>0</v>
      </c>
      <c r="AJ94" s="50" t="str">
        <f aca="false">IF($F94="","",$D94&amp;"|"&amp;$E94&amp;"|"&amp;$L94)</f>
        <v>F-626|Trocar o cabeçote|35</v>
      </c>
      <c r="AK94" s="39" t="n">
        <f aca="false">IF($AJ94="","",COUNTIF($AJ$4:$AJ94,$AJ94))</f>
        <v>7</v>
      </c>
      <c r="AL94" s="39" t="n">
        <f aca="false">IF($AJ94="","",COUNTIF($AJ$4:$AJ$1004,$AJ94))</f>
        <v>8</v>
      </c>
      <c r="AM94" s="42"/>
      <c r="AN94" s="50" t="str">
        <f aca="false">IF($D94="","",IFERROR(T(VLOOKUP($D94,Listas!$B$5:$H$120,7,0)),""))</f>
        <v/>
      </c>
      <c r="AO94" s="50" t="str">
        <f aca="false">IF(OR($F94="",$L94&lt;&gt;"",$R94="Cancelada",$AT94&lt;&gt;""),"",$AN94&amp;"|"&amp;$D94&amp;"|"&amp;IF($C94="","zzz",$C94)&amp;"|"&amp;TEXT(94,"0000"))</f>
        <v/>
      </c>
      <c r="AP94" s="50" t="str">
        <f aca="false">IF($AO94="","",COUNTIF($AO$5:$AO$1004,"&lt;"&amp;$AO94)-(ROWS($AO$5:$AO$1004)-Hoje!$L$5)+1)</f>
        <v/>
      </c>
      <c r="AQ94" s="50" t="n">
        <f aca="false">IF(AND($F94&lt;&gt;"",$D94=Frota!$C$3),1,0)</f>
        <v>0</v>
      </c>
      <c r="AR94" s="50" t="str">
        <f aca="false">IF($AQ94=0,"",SUM($AQ$4:$AQ94))</f>
        <v/>
      </c>
      <c r="AS94" s="50" t="str">
        <f aca="false">IFERROR(INDEX(Hoje!$K$10:$K$29,MATCH(ROW(),Hoje!$J$10:$J$29,0)),"")</f>
        <v/>
      </c>
      <c r="AT94" s="47" t="n">
        <f aca="false">IF($Q94&lt;&gt;"",$Q94,$AS94)</f>
        <v>46260</v>
      </c>
    </row>
    <row r="95" customFormat="false" ht="16.5" hidden="false" customHeight="true" outlineLevel="0" collapsed="false">
      <c r="A95" s="39" t="n">
        <f aca="false">IF($F95="","",ROW())</f>
        <v>95</v>
      </c>
      <c r="B95" s="40" t="str">
        <f aca="false">IF($F95="",IF($D95="","","Falta a atividade"),IF($R95="Cancelada","Cancelada",IF($AB95=1,IF(N($Z95)&gt;0,"Concluída com atraso","Concluída"),IF($R95="Em programação","Em programação",IF($O95="",IF($M95="","Na carteira","Falta a semana"),IF($AC95=1,"VENCIDA",IF($O95&gt;Hoje!$L$1,"Programada",IF($P95&gt;Hoje!$L$1,"Em execução","Fecha hoje"))))))))</f>
        <v>Concluída</v>
      </c>
      <c r="C95" s="41" t="s">
        <v>271</v>
      </c>
      <c r="D95" s="42" t="s">
        <v>258</v>
      </c>
      <c r="E95" s="42" t="s">
        <v>259</v>
      </c>
      <c r="F95" s="42" t="s">
        <v>274</v>
      </c>
      <c r="G95" s="43" t="s">
        <v>80</v>
      </c>
      <c r="H95" s="43" t="s">
        <v>100</v>
      </c>
      <c r="I95" s="44" t="s">
        <v>106</v>
      </c>
      <c r="J95" s="44" t="s">
        <v>182</v>
      </c>
      <c r="K95" s="44"/>
      <c r="L95" s="45" t="n">
        <v>35</v>
      </c>
      <c r="M95" s="46" t="s">
        <v>84</v>
      </c>
      <c r="N95" s="45" t="n">
        <v>4</v>
      </c>
      <c r="O95" s="47" t="n">
        <f aca="false">IF(OR($L95="",$M95=""),"",(DATE(Semana!$J$3,1,4)-WEEKDAY(DATE(Semana!$J$3,1,4),3))+($L95-1)*7+MATCH($M95,Listas!$F$5:$F$11,0)-1)</f>
        <v>46260</v>
      </c>
      <c r="P95" s="47" t="n">
        <f aca="false">IF(OR($F95="",$O95=""),"",$O95+MAX(0,ROUNDUP($AK95*MAX(1,IF($N95="",1,$N95))/MAX(1,$AL95),0)-1))</f>
        <v>46263</v>
      </c>
      <c r="Q95" s="48" t="n">
        <v>46260</v>
      </c>
      <c r="R95" s="43" t="s">
        <v>85</v>
      </c>
      <c r="S95" s="49"/>
      <c r="T95" s="42"/>
      <c r="U95" s="42" t="s">
        <v>270</v>
      </c>
      <c r="V95" s="39" t="str">
        <f aca="false">IF($F95="","",IF(ISNUMBER(SEARCH("(externo)",$I95&amp;$J95&amp;$K95)),"Terceirizada","Interna"))</f>
        <v>Interna</v>
      </c>
      <c r="W95" s="47" t="n">
        <f aca="false">IF($O95="","",IF($S95="",$O95,(DATE(Semana!$J$3,1,4)-WEEKDAY(DATE(Semana!$J$3,1,4),3))+($S95-1)*7+IF($M95="",0,MATCH($M95,Listas!$F$5:$F$11,0)-1)))</f>
        <v>46260</v>
      </c>
      <c r="X95" s="39" t="n">
        <f aca="false">IF($F95="","",IF(OR($AT95="",$O95=""),0,IF($AT95&lt;=$O95,1,0)))</f>
        <v>1</v>
      </c>
      <c r="Y95" s="39" t="n">
        <f aca="false">IF($F95="","",IF(OR($AT95="",$W95=""),0,IF($AT95&lt;=$W95,1,0)))</f>
        <v>1</v>
      </c>
      <c r="Z95" s="39" t="n">
        <f aca="false">IF(OR($AT95="",$O95=""),"",MAX(0,$AT95-$O95))</f>
        <v>0</v>
      </c>
      <c r="AA95" s="39" t="n">
        <f aca="false">IF($F95="","",IF(AND($S95&lt;&gt;"",$L95&lt;&gt;"",$S95&lt;&gt;$L95),1,0))</f>
        <v>0</v>
      </c>
      <c r="AB95" s="39" t="n">
        <f aca="false">IF($F95="","",IF($R95="Cancelada",0,IF(OR($AT95&lt;&gt;"",$R95="Concluída"),1,0)))</f>
        <v>1</v>
      </c>
      <c r="AC95" s="39" t="n">
        <f aca="false">IF($P95="",0,IF($P95&lt;Hoje!$L$1,1,IF(AND($P95=Hoje!$L$1,Hoje!$L$2&gt;Semana!$M$3),1,0)))</f>
        <v>1</v>
      </c>
      <c r="AD95" s="39" t="n">
        <f aca="false">IF($F95="","",IF(COUNTA($I95:$K95)=0,0,1/COUNTA($I95:$K95)))</f>
        <v>0.5</v>
      </c>
      <c r="AE95" s="39" t="str">
        <f aca="false">IF($AH95=0,"",SUM($AH$4:$AH95))</f>
        <v/>
      </c>
      <c r="AF95" s="39" t="str">
        <f aca="false">IF($AI95=0,"",SUM($AI$4:$AI95))</f>
        <v/>
      </c>
      <c r="AG95" s="50" t="str">
        <f aca="false">IF($F95="","",$I95&amp;IF($J95="",""," · "&amp;$J95)&amp;IF($K95="",""," · "&amp;$K95))</f>
        <v>Adilton · Alexandre</v>
      </c>
      <c r="AH95" s="39" t="n">
        <f aca="false">IF(AND($F95&lt;&gt;"",$O95&lt;&gt;"",$O95&lt;=Hoje!$C$3,$P95&gt;=Hoje!$C$3,$R95&lt;&gt;"Cancelada"),1,0)</f>
        <v>0</v>
      </c>
      <c r="AI95" s="39" t="n">
        <f aca="false">IF(AND($F95&lt;&gt;"",$P95&lt;&gt;"",$P95&lt;Hoje!$C$3,$AB95=0,$R95&lt;&gt;"Cancelada"),1,0)</f>
        <v>0</v>
      </c>
      <c r="AJ95" s="50" t="str">
        <f aca="false">IF($F95="","",$D95&amp;"|"&amp;$E95&amp;"|"&amp;$L95)</f>
        <v>F-626|Trocar o cabeçote|35</v>
      </c>
      <c r="AK95" s="39" t="n">
        <f aca="false">IF($AJ95="","",COUNTIF($AJ$4:$AJ95,$AJ95))</f>
        <v>8</v>
      </c>
      <c r="AL95" s="39" t="n">
        <f aca="false">IF($AJ95="","",COUNTIF($AJ$4:$AJ$1004,$AJ95))</f>
        <v>8</v>
      </c>
      <c r="AM95" s="42"/>
      <c r="AN95" s="50" t="str">
        <f aca="false">IF($D95="","",IFERROR(T(VLOOKUP($D95,Listas!$B$5:$H$120,7,0)),""))</f>
        <v/>
      </c>
      <c r="AO95" s="50" t="str">
        <f aca="false">IF(OR($F95="",$L95&lt;&gt;"",$R95="Cancelada",$AT95&lt;&gt;""),"",$AN95&amp;"|"&amp;$D95&amp;"|"&amp;IF($C95="","zzz",$C95)&amp;"|"&amp;TEXT(95,"0000"))</f>
        <v/>
      </c>
      <c r="AP95" s="50" t="str">
        <f aca="false">IF($AO95="","",COUNTIF($AO$5:$AO$1004,"&lt;"&amp;$AO95)-(ROWS($AO$5:$AO$1004)-Hoje!$L$5)+1)</f>
        <v/>
      </c>
      <c r="AQ95" s="50" t="n">
        <f aca="false">IF(AND($F95&lt;&gt;"",$D95=Frota!$C$3),1,0)</f>
        <v>0</v>
      </c>
      <c r="AR95" s="50" t="str">
        <f aca="false">IF($AQ95=0,"",SUM($AQ$4:$AQ95))</f>
        <v/>
      </c>
      <c r="AS95" s="50" t="str">
        <f aca="false">IFERROR(INDEX(Hoje!$K$10:$K$29,MATCH(ROW(),Hoje!$J$10:$J$29,0)),"")</f>
        <v/>
      </c>
      <c r="AT95" s="47" t="n">
        <f aca="false">IF($Q95&lt;&gt;"",$Q95,$AS95)</f>
        <v>46260</v>
      </c>
    </row>
    <row r="96" customFormat="false" ht="16.5" hidden="false" customHeight="true" outlineLevel="0" collapsed="false">
      <c r="A96" s="39" t="n">
        <f aca="false">IF($F96="","",ROW())</f>
        <v>96</v>
      </c>
      <c r="B96" s="40" t="str">
        <f aca="false">IF($F96="",IF($D96="","","Falta a atividade"),IF($R96="Cancelada","Cancelada",IF($AB96=1,IF(N($Z96)&gt;0,"Concluída com atraso","Concluída"),IF($R96="Em programação","Em programação",IF($O96="",IF($M96="","Na carteira","Falta a semana"),IF($AC96=1,"VENCIDA",IF($O96&gt;Hoje!$L$1,"Programada",IF($P96&gt;Hoje!$L$1,"Em execução","Fecha hoje"))))))))</f>
        <v>Concluída</v>
      </c>
      <c r="C96" s="41"/>
      <c r="D96" s="42" t="s">
        <v>275</v>
      </c>
      <c r="E96" s="42" t="s">
        <v>276</v>
      </c>
      <c r="F96" s="42" t="s">
        <v>277</v>
      </c>
      <c r="G96" s="43" t="s">
        <v>80</v>
      </c>
      <c r="H96" s="43" t="s">
        <v>100</v>
      </c>
      <c r="I96" s="44" t="s">
        <v>88</v>
      </c>
      <c r="J96" s="44"/>
      <c r="K96" s="44"/>
      <c r="L96" s="45" t="n">
        <v>35</v>
      </c>
      <c r="M96" s="46" t="s">
        <v>173</v>
      </c>
      <c r="N96" s="45" t="n">
        <v>2</v>
      </c>
      <c r="O96" s="47" t="n">
        <f aca="false">IF(OR($L96="",$M96=""),"",(DATE(Semana!$J$3,1,4)-WEEKDAY(DATE(Semana!$J$3,1,4),3))+($L96-1)*7+MATCH($M96,Listas!$F$5:$F$11,0)-1)</f>
        <v>46261</v>
      </c>
      <c r="P96" s="47" t="n">
        <f aca="false">IF(OR($F96="",$O96=""),"",$O96+MAX(0,ROUNDUP($AK96*MAX(1,IF($N96="",1,$N96))/MAX(1,$AL96),0)-1))</f>
        <v>46262</v>
      </c>
      <c r="Q96" s="48"/>
      <c r="R96" s="43" t="s">
        <v>85</v>
      </c>
      <c r="S96" s="49"/>
      <c r="T96" s="42"/>
      <c r="U96" s="42"/>
      <c r="V96" s="39" t="str">
        <f aca="false">IF($F96="","",IF(ISNUMBER(SEARCH("(externo)",$I96&amp;$J96&amp;$K96)),"Terceirizada","Interna"))</f>
        <v>Interna</v>
      </c>
      <c r="W96" s="47" t="n">
        <f aca="false">IF($O96="","",IF($S96="",$O96,(DATE(Semana!$J$3,1,4)-WEEKDAY(DATE(Semana!$J$3,1,4),3))+($S96-1)*7+IF($M96="",0,MATCH($M96,Listas!$F$5:$F$11,0)-1)))</f>
        <v>46261</v>
      </c>
      <c r="X96" s="39" t="n">
        <f aca="false">IF($F96="","",IF(OR($AT96="",$O96=""),0,IF($AT96&lt;=$O96,1,0)))</f>
        <v>0</v>
      </c>
      <c r="Y96" s="39" t="n">
        <f aca="false">IF($F96="","",IF(OR($AT96="",$W96=""),0,IF($AT96&lt;=$W96,1,0)))</f>
        <v>0</v>
      </c>
      <c r="Z96" s="39" t="str">
        <f aca="false">IF(OR($AT96="",$O96=""),"",MAX(0,$AT96-$O96))</f>
        <v/>
      </c>
      <c r="AA96" s="39" t="n">
        <f aca="false">IF($F96="","",IF(AND($S96&lt;&gt;"",$L96&lt;&gt;"",$S96&lt;&gt;$L96),1,0))</f>
        <v>0</v>
      </c>
      <c r="AB96" s="39" t="n">
        <f aca="false">IF($F96="","",IF($R96="Cancelada",0,IF(OR($AT96&lt;&gt;"",$R96="Concluída"),1,0)))</f>
        <v>1</v>
      </c>
      <c r="AC96" s="39" t="n">
        <f aca="false">IF($P96="",0,IF($P96&lt;Hoje!$L$1,1,IF(AND($P96=Hoje!$L$1,Hoje!$L$2&gt;Semana!$M$3),1,0)))</f>
        <v>1</v>
      </c>
      <c r="AD96" s="39" t="n">
        <f aca="false">IF($F96="","",IF(COUNTA($I96:$K96)=0,0,1/COUNTA($I96:$K96)))</f>
        <v>1</v>
      </c>
      <c r="AE96" s="39" t="str">
        <f aca="false">IF($AH96=0,"",SUM($AH$4:$AH96))</f>
        <v/>
      </c>
      <c r="AF96" s="39" t="str">
        <f aca="false">IF($AI96=0,"",SUM($AI$4:$AI96))</f>
        <v/>
      </c>
      <c r="AG96" s="50" t="str">
        <f aca="false">IF($F96="","",$I96&amp;IF($J96="",""," · "&amp;$J96)&amp;IF($K96="",""," · "&amp;$K96))</f>
        <v>Júnior</v>
      </c>
      <c r="AH96" s="39" t="n">
        <f aca="false">IF(AND($F96&lt;&gt;"",$O96&lt;&gt;"",$O96&lt;=Hoje!$C$3,$P96&gt;=Hoje!$C$3,$R96&lt;&gt;"Cancelada"),1,0)</f>
        <v>0</v>
      </c>
      <c r="AI96" s="39" t="n">
        <f aca="false">IF(AND($F96&lt;&gt;"",$P96&lt;&gt;"",$P96&lt;Hoje!$C$3,$AB96=0,$R96&lt;&gt;"Cancelada"),1,0)</f>
        <v>0</v>
      </c>
      <c r="AJ96" s="50" t="str">
        <f aca="false">IF($F96="","",$D96&amp;"|"&amp;$E96&amp;"|"&amp;$L96)</f>
        <v>F-696|Aplicar faixas refletivas|35</v>
      </c>
      <c r="AK96" s="39" t="n">
        <f aca="false">IF($AJ96="","",COUNTIF($AJ$4:$AJ96,$AJ96))</f>
        <v>1</v>
      </c>
      <c r="AL96" s="39" t="n">
        <f aca="false">IF($AJ96="","",COUNTIF($AJ$4:$AJ$1004,$AJ96))</f>
        <v>1</v>
      </c>
      <c r="AM96" s="42"/>
      <c r="AN96" s="50" t="str">
        <f aca="false">IF($D96="","",IFERROR(T(VLOOKUP($D96,Listas!$B$5:$H$120,7,0)),""))</f>
        <v/>
      </c>
      <c r="AO96" s="50" t="str">
        <f aca="false">IF(OR($F96="",$L96&lt;&gt;"",$R96="Cancelada",$AT96&lt;&gt;""),"",$AN96&amp;"|"&amp;$D96&amp;"|"&amp;IF($C96="","zzz",$C96)&amp;"|"&amp;TEXT(96,"0000"))</f>
        <v/>
      </c>
      <c r="AP96" s="50" t="str">
        <f aca="false">IF($AO96="","",COUNTIF($AO$5:$AO$1004,"&lt;"&amp;$AO96)-(ROWS($AO$5:$AO$1004)-Hoje!$L$5)+1)</f>
        <v/>
      </c>
      <c r="AQ96" s="50" t="n">
        <f aca="false">IF(AND($F96&lt;&gt;"",$D96=Frota!$C$3),1,0)</f>
        <v>0</v>
      </c>
      <c r="AR96" s="50" t="str">
        <f aca="false">IF($AQ96=0,"",SUM($AQ$4:$AQ96))</f>
        <v/>
      </c>
      <c r="AS96" s="50" t="str">
        <f aca="false">IFERROR(INDEX(Hoje!$K$10:$K$29,MATCH(ROW(),Hoje!$J$10:$J$29,0)),"")</f>
        <v/>
      </c>
      <c r="AT96" s="50" t="str">
        <f aca="false">IF($Q96&lt;&gt;"",$Q96,$AS96)</f>
        <v/>
      </c>
    </row>
    <row r="97" customFormat="false" ht="16.5" hidden="false" customHeight="true" outlineLevel="0" collapsed="false">
      <c r="A97" s="39" t="n">
        <f aca="false">IF($F97="","",ROW())</f>
        <v>97</v>
      </c>
      <c r="B97" s="40" t="str">
        <f aca="false">IF($F97="",IF($D97="","","Falta a atividade"),IF($R97="Cancelada","Cancelada",IF($AB97=1,IF(N($Z97)&gt;0,"Concluída com atraso","Concluída"),IF($R97="Em programação","Em programação",IF($O97="",IF($M97="","Na carteira","Falta a semana"),IF($AC97=1,"VENCIDA",IF($O97&gt;Hoje!$L$1,"Programada",IF($P97&gt;Hoje!$L$1,"Em execução","Fecha hoje"))))))))</f>
        <v>Concluída</v>
      </c>
      <c r="C97" s="41"/>
      <c r="D97" s="42" t="s">
        <v>278</v>
      </c>
      <c r="E97" s="42" t="s">
        <v>78</v>
      </c>
      <c r="F97" s="42" t="s">
        <v>279</v>
      </c>
      <c r="G97" s="43" t="s">
        <v>80</v>
      </c>
      <c r="H97" s="43" t="s">
        <v>81</v>
      </c>
      <c r="I97" s="44" t="s">
        <v>82</v>
      </c>
      <c r="J97" s="44" t="s">
        <v>83</v>
      </c>
      <c r="K97" s="44"/>
      <c r="L97" s="45" t="n">
        <v>35</v>
      </c>
      <c r="M97" s="46" t="s">
        <v>84</v>
      </c>
      <c r="N97" s="45" t="n">
        <v>2</v>
      </c>
      <c r="O97" s="47" t="n">
        <f aca="false">IF(OR($L97="",$M97=""),"",(DATE(Semana!$J$3,1,4)-WEEKDAY(DATE(Semana!$J$3,1,4),3))+($L97-1)*7+MATCH($M97,Listas!$F$5:$F$11,0)-1)</f>
        <v>46260</v>
      </c>
      <c r="P97" s="47" t="n">
        <f aca="false">IF(OR($F97="",$O97=""),"",$O97+MAX(0,ROUNDUP($AK97*MAX(1,IF($N97="",1,$N97))/MAX(1,$AL97),0)-1))</f>
        <v>46261</v>
      </c>
      <c r="Q97" s="48" t="n">
        <v>46260</v>
      </c>
      <c r="R97" s="43" t="s">
        <v>85</v>
      </c>
      <c r="S97" s="49"/>
      <c r="T97" s="42"/>
      <c r="U97" s="42"/>
      <c r="V97" s="39" t="str">
        <f aca="false">IF($F97="","",IF(ISNUMBER(SEARCH("(externo)",$I97&amp;$J97&amp;$K97)),"Terceirizada","Interna"))</f>
        <v>Interna</v>
      </c>
      <c r="W97" s="47" t="n">
        <f aca="false">IF($O97="","",IF($S97="",$O97,(DATE(Semana!$J$3,1,4)-WEEKDAY(DATE(Semana!$J$3,1,4),3))+($S97-1)*7+IF($M97="",0,MATCH($M97,Listas!$F$5:$F$11,0)-1)))</f>
        <v>46260</v>
      </c>
      <c r="X97" s="39" t="n">
        <f aca="false">IF($F97="","",IF(OR($AT97="",$O97=""),0,IF($AT97&lt;=$O97,1,0)))</f>
        <v>1</v>
      </c>
      <c r="Y97" s="39" t="n">
        <f aca="false">IF($F97="","",IF(OR($AT97="",$W97=""),0,IF($AT97&lt;=$W97,1,0)))</f>
        <v>1</v>
      </c>
      <c r="Z97" s="39" t="n">
        <f aca="false">IF(OR($AT97="",$O97=""),"",MAX(0,$AT97-$O97))</f>
        <v>0</v>
      </c>
      <c r="AA97" s="39" t="n">
        <f aca="false">IF($F97="","",IF(AND($S97&lt;&gt;"",$L97&lt;&gt;"",$S97&lt;&gt;$L97),1,0))</f>
        <v>0</v>
      </c>
      <c r="AB97" s="39" t="n">
        <f aca="false">IF($F97="","",IF($R97="Cancelada",0,IF(OR($AT97&lt;&gt;"",$R97="Concluída"),1,0)))</f>
        <v>1</v>
      </c>
      <c r="AC97" s="39" t="n">
        <f aca="false">IF($P97="",0,IF($P97&lt;Hoje!$L$1,1,IF(AND($P97=Hoje!$L$1,Hoje!$L$2&gt;Semana!$M$3),1,0)))</f>
        <v>1</v>
      </c>
      <c r="AD97" s="39" t="n">
        <f aca="false">IF($F97="","",IF(COUNTA($I97:$K97)=0,0,1/COUNTA($I97:$K97)))</f>
        <v>0.5</v>
      </c>
      <c r="AE97" s="39" t="str">
        <f aca="false">IF($AH97=0,"",SUM($AH$4:$AH97))</f>
        <v/>
      </c>
      <c r="AF97" s="39" t="str">
        <f aca="false">IF($AI97=0,"",SUM($AI$4:$AI97))</f>
        <v/>
      </c>
      <c r="AG97" s="50" t="str">
        <f aca="false">IF($F97="","",$I97&amp;IF($J97="",""," · "&amp;$J97)&amp;IF($K97="",""," · "&amp;$K97))</f>
        <v>Airton · Luiz Paulo</v>
      </c>
      <c r="AH97" s="39" t="n">
        <f aca="false">IF(AND($F97&lt;&gt;"",$O97&lt;&gt;"",$O97&lt;=Hoje!$C$3,$P97&gt;=Hoje!$C$3,$R97&lt;&gt;"Cancelada"),1,0)</f>
        <v>0</v>
      </c>
      <c r="AI97" s="39" t="n">
        <f aca="false">IF(AND($F97&lt;&gt;"",$P97&lt;&gt;"",$P97&lt;Hoje!$C$3,$AB97=0,$R97&lt;&gt;"Cancelada"),1,0)</f>
        <v>0</v>
      </c>
      <c r="AJ97" s="50" t="str">
        <f aca="false">IF($F97="","",$D97&amp;"|"&amp;$E97&amp;"|"&amp;$L97)</f>
        <v>F-789|Calibração e troca de pneus|35</v>
      </c>
      <c r="AK97" s="39" t="n">
        <f aca="false">IF($AJ97="","",COUNTIF($AJ$4:$AJ97,$AJ97))</f>
        <v>1</v>
      </c>
      <c r="AL97" s="39" t="n">
        <f aca="false">IF($AJ97="","",COUNTIF($AJ$4:$AJ$1004,$AJ97))</f>
        <v>1</v>
      </c>
      <c r="AM97" s="42"/>
      <c r="AN97" s="50" t="str">
        <f aca="false">IF($D97="","",IFERROR(T(VLOOKUP($D97,Listas!$B$5:$H$120,7,0)),""))</f>
        <v/>
      </c>
      <c r="AO97" s="50" t="str">
        <f aca="false">IF(OR($F97="",$L97&lt;&gt;"",$R97="Cancelada",$AT97&lt;&gt;""),"",$AN97&amp;"|"&amp;$D97&amp;"|"&amp;IF($C97="","zzz",$C97)&amp;"|"&amp;TEXT(97,"0000"))</f>
        <v/>
      </c>
      <c r="AP97" s="50" t="str">
        <f aca="false">IF($AO97="","",COUNTIF($AO$5:$AO$1004,"&lt;"&amp;$AO97)-(ROWS($AO$5:$AO$1004)-Hoje!$L$5)+1)</f>
        <v/>
      </c>
      <c r="AQ97" s="50" t="n">
        <f aca="false">IF(AND($F97&lt;&gt;"",$D97=Frota!$C$3),1,0)</f>
        <v>0</v>
      </c>
      <c r="AR97" s="50" t="str">
        <f aca="false">IF($AQ97=0,"",SUM($AQ$4:$AQ97))</f>
        <v/>
      </c>
      <c r="AS97" s="50" t="str">
        <f aca="false">IFERROR(INDEX(Hoje!$K$10:$K$29,MATCH(ROW(),Hoje!$J$10:$J$29,0)),"")</f>
        <v/>
      </c>
      <c r="AT97" s="47" t="n">
        <f aca="false">IF($Q97&lt;&gt;"",$Q97,$AS97)</f>
        <v>46260</v>
      </c>
    </row>
    <row r="98" customFormat="false" ht="16.5" hidden="false" customHeight="true" outlineLevel="0" collapsed="false">
      <c r="A98" s="39" t="n">
        <f aca="false">IF($F98="","",ROW())</f>
        <v>98</v>
      </c>
      <c r="B98" s="40" t="str">
        <f aca="false">IF($F98="",IF($D98="","","Falta a atividade"),IF($R98="Cancelada","Cancelada",IF($AB98=1,IF(N($Z98)&gt;0,"Concluída com atraso","Concluída"),IF($R98="Em programação","Em programação",IF($O98="",IF($M98="","Na carteira","Falta a semana"),IF($AC98=1,"VENCIDA",IF($O98&gt;Hoje!$L$1,"Programada",IF($P98&gt;Hoje!$L$1,"Em execução","Fecha hoje"))))))))</f>
        <v>Concluída com atraso</v>
      </c>
      <c r="C98" s="41" t="s">
        <v>280</v>
      </c>
      <c r="D98" s="42" t="s">
        <v>281</v>
      </c>
      <c r="E98" s="42" t="s">
        <v>230</v>
      </c>
      <c r="F98" s="42" t="s">
        <v>282</v>
      </c>
      <c r="G98" s="43" t="s">
        <v>80</v>
      </c>
      <c r="H98" s="43" t="s">
        <v>100</v>
      </c>
      <c r="I98" s="44" t="s">
        <v>283</v>
      </c>
      <c r="J98" s="44"/>
      <c r="K98" s="44"/>
      <c r="L98" s="45" t="n">
        <v>36</v>
      </c>
      <c r="M98" s="46" t="s">
        <v>108</v>
      </c>
      <c r="N98" s="45" t="n">
        <v>3</v>
      </c>
      <c r="O98" s="47" t="n">
        <f aca="false">IF(OR($L98="",$M98=""),"",(DATE(Semana!$J$3,1,4)-WEEKDAY(DATE(Semana!$J$3,1,4),3))+($L98-1)*7+MATCH($M98,Listas!$F$5:$F$11,0)-1)</f>
        <v>46265</v>
      </c>
      <c r="P98" s="47" t="n">
        <f aca="false">IF(OR($F98="",$O98=""),"",$O98+MAX(0,ROUNDUP($AK98*MAX(1,IF($N98="",1,$N98))/MAX(1,$AL98),0)-1))</f>
        <v>46265</v>
      </c>
      <c r="Q98" s="48" t="n">
        <v>46268</v>
      </c>
      <c r="R98" s="43" t="s">
        <v>85</v>
      </c>
      <c r="S98" s="49" t="n">
        <v>35</v>
      </c>
      <c r="T98" s="42" t="s">
        <v>284</v>
      </c>
      <c r="U98" s="42" t="s">
        <v>101</v>
      </c>
      <c r="V98" s="39" t="str">
        <f aca="false">IF($F98="","",IF(ISNUMBER(SEARCH("(externo)",$I98&amp;$J98&amp;$K98)),"Terceirizada","Interna"))</f>
        <v>Interna</v>
      </c>
      <c r="W98" s="47" t="n">
        <f aca="false">IF($O98="","",IF($S98="",$O98,(DATE(Semana!$J$3,1,4)-WEEKDAY(DATE(Semana!$J$3,1,4),3))+($S98-1)*7+IF($M98="",0,MATCH($M98,Listas!$F$5:$F$11,0)-1)))</f>
        <v>46258</v>
      </c>
      <c r="X98" s="39" t="n">
        <f aca="false">IF($F98="","",IF(OR($AT98="",$O98=""),0,IF($AT98&lt;=$O98,1,0)))</f>
        <v>0</v>
      </c>
      <c r="Y98" s="39" t="n">
        <f aca="false">IF($F98="","",IF(OR($AT98="",$W98=""),0,IF($AT98&lt;=$W98,1,0)))</f>
        <v>0</v>
      </c>
      <c r="Z98" s="39" t="n">
        <f aca="false">IF(OR($AT98="",$O98=""),"",MAX(0,$AT98-$O98))</f>
        <v>3</v>
      </c>
      <c r="AA98" s="39" t="n">
        <f aca="false">IF($F98="","",IF(AND($S98&lt;&gt;"",$L98&lt;&gt;"",$S98&lt;&gt;$L98),1,0))</f>
        <v>1</v>
      </c>
      <c r="AB98" s="39" t="n">
        <f aca="false">IF($F98="","",IF($R98="Cancelada",0,IF(OR($AT98&lt;&gt;"",$R98="Concluída"),1,0)))</f>
        <v>1</v>
      </c>
      <c r="AC98" s="39" t="n">
        <f aca="false">IF($P98="",0,IF($P98&lt;Hoje!$L$1,1,IF(AND($P98=Hoje!$L$1,Hoje!$L$2&gt;Semana!$M$3),1,0)))</f>
        <v>1</v>
      </c>
      <c r="AD98" s="39" t="n">
        <f aca="false">IF($F98="","",IF(COUNTA($I98:$K98)=0,0,1/COUNTA($I98:$K98)))</f>
        <v>1</v>
      </c>
      <c r="AE98" s="39" t="str">
        <f aca="false">IF($AH98=0,"",SUM($AH$4:$AH98))</f>
        <v/>
      </c>
      <c r="AF98" s="39" t="str">
        <f aca="false">IF($AI98=0,"",SUM($AI$4:$AI98))</f>
        <v/>
      </c>
      <c r="AG98" s="50" t="str">
        <f aca="false">IF($F98="","",$I98&amp;IF($J98="",""," · "&amp;$J98)&amp;IF($K98="",""," · "&amp;$K98))</f>
        <v>Heliton</v>
      </c>
      <c r="AH98" s="39" t="n">
        <f aca="false">IF(AND($F98&lt;&gt;"",$O98&lt;&gt;"",$O98&lt;=Hoje!$C$3,$P98&gt;=Hoje!$C$3,$R98&lt;&gt;"Cancelada"),1,0)</f>
        <v>0</v>
      </c>
      <c r="AI98" s="39" t="n">
        <f aca="false">IF(AND($F98&lt;&gt;"",$P98&lt;&gt;"",$P98&lt;Hoje!$C$3,$AB98=0,$R98&lt;&gt;"Cancelada"),1,0)</f>
        <v>0</v>
      </c>
      <c r="AJ98" s="50" t="str">
        <f aca="false">IF($F98="","",$D98&amp;"|"&amp;$E98&amp;"|"&amp;$L98)</f>
        <v>F-815|Baixa de pendências backlog|36</v>
      </c>
      <c r="AK98" s="39" t="n">
        <f aca="false">IF($AJ98="","",COUNTIF($AJ$4:$AJ98,$AJ98))</f>
        <v>1</v>
      </c>
      <c r="AL98" s="39" t="n">
        <f aca="false">IF($AJ98="","",COUNTIF($AJ$4:$AJ$1004,$AJ98))</f>
        <v>26</v>
      </c>
      <c r="AM98" s="42"/>
      <c r="AN98" s="50" t="str">
        <f aca="false">IF($D98="","",IFERROR(T(VLOOKUP($D98,Listas!$B$5:$H$120,7,0)),""))</f>
        <v/>
      </c>
      <c r="AO98" s="50" t="str">
        <f aca="false">IF(OR($F98="",$L98&lt;&gt;"",$R98="Cancelada",$AT98&lt;&gt;""),"",$AN98&amp;"|"&amp;$D98&amp;"|"&amp;IF($C98="","zzz",$C98)&amp;"|"&amp;TEXT(98,"0000"))</f>
        <v/>
      </c>
      <c r="AP98" s="50" t="str">
        <f aca="false">IF($AO98="","",COUNTIF($AO$5:$AO$1004,"&lt;"&amp;$AO98)-(ROWS($AO$5:$AO$1004)-Hoje!$L$5)+1)</f>
        <v/>
      </c>
      <c r="AQ98" s="50" t="n">
        <f aca="false">IF(AND($F98&lt;&gt;"",$D98=Frota!$C$3),1,0)</f>
        <v>0</v>
      </c>
      <c r="AR98" s="50" t="str">
        <f aca="false">IF($AQ98=0,"",SUM($AQ$4:$AQ98))</f>
        <v/>
      </c>
      <c r="AS98" s="50" t="str">
        <f aca="false">IFERROR(INDEX(Hoje!$K$10:$K$29,MATCH(ROW(),Hoje!$J$10:$J$29,0)),"")</f>
        <v/>
      </c>
      <c r="AT98" s="47" t="n">
        <f aca="false">IF($Q98&lt;&gt;"",$Q98,$AS98)</f>
        <v>46268</v>
      </c>
    </row>
    <row r="99" customFormat="false" ht="16.5" hidden="false" customHeight="true" outlineLevel="0" collapsed="false">
      <c r="A99" s="39" t="n">
        <f aca="false">IF($F99="","",ROW())</f>
        <v>99</v>
      </c>
      <c r="B99" s="40" t="str">
        <f aca="false">IF($F99="",IF($D99="","","Falta a atividade"),IF($R99="Cancelada","Cancelada",IF($AB99=1,IF(N($Z99)&gt;0,"Concluída com atraso","Concluída"),IF($R99="Em programação","Em programação",IF($O99="",IF($M99="","Na carteira","Falta a semana"),IF($AC99=1,"VENCIDA",IF($O99&gt;Hoje!$L$1,"Programada",IF($P99&gt;Hoje!$L$1,"Em execução","Fecha hoje"))))))))</f>
        <v>Concluída com atraso</v>
      </c>
      <c r="C99" s="41" t="s">
        <v>280</v>
      </c>
      <c r="D99" s="42" t="s">
        <v>281</v>
      </c>
      <c r="E99" s="42" t="s">
        <v>230</v>
      </c>
      <c r="F99" s="42" t="s">
        <v>285</v>
      </c>
      <c r="G99" s="43" t="s">
        <v>80</v>
      </c>
      <c r="H99" s="43" t="s">
        <v>100</v>
      </c>
      <c r="I99" s="44" t="s">
        <v>283</v>
      </c>
      <c r="J99" s="44"/>
      <c r="K99" s="44"/>
      <c r="L99" s="45" t="n">
        <v>36</v>
      </c>
      <c r="M99" s="46" t="s">
        <v>108</v>
      </c>
      <c r="N99" s="45" t="n">
        <v>3</v>
      </c>
      <c r="O99" s="47" t="n">
        <f aca="false">IF(OR($L99="",$M99=""),"",(DATE(Semana!$J$3,1,4)-WEEKDAY(DATE(Semana!$J$3,1,4),3))+($L99-1)*7+MATCH($M99,Listas!$F$5:$F$11,0)-1)</f>
        <v>46265</v>
      </c>
      <c r="P99" s="47" t="n">
        <f aca="false">IF(OR($F99="",$O99=""),"",$O99+MAX(0,ROUNDUP($AK99*MAX(1,IF($N99="",1,$N99))/MAX(1,$AL99),0)-1))</f>
        <v>46265</v>
      </c>
      <c r="Q99" s="48" t="n">
        <v>46269</v>
      </c>
      <c r="R99" s="43" t="s">
        <v>85</v>
      </c>
      <c r="S99" s="49" t="n">
        <v>35</v>
      </c>
      <c r="T99" s="42" t="s">
        <v>284</v>
      </c>
      <c r="U99" s="42" t="s">
        <v>286</v>
      </c>
      <c r="V99" s="39" t="str">
        <f aca="false">IF($F99="","",IF(ISNUMBER(SEARCH("(externo)",$I99&amp;$J99&amp;$K99)),"Terceirizada","Interna"))</f>
        <v>Interna</v>
      </c>
      <c r="W99" s="47" t="n">
        <f aca="false">IF($O99="","",IF($S99="",$O99,(DATE(Semana!$J$3,1,4)-WEEKDAY(DATE(Semana!$J$3,1,4),3))+($S99-1)*7+IF($M99="",0,MATCH($M99,Listas!$F$5:$F$11,0)-1)))</f>
        <v>46258</v>
      </c>
      <c r="X99" s="39" t="n">
        <f aca="false">IF($F99="","",IF(OR($AT99="",$O99=""),0,IF($AT99&lt;=$O99,1,0)))</f>
        <v>0</v>
      </c>
      <c r="Y99" s="39" t="n">
        <f aca="false">IF($F99="","",IF(OR($AT99="",$W99=""),0,IF($AT99&lt;=$W99,1,0)))</f>
        <v>0</v>
      </c>
      <c r="Z99" s="39" t="n">
        <f aca="false">IF(OR($AT99="",$O99=""),"",MAX(0,$AT99-$O99))</f>
        <v>4</v>
      </c>
      <c r="AA99" s="39" t="n">
        <f aca="false">IF($F99="","",IF(AND($S99&lt;&gt;"",$L99&lt;&gt;"",$S99&lt;&gt;$L99),1,0))</f>
        <v>1</v>
      </c>
      <c r="AB99" s="39" t="n">
        <f aca="false">IF($F99="","",IF($R99="Cancelada",0,IF(OR($AT99&lt;&gt;"",$R99="Concluída"),1,0)))</f>
        <v>1</v>
      </c>
      <c r="AC99" s="39" t="n">
        <f aca="false">IF($P99="",0,IF($P99&lt;Hoje!$L$1,1,IF(AND($P99=Hoje!$L$1,Hoje!$L$2&gt;Semana!$M$3),1,0)))</f>
        <v>1</v>
      </c>
      <c r="AD99" s="39" t="n">
        <f aca="false">IF($F99="","",IF(COUNTA($I99:$K99)=0,0,1/COUNTA($I99:$K99)))</f>
        <v>1</v>
      </c>
      <c r="AE99" s="39" t="str">
        <f aca="false">IF($AH99=0,"",SUM($AH$4:$AH99))</f>
        <v/>
      </c>
      <c r="AF99" s="39" t="str">
        <f aca="false">IF($AI99=0,"",SUM($AI$4:$AI99))</f>
        <v/>
      </c>
      <c r="AG99" s="50" t="str">
        <f aca="false">IF($F99="","",$I99&amp;IF($J99="",""," · "&amp;$J99)&amp;IF($K99="",""," · "&amp;$K99))</f>
        <v>Heliton</v>
      </c>
      <c r="AH99" s="39" t="n">
        <f aca="false">IF(AND($F99&lt;&gt;"",$O99&lt;&gt;"",$O99&lt;=Hoje!$C$3,$P99&gt;=Hoje!$C$3,$R99&lt;&gt;"Cancelada"),1,0)</f>
        <v>0</v>
      </c>
      <c r="AI99" s="39" t="n">
        <f aca="false">IF(AND($F99&lt;&gt;"",$P99&lt;&gt;"",$P99&lt;Hoje!$C$3,$AB99=0,$R99&lt;&gt;"Cancelada"),1,0)</f>
        <v>0</v>
      </c>
      <c r="AJ99" s="50" t="str">
        <f aca="false">IF($F99="","",$D99&amp;"|"&amp;$E99&amp;"|"&amp;$L99)</f>
        <v>F-815|Baixa de pendências backlog|36</v>
      </c>
      <c r="AK99" s="39" t="n">
        <f aca="false">IF($AJ99="","",COUNTIF($AJ$4:$AJ99,$AJ99))</f>
        <v>2</v>
      </c>
      <c r="AL99" s="39" t="n">
        <f aca="false">IF($AJ99="","",COUNTIF($AJ$4:$AJ$1004,$AJ99))</f>
        <v>26</v>
      </c>
      <c r="AM99" s="42"/>
      <c r="AN99" s="50" t="str">
        <f aca="false">IF($D99="","",IFERROR(T(VLOOKUP($D99,Listas!$B$5:$H$120,7,0)),""))</f>
        <v/>
      </c>
      <c r="AO99" s="50" t="str">
        <f aca="false">IF(OR($F99="",$L99&lt;&gt;"",$R99="Cancelada",$AT99&lt;&gt;""),"",$AN99&amp;"|"&amp;$D99&amp;"|"&amp;IF($C99="","zzz",$C99)&amp;"|"&amp;TEXT(99,"0000"))</f>
        <v/>
      </c>
      <c r="AP99" s="50" t="str">
        <f aca="false">IF($AO99="","",COUNTIF($AO$5:$AO$1004,"&lt;"&amp;$AO99)-(ROWS($AO$5:$AO$1004)-Hoje!$L$5)+1)</f>
        <v/>
      </c>
      <c r="AQ99" s="50" t="n">
        <f aca="false">IF(AND($F99&lt;&gt;"",$D99=Frota!$C$3),1,0)</f>
        <v>0</v>
      </c>
      <c r="AR99" s="50" t="str">
        <f aca="false">IF($AQ99=0,"",SUM($AQ$4:$AQ99))</f>
        <v/>
      </c>
      <c r="AS99" s="50" t="str">
        <f aca="false">IFERROR(INDEX(Hoje!$K$10:$K$29,MATCH(ROW(),Hoje!$J$10:$J$29,0)),"")</f>
        <v/>
      </c>
      <c r="AT99" s="47" t="n">
        <f aca="false">IF($Q99&lt;&gt;"",$Q99,$AS99)</f>
        <v>46269</v>
      </c>
    </row>
    <row r="100" customFormat="false" ht="16.5" hidden="false" customHeight="true" outlineLevel="0" collapsed="false">
      <c r="A100" s="39" t="n">
        <f aca="false">IF($F100="","",ROW())</f>
        <v>100</v>
      </c>
      <c r="B100" s="40" t="str">
        <f aca="false">IF($F100="",IF($D100="","","Falta a atividade"),IF($R100="Cancelada","Cancelada",IF($AB100=1,IF(N($Z100)&gt;0,"Concluída com atraso","Concluída"),IF($R100="Em programação","Em programação",IF($O100="",IF($M100="","Na carteira","Falta a semana"),IF($AC100=1,"VENCIDA",IF($O100&gt;Hoje!$L$1,"Programada",IF($P100&gt;Hoje!$L$1,"Em execução","Fecha hoje"))))))))</f>
        <v>Concluída com atraso</v>
      </c>
      <c r="C100" s="41" t="s">
        <v>287</v>
      </c>
      <c r="D100" s="42" t="s">
        <v>281</v>
      </c>
      <c r="E100" s="42" t="s">
        <v>230</v>
      </c>
      <c r="F100" s="42" t="s">
        <v>288</v>
      </c>
      <c r="G100" s="43" t="s">
        <v>80</v>
      </c>
      <c r="H100" s="43" t="s">
        <v>100</v>
      </c>
      <c r="I100" s="44" t="s">
        <v>283</v>
      </c>
      <c r="J100" s="44"/>
      <c r="K100" s="44"/>
      <c r="L100" s="45" t="n">
        <v>36</v>
      </c>
      <c r="M100" s="46" t="s">
        <v>108</v>
      </c>
      <c r="N100" s="45" t="n">
        <v>3</v>
      </c>
      <c r="O100" s="47" t="n">
        <f aca="false">IF(OR($L100="",$M100=""),"",(DATE(Semana!$J$3,1,4)-WEEKDAY(DATE(Semana!$J$3,1,4),3))+($L100-1)*7+MATCH($M100,Listas!$F$5:$F$11,0)-1)</f>
        <v>46265</v>
      </c>
      <c r="P100" s="47" t="n">
        <f aca="false">IF(OR($F100="",$O100=""),"",$O100+MAX(0,ROUNDUP($AK100*MAX(1,IF($N100="",1,$N100))/MAX(1,$AL100),0)-1))</f>
        <v>46265</v>
      </c>
      <c r="Q100" s="48" t="n">
        <v>46269</v>
      </c>
      <c r="R100" s="43" t="s">
        <v>85</v>
      </c>
      <c r="S100" s="49" t="n">
        <v>35</v>
      </c>
      <c r="T100" s="42"/>
      <c r="U100" s="42" t="s">
        <v>101</v>
      </c>
      <c r="V100" s="39" t="str">
        <f aca="false">IF($F100="","",IF(ISNUMBER(SEARCH("(externo)",$I100&amp;$J100&amp;$K100)),"Terceirizada","Interna"))</f>
        <v>Interna</v>
      </c>
      <c r="W100" s="47" t="n">
        <f aca="false">IF($O100="","",IF($S100="",$O100,(DATE(Semana!$J$3,1,4)-WEEKDAY(DATE(Semana!$J$3,1,4),3))+($S100-1)*7+IF($M100="",0,MATCH($M100,Listas!$F$5:$F$11,0)-1)))</f>
        <v>46258</v>
      </c>
      <c r="X100" s="39" t="n">
        <f aca="false">IF($F100="","",IF(OR($AT100="",$O100=""),0,IF($AT100&lt;=$O100,1,0)))</f>
        <v>0</v>
      </c>
      <c r="Y100" s="39" t="n">
        <f aca="false">IF($F100="","",IF(OR($AT100="",$W100=""),0,IF($AT100&lt;=$W100,1,0)))</f>
        <v>0</v>
      </c>
      <c r="Z100" s="39" t="n">
        <f aca="false">IF(OR($AT100="",$O100=""),"",MAX(0,$AT100-$O100))</f>
        <v>4</v>
      </c>
      <c r="AA100" s="39" t="n">
        <f aca="false">IF($F100="","",IF(AND($S100&lt;&gt;"",$L100&lt;&gt;"",$S100&lt;&gt;$L100),1,0))</f>
        <v>1</v>
      </c>
      <c r="AB100" s="39" t="n">
        <f aca="false">IF($F100="","",IF($R100="Cancelada",0,IF(OR($AT100&lt;&gt;"",$R100="Concluída"),1,0)))</f>
        <v>1</v>
      </c>
      <c r="AC100" s="39" t="n">
        <f aca="false">IF($P100="",0,IF($P100&lt;Hoje!$L$1,1,IF(AND($P100=Hoje!$L$1,Hoje!$L$2&gt;Semana!$M$3),1,0)))</f>
        <v>1</v>
      </c>
      <c r="AD100" s="39" t="n">
        <f aca="false">IF($F100="","",IF(COUNTA($I100:$K100)=0,0,1/COUNTA($I100:$K100)))</f>
        <v>1</v>
      </c>
      <c r="AE100" s="39" t="str">
        <f aca="false">IF($AH100=0,"",SUM($AH$4:$AH100))</f>
        <v/>
      </c>
      <c r="AF100" s="39" t="str">
        <f aca="false">IF($AI100=0,"",SUM($AI$4:$AI100))</f>
        <v/>
      </c>
      <c r="AG100" s="50" t="str">
        <f aca="false">IF($F100="","",$I100&amp;IF($J100="",""," · "&amp;$J100)&amp;IF($K100="",""," · "&amp;$K100))</f>
        <v>Heliton</v>
      </c>
      <c r="AH100" s="39" t="n">
        <f aca="false">IF(AND($F100&lt;&gt;"",$O100&lt;&gt;"",$O100&lt;=Hoje!$C$3,$P100&gt;=Hoje!$C$3,$R100&lt;&gt;"Cancelada"),1,0)</f>
        <v>0</v>
      </c>
      <c r="AI100" s="39" t="n">
        <f aca="false">IF(AND($F100&lt;&gt;"",$P100&lt;&gt;"",$P100&lt;Hoje!$C$3,$AB100=0,$R100&lt;&gt;"Cancelada"),1,0)</f>
        <v>0</v>
      </c>
      <c r="AJ100" s="50" t="str">
        <f aca="false">IF($F100="","",$D100&amp;"|"&amp;$E100&amp;"|"&amp;$L100)</f>
        <v>F-815|Baixa de pendências backlog|36</v>
      </c>
      <c r="AK100" s="39" t="n">
        <f aca="false">IF($AJ100="","",COUNTIF($AJ$4:$AJ100,$AJ100))</f>
        <v>3</v>
      </c>
      <c r="AL100" s="39" t="n">
        <f aca="false">IF($AJ100="","",COUNTIF($AJ$4:$AJ$1004,$AJ100))</f>
        <v>26</v>
      </c>
      <c r="AM100" s="42"/>
      <c r="AN100" s="50" t="str">
        <f aca="false">IF($D100="","",IFERROR(T(VLOOKUP($D100,Listas!$B$5:$H$120,7,0)),""))</f>
        <v/>
      </c>
      <c r="AO100" s="50" t="str">
        <f aca="false">IF(OR($F100="",$L100&lt;&gt;"",$R100="Cancelada",$AT100&lt;&gt;""),"",$AN100&amp;"|"&amp;$D100&amp;"|"&amp;IF($C100="","zzz",$C100)&amp;"|"&amp;TEXT(100,"0000"))</f>
        <v/>
      </c>
      <c r="AP100" s="50" t="str">
        <f aca="false">IF($AO100="","",COUNTIF($AO$5:$AO$1004,"&lt;"&amp;$AO100)-(ROWS($AO$5:$AO$1004)-Hoje!$L$5)+1)</f>
        <v/>
      </c>
      <c r="AQ100" s="50" t="n">
        <f aca="false">IF(AND($F100&lt;&gt;"",$D100=Frota!$C$3),1,0)</f>
        <v>0</v>
      </c>
      <c r="AR100" s="50" t="str">
        <f aca="false">IF($AQ100=0,"",SUM($AQ$4:$AQ100))</f>
        <v/>
      </c>
      <c r="AS100" s="50" t="str">
        <f aca="false">IFERROR(INDEX(Hoje!$K$10:$K$29,MATCH(ROW(),Hoje!$J$10:$J$29,0)),"")</f>
        <v/>
      </c>
      <c r="AT100" s="47" t="n">
        <f aca="false">IF($Q100&lt;&gt;"",$Q100,$AS100)</f>
        <v>46269</v>
      </c>
    </row>
    <row r="101" customFormat="false" ht="16.5" hidden="false" customHeight="true" outlineLevel="0" collapsed="false">
      <c r="A101" s="39" t="n">
        <f aca="false">IF($F101="","",ROW())</f>
        <v>101</v>
      </c>
      <c r="B101" s="40" t="str">
        <f aca="false">IF($F101="",IF($D101="","","Falta a atividade"),IF($R101="Cancelada","Cancelada",IF($AB101=1,IF(N($Z101)&gt;0,"Concluída com atraso","Concluída"),IF($R101="Em programação","Em programação",IF($O101="",IF($M101="","Na carteira","Falta a semana"),IF($AC101=1,"VENCIDA",IF($O101&gt;Hoje!$L$1,"Programada",IF($P101&gt;Hoje!$L$1,"Em execução","Fecha hoje"))))))))</f>
        <v>Concluída com atraso</v>
      </c>
      <c r="C101" s="41" t="s">
        <v>289</v>
      </c>
      <c r="D101" s="42" t="s">
        <v>281</v>
      </c>
      <c r="E101" s="42" t="s">
        <v>230</v>
      </c>
      <c r="F101" s="42" t="s">
        <v>290</v>
      </c>
      <c r="G101" s="43" t="s">
        <v>80</v>
      </c>
      <c r="H101" s="43" t="s">
        <v>100</v>
      </c>
      <c r="I101" s="44" t="s">
        <v>283</v>
      </c>
      <c r="J101" s="44"/>
      <c r="K101" s="44"/>
      <c r="L101" s="45" t="n">
        <v>36</v>
      </c>
      <c r="M101" s="46" t="s">
        <v>108</v>
      </c>
      <c r="N101" s="45" t="n">
        <v>3</v>
      </c>
      <c r="O101" s="47" t="n">
        <f aca="false">IF(OR($L101="",$M101=""),"",(DATE(Semana!$J$3,1,4)-WEEKDAY(DATE(Semana!$J$3,1,4),3))+($L101-1)*7+MATCH($M101,Listas!$F$5:$F$11,0)-1)</f>
        <v>46265</v>
      </c>
      <c r="P101" s="47" t="n">
        <f aca="false">IF(OR($F101="",$O101=""),"",$O101+MAX(0,ROUNDUP($AK101*MAX(1,IF($N101="",1,$N101))/MAX(1,$AL101),0)-1))</f>
        <v>46265</v>
      </c>
      <c r="Q101" s="48" t="n">
        <v>46269</v>
      </c>
      <c r="R101" s="43" t="s">
        <v>85</v>
      </c>
      <c r="S101" s="49" t="n">
        <v>35</v>
      </c>
      <c r="T101" s="42" t="s">
        <v>114</v>
      </c>
      <c r="U101" s="42" t="s">
        <v>291</v>
      </c>
      <c r="V101" s="39" t="str">
        <f aca="false">IF($F101="","",IF(ISNUMBER(SEARCH("(externo)",$I101&amp;$J101&amp;$K101)),"Terceirizada","Interna"))</f>
        <v>Interna</v>
      </c>
      <c r="W101" s="47" t="n">
        <f aca="false">IF($O101="","",IF($S101="",$O101,(DATE(Semana!$J$3,1,4)-WEEKDAY(DATE(Semana!$J$3,1,4),3))+($S101-1)*7+IF($M101="",0,MATCH($M101,Listas!$F$5:$F$11,0)-1)))</f>
        <v>46258</v>
      </c>
      <c r="X101" s="39" t="n">
        <f aca="false">IF($F101="","",IF(OR($AT101="",$O101=""),0,IF($AT101&lt;=$O101,1,0)))</f>
        <v>0</v>
      </c>
      <c r="Y101" s="39" t="n">
        <f aca="false">IF($F101="","",IF(OR($AT101="",$W101=""),0,IF($AT101&lt;=$W101,1,0)))</f>
        <v>0</v>
      </c>
      <c r="Z101" s="39" t="n">
        <f aca="false">IF(OR($AT101="",$O101=""),"",MAX(0,$AT101-$O101))</f>
        <v>4</v>
      </c>
      <c r="AA101" s="39" t="n">
        <f aca="false">IF($F101="","",IF(AND($S101&lt;&gt;"",$L101&lt;&gt;"",$S101&lt;&gt;$L101),1,0))</f>
        <v>1</v>
      </c>
      <c r="AB101" s="39" t="n">
        <f aca="false">IF($F101="","",IF($R101="Cancelada",0,IF(OR($AT101&lt;&gt;"",$R101="Concluída"),1,0)))</f>
        <v>1</v>
      </c>
      <c r="AC101" s="39" t="n">
        <f aca="false">IF($P101="",0,IF($P101&lt;Hoje!$L$1,1,IF(AND($P101=Hoje!$L$1,Hoje!$L$2&gt;Semana!$M$3),1,0)))</f>
        <v>1</v>
      </c>
      <c r="AD101" s="39" t="n">
        <f aca="false">IF($F101="","",IF(COUNTA($I101:$K101)=0,0,1/COUNTA($I101:$K101)))</f>
        <v>1</v>
      </c>
      <c r="AE101" s="39" t="str">
        <f aca="false">IF($AH101=0,"",SUM($AH$4:$AH101))</f>
        <v/>
      </c>
      <c r="AF101" s="39" t="str">
        <f aca="false">IF($AI101=0,"",SUM($AI$4:$AI101))</f>
        <v/>
      </c>
      <c r="AG101" s="50" t="str">
        <f aca="false">IF($F101="","",$I101&amp;IF($J101="",""," · "&amp;$J101)&amp;IF($K101="",""," · "&amp;$K101))</f>
        <v>Heliton</v>
      </c>
      <c r="AH101" s="39" t="n">
        <f aca="false">IF(AND($F101&lt;&gt;"",$O101&lt;&gt;"",$O101&lt;=Hoje!$C$3,$P101&gt;=Hoje!$C$3,$R101&lt;&gt;"Cancelada"),1,0)</f>
        <v>0</v>
      </c>
      <c r="AI101" s="39" t="n">
        <f aca="false">IF(AND($F101&lt;&gt;"",$P101&lt;&gt;"",$P101&lt;Hoje!$C$3,$AB101=0,$R101&lt;&gt;"Cancelada"),1,0)</f>
        <v>0</v>
      </c>
      <c r="AJ101" s="50" t="str">
        <f aca="false">IF($F101="","",$D101&amp;"|"&amp;$E101&amp;"|"&amp;$L101)</f>
        <v>F-815|Baixa de pendências backlog|36</v>
      </c>
      <c r="AK101" s="39" t="n">
        <f aca="false">IF($AJ101="","",COUNTIF($AJ$4:$AJ101,$AJ101))</f>
        <v>4</v>
      </c>
      <c r="AL101" s="39" t="n">
        <f aca="false">IF($AJ101="","",COUNTIF($AJ$4:$AJ$1004,$AJ101))</f>
        <v>26</v>
      </c>
      <c r="AM101" s="42"/>
      <c r="AN101" s="50" t="str">
        <f aca="false">IF($D101="","",IFERROR(T(VLOOKUP($D101,Listas!$B$5:$H$120,7,0)),""))</f>
        <v/>
      </c>
      <c r="AO101" s="50" t="str">
        <f aca="false">IF(OR($F101="",$L101&lt;&gt;"",$R101="Cancelada",$AT101&lt;&gt;""),"",$AN101&amp;"|"&amp;$D101&amp;"|"&amp;IF($C101="","zzz",$C101)&amp;"|"&amp;TEXT(101,"0000"))</f>
        <v/>
      </c>
      <c r="AP101" s="50" t="str">
        <f aca="false">IF($AO101="","",COUNTIF($AO$5:$AO$1004,"&lt;"&amp;$AO101)-(ROWS($AO$5:$AO$1004)-Hoje!$L$5)+1)</f>
        <v/>
      </c>
      <c r="AQ101" s="50" t="n">
        <f aca="false">IF(AND($F101&lt;&gt;"",$D101=Frota!$C$3),1,0)</f>
        <v>0</v>
      </c>
      <c r="AR101" s="50" t="str">
        <f aca="false">IF($AQ101=0,"",SUM($AQ$4:$AQ101))</f>
        <v/>
      </c>
      <c r="AS101" s="50" t="str">
        <f aca="false">IFERROR(INDEX(Hoje!$K$10:$K$29,MATCH(ROW(),Hoje!$J$10:$J$29,0)),"")</f>
        <v/>
      </c>
      <c r="AT101" s="47" t="n">
        <f aca="false">IF($Q101&lt;&gt;"",$Q101,$AS101)</f>
        <v>46269</v>
      </c>
    </row>
    <row r="102" customFormat="false" ht="16.5" hidden="false" customHeight="true" outlineLevel="0" collapsed="false">
      <c r="A102" s="39" t="n">
        <f aca="false">IF($F102="","",ROW())</f>
        <v>102</v>
      </c>
      <c r="B102" s="40" t="str">
        <f aca="false">IF($F102="",IF($D102="","","Falta a atividade"),IF($R102="Cancelada","Cancelada",IF($AB102=1,IF(N($Z102)&gt;0,"Concluída com atraso","Concluída"),IF($R102="Em programação","Em programação",IF($O102="",IF($M102="","Na carteira","Falta a semana"),IF($AC102=1,"VENCIDA",IF($O102&gt;Hoje!$L$1,"Programada",IF($P102&gt;Hoje!$L$1,"Em execução","Fecha hoje"))))))))</f>
        <v>Cancelada</v>
      </c>
      <c r="C102" s="41"/>
      <c r="D102" s="42" t="s">
        <v>281</v>
      </c>
      <c r="E102" s="42" t="s">
        <v>230</v>
      </c>
      <c r="F102" s="42" t="s">
        <v>292</v>
      </c>
      <c r="G102" s="43" t="s">
        <v>80</v>
      </c>
      <c r="H102" s="43" t="s">
        <v>100</v>
      </c>
      <c r="I102" s="44"/>
      <c r="J102" s="44"/>
      <c r="K102" s="44"/>
      <c r="L102" s="45" t="n">
        <v>36</v>
      </c>
      <c r="M102" s="46" t="s">
        <v>108</v>
      </c>
      <c r="N102" s="45" t="n">
        <v>3</v>
      </c>
      <c r="O102" s="47" t="n">
        <f aca="false">IF(OR($L102="",$M102=""),"",(DATE(Semana!$J$3,1,4)-WEEKDAY(DATE(Semana!$J$3,1,4),3))+($L102-1)*7+MATCH($M102,Listas!$F$5:$F$11,0)-1)</f>
        <v>46265</v>
      </c>
      <c r="P102" s="47" t="n">
        <f aca="false">IF(OR($F102="",$O102=""),"",$O102+MAX(0,ROUNDUP($AK102*MAX(1,IF($N102="",1,$N102))/MAX(1,$AL102),0)-1))</f>
        <v>46265</v>
      </c>
      <c r="Q102" s="48"/>
      <c r="R102" s="43" t="s">
        <v>191</v>
      </c>
      <c r="S102" s="49" t="n">
        <v>35</v>
      </c>
      <c r="T102" s="42" t="s">
        <v>293</v>
      </c>
      <c r="U102" s="42" t="s">
        <v>270</v>
      </c>
      <c r="V102" s="39" t="str">
        <f aca="false">IF($F102="","",IF(ISNUMBER(SEARCH("(externo)",$I102&amp;$J102&amp;$K102)),"Terceirizada","Interna"))</f>
        <v>Interna</v>
      </c>
      <c r="W102" s="47" t="n">
        <f aca="false">IF($O102="","",IF($S102="",$O102,(DATE(Semana!$J$3,1,4)-WEEKDAY(DATE(Semana!$J$3,1,4),3))+($S102-1)*7+IF($M102="",0,MATCH($M102,Listas!$F$5:$F$11,0)-1)))</f>
        <v>46258</v>
      </c>
      <c r="X102" s="39" t="n">
        <f aca="false">IF($F102="","",IF(OR($AT102="",$O102=""),0,IF($AT102&lt;=$O102,1,0)))</f>
        <v>0</v>
      </c>
      <c r="Y102" s="39" t="n">
        <f aca="false">IF($F102="","",IF(OR($AT102="",$W102=""),0,IF($AT102&lt;=$W102,1,0)))</f>
        <v>0</v>
      </c>
      <c r="Z102" s="39" t="str">
        <f aca="false">IF(OR($AT102="",$O102=""),"",MAX(0,$AT102-$O102))</f>
        <v/>
      </c>
      <c r="AA102" s="39" t="n">
        <f aca="false">IF($F102="","",IF(AND($S102&lt;&gt;"",$L102&lt;&gt;"",$S102&lt;&gt;$L102),1,0))</f>
        <v>1</v>
      </c>
      <c r="AB102" s="39" t="n">
        <f aca="false">IF($F102="","",IF($R102="Cancelada",0,IF(OR($AT102&lt;&gt;"",$R102="Concluída"),1,0)))</f>
        <v>0</v>
      </c>
      <c r="AC102" s="39" t="n">
        <f aca="false">IF($P102="",0,IF($P102&lt;Hoje!$L$1,1,IF(AND($P102=Hoje!$L$1,Hoje!$L$2&gt;Semana!$M$3),1,0)))</f>
        <v>1</v>
      </c>
      <c r="AD102" s="39" t="n">
        <f aca="false">IF($F102="","",IF(COUNTA($I102:$K102)=0,0,1/COUNTA($I102:$K102)))</f>
        <v>0</v>
      </c>
      <c r="AE102" s="39" t="str">
        <f aca="false">IF($AH102=0,"",SUM($AH$4:$AH102))</f>
        <v/>
      </c>
      <c r="AF102" s="39" t="str">
        <f aca="false">IF($AI102=0,"",SUM($AI$4:$AI102))</f>
        <v/>
      </c>
      <c r="AG102" s="50" t="str">
        <f aca="false">IF($F102="","",$I102&amp;IF($J102="",""," · "&amp;$J102)&amp;IF($K102="",""," · "&amp;$K102))</f>
        <v/>
      </c>
      <c r="AH102" s="39" t="n">
        <f aca="false">IF(AND($F102&lt;&gt;"",$O102&lt;&gt;"",$O102&lt;=Hoje!$C$3,$P102&gt;=Hoje!$C$3,$R102&lt;&gt;"Cancelada"),1,0)</f>
        <v>0</v>
      </c>
      <c r="AI102" s="39" t="n">
        <f aca="false">IF(AND($F102&lt;&gt;"",$P102&lt;&gt;"",$P102&lt;Hoje!$C$3,$AB102=0,$R102&lt;&gt;"Cancelada"),1,0)</f>
        <v>0</v>
      </c>
      <c r="AJ102" s="50" t="str">
        <f aca="false">IF($F102="","",$D102&amp;"|"&amp;$E102&amp;"|"&amp;$L102)</f>
        <v>F-815|Baixa de pendências backlog|36</v>
      </c>
      <c r="AK102" s="39" t="n">
        <f aca="false">IF($AJ102="","",COUNTIF($AJ$4:$AJ102,$AJ102))</f>
        <v>5</v>
      </c>
      <c r="AL102" s="39" t="n">
        <f aca="false">IF($AJ102="","",COUNTIF($AJ$4:$AJ$1004,$AJ102))</f>
        <v>26</v>
      </c>
      <c r="AM102" s="42"/>
      <c r="AN102" s="50" t="str">
        <f aca="false">IF($D102="","",IFERROR(T(VLOOKUP($D102,Listas!$B$5:$H$120,7,0)),""))</f>
        <v/>
      </c>
      <c r="AO102" s="50" t="str">
        <f aca="false">IF(OR($F102="",$L102&lt;&gt;"",$R102="Cancelada",$AT102&lt;&gt;""),"",$AN102&amp;"|"&amp;$D102&amp;"|"&amp;IF($C102="","zzz",$C102)&amp;"|"&amp;TEXT(102,"0000"))</f>
        <v/>
      </c>
      <c r="AP102" s="50" t="str">
        <f aca="false">IF($AO102="","",COUNTIF($AO$5:$AO$1004,"&lt;"&amp;$AO102)-(ROWS($AO$5:$AO$1004)-Hoje!$L$5)+1)</f>
        <v/>
      </c>
      <c r="AQ102" s="50" t="n">
        <f aca="false">IF(AND($F102&lt;&gt;"",$D102=Frota!$C$3),1,0)</f>
        <v>0</v>
      </c>
      <c r="AR102" s="50" t="str">
        <f aca="false">IF($AQ102=0,"",SUM($AQ$4:$AQ102))</f>
        <v/>
      </c>
      <c r="AS102" s="50" t="str">
        <f aca="false">IFERROR(INDEX(Hoje!$K$10:$K$29,MATCH(ROW(),Hoje!$J$10:$J$29,0)),"")</f>
        <v/>
      </c>
      <c r="AT102" s="50" t="str">
        <f aca="false">IF($Q102&lt;&gt;"",$Q102,$AS102)</f>
        <v/>
      </c>
    </row>
    <row r="103" customFormat="false" ht="16.5" hidden="false" customHeight="true" outlineLevel="0" collapsed="false">
      <c r="A103" s="39" t="n">
        <f aca="false">IF($F103="","",ROW())</f>
        <v>103</v>
      </c>
      <c r="B103" s="40" t="str">
        <f aca="false">IF($F103="",IF($D103="","","Falta a atividade"),IF($R103="Cancelada","Cancelada",IF($AB103=1,IF(N($Z103)&gt;0,"Concluída com atraso","Concluída"),IF($R103="Em programação","Em programação",IF($O103="",IF($M103="","Na carteira","Falta a semana"),IF($AC103=1,"VENCIDA",IF($O103&gt;Hoje!$L$1,"Programada",IF($P103&gt;Hoje!$L$1,"Em execução","Fecha hoje"))))))))</f>
        <v>Concluída com atraso</v>
      </c>
      <c r="C103" s="41" t="s">
        <v>294</v>
      </c>
      <c r="D103" s="42" t="s">
        <v>281</v>
      </c>
      <c r="E103" s="42" t="s">
        <v>230</v>
      </c>
      <c r="F103" s="42" t="s">
        <v>295</v>
      </c>
      <c r="G103" s="43" t="s">
        <v>80</v>
      </c>
      <c r="H103" s="43" t="s">
        <v>100</v>
      </c>
      <c r="I103" s="44" t="s">
        <v>283</v>
      </c>
      <c r="J103" s="44"/>
      <c r="K103" s="44"/>
      <c r="L103" s="45" t="n">
        <v>36</v>
      </c>
      <c r="M103" s="46" t="s">
        <v>108</v>
      </c>
      <c r="N103" s="45" t="n">
        <v>3</v>
      </c>
      <c r="O103" s="47" t="n">
        <f aca="false">IF(OR($L103="",$M103=""),"",(DATE(Semana!$J$3,1,4)-WEEKDAY(DATE(Semana!$J$3,1,4),3))+($L103-1)*7+MATCH($M103,Listas!$F$5:$F$11,0)-1)</f>
        <v>46265</v>
      </c>
      <c r="P103" s="47" t="n">
        <f aca="false">IF(OR($F103="",$O103=""),"",$O103+MAX(0,ROUNDUP($AK103*MAX(1,IF($N103="",1,$N103))/MAX(1,$AL103),0)-1))</f>
        <v>46265</v>
      </c>
      <c r="Q103" s="48" t="n">
        <v>46269</v>
      </c>
      <c r="R103" s="43" t="s">
        <v>85</v>
      </c>
      <c r="S103" s="49" t="n">
        <v>35</v>
      </c>
      <c r="T103" s="42"/>
      <c r="U103" s="42" t="s">
        <v>296</v>
      </c>
      <c r="V103" s="39" t="str">
        <f aca="false">IF($F103="","",IF(ISNUMBER(SEARCH("(externo)",$I103&amp;$J103&amp;$K103)),"Terceirizada","Interna"))</f>
        <v>Interna</v>
      </c>
      <c r="W103" s="47" t="n">
        <f aca="false">IF($O103="","",IF($S103="",$O103,(DATE(Semana!$J$3,1,4)-WEEKDAY(DATE(Semana!$J$3,1,4),3))+($S103-1)*7+IF($M103="",0,MATCH($M103,Listas!$F$5:$F$11,0)-1)))</f>
        <v>46258</v>
      </c>
      <c r="X103" s="39" t="n">
        <f aca="false">IF($F103="","",IF(OR($AT103="",$O103=""),0,IF($AT103&lt;=$O103,1,0)))</f>
        <v>0</v>
      </c>
      <c r="Y103" s="39" t="n">
        <f aca="false">IF($F103="","",IF(OR($AT103="",$W103=""),0,IF($AT103&lt;=$W103,1,0)))</f>
        <v>0</v>
      </c>
      <c r="Z103" s="39" t="n">
        <f aca="false">IF(OR($AT103="",$O103=""),"",MAX(0,$AT103-$O103))</f>
        <v>4</v>
      </c>
      <c r="AA103" s="39" t="n">
        <f aca="false">IF($F103="","",IF(AND($S103&lt;&gt;"",$L103&lt;&gt;"",$S103&lt;&gt;$L103),1,0))</f>
        <v>1</v>
      </c>
      <c r="AB103" s="39" t="n">
        <f aca="false">IF($F103="","",IF($R103="Cancelada",0,IF(OR($AT103&lt;&gt;"",$R103="Concluída"),1,0)))</f>
        <v>1</v>
      </c>
      <c r="AC103" s="39" t="n">
        <f aca="false">IF($P103="",0,IF($P103&lt;Hoje!$L$1,1,IF(AND($P103=Hoje!$L$1,Hoje!$L$2&gt;Semana!$M$3),1,0)))</f>
        <v>1</v>
      </c>
      <c r="AD103" s="39" t="n">
        <f aca="false">IF($F103="","",IF(COUNTA($I103:$K103)=0,0,1/COUNTA($I103:$K103)))</f>
        <v>1</v>
      </c>
      <c r="AE103" s="39" t="str">
        <f aca="false">IF($AH103=0,"",SUM($AH$4:$AH103))</f>
        <v/>
      </c>
      <c r="AF103" s="39" t="str">
        <f aca="false">IF($AI103=0,"",SUM($AI$4:$AI103))</f>
        <v/>
      </c>
      <c r="AG103" s="50" t="str">
        <f aca="false">IF($F103="","",$I103&amp;IF($J103="",""," · "&amp;$J103)&amp;IF($K103="",""," · "&amp;$K103))</f>
        <v>Heliton</v>
      </c>
      <c r="AH103" s="39" t="n">
        <f aca="false">IF(AND($F103&lt;&gt;"",$O103&lt;&gt;"",$O103&lt;=Hoje!$C$3,$P103&gt;=Hoje!$C$3,$R103&lt;&gt;"Cancelada"),1,0)</f>
        <v>0</v>
      </c>
      <c r="AI103" s="39" t="n">
        <f aca="false">IF(AND($F103&lt;&gt;"",$P103&lt;&gt;"",$P103&lt;Hoje!$C$3,$AB103=0,$R103&lt;&gt;"Cancelada"),1,0)</f>
        <v>0</v>
      </c>
      <c r="AJ103" s="50" t="str">
        <f aca="false">IF($F103="","",$D103&amp;"|"&amp;$E103&amp;"|"&amp;$L103)</f>
        <v>F-815|Baixa de pendências backlog|36</v>
      </c>
      <c r="AK103" s="39" t="n">
        <f aca="false">IF($AJ103="","",COUNTIF($AJ$4:$AJ103,$AJ103))</f>
        <v>6</v>
      </c>
      <c r="AL103" s="39" t="n">
        <f aca="false">IF($AJ103="","",COUNTIF($AJ$4:$AJ$1004,$AJ103))</f>
        <v>26</v>
      </c>
      <c r="AM103" s="42"/>
      <c r="AN103" s="50" t="str">
        <f aca="false">IF($D103="","",IFERROR(T(VLOOKUP($D103,Listas!$B$5:$H$120,7,0)),""))</f>
        <v/>
      </c>
      <c r="AO103" s="50" t="str">
        <f aca="false">IF(OR($F103="",$L103&lt;&gt;"",$R103="Cancelada",$AT103&lt;&gt;""),"",$AN103&amp;"|"&amp;$D103&amp;"|"&amp;IF($C103="","zzz",$C103)&amp;"|"&amp;TEXT(103,"0000"))</f>
        <v/>
      </c>
      <c r="AP103" s="50" t="str">
        <f aca="false">IF($AO103="","",COUNTIF($AO$5:$AO$1004,"&lt;"&amp;$AO103)-(ROWS($AO$5:$AO$1004)-Hoje!$L$5)+1)</f>
        <v/>
      </c>
      <c r="AQ103" s="50" t="n">
        <f aca="false">IF(AND($F103&lt;&gt;"",$D103=Frota!$C$3),1,0)</f>
        <v>0</v>
      </c>
      <c r="AR103" s="50" t="str">
        <f aca="false">IF($AQ103=0,"",SUM($AQ$4:$AQ103))</f>
        <v/>
      </c>
      <c r="AS103" s="50" t="str">
        <f aca="false">IFERROR(INDEX(Hoje!$K$10:$K$29,MATCH(ROW(),Hoje!$J$10:$J$29,0)),"")</f>
        <v/>
      </c>
      <c r="AT103" s="47" t="n">
        <f aca="false">IF($Q103&lt;&gt;"",$Q103,$AS103)</f>
        <v>46269</v>
      </c>
    </row>
    <row r="104" customFormat="false" ht="16.5" hidden="false" customHeight="true" outlineLevel="0" collapsed="false">
      <c r="A104" s="39" t="n">
        <f aca="false">IF($F104="","",ROW())</f>
        <v>104</v>
      </c>
      <c r="B104" s="40" t="str">
        <f aca="false">IF($F104="",IF($D104="","","Falta a atividade"),IF($R104="Cancelada","Cancelada",IF($AB104=1,IF(N($Z104)&gt;0,"Concluída com atraso","Concluída"),IF($R104="Em programação","Em programação",IF($O104="",IF($M104="","Na carteira","Falta a semana"),IF($AC104=1,"VENCIDA",IF($O104&gt;Hoje!$L$1,"Programada",IF($P104&gt;Hoje!$L$1,"Em execução","Fecha hoje"))))))))</f>
        <v>Cancelada</v>
      </c>
      <c r="C104" s="41"/>
      <c r="D104" s="42" t="s">
        <v>281</v>
      </c>
      <c r="E104" s="42" t="s">
        <v>230</v>
      </c>
      <c r="F104" s="42" t="s">
        <v>297</v>
      </c>
      <c r="G104" s="43" t="s">
        <v>80</v>
      </c>
      <c r="H104" s="43" t="s">
        <v>100</v>
      </c>
      <c r="I104" s="44"/>
      <c r="J104" s="44"/>
      <c r="K104" s="44"/>
      <c r="L104" s="45" t="n">
        <v>36</v>
      </c>
      <c r="M104" s="46" t="s">
        <v>108</v>
      </c>
      <c r="N104" s="45" t="n">
        <v>3</v>
      </c>
      <c r="O104" s="47" t="n">
        <f aca="false">IF(OR($L104="",$M104=""),"",(DATE(Semana!$J$3,1,4)-WEEKDAY(DATE(Semana!$J$3,1,4),3))+($L104-1)*7+MATCH($M104,Listas!$F$5:$F$11,0)-1)</f>
        <v>46265</v>
      </c>
      <c r="P104" s="47" t="n">
        <f aca="false">IF(OR($F104="",$O104=""),"",$O104+MAX(0,ROUNDUP($AK104*MAX(1,IF($N104="",1,$N104))/MAX(1,$AL104),0)-1))</f>
        <v>46265</v>
      </c>
      <c r="Q104" s="48"/>
      <c r="R104" s="43" t="s">
        <v>191</v>
      </c>
      <c r="S104" s="49" t="n">
        <v>35</v>
      </c>
      <c r="T104" s="42" t="s">
        <v>293</v>
      </c>
      <c r="U104" s="42" t="s">
        <v>101</v>
      </c>
      <c r="V104" s="39" t="str">
        <f aca="false">IF($F104="","",IF(ISNUMBER(SEARCH("(externo)",$I104&amp;$J104&amp;$K104)),"Terceirizada","Interna"))</f>
        <v>Interna</v>
      </c>
      <c r="W104" s="47" t="n">
        <f aca="false">IF($O104="","",IF($S104="",$O104,(DATE(Semana!$J$3,1,4)-WEEKDAY(DATE(Semana!$J$3,1,4),3))+($S104-1)*7+IF($M104="",0,MATCH($M104,Listas!$F$5:$F$11,0)-1)))</f>
        <v>46258</v>
      </c>
      <c r="X104" s="39" t="n">
        <f aca="false">IF($F104="","",IF(OR($AT104="",$O104=""),0,IF($AT104&lt;=$O104,1,0)))</f>
        <v>0</v>
      </c>
      <c r="Y104" s="39" t="n">
        <f aca="false">IF($F104="","",IF(OR($AT104="",$W104=""),0,IF($AT104&lt;=$W104,1,0)))</f>
        <v>0</v>
      </c>
      <c r="Z104" s="39" t="str">
        <f aca="false">IF(OR($AT104="",$O104=""),"",MAX(0,$AT104-$O104))</f>
        <v/>
      </c>
      <c r="AA104" s="39" t="n">
        <f aca="false">IF($F104="","",IF(AND($S104&lt;&gt;"",$L104&lt;&gt;"",$S104&lt;&gt;$L104),1,0))</f>
        <v>1</v>
      </c>
      <c r="AB104" s="39" t="n">
        <f aca="false">IF($F104="","",IF($R104="Cancelada",0,IF(OR($AT104&lt;&gt;"",$R104="Concluída"),1,0)))</f>
        <v>0</v>
      </c>
      <c r="AC104" s="39" t="n">
        <f aca="false">IF($P104="",0,IF($P104&lt;Hoje!$L$1,1,IF(AND($P104=Hoje!$L$1,Hoje!$L$2&gt;Semana!$M$3),1,0)))</f>
        <v>1</v>
      </c>
      <c r="AD104" s="39" t="n">
        <f aca="false">IF($F104="","",IF(COUNTA($I104:$K104)=0,0,1/COUNTA($I104:$K104)))</f>
        <v>0</v>
      </c>
      <c r="AE104" s="39" t="str">
        <f aca="false">IF($AH104=0,"",SUM($AH$4:$AH104))</f>
        <v/>
      </c>
      <c r="AF104" s="39" t="str">
        <f aca="false">IF($AI104=0,"",SUM($AI$4:$AI104))</f>
        <v/>
      </c>
      <c r="AG104" s="50" t="str">
        <f aca="false">IF($F104="","",$I104&amp;IF($J104="",""," · "&amp;$J104)&amp;IF($K104="",""," · "&amp;$K104))</f>
        <v/>
      </c>
      <c r="AH104" s="39" t="n">
        <f aca="false">IF(AND($F104&lt;&gt;"",$O104&lt;&gt;"",$O104&lt;=Hoje!$C$3,$P104&gt;=Hoje!$C$3,$R104&lt;&gt;"Cancelada"),1,0)</f>
        <v>0</v>
      </c>
      <c r="AI104" s="39" t="n">
        <f aca="false">IF(AND($F104&lt;&gt;"",$P104&lt;&gt;"",$P104&lt;Hoje!$C$3,$AB104=0,$R104&lt;&gt;"Cancelada"),1,0)</f>
        <v>0</v>
      </c>
      <c r="AJ104" s="50" t="str">
        <f aca="false">IF($F104="","",$D104&amp;"|"&amp;$E104&amp;"|"&amp;$L104)</f>
        <v>F-815|Baixa de pendências backlog|36</v>
      </c>
      <c r="AK104" s="39" t="n">
        <f aca="false">IF($AJ104="","",COUNTIF($AJ$4:$AJ104,$AJ104))</f>
        <v>7</v>
      </c>
      <c r="AL104" s="39" t="n">
        <f aca="false">IF($AJ104="","",COUNTIF($AJ$4:$AJ$1004,$AJ104))</f>
        <v>26</v>
      </c>
      <c r="AM104" s="42"/>
      <c r="AN104" s="50" t="str">
        <f aca="false">IF($D104="","",IFERROR(T(VLOOKUP($D104,Listas!$B$5:$H$120,7,0)),""))</f>
        <v/>
      </c>
      <c r="AO104" s="50" t="str">
        <f aca="false">IF(OR($F104="",$L104&lt;&gt;"",$R104="Cancelada",$AT104&lt;&gt;""),"",$AN104&amp;"|"&amp;$D104&amp;"|"&amp;IF($C104="","zzz",$C104)&amp;"|"&amp;TEXT(104,"0000"))</f>
        <v/>
      </c>
      <c r="AP104" s="50" t="str">
        <f aca="false">IF($AO104="","",COUNTIF($AO$5:$AO$1004,"&lt;"&amp;$AO104)-(ROWS($AO$5:$AO$1004)-Hoje!$L$5)+1)</f>
        <v/>
      </c>
      <c r="AQ104" s="50" t="n">
        <f aca="false">IF(AND($F104&lt;&gt;"",$D104=Frota!$C$3),1,0)</f>
        <v>0</v>
      </c>
      <c r="AR104" s="50" t="str">
        <f aca="false">IF($AQ104=0,"",SUM($AQ$4:$AQ104))</f>
        <v/>
      </c>
      <c r="AS104" s="50" t="str">
        <f aca="false">IFERROR(INDEX(Hoje!$K$10:$K$29,MATCH(ROW(),Hoje!$J$10:$J$29,0)),"")</f>
        <v/>
      </c>
      <c r="AT104" s="50" t="str">
        <f aca="false">IF($Q104&lt;&gt;"",$Q104,$AS104)</f>
        <v/>
      </c>
    </row>
    <row r="105" customFormat="false" ht="16.5" hidden="false" customHeight="true" outlineLevel="0" collapsed="false">
      <c r="A105" s="39" t="n">
        <f aca="false">IF($F105="","",ROW())</f>
        <v>105</v>
      </c>
      <c r="B105" s="40" t="str">
        <f aca="false">IF($F105="",IF($D105="","","Falta a atividade"),IF($R105="Cancelada","Cancelada",IF($AB105=1,IF(N($Z105)&gt;0,"Concluída com atraso","Concluída"),IF($R105="Em programação","Em programação",IF($O105="",IF($M105="","Na carteira","Falta a semana"),IF($AC105=1,"VENCIDA",IF($O105&gt;Hoje!$L$1,"Programada",IF($P105&gt;Hoje!$L$1,"Em execução","Fecha hoje"))))))))</f>
        <v>Concluída com atraso</v>
      </c>
      <c r="C105" s="41" t="s">
        <v>298</v>
      </c>
      <c r="D105" s="42" t="s">
        <v>281</v>
      </c>
      <c r="E105" s="42" t="s">
        <v>230</v>
      </c>
      <c r="F105" s="42" t="s">
        <v>299</v>
      </c>
      <c r="G105" s="43" t="s">
        <v>80</v>
      </c>
      <c r="H105" s="43" t="s">
        <v>100</v>
      </c>
      <c r="I105" s="44" t="s">
        <v>283</v>
      </c>
      <c r="J105" s="44"/>
      <c r="K105" s="44"/>
      <c r="L105" s="45" t="n">
        <v>36</v>
      </c>
      <c r="M105" s="46" t="s">
        <v>108</v>
      </c>
      <c r="N105" s="45" t="n">
        <v>3</v>
      </c>
      <c r="O105" s="47" t="n">
        <f aca="false">IF(OR($L105="",$M105=""),"",(DATE(Semana!$J$3,1,4)-WEEKDAY(DATE(Semana!$J$3,1,4),3))+($L105-1)*7+MATCH($M105,Listas!$F$5:$F$11,0)-1)</f>
        <v>46265</v>
      </c>
      <c r="P105" s="47" t="n">
        <f aca="false">IF(OR($F105="",$O105=""),"",$O105+MAX(0,ROUNDUP($AK105*MAX(1,IF($N105="",1,$N105))/MAX(1,$AL105),0)-1))</f>
        <v>46265</v>
      </c>
      <c r="Q105" s="48" t="n">
        <v>46269</v>
      </c>
      <c r="R105" s="43" t="s">
        <v>85</v>
      </c>
      <c r="S105" s="49" t="n">
        <v>35</v>
      </c>
      <c r="T105" s="42"/>
      <c r="U105" s="42" t="s">
        <v>101</v>
      </c>
      <c r="V105" s="39" t="str">
        <f aca="false">IF($F105="","",IF(ISNUMBER(SEARCH("(externo)",$I105&amp;$J105&amp;$K105)),"Terceirizada","Interna"))</f>
        <v>Interna</v>
      </c>
      <c r="W105" s="47" t="n">
        <f aca="false">IF($O105="","",IF($S105="",$O105,(DATE(Semana!$J$3,1,4)-WEEKDAY(DATE(Semana!$J$3,1,4),3))+($S105-1)*7+IF($M105="",0,MATCH($M105,Listas!$F$5:$F$11,0)-1)))</f>
        <v>46258</v>
      </c>
      <c r="X105" s="39" t="n">
        <f aca="false">IF($F105="","",IF(OR($AT105="",$O105=""),0,IF($AT105&lt;=$O105,1,0)))</f>
        <v>0</v>
      </c>
      <c r="Y105" s="39" t="n">
        <f aca="false">IF($F105="","",IF(OR($AT105="",$W105=""),0,IF($AT105&lt;=$W105,1,0)))</f>
        <v>0</v>
      </c>
      <c r="Z105" s="39" t="n">
        <f aca="false">IF(OR($AT105="",$O105=""),"",MAX(0,$AT105-$O105))</f>
        <v>4</v>
      </c>
      <c r="AA105" s="39" t="n">
        <f aca="false">IF($F105="","",IF(AND($S105&lt;&gt;"",$L105&lt;&gt;"",$S105&lt;&gt;$L105),1,0))</f>
        <v>1</v>
      </c>
      <c r="AB105" s="39" t="n">
        <f aca="false">IF($F105="","",IF($R105="Cancelada",0,IF(OR($AT105&lt;&gt;"",$R105="Concluída"),1,0)))</f>
        <v>1</v>
      </c>
      <c r="AC105" s="39" t="n">
        <f aca="false">IF($P105="",0,IF($P105&lt;Hoje!$L$1,1,IF(AND($P105=Hoje!$L$1,Hoje!$L$2&gt;Semana!$M$3),1,0)))</f>
        <v>1</v>
      </c>
      <c r="AD105" s="39" t="n">
        <f aca="false">IF($F105="","",IF(COUNTA($I105:$K105)=0,0,1/COUNTA($I105:$K105)))</f>
        <v>1</v>
      </c>
      <c r="AE105" s="39" t="str">
        <f aca="false">IF($AH105=0,"",SUM($AH$4:$AH105))</f>
        <v/>
      </c>
      <c r="AF105" s="39" t="str">
        <f aca="false">IF($AI105=0,"",SUM($AI$4:$AI105))</f>
        <v/>
      </c>
      <c r="AG105" s="50" t="str">
        <f aca="false">IF($F105="","",$I105&amp;IF($J105="",""," · "&amp;$J105)&amp;IF($K105="",""," · "&amp;$K105))</f>
        <v>Heliton</v>
      </c>
      <c r="AH105" s="39" t="n">
        <f aca="false">IF(AND($F105&lt;&gt;"",$O105&lt;&gt;"",$O105&lt;=Hoje!$C$3,$P105&gt;=Hoje!$C$3,$R105&lt;&gt;"Cancelada"),1,0)</f>
        <v>0</v>
      </c>
      <c r="AI105" s="39" t="n">
        <f aca="false">IF(AND($F105&lt;&gt;"",$P105&lt;&gt;"",$P105&lt;Hoje!$C$3,$AB105=0,$R105&lt;&gt;"Cancelada"),1,0)</f>
        <v>0</v>
      </c>
      <c r="AJ105" s="50" t="str">
        <f aca="false">IF($F105="","",$D105&amp;"|"&amp;$E105&amp;"|"&amp;$L105)</f>
        <v>F-815|Baixa de pendências backlog|36</v>
      </c>
      <c r="AK105" s="39" t="n">
        <f aca="false">IF($AJ105="","",COUNTIF($AJ$4:$AJ105,$AJ105))</f>
        <v>8</v>
      </c>
      <c r="AL105" s="39" t="n">
        <f aca="false">IF($AJ105="","",COUNTIF($AJ$4:$AJ$1004,$AJ105))</f>
        <v>26</v>
      </c>
      <c r="AM105" s="42"/>
      <c r="AN105" s="50" t="str">
        <f aca="false">IF($D105="","",IFERROR(T(VLOOKUP($D105,Listas!$B$5:$H$120,7,0)),""))</f>
        <v/>
      </c>
      <c r="AO105" s="50" t="str">
        <f aca="false">IF(OR($F105="",$L105&lt;&gt;"",$R105="Cancelada",$AT105&lt;&gt;""),"",$AN105&amp;"|"&amp;$D105&amp;"|"&amp;IF($C105="","zzz",$C105)&amp;"|"&amp;TEXT(105,"0000"))</f>
        <v/>
      </c>
      <c r="AP105" s="50" t="str">
        <f aca="false">IF($AO105="","",COUNTIF($AO$5:$AO$1004,"&lt;"&amp;$AO105)-(ROWS($AO$5:$AO$1004)-Hoje!$L$5)+1)</f>
        <v/>
      </c>
      <c r="AQ105" s="50" t="n">
        <f aca="false">IF(AND($F105&lt;&gt;"",$D105=Frota!$C$3),1,0)</f>
        <v>0</v>
      </c>
      <c r="AR105" s="50" t="str">
        <f aca="false">IF($AQ105=0,"",SUM($AQ$4:$AQ105))</f>
        <v/>
      </c>
      <c r="AS105" s="50" t="str">
        <f aca="false">IFERROR(INDEX(Hoje!$K$10:$K$29,MATCH(ROW(),Hoje!$J$10:$J$29,0)),"")</f>
        <v/>
      </c>
      <c r="AT105" s="47" t="n">
        <f aca="false">IF($Q105&lt;&gt;"",$Q105,$AS105)</f>
        <v>46269</v>
      </c>
    </row>
    <row r="106" customFormat="false" ht="16.5" hidden="false" customHeight="true" outlineLevel="0" collapsed="false">
      <c r="A106" s="39" t="n">
        <f aca="false">IF($F106="","",ROW())</f>
        <v>106</v>
      </c>
      <c r="B106" s="40" t="str">
        <f aca="false">IF($F106="",IF($D106="","","Falta a atividade"),IF($R106="Cancelada","Cancelada",IF($AB106=1,IF(N($Z106)&gt;0,"Concluída com atraso","Concluída"),IF($R106="Em programação","Em programação",IF($O106="",IF($M106="","Na carteira","Falta a semana"),IF($AC106=1,"VENCIDA",IF($O106&gt;Hoje!$L$1,"Programada",IF($P106&gt;Hoje!$L$1,"Em execução","Fecha hoje"))))))))</f>
        <v>Concluída com atraso</v>
      </c>
      <c r="C106" s="41" t="s">
        <v>300</v>
      </c>
      <c r="D106" s="42" t="s">
        <v>281</v>
      </c>
      <c r="E106" s="42" t="s">
        <v>230</v>
      </c>
      <c r="F106" s="42" t="s">
        <v>301</v>
      </c>
      <c r="G106" s="43" t="s">
        <v>80</v>
      </c>
      <c r="H106" s="43" t="s">
        <v>100</v>
      </c>
      <c r="I106" s="44" t="s">
        <v>283</v>
      </c>
      <c r="J106" s="44"/>
      <c r="K106" s="44"/>
      <c r="L106" s="45" t="n">
        <v>36</v>
      </c>
      <c r="M106" s="46" t="s">
        <v>108</v>
      </c>
      <c r="N106" s="45" t="n">
        <v>3</v>
      </c>
      <c r="O106" s="47" t="n">
        <f aca="false">IF(OR($L106="",$M106=""),"",(DATE(Semana!$J$3,1,4)-WEEKDAY(DATE(Semana!$J$3,1,4),3))+($L106-1)*7+MATCH($M106,Listas!$F$5:$F$11,0)-1)</f>
        <v>46265</v>
      </c>
      <c r="P106" s="47" t="n">
        <f aca="false">IF(OR($F106="",$O106=""),"",$O106+MAX(0,ROUNDUP($AK106*MAX(1,IF($N106="",1,$N106))/MAX(1,$AL106),0)-1))</f>
        <v>46266</v>
      </c>
      <c r="Q106" s="48" t="n">
        <v>46267</v>
      </c>
      <c r="R106" s="43" t="s">
        <v>85</v>
      </c>
      <c r="S106" s="49" t="n">
        <v>35</v>
      </c>
      <c r="T106" s="42"/>
      <c r="U106" s="42" t="s">
        <v>101</v>
      </c>
      <c r="V106" s="39" t="str">
        <f aca="false">IF($F106="","",IF(ISNUMBER(SEARCH("(externo)",$I106&amp;$J106&amp;$K106)),"Terceirizada","Interna"))</f>
        <v>Interna</v>
      </c>
      <c r="W106" s="47" t="n">
        <f aca="false">IF($O106="","",IF($S106="",$O106,(DATE(Semana!$J$3,1,4)-WEEKDAY(DATE(Semana!$J$3,1,4),3))+($S106-1)*7+IF($M106="",0,MATCH($M106,Listas!$F$5:$F$11,0)-1)))</f>
        <v>46258</v>
      </c>
      <c r="X106" s="39" t="n">
        <f aca="false">IF($F106="","",IF(OR($AT106="",$O106=""),0,IF($AT106&lt;=$O106,1,0)))</f>
        <v>0</v>
      </c>
      <c r="Y106" s="39" t="n">
        <f aca="false">IF($F106="","",IF(OR($AT106="",$W106=""),0,IF($AT106&lt;=$W106,1,0)))</f>
        <v>0</v>
      </c>
      <c r="Z106" s="39" t="n">
        <f aca="false">IF(OR($AT106="",$O106=""),"",MAX(0,$AT106-$O106))</f>
        <v>2</v>
      </c>
      <c r="AA106" s="39" t="n">
        <f aca="false">IF($F106="","",IF(AND($S106&lt;&gt;"",$L106&lt;&gt;"",$S106&lt;&gt;$L106),1,0))</f>
        <v>1</v>
      </c>
      <c r="AB106" s="39" t="n">
        <f aca="false">IF($F106="","",IF($R106="Cancelada",0,IF(OR($AT106&lt;&gt;"",$R106="Concluída"),1,0)))</f>
        <v>1</v>
      </c>
      <c r="AC106" s="39" t="n">
        <f aca="false">IF($P106="",0,IF($P106&lt;Hoje!$L$1,1,IF(AND($P106=Hoje!$L$1,Hoje!$L$2&gt;Semana!$M$3),1,0)))</f>
        <v>1</v>
      </c>
      <c r="AD106" s="39" t="n">
        <f aca="false">IF($F106="","",IF(COUNTA($I106:$K106)=0,0,1/COUNTA($I106:$K106)))</f>
        <v>1</v>
      </c>
      <c r="AE106" s="39" t="str">
        <f aca="false">IF($AH106=0,"",SUM($AH$4:$AH106))</f>
        <v/>
      </c>
      <c r="AF106" s="39" t="str">
        <f aca="false">IF($AI106=0,"",SUM($AI$4:$AI106))</f>
        <v/>
      </c>
      <c r="AG106" s="50" t="str">
        <f aca="false">IF($F106="","",$I106&amp;IF($J106="",""," · "&amp;$J106)&amp;IF($K106="",""," · "&amp;$K106))</f>
        <v>Heliton</v>
      </c>
      <c r="AH106" s="39" t="n">
        <f aca="false">IF(AND($F106&lt;&gt;"",$O106&lt;&gt;"",$O106&lt;=Hoje!$C$3,$P106&gt;=Hoje!$C$3,$R106&lt;&gt;"Cancelada"),1,0)</f>
        <v>0</v>
      </c>
      <c r="AI106" s="39" t="n">
        <f aca="false">IF(AND($F106&lt;&gt;"",$P106&lt;&gt;"",$P106&lt;Hoje!$C$3,$AB106=0,$R106&lt;&gt;"Cancelada"),1,0)</f>
        <v>0</v>
      </c>
      <c r="AJ106" s="50" t="str">
        <f aca="false">IF($F106="","",$D106&amp;"|"&amp;$E106&amp;"|"&amp;$L106)</f>
        <v>F-815|Baixa de pendências backlog|36</v>
      </c>
      <c r="AK106" s="39" t="n">
        <f aca="false">IF($AJ106="","",COUNTIF($AJ$4:$AJ106,$AJ106))</f>
        <v>9</v>
      </c>
      <c r="AL106" s="39" t="n">
        <f aca="false">IF($AJ106="","",COUNTIF($AJ$4:$AJ$1004,$AJ106))</f>
        <v>26</v>
      </c>
      <c r="AM106" s="42"/>
      <c r="AN106" s="50" t="str">
        <f aca="false">IF($D106="","",IFERROR(T(VLOOKUP($D106,Listas!$B$5:$H$120,7,0)),""))</f>
        <v/>
      </c>
      <c r="AO106" s="50" t="str">
        <f aca="false">IF(OR($F106="",$L106&lt;&gt;"",$R106="Cancelada",$AT106&lt;&gt;""),"",$AN106&amp;"|"&amp;$D106&amp;"|"&amp;IF($C106="","zzz",$C106)&amp;"|"&amp;TEXT(106,"0000"))</f>
        <v/>
      </c>
      <c r="AP106" s="50" t="str">
        <f aca="false">IF($AO106="","",COUNTIF($AO$5:$AO$1004,"&lt;"&amp;$AO106)-(ROWS($AO$5:$AO$1004)-Hoje!$L$5)+1)</f>
        <v/>
      </c>
      <c r="AQ106" s="50" t="n">
        <f aca="false">IF(AND($F106&lt;&gt;"",$D106=Frota!$C$3),1,0)</f>
        <v>0</v>
      </c>
      <c r="AR106" s="50" t="str">
        <f aca="false">IF($AQ106=0,"",SUM($AQ$4:$AQ106))</f>
        <v/>
      </c>
      <c r="AS106" s="50" t="str">
        <f aca="false">IFERROR(INDEX(Hoje!$K$10:$K$29,MATCH(ROW(),Hoje!$J$10:$J$29,0)),"")</f>
        <v/>
      </c>
      <c r="AT106" s="47" t="n">
        <f aca="false">IF($Q106&lt;&gt;"",$Q106,$AS106)</f>
        <v>46267</v>
      </c>
    </row>
    <row r="107" customFormat="false" ht="16.5" hidden="false" customHeight="true" outlineLevel="0" collapsed="false">
      <c r="A107" s="39" t="n">
        <f aca="false">IF($F107="","",ROW())</f>
        <v>107</v>
      </c>
      <c r="B107" s="40" t="str">
        <f aca="false">IF($F107="",IF($D107="","","Falta a atividade"),IF($R107="Cancelada","Cancelada",IF($AB107=1,IF(N($Z107)&gt;0,"Concluída com atraso","Concluída"),IF($R107="Em programação","Em programação",IF($O107="",IF($M107="","Na carteira","Falta a semana"),IF($AC107=1,"VENCIDA",IF($O107&gt;Hoje!$L$1,"Programada",IF($P107&gt;Hoje!$L$1,"Em execução","Fecha hoje"))))))))</f>
        <v>Concluída com atraso</v>
      </c>
      <c r="C107" s="41" t="s">
        <v>302</v>
      </c>
      <c r="D107" s="42" t="s">
        <v>281</v>
      </c>
      <c r="E107" s="42" t="s">
        <v>230</v>
      </c>
      <c r="F107" s="42" t="s">
        <v>303</v>
      </c>
      <c r="G107" s="43" t="s">
        <v>80</v>
      </c>
      <c r="H107" s="43" t="s">
        <v>100</v>
      </c>
      <c r="I107" s="44" t="s">
        <v>182</v>
      </c>
      <c r="J107" s="44"/>
      <c r="K107" s="44"/>
      <c r="L107" s="45" t="n">
        <v>36</v>
      </c>
      <c r="M107" s="46" t="s">
        <v>108</v>
      </c>
      <c r="N107" s="45" t="n">
        <v>3</v>
      </c>
      <c r="O107" s="47" t="n">
        <f aca="false">IF(OR($L107="",$M107=""),"",(DATE(Semana!$J$3,1,4)-WEEKDAY(DATE(Semana!$J$3,1,4),3))+($L107-1)*7+MATCH($M107,Listas!$F$5:$F$11,0)-1)</f>
        <v>46265</v>
      </c>
      <c r="P107" s="47" t="n">
        <f aca="false">IF(OR($F107="",$O107=""),"",$O107+MAX(0,ROUNDUP($AK107*MAX(1,IF($N107="",1,$N107))/MAX(1,$AL107),0)-1))</f>
        <v>46266</v>
      </c>
      <c r="Q107" s="48" t="n">
        <v>46267</v>
      </c>
      <c r="R107" s="43" t="s">
        <v>85</v>
      </c>
      <c r="S107" s="49" t="n">
        <v>35</v>
      </c>
      <c r="T107" s="42" t="s">
        <v>284</v>
      </c>
      <c r="U107" s="42" t="s">
        <v>304</v>
      </c>
      <c r="V107" s="39" t="str">
        <f aca="false">IF($F107="","",IF(ISNUMBER(SEARCH("(externo)",$I107&amp;$J107&amp;$K107)),"Terceirizada","Interna"))</f>
        <v>Interna</v>
      </c>
      <c r="W107" s="47" t="n">
        <f aca="false">IF($O107="","",IF($S107="",$O107,(DATE(Semana!$J$3,1,4)-WEEKDAY(DATE(Semana!$J$3,1,4),3))+($S107-1)*7+IF($M107="",0,MATCH($M107,Listas!$F$5:$F$11,0)-1)))</f>
        <v>46258</v>
      </c>
      <c r="X107" s="39" t="n">
        <f aca="false">IF($F107="","",IF(OR($AT107="",$O107=""),0,IF($AT107&lt;=$O107,1,0)))</f>
        <v>0</v>
      </c>
      <c r="Y107" s="39" t="n">
        <f aca="false">IF($F107="","",IF(OR($AT107="",$W107=""),0,IF($AT107&lt;=$W107,1,0)))</f>
        <v>0</v>
      </c>
      <c r="Z107" s="39" t="n">
        <f aca="false">IF(OR($AT107="",$O107=""),"",MAX(0,$AT107-$O107))</f>
        <v>2</v>
      </c>
      <c r="AA107" s="39" t="n">
        <f aca="false">IF($F107="","",IF(AND($S107&lt;&gt;"",$L107&lt;&gt;"",$S107&lt;&gt;$L107),1,0))</f>
        <v>1</v>
      </c>
      <c r="AB107" s="39" t="n">
        <f aca="false">IF($F107="","",IF($R107="Cancelada",0,IF(OR($AT107&lt;&gt;"",$R107="Concluída"),1,0)))</f>
        <v>1</v>
      </c>
      <c r="AC107" s="39" t="n">
        <f aca="false">IF($P107="",0,IF($P107&lt;Hoje!$L$1,1,IF(AND($P107=Hoje!$L$1,Hoje!$L$2&gt;Semana!$M$3),1,0)))</f>
        <v>1</v>
      </c>
      <c r="AD107" s="39" t="n">
        <f aca="false">IF($F107="","",IF(COUNTA($I107:$K107)=0,0,1/COUNTA($I107:$K107)))</f>
        <v>1</v>
      </c>
      <c r="AE107" s="39" t="str">
        <f aca="false">IF($AH107=0,"",SUM($AH$4:$AH107))</f>
        <v/>
      </c>
      <c r="AF107" s="39" t="str">
        <f aca="false">IF($AI107=0,"",SUM($AI$4:$AI107))</f>
        <v/>
      </c>
      <c r="AG107" s="50" t="str">
        <f aca="false">IF($F107="","",$I107&amp;IF($J107="",""," · "&amp;$J107)&amp;IF($K107="",""," · "&amp;$K107))</f>
        <v>Alexandre</v>
      </c>
      <c r="AH107" s="39" t="n">
        <f aca="false">IF(AND($F107&lt;&gt;"",$O107&lt;&gt;"",$O107&lt;=Hoje!$C$3,$P107&gt;=Hoje!$C$3,$R107&lt;&gt;"Cancelada"),1,0)</f>
        <v>0</v>
      </c>
      <c r="AI107" s="39" t="n">
        <f aca="false">IF(AND($F107&lt;&gt;"",$P107&lt;&gt;"",$P107&lt;Hoje!$C$3,$AB107=0,$R107&lt;&gt;"Cancelada"),1,0)</f>
        <v>0</v>
      </c>
      <c r="AJ107" s="50" t="str">
        <f aca="false">IF($F107="","",$D107&amp;"|"&amp;$E107&amp;"|"&amp;$L107)</f>
        <v>F-815|Baixa de pendências backlog|36</v>
      </c>
      <c r="AK107" s="39" t="n">
        <f aca="false">IF($AJ107="","",COUNTIF($AJ$4:$AJ107,$AJ107))</f>
        <v>10</v>
      </c>
      <c r="AL107" s="39" t="n">
        <f aca="false">IF($AJ107="","",COUNTIF($AJ$4:$AJ$1004,$AJ107))</f>
        <v>26</v>
      </c>
      <c r="AM107" s="42"/>
      <c r="AN107" s="50" t="str">
        <f aca="false">IF($D107="","",IFERROR(T(VLOOKUP($D107,Listas!$B$5:$H$120,7,0)),""))</f>
        <v/>
      </c>
      <c r="AO107" s="50" t="str">
        <f aca="false">IF(OR($F107="",$L107&lt;&gt;"",$R107="Cancelada",$AT107&lt;&gt;""),"",$AN107&amp;"|"&amp;$D107&amp;"|"&amp;IF($C107="","zzz",$C107)&amp;"|"&amp;TEXT(107,"0000"))</f>
        <v/>
      </c>
      <c r="AP107" s="50" t="str">
        <f aca="false">IF($AO107="","",COUNTIF($AO$5:$AO$1004,"&lt;"&amp;$AO107)-(ROWS($AO$5:$AO$1004)-Hoje!$L$5)+1)</f>
        <v/>
      </c>
      <c r="AQ107" s="50" t="n">
        <f aca="false">IF(AND($F107&lt;&gt;"",$D107=Frota!$C$3),1,0)</f>
        <v>0</v>
      </c>
      <c r="AR107" s="50" t="str">
        <f aca="false">IF($AQ107=0,"",SUM($AQ$4:$AQ107))</f>
        <v/>
      </c>
      <c r="AS107" s="50" t="str">
        <f aca="false">IFERROR(INDEX(Hoje!$K$10:$K$29,MATCH(ROW(),Hoje!$J$10:$J$29,0)),"")</f>
        <v/>
      </c>
      <c r="AT107" s="47" t="n">
        <f aca="false">IF($Q107&lt;&gt;"",$Q107,$AS107)</f>
        <v>46267</v>
      </c>
    </row>
    <row r="108" customFormat="false" ht="16.5" hidden="false" customHeight="true" outlineLevel="0" collapsed="false">
      <c r="A108" s="39" t="n">
        <f aca="false">IF($F108="","",ROW())</f>
        <v>108</v>
      </c>
      <c r="B108" s="40" t="str">
        <f aca="false">IF($F108="",IF($D108="","","Falta a atividade"),IF($R108="Cancelada","Cancelada",IF($AB108=1,IF(N($Z108)&gt;0,"Concluída com atraso","Concluída"),IF($R108="Em programação","Em programação",IF($O108="",IF($M108="","Na carteira","Falta a semana"),IF($AC108=1,"VENCIDA",IF($O108&gt;Hoje!$L$1,"Programada",IF($P108&gt;Hoje!$L$1,"Em execução","Fecha hoje"))))))))</f>
        <v>Concluída com atraso</v>
      </c>
      <c r="C108" s="41" t="s">
        <v>305</v>
      </c>
      <c r="D108" s="42" t="s">
        <v>281</v>
      </c>
      <c r="E108" s="42" t="s">
        <v>230</v>
      </c>
      <c r="F108" s="42" t="s">
        <v>306</v>
      </c>
      <c r="G108" s="43" t="s">
        <v>80</v>
      </c>
      <c r="H108" s="43" t="s">
        <v>100</v>
      </c>
      <c r="I108" s="44" t="s">
        <v>283</v>
      </c>
      <c r="J108" s="44"/>
      <c r="K108" s="44"/>
      <c r="L108" s="45" t="n">
        <v>36</v>
      </c>
      <c r="M108" s="46" t="s">
        <v>108</v>
      </c>
      <c r="N108" s="45" t="n">
        <v>3</v>
      </c>
      <c r="O108" s="47" t="n">
        <f aca="false">IF(OR($L108="",$M108=""),"",(DATE(Semana!$J$3,1,4)-WEEKDAY(DATE(Semana!$J$3,1,4),3))+($L108-1)*7+MATCH($M108,Listas!$F$5:$F$11,0)-1)</f>
        <v>46265</v>
      </c>
      <c r="P108" s="47" t="n">
        <f aca="false">IF(OR($F108="",$O108=""),"",$O108+MAX(0,ROUNDUP($AK108*MAX(1,IF($N108="",1,$N108))/MAX(1,$AL108),0)-1))</f>
        <v>46266</v>
      </c>
      <c r="Q108" s="48" t="n">
        <v>46266</v>
      </c>
      <c r="R108" s="43" t="s">
        <v>85</v>
      </c>
      <c r="S108" s="49" t="n">
        <v>35</v>
      </c>
      <c r="T108" s="42" t="s">
        <v>284</v>
      </c>
      <c r="U108" s="42" t="s">
        <v>307</v>
      </c>
      <c r="V108" s="39" t="str">
        <f aca="false">IF($F108="","",IF(ISNUMBER(SEARCH("(externo)",$I108&amp;$J108&amp;$K108)),"Terceirizada","Interna"))</f>
        <v>Interna</v>
      </c>
      <c r="W108" s="47" t="n">
        <f aca="false">IF($O108="","",IF($S108="",$O108,(DATE(Semana!$J$3,1,4)-WEEKDAY(DATE(Semana!$J$3,1,4),3))+($S108-1)*7+IF($M108="",0,MATCH($M108,Listas!$F$5:$F$11,0)-1)))</f>
        <v>46258</v>
      </c>
      <c r="X108" s="39" t="n">
        <f aca="false">IF($F108="","",IF(OR($AT108="",$O108=""),0,IF($AT108&lt;=$O108,1,0)))</f>
        <v>0</v>
      </c>
      <c r="Y108" s="39" t="n">
        <f aca="false">IF($F108="","",IF(OR($AT108="",$W108=""),0,IF($AT108&lt;=$W108,1,0)))</f>
        <v>0</v>
      </c>
      <c r="Z108" s="39" t="n">
        <f aca="false">IF(OR($AT108="",$O108=""),"",MAX(0,$AT108-$O108))</f>
        <v>1</v>
      </c>
      <c r="AA108" s="39" t="n">
        <f aca="false">IF($F108="","",IF(AND($S108&lt;&gt;"",$L108&lt;&gt;"",$S108&lt;&gt;$L108),1,0))</f>
        <v>1</v>
      </c>
      <c r="AB108" s="39" t="n">
        <f aca="false">IF($F108="","",IF($R108="Cancelada",0,IF(OR($AT108&lt;&gt;"",$R108="Concluída"),1,0)))</f>
        <v>1</v>
      </c>
      <c r="AC108" s="39" t="n">
        <f aca="false">IF($P108="",0,IF($P108&lt;Hoje!$L$1,1,IF(AND($P108=Hoje!$L$1,Hoje!$L$2&gt;Semana!$M$3),1,0)))</f>
        <v>1</v>
      </c>
      <c r="AD108" s="39" t="n">
        <f aca="false">IF($F108="","",IF(COUNTA($I108:$K108)=0,0,1/COUNTA($I108:$K108)))</f>
        <v>1</v>
      </c>
      <c r="AE108" s="39" t="str">
        <f aca="false">IF($AH108=0,"",SUM($AH$4:$AH108))</f>
        <v/>
      </c>
      <c r="AF108" s="39" t="str">
        <f aca="false">IF($AI108=0,"",SUM($AI$4:$AI108))</f>
        <v/>
      </c>
      <c r="AG108" s="50" t="str">
        <f aca="false">IF($F108="","",$I108&amp;IF($J108="",""," · "&amp;$J108)&amp;IF($K108="",""," · "&amp;$K108))</f>
        <v>Heliton</v>
      </c>
      <c r="AH108" s="39" t="n">
        <f aca="false">IF(AND($F108&lt;&gt;"",$O108&lt;&gt;"",$O108&lt;=Hoje!$C$3,$P108&gt;=Hoje!$C$3,$R108&lt;&gt;"Cancelada"),1,0)</f>
        <v>0</v>
      </c>
      <c r="AI108" s="39" t="n">
        <f aca="false">IF(AND($F108&lt;&gt;"",$P108&lt;&gt;"",$P108&lt;Hoje!$C$3,$AB108=0,$R108&lt;&gt;"Cancelada"),1,0)</f>
        <v>0</v>
      </c>
      <c r="AJ108" s="50" t="str">
        <f aca="false">IF($F108="","",$D108&amp;"|"&amp;$E108&amp;"|"&amp;$L108)</f>
        <v>F-815|Baixa de pendências backlog|36</v>
      </c>
      <c r="AK108" s="39" t="n">
        <f aca="false">IF($AJ108="","",COUNTIF($AJ$4:$AJ108,$AJ108))</f>
        <v>11</v>
      </c>
      <c r="AL108" s="39" t="n">
        <f aca="false">IF($AJ108="","",COUNTIF($AJ$4:$AJ$1004,$AJ108))</f>
        <v>26</v>
      </c>
      <c r="AM108" s="42"/>
      <c r="AN108" s="50" t="str">
        <f aca="false">IF($D108="","",IFERROR(T(VLOOKUP($D108,Listas!$B$5:$H$120,7,0)),""))</f>
        <v/>
      </c>
      <c r="AO108" s="50" t="str">
        <f aca="false">IF(OR($F108="",$L108&lt;&gt;"",$R108="Cancelada",$AT108&lt;&gt;""),"",$AN108&amp;"|"&amp;$D108&amp;"|"&amp;IF($C108="","zzz",$C108)&amp;"|"&amp;TEXT(108,"0000"))</f>
        <v/>
      </c>
      <c r="AP108" s="50" t="str">
        <f aca="false">IF($AO108="","",COUNTIF($AO$5:$AO$1004,"&lt;"&amp;$AO108)-(ROWS($AO$5:$AO$1004)-Hoje!$L$5)+1)</f>
        <v/>
      </c>
      <c r="AQ108" s="50" t="n">
        <f aca="false">IF(AND($F108&lt;&gt;"",$D108=Frota!$C$3),1,0)</f>
        <v>0</v>
      </c>
      <c r="AR108" s="50" t="str">
        <f aca="false">IF($AQ108=0,"",SUM($AQ$4:$AQ108))</f>
        <v/>
      </c>
      <c r="AS108" s="50" t="str">
        <f aca="false">IFERROR(INDEX(Hoje!$K$10:$K$29,MATCH(ROW(),Hoje!$J$10:$J$29,0)),"")</f>
        <v/>
      </c>
      <c r="AT108" s="47" t="n">
        <f aca="false">IF($Q108&lt;&gt;"",$Q108,$AS108)</f>
        <v>46266</v>
      </c>
    </row>
    <row r="109" customFormat="false" ht="16.5" hidden="false" customHeight="true" outlineLevel="0" collapsed="false">
      <c r="A109" s="39" t="n">
        <f aca="false">IF($F109="","",ROW())</f>
        <v>109</v>
      </c>
      <c r="B109" s="40" t="str">
        <f aca="false">IF($F109="",IF($D109="","","Falta a atividade"),IF($R109="Cancelada","Cancelada",IF($AB109=1,IF(N($Z109)&gt;0,"Concluída com atraso","Concluída"),IF($R109="Em programação","Em programação",IF($O109="",IF($M109="","Na carteira","Falta a semana"),IF($AC109=1,"VENCIDA",IF($O109&gt;Hoje!$L$1,"Programada",IF($P109&gt;Hoje!$L$1,"Em execução","Fecha hoje"))))))))</f>
        <v>Concluída</v>
      </c>
      <c r="C109" s="41" t="s">
        <v>308</v>
      </c>
      <c r="D109" s="42" t="s">
        <v>281</v>
      </c>
      <c r="E109" s="42" t="s">
        <v>230</v>
      </c>
      <c r="F109" s="42" t="s">
        <v>309</v>
      </c>
      <c r="G109" s="43" t="s">
        <v>80</v>
      </c>
      <c r="H109" s="43" t="s">
        <v>100</v>
      </c>
      <c r="I109" s="44" t="s">
        <v>182</v>
      </c>
      <c r="J109" s="44"/>
      <c r="K109" s="44"/>
      <c r="L109" s="45" t="n">
        <v>37</v>
      </c>
      <c r="M109" s="46" t="s">
        <v>131</v>
      </c>
      <c r="N109" s="45" t="n">
        <v>3</v>
      </c>
      <c r="O109" s="47" t="n">
        <f aca="false">IF(OR($L109="",$M109=""),"",(DATE(Semana!$J$3,1,4)-WEEKDAY(DATE(Semana!$J$3,1,4),3))+($L109-1)*7+MATCH($M109,Listas!$F$5:$F$11,0)-1)</f>
        <v>46273</v>
      </c>
      <c r="P109" s="47" t="n">
        <f aca="false">IF(OR($F109="",$O109=""),"",$O109+MAX(0,ROUNDUP($AK109*MAX(1,IF($N109="",1,$N109))/MAX(1,$AL109),0)-1))</f>
        <v>46273</v>
      </c>
      <c r="Q109" s="48" t="n">
        <v>46273</v>
      </c>
      <c r="R109" s="43" t="s">
        <v>85</v>
      </c>
      <c r="S109" s="49" t="n">
        <v>35</v>
      </c>
      <c r="T109" s="42"/>
      <c r="U109" s="42" t="s">
        <v>101</v>
      </c>
      <c r="V109" s="39" t="str">
        <f aca="false">IF($F109="","",IF(ISNUMBER(SEARCH("(externo)",$I109&amp;$J109&amp;$K109)),"Terceirizada","Interna"))</f>
        <v>Interna</v>
      </c>
      <c r="W109" s="47" t="n">
        <f aca="false">IF($O109="","",IF($S109="",$O109,(DATE(Semana!$J$3,1,4)-WEEKDAY(DATE(Semana!$J$3,1,4),3))+($S109-1)*7+IF($M109="",0,MATCH($M109,Listas!$F$5:$F$11,0)-1)))</f>
        <v>46259</v>
      </c>
      <c r="X109" s="39" t="n">
        <f aca="false">IF($F109="","",IF(OR($AT109="",$O109=""),0,IF($AT109&lt;=$O109,1,0)))</f>
        <v>1</v>
      </c>
      <c r="Y109" s="39" t="n">
        <f aca="false">IF($F109="","",IF(OR($AT109="",$W109=""),0,IF($AT109&lt;=$W109,1,0)))</f>
        <v>0</v>
      </c>
      <c r="Z109" s="39" t="n">
        <f aca="false">IF(OR($AT109="",$O109=""),"",MAX(0,$AT109-$O109))</f>
        <v>0</v>
      </c>
      <c r="AA109" s="39" t="n">
        <f aca="false">IF($F109="","",IF(AND($S109&lt;&gt;"",$L109&lt;&gt;"",$S109&lt;&gt;$L109),1,0))</f>
        <v>1</v>
      </c>
      <c r="AB109" s="39" t="n">
        <f aca="false">IF($F109="","",IF($R109="Cancelada",0,IF(OR($AT109&lt;&gt;"",$R109="Concluída"),1,0)))</f>
        <v>1</v>
      </c>
      <c r="AC109" s="39" t="n">
        <f aca="false">IF($P109="",0,IF($P109&lt;Hoje!$L$1,1,IF(AND($P109=Hoje!$L$1,Hoje!$L$2&gt;Semana!$M$3),1,0)))</f>
        <v>1</v>
      </c>
      <c r="AD109" s="39" t="n">
        <f aca="false">IF($F109="","",IF(COUNTA($I109:$K109)=0,0,1/COUNTA($I109:$K109)))</f>
        <v>1</v>
      </c>
      <c r="AE109" s="39" t="str">
        <f aca="false">IF($AH109=0,"",SUM($AH$4:$AH109))</f>
        <v/>
      </c>
      <c r="AF109" s="39" t="str">
        <f aca="false">IF($AI109=0,"",SUM($AI$4:$AI109))</f>
        <v/>
      </c>
      <c r="AG109" s="50" t="str">
        <f aca="false">IF($F109="","",$I109&amp;IF($J109="",""," · "&amp;$J109)&amp;IF($K109="",""," · "&amp;$K109))</f>
        <v>Alexandre</v>
      </c>
      <c r="AH109" s="39" t="n">
        <f aca="false">IF(AND($F109&lt;&gt;"",$O109&lt;&gt;"",$O109&lt;=Hoje!$C$3,$P109&gt;=Hoje!$C$3,$R109&lt;&gt;"Cancelada"),1,0)</f>
        <v>0</v>
      </c>
      <c r="AI109" s="39" t="n">
        <f aca="false">IF(AND($F109&lt;&gt;"",$P109&lt;&gt;"",$P109&lt;Hoje!$C$3,$AB109=0,$R109&lt;&gt;"Cancelada"),1,0)</f>
        <v>0</v>
      </c>
      <c r="AJ109" s="50" t="str">
        <f aca="false">IF($F109="","",$D109&amp;"|"&amp;$E109&amp;"|"&amp;$L109)</f>
        <v>F-815|Baixa de pendências backlog|37</v>
      </c>
      <c r="AK109" s="39" t="n">
        <f aca="false">IF($AJ109="","",COUNTIF($AJ$4:$AJ109,$AJ109))</f>
        <v>1</v>
      </c>
      <c r="AL109" s="39" t="n">
        <f aca="false">IF($AJ109="","",COUNTIF($AJ$4:$AJ$1004,$AJ109))</f>
        <v>8</v>
      </c>
      <c r="AM109" s="42"/>
      <c r="AN109" s="50" t="str">
        <f aca="false">IF($D109="","",IFERROR(T(VLOOKUP($D109,Listas!$B$5:$H$120,7,0)),""))</f>
        <v/>
      </c>
      <c r="AO109" s="50" t="str">
        <f aca="false">IF(OR($F109="",$L109&lt;&gt;"",$R109="Cancelada",$AT109&lt;&gt;""),"",$AN109&amp;"|"&amp;$D109&amp;"|"&amp;IF($C109="","zzz",$C109)&amp;"|"&amp;TEXT(109,"0000"))</f>
        <v/>
      </c>
      <c r="AP109" s="50" t="str">
        <f aca="false">IF($AO109="","",COUNTIF($AO$5:$AO$1004,"&lt;"&amp;$AO109)-(ROWS($AO$5:$AO$1004)-Hoje!$L$5)+1)</f>
        <v/>
      </c>
      <c r="AQ109" s="50" t="n">
        <f aca="false">IF(AND($F109&lt;&gt;"",$D109=Frota!$C$3),1,0)</f>
        <v>0</v>
      </c>
      <c r="AR109" s="50" t="str">
        <f aca="false">IF($AQ109=0,"",SUM($AQ$4:$AQ109))</f>
        <v/>
      </c>
      <c r="AS109" s="50" t="str">
        <f aca="false">IFERROR(INDEX(Hoje!$K$10:$K$29,MATCH(ROW(),Hoje!$J$10:$J$29,0)),"")</f>
        <v/>
      </c>
      <c r="AT109" s="47" t="n">
        <f aca="false">IF($Q109&lt;&gt;"",$Q109,$AS109)</f>
        <v>46273</v>
      </c>
    </row>
    <row r="110" customFormat="false" ht="16.5" hidden="false" customHeight="true" outlineLevel="0" collapsed="false">
      <c r="A110" s="39" t="n">
        <f aca="false">IF($F110="","",ROW())</f>
        <v>110</v>
      </c>
      <c r="B110" s="40" t="str">
        <f aca="false">IF($F110="",IF($D110="","","Falta a atividade"),IF($R110="Cancelada","Cancelada",IF($AB110=1,IF(N($Z110)&gt;0,"Concluída com atraso","Concluída"),IF($R110="Em programação","Em programação",IF($O110="",IF($M110="","Na carteira","Falta a semana"),IF($AC110=1,"VENCIDA",IF($O110&gt;Hoje!$L$1,"Programada",IF($P110&gt;Hoje!$L$1,"Em execução","Fecha hoje"))))))))</f>
        <v>Concluída com atraso</v>
      </c>
      <c r="C110" s="41" t="s">
        <v>310</v>
      </c>
      <c r="D110" s="42" t="s">
        <v>281</v>
      </c>
      <c r="E110" s="42" t="s">
        <v>230</v>
      </c>
      <c r="F110" s="42" t="s">
        <v>311</v>
      </c>
      <c r="G110" s="43" t="s">
        <v>80</v>
      </c>
      <c r="H110" s="43" t="s">
        <v>100</v>
      </c>
      <c r="I110" s="44" t="s">
        <v>283</v>
      </c>
      <c r="J110" s="44"/>
      <c r="K110" s="44"/>
      <c r="L110" s="45" t="n">
        <v>36</v>
      </c>
      <c r="M110" s="46" t="s">
        <v>108</v>
      </c>
      <c r="N110" s="45" t="n">
        <v>3</v>
      </c>
      <c r="O110" s="47" t="n">
        <f aca="false">IF(OR($L110="",$M110=""),"",(DATE(Semana!$J$3,1,4)-WEEKDAY(DATE(Semana!$J$3,1,4),3))+($L110-1)*7+MATCH($M110,Listas!$F$5:$F$11,0)-1)</f>
        <v>46265</v>
      </c>
      <c r="P110" s="47" t="n">
        <f aca="false">IF(OR($F110="",$O110=""),"",$O110+MAX(0,ROUNDUP($AK110*MAX(1,IF($N110="",1,$N110))/MAX(1,$AL110),0)-1))</f>
        <v>46266</v>
      </c>
      <c r="Q110" s="48" t="n">
        <v>46266</v>
      </c>
      <c r="R110" s="43" t="s">
        <v>85</v>
      </c>
      <c r="S110" s="49" t="n">
        <v>35</v>
      </c>
      <c r="T110" s="42"/>
      <c r="U110" s="42" t="s">
        <v>312</v>
      </c>
      <c r="V110" s="39" t="str">
        <f aca="false">IF($F110="","",IF(ISNUMBER(SEARCH("(externo)",$I110&amp;$J110&amp;$K110)),"Terceirizada","Interna"))</f>
        <v>Interna</v>
      </c>
      <c r="W110" s="47" t="n">
        <f aca="false">IF($O110="","",IF($S110="",$O110,(DATE(Semana!$J$3,1,4)-WEEKDAY(DATE(Semana!$J$3,1,4),3))+($S110-1)*7+IF($M110="",0,MATCH($M110,Listas!$F$5:$F$11,0)-1)))</f>
        <v>46258</v>
      </c>
      <c r="X110" s="39" t="n">
        <f aca="false">IF($F110="","",IF(OR($AT110="",$O110=""),0,IF($AT110&lt;=$O110,1,0)))</f>
        <v>0</v>
      </c>
      <c r="Y110" s="39" t="n">
        <f aca="false">IF($F110="","",IF(OR($AT110="",$W110=""),0,IF($AT110&lt;=$W110,1,0)))</f>
        <v>0</v>
      </c>
      <c r="Z110" s="39" t="n">
        <f aca="false">IF(OR($AT110="",$O110=""),"",MAX(0,$AT110-$O110))</f>
        <v>1</v>
      </c>
      <c r="AA110" s="39" t="n">
        <f aca="false">IF($F110="","",IF(AND($S110&lt;&gt;"",$L110&lt;&gt;"",$S110&lt;&gt;$L110),1,0))</f>
        <v>1</v>
      </c>
      <c r="AB110" s="39" t="n">
        <f aca="false">IF($F110="","",IF($R110="Cancelada",0,IF(OR($AT110&lt;&gt;"",$R110="Concluída"),1,0)))</f>
        <v>1</v>
      </c>
      <c r="AC110" s="39" t="n">
        <f aca="false">IF($P110="",0,IF($P110&lt;Hoje!$L$1,1,IF(AND($P110=Hoje!$L$1,Hoje!$L$2&gt;Semana!$M$3),1,0)))</f>
        <v>1</v>
      </c>
      <c r="AD110" s="39" t="n">
        <f aca="false">IF($F110="","",IF(COUNTA($I110:$K110)=0,0,1/COUNTA($I110:$K110)))</f>
        <v>1</v>
      </c>
      <c r="AE110" s="39" t="str">
        <f aca="false">IF($AH110=0,"",SUM($AH$4:$AH110))</f>
        <v/>
      </c>
      <c r="AF110" s="39" t="str">
        <f aca="false">IF($AI110=0,"",SUM($AI$4:$AI110))</f>
        <v/>
      </c>
      <c r="AG110" s="50" t="str">
        <f aca="false">IF($F110="","",$I110&amp;IF($J110="",""," · "&amp;$J110)&amp;IF($K110="",""," · "&amp;$K110))</f>
        <v>Heliton</v>
      </c>
      <c r="AH110" s="39" t="n">
        <f aca="false">IF(AND($F110&lt;&gt;"",$O110&lt;&gt;"",$O110&lt;=Hoje!$C$3,$P110&gt;=Hoje!$C$3,$R110&lt;&gt;"Cancelada"),1,0)</f>
        <v>0</v>
      </c>
      <c r="AI110" s="39" t="n">
        <f aca="false">IF(AND($F110&lt;&gt;"",$P110&lt;&gt;"",$P110&lt;Hoje!$C$3,$AB110=0,$R110&lt;&gt;"Cancelada"),1,0)</f>
        <v>0</v>
      </c>
      <c r="AJ110" s="50" t="str">
        <f aca="false">IF($F110="","",$D110&amp;"|"&amp;$E110&amp;"|"&amp;$L110)</f>
        <v>F-815|Baixa de pendências backlog|36</v>
      </c>
      <c r="AK110" s="39" t="n">
        <f aca="false">IF($AJ110="","",COUNTIF($AJ$4:$AJ110,$AJ110))</f>
        <v>12</v>
      </c>
      <c r="AL110" s="39" t="n">
        <f aca="false">IF($AJ110="","",COUNTIF($AJ$4:$AJ$1004,$AJ110))</f>
        <v>26</v>
      </c>
      <c r="AM110" s="42"/>
      <c r="AN110" s="50" t="str">
        <f aca="false">IF($D110="","",IFERROR(T(VLOOKUP($D110,Listas!$B$5:$H$120,7,0)),""))</f>
        <v/>
      </c>
      <c r="AO110" s="50" t="str">
        <f aca="false">IF(OR($F110="",$L110&lt;&gt;"",$R110="Cancelada",$AT110&lt;&gt;""),"",$AN110&amp;"|"&amp;$D110&amp;"|"&amp;IF($C110="","zzz",$C110)&amp;"|"&amp;TEXT(110,"0000"))</f>
        <v/>
      </c>
      <c r="AP110" s="50" t="str">
        <f aca="false">IF($AO110="","",COUNTIF($AO$5:$AO$1004,"&lt;"&amp;$AO110)-(ROWS($AO$5:$AO$1004)-Hoje!$L$5)+1)</f>
        <v/>
      </c>
      <c r="AQ110" s="50" t="n">
        <f aca="false">IF(AND($F110&lt;&gt;"",$D110=Frota!$C$3),1,0)</f>
        <v>0</v>
      </c>
      <c r="AR110" s="50" t="str">
        <f aca="false">IF($AQ110=0,"",SUM($AQ$4:$AQ110))</f>
        <v/>
      </c>
      <c r="AS110" s="50" t="str">
        <f aca="false">IFERROR(INDEX(Hoje!$K$10:$K$29,MATCH(ROW(),Hoje!$J$10:$J$29,0)),"")</f>
        <v/>
      </c>
      <c r="AT110" s="47" t="n">
        <f aca="false">IF($Q110&lt;&gt;"",$Q110,$AS110)</f>
        <v>46266</v>
      </c>
    </row>
    <row r="111" customFormat="false" ht="16.5" hidden="false" customHeight="true" outlineLevel="0" collapsed="false">
      <c r="A111" s="39" t="n">
        <f aca="false">IF($F111="","",ROW())</f>
        <v>111</v>
      </c>
      <c r="B111" s="40" t="str">
        <f aca="false">IF($F111="",IF($D111="","","Falta a atividade"),IF($R111="Cancelada","Cancelada",IF($AB111=1,IF(N($Z111)&gt;0,"Concluída com atraso","Concluída"),IF($R111="Em programação","Em programação",IF($O111="",IF($M111="","Na carteira","Falta a semana"),IF($AC111=1,"VENCIDA",IF($O111&gt;Hoje!$L$1,"Programada",IF($P111&gt;Hoje!$L$1,"Em execução","Fecha hoje"))))))))</f>
        <v>Concluída com atraso</v>
      </c>
      <c r="C111" s="41" t="s">
        <v>313</v>
      </c>
      <c r="D111" s="42" t="s">
        <v>281</v>
      </c>
      <c r="E111" s="42" t="s">
        <v>230</v>
      </c>
      <c r="F111" s="42" t="s">
        <v>314</v>
      </c>
      <c r="G111" s="43" t="s">
        <v>80</v>
      </c>
      <c r="H111" s="43" t="s">
        <v>100</v>
      </c>
      <c r="I111" s="44" t="s">
        <v>88</v>
      </c>
      <c r="J111" s="44"/>
      <c r="K111" s="44"/>
      <c r="L111" s="45" t="n">
        <v>36</v>
      </c>
      <c r="M111" s="46" t="s">
        <v>108</v>
      </c>
      <c r="N111" s="45" t="n">
        <v>3</v>
      </c>
      <c r="O111" s="47" t="n">
        <f aca="false">IF(OR($L111="",$M111=""),"",(DATE(Semana!$J$3,1,4)-WEEKDAY(DATE(Semana!$J$3,1,4),3))+($L111-1)*7+MATCH($M111,Listas!$F$5:$F$11,0)-1)</f>
        <v>46265</v>
      </c>
      <c r="P111" s="47" t="n">
        <f aca="false">IF(OR($F111="",$O111=""),"",$O111+MAX(0,ROUNDUP($AK111*MAX(1,IF($N111="",1,$N111))/MAX(1,$AL111),0)-1))</f>
        <v>46266</v>
      </c>
      <c r="Q111" s="48" t="n">
        <v>46268</v>
      </c>
      <c r="R111" s="43" t="s">
        <v>85</v>
      </c>
      <c r="S111" s="49" t="n">
        <v>35</v>
      </c>
      <c r="T111" s="42"/>
      <c r="U111" s="42" t="s">
        <v>101</v>
      </c>
      <c r="V111" s="39" t="str">
        <f aca="false">IF($F111="","",IF(ISNUMBER(SEARCH("(externo)",$I111&amp;$J111&amp;$K111)),"Terceirizada","Interna"))</f>
        <v>Interna</v>
      </c>
      <c r="W111" s="47" t="n">
        <f aca="false">IF($O111="","",IF($S111="",$O111,(DATE(Semana!$J$3,1,4)-WEEKDAY(DATE(Semana!$J$3,1,4),3))+($S111-1)*7+IF($M111="",0,MATCH($M111,Listas!$F$5:$F$11,0)-1)))</f>
        <v>46258</v>
      </c>
      <c r="X111" s="39" t="n">
        <f aca="false">IF($F111="","",IF(OR($AT111="",$O111=""),0,IF($AT111&lt;=$O111,1,0)))</f>
        <v>0</v>
      </c>
      <c r="Y111" s="39" t="n">
        <f aca="false">IF($F111="","",IF(OR($AT111="",$W111=""),0,IF($AT111&lt;=$W111,1,0)))</f>
        <v>0</v>
      </c>
      <c r="Z111" s="39" t="n">
        <f aca="false">IF(OR($AT111="",$O111=""),"",MAX(0,$AT111-$O111))</f>
        <v>3</v>
      </c>
      <c r="AA111" s="39" t="n">
        <f aca="false">IF($F111="","",IF(AND($S111&lt;&gt;"",$L111&lt;&gt;"",$S111&lt;&gt;$L111),1,0))</f>
        <v>1</v>
      </c>
      <c r="AB111" s="39" t="n">
        <f aca="false">IF($F111="","",IF($R111="Cancelada",0,IF(OR($AT111&lt;&gt;"",$R111="Concluída"),1,0)))</f>
        <v>1</v>
      </c>
      <c r="AC111" s="39" t="n">
        <f aca="false">IF($P111="",0,IF($P111&lt;Hoje!$L$1,1,IF(AND($P111=Hoje!$L$1,Hoje!$L$2&gt;Semana!$M$3),1,0)))</f>
        <v>1</v>
      </c>
      <c r="AD111" s="39" t="n">
        <f aca="false">IF($F111="","",IF(COUNTA($I111:$K111)=0,0,1/COUNTA($I111:$K111)))</f>
        <v>1</v>
      </c>
      <c r="AE111" s="39" t="str">
        <f aca="false">IF($AH111=0,"",SUM($AH$4:$AH111))</f>
        <v/>
      </c>
      <c r="AF111" s="39" t="str">
        <f aca="false">IF($AI111=0,"",SUM($AI$4:$AI111))</f>
        <v/>
      </c>
      <c r="AG111" s="50" t="str">
        <f aca="false">IF($F111="","",$I111&amp;IF($J111="",""," · "&amp;$J111)&amp;IF($K111="",""," · "&amp;$K111))</f>
        <v>Júnior</v>
      </c>
      <c r="AH111" s="39" t="n">
        <f aca="false">IF(AND($F111&lt;&gt;"",$O111&lt;&gt;"",$O111&lt;=Hoje!$C$3,$P111&gt;=Hoje!$C$3,$R111&lt;&gt;"Cancelada"),1,0)</f>
        <v>0</v>
      </c>
      <c r="AI111" s="39" t="n">
        <f aca="false">IF(AND($F111&lt;&gt;"",$P111&lt;&gt;"",$P111&lt;Hoje!$C$3,$AB111=0,$R111&lt;&gt;"Cancelada"),1,0)</f>
        <v>0</v>
      </c>
      <c r="AJ111" s="50" t="str">
        <f aca="false">IF($F111="","",$D111&amp;"|"&amp;$E111&amp;"|"&amp;$L111)</f>
        <v>F-815|Baixa de pendências backlog|36</v>
      </c>
      <c r="AK111" s="39" t="n">
        <f aca="false">IF($AJ111="","",COUNTIF($AJ$4:$AJ111,$AJ111))</f>
        <v>13</v>
      </c>
      <c r="AL111" s="39" t="n">
        <f aca="false">IF($AJ111="","",COUNTIF($AJ$4:$AJ$1004,$AJ111))</f>
        <v>26</v>
      </c>
      <c r="AM111" s="42"/>
      <c r="AN111" s="50" t="str">
        <f aca="false">IF($D111="","",IFERROR(T(VLOOKUP($D111,Listas!$B$5:$H$120,7,0)),""))</f>
        <v/>
      </c>
      <c r="AO111" s="50" t="str">
        <f aca="false">IF(OR($F111="",$L111&lt;&gt;"",$R111="Cancelada",$AT111&lt;&gt;""),"",$AN111&amp;"|"&amp;$D111&amp;"|"&amp;IF($C111="","zzz",$C111)&amp;"|"&amp;TEXT(111,"0000"))</f>
        <v/>
      </c>
      <c r="AP111" s="50" t="str">
        <f aca="false">IF($AO111="","",COUNTIF($AO$5:$AO$1004,"&lt;"&amp;$AO111)-(ROWS($AO$5:$AO$1004)-Hoje!$L$5)+1)</f>
        <v/>
      </c>
      <c r="AQ111" s="50" t="n">
        <f aca="false">IF(AND($F111&lt;&gt;"",$D111=Frota!$C$3),1,0)</f>
        <v>0</v>
      </c>
      <c r="AR111" s="50" t="str">
        <f aca="false">IF($AQ111=0,"",SUM($AQ$4:$AQ111))</f>
        <v/>
      </c>
      <c r="AS111" s="50" t="str">
        <f aca="false">IFERROR(INDEX(Hoje!$K$10:$K$29,MATCH(ROW(),Hoje!$J$10:$J$29,0)),"")</f>
        <v/>
      </c>
      <c r="AT111" s="47" t="n">
        <f aca="false">IF($Q111&lt;&gt;"",$Q111,$AS111)</f>
        <v>46268</v>
      </c>
    </row>
    <row r="112" customFormat="false" ht="16.5" hidden="false" customHeight="true" outlineLevel="0" collapsed="false">
      <c r="A112" s="39" t="n">
        <f aca="false">IF($F112="","",ROW())</f>
        <v>112</v>
      </c>
      <c r="B112" s="40" t="str">
        <f aca="false">IF($F112="",IF($D112="","","Falta a atividade"),IF($R112="Cancelada","Cancelada",IF($AB112=1,IF(N($Z112)&gt;0,"Concluída com atraso","Concluída"),IF($R112="Em programação","Em programação",IF($O112="",IF($M112="","Na carteira","Falta a semana"),IF($AC112=1,"VENCIDA",IF($O112&gt;Hoje!$L$1,"Programada",IF($P112&gt;Hoje!$L$1,"Em execução","Fecha hoje"))))))))</f>
        <v>Concluída com atraso</v>
      </c>
      <c r="C112" s="41" t="s">
        <v>315</v>
      </c>
      <c r="D112" s="42" t="s">
        <v>281</v>
      </c>
      <c r="E112" s="42" t="s">
        <v>230</v>
      </c>
      <c r="F112" s="42" t="s">
        <v>316</v>
      </c>
      <c r="G112" s="43" t="s">
        <v>80</v>
      </c>
      <c r="H112" s="43" t="s">
        <v>100</v>
      </c>
      <c r="I112" s="44" t="s">
        <v>83</v>
      </c>
      <c r="J112" s="44"/>
      <c r="K112" s="44"/>
      <c r="L112" s="45" t="n">
        <v>36</v>
      </c>
      <c r="M112" s="46" t="s">
        <v>108</v>
      </c>
      <c r="N112" s="45" t="n">
        <v>3</v>
      </c>
      <c r="O112" s="47" t="n">
        <f aca="false">IF(OR($L112="",$M112=""),"",(DATE(Semana!$J$3,1,4)-WEEKDAY(DATE(Semana!$J$3,1,4),3))+($L112-1)*7+MATCH($M112,Listas!$F$5:$F$11,0)-1)</f>
        <v>46265</v>
      </c>
      <c r="P112" s="47" t="n">
        <f aca="false">IF(OR($F112="",$O112=""),"",$O112+MAX(0,ROUNDUP($AK112*MAX(1,IF($N112="",1,$N112))/MAX(1,$AL112),0)-1))</f>
        <v>46266</v>
      </c>
      <c r="Q112" s="48" t="n">
        <v>46268</v>
      </c>
      <c r="R112" s="43" t="s">
        <v>85</v>
      </c>
      <c r="S112" s="49" t="n">
        <v>35</v>
      </c>
      <c r="T112" s="42"/>
      <c r="U112" s="42" t="s">
        <v>101</v>
      </c>
      <c r="V112" s="39" t="str">
        <f aca="false">IF($F112="","",IF(ISNUMBER(SEARCH("(externo)",$I112&amp;$J112&amp;$K112)),"Terceirizada","Interna"))</f>
        <v>Interna</v>
      </c>
      <c r="W112" s="47" t="n">
        <f aca="false">IF($O112="","",IF($S112="",$O112,(DATE(Semana!$J$3,1,4)-WEEKDAY(DATE(Semana!$J$3,1,4),3))+($S112-1)*7+IF($M112="",0,MATCH($M112,Listas!$F$5:$F$11,0)-1)))</f>
        <v>46258</v>
      </c>
      <c r="X112" s="39" t="n">
        <f aca="false">IF($F112="","",IF(OR($AT112="",$O112=""),0,IF($AT112&lt;=$O112,1,0)))</f>
        <v>0</v>
      </c>
      <c r="Y112" s="39" t="n">
        <f aca="false">IF($F112="","",IF(OR($AT112="",$W112=""),0,IF($AT112&lt;=$W112,1,0)))</f>
        <v>0</v>
      </c>
      <c r="Z112" s="39" t="n">
        <f aca="false">IF(OR($AT112="",$O112=""),"",MAX(0,$AT112-$O112))</f>
        <v>3</v>
      </c>
      <c r="AA112" s="39" t="n">
        <f aca="false">IF($F112="","",IF(AND($S112&lt;&gt;"",$L112&lt;&gt;"",$S112&lt;&gt;$L112),1,0))</f>
        <v>1</v>
      </c>
      <c r="AB112" s="39" t="n">
        <f aca="false">IF($F112="","",IF($R112="Cancelada",0,IF(OR($AT112&lt;&gt;"",$R112="Concluída"),1,0)))</f>
        <v>1</v>
      </c>
      <c r="AC112" s="39" t="n">
        <f aca="false">IF($P112="",0,IF($P112&lt;Hoje!$L$1,1,IF(AND($P112=Hoje!$L$1,Hoje!$L$2&gt;Semana!$M$3),1,0)))</f>
        <v>1</v>
      </c>
      <c r="AD112" s="39" t="n">
        <f aca="false">IF($F112="","",IF(COUNTA($I112:$K112)=0,0,1/COUNTA($I112:$K112)))</f>
        <v>1</v>
      </c>
      <c r="AE112" s="39" t="str">
        <f aca="false">IF($AH112=0,"",SUM($AH$4:$AH112))</f>
        <v/>
      </c>
      <c r="AF112" s="39" t="str">
        <f aca="false">IF($AI112=0,"",SUM($AI$4:$AI112))</f>
        <v/>
      </c>
      <c r="AG112" s="50" t="str">
        <f aca="false">IF($F112="","",$I112&amp;IF($J112="",""," · "&amp;$J112)&amp;IF($K112="",""," · "&amp;$K112))</f>
        <v>Luiz Paulo</v>
      </c>
      <c r="AH112" s="39" t="n">
        <f aca="false">IF(AND($F112&lt;&gt;"",$O112&lt;&gt;"",$O112&lt;=Hoje!$C$3,$P112&gt;=Hoje!$C$3,$R112&lt;&gt;"Cancelada"),1,0)</f>
        <v>0</v>
      </c>
      <c r="AI112" s="39" t="n">
        <f aca="false">IF(AND($F112&lt;&gt;"",$P112&lt;&gt;"",$P112&lt;Hoje!$C$3,$AB112=0,$R112&lt;&gt;"Cancelada"),1,0)</f>
        <v>0</v>
      </c>
      <c r="AJ112" s="50" t="str">
        <f aca="false">IF($F112="","",$D112&amp;"|"&amp;$E112&amp;"|"&amp;$L112)</f>
        <v>F-815|Baixa de pendências backlog|36</v>
      </c>
      <c r="AK112" s="39" t="n">
        <f aca="false">IF($AJ112="","",COUNTIF($AJ$4:$AJ112,$AJ112))</f>
        <v>14</v>
      </c>
      <c r="AL112" s="39" t="n">
        <f aca="false">IF($AJ112="","",COUNTIF($AJ$4:$AJ$1004,$AJ112))</f>
        <v>26</v>
      </c>
      <c r="AM112" s="42"/>
      <c r="AN112" s="50" t="str">
        <f aca="false">IF($D112="","",IFERROR(T(VLOOKUP($D112,Listas!$B$5:$H$120,7,0)),""))</f>
        <v/>
      </c>
      <c r="AO112" s="50" t="str">
        <f aca="false">IF(OR($F112="",$L112&lt;&gt;"",$R112="Cancelada",$AT112&lt;&gt;""),"",$AN112&amp;"|"&amp;$D112&amp;"|"&amp;IF($C112="","zzz",$C112)&amp;"|"&amp;TEXT(112,"0000"))</f>
        <v/>
      </c>
      <c r="AP112" s="50" t="str">
        <f aca="false">IF($AO112="","",COUNTIF($AO$5:$AO$1004,"&lt;"&amp;$AO112)-(ROWS($AO$5:$AO$1004)-Hoje!$L$5)+1)</f>
        <v/>
      </c>
      <c r="AQ112" s="50" t="n">
        <f aca="false">IF(AND($F112&lt;&gt;"",$D112=Frota!$C$3),1,0)</f>
        <v>0</v>
      </c>
      <c r="AR112" s="50" t="str">
        <f aca="false">IF($AQ112=0,"",SUM($AQ$4:$AQ112))</f>
        <v/>
      </c>
      <c r="AS112" s="50" t="str">
        <f aca="false">IFERROR(INDEX(Hoje!$K$10:$K$29,MATCH(ROW(),Hoje!$J$10:$J$29,0)),"")</f>
        <v/>
      </c>
      <c r="AT112" s="47" t="n">
        <f aca="false">IF($Q112&lt;&gt;"",$Q112,$AS112)</f>
        <v>46268</v>
      </c>
    </row>
    <row r="113" customFormat="false" ht="16.5" hidden="false" customHeight="true" outlineLevel="0" collapsed="false">
      <c r="A113" s="39" t="n">
        <f aca="false">IF($F113="","",ROW())</f>
        <v>113</v>
      </c>
      <c r="B113" s="40" t="str">
        <f aca="false">IF($F113="",IF($D113="","","Falta a atividade"),IF($R113="Cancelada","Cancelada",IF($AB113=1,IF(N($Z113)&gt;0,"Concluída com atraso","Concluída"),IF($R113="Em programação","Em programação",IF($O113="",IF($M113="","Na carteira","Falta a semana"),IF($AC113=1,"VENCIDA",IF($O113&gt;Hoje!$L$1,"Programada",IF($P113&gt;Hoje!$L$1,"Em execução","Fecha hoje"))))))))</f>
        <v>Concluída com atraso</v>
      </c>
      <c r="C113" s="41" t="s">
        <v>317</v>
      </c>
      <c r="D113" s="42" t="s">
        <v>281</v>
      </c>
      <c r="E113" s="42" t="s">
        <v>230</v>
      </c>
      <c r="F113" s="42" t="s">
        <v>318</v>
      </c>
      <c r="G113" s="43" t="s">
        <v>80</v>
      </c>
      <c r="H113" s="43" t="s">
        <v>100</v>
      </c>
      <c r="I113" s="44" t="s">
        <v>106</v>
      </c>
      <c r="J113" s="44" t="s">
        <v>107</v>
      </c>
      <c r="K113" s="44"/>
      <c r="L113" s="45" t="n">
        <v>36</v>
      </c>
      <c r="M113" s="46" t="s">
        <v>108</v>
      </c>
      <c r="N113" s="45" t="n">
        <v>3</v>
      </c>
      <c r="O113" s="47" t="n">
        <f aca="false">IF(OR($L113="",$M113=""),"",(DATE(Semana!$J$3,1,4)-WEEKDAY(DATE(Semana!$J$3,1,4),3))+($L113-1)*7+MATCH($M113,Listas!$F$5:$F$11,0)-1)</f>
        <v>46265</v>
      </c>
      <c r="P113" s="47" t="n">
        <f aca="false">IF(OR($F113="",$O113=""),"",$O113+MAX(0,ROUNDUP($AK113*MAX(1,IF($N113="",1,$N113))/MAX(1,$AL113),0)-1))</f>
        <v>46266</v>
      </c>
      <c r="Q113" s="48" t="n">
        <v>46268</v>
      </c>
      <c r="R113" s="43" t="s">
        <v>85</v>
      </c>
      <c r="S113" s="49" t="n">
        <v>35</v>
      </c>
      <c r="T113" s="42" t="s">
        <v>284</v>
      </c>
      <c r="U113" s="42" t="s">
        <v>319</v>
      </c>
      <c r="V113" s="39" t="str">
        <f aca="false">IF($F113="","",IF(ISNUMBER(SEARCH("(externo)",$I113&amp;$J113&amp;$K113)),"Terceirizada","Interna"))</f>
        <v>Interna</v>
      </c>
      <c r="W113" s="47" t="n">
        <f aca="false">IF($O113="","",IF($S113="",$O113,(DATE(Semana!$J$3,1,4)-WEEKDAY(DATE(Semana!$J$3,1,4),3))+($S113-1)*7+IF($M113="",0,MATCH($M113,Listas!$F$5:$F$11,0)-1)))</f>
        <v>46258</v>
      </c>
      <c r="X113" s="39" t="n">
        <f aca="false">IF($F113="","",IF(OR($AT113="",$O113=""),0,IF($AT113&lt;=$O113,1,0)))</f>
        <v>0</v>
      </c>
      <c r="Y113" s="39" t="n">
        <f aca="false">IF($F113="","",IF(OR($AT113="",$W113=""),0,IF($AT113&lt;=$W113,1,0)))</f>
        <v>0</v>
      </c>
      <c r="Z113" s="39" t="n">
        <f aca="false">IF(OR($AT113="",$O113=""),"",MAX(0,$AT113-$O113))</f>
        <v>3</v>
      </c>
      <c r="AA113" s="39" t="n">
        <f aca="false">IF($F113="","",IF(AND($S113&lt;&gt;"",$L113&lt;&gt;"",$S113&lt;&gt;$L113),1,0))</f>
        <v>1</v>
      </c>
      <c r="AB113" s="39" t="n">
        <f aca="false">IF($F113="","",IF($R113="Cancelada",0,IF(OR($AT113&lt;&gt;"",$R113="Concluída"),1,0)))</f>
        <v>1</v>
      </c>
      <c r="AC113" s="39" t="n">
        <f aca="false">IF($P113="",0,IF($P113&lt;Hoje!$L$1,1,IF(AND($P113=Hoje!$L$1,Hoje!$L$2&gt;Semana!$M$3),1,0)))</f>
        <v>1</v>
      </c>
      <c r="AD113" s="39" t="n">
        <f aca="false">IF($F113="","",IF(COUNTA($I113:$K113)=0,0,1/COUNTA($I113:$K113)))</f>
        <v>0.5</v>
      </c>
      <c r="AE113" s="39" t="str">
        <f aca="false">IF($AH113=0,"",SUM($AH$4:$AH113))</f>
        <v/>
      </c>
      <c r="AF113" s="39" t="str">
        <f aca="false">IF($AI113=0,"",SUM($AI$4:$AI113))</f>
        <v/>
      </c>
      <c r="AG113" s="50" t="str">
        <f aca="false">IF($F113="","",$I113&amp;IF($J113="",""," · "&amp;$J113)&amp;IF($K113="",""," · "&amp;$K113))</f>
        <v>Adilton · Gabriel</v>
      </c>
      <c r="AH113" s="39" t="n">
        <f aca="false">IF(AND($F113&lt;&gt;"",$O113&lt;&gt;"",$O113&lt;=Hoje!$C$3,$P113&gt;=Hoje!$C$3,$R113&lt;&gt;"Cancelada"),1,0)</f>
        <v>0</v>
      </c>
      <c r="AI113" s="39" t="n">
        <f aca="false">IF(AND($F113&lt;&gt;"",$P113&lt;&gt;"",$P113&lt;Hoje!$C$3,$AB113=0,$R113&lt;&gt;"Cancelada"),1,0)</f>
        <v>0</v>
      </c>
      <c r="AJ113" s="50" t="str">
        <f aca="false">IF($F113="","",$D113&amp;"|"&amp;$E113&amp;"|"&amp;$L113)</f>
        <v>F-815|Baixa de pendências backlog|36</v>
      </c>
      <c r="AK113" s="39" t="n">
        <f aca="false">IF($AJ113="","",COUNTIF($AJ$4:$AJ113,$AJ113))</f>
        <v>15</v>
      </c>
      <c r="AL113" s="39" t="n">
        <f aca="false">IF($AJ113="","",COUNTIF($AJ$4:$AJ$1004,$AJ113))</f>
        <v>26</v>
      </c>
      <c r="AM113" s="42"/>
      <c r="AN113" s="50" t="str">
        <f aca="false">IF($D113="","",IFERROR(T(VLOOKUP($D113,Listas!$B$5:$H$120,7,0)),""))</f>
        <v/>
      </c>
      <c r="AO113" s="50" t="str">
        <f aca="false">IF(OR($F113="",$L113&lt;&gt;"",$R113="Cancelada",$AT113&lt;&gt;""),"",$AN113&amp;"|"&amp;$D113&amp;"|"&amp;IF($C113="","zzz",$C113)&amp;"|"&amp;TEXT(113,"0000"))</f>
        <v/>
      </c>
      <c r="AP113" s="50" t="str">
        <f aca="false">IF($AO113="","",COUNTIF($AO$5:$AO$1004,"&lt;"&amp;$AO113)-(ROWS($AO$5:$AO$1004)-Hoje!$L$5)+1)</f>
        <v/>
      </c>
      <c r="AQ113" s="50" t="n">
        <f aca="false">IF(AND($F113&lt;&gt;"",$D113=Frota!$C$3),1,0)</f>
        <v>0</v>
      </c>
      <c r="AR113" s="50" t="str">
        <f aca="false">IF($AQ113=0,"",SUM($AQ$4:$AQ113))</f>
        <v/>
      </c>
      <c r="AS113" s="50" t="str">
        <f aca="false">IFERROR(INDEX(Hoje!$K$10:$K$29,MATCH(ROW(),Hoje!$J$10:$J$29,0)),"")</f>
        <v/>
      </c>
      <c r="AT113" s="47" t="n">
        <f aca="false">IF($Q113&lt;&gt;"",$Q113,$AS113)</f>
        <v>46268</v>
      </c>
    </row>
    <row r="114" customFormat="false" ht="16.5" hidden="false" customHeight="true" outlineLevel="0" collapsed="false">
      <c r="A114" s="39" t="n">
        <f aca="false">IF($F114="","",ROW())</f>
        <v>114</v>
      </c>
      <c r="B114" s="40" t="str">
        <f aca="false">IF($F114="",IF($D114="","","Falta a atividade"),IF($R114="Cancelada","Cancelada",IF($AB114=1,IF(N($Z114)&gt;0,"Concluída com atraso","Concluída"),IF($R114="Em programação","Em programação",IF($O114="",IF($M114="","Na carteira","Falta a semana"),IF($AC114=1,"VENCIDA",IF($O114&gt;Hoje!$L$1,"Programada",IF($P114&gt;Hoje!$L$1,"Em execução","Fecha hoje"))))))))</f>
        <v>Concluída com atraso</v>
      </c>
      <c r="C114" s="41" t="s">
        <v>320</v>
      </c>
      <c r="D114" s="42" t="s">
        <v>281</v>
      </c>
      <c r="E114" s="42" t="s">
        <v>230</v>
      </c>
      <c r="F114" s="42" t="s">
        <v>321</v>
      </c>
      <c r="G114" s="43" t="s">
        <v>80</v>
      </c>
      <c r="H114" s="43" t="s">
        <v>100</v>
      </c>
      <c r="I114" s="44" t="s">
        <v>283</v>
      </c>
      <c r="J114" s="44"/>
      <c r="K114" s="44"/>
      <c r="L114" s="45" t="n">
        <v>36</v>
      </c>
      <c r="M114" s="46" t="s">
        <v>108</v>
      </c>
      <c r="N114" s="45" t="n">
        <v>3</v>
      </c>
      <c r="O114" s="47" t="n">
        <f aca="false">IF(OR($L114="",$M114=""),"",(DATE(Semana!$J$3,1,4)-WEEKDAY(DATE(Semana!$J$3,1,4),3))+($L114-1)*7+MATCH($M114,Listas!$F$5:$F$11,0)-1)</f>
        <v>46265</v>
      </c>
      <c r="P114" s="47" t="n">
        <f aca="false">IF(OR($F114="",$O114=""),"",$O114+MAX(0,ROUNDUP($AK114*MAX(1,IF($N114="",1,$N114))/MAX(1,$AL114),0)-1))</f>
        <v>46266</v>
      </c>
      <c r="Q114" s="48" t="n">
        <v>46268</v>
      </c>
      <c r="R114" s="43" t="s">
        <v>85</v>
      </c>
      <c r="S114" s="49" t="n">
        <v>35</v>
      </c>
      <c r="T114" s="42"/>
      <c r="U114" s="42" t="s">
        <v>322</v>
      </c>
      <c r="V114" s="39" t="str">
        <f aca="false">IF($F114="","",IF(ISNUMBER(SEARCH("(externo)",$I114&amp;$J114&amp;$K114)),"Terceirizada","Interna"))</f>
        <v>Interna</v>
      </c>
      <c r="W114" s="47" t="n">
        <f aca="false">IF($O114="","",IF($S114="",$O114,(DATE(Semana!$J$3,1,4)-WEEKDAY(DATE(Semana!$J$3,1,4),3))+($S114-1)*7+IF($M114="",0,MATCH($M114,Listas!$F$5:$F$11,0)-1)))</f>
        <v>46258</v>
      </c>
      <c r="X114" s="39" t="n">
        <f aca="false">IF($F114="","",IF(OR($AT114="",$O114=""),0,IF($AT114&lt;=$O114,1,0)))</f>
        <v>0</v>
      </c>
      <c r="Y114" s="39" t="n">
        <f aca="false">IF($F114="","",IF(OR($AT114="",$W114=""),0,IF($AT114&lt;=$W114,1,0)))</f>
        <v>0</v>
      </c>
      <c r="Z114" s="39" t="n">
        <f aca="false">IF(OR($AT114="",$O114=""),"",MAX(0,$AT114-$O114))</f>
        <v>3</v>
      </c>
      <c r="AA114" s="39" t="n">
        <f aca="false">IF($F114="","",IF(AND($S114&lt;&gt;"",$L114&lt;&gt;"",$S114&lt;&gt;$L114),1,0))</f>
        <v>1</v>
      </c>
      <c r="AB114" s="39" t="n">
        <f aca="false">IF($F114="","",IF($R114="Cancelada",0,IF(OR($AT114&lt;&gt;"",$R114="Concluída"),1,0)))</f>
        <v>1</v>
      </c>
      <c r="AC114" s="39" t="n">
        <f aca="false">IF($P114="",0,IF($P114&lt;Hoje!$L$1,1,IF(AND($P114=Hoje!$L$1,Hoje!$L$2&gt;Semana!$M$3),1,0)))</f>
        <v>1</v>
      </c>
      <c r="AD114" s="39" t="n">
        <f aca="false">IF($F114="","",IF(COUNTA($I114:$K114)=0,0,1/COUNTA($I114:$K114)))</f>
        <v>1</v>
      </c>
      <c r="AE114" s="39" t="str">
        <f aca="false">IF($AH114=0,"",SUM($AH$4:$AH114))</f>
        <v/>
      </c>
      <c r="AF114" s="39" t="str">
        <f aca="false">IF($AI114=0,"",SUM($AI$4:$AI114))</f>
        <v/>
      </c>
      <c r="AG114" s="50" t="str">
        <f aca="false">IF($F114="","",$I114&amp;IF($J114="",""," · "&amp;$J114)&amp;IF($K114="",""," · "&amp;$K114))</f>
        <v>Heliton</v>
      </c>
      <c r="AH114" s="39" t="n">
        <f aca="false">IF(AND($F114&lt;&gt;"",$O114&lt;&gt;"",$O114&lt;=Hoje!$C$3,$P114&gt;=Hoje!$C$3,$R114&lt;&gt;"Cancelada"),1,0)</f>
        <v>0</v>
      </c>
      <c r="AI114" s="39" t="n">
        <f aca="false">IF(AND($F114&lt;&gt;"",$P114&lt;&gt;"",$P114&lt;Hoje!$C$3,$AB114=0,$R114&lt;&gt;"Cancelada"),1,0)</f>
        <v>0</v>
      </c>
      <c r="AJ114" s="50" t="str">
        <f aca="false">IF($F114="","",$D114&amp;"|"&amp;$E114&amp;"|"&amp;$L114)</f>
        <v>F-815|Baixa de pendências backlog|36</v>
      </c>
      <c r="AK114" s="39" t="n">
        <f aca="false">IF($AJ114="","",COUNTIF($AJ$4:$AJ114,$AJ114))</f>
        <v>16</v>
      </c>
      <c r="AL114" s="39" t="n">
        <f aca="false">IF($AJ114="","",COUNTIF($AJ$4:$AJ$1004,$AJ114))</f>
        <v>26</v>
      </c>
      <c r="AM114" s="42"/>
      <c r="AN114" s="50" t="str">
        <f aca="false">IF($D114="","",IFERROR(T(VLOOKUP($D114,Listas!$B$5:$H$120,7,0)),""))</f>
        <v/>
      </c>
      <c r="AO114" s="50" t="str">
        <f aca="false">IF(OR($F114="",$L114&lt;&gt;"",$R114="Cancelada",$AT114&lt;&gt;""),"",$AN114&amp;"|"&amp;$D114&amp;"|"&amp;IF($C114="","zzz",$C114)&amp;"|"&amp;TEXT(114,"0000"))</f>
        <v/>
      </c>
      <c r="AP114" s="50" t="str">
        <f aca="false">IF($AO114="","",COUNTIF($AO$5:$AO$1004,"&lt;"&amp;$AO114)-(ROWS($AO$5:$AO$1004)-Hoje!$L$5)+1)</f>
        <v/>
      </c>
      <c r="AQ114" s="50" t="n">
        <f aca="false">IF(AND($F114&lt;&gt;"",$D114=Frota!$C$3),1,0)</f>
        <v>0</v>
      </c>
      <c r="AR114" s="50" t="str">
        <f aca="false">IF($AQ114=0,"",SUM($AQ$4:$AQ114))</f>
        <v/>
      </c>
      <c r="AS114" s="50" t="str">
        <f aca="false">IFERROR(INDEX(Hoje!$K$10:$K$29,MATCH(ROW(),Hoje!$J$10:$J$29,0)),"")</f>
        <v/>
      </c>
      <c r="AT114" s="47" t="n">
        <f aca="false">IF($Q114&lt;&gt;"",$Q114,$AS114)</f>
        <v>46268</v>
      </c>
    </row>
    <row r="115" customFormat="false" ht="16.5" hidden="false" customHeight="true" outlineLevel="0" collapsed="false">
      <c r="A115" s="39" t="n">
        <f aca="false">IF($F115="","",ROW())</f>
        <v>115</v>
      </c>
      <c r="B115" s="40" t="str">
        <f aca="false">IF($F115="",IF($D115="","","Falta a atividade"),IF($R115="Cancelada","Cancelada",IF($AB115=1,IF(N($Z115)&gt;0,"Concluída com atraso","Concluída"),IF($R115="Em programação","Em programação",IF($O115="",IF($M115="","Na carteira","Falta a semana"),IF($AC115=1,"VENCIDA",IF($O115&gt;Hoje!$L$1,"Programada",IF($P115&gt;Hoje!$L$1,"Em execução","Fecha hoje"))))))))</f>
        <v>Concluída com atraso</v>
      </c>
      <c r="C115" s="41" t="s">
        <v>323</v>
      </c>
      <c r="D115" s="42" t="s">
        <v>281</v>
      </c>
      <c r="E115" s="42" t="s">
        <v>230</v>
      </c>
      <c r="F115" s="42" t="s">
        <v>324</v>
      </c>
      <c r="G115" s="43" t="s">
        <v>80</v>
      </c>
      <c r="H115" s="43" t="s">
        <v>100</v>
      </c>
      <c r="I115" s="44" t="s">
        <v>283</v>
      </c>
      <c r="J115" s="44"/>
      <c r="K115" s="44"/>
      <c r="L115" s="45" t="n">
        <v>36</v>
      </c>
      <c r="M115" s="46" t="s">
        <v>108</v>
      </c>
      <c r="N115" s="45" t="n">
        <v>3</v>
      </c>
      <c r="O115" s="47" t="n">
        <f aca="false">IF(OR($L115="",$M115=""),"",(DATE(Semana!$J$3,1,4)-WEEKDAY(DATE(Semana!$J$3,1,4),3))+($L115-1)*7+MATCH($M115,Listas!$F$5:$F$11,0)-1)</f>
        <v>46265</v>
      </c>
      <c r="P115" s="47" t="n">
        <f aca="false">IF(OR($F115="",$O115=""),"",$O115+MAX(0,ROUNDUP($AK115*MAX(1,IF($N115="",1,$N115))/MAX(1,$AL115),0)-1))</f>
        <v>46266</v>
      </c>
      <c r="Q115" s="48" t="n">
        <v>46268</v>
      </c>
      <c r="R115" s="43" t="s">
        <v>85</v>
      </c>
      <c r="S115" s="49" t="n">
        <v>35</v>
      </c>
      <c r="T115" s="42" t="s">
        <v>284</v>
      </c>
      <c r="U115" s="42" t="s">
        <v>325</v>
      </c>
      <c r="V115" s="39" t="str">
        <f aca="false">IF($F115="","",IF(ISNUMBER(SEARCH("(externo)",$I115&amp;$J115&amp;$K115)),"Terceirizada","Interna"))</f>
        <v>Interna</v>
      </c>
      <c r="W115" s="47" t="n">
        <f aca="false">IF($O115="","",IF($S115="",$O115,(DATE(Semana!$J$3,1,4)-WEEKDAY(DATE(Semana!$J$3,1,4),3))+($S115-1)*7+IF($M115="",0,MATCH($M115,Listas!$F$5:$F$11,0)-1)))</f>
        <v>46258</v>
      </c>
      <c r="X115" s="39" t="n">
        <f aca="false">IF($F115="","",IF(OR($AT115="",$O115=""),0,IF($AT115&lt;=$O115,1,0)))</f>
        <v>0</v>
      </c>
      <c r="Y115" s="39" t="n">
        <f aca="false">IF($F115="","",IF(OR($AT115="",$W115=""),0,IF($AT115&lt;=$W115,1,0)))</f>
        <v>0</v>
      </c>
      <c r="Z115" s="39" t="n">
        <f aca="false">IF(OR($AT115="",$O115=""),"",MAX(0,$AT115-$O115))</f>
        <v>3</v>
      </c>
      <c r="AA115" s="39" t="n">
        <f aca="false">IF($F115="","",IF(AND($S115&lt;&gt;"",$L115&lt;&gt;"",$S115&lt;&gt;$L115),1,0))</f>
        <v>1</v>
      </c>
      <c r="AB115" s="39" t="n">
        <f aca="false">IF($F115="","",IF($R115="Cancelada",0,IF(OR($AT115&lt;&gt;"",$R115="Concluída"),1,0)))</f>
        <v>1</v>
      </c>
      <c r="AC115" s="39" t="n">
        <f aca="false">IF($P115="",0,IF($P115&lt;Hoje!$L$1,1,IF(AND($P115=Hoje!$L$1,Hoje!$L$2&gt;Semana!$M$3),1,0)))</f>
        <v>1</v>
      </c>
      <c r="AD115" s="39" t="n">
        <f aca="false">IF($F115="","",IF(COUNTA($I115:$K115)=0,0,1/COUNTA($I115:$K115)))</f>
        <v>1</v>
      </c>
      <c r="AE115" s="39" t="str">
        <f aca="false">IF($AH115=0,"",SUM($AH$4:$AH115))</f>
        <v/>
      </c>
      <c r="AF115" s="39" t="str">
        <f aca="false">IF($AI115=0,"",SUM($AI$4:$AI115))</f>
        <v/>
      </c>
      <c r="AG115" s="50" t="str">
        <f aca="false">IF($F115="","",$I115&amp;IF($J115="",""," · "&amp;$J115)&amp;IF($K115="",""," · "&amp;$K115))</f>
        <v>Heliton</v>
      </c>
      <c r="AH115" s="39" t="n">
        <f aca="false">IF(AND($F115&lt;&gt;"",$O115&lt;&gt;"",$O115&lt;=Hoje!$C$3,$P115&gt;=Hoje!$C$3,$R115&lt;&gt;"Cancelada"),1,0)</f>
        <v>0</v>
      </c>
      <c r="AI115" s="39" t="n">
        <f aca="false">IF(AND($F115&lt;&gt;"",$P115&lt;&gt;"",$P115&lt;Hoje!$C$3,$AB115=0,$R115&lt;&gt;"Cancelada"),1,0)</f>
        <v>0</v>
      </c>
      <c r="AJ115" s="50" t="str">
        <f aca="false">IF($F115="","",$D115&amp;"|"&amp;$E115&amp;"|"&amp;$L115)</f>
        <v>F-815|Baixa de pendências backlog|36</v>
      </c>
      <c r="AK115" s="39" t="n">
        <f aca="false">IF($AJ115="","",COUNTIF($AJ$4:$AJ115,$AJ115))</f>
        <v>17</v>
      </c>
      <c r="AL115" s="39" t="n">
        <f aca="false">IF($AJ115="","",COUNTIF($AJ$4:$AJ$1004,$AJ115))</f>
        <v>26</v>
      </c>
      <c r="AM115" s="42"/>
      <c r="AN115" s="50" t="str">
        <f aca="false">IF($D115="","",IFERROR(T(VLOOKUP($D115,Listas!$B$5:$H$120,7,0)),""))</f>
        <v/>
      </c>
      <c r="AO115" s="50" t="str">
        <f aca="false">IF(OR($F115="",$L115&lt;&gt;"",$R115="Cancelada",$AT115&lt;&gt;""),"",$AN115&amp;"|"&amp;$D115&amp;"|"&amp;IF($C115="","zzz",$C115)&amp;"|"&amp;TEXT(115,"0000"))</f>
        <v/>
      </c>
      <c r="AP115" s="50" t="str">
        <f aca="false">IF($AO115="","",COUNTIF($AO$5:$AO$1004,"&lt;"&amp;$AO115)-(ROWS($AO$5:$AO$1004)-Hoje!$L$5)+1)</f>
        <v/>
      </c>
      <c r="AQ115" s="50" t="n">
        <f aca="false">IF(AND($F115&lt;&gt;"",$D115=Frota!$C$3),1,0)</f>
        <v>0</v>
      </c>
      <c r="AR115" s="50" t="str">
        <f aca="false">IF($AQ115=0,"",SUM($AQ$4:$AQ115))</f>
        <v/>
      </c>
      <c r="AS115" s="50" t="str">
        <f aca="false">IFERROR(INDEX(Hoje!$K$10:$K$29,MATCH(ROW(),Hoje!$J$10:$J$29,0)),"")</f>
        <v/>
      </c>
      <c r="AT115" s="47" t="n">
        <f aca="false">IF($Q115&lt;&gt;"",$Q115,$AS115)</f>
        <v>46268</v>
      </c>
    </row>
    <row r="116" customFormat="false" ht="16.5" hidden="false" customHeight="true" outlineLevel="0" collapsed="false">
      <c r="A116" s="39" t="n">
        <f aca="false">IF($F116="","",ROW())</f>
        <v>116</v>
      </c>
      <c r="B116" s="40" t="str">
        <f aca="false">IF($F116="",IF($D116="","","Falta a atividade"),IF($R116="Cancelada","Cancelada",IF($AB116=1,IF(N($Z116)&gt;0,"Concluída com atraso","Concluída"),IF($R116="Em programação","Em programação",IF($O116="",IF($M116="","Na carteira","Falta a semana"),IF($AC116=1,"VENCIDA",IF($O116&gt;Hoje!$L$1,"Programada",IF($P116&gt;Hoje!$L$1,"Em execução","Fecha hoje"))))))))</f>
        <v>Concluída com atraso</v>
      </c>
      <c r="C116" s="41" t="s">
        <v>326</v>
      </c>
      <c r="D116" s="42" t="s">
        <v>281</v>
      </c>
      <c r="E116" s="42" t="s">
        <v>230</v>
      </c>
      <c r="F116" s="42" t="s">
        <v>327</v>
      </c>
      <c r="G116" s="43" t="s">
        <v>80</v>
      </c>
      <c r="H116" s="43" t="s">
        <v>100</v>
      </c>
      <c r="I116" s="44" t="s">
        <v>283</v>
      </c>
      <c r="J116" s="44"/>
      <c r="K116" s="44"/>
      <c r="L116" s="45" t="n">
        <v>36</v>
      </c>
      <c r="M116" s="46" t="s">
        <v>108</v>
      </c>
      <c r="N116" s="45" t="n">
        <v>3</v>
      </c>
      <c r="O116" s="47" t="n">
        <f aca="false">IF(OR($L116="",$M116=""),"",(DATE(Semana!$J$3,1,4)-WEEKDAY(DATE(Semana!$J$3,1,4),3))+($L116-1)*7+MATCH($M116,Listas!$F$5:$F$11,0)-1)</f>
        <v>46265</v>
      </c>
      <c r="P116" s="47" t="n">
        <f aca="false">IF(OR($F116="",$O116=""),"",$O116+MAX(0,ROUNDUP($AK116*MAX(1,IF($N116="",1,$N116))/MAX(1,$AL116),0)-1))</f>
        <v>46267</v>
      </c>
      <c r="Q116" s="48" t="n">
        <v>46268</v>
      </c>
      <c r="R116" s="43" t="s">
        <v>85</v>
      </c>
      <c r="S116" s="49" t="n">
        <v>35</v>
      </c>
      <c r="T116" s="42" t="s">
        <v>114</v>
      </c>
      <c r="U116" s="42" t="s">
        <v>328</v>
      </c>
      <c r="V116" s="39" t="str">
        <f aca="false">IF($F116="","",IF(ISNUMBER(SEARCH("(externo)",$I116&amp;$J116&amp;$K116)),"Terceirizada","Interna"))</f>
        <v>Interna</v>
      </c>
      <c r="W116" s="47" t="n">
        <f aca="false">IF($O116="","",IF($S116="",$O116,(DATE(Semana!$J$3,1,4)-WEEKDAY(DATE(Semana!$J$3,1,4),3))+($S116-1)*7+IF($M116="",0,MATCH($M116,Listas!$F$5:$F$11,0)-1)))</f>
        <v>46258</v>
      </c>
      <c r="X116" s="39" t="n">
        <f aca="false">IF($F116="","",IF(OR($AT116="",$O116=""),0,IF($AT116&lt;=$O116,1,0)))</f>
        <v>0</v>
      </c>
      <c r="Y116" s="39" t="n">
        <f aca="false">IF($F116="","",IF(OR($AT116="",$W116=""),0,IF($AT116&lt;=$W116,1,0)))</f>
        <v>0</v>
      </c>
      <c r="Z116" s="39" t="n">
        <f aca="false">IF(OR($AT116="",$O116=""),"",MAX(0,$AT116-$O116))</f>
        <v>3</v>
      </c>
      <c r="AA116" s="39" t="n">
        <f aca="false">IF($F116="","",IF(AND($S116&lt;&gt;"",$L116&lt;&gt;"",$S116&lt;&gt;$L116),1,0))</f>
        <v>1</v>
      </c>
      <c r="AB116" s="39" t="n">
        <f aca="false">IF($F116="","",IF($R116="Cancelada",0,IF(OR($AT116&lt;&gt;"",$R116="Concluída"),1,0)))</f>
        <v>1</v>
      </c>
      <c r="AC116" s="39" t="n">
        <f aca="false">IF($P116="",0,IF($P116&lt;Hoje!$L$1,1,IF(AND($P116=Hoje!$L$1,Hoje!$L$2&gt;Semana!$M$3),1,0)))</f>
        <v>1</v>
      </c>
      <c r="AD116" s="39" t="n">
        <f aca="false">IF($F116="","",IF(COUNTA($I116:$K116)=0,0,1/COUNTA($I116:$K116)))</f>
        <v>1</v>
      </c>
      <c r="AE116" s="39" t="str">
        <f aca="false">IF($AH116=0,"",SUM($AH$4:$AH116))</f>
        <v/>
      </c>
      <c r="AF116" s="39" t="str">
        <f aca="false">IF($AI116=0,"",SUM($AI$4:$AI116))</f>
        <v/>
      </c>
      <c r="AG116" s="50" t="str">
        <f aca="false">IF($F116="","",$I116&amp;IF($J116="",""," · "&amp;$J116)&amp;IF($K116="",""," · "&amp;$K116))</f>
        <v>Heliton</v>
      </c>
      <c r="AH116" s="39" t="n">
        <f aca="false">IF(AND($F116&lt;&gt;"",$O116&lt;&gt;"",$O116&lt;=Hoje!$C$3,$P116&gt;=Hoje!$C$3,$R116&lt;&gt;"Cancelada"),1,0)</f>
        <v>0</v>
      </c>
      <c r="AI116" s="39" t="n">
        <f aca="false">IF(AND($F116&lt;&gt;"",$P116&lt;&gt;"",$P116&lt;Hoje!$C$3,$AB116=0,$R116&lt;&gt;"Cancelada"),1,0)</f>
        <v>0</v>
      </c>
      <c r="AJ116" s="50" t="str">
        <f aca="false">IF($F116="","",$D116&amp;"|"&amp;$E116&amp;"|"&amp;$L116)</f>
        <v>F-815|Baixa de pendências backlog|36</v>
      </c>
      <c r="AK116" s="39" t="n">
        <f aca="false">IF($AJ116="","",COUNTIF($AJ$4:$AJ116,$AJ116))</f>
        <v>18</v>
      </c>
      <c r="AL116" s="39" t="n">
        <f aca="false">IF($AJ116="","",COUNTIF($AJ$4:$AJ$1004,$AJ116))</f>
        <v>26</v>
      </c>
      <c r="AM116" s="42"/>
      <c r="AN116" s="50" t="str">
        <f aca="false">IF($D116="","",IFERROR(T(VLOOKUP($D116,Listas!$B$5:$H$120,7,0)),""))</f>
        <v/>
      </c>
      <c r="AO116" s="50" t="str">
        <f aca="false">IF(OR($F116="",$L116&lt;&gt;"",$R116="Cancelada",$AT116&lt;&gt;""),"",$AN116&amp;"|"&amp;$D116&amp;"|"&amp;IF($C116="","zzz",$C116)&amp;"|"&amp;TEXT(116,"0000"))</f>
        <v/>
      </c>
      <c r="AP116" s="50" t="str">
        <f aca="false">IF($AO116="","",COUNTIF($AO$5:$AO$1004,"&lt;"&amp;$AO116)-(ROWS($AO$5:$AO$1004)-Hoje!$L$5)+1)</f>
        <v/>
      </c>
      <c r="AQ116" s="50" t="n">
        <f aca="false">IF(AND($F116&lt;&gt;"",$D116=Frota!$C$3),1,0)</f>
        <v>0</v>
      </c>
      <c r="AR116" s="50" t="str">
        <f aca="false">IF($AQ116=0,"",SUM($AQ$4:$AQ116))</f>
        <v/>
      </c>
      <c r="AS116" s="50" t="str">
        <f aca="false">IFERROR(INDEX(Hoje!$K$10:$K$29,MATCH(ROW(),Hoje!$J$10:$J$29,0)),"")</f>
        <v/>
      </c>
      <c r="AT116" s="47" t="n">
        <f aca="false">IF($Q116&lt;&gt;"",$Q116,$AS116)</f>
        <v>46268</v>
      </c>
    </row>
    <row r="117" customFormat="false" ht="16.5" hidden="false" customHeight="true" outlineLevel="0" collapsed="false">
      <c r="A117" s="39" t="n">
        <f aca="false">IF($F117="","",ROW())</f>
        <v>117</v>
      </c>
      <c r="B117" s="40" t="str">
        <f aca="false">IF($F117="",IF($D117="","","Falta a atividade"),IF($R117="Cancelada","Cancelada",IF($AB117=1,IF(N($Z117)&gt;0,"Concluída com atraso","Concluída"),IF($R117="Em programação","Em programação",IF($O117="",IF($M117="","Na carteira","Falta a semana"),IF($AC117=1,"VENCIDA",IF($O117&gt;Hoje!$L$1,"Programada",IF($P117&gt;Hoje!$L$1,"Em execução","Fecha hoje"))))))))</f>
        <v>Concluída com atraso</v>
      </c>
      <c r="C117" s="41" t="s">
        <v>329</v>
      </c>
      <c r="D117" s="42" t="s">
        <v>281</v>
      </c>
      <c r="E117" s="42" t="s">
        <v>230</v>
      </c>
      <c r="F117" s="42" t="s">
        <v>330</v>
      </c>
      <c r="G117" s="43" t="s">
        <v>80</v>
      </c>
      <c r="H117" s="43" t="s">
        <v>100</v>
      </c>
      <c r="I117" s="44" t="s">
        <v>283</v>
      </c>
      <c r="J117" s="44"/>
      <c r="K117" s="44"/>
      <c r="L117" s="45" t="n">
        <v>36</v>
      </c>
      <c r="M117" s="46" t="s">
        <v>108</v>
      </c>
      <c r="N117" s="45" t="n">
        <v>3</v>
      </c>
      <c r="O117" s="47" t="n">
        <f aca="false">IF(OR($L117="",$M117=""),"",(DATE(Semana!$J$3,1,4)-WEEKDAY(DATE(Semana!$J$3,1,4),3))+($L117-1)*7+MATCH($M117,Listas!$F$5:$F$11,0)-1)</f>
        <v>46265</v>
      </c>
      <c r="P117" s="47" t="n">
        <f aca="false">IF(OR($F117="",$O117=""),"",$O117+MAX(0,ROUNDUP($AK117*MAX(1,IF($N117="",1,$N117))/MAX(1,$AL117),0)-1))</f>
        <v>46267</v>
      </c>
      <c r="Q117" s="48" t="n">
        <v>46269</v>
      </c>
      <c r="R117" s="43" t="s">
        <v>85</v>
      </c>
      <c r="S117" s="49" t="n">
        <v>35</v>
      </c>
      <c r="T117" s="42" t="s">
        <v>284</v>
      </c>
      <c r="U117" s="42" t="s">
        <v>331</v>
      </c>
      <c r="V117" s="39" t="str">
        <f aca="false">IF($F117="","",IF(ISNUMBER(SEARCH("(externo)",$I117&amp;$J117&amp;$K117)),"Terceirizada","Interna"))</f>
        <v>Interna</v>
      </c>
      <c r="W117" s="47" t="n">
        <f aca="false">IF($O117="","",IF($S117="",$O117,(DATE(Semana!$J$3,1,4)-WEEKDAY(DATE(Semana!$J$3,1,4),3))+($S117-1)*7+IF($M117="",0,MATCH($M117,Listas!$F$5:$F$11,0)-1)))</f>
        <v>46258</v>
      </c>
      <c r="X117" s="39" t="n">
        <f aca="false">IF($F117="","",IF(OR($AT117="",$O117=""),0,IF($AT117&lt;=$O117,1,0)))</f>
        <v>0</v>
      </c>
      <c r="Y117" s="39" t="n">
        <f aca="false">IF($F117="","",IF(OR($AT117="",$W117=""),0,IF($AT117&lt;=$W117,1,0)))</f>
        <v>0</v>
      </c>
      <c r="Z117" s="39" t="n">
        <f aca="false">IF(OR($AT117="",$O117=""),"",MAX(0,$AT117-$O117))</f>
        <v>4</v>
      </c>
      <c r="AA117" s="39" t="n">
        <f aca="false">IF($F117="","",IF(AND($S117&lt;&gt;"",$L117&lt;&gt;"",$S117&lt;&gt;$L117),1,0))</f>
        <v>1</v>
      </c>
      <c r="AB117" s="39" t="n">
        <f aca="false">IF($F117="","",IF($R117="Cancelada",0,IF(OR($AT117&lt;&gt;"",$R117="Concluída"),1,0)))</f>
        <v>1</v>
      </c>
      <c r="AC117" s="39" t="n">
        <f aca="false">IF($P117="",0,IF($P117&lt;Hoje!$L$1,1,IF(AND($P117=Hoje!$L$1,Hoje!$L$2&gt;Semana!$M$3),1,0)))</f>
        <v>1</v>
      </c>
      <c r="AD117" s="39" t="n">
        <f aca="false">IF($F117="","",IF(COUNTA($I117:$K117)=0,0,1/COUNTA($I117:$K117)))</f>
        <v>1</v>
      </c>
      <c r="AE117" s="39" t="str">
        <f aca="false">IF($AH117=0,"",SUM($AH$4:$AH117))</f>
        <v/>
      </c>
      <c r="AF117" s="39" t="str">
        <f aca="false">IF($AI117=0,"",SUM($AI$4:$AI117))</f>
        <v/>
      </c>
      <c r="AG117" s="50" t="str">
        <f aca="false">IF($F117="","",$I117&amp;IF($J117="",""," · "&amp;$J117)&amp;IF($K117="",""," · "&amp;$K117))</f>
        <v>Heliton</v>
      </c>
      <c r="AH117" s="39" t="n">
        <f aca="false">IF(AND($F117&lt;&gt;"",$O117&lt;&gt;"",$O117&lt;=Hoje!$C$3,$P117&gt;=Hoje!$C$3,$R117&lt;&gt;"Cancelada"),1,0)</f>
        <v>0</v>
      </c>
      <c r="AI117" s="39" t="n">
        <f aca="false">IF(AND($F117&lt;&gt;"",$P117&lt;&gt;"",$P117&lt;Hoje!$C$3,$AB117=0,$R117&lt;&gt;"Cancelada"),1,0)</f>
        <v>0</v>
      </c>
      <c r="AJ117" s="50" t="str">
        <f aca="false">IF($F117="","",$D117&amp;"|"&amp;$E117&amp;"|"&amp;$L117)</f>
        <v>F-815|Baixa de pendências backlog|36</v>
      </c>
      <c r="AK117" s="39" t="n">
        <f aca="false">IF($AJ117="","",COUNTIF($AJ$4:$AJ117,$AJ117))</f>
        <v>19</v>
      </c>
      <c r="AL117" s="39" t="n">
        <f aca="false">IF($AJ117="","",COUNTIF($AJ$4:$AJ$1004,$AJ117))</f>
        <v>26</v>
      </c>
      <c r="AM117" s="42"/>
      <c r="AN117" s="50" t="str">
        <f aca="false">IF($D117="","",IFERROR(T(VLOOKUP($D117,Listas!$B$5:$H$120,7,0)),""))</f>
        <v/>
      </c>
      <c r="AO117" s="50" t="str">
        <f aca="false">IF(OR($F117="",$L117&lt;&gt;"",$R117="Cancelada",$AT117&lt;&gt;""),"",$AN117&amp;"|"&amp;$D117&amp;"|"&amp;IF($C117="","zzz",$C117)&amp;"|"&amp;TEXT(117,"0000"))</f>
        <v/>
      </c>
      <c r="AP117" s="50" t="str">
        <f aca="false">IF($AO117="","",COUNTIF($AO$5:$AO$1004,"&lt;"&amp;$AO117)-(ROWS($AO$5:$AO$1004)-Hoje!$L$5)+1)</f>
        <v/>
      </c>
      <c r="AQ117" s="50" t="n">
        <f aca="false">IF(AND($F117&lt;&gt;"",$D117=Frota!$C$3),1,0)</f>
        <v>0</v>
      </c>
      <c r="AR117" s="50" t="str">
        <f aca="false">IF($AQ117=0,"",SUM($AQ$4:$AQ117))</f>
        <v/>
      </c>
      <c r="AS117" s="50" t="str">
        <f aca="false">IFERROR(INDEX(Hoje!$K$10:$K$29,MATCH(ROW(),Hoje!$J$10:$J$29,0)),"")</f>
        <v/>
      </c>
      <c r="AT117" s="47" t="n">
        <f aca="false">IF($Q117&lt;&gt;"",$Q117,$AS117)</f>
        <v>46269</v>
      </c>
    </row>
    <row r="118" customFormat="false" ht="16.5" hidden="false" customHeight="true" outlineLevel="0" collapsed="false">
      <c r="A118" s="39" t="n">
        <f aca="false">IF($F118="","",ROW())</f>
        <v>118</v>
      </c>
      <c r="B118" s="40" t="str">
        <f aca="false">IF($F118="",IF($D118="","","Falta a atividade"),IF($R118="Cancelada","Cancelada",IF($AB118=1,IF(N($Z118)&gt;0,"Concluída com atraso","Concluída"),IF($R118="Em programação","Em programação",IF($O118="",IF($M118="","Na carteira","Falta a semana"),IF($AC118=1,"VENCIDA",IF($O118&gt;Hoje!$L$1,"Programada",IF($P118&gt;Hoje!$L$1,"Em execução","Fecha hoje"))))))))</f>
        <v>Concluída com atraso</v>
      </c>
      <c r="C118" s="41" t="s">
        <v>332</v>
      </c>
      <c r="D118" s="42" t="s">
        <v>281</v>
      </c>
      <c r="E118" s="42" t="s">
        <v>230</v>
      </c>
      <c r="F118" s="42" t="s">
        <v>333</v>
      </c>
      <c r="G118" s="43" t="s">
        <v>80</v>
      </c>
      <c r="H118" s="43" t="s">
        <v>100</v>
      </c>
      <c r="I118" s="44" t="s">
        <v>283</v>
      </c>
      <c r="J118" s="44"/>
      <c r="K118" s="44"/>
      <c r="L118" s="45" t="n">
        <v>36</v>
      </c>
      <c r="M118" s="46" t="s">
        <v>108</v>
      </c>
      <c r="N118" s="45" t="n">
        <v>3</v>
      </c>
      <c r="O118" s="47" t="n">
        <f aca="false">IF(OR($L118="",$M118=""),"",(DATE(Semana!$J$3,1,4)-WEEKDAY(DATE(Semana!$J$3,1,4),3))+($L118-1)*7+MATCH($M118,Listas!$F$5:$F$11,0)-1)</f>
        <v>46265</v>
      </c>
      <c r="P118" s="47" t="n">
        <f aca="false">IF(OR($F118="",$O118=""),"",$O118+MAX(0,ROUNDUP($AK118*MAX(1,IF($N118="",1,$N118))/MAX(1,$AL118),0)-1))</f>
        <v>46267</v>
      </c>
      <c r="Q118" s="48" t="n">
        <v>46268</v>
      </c>
      <c r="R118" s="43" t="s">
        <v>85</v>
      </c>
      <c r="S118" s="49" t="n">
        <v>35</v>
      </c>
      <c r="T118" s="42"/>
      <c r="U118" s="42" t="s">
        <v>334</v>
      </c>
      <c r="V118" s="39" t="str">
        <f aca="false">IF($F118="","",IF(ISNUMBER(SEARCH("(externo)",$I118&amp;$J118&amp;$K118)),"Terceirizada","Interna"))</f>
        <v>Interna</v>
      </c>
      <c r="W118" s="47" t="n">
        <f aca="false">IF($O118="","",IF($S118="",$O118,(DATE(Semana!$J$3,1,4)-WEEKDAY(DATE(Semana!$J$3,1,4),3))+($S118-1)*7+IF($M118="",0,MATCH($M118,Listas!$F$5:$F$11,0)-1)))</f>
        <v>46258</v>
      </c>
      <c r="X118" s="39" t="n">
        <f aca="false">IF($F118="","",IF(OR($AT118="",$O118=""),0,IF($AT118&lt;=$O118,1,0)))</f>
        <v>0</v>
      </c>
      <c r="Y118" s="39" t="n">
        <f aca="false">IF($F118="","",IF(OR($AT118="",$W118=""),0,IF($AT118&lt;=$W118,1,0)))</f>
        <v>0</v>
      </c>
      <c r="Z118" s="39" t="n">
        <f aca="false">IF(OR($AT118="",$O118=""),"",MAX(0,$AT118-$O118))</f>
        <v>3</v>
      </c>
      <c r="AA118" s="39" t="n">
        <f aca="false">IF($F118="","",IF(AND($S118&lt;&gt;"",$L118&lt;&gt;"",$S118&lt;&gt;$L118),1,0))</f>
        <v>1</v>
      </c>
      <c r="AB118" s="39" t="n">
        <f aca="false">IF($F118="","",IF($R118="Cancelada",0,IF(OR($AT118&lt;&gt;"",$R118="Concluída"),1,0)))</f>
        <v>1</v>
      </c>
      <c r="AC118" s="39" t="n">
        <f aca="false">IF($P118="",0,IF($P118&lt;Hoje!$L$1,1,IF(AND($P118=Hoje!$L$1,Hoje!$L$2&gt;Semana!$M$3),1,0)))</f>
        <v>1</v>
      </c>
      <c r="AD118" s="39" t="n">
        <f aca="false">IF($F118="","",IF(COUNTA($I118:$K118)=0,0,1/COUNTA($I118:$K118)))</f>
        <v>1</v>
      </c>
      <c r="AE118" s="39" t="str">
        <f aca="false">IF($AH118=0,"",SUM($AH$4:$AH118))</f>
        <v/>
      </c>
      <c r="AF118" s="39" t="str">
        <f aca="false">IF($AI118=0,"",SUM($AI$4:$AI118))</f>
        <v/>
      </c>
      <c r="AG118" s="50" t="str">
        <f aca="false">IF($F118="","",$I118&amp;IF($J118="",""," · "&amp;$J118)&amp;IF($K118="",""," · "&amp;$K118))</f>
        <v>Heliton</v>
      </c>
      <c r="AH118" s="39" t="n">
        <f aca="false">IF(AND($F118&lt;&gt;"",$O118&lt;&gt;"",$O118&lt;=Hoje!$C$3,$P118&gt;=Hoje!$C$3,$R118&lt;&gt;"Cancelada"),1,0)</f>
        <v>0</v>
      </c>
      <c r="AI118" s="39" t="n">
        <f aca="false">IF(AND($F118&lt;&gt;"",$P118&lt;&gt;"",$P118&lt;Hoje!$C$3,$AB118=0,$R118&lt;&gt;"Cancelada"),1,0)</f>
        <v>0</v>
      </c>
      <c r="AJ118" s="50" t="str">
        <f aca="false">IF($F118="","",$D118&amp;"|"&amp;$E118&amp;"|"&amp;$L118)</f>
        <v>F-815|Baixa de pendências backlog|36</v>
      </c>
      <c r="AK118" s="39" t="n">
        <f aca="false">IF($AJ118="","",COUNTIF($AJ$4:$AJ118,$AJ118))</f>
        <v>20</v>
      </c>
      <c r="AL118" s="39" t="n">
        <f aca="false">IF($AJ118="","",COUNTIF($AJ$4:$AJ$1004,$AJ118))</f>
        <v>26</v>
      </c>
      <c r="AM118" s="42"/>
      <c r="AN118" s="50" t="str">
        <f aca="false">IF($D118="","",IFERROR(T(VLOOKUP($D118,Listas!$B$5:$H$120,7,0)),""))</f>
        <v/>
      </c>
      <c r="AO118" s="50" t="str">
        <f aca="false">IF(OR($F118="",$L118&lt;&gt;"",$R118="Cancelada",$AT118&lt;&gt;""),"",$AN118&amp;"|"&amp;$D118&amp;"|"&amp;IF($C118="","zzz",$C118)&amp;"|"&amp;TEXT(118,"0000"))</f>
        <v/>
      </c>
      <c r="AP118" s="50" t="str">
        <f aca="false">IF($AO118="","",COUNTIF($AO$5:$AO$1004,"&lt;"&amp;$AO118)-(ROWS($AO$5:$AO$1004)-Hoje!$L$5)+1)</f>
        <v/>
      </c>
      <c r="AQ118" s="50" t="n">
        <f aca="false">IF(AND($F118&lt;&gt;"",$D118=Frota!$C$3),1,0)</f>
        <v>0</v>
      </c>
      <c r="AR118" s="50" t="str">
        <f aca="false">IF($AQ118=0,"",SUM($AQ$4:$AQ118))</f>
        <v/>
      </c>
      <c r="AS118" s="50" t="str">
        <f aca="false">IFERROR(INDEX(Hoje!$K$10:$K$29,MATCH(ROW(),Hoje!$J$10:$J$29,0)),"")</f>
        <v/>
      </c>
      <c r="AT118" s="47" t="n">
        <f aca="false">IF($Q118&lt;&gt;"",$Q118,$AS118)</f>
        <v>46268</v>
      </c>
    </row>
    <row r="119" customFormat="false" ht="16.5" hidden="false" customHeight="true" outlineLevel="0" collapsed="false">
      <c r="A119" s="39" t="n">
        <f aca="false">IF($F119="","",ROW())</f>
        <v>119</v>
      </c>
      <c r="B119" s="40" t="str">
        <f aca="false">IF($F119="",IF($D119="","","Falta a atividade"),IF($R119="Cancelada","Cancelada",IF($AB119=1,IF(N($Z119)&gt;0,"Concluída com atraso","Concluída"),IF($R119="Em programação","Em programação",IF($O119="",IF($M119="","Na carteira","Falta a semana"),IF($AC119=1,"VENCIDA",IF($O119&gt;Hoje!$L$1,"Programada",IF($P119&gt;Hoje!$L$1,"Em execução","Fecha hoje"))))))))</f>
        <v>Cancelada</v>
      </c>
      <c r="C119" s="41" t="s">
        <v>335</v>
      </c>
      <c r="D119" s="42" t="s">
        <v>281</v>
      </c>
      <c r="E119" s="42" t="s">
        <v>230</v>
      </c>
      <c r="F119" s="42" t="s">
        <v>336</v>
      </c>
      <c r="G119" s="43" t="s">
        <v>80</v>
      </c>
      <c r="H119" s="43" t="s">
        <v>100</v>
      </c>
      <c r="I119" s="44" t="s">
        <v>182</v>
      </c>
      <c r="J119" s="44"/>
      <c r="K119" s="44"/>
      <c r="L119" s="45" t="n">
        <v>37</v>
      </c>
      <c r="M119" s="46" t="s">
        <v>131</v>
      </c>
      <c r="N119" s="45" t="n">
        <v>3</v>
      </c>
      <c r="O119" s="47" t="n">
        <f aca="false">IF(OR($L119="",$M119=""),"",(DATE(Semana!$J$3,1,4)-WEEKDAY(DATE(Semana!$J$3,1,4),3))+($L119-1)*7+MATCH($M119,Listas!$F$5:$F$11,0)-1)</f>
        <v>46273</v>
      </c>
      <c r="P119" s="47" t="n">
        <f aca="false">IF(OR($F119="",$O119=""),"",$O119+MAX(0,ROUNDUP($AK119*MAX(1,IF($N119="",1,$N119))/MAX(1,$AL119),0)-1))</f>
        <v>46273</v>
      </c>
      <c r="Q119" s="48"/>
      <c r="R119" s="43" t="s">
        <v>191</v>
      </c>
      <c r="S119" s="49" t="n">
        <v>35</v>
      </c>
      <c r="T119" s="42" t="s">
        <v>109</v>
      </c>
      <c r="U119" s="42" t="s">
        <v>337</v>
      </c>
      <c r="V119" s="39" t="str">
        <f aca="false">IF($F119="","",IF(ISNUMBER(SEARCH("(externo)",$I119&amp;$J119&amp;$K119)),"Terceirizada","Interna"))</f>
        <v>Interna</v>
      </c>
      <c r="W119" s="47" t="n">
        <f aca="false">IF($O119="","",IF($S119="",$O119,(DATE(Semana!$J$3,1,4)-WEEKDAY(DATE(Semana!$J$3,1,4),3))+($S119-1)*7+IF($M119="",0,MATCH($M119,Listas!$F$5:$F$11,0)-1)))</f>
        <v>46259</v>
      </c>
      <c r="X119" s="39" t="n">
        <f aca="false">IF($F119="","",IF(OR($AT119="",$O119=""),0,IF($AT119&lt;=$O119,1,0)))</f>
        <v>0</v>
      </c>
      <c r="Y119" s="39" t="n">
        <f aca="false">IF($F119="","",IF(OR($AT119="",$W119=""),0,IF($AT119&lt;=$W119,1,0)))</f>
        <v>0</v>
      </c>
      <c r="Z119" s="39" t="str">
        <f aca="false">IF(OR($AT119="",$O119=""),"",MAX(0,$AT119-$O119))</f>
        <v/>
      </c>
      <c r="AA119" s="39" t="n">
        <f aca="false">IF($F119="","",IF(AND($S119&lt;&gt;"",$L119&lt;&gt;"",$S119&lt;&gt;$L119),1,0))</f>
        <v>1</v>
      </c>
      <c r="AB119" s="39" t="n">
        <f aca="false">IF($F119="","",IF($R119="Cancelada",0,IF(OR($AT119&lt;&gt;"",$R119="Concluída"),1,0)))</f>
        <v>0</v>
      </c>
      <c r="AC119" s="39" t="n">
        <f aca="false">IF($P119="",0,IF($P119&lt;Hoje!$L$1,1,IF(AND($P119=Hoje!$L$1,Hoje!$L$2&gt;Semana!$M$3),1,0)))</f>
        <v>1</v>
      </c>
      <c r="AD119" s="39" t="n">
        <f aca="false">IF($F119="","",IF(COUNTA($I119:$K119)=0,0,1/COUNTA($I119:$K119)))</f>
        <v>1</v>
      </c>
      <c r="AE119" s="39" t="str">
        <f aca="false">IF($AH119=0,"",SUM($AH$4:$AH119))</f>
        <v/>
      </c>
      <c r="AF119" s="39" t="str">
        <f aca="false">IF($AI119=0,"",SUM($AI$4:$AI119))</f>
        <v/>
      </c>
      <c r="AG119" s="50" t="str">
        <f aca="false">IF($F119="","",$I119&amp;IF($J119="",""," · "&amp;$J119)&amp;IF($K119="",""," · "&amp;$K119))</f>
        <v>Alexandre</v>
      </c>
      <c r="AH119" s="39" t="n">
        <f aca="false">IF(AND($F119&lt;&gt;"",$O119&lt;&gt;"",$O119&lt;=Hoje!$C$3,$P119&gt;=Hoje!$C$3,$R119&lt;&gt;"Cancelada"),1,0)</f>
        <v>0</v>
      </c>
      <c r="AI119" s="39" t="n">
        <f aca="false">IF(AND($F119&lt;&gt;"",$P119&lt;&gt;"",$P119&lt;Hoje!$C$3,$AB119=0,$R119&lt;&gt;"Cancelada"),1,0)</f>
        <v>0</v>
      </c>
      <c r="AJ119" s="50" t="str">
        <f aca="false">IF($F119="","",$D119&amp;"|"&amp;$E119&amp;"|"&amp;$L119)</f>
        <v>F-815|Baixa de pendências backlog|37</v>
      </c>
      <c r="AK119" s="39" t="n">
        <f aca="false">IF($AJ119="","",COUNTIF($AJ$4:$AJ119,$AJ119))</f>
        <v>2</v>
      </c>
      <c r="AL119" s="39" t="n">
        <f aca="false">IF($AJ119="","",COUNTIF($AJ$4:$AJ$1004,$AJ119))</f>
        <v>8</v>
      </c>
      <c r="AM119" s="42"/>
      <c r="AN119" s="50" t="str">
        <f aca="false">IF($D119="","",IFERROR(T(VLOOKUP($D119,Listas!$B$5:$H$120,7,0)),""))</f>
        <v/>
      </c>
      <c r="AO119" s="50" t="str">
        <f aca="false">IF(OR($F119="",$L119&lt;&gt;"",$R119="Cancelada",$AT119&lt;&gt;""),"",$AN119&amp;"|"&amp;$D119&amp;"|"&amp;IF($C119="","zzz",$C119)&amp;"|"&amp;TEXT(119,"0000"))</f>
        <v/>
      </c>
      <c r="AP119" s="50" t="str">
        <f aca="false">IF($AO119="","",COUNTIF($AO$5:$AO$1004,"&lt;"&amp;$AO119)-(ROWS($AO$5:$AO$1004)-Hoje!$L$5)+1)</f>
        <v/>
      </c>
      <c r="AQ119" s="50" t="n">
        <f aca="false">IF(AND($F119&lt;&gt;"",$D119=Frota!$C$3),1,0)</f>
        <v>0</v>
      </c>
      <c r="AR119" s="50" t="str">
        <f aca="false">IF($AQ119=0,"",SUM($AQ$4:$AQ119))</f>
        <v/>
      </c>
      <c r="AS119" s="50" t="str">
        <f aca="false">IFERROR(INDEX(Hoje!$K$10:$K$29,MATCH(ROW(),Hoje!$J$10:$J$29,0)),"")</f>
        <v/>
      </c>
      <c r="AT119" s="50" t="str">
        <f aca="false">IF($Q119&lt;&gt;"",$Q119,$AS119)</f>
        <v/>
      </c>
    </row>
    <row r="120" customFormat="false" ht="16.5" hidden="false" customHeight="true" outlineLevel="0" collapsed="false">
      <c r="A120" s="39" t="n">
        <f aca="false">IF($F120="","",ROW())</f>
        <v>120</v>
      </c>
      <c r="B120" s="40" t="str">
        <f aca="false">IF($F120="",IF($D120="","","Falta a atividade"),IF($R120="Cancelada","Cancelada",IF($AB120=1,IF(N($Z120)&gt;0,"Concluída com atraso","Concluída"),IF($R120="Em programação","Em programação",IF($O120="",IF($M120="","Na carteira","Falta a semana"),IF($AC120=1,"VENCIDA",IF($O120&gt;Hoje!$L$1,"Programada",IF($P120&gt;Hoje!$L$1,"Em execução","Fecha hoje"))))))))</f>
        <v>Concluída com atraso</v>
      </c>
      <c r="C120" s="41" t="s">
        <v>338</v>
      </c>
      <c r="D120" s="42" t="s">
        <v>281</v>
      </c>
      <c r="E120" s="42" t="s">
        <v>230</v>
      </c>
      <c r="F120" s="42" t="s">
        <v>339</v>
      </c>
      <c r="G120" s="43" t="s">
        <v>80</v>
      </c>
      <c r="H120" s="43" t="s">
        <v>100</v>
      </c>
      <c r="I120" s="44" t="s">
        <v>283</v>
      </c>
      <c r="J120" s="44"/>
      <c r="K120" s="44"/>
      <c r="L120" s="45" t="n">
        <v>36</v>
      </c>
      <c r="M120" s="46" t="s">
        <v>108</v>
      </c>
      <c r="N120" s="45" t="n">
        <v>3</v>
      </c>
      <c r="O120" s="47" t="n">
        <f aca="false">IF(OR($L120="",$M120=""),"",(DATE(Semana!$J$3,1,4)-WEEKDAY(DATE(Semana!$J$3,1,4),3))+($L120-1)*7+MATCH($M120,Listas!$F$5:$F$11,0)-1)</f>
        <v>46265</v>
      </c>
      <c r="P120" s="47" t="n">
        <f aca="false">IF(OR($F120="",$O120=""),"",$O120+MAX(0,ROUNDUP($AK120*MAX(1,IF($N120="",1,$N120))/MAX(1,$AL120),0)-1))</f>
        <v>46267</v>
      </c>
      <c r="Q120" s="48" t="n">
        <v>46269</v>
      </c>
      <c r="R120" s="43" t="s">
        <v>85</v>
      </c>
      <c r="S120" s="49" t="n">
        <v>35</v>
      </c>
      <c r="T120" s="42"/>
      <c r="U120" s="42" t="s">
        <v>340</v>
      </c>
      <c r="V120" s="39" t="str">
        <f aca="false">IF($F120="","",IF(ISNUMBER(SEARCH("(externo)",$I120&amp;$J120&amp;$K120)),"Terceirizada","Interna"))</f>
        <v>Interna</v>
      </c>
      <c r="W120" s="47" t="n">
        <f aca="false">IF($O120="","",IF($S120="",$O120,(DATE(Semana!$J$3,1,4)-WEEKDAY(DATE(Semana!$J$3,1,4),3))+($S120-1)*7+IF($M120="",0,MATCH($M120,Listas!$F$5:$F$11,0)-1)))</f>
        <v>46258</v>
      </c>
      <c r="X120" s="39" t="n">
        <f aca="false">IF($F120="","",IF(OR($AT120="",$O120=""),0,IF($AT120&lt;=$O120,1,0)))</f>
        <v>0</v>
      </c>
      <c r="Y120" s="39" t="n">
        <f aca="false">IF($F120="","",IF(OR($AT120="",$W120=""),0,IF($AT120&lt;=$W120,1,0)))</f>
        <v>0</v>
      </c>
      <c r="Z120" s="39" t="n">
        <f aca="false">IF(OR($AT120="",$O120=""),"",MAX(0,$AT120-$O120))</f>
        <v>4</v>
      </c>
      <c r="AA120" s="39" t="n">
        <f aca="false">IF($F120="","",IF(AND($S120&lt;&gt;"",$L120&lt;&gt;"",$S120&lt;&gt;$L120),1,0))</f>
        <v>1</v>
      </c>
      <c r="AB120" s="39" t="n">
        <f aca="false">IF($F120="","",IF($R120="Cancelada",0,IF(OR($AT120&lt;&gt;"",$R120="Concluída"),1,0)))</f>
        <v>1</v>
      </c>
      <c r="AC120" s="39" t="n">
        <f aca="false">IF($P120="",0,IF($P120&lt;Hoje!$L$1,1,IF(AND($P120=Hoje!$L$1,Hoje!$L$2&gt;Semana!$M$3),1,0)))</f>
        <v>1</v>
      </c>
      <c r="AD120" s="39" t="n">
        <f aca="false">IF($F120="","",IF(COUNTA($I120:$K120)=0,0,1/COUNTA($I120:$K120)))</f>
        <v>1</v>
      </c>
      <c r="AE120" s="39" t="str">
        <f aca="false">IF($AH120=0,"",SUM($AH$4:$AH120))</f>
        <v/>
      </c>
      <c r="AF120" s="39" t="str">
        <f aca="false">IF($AI120=0,"",SUM($AI$4:$AI120))</f>
        <v/>
      </c>
      <c r="AG120" s="50" t="str">
        <f aca="false">IF($F120="","",$I120&amp;IF($J120="",""," · "&amp;$J120)&amp;IF($K120="",""," · "&amp;$K120))</f>
        <v>Heliton</v>
      </c>
      <c r="AH120" s="39" t="n">
        <f aca="false">IF(AND($F120&lt;&gt;"",$O120&lt;&gt;"",$O120&lt;=Hoje!$C$3,$P120&gt;=Hoje!$C$3,$R120&lt;&gt;"Cancelada"),1,0)</f>
        <v>0</v>
      </c>
      <c r="AI120" s="39" t="n">
        <f aca="false">IF(AND($F120&lt;&gt;"",$P120&lt;&gt;"",$P120&lt;Hoje!$C$3,$AB120=0,$R120&lt;&gt;"Cancelada"),1,0)</f>
        <v>0</v>
      </c>
      <c r="AJ120" s="50" t="str">
        <f aca="false">IF($F120="","",$D120&amp;"|"&amp;$E120&amp;"|"&amp;$L120)</f>
        <v>F-815|Baixa de pendências backlog|36</v>
      </c>
      <c r="AK120" s="39" t="n">
        <f aca="false">IF($AJ120="","",COUNTIF($AJ$4:$AJ120,$AJ120))</f>
        <v>21</v>
      </c>
      <c r="AL120" s="39" t="n">
        <f aca="false">IF($AJ120="","",COUNTIF($AJ$4:$AJ$1004,$AJ120))</f>
        <v>26</v>
      </c>
      <c r="AM120" s="42"/>
      <c r="AN120" s="50" t="str">
        <f aca="false">IF($D120="","",IFERROR(T(VLOOKUP($D120,Listas!$B$5:$H$120,7,0)),""))</f>
        <v/>
      </c>
      <c r="AO120" s="50" t="str">
        <f aca="false">IF(OR($F120="",$L120&lt;&gt;"",$R120="Cancelada",$AT120&lt;&gt;""),"",$AN120&amp;"|"&amp;$D120&amp;"|"&amp;IF($C120="","zzz",$C120)&amp;"|"&amp;TEXT(120,"0000"))</f>
        <v/>
      </c>
      <c r="AP120" s="50" t="str">
        <f aca="false">IF($AO120="","",COUNTIF($AO$5:$AO$1004,"&lt;"&amp;$AO120)-(ROWS($AO$5:$AO$1004)-Hoje!$L$5)+1)</f>
        <v/>
      </c>
      <c r="AQ120" s="50" t="n">
        <f aca="false">IF(AND($F120&lt;&gt;"",$D120=Frota!$C$3),1,0)</f>
        <v>0</v>
      </c>
      <c r="AR120" s="50" t="str">
        <f aca="false">IF($AQ120=0,"",SUM($AQ$4:$AQ120))</f>
        <v/>
      </c>
      <c r="AS120" s="50" t="str">
        <f aca="false">IFERROR(INDEX(Hoje!$K$10:$K$29,MATCH(ROW(),Hoje!$J$10:$J$29,0)),"")</f>
        <v/>
      </c>
      <c r="AT120" s="47" t="n">
        <f aca="false">IF($Q120&lt;&gt;"",$Q120,$AS120)</f>
        <v>46269</v>
      </c>
    </row>
    <row r="121" customFormat="false" ht="16.5" hidden="false" customHeight="true" outlineLevel="0" collapsed="false">
      <c r="A121" s="39" t="n">
        <f aca="false">IF($F121="","",ROW())</f>
        <v>121</v>
      </c>
      <c r="B121" s="40" t="str">
        <f aca="false">IF($F121="",IF($D121="","","Falta a atividade"),IF($R121="Cancelada","Cancelada",IF($AB121=1,IF(N($Z121)&gt;0,"Concluída com atraso","Concluída"),IF($R121="Em programação","Em programação",IF($O121="",IF($M121="","Na carteira","Falta a semana"),IF($AC121=1,"VENCIDA",IF($O121&gt;Hoje!$L$1,"Programada",IF($P121&gt;Hoje!$L$1,"Em execução","Fecha hoje"))))))))</f>
        <v>Concluída com atraso</v>
      </c>
      <c r="C121" s="41" t="s">
        <v>341</v>
      </c>
      <c r="D121" s="42" t="s">
        <v>281</v>
      </c>
      <c r="E121" s="42" t="s">
        <v>230</v>
      </c>
      <c r="F121" s="42" t="s">
        <v>342</v>
      </c>
      <c r="G121" s="43" t="s">
        <v>80</v>
      </c>
      <c r="H121" s="43" t="s">
        <v>100</v>
      </c>
      <c r="I121" s="44" t="s">
        <v>283</v>
      </c>
      <c r="J121" s="44"/>
      <c r="K121" s="44"/>
      <c r="L121" s="45" t="n">
        <v>36</v>
      </c>
      <c r="M121" s="46" t="s">
        <v>108</v>
      </c>
      <c r="N121" s="45" t="n">
        <v>3</v>
      </c>
      <c r="O121" s="47" t="n">
        <f aca="false">IF(OR($L121="",$M121=""),"",(DATE(Semana!$J$3,1,4)-WEEKDAY(DATE(Semana!$J$3,1,4),3))+($L121-1)*7+MATCH($M121,Listas!$F$5:$F$11,0)-1)</f>
        <v>46265</v>
      </c>
      <c r="P121" s="47" t="n">
        <f aca="false">IF(OR($F121="",$O121=""),"",$O121+MAX(0,ROUNDUP($AK121*MAX(1,IF($N121="",1,$N121))/MAX(1,$AL121),0)-1))</f>
        <v>46267</v>
      </c>
      <c r="Q121" s="48" t="n">
        <v>46269</v>
      </c>
      <c r="R121" s="43" t="s">
        <v>85</v>
      </c>
      <c r="S121" s="49" t="n">
        <v>35</v>
      </c>
      <c r="T121" s="42" t="s">
        <v>284</v>
      </c>
      <c r="U121" s="42" t="s">
        <v>343</v>
      </c>
      <c r="V121" s="39" t="str">
        <f aca="false">IF($F121="","",IF(ISNUMBER(SEARCH("(externo)",$I121&amp;$J121&amp;$K121)),"Terceirizada","Interna"))</f>
        <v>Interna</v>
      </c>
      <c r="W121" s="47" t="n">
        <f aca="false">IF($O121="","",IF($S121="",$O121,(DATE(Semana!$J$3,1,4)-WEEKDAY(DATE(Semana!$J$3,1,4),3))+($S121-1)*7+IF($M121="",0,MATCH($M121,Listas!$F$5:$F$11,0)-1)))</f>
        <v>46258</v>
      </c>
      <c r="X121" s="39" t="n">
        <f aca="false">IF($F121="","",IF(OR($AT121="",$O121=""),0,IF($AT121&lt;=$O121,1,0)))</f>
        <v>0</v>
      </c>
      <c r="Y121" s="39" t="n">
        <f aca="false">IF($F121="","",IF(OR($AT121="",$W121=""),0,IF($AT121&lt;=$W121,1,0)))</f>
        <v>0</v>
      </c>
      <c r="Z121" s="39" t="n">
        <f aca="false">IF(OR($AT121="",$O121=""),"",MAX(0,$AT121-$O121))</f>
        <v>4</v>
      </c>
      <c r="AA121" s="39" t="n">
        <f aca="false">IF($F121="","",IF(AND($S121&lt;&gt;"",$L121&lt;&gt;"",$S121&lt;&gt;$L121),1,0))</f>
        <v>1</v>
      </c>
      <c r="AB121" s="39" t="n">
        <f aca="false">IF($F121="","",IF($R121="Cancelada",0,IF(OR($AT121&lt;&gt;"",$R121="Concluída"),1,0)))</f>
        <v>1</v>
      </c>
      <c r="AC121" s="39" t="n">
        <f aca="false">IF($P121="",0,IF($P121&lt;Hoje!$L$1,1,IF(AND($P121=Hoje!$L$1,Hoje!$L$2&gt;Semana!$M$3),1,0)))</f>
        <v>1</v>
      </c>
      <c r="AD121" s="39" t="n">
        <f aca="false">IF($F121="","",IF(COUNTA($I121:$K121)=0,0,1/COUNTA($I121:$K121)))</f>
        <v>1</v>
      </c>
      <c r="AE121" s="39" t="str">
        <f aca="false">IF($AH121=0,"",SUM($AH$4:$AH121))</f>
        <v/>
      </c>
      <c r="AF121" s="39" t="str">
        <f aca="false">IF($AI121=0,"",SUM($AI$4:$AI121))</f>
        <v/>
      </c>
      <c r="AG121" s="50" t="str">
        <f aca="false">IF($F121="","",$I121&amp;IF($J121="",""," · "&amp;$J121)&amp;IF($K121="",""," · "&amp;$K121))</f>
        <v>Heliton</v>
      </c>
      <c r="AH121" s="39" t="n">
        <f aca="false">IF(AND($F121&lt;&gt;"",$O121&lt;&gt;"",$O121&lt;=Hoje!$C$3,$P121&gt;=Hoje!$C$3,$R121&lt;&gt;"Cancelada"),1,0)</f>
        <v>0</v>
      </c>
      <c r="AI121" s="39" t="n">
        <f aca="false">IF(AND($F121&lt;&gt;"",$P121&lt;&gt;"",$P121&lt;Hoje!$C$3,$AB121=0,$R121&lt;&gt;"Cancelada"),1,0)</f>
        <v>0</v>
      </c>
      <c r="AJ121" s="50" t="str">
        <f aca="false">IF($F121="","",$D121&amp;"|"&amp;$E121&amp;"|"&amp;$L121)</f>
        <v>F-815|Baixa de pendências backlog|36</v>
      </c>
      <c r="AK121" s="39" t="n">
        <f aca="false">IF($AJ121="","",COUNTIF($AJ$4:$AJ121,$AJ121))</f>
        <v>22</v>
      </c>
      <c r="AL121" s="39" t="n">
        <f aca="false">IF($AJ121="","",COUNTIF($AJ$4:$AJ$1004,$AJ121))</f>
        <v>26</v>
      </c>
      <c r="AM121" s="42"/>
      <c r="AN121" s="50" t="str">
        <f aca="false">IF($D121="","",IFERROR(T(VLOOKUP($D121,Listas!$B$5:$H$120,7,0)),""))</f>
        <v/>
      </c>
      <c r="AO121" s="50" t="str">
        <f aca="false">IF(OR($F121="",$L121&lt;&gt;"",$R121="Cancelada",$AT121&lt;&gt;""),"",$AN121&amp;"|"&amp;$D121&amp;"|"&amp;IF($C121="","zzz",$C121)&amp;"|"&amp;TEXT(121,"0000"))</f>
        <v/>
      </c>
      <c r="AP121" s="50" t="str">
        <f aca="false">IF($AO121="","",COUNTIF($AO$5:$AO$1004,"&lt;"&amp;$AO121)-(ROWS($AO$5:$AO$1004)-Hoje!$L$5)+1)</f>
        <v/>
      </c>
      <c r="AQ121" s="50" t="n">
        <f aca="false">IF(AND($F121&lt;&gt;"",$D121=Frota!$C$3),1,0)</f>
        <v>0</v>
      </c>
      <c r="AR121" s="50" t="str">
        <f aca="false">IF($AQ121=0,"",SUM($AQ$4:$AQ121))</f>
        <v/>
      </c>
      <c r="AS121" s="50" t="str">
        <f aca="false">IFERROR(INDEX(Hoje!$K$10:$K$29,MATCH(ROW(),Hoje!$J$10:$J$29,0)),"")</f>
        <v/>
      </c>
      <c r="AT121" s="47" t="n">
        <f aca="false">IF($Q121&lt;&gt;"",$Q121,$AS121)</f>
        <v>46269</v>
      </c>
    </row>
    <row r="122" customFormat="false" ht="16.5" hidden="false" customHeight="true" outlineLevel="0" collapsed="false">
      <c r="A122" s="39" t="n">
        <f aca="false">IF($F122="","",ROW())</f>
        <v>122</v>
      </c>
      <c r="B122" s="40" t="str">
        <f aca="false">IF($F122="",IF($D122="","","Falta a atividade"),IF($R122="Cancelada","Cancelada",IF($AB122=1,IF(N($Z122)&gt;0,"Concluída com atraso","Concluída"),IF($R122="Em programação","Em programação",IF($O122="",IF($M122="","Na carteira","Falta a semana"),IF($AC122=1,"VENCIDA",IF($O122&gt;Hoje!$L$1,"Programada",IF($P122&gt;Hoje!$L$1,"Em execução","Fecha hoje"))))))))</f>
        <v>Fecha hoje</v>
      </c>
      <c r="C122" s="41" t="s">
        <v>344</v>
      </c>
      <c r="D122" s="42" t="s">
        <v>281</v>
      </c>
      <c r="E122" s="42" t="s">
        <v>230</v>
      </c>
      <c r="F122" s="42" t="s">
        <v>345</v>
      </c>
      <c r="G122" s="43" t="s">
        <v>80</v>
      </c>
      <c r="H122" s="43" t="s">
        <v>100</v>
      </c>
      <c r="I122" s="44" t="s">
        <v>182</v>
      </c>
      <c r="J122" s="44"/>
      <c r="K122" s="44"/>
      <c r="L122" s="45" t="n">
        <v>37</v>
      </c>
      <c r="M122" s="46" t="s">
        <v>131</v>
      </c>
      <c r="N122" s="45" t="n">
        <v>3</v>
      </c>
      <c r="O122" s="47" t="n">
        <f aca="false">IF(OR($L122="",$M122=""),"",(DATE(Semana!$J$3,1,4)-WEEKDAY(DATE(Semana!$J$3,1,4),3))+($L122-1)*7+MATCH($M122,Listas!$F$5:$F$11,0)-1)</f>
        <v>46273</v>
      </c>
      <c r="P122" s="47" t="n">
        <f aca="false">IF(OR($F122="",$O122=""),"",$O122+MAX(0,ROUNDUP($AK122*MAX(1,IF($N122="",1,$N122))/MAX(1,$AL122),0)-1))</f>
        <v>46274</v>
      </c>
      <c r="Q122" s="48"/>
      <c r="R122" s="43"/>
      <c r="S122" s="49" t="n">
        <v>35</v>
      </c>
      <c r="T122" s="42"/>
      <c r="U122" s="42" t="s">
        <v>101</v>
      </c>
      <c r="V122" s="39" t="str">
        <f aca="false">IF($F122="","",IF(ISNUMBER(SEARCH("(externo)",$I122&amp;$J122&amp;$K122)),"Terceirizada","Interna"))</f>
        <v>Interna</v>
      </c>
      <c r="W122" s="47" t="n">
        <f aca="false">IF($O122="","",IF($S122="",$O122,(DATE(Semana!$J$3,1,4)-WEEKDAY(DATE(Semana!$J$3,1,4),3))+($S122-1)*7+IF($M122="",0,MATCH($M122,Listas!$F$5:$F$11,0)-1)))</f>
        <v>46259</v>
      </c>
      <c r="X122" s="39" t="n">
        <f aca="false">IF($F122="","",IF(OR($AT122="",$O122=""),0,IF($AT122&lt;=$O122,1,0)))</f>
        <v>0</v>
      </c>
      <c r="Y122" s="39" t="n">
        <f aca="false">IF($F122="","",IF(OR($AT122="",$W122=""),0,IF($AT122&lt;=$W122,1,0)))</f>
        <v>0</v>
      </c>
      <c r="Z122" s="39" t="str">
        <f aca="false">IF(OR($AT122="",$O122=""),"",MAX(0,$AT122-$O122))</f>
        <v/>
      </c>
      <c r="AA122" s="39" t="n">
        <f aca="false">IF($F122="","",IF(AND($S122&lt;&gt;"",$L122&lt;&gt;"",$S122&lt;&gt;$L122),1,0))</f>
        <v>1</v>
      </c>
      <c r="AB122" s="39" t="n">
        <f aca="false">IF($F122="","",IF($R122="Cancelada",0,IF(OR($AT122&lt;&gt;"",$R122="Concluída"),1,0)))</f>
        <v>0</v>
      </c>
      <c r="AC122" s="39" t="n">
        <f aca="false">IF($P122="",0,IF($P122&lt;Hoje!$L$1,1,IF(AND($P122=Hoje!$L$1,Hoje!$L$2&gt;Semana!$M$3),1,0)))</f>
        <v>0</v>
      </c>
      <c r="AD122" s="39" t="n">
        <f aca="false">IF($F122="","",IF(COUNTA($I122:$K122)=0,0,1/COUNTA($I122:$K122)))</f>
        <v>1</v>
      </c>
      <c r="AE122" s="39" t="n">
        <f aca="false">IF($AH122=0,"",SUM($AH$4:$AH122))</f>
        <v>1</v>
      </c>
      <c r="AF122" s="39" t="str">
        <f aca="false">IF($AI122=0,"",SUM($AI$4:$AI122))</f>
        <v/>
      </c>
      <c r="AG122" s="50" t="str">
        <f aca="false">IF($F122="","",$I122&amp;IF($J122="",""," · "&amp;$J122)&amp;IF($K122="",""," · "&amp;$K122))</f>
        <v>Alexandre</v>
      </c>
      <c r="AH122" s="39" t="n">
        <f aca="false">IF(AND($F122&lt;&gt;"",$O122&lt;&gt;"",$O122&lt;=Hoje!$C$3,$P122&gt;=Hoje!$C$3,$R122&lt;&gt;"Cancelada"),1,0)</f>
        <v>1</v>
      </c>
      <c r="AI122" s="39" t="n">
        <f aca="false">IF(AND($F122&lt;&gt;"",$P122&lt;&gt;"",$P122&lt;Hoje!$C$3,$AB122=0,$R122&lt;&gt;"Cancelada"),1,0)</f>
        <v>0</v>
      </c>
      <c r="AJ122" s="50" t="str">
        <f aca="false">IF($F122="","",$D122&amp;"|"&amp;$E122&amp;"|"&amp;$L122)</f>
        <v>F-815|Baixa de pendências backlog|37</v>
      </c>
      <c r="AK122" s="39" t="n">
        <f aca="false">IF($AJ122="","",COUNTIF($AJ$4:$AJ122,$AJ122))</f>
        <v>3</v>
      </c>
      <c r="AL122" s="39" t="n">
        <f aca="false">IF($AJ122="","",COUNTIF($AJ$4:$AJ$1004,$AJ122))</f>
        <v>8</v>
      </c>
      <c r="AM122" s="42"/>
      <c r="AN122" s="50" t="str">
        <f aca="false">IF($D122="","",IFERROR(T(VLOOKUP($D122,Listas!$B$5:$H$120,7,0)),""))</f>
        <v/>
      </c>
      <c r="AO122" s="50" t="str">
        <f aca="false">IF(OR($F122="",$L122&lt;&gt;"",$R122="Cancelada",$AT122&lt;&gt;""),"",$AN122&amp;"|"&amp;$D122&amp;"|"&amp;IF($C122="","zzz",$C122)&amp;"|"&amp;TEXT(122,"0000"))</f>
        <v/>
      </c>
      <c r="AP122" s="50" t="str">
        <f aca="false">IF($AO122="","",COUNTIF($AO$5:$AO$1004,"&lt;"&amp;$AO122)-(ROWS($AO$5:$AO$1004)-Hoje!$L$5)+1)</f>
        <v/>
      </c>
      <c r="AQ122" s="50" t="n">
        <f aca="false">IF(AND($F122&lt;&gt;"",$D122=Frota!$C$3),1,0)</f>
        <v>0</v>
      </c>
      <c r="AR122" s="50" t="str">
        <f aca="false">IF($AQ122=0,"",SUM($AQ$4:$AQ122))</f>
        <v/>
      </c>
      <c r="AS122" s="50" t="str">
        <f aca="false">IFERROR(INDEX(Hoje!$K$10:$K$29,MATCH(ROW(),Hoje!$J$10:$J$29,0)),"")</f>
        <v/>
      </c>
      <c r="AT122" s="50" t="str">
        <f aca="false">IF($Q122&lt;&gt;"",$Q122,$AS122)</f>
        <v/>
      </c>
    </row>
    <row r="123" customFormat="false" ht="16.5" hidden="false" customHeight="true" outlineLevel="0" collapsed="false">
      <c r="A123" s="39" t="n">
        <f aca="false">IF($F123="","",ROW())</f>
        <v>123</v>
      </c>
      <c r="B123" s="40" t="str">
        <f aca="false">IF($F123="",IF($D123="","","Falta a atividade"),IF($R123="Cancelada","Cancelada",IF($AB123=1,IF(N($Z123)&gt;0,"Concluída com atraso","Concluída"),IF($R123="Em programação","Em programação",IF($O123="",IF($M123="","Na carteira","Falta a semana"),IF($AC123=1,"VENCIDA",IF($O123&gt;Hoje!$L$1,"Programada",IF($P123&gt;Hoje!$L$1,"Em execução","Fecha hoje"))))))))</f>
        <v>Cancelada</v>
      </c>
      <c r="C123" s="41" t="s">
        <v>346</v>
      </c>
      <c r="D123" s="42" t="s">
        <v>281</v>
      </c>
      <c r="E123" s="42" t="s">
        <v>230</v>
      </c>
      <c r="F123" s="42" t="s">
        <v>347</v>
      </c>
      <c r="G123" s="43" t="s">
        <v>80</v>
      </c>
      <c r="H123" s="43" t="s">
        <v>100</v>
      </c>
      <c r="I123" s="44" t="s">
        <v>182</v>
      </c>
      <c r="J123" s="44"/>
      <c r="K123" s="44"/>
      <c r="L123" s="45" t="n">
        <v>37</v>
      </c>
      <c r="M123" s="46" t="s">
        <v>131</v>
      </c>
      <c r="N123" s="45" t="n">
        <v>3</v>
      </c>
      <c r="O123" s="47" t="n">
        <f aca="false">IF(OR($L123="",$M123=""),"",(DATE(Semana!$J$3,1,4)-WEEKDAY(DATE(Semana!$J$3,1,4),3))+($L123-1)*7+MATCH($M123,Listas!$F$5:$F$11,0)-1)</f>
        <v>46273</v>
      </c>
      <c r="P123" s="47" t="n">
        <f aca="false">IF(OR($F123="",$O123=""),"",$O123+MAX(0,ROUNDUP($AK123*MAX(1,IF($N123="",1,$N123))/MAX(1,$AL123),0)-1))</f>
        <v>46274</v>
      </c>
      <c r="Q123" s="48"/>
      <c r="R123" s="43" t="s">
        <v>191</v>
      </c>
      <c r="S123" s="49" t="n">
        <v>35</v>
      </c>
      <c r="T123" s="42" t="s">
        <v>109</v>
      </c>
      <c r="U123" s="42" t="s">
        <v>348</v>
      </c>
      <c r="V123" s="39" t="str">
        <f aca="false">IF($F123="","",IF(ISNUMBER(SEARCH("(externo)",$I123&amp;$J123&amp;$K123)),"Terceirizada","Interna"))</f>
        <v>Interna</v>
      </c>
      <c r="W123" s="47" t="n">
        <f aca="false">IF($O123="","",IF($S123="",$O123,(DATE(Semana!$J$3,1,4)-WEEKDAY(DATE(Semana!$J$3,1,4),3))+($S123-1)*7+IF($M123="",0,MATCH($M123,Listas!$F$5:$F$11,0)-1)))</f>
        <v>46259</v>
      </c>
      <c r="X123" s="39" t="n">
        <f aca="false">IF($F123="","",IF(OR($AT123="",$O123=""),0,IF($AT123&lt;=$O123,1,0)))</f>
        <v>0</v>
      </c>
      <c r="Y123" s="39" t="n">
        <f aca="false">IF($F123="","",IF(OR($AT123="",$W123=""),0,IF($AT123&lt;=$W123,1,0)))</f>
        <v>0</v>
      </c>
      <c r="Z123" s="39" t="str">
        <f aca="false">IF(OR($AT123="",$O123=""),"",MAX(0,$AT123-$O123))</f>
        <v/>
      </c>
      <c r="AA123" s="39" t="n">
        <f aca="false">IF($F123="","",IF(AND($S123&lt;&gt;"",$L123&lt;&gt;"",$S123&lt;&gt;$L123),1,0))</f>
        <v>1</v>
      </c>
      <c r="AB123" s="39" t="n">
        <f aca="false">IF($F123="","",IF($R123="Cancelada",0,IF(OR($AT123&lt;&gt;"",$R123="Concluída"),1,0)))</f>
        <v>0</v>
      </c>
      <c r="AC123" s="39" t="n">
        <f aca="false">IF($P123="",0,IF($P123&lt;Hoje!$L$1,1,IF(AND($P123=Hoje!$L$1,Hoje!$L$2&gt;Semana!$M$3),1,0)))</f>
        <v>0</v>
      </c>
      <c r="AD123" s="39" t="n">
        <f aca="false">IF($F123="","",IF(COUNTA($I123:$K123)=0,0,1/COUNTA($I123:$K123)))</f>
        <v>1</v>
      </c>
      <c r="AE123" s="39" t="str">
        <f aca="false">IF($AH123=0,"",SUM($AH$4:$AH123))</f>
        <v/>
      </c>
      <c r="AF123" s="39" t="str">
        <f aca="false">IF($AI123=0,"",SUM($AI$4:$AI123))</f>
        <v/>
      </c>
      <c r="AG123" s="50" t="str">
        <f aca="false">IF($F123="","",$I123&amp;IF($J123="",""," · "&amp;$J123)&amp;IF($K123="",""," · "&amp;$K123))</f>
        <v>Alexandre</v>
      </c>
      <c r="AH123" s="39" t="n">
        <f aca="false">IF(AND($F123&lt;&gt;"",$O123&lt;&gt;"",$O123&lt;=Hoje!$C$3,$P123&gt;=Hoje!$C$3,$R123&lt;&gt;"Cancelada"),1,0)</f>
        <v>0</v>
      </c>
      <c r="AI123" s="39" t="n">
        <f aca="false">IF(AND($F123&lt;&gt;"",$P123&lt;&gt;"",$P123&lt;Hoje!$C$3,$AB123=0,$R123&lt;&gt;"Cancelada"),1,0)</f>
        <v>0</v>
      </c>
      <c r="AJ123" s="50" t="str">
        <f aca="false">IF($F123="","",$D123&amp;"|"&amp;$E123&amp;"|"&amp;$L123)</f>
        <v>F-815|Baixa de pendências backlog|37</v>
      </c>
      <c r="AK123" s="39" t="n">
        <f aca="false">IF($AJ123="","",COUNTIF($AJ$4:$AJ123,$AJ123))</f>
        <v>4</v>
      </c>
      <c r="AL123" s="39" t="n">
        <f aca="false">IF($AJ123="","",COUNTIF($AJ$4:$AJ$1004,$AJ123))</f>
        <v>8</v>
      </c>
      <c r="AM123" s="42"/>
      <c r="AN123" s="50" t="str">
        <f aca="false">IF($D123="","",IFERROR(T(VLOOKUP($D123,Listas!$B$5:$H$120,7,0)),""))</f>
        <v/>
      </c>
      <c r="AO123" s="50" t="str">
        <f aca="false">IF(OR($F123="",$L123&lt;&gt;"",$R123="Cancelada",$AT123&lt;&gt;""),"",$AN123&amp;"|"&amp;$D123&amp;"|"&amp;IF($C123="","zzz",$C123)&amp;"|"&amp;TEXT(123,"0000"))</f>
        <v/>
      </c>
      <c r="AP123" s="50" t="str">
        <f aca="false">IF($AO123="","",COUNTIF($AO$5:$AO$1004,"&lt;"&amp;$AO123)-(ROWS($AO$5:$AO$1004)-Hoje!$L$5)+1)</f>
        <v/>
      </c>
      <c r="AQ123" s="50" t="n">
        <f aca="false">IF(AND($F123&lt;&gt;"",$D123=Frota!$C$3),1,0)</f>
        <v>0</v>
      </c>
      <c r="AR123" s="50" t="str">
        <f aca="false">IF($AQ123=0,"",SUM($AQ$4:$AQ123))</f>
        <v/>
      </c>
      <c r="AS123" s="50" t="str">
        <f aca="false">IFERROR(INDEX(Hoje!$K$10:$K$29,MATCH(ROW(),Hoje!$J$10:$J$29,0)),"")</f>
        <v/>
      </c>
      <c r="AT123" s="50" t="str">
        <f aca="false">IF($Q123&lt;&gt;"",$Q123,$AS123)</f>
        <v/>
      </c>
    </row>
    <row r="124" customFormat="false" ht="16.5" hidden="false" customHeight="true" outlineLevel="0" collapsed="false">
      <c r="A124" s="39" t="n">
        <f aca="false">IF($F124="","",ROW())</f>
        <v>124</v>
      </c>
      <c r="B124" s="40" t="str">
        <f aca="false">IF($F124="",IF($D124="","","Falta a atividade"),IF($R124="Cancelada","Cancelada",IF($AB124=1,IF(N($Z124)&gt;0,"Concluída com atraso","Concluída"),IF($R124="Em programação","Em programação",IF($O124="",IF($M124="","Na carteira","Falta a semana"),IF($AC124=1,"VENCIDA",IF($O124&gt;Hoje!$L$1,"Programada",IF($P124&gt;Hoje!$L$1,"Em execução","Fecha hoje"))))))))</f>
        <v>Cancelada</v>
      </c>
      <c r="C124" s="41" t="s">
        <v>349</v>
      </c>
      <c r="D124" s="42" t="s">
        <v>281</v>
      </c>
      <c r="E124" s="42" t="s">
        <v>230</v>
      </c>
      <c r="F124" s="42" t="s">
        <v>350</v>
      </c>
      <c r="G124" s="43" t="s">
        <v>80</v>
      </c>
      <c r="H124" s="43" t="s">
        <v>100</v>
      </c>
      <c r="I124" s="44" t="s">
        <v>283</v>
      </c>
      <c r="J124" s="44"/>
      <c r="K124" s="44"/>
      <c r="L124" s="45" t="n">
        <v>37</v>
      </c>
      <c r="M124" s="46" t="s">
        <v>131</v>
      </c>
      <c r="N124" s="45" t="n">
        <v>3</v>
      </c>
      <c r="O124" s="47" t="n">
        <f aca="false">IF(OR($L124="",$M124=""),"",(DATE(Semana!$J$3,1,4)-WEEKDAY(DATE(Semana!$J$3,1,4),3))+($L124-1)*7+MATCH($M124,Listas!$F$5:$F$11,0)-1)</f>
        <v>46273</v>
      </c>
      <c r="P124" s="47" t="n">
        <f aca="false">IF(OR($F124="",$O124=""),"",$O124+MAX(0,ROUNDUP($AK124*MAX(1,IF($N124="",1,$N124))/MAX(1,$AL124),0)-1))</f>
        <v>46274</v>
      </c>
      <c r="Q124" s="48"/>
      <c r="R124" s="43" t="s">
        <v>191</v>
      </c>
      <c r="S124" s="49" t="n">
        <v>35</v>
      </c>
      <c r="T124" s="42" t="s">
        <v>109</v>
      </c>
      <c r="U124" s="42" t="s">
        <v>351</v>
      </c>
      <c r="V124" s="39" t="str">
        <f aca="false">IF($F124="","",IF(ISNUMBER(SEARCH("(externo)",$I124&amp;$J124&amp;$K124)),"Terceirizada","Interna"))</f>
        <v>Interna</v>
      </c>
      <c r="W124" s="47" t="n">
        <f aca="false">IF($O124="","",IF($S124="",$O124,(DATE(Semana!$J$3,1,4)-WEEKDAY(DATE(Semana!$J$3,1,4),3))+($S124-1)*7+IF($M124="",0,MATCH($M124,Listas!$F$5:$F$11,0)-1)))</f>
        <v>46259</v>
      </c>
      <c r="X124" s="39" t="n">
        <f aca="false">IF($F124="","",IF(OR($AT124="",$O124=""),0,IF($AT124&lt;=$O124,1,0)))</f>
        <v>0</v>
      </c>
      <c r="Y124" s="39" t="n">
        <f aca="false">IF($F124="","",IF(OR($AT124="",$W124=""),0,IF($AT124&lt;=$W124,1,0)))</f>
        <v>0</v>
      </c>
      <c r="Z124" s="39" t="str">
        <f aca="false">IF(OR($AT124="",$O124=""),"",MAX(0,$AT124-$O124))</f>
        <v/>
      </c>
      <c r="AA124" s="39" t="n">
        <f aca="false">IF($F124="","",IF(AND($S124&lt;&gt;"",$L124&lt;&gt;"",$S124&lt;&gt;$L124),1,0))</f>
        <v>1</v>
      </c>
      <c r="AB124" s="39" t="n">
        <f aca="false">IF($F124="","",IF($R124="Cancelada",0,IF(OR($AT124&lt;&gt;"",$R124="Concluída"),1,0)))</f>
        <v>0</v>
      </c>
      <c r="AC124" s="39" t="n">
        <f aca="false">IF($P124="",0,IF($P124&lt;Hoje!$L$1,1,IF(AND($P124=Hoje!$L$1,Hoje!$L$2&gt;Semana!$M$3),1,0)))</f>
        <v>0</v>
      </c>
      <c r="AD124" s="39" t="n">
        <f aca="false">IF($F124="","",IF(COUNTA($I124:$K124)=0,0,1/COUNTA($I124:$K124)))</f>
        <v>1</v>
      </c>
      <c r="AE124" s="39" t="str">
        <f aca="false">IF($AH124=0,"",SUM($AH$4:$AH124))</f>
        <v/>
      </c>
      <c r="AF124" s="39" t="str">
        <f aca="false">IF($AI124=0,"",SUM($AI$4:$AI124))</f>
        <v/>
      </c>
      <c r="AG124" s="50" t="str">
        <f aca="false">IF($F124="","",$I124&amp;IF($J124="",""," · "&amp;$J124)&amp;IF($K124="",""," · "&amp;$K124))</f>
        <v>Heliton</v>
      </c>
      <c r="AH124" s="39" t="n">
        <f aca="false">IF(AND($F124&lt;&gt;"",$O124&lt;&gt;"",$O124&lt;=Hoje!$C$3,$P124&gt;=Hoje!$C$3,$R124&lt;&gt;"Cancelada"),1,0)</f>
        <v>0</v>
      </c>
      <c r="AI124" s="39" t="n">
        <f aca="false">IF(AND($F124&lt;&gt;"",$P124&lt;&gt;"",$P124&lt;Hoje!$C$3,$AB124=0,$R124&lt;&gt;"Cancelada"),1,0)</f>
        <v>0</v>
      </c>
      <c r="AJ124" s="50" t="str">
        <f aca="false">IF($F124="","",$D124&amp;"|"&amp;$E124&amp;"|"&amp;$L124)</f>
        <v>F-815|Baixa de pendências backlog|37</v>
      </c>
      <c r="AK124" s="39" t="n">
        <f aca="false">IF($AJ124="","",COUNTIF($AJ$4:$AJ124,$AJ124))</f>
        <v>5</v>
      </c>
      <c r="AL124" s="39" t="n">
        <f aca="false">IF($AJ124="","",COUNTIF($AJ$4:$AJ$1004,$AJ124))</f>
        <v>8</v>
      </c>
      <c r="AM124" s="42"/>
      <c r="AN124" s="50" t="str">
        <f aca="false">IF($D124="","",IFERROR(T(VLOOKUP($D124,Listas!$B$5:$H$120,7,0)),""))</f>
        <v/>
      </c>
      <c r="AO124" s="50" t="str">
        <f aca="false">IF(OR($F124="",$L124&lt;&gt;"",$R124="Cancelada",$AT124&lt;&gt;""),"",$AN124&amp;"|"&amp;$D124&amp;"|"&amp;IF($C124="","zzz",$C124)&amp;"|"&amp;TEXT(124,"0000"))</f>
        <v/>
      </c>
      <c r="AP124" s="50" t="str">
        <f aca="false">IF($AO124="","",COUNTIF($AO$5:$AO$1004,"&lt;"&amp;$AO124)-(ROWS($AO$5:$AO$1004)-Hoje!$L$5)+1)</f>
        <v/>
      </c>
      <c r="AQ124" s="50" t="n">
        <f aca="false">IF(AND($F124&lt;&gt;"",$D124=Frota!$C$3),1,0)</f>
        <v>0</v>
      </c>
      <c r="AR124" s="50" t="str">
        <f aca="false">IF($AQ124=0,"",SUM($AQ$4:$AQ124))</f>
        <v/>
      </c>
      <c r="AS124" s="50" t="str">
        <f aca="false">IFERROR(INDEX(Hoje!$K$10:$K$29,MATCH(ROW(),Hoje!$J$10:$J$29,0)),"")</f>
        <v/>
      </c>
      <c r="AT124" s="50" t="str">
        <f aca="false">IF($Q124&lt;&gt;"",$Q124,$AS124)</f>
        <v/>
      </c>
    </row>
    <row r="125" customFormat="false" ht="16.5" hidden="false" customHeight="true" outlineLevel="0" collapsed="false">
      <c r="A125" s="39" t="n">
        <f aca="false">IF($F125="","",ROW())</f>
        <v>125</v>
      </c>
      <c r="B125" s="40" t="str">
        <f aca="false">IF($F125="",IF($D125="","","Falta a atividade"),IF($R125="Cancelada","Cancelada",IF($AB125=1,IF(N($Z125)&gt;0,"Concluída com atraso","Concluída"),IF($R125="Em programação","Em programação",IF($O125="",IF($M125="","Na carteira","Falta a semana"),IF($AC125=1,"VENCIDA",IF($O125&gt;Hoje!$L$1,"Programada",IF($P125&gt;Hoje!$L$1,"Em execução","Fecha hoje"))))))))</f>
        <v>Concluída com atraso</v>
      </c>
      <c r="C125" s="41" t="s">
        <v>352</v>
      </c>
      <c r="D125" s="42" t="s">
        <v>281</v>
      </c>
      <c r="E125" s="42" t="s">
        <v>230</v>
      </c>
      <c r="F125" s="42" t="s">
        <v>353</v>
      </c>
      <c r="G125" s="43" t="s">
        <v>80</v>
      </c>
      <c r="H125" s="43" t="s">
        <v>100</v>
      </c>
      <c r="I125" s="44" t="s">
        <v>283</v>
      </c>
      <c r="J125" s="44"/>
      <c r="K125" s="44"/>
      <c r="L125" s="45" t="n">
        <v>36</v>
      </c>
      <c r="M125" s="46" t="s">
        <v>108</v>
      </c>
      <c r="N125" s="45" t="n">
        <v>3</v>
      </c>
      <c r="O125" s="47" t="n">
        <f aca="false">IF(OR($L125="",$M125=""),"",(DATE(Semana!$J$3,1,4)-WEEKDAY(DATE(Semana!$J$3,1,4),3))+($L125-1)*7+MATCH($M125,Listas!$F$5:$F$11,0)-1)</f>
        <v>46265</v>
      </c>
      <c r="P125" s="47" t="n">
        <f aca="false">IF(OR($F125="",$O125=""),"",$O125+MAX(0,ROUNDUP($AK125*MAX(1,IF($N125="",1,$N125))/MAX(1,$AL125),0)-1))</f>
        <v>46267</v>
      </c>
      <c r="Q125" s="48" t="n">
        <v>46269</v>
      </c>
      <c r="R125" s="43" t="s">
        <v>85</v>
      </c>
      <c r="S125" s="49" t="n">
        <v>35</v>
      </c>
      <c r="T125" s="42"/>
      <c r="U125" s="42" t="s">
        <v>101</v>
      </c>
      <c r="V125" s="39" t="str">
        <f aca="false">IF($F125="","",IF(ISNUMBER(SEARCH("(externo)",$I125&amp;$J125&amp;$K125)),"Terceirizada","Interna"))</f>
        <v>Interna</v>
      </c>
      <c r="W125" s="47" t="n">
        <f aca="false">IF($O125="","",IF($S125="",$O125,(DATE(Semana!$J$3,1,4)-WEEKDAY(DATE(Semana!$J$3,1,4),3))+($S125-1)*7+IF($M125="",0,MATCH($M125,Listas!$F$5:$F$11,0)-1)))</f>
        <v>46258</v>
      </c>
      <c r="X125" s="39" t="n">
        <f aca="false">IF($F125="","",IF(OR($AT125="",$O125=""),0,IF($AT125&lt;=$O125,1,0)))</f>
        <v>0</v>
      </c>
      <c r="Y125" s="39" t="n">
        <f aca="false">IF($F125="","",IF(OR($AT125="",$W125=""),0,IF($AT125&lt;=$W125,1,0)))</f>
        <v>0</v>
      </c>
      <c r="Z125" s="39" t="n">
        <f aca="false">IF(OR($AT125="",$O125=""),"",MAX(0,$AT125-$O125))</f>
        <v>4</v>
      </c>
      <c r="AA125" s="39" t="n">
        <f aca="false">IF($F125="","",IF(AND($S125&lt;&gt;"",$L125&lt;&gt;"",$S125&lt;&gt;$L125),1,0))</f>
        <v>1</v>
      </c>
      <c r="AB125" s="39" t="n">
        <f aca="false">IF($F125="","",IF($R125="Cancelada",0,IF(OR($AT125&lt;&gt;"",$R125="Concluída"),1,0)))</f>
        <v>1</v>
      </c>
      <c r="AC125" s="39" t="n">
        <f aca="false">IF($P125="",0,IF($P125&lt;Hoje!$L$1,1,IF(AND($P125=Hoje!$L$1,Hoje!$L$2&gt;Semana!$M$3),1,0)))</f>
        <v>1</v>
      </c>
      <c r="AD125" s="39" t="n">
        <f aca="false">IF($F125="","",IF(COUNTA($I125:$K125)=0,0,1/COUNTA($I125:$K125)))</f>
        <v>1</v>
      </c>
      <c r="AE125" s="39" t="str">
        <f aca="false">IF($AH125=0,"",SUM($AH$4:$AH125))</f>
        <v/>
      </c>
      <c r="AF125" s="39" t="str">
        <f aca="false">IF($AI125=0,"",SUM($AI$4:$AI125))</f>
        <v/>
      </c>
      <c r="AG125" s="50" t="str">
        <f aca="false">IF($F125="","",$I125&amp;IF($J125="",""," · "&amp;$J125)&amp;IF($K125="",""," · "&amp;$K125))</f>
        <v>Heliton</v>
      </c>
      <c r="AH125" s="39" t="n">
        <f aca="false">IF(AND($F125&lt;&gt;"",$O125&lt;&gt;"",$O125&lt;=Hoje!$C$3,$P125&gt;=Hoje!$C$3,$R125&lt;&gt;"Cancelada"),1,0)</f>
        <v>0</v>
      </c>
      <c r="AI125" s="39" t="n">
        <f aca="false">IF(AND($F125&lt;&gt;"",$P125&lt;&gt;"",$P125&lt;Hoje!$C$3,$AB125=0,$R125&lt;&gt;"Cancelada"),1,0)</f>
        <v>0</v>
      </c>
      <c r="AJ125" s="50" t="str">
        <f aca="false">IF($F125="","",$D125&amp;"|"&amp;$E125&amp;"|"&amp;$L125)</f>
        <v>F-815|Baixa de pendências backlog|36</v>
      </c>
      <c r="AK125" s="39" t="n">
        <f aca="false">IF($AJ125="","",COUNTIF($AJ$4:$AJ125,$AJ125))</f>
        <v>23</v>
      </c>
      <c r="AL125" s="39" t="n">
        <f aca="false">IF($AJ125="","",COUNTIF($AJ$4:$AJ$1004,$AJ125))</f>
        <v>26</v>
      </c>
      <c r="AM125" s="42"/>
      <c r="AN125" s="50" t="str">
        <f aca="false">IF($D125="","",IFERROR(T(VLOOKUP($D125,Listas!$B$5:$H$120,7,0)),""))</f>
        <v/>
      </c>
      <c r="AO125" s="50" t="str">
        <f aca="false">IF(OR($F125="",$L125&lt;&gt;"",$R125="Cancelada",$AT125&lt;&gt;""),"",$AN125&amp;"|"&amp;$D125&amp;"|"&amp;IF($C125="","zzz",$C125)&amp;"|"&amp;TEXT(125,"0000"))</f>
        <v/>
      </c>
      <c r="AP125" s="50" t="str">
        <f aca="false">IF($AO125="","",COUNTIF($AO$5:$AO$1004,"&lt;"&amp;$AO125)-(ROWS($AO$5:$AO$1004)-Hoje!$L$5)+1)</f>
        <v/>
      </c>
      <c r="AQ125" s="50" t="n">
        <f aca="false">IF(AND($F125&lt;&gt;"",$D125=Frota!$C$3),1,0)</f>
        <v>0</v>
      </c>
      <c r="AR125" s="50" t="str">
        <f aca="false">IF($AQ125=0,"",SUM($AQ$4:$AQ125))</f>
        <v/>
      </c>
      <c r="AS125" s="50" t="str">
        <f aca="false">IFERROR(INDEX(Hoje!$K$10:$K$29,MATCH(ROW(),Hoje!$J$10:$J$29,0)),"")</f>
        <v/>
      </c>
      <c r="AT125" s="47" t="n">
        <f aca="false">IF($Q125&lt;&gt;"",$Q125,$AS125)</f>
        <v>46269</v>
      </c>
    </row>
    <row r="126" customFormat="false" ht="16.5" hidden="false" customHeight="true" outlineLevel="0" collapsed="false">
      <c r="A126" s="39" t="n">
        <f aca="false">IF($F126="","",ROW())</f>
        <v>126</v>
      </c>
      <c r="B126" s="40" t="str">
        <f aca="false">IF($F126="",IF($D126="","","Falta a atividade"),IF($R126="Cancelada","Cancelada",IF($AB126=1,IF(N($Z126)&gt;0,"Concluída com atraso","Concluída"),IF($R126="Em programação","Em programação",IF($O126="",IF($M126="","Na carteira","Falta a semana"),IF($AC126=1,"VENCIDA",IF($O126&gt;Hoje!$L$1,"Programada",IF($P126&gt;Hoje!$L$1,"Em execução","Fecha hoje"))))))))</f>
        <v>Concluída com atraso</v>
      </c>
      <c r="C126" s="41" t="s">
        <v>354</v>
      </c>
      <c r="D126" s="42" t="s">
        <v>281</v>
      </c>
      <c r="E126" s="42" t="s">
        <v>230</v>
      </c>
      <c r="F126" s="42" t="s">
        <v>355</v>
      </c>
      <c r="G126" s="43" t="s">
        <v>80</v>
      </c>
      <c r="H126" s="43" t="s">
        <v>100</v>
      </c>
      <c r="I126" s="44" t="s">
        <v>283</v>
      </c>
      <c r="J126" s="44"/>
      <c r="K126" s="44"/>
      <c r="L126" s="45" t="n">
        <v>36</v>
      </c>
      <c r="M126" s="46" t="s">
        <v>108</v>
      </c>
      <c r="N126" s="45" t="n">
        <v>3</v>
      </c>
      <c r="O126" s="47" t="n">
        <f aca="false">IF(OR($L126="",$M126=""),"",(DATE(Semana!$J$3,1,4)-WEEKDAY(DATE(Semana!$J$3,1,4),3))+($L126-1)*7+MATCH($M126,Listas!$F$5:$F$11,0)-1)</f>
        <v>46265</v>
      </c>
      <c r="P126" s="47" t="n">
        <f aca="false">IF(OR($F126="",$O126=""),"",$O126+MAX(0,ROUNDUP($AK126*MAX(1,IF($N126="",1,$N126))/MAX(1,$AL126),0)-1))</f>
        <v>46267</v>
      </c>
      <c r="Q126" s="48" t="n">
        <v>46269</v>
      </c>
      <c r="R126" s="43" t="s">
        <v>85</v>
      </c>
      <c r="S126" s="49" t="n">
        <v>35</v>
      </c>
      <c r="T126" s="42"/>
      <c r="U126" s="42" t="s">
        <v>101</v>
      </c>
      <c r="V126" s="39" t="str">
        <f aca="false">IF($F126="","",IF(ISNUMBER(SEARCH("(externo)",$I126&amp;$J126&amp;$K126)),"Terceirizada","Interna"))</f>
        <v>Interna</v>
      </c>
      <c r="W126" s="47" t="n">
        <f aca="false">IF($O126="","",IF($S126="",$O126,(DATE(Semana!$J$3,1,4)-WEEKDAY(DATE(Semana!$J$3,1,4),3))+($S126-1)*7+IF($M126="",0,MATCH($M126,Listas!$F$5:$F$11,0)-1)))</f>
        <v>46258</v>
      </c>
      <c r="X126" s="39" t="n">
        <f aca="false">IF($F126="","",IF(OR($AT126="",$O126=""),0,IF($AT126&lt;=$O126,1,0)))</f>
        <v>0</v>
      </c>
      <c r="Y126" s="39" t="n">
        <f aca="false">IF($F126="","",IF(OR($AT126="",$W126=""),0,IF($AT126&lt;=$W126,1,0)))</f>
        <v>0</v>
      </c>
      <c r="Z126" s="39" t="n">
        <f aca="false">IF(OR($AT126="",$O126=""),"",MAX(0,$AT126-$O126))</f>
        <v>4</v>
      </c>
      <c r="AA126" s="39" t="n">
        <f aca="false">IF($F126="","",IF(AND($S126&lt;&gt;"",$L126&lt;&gt;"",$S126&lt;&gt;$L126),1,0))</f>
        <v>1</v>
      </c>
      <c r="AB126" s="39" t="n">
        <f aca="false">IF($F126="","",IF($R126="Cancelada",0,IF(OR($AT126&lt;&gt;"",$R126="Concluída"),1,0)))</f>
        <v>1</v>
      </c>
      <c r="AC126" s="39" t="n">
        <f aca="false">IF($P126="",0,IF($P126&lt;Hoje!$L$1,1,IF(AND($P126=Hoje!$L$1,Hoje!$L$2&gt;Semana!$M$3),1,0)))</f>
        <v>1</v>
      </c>
      <c r="AD126" s="39" t="n">
        <f aca="false">IF($F126="","",IF(COUNTA($I126:$K126)=0,0,1/COUNTA($I126:$K126)))</f>
        <v>1</v>
      </c>
      <c r="AE126" s="39" t="str">
        <f aca="false">IF($AH126=0,"",SUM($AH$4:$AH126))</f>
        <v/>
      </c>
      <c r="AF126" s="39" t="str">
        <f aca="false">IF($AI126=0,"",SUM($AI$4:$AI126))</f>
        <v/>
      </c>
      <c r="AG126" s="50" t="str">
        <f aca="false">IF($F126="","",$I126&amp;IF($J126="",""," · "&amp;$J126)&amp;IF($K126="",""," · "&amp;$K126))</f>
        <v>Heliton</v>
      </c>
      <c r="AH126" s="39" t="n">
        <f aca="false">IF(AND($F126&lt;&gt;"",$O126&lt;&gt;"",$O126&lt;=Hoje!$C$3,$P126&gt;=Hoje!$C$3,$R126&lt;&gt;"Cancelada"),1,0)</f>
        <v>0</v>
      </c>
      <c r="AI126" s="39" t="n">
        <f aca="false">IF(AND($F126&lt;&gt;"",$P126&lt;&gt;"",$P126&lt;Hoje!$C$3,$AB126=0,$R126&lt;&gt;"Cancelada"),1,0)</f>
        <v>0</v>
      </c>
      <c r="AJ126" s="50" t="str">
        <f aca="false">IF($F126="","",$D126&amp;"|"&amp;$E126&amp;"|"&amp;$L126)</f>
        <v>F-815|Baixa de pendências backlog|36</v>
      </c>
      <c r="AK126" s="39" t="n">
        <f aca="false">IF($AJ126="","",COUNTIF($AJ$4:$AJ126,$AJ126))</f>
        <v>24</v>
      </c>
      <c r="AL126" s="39" t="n">
        <f aca="false">IF($AJ126="","",COUNTIF($AJ$4:$AJ$1004,$AJ126))</f>
        <v>26</v>
      </c>
      <c r="AM126" s="42"/>
      <c r="AN126" s="50" t="str">
        <f aca="false">IF($D126="","",IFERROR(T(VLOOKUP($D126,Listas!$B$5:$H$120,7,0)),""))</f>
        <v/>
      </c>
      <c r="AO126" s="50" t="str">
        <f aca="false">IF(OR($F126="",$L126&lt;&gt;"",$R126="Cancelada",$AT126&lt;&gt;""),"",$AN126&amp;"|"&amp;$D126&amp;"|"&amp;IF($C126="","zzz",$C126)&amp;"|"&amp;TEXT(126,"0000"))</f>
        <v/>
      </c>
      <c r="AP126" s="50" t="str">
        <f aca="false">IF($AO126="","",COUNTIF($AO$5:$AO$1004,"&lt;"&amp;$AO126)-(ROWS($AO$5:$AO$1004)-Hoje!$L$5)+1)</f>
        <v/>
      </c>
      <c r="AQ126" s="50" t="n">
        <f aca="false">IF(AND($F126&lt;&gt;"",$D126=Frota!$C$3),1,0)</f>
        <v>0</v>
      </c>
      <c r="AR126" s="50" t="str">
        <f aca="false">IF($AQ126=0,"",SUM($AQ$4:$AQ126))</f>
        <v/>
      </c>
      <c r="AS126" s="50" t="str">
        <f aca="false">IFERROR(INDEX(Hoje!$K$10:$K$29,MATCH(ROW(),Hoje!$J$10:$J$29,0)),"")</f>
        <v/>
      </c>
      <c r="AT126" s="47" t="n">
        <f aca="false">IF($Q126&lt;&gt;"",$Q126,$AS126)</f>
        <v>46269</v>
      </c>
    </row>
    <row r="127" customFormat="false" ht="16.5" hidden="false" customHeight="true" outlineLevel="0" collapsed="false">
      <c r="A127" s="39" t="n">
        <f aca="false">IF($F127="","",ROW())</f>
        <v>127</v>
      </c>
      <c r="B127" s="40" t="str">
        <f aca="false">IF($F127="",IF($D127="","","Falta a atividade"),IF($R127="Cancelada","Cancelada",IF($AB127=1,IF(N($Z127)&gt;0,"Concluída com atraso","Concluída"),IF($R127="Em programação","Em programação",IF($O127="",IF($M127="","Na carteira","Falta a semana"),IF($AC127=1,"VENCIDA",IF($O127&gt;Hoje!$L$1,"Programada",IF($P127&gt;Hoje!$L$1,"Em execução","Fecha hoje"))))))))</f>
        <v>Em execução</v>
      </c>
      <c r="C127" s="41" t="s">
        <v>356</v>
      </c>
      <c r="D127" s="42" t="s">
        <v>281</v>
      </c>
      <c r="E127" s="42" t="s">
        <v>230</v>
      </c>
      <c r="F127" s="42" t="s">
        <v>357</v>
      </c>
      <c r="G127" s="43" t="s">
        <v>80</v>
      </c>
      <c r="H127" s="43" t="s">
        <v>100</v>
      </c>
      <c r="I127" s="44" t="s">
        <v>182</v>
      </c>
      <c r="J127" s="44"/>
      <c r="K127" s="44"/>
      <c r="L127" s="45" t="n">
        <v>37</v>
      </c>
      <c r="M127" s="46" t="s">
        <v>131</v>
      </c>
      <c r="N127" s="45" t="n">
        <v>3</v>
      </c>
      <c r="O127" s="47" t="n">
        <f aca="false">IF(OR($L127="",$M127=""),"",(DATE(Semana!$J$3,1,4)-WEEKDAY(DATE(Semana!$J$3,1,4),3))+($L127-1)*7+MATCH($M127,Listas!$F$5:$F$11,0)-1)</f>
        <v>46273</v>
      </c>
      <c r="P127" s="47" t="n">
        <f aca="false">IF(OR($F127="",$O127=""),"",$O127+MAX(0,ROUNDUP($AK127*MAX(1,IF($N127="",1,$N127))/MAX(1,$AL127),0)-1))</f>
        <v>46275</v>
      </c>
      <c r="Q127" s="48"/>
      <c r="R127" s="43"/>
      <c r="S127" s="49" t="n">
        <v>35</v>
      </c>
      <c r="T127" s="42"/>
      <c r="U127" s="42" t="s">
        <v>101</v>
      </c>
      <c r="V127" s="39" t="str">
        <f aca="false">IF($F127="","",IF(ISNUMBER(SEARCH("(externo)",$I127&amp;$J127&amp;$K127)),"Terceirizada","Interna"))</f>
        <v>Interna</v>
      </c>
      <c r="W127" s="47" t="n">
        <f aca="false">IF($O127="","",IF($S127="",$O127,(DATE(Semana!$J$3,1,4)-WEEKDAY(DATE(Semana!$J$3,1,4),3))+($S127-1)*7+IF($M127="",0,MATCH($M127,Listas!$F$5:$F$11,0)-1)))</f>
        <v>46259</v>
      </c>
      <c r="X127" s="39" t="n">
        <f aca="false">IF($F127="","",IF(OR($AT127="",$O127=""),0,IF($AT127&lt;=$O127,1,0)))</f>
        <v>0</v>
      </c>
      <c r="Y127" s="39" t="n">
        <f aca="false">IF($F127="","",IF(OR($AT127="",$W127=""),0,IF($AT127&lt;=$W127,1,0)))</f>
        <v>0</v>
      </c>
      <c r="Z127" s="39" t="str">
        <f aca="false">IF(OR($AT127="",$O127=""),"",MAX(0,$AT127-$O127))</f>
        <v/>
      </c>
      <c r="AA127" s="39" t="n">
        <f aca="false">IF($F127="","",IF(AND($S127&lt;&gt;"",$L127&lt;&gt;"",$S127&lt;&gt;$L127),1,0))</f>
        <v>1</v>
      </c>
      <c r="AB127" s="39" t="n">
        <f aca="false">IF($F127="","",IF($R127="Cancelada",0,IF(OR($AT127&lt;&gt;"",$R127="Concluída"),1,0)))</f>
        <v>0</v>
      </c>
      <c r="AC127" s="39" t="n">
        <f aca="false">IF($P127="",0,IF($P127&lt;Hoje!$L$1,1,IF(AND($P127=Hoje!$L$1,Hoje!$L$2&gt;Semana!$M$3),1,0)))</f>
        <v>0</v>
      </c>
      <c r="AD127" s="39" t="n">
        <f aca="false">IF($F127="","",IF(COUNTA($I127:$K127)=0,0,1/COUNTA($I127:$K127)))</f>
        <v>1</v>
      </c>
      <c r="AE127" s="39" t="n">
        <f aca="false">IF($AH127=0,"",SUM($AH$4:$AH127))</f>
        <v>2</v>
      </c>
      <c r="AF127" s="39" t="str">
        <f aca="false">IF($AI127=0,"",SUM($AI$4:$AI127))</f>
        <v/>
      </c>
      <c r="AG127" s="50" t="str">
        <f aca="false">IF($F127="","",$I127&amp;IF($J127="",""," · "&amp;$J127)&amp;IF($K127="",""," · "&amp;$K127))</f>
        <v>Alexandre</v>
      </c>
      <c r="AH127" s="39" t="n">
        <f aca="false">IF(AND($F127&lt;&gt;"",$O127&lt;&gt;"",$O127&lt;=Hoje!$C$3,$P127&gt;=Hoje!$C$3,$R127&lt;&gt;"Cancelada"),1,0)</f>
        <v>1</v>
      </c>
      <c r="AI127" s="39" t="n">
        <f aca="false">IF(AND($F127&lt;&gt;"",$P127&lt;&gt;"",$P127&lt;Hoje!$C$3,$AB127=0,$R127&lt;&gt;"Cancelada"),1,0)</f>
        <v>0</v>
      </c>
      <c r="AJ127" s="50" t="str">
        <f aca="false">IF($F127="","",$D127&amp;"|"&amp;$E127&amp;"|"&amp;$L127)</f>
        <v>F-815|Baixa de pendências backlog|37</v>
      </c>
      <c r="AK127" s="39" t="n">
        <f aca="false">IF($AJ127="","",COUNTIF($AJ$4:$AJ127,$AJ127))</f>
        <v>6</v>
      </c>
      <c r="AL127" s="39" t="n">
        <f aca="false">IF($AJ127="","",COUNTIF($AJ$4:$AJ$1004,$AJ127))</f>
        <v>8</v>
      </c>
      <c r="AM127" s="42"/>
      <c r="AN127" s="50" t="str">
        <f aca="false">IF($D127="","",IFERROR(T(VLOOKUP($D127,Listas!$B$5:$H$120,7,0)),""))</f>
        <v/>
      </c>
      <c r="AO127" s="50" t="str">
        <f aca="false">IF(OR($F127="",$L127&lt;&gt;"",$R127="Cancelada",$AT127&lt;&gt;""),"",$AN127&amp;"|"&amp;$D127&amp;"|"&amp;IF($C127="","zzz",$C127)&amp;"|"&amp;TEXT(127,"0000"))</f>
        <v/>
      </c>
      <c r="AP127" s="50" t="str">
        <f aca="false">IF($AO127="","",COUNTIF($AO$5:$AO$1004,"&lt;"&amp;$AO127)-(ROWS($AO$5:$AO$1004)-Hoje!$L$5)+1)</f>
        <v/>
      </c>
      <c r="AQ127" s="50" t="n">
        <f aca="false">IF(AND($F127&lt;&gt;"",$D127=Frota!$C$3),1,0)</f>
        <v>0</v>
      </c>
      <c r="AR127" s="50" t="str">
        <f aca="false">IF($AQ127=0,"",SUM($AQ$4:$AQ127))</f>
        <v/>
      </c>
      <c r="AS127" s="50" t="str">
        <f aca="false">IFERROR(INDEX(Hoje!$K$10:$K$29,MATCH(ROW(),Hoje!$J$10:$J$29,0)),"")</f>
        <v/>
      </c>
      <c r="AT127" s="50" t="str">
        <f aca="false">IF($Q127&lt;&gt;"",$Q127,$AS127)</f>
        <v/>
      </c>
    </row>
    <row r="128" customFormat="false" ht="16.5" hidden="false" customHeight="true" outlineLevel="0" collapsed="false">
      <c r="A128" s="39" t="n">
        <f aca="false">IF($F128="","",ROW())</f>
        <v>128</v>
      </c>
      <c r="B128" s="40" t="str">
        <f aca="false">IF($F128="",IF($D128="","","Falta a atividade"),IF($R128="Cancelada","Cancelada",IF($AB128=1,IF(N($Z128)&gt;0,"Concluída com atraso","Concluída"),IF($R128="Em programação","Em programação",IF($O128="",IF($M128="","Na carteira","Falta a semana"),IF($AC128=1,"VENCIDA",IF($O128&gt;Hoje!$L$1,"Programada",IF($P128&gt;Hoje!$L$1,"Em execução","Fecha hoje"))))))))</f>
        <v>Em execução</v>
      </c>
      <c r="C128" s="41" t="s">
        <v>358</v>
      </c>
      <c r="D128" s="42" t="s">
        <v>281</v>
      </c>
      <c r="E128" s="42" t="s">
        <v>230</v>
      </c>
      <c r="F128" s="42" t="s">
        <v>359</v>
      </c>
      <c r="G128" s="43" t="s">
        <v>80</v>
      </c>
      <c r="H128" s="43" t="s">
        <v>100</v>
      </c>
      <c r="I128" s="44" t="s">
        <v>182</v>
      </c>
      <c r="J128" s="44"/>
      <c r="K128" s="44"/>
      <c r="L128" s="45" t="n">
        <v>37</v>
      </c>
      <c r="M128" s="46" t="s">
        <v>131</v>
      </c>
      <c r="N128" s="45" t="n">
        <v>3</v>
      </c>
      <c r="O128" s="47" t="n">
        <f aca="false">IF(OR($L128="",$M128=""),"",(DATE(Semana!$J$3,1,4)-WEEKDAY(DATE(Semana!$J$3,1,4),3))+($L128-1)*7+MATCH($M128,Listas!$F$5:$F$11,0)-1)</f>
        <v>46273</v>
      </c>
      <c r="P128" s="47" t="n">
        <f aca="false">IF(OR($F128="",$O128=""),"",$O128+MAX(0,ROUNDUP($AK128*MAX(1,IF($N128="",1,$N128))/MAX(1,$AL128),0)-1))</f>
        <v>46275</v>
      </c>
      <c r="Q128" s="48"/>
      <c r="R128" s="43"/>
      <c r="S128" s="49" t="n">
        <v>35</v>
      </c>
      <c r="T128" s="42"/>
      <c r="U128" s="42" t="s">
        <v>101</v>
      </c>
      <c r="V128" s="39" t="str">
        <f aca="false">IF($F128="","",IF(ISNUMBER(SEARCH("(externo)",$I128&amp;$J128&amp;$K128)),"Terceirizada","Interna"))</f>
        <v>Interna</v>
      </c>
      <c r="W128" s="47" t="n">
        <f aca="false">IF($O128="","",IF($S128="",$O128,(DATE(Semana!$J$3,1,4)-WEEKDAY(DATE(Semana!$J$3,1,4),3))+($S128-1)*7+IF($M128="",0,MATCH($M128,Listas!$F$5:$F$11,0)-1)))</f>
        <v>46259</v>
      </c>
      <c r="X128" s="39" t="n">
        <f aca="false">IF($F128="","",IF(OR($AT128="",$O128=""),0,IF($AT128&lt;=$O128,1,0)))</f>
        <v>0</v>
      </c>
      <c r="Y128" s="39" t="n">
        <f aca="false">IF($F128="","",IF(OR($AT128="",$W128=""),0,IF($AT128&lt;=$W128,1,0)))</f>
        <v>0</v>
      </c>
      <c r="Z128" s="39" t="str">
        <f aca="false">IF(OR($AT128="",$O128=""),"",MAX(0,$AT128-$O128))</f>
        <v/>
      </c>
      <c r="AA128" s="39" t="n">
        <f aca="false">IF($F128="","",IF(AND($S128&lt;&gt;"",$L128&lt;&gt;"",$S128&lt;&gt;$L128),1,0))</f>
        <v>1</v>
      </c>
      <c r="AB128" s="39" t="n">
        <f aca="false">IF($F128="","",IF($R128="Cancelada",0,IF(OR($AT128&lt;&gt;"",$R128="Concluída"),1,0)))</f>
        <v>0</v>
      </c>
      <c r="AC128" s="39" t="n">
        <f aca="false">IF($P128="",0,IF($P128&lt;Hoje!$L$1,1,IF(AND($P128=Hoje!$L$1,Hoje!$L$2&gt;Semana!$M$3),1,0)))</f>
        <v>0</v>
      </c>
      <c r="AD128" s="39" t="n">
        <f aca="false">IF($F128="","",IF(COUNTA($I128:$K128)=0,0,1/COUNTA($I128:$K128)))</f>
        <v>1</v>
      </c>
      <c r="AE128" s="39" t="n">
        <f aca="false">IF($AH128=0,"",SUM($AH$4:$AH128))</f>
        <v>3</v>
      </c>
      <c r="AF128" s="39" t="str">
        <f aca="false">IF($AI128=0,"",SUM($AI$4:$AI128))</f>
        <v/>
      </c>
      <c r="AG128" s="50" t="str">
        <f aca="false">IF($F128="","",$I128&amp;IF($J128="",""," · "&amp;$J128)&amp;IF($K128="",""," · "&amp;$K128))</f>
        <v>Alexandre</v>
      </c>
      <c r="AH128" s="39" t="n">
        <f aca="false">IF(AND($F128&lt;&gt;"",$O128&lt;&gt;"",$O128&lt;=Hoje!$C$3,$P128&gt;=Hoje!$C$3,$R128&lt;&gt;"Cancelada"),1,0)</f>
        <v>1</v>
      </c>
      <c r="AI128" s="39" t="n">
        <f aca="false">IF(AND($F128&lt;&gt;"",$P128&lt;&gt;"",$P128&lt;Hoje!$C$3,$AB128=0,$R128&lt;&gt;"Cancelada"),1,0)</f>
        <v>0</v>
      </c>
      <c r="AJ128" s="50" t="str">
        <f aca="false">IF($F128="","",$D128&amp;"|"&amp;$E128&amp;"|"&amp;$L128)</f>
        <v>F-815|Baixa de pendências backlog|37</v>
      </c>
      <c r="AK128" s="39" t="n">
        <f aca="false">IF($AJ128="","",COUNTIF($AJ$4:$AJ128,$AJ128))</f>
        <v>7</v>
      </c>
      <c r="AL128" s="39" t="n">
        <f aca="false">IF($AJ128="","",COUNTIF($AJ$4:$AJ$1004,$AJ128))</f>
        <v>8</v>
      </c>
      <c r="AM128" s="42"/>
      <c r="AN128" s="50" t="str">
        <f aca="false">IF($D128="","",IFERROR(T(VLOOKUP($D128,Listas!$B$5:$H$120,7,0)),""))</f>
        <v/>
      </c>
      <c r="AO128" s="50" t="str">
        <f aca="false">IF(OR($F128="",$L128&lt;&gt;"",$R128="Cancelada",$AT128&lt;&gt;""),"",$AN128&amp;"|"&amp;$D128&amp;"|"&amp;IF($C128="","zzz",$C128)&amp;"|"&amp;TEXT(128,"0000"))</f>
        <v/>
      </c>
      <c r="AP128" s="50" t="str">
        <f aca="false">IF($AO128="","",COUNTIF($AO$5:$AO$1004,"&lt;"&amp;$AO128)-(ROWS($AO$5:$AO$1004)-Hoje!$L$5)+1)</f>
        <v/>
      </c>
      <c r="AQ128" s="50" t="n">
        <f aca="false">IF(AND($F128&lt;&gt;"",$D128=Frota!$C$3),1,0)</f>
        <v>0</v>
      </c>
      <c r="AR128" s="50" t="str">
        <f aca="false">IF($AQ128=0,"",SUM($AQ$4:$AQ128))</f>
        <v/>
      </c>
      <c r="AS128" s="50" t="str">
        <f aca="false">IFERROR(INDEX(Hoje!$K$10:$K$29,MATCH(ROW(),Hoje!$J$10:$J$29,0)),"")</f>
        <v/>
      </c>
      <c r="AT128" s="50" t="str">
        <f aca="false">IF($Q128&lt;&gt;"",$Q128,$AS128)</f>
        <v/>
      </c>
    </row>
    <row r="129" customFormat="false" ht="16.5" hidden="false" customHeight="true" outlineLevel="0" collapsed="false">
      <c r="A129" s="39" t="n">
        <f aca="false">IF($F129="","",ROW())</f>
        <v>129</v>
      </c>
      <c r="B129" s="40" t="str">
        <f aca="false">IF($F129="",IF($D129="","","Falta a atividade"),IF($R129="Cancelada","Cancelada",IF($AB129=1,IF(N($Z129)&gt;0,"Concluída com atraso","Concluída"),IF($R129="Em programação","Em programação",IF($O129="",IF($M129="","Na carteira","Falta a semana"),IF($AC129=1,"VENCIDA",IF($O129&gt;Hoje!$L$1,"Programada",IF($P129&gt;Hoje!$L$1,"Em execução","Fecha hoje"))))))))</f>
        <v>Concluída com atraso</v>
      </c>
      <c r="C129" s="41" t="s">
        <v>360</v>
      </c>
      <c r="D129" s="42" t="s">
        <v>281</v>
      </c>
      <c r="E129" s="42" t="s">
        <v>230</v>
      </c>
      <c r="F129" s="42" t="s">
        <v>361</v>
      </c>
      <c r="G129" s="43" t="s">
        <v>80</v>
      </c>
      <c r="H129" s="43" t="s">
        <v>100</v>
      </c>
      <c r="I129" s="44" t="s">
        <v>283</v>
      </c>
      <c r="J129" s="44"/>
      <c r="K129" s="44"/>
      <c r="L129" s="45" t="n">
        <v>36</v>
      </c>
      <c r="M129" s="46" t="s">
        <v>108</v>
      </c>
      <c r="N129" s="45" t="n">
        <v>3</v>
      </c>
      <c r="O129" s="47" t="n">
        <f aca="false">IF(OR($L129="",$M129=""),"",(DATE(Semana!$J$3,1,4)-WEEKDAY(DATE(Semana!$J$3,1,4),3))+($L129-1)*7+MATCH($M129,Listas!$F$5:$F$11,0)-1)</f>
        <v>46265</v>
      </c>
      <c r="P129" s="47" t="n">
        <f aca="false">IF(OR($F129="",$O129=""),"",$O129+MAX(0,ROUNDUP($AK129*MAX(1,IF($N129="",1,$N129))/MAX(1,$AL129),0)-1))</f>
        <v>46267</v>
      </c>
      <c r="Q129" s="48" t="n">
        <v>46268</v>
      </c>
      <c r="R129" s="43" t="s">
        <v>85</v>
      </c>
      <c r="S129" s="49" t="n">
        <v>35</v>
      </c>
      <c r="T129" s="42"/>
      <c r="U129" s="42" t="s">
        <v>362</v>
      </c>
      <c r="V129" s="39" t="str">
        <f aca="false">IF($F129="","",IF(ISNUMBER(SEARCH("(externo)",$I129&amp;$J129&amp;$K129)),"Terceirizada","Interna"))</f>
        <v>Interna</v>
      </c>
      <c r="W129" s="47" t="n">
        <f aca="false">IF($O129="","",IF($S129="",$O129,(DATE(Semana!$J$3,1,4)-WEEKDAY(DATE(Semana!$J$3,1,4),3))+($S129-1)*7+IF($M129="",0,MATCH($M129,Listas!$F$5:$F$11,0)-1)))</f>
        <v>46258</v>
      </c>
      <c r="X129" s="39" t="n">
        <f aca="false">IF($F129="","",IF(OR($AT129="",$O129=""),0,IF($AT129&lt;=$O129,1,0)))</f>
        <v>0</v>
      </c>
      <c r="Y129" s="39" t="n">
        <f aca="false">IF($F129="","",IF(OR($AT129="",$W129=""),0,IF($AT129&lt;=$W129,1,0)))</f>
        <v>0</v>
      </c>
      <c r="Z129" s="39" t="n">
        <f aca="false">IF(OR($AT129="",$O129=""),"",MAX(0,$AT129-$O129))</f>
        <v>3</v>
      </c>
      <c r="AA129" s="39" t="n">
        <f aca="false">IF($F129="","",IF(AND($S129&lt;&gt;"",$L129&lt;&gt;"",$S129&lt;&gt;$L129),1,0))</f>
        <v>1</v>
      </c>
      <c r="AB129" s="39" t="n">
        <f aca="false">IF($F129="","",IF($R129="Cancelada",0,IF(OR($AT129&lt;&gt;"",$R129="Concluída"),1,0)))</f>
        <v>1</v>
      </c>
      <c r="AC129" s="39" t="n">
        <f aca="false">IF($P129="",0,IF($P129&lt;Hoje!$L$1,1,IF(AND($P129=Hoje!$L$1,Hoje!$L$2&gt;Semana!$M$3),1,0)))</f>
        <v>1</v>
      </c>
      <c r="AD129" s="39" t="n">
        <f aca="false">IF($F129="","",IF(COUNTA($I129:$K129)=0,0,1/COUNTA($I129:$K129)))</f>
        <v>1</v>
      </c>
      <c r="AE129" s="39" t="str">
        <f aca="false">IF($AH129=0,"",SUM($AH$4:$AH129))</f>
        <v/>
      </c>
      <c r="AF129" s="39" t="str">
        <f aca="false">IF($AI129=0,"",SUM($AI$4:$AI129))</f>
        <v/>
      </c>
      <c r="AG129" s="50" t="str">
        <f aca="false">IF($F129="","",$I129&amp;IF($J129="",""," · "&amp;$J129)&amp;IF($K129="",""," · "&amp;$K129))</f>
        <v>Heliton</v>
      </c>
      <c r="AH129" s="39" t="n">
        <f aca="false">IF(AND($F129&lt;&gt;"",$O129&lt;&gt;"",$O129&lt;=Hoje!$C$3,$P129&gt;=Hoje!$C$3,$R129&lt;&gt;"Cancelada"),1,0)</f>
        <v>0</v>
      </c>
      <c r="AI129" s="39" t="n">
        <f aca="false">IF(AND($F129&lt;&gt;"",$P129&lt;&gt;"",$P129&lt;Hoje!$C$3,$AB129=0,$R129&lt;&gt;"Cancelada"),1,0)</f>
        <v>0</v>
      </c>
      <c r="AJ129" s="50" t="str">
        <f aca="false">IF($F129="","",$D129&amp;"|"&amp;$E129&amp;"|"&amp;$L129)</f>
        <v>F-815|Baixa de pendências backlog|36</v>
      </c>
      <c r="AK129" s="39" t="n">
        <f aca="false">IF($AJ129="","",COUNTIF($AJ$4:$AJ129,$AJ129))</f>
        <v>25</v>
      </c>
      <c r="AL129" s="39" t="n">
        <f aca="false">IF($AJ129="","",COUNTIF($AJ$4:$AJ$1004,$AJ129))</f>
        <v>26</v>
      </c>
      <c r="AM129" s="42"/>
      <c r="AN129" s="50" t="str">
        <f aca="false">IF($D129="","",IFERROR(T(VLOOKUP($D129,Listas!$B$5:$H$120,7,0)),""))</f>
        <v/>
      </c>
      <c r="AO129" s="50" t="str">
        <f aca="false">IF(OR($F129="",$L129&lt;&gt;"",$R129="Cancelada",$AT129&lt;&gt;""),"",$AN129&amp;"|"&amp;$D129&amp;"|"&amp;IF($C129="","zzz",$C129)&amp;"|"&amp;TEXT(129,"0000"))</f>
        <v/>
      </c>
      <c r="AP129" s="50" t="str">
        <f aca="false">IF($AO129="","",COUNTIF($AO$5:$AO$1004,"&lt;"&amp;$AO129)-(ROWS($AO$5:$AO$1004)-Hoje!$L$5)+1)</f>
        <v/>
      </c>
      <c r="AQ129" s="50" t="n">
        <f aca="false">IF(AND($F129&lt;&gt;"",$D129=Frota!$C$3),1,0)</f>
        <v>0</v>
      </c>
      <c r="AR129" s="50" t="str">
        <f aca="false">IF($AQ129=0,"",SUM($AQ$4:$AQ129))</f>
        <v/>
      </c>
      <c r="AS129" s="50" t="str">
        <f aca="false">IFERROR(INDEX(Hoje!$K$10:$K$29,MATCH(ROW(),Hoje!$J$10:$J$29,0)),"")</f>
        <v/>
      </c>
      <c r="AT129" s="47" t="n">
        <f aca="false">IF($Q129&lt;&gt;"",$Q129,$AS129)</f>
        <v>46268</v>
      </c>
    </row>
    <row r="130" customFormat="false" ht="16.5" hidden="false" customHeight="true" outlineLevel="0" collapsed="false">
      <c r="A130" s="39" t="n">
        <f aca="false">IF($F130="","",ROW())</f>
        <v>130</v>
      </c>
      <c r="B130" s="40" t="str">
        <f aca="false">IF($F130="",IF($D130="","","Falta a atividade"),IF($R130="Cancelada","Cancelada",IF($AB130=1,IF(N($Z130)&gt;0,"Concluída com atraso","Concluída"),IF($R130="Em programação","Em programação",IF($O130="",IF($M130="","Na carteira","Falta a semana"),IF($AC130=1,"VENCIDA",IF($O130&gt;Hoje!$L$1,"Programada",IF($P130&gt;Hoje!$L$1,"Em execução","Fecha hoje"))))))))</f>
        <v>Em execução</v>
      </c>
      <c r="C130" s="41"/>
      <c r="D130" s="42" t="s">
        <v>281</v>
      </c>
      <c r="E130" s="42" t="s">
        <v>230</v>
      </c>
      <c r="F130" s="42" t="s">
        <v>363</v>
      </c>
      <c r="G130" s="43" t="s">
        <v>80</v>
      </c>
      <c r="H130" s="43" t="s">
        <v>100</v>
      </c>
      <c r="I130" s="44" t="s">
        <v>364</v>
      </c>
      <c r="J130" s="44"/>
      <c r="K130" s="44"/>
      <c r="L130" s="45" t="n">
        <v>37</v>
      </c>
      <c r="M130" s="46" t="s">
        <v>84</v>
      </c>
      <c r="N130" s="45" t="n">
        <v>3</v>
      </c>
      <c r="O130" s="47" t="n">
        <f aca="false">IF(OR($L130="",$M130=""),"",(DATE(Semana!$J$3,1,4)-WEEKDAY(DATE(Semana!$J$3,1,4),3))+($L130-1)*7+MATCH($M130,Listas!$F$5:$F$11,0)-1)</f>
        <v>46274</v>
      </c>
      <c r="P130" s="47" t="n">
        <f aca="false">IF(OR($F130="",$O130=""),"",$O130+MAX(0,ROUNDUP($AK130*MAX(1,IF($N130="",1,$N130))/MAX(1,$AL130),0)-1))</f>
        <v>46276</v>
      </c>
      <c r="Q130" s="48"/>
      <c r="R130" s="43"/>
      <c r="S130" s="49" t="n">
        <v>35</v>
      </c>
      <c r="T130" s="42" t="s">
        <v>293</v>
      </c>
      <c r="U130" s="42"/>
      <c r="V130" s="39" t="str">
        <f aca="false">IF($F130="","",IF(ISNUMBER(SEARCH("(externo)",$I130&amp;$J130&amp;$K130)),"Terceirizada","Interna"))</f>
        <v>Interna</v>
      </c>
      <c r="W130" s="47" t="n">
        <f aca="false">IF($O130="","",IF($S130="",$O130,(DATE(Semana!$J$3,1,4)-WEEKDAY(DATE(Semana!$J$3,1,4),3))+($S130-1)*7+IF($M130="",0,MATCH($M130,Listas!$F$5:$F$11,0)-1)))</f>
        <v>46260</v>
      </c>
      <c r="X130" s="39" t="n">
        <f aca="false">IF($F130="","",IF(OR($AT130="",$O130=""),0,IF($AT130&lt;=$O130,1,0)))</f>
        <v>0</v>
      </c>
      <c r="Y130" s="39" t="n">
        <f aca="false">IF($F130="","",IF(OR($AT130="",$W130=""),0,IF($AT130&lt;=$W130,1,0)))</f>
        <v>0</v>
      </c>
      <c r="Z130" s="39" t="str">
        <f aca="false">IF(OR($AT130="",$O130=""),"",MAX(0,$AT130-$O130))</f>
        <v/>
      </c>
      <c r="AA130" s="39" t="n">
        <f aca="false">IF($F130="","",IF(AND($S130&lt;&gt;"",$L130&lt;&gt;"",$S130&lt;&gt;$L130),1,0))</f>
        <v>1</v>
      </c>
      <c r="AB130" s="39" t="n">
        <f aca="false">IF($F130="","",IF($R130="Cancelada",0,IF(OR($AT130&lt;&gt;"",$R130="Concluída"),1,0)))</f>
        <v>0</v>
      </c>
      <c r="AC130" s="39" t="n">
        <f aca="false">IF($P130="",0,IF($P130&lt;Hoje!$L$1,1,IF(AND($P130=Hoje!$L$1,Hoje!$L$2&gt;Semana!$M$3),1,0)))</f>
        <v>0</v>
      </c>
      <c r="AD130" s="39" t="n">
        <f aca="false">IF($F130="","",IF(COUNTA($I130:$K130)=0,0,1/COUNTA($I130:$K130)))</f>
        <v>1</v>
      </c>
      <c r="AE130" s="39" t="n">
        <f aca="false">IF($AH130=0,"",SUM($AH$4:$AH130))</f>
        <v>4</v>
      </c>
      <c r="AF130" s="39" t="str">
        <f aca="false">IF($AI130=0,"",SUM($AI$4:$AI130))</f>
        <v/>
      </c>
      <c r="AG130" s="50" t="str">
        <f aca="false">IF($F130="","",$I130&amp;IF($J130="",""," · "&amp;$J130)&amp;IF($K130="",""," · "&amp;$K130))</f>
        <v>Terceirizada</v>
      </c>
      <c r="AH130" s="39" t="n">
        <f aca="false">IF(AND($F130&lt;&gt;"",$O130&lt;&gt;"",$O130&lt;=Hoje!$C$3,$P130&gt;=Hoje!$C$3,$R130&lt;&gt;"Cancelada"),1,0)</f>
        <v>1</v>
      </c>
      <c r="AI130" s="39" t="n">
        <f aca="false">IF(AND($F130&lt;&gt;"",$P130&lt;&gt;"",$P130&lt;Hoje!$C$3,$AB130=0,$R130&lt;&gt;"Cancelada"),1,0)</f>
        <v>0</v>
      </c>
      <c r="AJ130" s="50" t="str">
        <f aca="false">IF($F130="","",$D130&amp;"|"&amp;$E130&amp;"|"&amp;$L130)</f>
        <v>F-815|Baixa de pendências backlog|37</v>
      </c>
      <c r="AK130" s="39" t="n">
        <f aca="false">IF($AJ130="","",COUNTIF($AJ$4:$AJ130,$AJ130))</f>
        <v>8</v>
      </c>
      <c r="AL130" s="39" t="n">
        <f aca="false">IF($AJ130="","",COUNTIF($AJ$4:$AJ$1004,$AJ130))</f>
        <v>8</v>
      </c>
      <c r="AM130" s="42"/>
      <c r="AN130" s="50" t="str">
        <f aca="false">IF($D130="","",IFERROR(T(VLOOKUP($D130,Listas!$B$5:$H$120,7,0)),""))</f>
        <v/>
      </c>
      <c r="AO130" s="50" t="str">
        <f aca="false">IF(OR($F130="",$L130&lt;&gt;"",$R130="Cancelada",$AT130&lt;&gt;""),"",$AN130&amp;"|"&amp;$D130&amp;"|"&amp;IF($C130="","zzz",$C130)&amp;"|"&amp;TEXT(130,"0000"))</f>
        <v/>
      </c>
      <c r="AP130" s="50" t="str">
        <f aca="false">IF($AO130="","",COUNTIF($AO$5:$AO$1004,"&lt;"&amp;$AO130)-(ROWS($AO$5:$AO$1004)-Hoje!$L$5)+1)</f>
        <v/>
      </c>
      <c r="AQ130" s="50" t="n">
        <f aca="false">IF(AND($F130&lt;&gt;"",$D130=Frota!$C$3),1,0)</f>
        <v>0</v>
      </c>
      <c r="AR130" s="50" t="str">
        <f aca="false">IF($AQ130=0,"",SUM($AQ$4:$AQ130))</f>
        <v/>
      </c>
      <c r="AS130" s="50" t="str">
        <f aca="false">IFERROR(INDEX(Hoje!$K$10:$K$29,MATCH(ROW(),Hoje!$J$10:$J$29,0)),"")</f>
        <v/>
      </c>
      <c r="AT130" s="50" t="str">
        <f aca="false">IF($Q130&lt;&gt;"",$Q130,$AS130)</f>
        <v/>
      </c>
    </row>
    <row r="131" customFormat="false" ht="16.5" hidden="false" customHeight="true" outlineLevel="0" collapsed="false">
      <c r="A131" s="39" t="n">
        <f aca="false">IF($F131="","",ROW())</f>
        <v>131</v>
      </c>
      <c r="B131" s="40" t="str">
        <f aca="false">IF($F131="",IF($D131="","","Falta a atividade"),IF($R131="Cancelada","Cancelada",IF($AB131=1,IF(N($Z131)&gt;0,"Concluída com atraso","Concluída"),IF($R131="Em programação","Em programação",IF($O131="",IF($M131="","Na carteira","Falta a semana"),IF($AC131=1,"VENCIDA",IF($O131&gt;Hoje!$L$1,"Programada",IF($P131&gt;Hoje!$L$1,"Em execução","Fecha hoje"))))))))</f>
        <v>Concluída com atraso</v>
      </c>
      <c r="C131" s="41" t="s">
        <v>315</v>
      </c>
      <c r="D131" s="42" t="s">
        <v>281</v>
      </c>
      <c r="E131" s="42" t="s">
        <v>230</v>
      </c>
      <c r="F131" s="42" t="s">
        <v>78</v>
      </c>
      <c r="G131" s="43" t="s">
        <v>80</v>
      </c>
      <c r="H131" s="43" t="s">
        <v>100</v>
      </c>
      <c r="I131" s="44" t="s">
        <v>83</v>
      </c>
      <c r="J131" s="44"/>
      <c r="K131" s="44"/>
      <c r="L131" s="45" t="n">
        <v>36</v>
      </c>
      <c r="M131" s="46" t="s">
        <v>108</v>
      </c>
      <c r="N131" s="45" t="n">
        <v>3</v>
      </c>
      <c r="O131" s="47" t="n">
        <f aca="false">IF(OR($L131="",$M131=""),"",(DATE(Semana!$J$3,1,4)-WEEKDAY(DATE(Semana!$J$3,1,4),3))+($L131-1)*7+MATCH($M131,Listas!$F$5:$F$11,0)-1)</f>
        <v>46265</v>
      </c>
      <c r="P131" s="47" t="n">
        <f aca="false">IF(OR($F131="",$O131=""),"",$O131+MAX(0,ROUNDUP($AK131*MAX(1,IF($N131="",1,$N131))/MAX(1,$AL131),0)-1))</f>
        <v>46267</v>
      </c>
      <c r="Q131" s="48" t="n">
        <v>46269</v>
      </c>
      <c r="R131" s="43" t="s">
        <v>85</v>
      </c>
      <c r="S131" s="49" t="n">
        <v>35</v>
      </c>
      <c r="T131" s="42"/>
      <c r="U131" s="42"/>
      <c r="V131" s="39" t="str">
        <f aca="false">IF($F131="","",IF(ISNUMBER(SEARCH("(externo)",$I131&amp;$J131&amp;$K131)),"Terceirizada","Interna"))</f>
        <v>Interna</v>
      </c>
      <c r="W131" s="47" t="n">
        <f aca="false">IF($O131="","",IF($S131="",$O131,(DATE(Semana!$J$3,1,4)-WEEKDAY(DATE(Semana!$J$3,1,4),3))+($S131-1)*7+IF($M131="",0,MATCH($M131,Listas!$F$5:$F$11,0)-1)))</f>
        <v>46258</v>
      </c>
      <c r="X131" s="39" t="n">
        <f aca="false">IF($F131="","",IF(OR($AT131="",$O131=""),0,IF($AT131&lt;=$O131,1,0)))</f>
        <v>0</v>
      </c>
      <c r="Y131" s="39" t="n">
        <f aca="false">IF($F131="","",IF(OR($AT131="",$W131=""),0,IF($AT131&lt;=$W131,1,0)))</f>
        <v>0</v>
      </c>
      <c r="Z131" s="39" t="n">
        <f aca="false">IF(OR($AT131="",$O131=""),"",MAX(0,$AT131-$O131))</f>
        <v>4</v>
      </c>
      <c r="AA131" s="39" t="n">
        <f aca="false">IF($F131="","",IF(AND($S131&lt;&gt;"",$L131&lt;&gt;"",$S131&lt;&gt;$L131),1,0))</f>
        <v>1</v>
      </c>
      <c r="AB131" s="39" t="n">
        <f aca="false">IF($F131="","",IF($R131="Cancelada",0,IF(OR($AT131&lt;&gt;"",$R131="Concluída"),1,0)))</f>
        <v>1</v>
      </c>
      <c r="AC131" s="39" t="n">
        <f aca="false">IF($P131="",0,IF($P131&lt;Hoje!$L$1,1,IF(AND($P131=Hoje!$L$1,Hoje!$L$2&gt;Semana!$M$3),1,0)))</f>
        <v>1</v>
      </c>
      <c r="AD131" s="39" t="n">
        <f aca="false">IF($F131="","",IF(COUNTA($I131:$K131)=0,0,1/COUNTA($I131:$K131)))</f>
        <v>1</v>
      </c>
      <c r="AE131" s="39" t="str">
        <f aca="false">IF($AH131=0,"",SUM($AH$4:$AH131))</f>
        <v/>
      </c>
      <c r="AF131" s="39" t="str">
        <f aca="false">IF($AI131=0,"",SUM($AI$4:$AI131))</f>
        <v/>
      </c>
      <c r="AG131" s="50" t="str">
        <f aca="false">IF($F131="","",$I131&amp;IF($J131="",""," · "&amp;$J131)&amp;IF($K131="",""," · "&amp;$K131))</f>
        <v>Luiz Paulo</v>
      </c>
      <c r="AH131" s="39" t="n">
        <f aca="false">IF(AND($F131&lt;&gt;"",$O131&lt;&gt;"",$O131&lt;=Hoje!$C$3,$P131&gt;=Hoje!$C$3,$R131&lt;&gt;"Cancelada"),1,0)</f>
        <v>0</v>
      </c>
      <c r="AI131" s="39" t="n">
        <f aca="false">IF(AND($F131&lt;&gt;"",$P131&lt;&gt;"",$P131&lt;Hoje!$C$3,$AB131=0,$R131&lt;&gt;"Cancelada"),1,0)</f>
        <v>0</v>
      </c>
      <c r="AJ131" s="50" t="str">
        <f aca="false">IF($F131="","",$D131&amp;"|"&amp;$E131&amp;"|"&amp;$L131)</f>
        <v>F-815|Baixa de pendências backlog|36</v>
      </c>
      <c r="AK131" s="39" t="n">
        <f aca="false">IF($AJ131="","",COUNTIF($AJ$4:$AJ131,$AJ131))</f>
        <v>26</v>
      </c>
      <c r="AL131" s="39" t="n">
        <f aca="false">IF($AJ131="","",COUNTIF($AJ$4:$AJ$1004,$AJ131))</f>
        <v>26</v>
      </c>
      <c r="AM131" s="42"/>
      <c r="AN131" s="50" t="str">
        <f aca="false">IF($D131="","",IFERROR(T(VLOOKUP($D131,Listas!$B$5:$H$120,7,0)),""))</f>
        <v/>
      </c>
      <c r="AO131" s="50" t="str">
        <f aca="false">IF(OR($F131="",$L131&lt;&gt;"",$R131="Cancelada",$AT131&lt;&gt;""),"",$AN131&amp;"|"&amp;$D131&amp;"|"&amp;IF($C131="","zzz",$C131)&amp;"|"&amp;TEXT(131,"0000"))</f>
        <v/>
      </c>
      <c r="AP131" s="50" t="str">
        <f aca="false">IF($AO131="","",COUNTIF($AO$5:$AO$1004,"&lt;"&amp;$AO131)-(ROWS($AO$5:$AO$1004)-Hoje!$L$5)+1)</f>
        <v/>
      </c>
      <c r="AQ131" s="50" t="n">
        <f aca="false">IF(AND($F131&lt;&gt;"",$D131=Frota!$C$3),1,0)</f>
        <v>0</v>
      </c>
      <c r="AR131" s="50" t="str">
        <f aca="false">IF($AQ131=0,"",SUM($AQ$4:$AQ131))</f>
        <v/>
      </c>
      <c r="AS131" s="50" t="str">
        <f aca="false">IFERROR(INDEX(Hoje!$K$10:$K$29,MATCH(ROW(),Hoje!$J$10:$J$29,0)),"")</f>
        <v/>
      </c>
      <c r="AT131" s="47" t="n">
        <f aca="false">IF($Q131&lt;&gt;"",$Q131,$AS131)</f>
        <v>46269</v>
      </c>
    </row>
    <row r="132" customFormat="false" ht="16.5" hidden="false" customHeight="true" outlineLevel="0" collapsed="false">
      <c r="A132" s="39" t="n">
        <f aca="false">IF($F132="","",ROW())</f>
        <v>132</v>
      </c>
      <c r="B132" s="40" t="str">
        <f aca="false">IF($F132="",IF($D132="","","Falta a atividade"),IF($R132="Cancelada","Cancelada",IF($AB132=1,IF(N($Z132)&gt;0,"Concluída com atraso","Concluída"),IF($R132="Em programação","Em programação",IF($O132="",IF($M132="","Na carteira","Falta a semana"),IF($AC132=1,"VENCIDA",IF($O132&gt;Hoje!$L$1,"Programada",IF($P132&gt;Hoje!$L$1,"Em execução","Fecha hoje"))))))))</f>
        <v>Cancelada</v>
      </c>
      <c r="C132" s="41"/>
      <c r="D132" s="42" t="s">
        <v>365</v>
      </c>
      <c r="E132" s="42" t="s">
        <v>366</v>
      </c>
      <c r="F132" s="42" t="s">
        <v>367</v>
      </c>
      <c r="G132" s="43" t="s">
        <v>135</v>
      </c>
      <c r="H132" s="43" t="s">
        <v>100</v>
      </c>
      <c r="I132" s="44" t="s">
        <v>107</v>
      </c>
      <c r="J132" s="44" t="s">
        <v>88</v>
      </c>
      <c r="K132" s="44"/>
      <c r="L132" s="45" t="n">
        <v>35</v>
      </c>
      <c r="M132" s="46" t="s">
        <v>173</v>
      </c>
      <c r="N132" s="45" t="n">
        <v>3</v>
      </c>
      <c r="O132" s="47" t="n">
        <f aca="false">IF(OR($L132="",$M132=""),"",(DATE(Semana!$J$3,1,4)-WEEKDAY(DATE(Semana!$J$3,1,4),3))+($L132-1)*7+MATCH($M132,Listas!$F$5:$F$11,0)-1)</f>
        <v>46261</v>
      </c>
      <c r="P132" s="47" t="n">
        <f aca="false">IF(OR($F132="",$O132=""),"",$O132+MAX(0,ROUNDUP($AK132*MAX(1,IF($N132="",1,$N132))/MAX(1,$AL132),0)-1))</f>
        <v>46261</v>
      </c>
      <c r="Q132" s="48"/>
      <c r="R132" s="43" t="s">
        <v>191</v>
      </c>
      <c r="S132" s="49"/>
      <c r="T132" s="42"/>
      <c r="U132" s="42" t="s">
        <v>368</v>
      </c>
      <c r="V132" s="39" t="str">
        <f aca="false">IF($F132="","",IF(ISNUMBER(SEARCH("(externo)",$I132&amp;$J132&amp;$K132)),"Terceirizada","Interna"))</f>
        <v>Interna</v>
      </c>
      <c r="W132" s="47" t="n">
        <f aca="false">IF($O132="","",IF($S132="",$O132,(DATE(Semana!$J$3,1,4)-WEEKDAY(DATE(Semana!$J$3,1,4),3))+($S132-1)*7+IF($M132="",0,MATCH($M132,Listas!$F$5:$F$11,0)-1)))</f>
        <v>46261</v>
      </c>
      <c r="X132" s="39" t="n">
        <f aca="false">IF($F132="","",IF(OR($AT132="",$O132=""),0,IF($AT132&lt;=$O132,1,0)))</f>
        <v>0</v>
      </c>
      <c r="Y132" s="39" t="n">
        <f aca="false">IF($F132="","",IF(OR($AT132="",$W132=""),0,IF($AT132&lt;=$W132,1,0)))</f>
        <v>0</v>
      </c>
      <c r="Z132" s="39" t="str">
        <f aca="false">IF(OR($AT132="",$O132=""),"",MAX(0,$AT132-$O132))</f>
        <v/>
      </c>
      <c r="AA132" s="39" t="n">
        <f aca="false">IF($F132="","",IF(AND($S132&lt;&gt;"",$L132&lt;&gt;"",$S132&lt;&gt;$L132),1,0))</f>
        <v>0</v>
      </c>
      <c r="AB132" s="39" t="n">
        <f aca="false">IF($F132="","",IF($R132="Cancelada",0,IF(OR($AT132&lt;&gt;"",$R132="Concluída"),1,0)))</f>
        <v>0</v>
      </c>
      <c r="AC132" s="39" t="n">
        <f aca="false">IF($P132="",0,IF($P132&lt;Hoje!$L$1,1,IF(AND($P132=Hoje!$L$1,Hoje!$L$2&gt;Semana!$M$3),1,0)))</f>
        <v>1</v>
      </c>
      <c r="AD132" s="39" t="n">
        <f aca="false">IF($F132="","",IF(COUNTA($I132:$K132)=0,0,1/COUNTA($I132:$K132)))</f>
        <v>0.5</v>
      </c>
      <c r="AE132" s="39" t="str">
        <f aca="false">IF($AH132=0,"",SUM($AH$4:$AH132))</f>
        <v/>
      </c>
      <c r="AF132" s="39" t="str">
        <f aca="false">IF($AI132=0,"",SUM($AI$4:$AI132))</f>
        <v/>
      </c>
      <c r="AG132" s="50" t="str">
        <f aca="false">IF($F132="","",$I132&amp;IF($J132="",""," · "&amp;$J132)&amp;IF($K132="",""," · "&amp;$K132))</f>
        <v>Gabriel · Júnior</v>
      </c>
      <c r="AH132" s="39" t="n">
        <f aca="false">IF(AND($F132&lt;&gt;"",$O132&lt;&gt;"",$O132&lt;=Hoje!$C$3,$P132&gt;=Hoje!$C$3,$R132&lt;&gt;"Cancelada"),1,0)</f>
        <v>0</v>
      </c>
      <c r="AI132" s="39" t="n">
        <f aca="false">IF(AND($F132&lt;&gt;"",$P132&lt;&gt;"",$P132&lt;Hoje!$C$3,$AB132=0,$R132&lt;&gt;"Cancelada"),1,0)</f>
        <v>0</v>
      </c>
      <c r="AJ132" s="50" t="str">
        <f aca="false">IF($F132="","",$D132&amp;"|"&amp;$E132&amp;"|"&amp;$L132)</f>
        <v>F-856|Realizar troca de óleo e filtro|35</v>
      </c>
      <c r="AK132" s="39" t="n">
        <f aca="false">IF($AJ132="","",COUNTIF($AJ$4:$AJ132,$AJ132))</f>
        <v>1</v>
      </c>
      <c r="AL132" s="39" t="n">
        <f aca="false">IF($AJ132="","",COUNTIF($AJ$4:$AJ$1004,$AJ132))</f>
        <v>5</v>
      </c>
      <c r="AM132" s="42"/>
      <c r="AN132" s="50" t="str">
        <f aca="false">IF($D132="","",IFERROR(T(VLOOKUP($D132,Listas!$B$5:$H$120,7,0)),""))</f>
        <v/>
      </c>
      <c r="AO132" s="50" t="str">
        <f aca="false">IF(OR($F132="",$L132&lt;&gt;"",$R132="Cancelada",$AT132&lt;&gt;""),"",$AN132&amp;"|"&amp;$D132&amp;"|"&amp;IF($C132="","zzz",$C132)&amp;"|"&amp;TEXT(132,"0000"))</f>
        <v/>
      </c>
      <c r="AP132" s="50" t="str">
        <f aca="false">IF($AO132="","",COUNTIF($AO$5:$AO$1004,"&lt;"&amp;$AO132)-(ROWS($AO$5:$AO$1004)-Hoje!$L$5)+1)</f>
        <v/>
      </c>
      <c r="AQ132" s="50" t="n">
        <f aca="false">IF(AND($F132&lt;&gt;"",$D132=Frota!$C$3),1,0)</f>
        <v>0</v>
      </c>
      <c r="AR132" s="50" t="str">
        <f aca="false">IF($AQ132=0,"",SUM($AQ$4:$AQ132))</f>
        <v/>
      </c>
      <c r="AS132" s="50" t="str">
        <f aca="false">IFERROR(INDEX(Hoje!$K$10:$K$29,MATCH(ROW(),Hoje!$J$10:$J$29,0)),"")</f>
        <v/>
      </c>
      <c r="AT132" s="50" t="str">
        <f aca="false">IF($Q132&lt;&gt;"",$Q132,$AS132)</f>
        <v/>
      </c>
    </row>
    <row r="133" customFormat="false" ht="16.5" hidden="false" customHeight="true" outlineLevel="0" collapsed="false">
      <c r="A133" s="39" t="n">
        <f aca="false">IF($F133="","",ROW())</f>
        <v>133</v>
      </c>
      <c r="B133" s="40" t="str">
        <f aca="false">IF($F133="",IF($D133="","","Falta a atividade"),IF($R133="Cancelada","Cancelada",IF($AB133=1,IF(N($Z133)&gt;0,"Concluída com atraso","Concluída"),IF($R133="Em programação","Em programação",IF($O133="",IF($M133="","Na carteira","Falta a semana"),IF($AC133=1,"VENCIDA",IF($O133&gt;Hoje!$L$1,"Programada",IF($P133&gt;Hoje!$L$1,"Em execução","Fecha hoje"))))))))</f>
        <v>Cancelada</v>
      </c>
      <c r="C133" s="41"/>
      <c r="D133" s="42" t="s">
        <v>365</v>
      </c>
      <c r="E133" s="42" t="s">
        <v>366</v>
      </c>
      <c r="F133" s="42" t="s">
        <v>369</v>
      </c>
      <c r="G133" s="43" t="s">
        <v>135</v>
      </c>
      <c r="H133" s="43" t="s">
        <v>100</v>
      </c>
      <c r="I133" s="44" t="s">
        <v>107</v>
      </c>
      <c r="J133" s="44" t="s">
        <v>88</v>
      </c>
      <c r="K133" s="44"/>
      <c r="L133" s="45" t="n">
        <v>35</v>
      </c>
      <c r="M133" s="46" t="s">
        <v>173</v>
      </c>
      <c r="N133" s="45" t="n">
        <v>3</v>
      </c>
      <c r="O133" s="47" t="n">
        <f aca="false">IF(OR($L133="",$M133=""),"",(DATE(Semana!$J$3,1,4)-WEEKDAY(DATE(Semana!$J$3,1,4),3))+($L133-1)*7+MATCH($M133,Listas!$F$5:$F$11,0)-1)</f>
        <v>46261</v>
      </c>
      <c r="P133" s="47" t="n">
        <f aca="false">IF(OR($F133="",$O133=""),"",$O133+MAX(0,ROUNDUP($AK133*MAX(1,IF($N133="",1,$N133))/MAX(1,$AL133),0)-1))</f>
        <v>46262</v>
      </c>
      <c r="Q133" s="48"/>
      <c r="R133" s="43" t="s">
        <v>191</v>
      </c>
      <c r="S133" s="49"/>
      <c r="T133" s="42"/>
      <c r="U133" s="42" t="s">
        <v>370</v>
      </c>
      <c r="V133" s="39" t="str">
        <f aca="false">IF($F133="","",IF(ISNUMBER(SEARCH("(externo)",$I133&amp;$J133&amp;$K133)),"Terceirizada","Interna"))</f>
        <v>Interna</v>
      </c>
      <c r="W133" s="47" t="n">
        <f aca="false">IF($O133="","",IF($S133="",$O133,(DATE(Semana!$J$3,1,4)-WEEKDAY(DATE(Semana!$J$3,1,4),3))+($S133-1)*7+IF($M133="",0,MATCH($M133,Listas!$F$5:$F$11,0)-1)))</f>
        <v>46261</v>
      </c>
      <c r="X133" s="39" t="n">
        <f aca="false">IF($F133="","",IF(OR($AT133="",$O133=""),0,IF($AT133&lt;=$O133,1,0)))</f>
        <v>0</v>
      </c>
      <c r="Y133" s="39" t="n">
        <f aca="false">IF($F133="","",IF(OR($AT133="",$W133=""),0,IF($AT133&lt;=$W133,1,0)))</f>
        <v>0</v>
      </c>
      <c r="Z133" s="39" t="str">
        <f aca="false">IF(OR($AT133="",$O133=""),"",MAX(0,$AT133-$O133))</f>
        <v/>
      </c>
      <c r="AA133" s="39" t="n">
        <f aca="false">IF($F133="","",IF(AND($S133&lt;&gt;"",$L133&lt;&gt;"",$S133&lt;&gt;$L133),1,0))</f>
        <v>0</v>
      </c>
      <c r="AB133" s="39" t="n">
        <f aca="false">IF($F133="","",IF($R133="Cancelada",0,IF(OR($AT133&lt;&gt;"",$R133="Concluída"),1,0)))</f>
        <v>0</v>
      </c>
      <c r="AC133" s="39" t="n">
        <f aca="false">IF($P133="",0,IF($P133&lt;Hoje!$L$1,1,IF(AND($P133=Hoje!$L$1,Hoje!$L$2&gt;Semana!$M$3),1,0)))</f>
        <v>1</v>
      </c>
      <c r="AD133" s="39" t="n">
        <f aca="false">IF($F133="","",IF(COUNTA($I133:$K133)=0,0,1/COUNTA($I133:$K133)))</f>
        <v>0.5</v>
      </c>
      <c r="AE133" s="39" t="str">
        <f aca="false">IF($AH133=0,"",SUM($AH$4:$AH133))</f>
        <v/>
      </c>
      <c r="AF133" s="39" t="str">
        <f aca="false">IF($AI133=0,"",SUM($AI$4:$AI133))</f>
        <v/>
      </c>
      <c r="AG133" s="50" t="str">
        <f aca="false">IF($F133="","",$I133&amp;IF($J133="",""," · "&amp;$J133)&amp;IF($K133="",""," · "&amp;$K133))</f>
        <v>Gabriel · Júnior</v>
      </c>
      <c r="AH133" s="39" t="n">
        <f aca="false">IF(AND($F133&lt;&gt;"",$O133&lt;&gt;"",$O133&lt;=Hoje!$C$3,$P133&gt;=Hoje!$C$3,$R133&lt;&gt;"Cancelada"),1,0)</f>
        <v>0</v>
      </c>
      <c r="AI133" s="39" t="n">
        <f aca="false">IF(AND($F133&lt;&gt;"",$P133&lt;&gt;"",$P133&lt;Hoje!$C$3,$AB133=0,$R133&lt;&gt;"Cancelada"),1,0)</f>
        <v>0</v>
      </c>
      <c r="AJ133" s="50" t="str">
        <f aca="false">IF($F133="","",$D133&amp;"|"&amp;$E133&amp;"|"&amp;$L133)</f>
        <v>F-856|Realizar troca de óleo e filtro|35</v>
      </c>
      <c r="AK133" s="39" t="n">
        <f aca="false">IF($AJ133="","",COUNTIF($AJ$4:$AJ133,$AJ133))</f>
        <v>2</v>
      </c>
      <c r="AL133" s="39" t="n">
        <f aca="false">IF($AJ133="","",COUNTIF($AJ$4:$AJ$1004,$AJ133))</f>
        <v>5</v>
      </c>
      <c r="AM133" s="42"/>
      <c r="AN133" s="50" t="str">
        <f aca="false">IF($D133="","",IFERROR(T(VLOOKUP($D133,Listas!$B$5:$H$120,7,0)),""))</f>
        <v/>
      </c>
      <c r="AO133" s="50" t="str">
        <f aca="false">IF(OR($F133="",$L133&lt;&gt;"",$R133="Cancelada",$AT133&lt;&gt;""),"",$AN133&amp;"|"&amp;$D133&amp;"|"&amp;IF($C133="","zzz",$C133)&amp;"|"&amp;TEXT(133,"0000"))</f>
        <v/>
      </c>
      <c r="AP133" s="50" t="str">
        <f aca="false">IF($AO133="","",COUNTIF($AO$5:$AO$1004,"&lt;"&amp;$AO133)-(ROWS($AO$5:$AO$1004)-Hoje!$L$5)+1)</f>
        <v/>
      </c>
      <c r="AQ133" s="50" t="n">
        <f aca="false">IF(AND($F133&lt;&gt;"",$D133=Frota!$C$3),1,0)</f>
        <v>0</v>
      </c>
      <c r="AR133" s="50" t="str">
        <f aca="false">IF($AQ133=0,"",SUM($AQ$4:$AQ133))</f>
        <v/>
      </c>
      <c r="AS133" s="50" t="str">
        <f aca="false">IFERROR(INDEX(Hoje!$K$10:$K$29,MATCH(ROW(),Hoje!$J$10:$J$29,0)),"")</f>
        <v/>
      </c>
      <c r="AT133" s="50" t="str">
        <f aca="false">IF($Q133&lt;&gt;"",$Q133,$AS133)</f>
        <v/>
      </c>
    </row>
    <row r="134" customFormat="false" ht="16.5" hidden="false" customHeight="true" outlineLevel="0" collapsed="false">
      <c r="A134" s="39" t="n">
        <f aca="false">IF($F134="","",ROW())</f>
        <v>134</v>
      </c>
      <c r="B134" s="40" t="str">
        <f aca="false">IF($F134="",IF($D134="","","Falta a atividade"),IF($R134="Cancelada","Cancelada",IF($AB134=1,IF(N($Z134)&gt;0,"Concluída com atraso","Concluída"),IF($R134="Em programação","Em programação",IF($O134="",IF($M134="","Na carteira","Falta a semana"),IF($AC134=1,"VENCIDA",IF($O134&gt;Hoje!$L$1,"Programada",IF($P134&gt;Hoje!$L$1,"Em execução","Fecha hoje"))))))))</f>
        <v>Cancelada</v>
      </c>
      <c r="C134" s="41"/>
      <c r="D134" s="42" t="s">
        <v>365</v>
      </c>
      <c r="E134" s="42" t="s">
        <v>366</v>
      </c>
      <c r="F134" s="42" t="s">
        <v>371</v>
      </c>
      <c r="G134" s="43" t="s">
        <v>135</v>
      </c>
      <c r="H134" s="43" t="s">
        <v>100</v>
      </c>
      <c r="I134" s="44" t="s">
        <v>107</v>
      </c>
      <c r="J134" s="44" t="s">
        <v>88</v>
      </c>
      <c r="K134" s="44"/>
      <c r="L134" s="45" t="n">
        <v>35</v>
      </c>
      <c r="M134" s="46" t="s">
        <v>173</v>
      </c>
      <c r="N134" s="45" t="n">
        <v>3</v>
      </c>
      <c r="O134" s="47" t="n">
        <f aca="false">IF(OR($L134="",$M134=""),"",(DATE(Semana!$J$3,1,4)-WEEKDAY(DATE(Semana!$J$3,1,4),3))+($L134-1)*7+MATCH($M134,Listas!$F$5:$F$11,0)-1)</f>
        <v>46261</v>
      </c>
      <c r="P134" s="47" t="n">
        <f aca="false">IF(OR($F134="",$O134=""),"",$O134+MAX(0,ROUNDUP($AK134*MAX(1,IF($N134="",1,$N134))/MAX(1,$AL134),0)-1))</f>
        <v>46262</v>
      </c>
      <c r="Q134" s="48"/>
      <c r="R134" s="43" t="s">
        <v>191</v>
      </c>
      <c r="S134" s="49"/>
      <c r="T134" s="42"/>
      <c r="U134" s="42" t="s">
        <v>372</v>
      </c>
      <c r="V134" s="39" t="str">
        <f aca="false">IF($F134="","",IF(ISNUMBER(SEARCH("(externo)",$I134&amp;$J134&amp;$K134)),"Terceirizada","Interna"))</f>
        <v>Interna</v>
      </c>
      <c r="W134" s="47" t="n">
        <f aca="false">IF($O134="","",IF($S134="",$O134,(DATE(Semana!$J$3,1,4)-WEEKDAY(DATE(Semana!$J$3,1,4),3))+($S134-1)*7+IF($M134="",0,MATCH($M134,Listas!$F$5:$F$11,0)-1)))</f>
        <v>46261</v>
      </c>
      <c r="X134" s="39" t="n">
        <f aca="false">IF($F134="","",IF(OR($AT134="",$O134=""),0,IF($AT134&lt;=$O134,1,0)))</f>
        <v>0</v>
      </c>
      <c r="Y134" s="39" t="n">
        <f aca="false">IF($F134="","",IF(OR($AT134="",$W134=""),0,IF($AT134&lt;=$W134,1,0)))</f>
        <v>0</v>
      </c>
      <c r="Z134" s="39" t="str">
        <f aca="false">IF(OR($AT134="",$O134=""),"",MAX(0,$AT134-$O134))</f>
        <v/>
      </c>
      <c r="AA134" s="39" t="n">
        <f aca="false">IF($F134="","",IF(AND($S134&lt;&gt;"",$L134&lt;&gt;"",$S134&lt;&gt;$L134),1,0))</f>
        <v>0</v>
      </c>
      <c r="AB134" s="39" t="n">
        <f aca="false">IF($F134="","",IF($R134="Cancelada",0,IF(OR($AT134&lt;&gt;"",$R134="Concluída"),1,0)))</f>
        <v>0</v>
      </c>
      <c r="AC134" s="39" t="n">
        <f aca="false">IF($P134="",0,IF($P134&lt;Hoje!$L$1,1,IF(AND($P134=Hoje!$L$1,Hoje!$L$2&gt;Semana!$M$3),1,0)))</f>
        <v>1</v>
      </c>
      <c r="AD134" s="39" t="n">
        <f aca="false">IF($F134="","",IF(COUNTA($I134:$K134)=0,0,1/COUNTA($I134:$K134)))</f>
        <v>0.5</v>
      </c>
      <c r="AE134" s="39" t="str">
        <f aca="false">IF($AH134=0,"",SUM($AH$4:$AH134))</f>
        <v/>
      </c>
      <c r="AF134" s="39" t="str">
        <f aca="false">IF($AI134=0,"",SUM($AI$4:$AI134))</f>
        <v/>
      </c>
      <c r="AG134" s="50" t="str">
        <f aca="false">IF($F134="","",$I134&amp;IF($J134="",""," · "&amp;$J134)&amp;IF($K134="",""," · "&amp;$K134))</f>
        <v>Gabriel · Júnior</v>
      </c>
      <c r="AH134" s="39" t="n">
        <f aca="false">IF(AND($F134&lt;&gt;"",$O134&lt;&gt;"",$O134&lt;=Hoje!$C$3,$P134&gt;=Hoje!$C$3,$R134&lt;&gt;"Cancelada"),1,0)</f>
        <v>0</v>
      </c>
      <c r="AI134" s="39" t="n">
        <f aca="false">IF(AND($F134&lt;&gt;"",$P134&lt;&gt;"",$P134&lt;Hoje!$C$3,$AB134=0,$R134&lt;&gt;"Cancelada"),1,0)</f>
        <v>0</v>
      </c>
      <c r="AJ134" s="50" t="str">
        <f aca="false">IF($F134="","",$D134&amp;"|"&amp;$E134&amp;"|"&amp;$L134)</f>
        <v>F-856|Realizar troca de óleo e filtro|35</v>
      </c>
      <c r="AK134" s="39" t="n">
        <f aca="false">IF($AJ134="","",COUNTIF($AJ$4:$AJ134,$AJ134))</f>
        <v>3</v>
      </c>
      <c r="AL134" s="39" t="n">
        <f aca="false">IF($AJ134="","",COUNTIF($AJ$4:$AJ$1004,$AJ134))</f>
        <v>5</v>
      </c>
      <c r="AM134" s="42"/>
      <c r="AN134" s="50" t="str">
        <f aca="false">IF($D134="","",IFERROR(T(VLOOKUP($D134,Listas!$B$5:$H$120,7,0)),""))</f>
        <v/>
      </c>
      <c r="AO134" s="50" t="str">
        <f aca="false">IF(OR($F134="",$L134&lt;&gt;"",$R134="Cancelada",$AT134&lt;&gt;""),"",$AN134&amp;"|"&amp;$D134&amp;"|"&amp;IF($C134="","zzz",$C134)&amp;"|"&amp;TEXT(134,"0000"))</f>
        <v/>
      </c>
      <c r="AP134" s="50" t="str">
        <f aca="false">IF($AO134="","",COUNTIF($AO$5:$AO$1004,"&lt;"&amp;$AO134)-(ROWS($AO$5:$AO$1004)-Hoje!$L$5)+1)</f>
        <v/>
      </c>
      <c r="AQ134" s="50" t="n">
        <f aca="false">IF(AND($F134&lt;&gt;"",$D134=Frota!$C$3),1,0)</f>
        <v>0</v>
      </c>
      <c r="AR134" s="50" t="str">
        <f aca="false">IF($AQ134=0,"",SUM($AQ$4:$AQ134))</f>
        <v/>
      </c>
      <c r="AS134" s="50" t="str">
        <f aca="false">IFERROR(INDEX(Hoje!$K$10:$K$29,MATCH(ROW(),Hoje!$J$10:$J$29,0)),"")</f>
        <v/>
      </c>
      <c r="AT134" s="50" t="str">
        <f aca="false">IF($Q134&lt;&gt;"",$Q134,$AS134)</f>
        <v/>
      </c>
    </row>
    <row r="135" customFormat="false" ht="16.5" hidden="false" customHeight="true" outlineLevel="0" collapsed="false">
      <c r="A135" s="39" t="n">
        <f aca="false">IF($F135="","",ROW())</f>
        <v>135</v>
      </c>
      <c r="B135" s="40" t="str">
        <f aca="false">IF($F135="",IF($D135="","","Falta a atividade"),IF($R135="Cancelada","Cancelada",IF($AB135=1,IF(N($Z135)&gt;0,"Concluída com atraso","Concluída"),IF($R135="Em programação","Em programação",IF($O135="",IF($M135="","Na carteira","Falta a semana"),IF($AC135=1,"VENCIDA",IF($O135&gt;Hoje!$L$1,"Programada",IF($P135&gt;Hoje!$L$1,"Em execução","Fecha hoje"))))))))</f>
        <v>Cancelada</v>
      </c>
      <c r="C135" s="41"/>
      <c r="D135" s="42" t="s">
        <v>365</v>
      </c>
      <c r="E135" s="42" t="s">
        <v>366</v>
      </c>
      <c r="F135" s="42" t="s">
        <v>373</v>
      </c>
      <c r="G135" s="43" t="s">
        <v>135</v>
      </c>
      <c r="H135" s="43" t="s">
        <v>100</v>
      </c>
      <c r="I135" s="44" t="s">
        <v>107</v>
      </c>
      <c r="J135" s="44" t="s">
        <v>88</v>
      </c>
      <c r="K135" s="44"/>
      <c r="L135" s="45" t="n">
        <v>35</v>
      </c>
      <c r="M135" s="46" t="s">
        <v>173</v>
      </c>
      <c r="N135" s="45" t="n">
        <v>3</v>
      </c>
      <c r="O135" s="47" t="n">
        <f aca="false">IF(OR($L135="",$M135=""),"",(DATE(Semana!$J$3,1,4)-WEEKDAY(DATE(Semana!$J$3,1,4),3))+($L135-1)*7+MATCH($M135,Listas!$F$5:$F$11,0)-1)</f>
        <v>46261</v>
      </c>
      <c r="P135" s="47" t="n">
        <f aca="false">IF(OR($F135="",$O135=""),"",$O135+MAX(0,ROUNDUP($AK135*MAX(1,IF($N135="",1,$N135))/MAX(1,$AL135),0)-1))</f>
        <v>46263</v>
      </c>
      <c r="Q135" s="48"/>
      <c r="R135" s="43" t="s">
        <v>191</v>
      </c>
      <c r="S135" s="49"/>
      <c r="T135" s="42"/>
      <c r="U135" s="42" t="s">
        <v>374</v>
      </c>
      <c r="V135" s="39" t="str">
        <f aca="false">IF($F135="","",IF(ISNUMBER(SEARCH("(externo)",$I135&amp;$J135&amp;$K135)),"Terceirizada","Interna"))</f>
        <v>Interna</v>
      </c>
      <c r="W135" s="47" t="n">
        <f aca="false">IF($O135="","",IF($S135="",$O135,(DATE(Semana!$J$3,1,4)-WEEKDAY(DATE(Semana!$J$3,1,4),3))+($S135-1)*7+IF($M135="",0,MATCH($M135,Listas!$F$5:$F$11,0)-1)))</f>
        <v>46261</v>
      </c>
      <c r="X135" s="39" t="n">
        <f aca="false">IF($F135="","",IF(OR($AT135="",$O135=""),0,IF($AT135&lt;=$O135,1,0)))</f>
        <v>0</v>
      </c>
      <c r="Y135" s="39" t="n">
        <f aca="false">IF($F135="","",IF(OR($AT135="",$W135=""),0,IF($AT135&lt;=$W135,1,0)))</f>
        <v>0</v>
      </c>
      <c r="Z135" s="39" t="str">
        <f aca="false">IF(OR($AT135="",$O135=""),"",MAX(0,$AT135-$O135))</f>
        <v/>
      </c>
      <c r="AA135" s="39" t="n">
        <f aca="false">IF($F135="","",IF(AND($S135&lt;&gt;"",$L135&lt;&gt;"",$S135&lt;&gt;$L135),1,0))</f>
        <v>0</v>
      </c>
      <c r="AB135" s="39" t="n">
        <f aca="false">IF($F135="","",IF($R135="Cancelada",0,IF(OR($AT135&lt;&gt;"",$R135="Concluída"),1,0)))</f>
        <v>0</v>
      </c>
      <c r="AC135" s="39" t="n">
        <f aca="false">IF($P135="",0,IF($P135&lt;Hoje!$L$1,1,IF(AND($P135=Hoje!$L$1,Hoje!$L$2&gt;Semana!$M$3),1,0)))</f>
        <v>1</v>
      </c>
      <c r="AD135" s="39" t="n">
        <f aca="false">IF($F135="","",IF(COUNTA($I135:$K135)=0,0,1/COUNTA($I135:$K135)))</f>
        <v>0.5</v>
      </c>
      <c r="AE135" s="39" t="str">
        <f aca="false">IF($AH135=0,"",SUM($AH$4:$AH135))</f>
        <v/>
      </c>
      <c r="AF135" s="39" t="str">
        <f aca="false">IF($AI135=0,"",SUM($AI$4:$AI135))</f>
        <v/>
      </c>
      <c r="AG135" s="50" t="str">
        <f aca="false">IF($F135="","",$I135&amp;IF($J135="",""," · "&amp;$J135)&amp;IF($K135="",""," · "&amp;$K135))</f>
        <v>Gabriel · Júnior</v>
      </c>
      <c r="AH135" s="39" t="n">
        <f aca="false">IF(AND($F135&lt;&gt;"",$O135&lt;&gt;"",$O135&lt;=Hoje!$C$3,$P135&gt;=Hoje!$C$3,$R135&lt;&gt;"Cancelada"),1,0)</f>
        <v>0</v>
      </c>
      <c r="AI135" s="39" t="n">
        <f aca="false">IF(AND($F135&lt;&gt;"",$P135&lt;&gt;"",$P135&lt;Hoje!$C$3,$AB135=0,$R135&lt;&gt;"Cancelada"),1,0)</f>
        <v>0</v>
      </c>
      <c r="AJ135" s="50" t="str">
        <f aca="false">IF($F135="","",$D135&amp;"|"&amp;$E135&amp;"|"&amp;$L135)</f>
        <v>F-856|Realizar troca de óleo e filtro|35</v>
      </c>
      <c r="AK135" s="39" t="n">
        <f aca="false">IF($AJ135="","",COUNTIF($AJ$4:$AJ135,$AJ135))</f>
        <v>4</v>
      </c>
      <c r="AL135" s="39" t="n">
        <f aca="false">IF($AJ135="","",COUNTIF($AJ$4:$AJ$1004,$AJ135))</f>
        <v>5</v>
      </c>
      <c r="AM135" s="42"/>
      <c r="AN135" s="50" t="str">
        <f aca="false">IF($D135="","",IFERROR(T(VLOOKUP($D135,Listas!$B$5:$H$120,7,0)),""))</f>
        <v/>
      </c>
      <c r="AO135" s="50" t="str">
        <f aca="false">IF(OR($F135="",$L135&lt;&gt;"",$R135="Cancelada",$AT135&lt;&gt;""),"",$AN135&amp;"|"&amp;$D135&amp;"|"&amp;IF($C135="","zzz",$C135)&amp;"|"&amp;TEXT(135,"0000"))</f>
        <v/>
      </c>
      <c r="AP135" s="50" t="str">
        <f aca="false">IF($AO135="","",COUNTIF($AO$5:$AO$1004,"&lt;"&amp;$AO135)-(ROWS($AO$5:$AO$1004)-Hoje!$L$5)+1)</f>
        <v/>
      </c>
      <c r="AQ135" s="50" t="n">
        <f aca="false">IF(AND($F135&lt;&gt;"",$D135=Frota!$C$3),1,0)</f>
        <v>0</v>
      </c>
      <c r="AR135" s="50" t="str">
        <f aca="false">IF($AQ135=0,"",SUM($AQ$4:$AQ135))</f>
        <v/>
      </c>
      <c r="AS135" s="50" t="str">
        <f aca="false">IFERROR(INDEX(Hoje!$K$10:$K$29,MATCH(ROW(),Hoje!$J$10:$J$29,0)),"")</f>
        <v/>
      </c>
      <c r="AT135" s="50" t="str">
        <f aca="false">IF($Q135&lt;&gt;"",$Q135,$AS135)</f>
        <v/>
      </c>
    </row>
    <row r="136" customFormat="false" ht="16.5" hidden="false" customHeight="true" outlineLevel="0" collapsed="false">
      <c r="A136" s="39" t="n">
        <f aca="false">IF($F136="","",ROW())</f>
        <v>136</v>
      </c>
      <c r="B136" s="40" t="str">
        <f aca="false">IF($F136="",IF($D136="","","Falta a atividade"),IF($R136="Cancelada","Cancelada",IF($AB136=1,IF(N($Z136)&gt;0,"Concluída com atraso","Concluída"),IF($R136="Em programação","Em programação",IF($O136="",IF($M136="","Na carteira","Falta a semana"),IF($AC136=1,"VENCIDA",IF($O136&gt;Hoje!$L$1,"Programada",IF($P136&gt;Hoje!$L$1,"Em execução","Fecha hoje"))))))))</f>
        <v>Cancelada</v>
      </c>
      <c r="C136" s="41"/>
      <c r="D136" s="42" t="s">
        <v>365</v>
      </c>
      <c r="E136" s="42" t="s">
        <v>366</v>
      </c>
      <c r="F136" s="42" t="s">
        <v>375</v>
      </c>
      <c r="G136" s="43" t="s">
        <v>135</v>
      </c>
      <c r="H136" s="43" t="s">
        <v>100</v>
      </c>
      <c r="I136" s="44" t="s">
        <v>107</v>
      </c>
      <c r="J136" s="44" t="s">
        <v>88</v>
      </c>
      <c r="K136" s="44"/>
      <c r="L136" s="45" t="n">
        <v>35</v>
      </c>
      <c r="M136" s="46" t="s">
        <v>173</v>
      </c>
      <c r="N136" s="45" t="n">
        <v>3</v>
      </c>
      <c r="O136" s="47" t="n">
        <f aca="false">IF(OR($L136="",$M136=""),"",(DATE(Semana!$J$3,1,4)-WEEKDAY(DATE(Semana!$J$3,1,4),3))+($L136-1)*7+MATCH($M136,Listas!$F$5:$F$11,0)-1)</f>
        <v>46261</v>
      </c>
      <c r="P136" s="47" t="n">
        <f aca="false">IF(OR($F136="",$O136=""),"",$O136+MAX(0,ROUNDUP($AK136*MAX(1,IF($N136="",1,$N136))/MAX(1,$AL136),0)-1))</f>
        <v>46263</v>
      </c>
      <c r="Q136" s="48"/>
      <c r="R136" s="43" t="s">
        <v>191</v>
      </c>
      <c r="S136" s="49"/>
      <c r="T136" s="42"/>
      <c r="U136" s="42" t="s">
        <v>376</v>
      </c>
      <c r="V136" s="39" t="str">
        <f aca="false">IF($F136="","",IF(ISNUMBER(SEARCH("(externo)",$I136&amp;$J136&amp;$K136)),"Terceirizada","Interna"))</f>
        <v>Interna</v>
      </c>
      <c r="W136" s="47" t="n">
        <f aca="false">IF($O136="","",IF($S136="",$O136,(DATE(Semana!$J$3,1,4)-WEEKDAY(DATE(Semana!$J$3,1,4),3))+($S136-1)*7+IF($M136="",0,MATCH($M136,Listas!$F$5:$F$11,0)-1)))</f>
        <v>46261</v>
      </c>
      <c r="X136" s="39" t="n">
        <f aca="false">IF($F136="","",IF(OR($AT136="",$O136=""),0,IF($AT136&lt;=$O136,1,0)))</f>
        <v>0</v>
      </c>
      <c r="Y136" s="39" t="n">
        <f aca="false">IF($F136="","",IF(OR($AT136="",$W136=""),0,IF($AT136&lt;=$W136,1,0)))</f>
        <v>0</v>
      </c>
      <c r="Z136" s="39" t="str">
        <f aca="false">IF(OR($AT136="",$O136=""),"",MAX(0,$AT136-$O136))</f>
        <v/>
      </c>
      <c r="AA136" s="39" t="n">
        <f aca="false">IF($F136="","",IF(AND($S136&lt;&gt;"",$L136&lt;&gt;"",$S136&lt;&gt;$L136),1,0))</f>
        <v>0</v>
      </c>
      <c r="AB136" s="39" t="n">
        <f aca="false">IF($F136="","",IF($R136="Cancelada",0,IF(OR($AT136&lt;&gt;"",$R136="Concluída"),1,0)))</f>
        <v>0</v>
      </c>
      <c r="AC136" s="39" t="n">
        <f aca="false">IF($P136="",0,IF($P136&lt;Hoje!$L$1,1,IF(AND($P136=Hoje!$L$1,Hoje!$L$2&gt;Semana!$M$3),1,0)))</f>
        <v>1</v>
      </c>
      <c r="AD136" s="39" t="n">
        <f aca="false">IF($F136="","",IF(COUNTA($I136:$K136)=0,0,1/COUNTA($I136:$K136)))</f>
        <v>0.5</v>
      </c>
      <c r="AE136" s="39" t="str">
        <f aca="false">IF($AH136=0,"",SUM($AH$4:$AH136))</f>
        <v/>
      </c>
      <c r="AF136" s="39" t="str">
        <f aca="false">IF($AI136=0,"",SUM($AI$4:$AI136))</f>
        <v/>
      </c>
      <c r="AG136" s="50" t="str">
        <f aca="false">IF($F136="","",$I136&amp;IF($J136="",""," · "&amp;$J136)&amp;IF($K136="",""," · "&amp;$K136))</f>
        <v>Gabriel · Júnior</v>
      </c>
      <c r="AH136" s="39" t="n">
        <f aca="false">IF(AND($F136&lt;&gt;"",$O136&lt;&gt;"",$O136&lt;=Hoje!$C$3,$P136&gt;=Hoje!$C$3,$R136&lt;&gt;"Cancelada"),1,0)</f>
        <v>0</v>
      </c>
      <c r="AI136" s="39" t="n">
        <f aca="false">IF(AND($F136&lt;&gt;"",$P136&lt;&gt;"",$P136&lt;Hoje!$C$3,$AB136=0,$R136&lt;&gt;"Cancelada"),1,0)</f>
        <v>0</v>
      </c>
      <c r="AJ136" s="50" t="str">
        <f aca="false">IF($F136="","",$D136&amp;"|"&amp;$E136&amp;"|"&amp;$L136)</f>
        <v>F-856|Realizar troca de óleo e filtro|35</v>
      </c>
      <c r="AK136" s="39" t="n">
        <f aca="false">IF($AJ136="","",COUNTIF($AJ$4:$AJ136,$AJ136))</f>
        <v>5</v>
      </c>
      <c r="AL136" s="39" t="n">
        <f aca="false">IF($AJ136="","",COUNTIF($AJ$4:$AJ$1004,$AJ136))</f>
        <v>5</v>
      </c>
      <c r="AM136" s="42"/>
      <c r="AN136" s="50" t="str">
        <f aca="false">IF($D136="","",IFERROR(T(VLOOKUP($D136,Listas!$B$5:$H$120,7,0)),""))</f>
        <v/>
      </c>
      <c r="AO136" s="50" t="str">
        <f aca="false">IF(OR($F136="",$L136&lt;&gt;"",$R136="Cancelada",$AT136&lt;&gt;""),"",$AN136&amp;"|"&amp;$D136&amp;"|"&amp;IF($C136="","zzz",$C136)&amp;"|"&amp;TEXT(136,"0000"))</f>
        <v/>
      </c>
      <c r="AP136" s="50" t="str">
        <f aca="false">IF($AO136="","",COUNTIF($AO$5:$AO$1004,"&lt;"&amp;$AO136)-(ROWS($AO$5:$AO$1004)-Hoje!$L$5)+1)</f>
        <v/>
      </c>
      <c r="AQ136" s="50" t="n">
        <f aca="false">IF(AND($F136&lt;&gt;"",$D136=Frota!$C$3),1,0)</f>
        <v>0</v>
      </c>
      <c r="AR136" s="50" t="str">
        <f aca="false">IF($AQ136=0,"",SUM($AQ$4:$AQ136))</f>
        <v/>
      </c>
      <c r="AS136" s="50" t="str">
        <f aca="false">IFERROR(INDEX(Hoje!$K$10:$K$29,MATCH(ROW(),Hoje!$J$10:$J$29,0)),"")</f>
        <v/>
      </c>
      <c r="AT136" s="50" t="str">
        <f aca="false">IF($Q136&lt;&gt;"",$Q136,$AS136)</f>
        <v/>
      </c>
    </row>
    <row r="137" customFormat="false" ht="16.5" hidden="false" customHeight="true" outlineLevel="0" collapsed="false">
      <c r="A137" s="39" t="n">
        <f aca="false">IF($F137="","",ROW())</f>
        <v>137</v>
      </c>
      <c r="B137" s="40" t="str">
        <f aca="false">IF($F137="",IF($D137="","","Falta a atividade"),IF($R137="Cancelada","Cancelada",IF($AB137=1,IF(N($Z137)&gt;0,"Concluída com atraso","Concluída"),IF($R137="Em programação","Em programação",IF($O137="",IF($M137="","Na carteira","Falta a semana"),IF($AC137=1,"VENCIDA",IF($O137&gt;Hoje!$L$1,"Programada",IF($P137&gt;Hoje!$L$1,"Em execução","Fecha hoje"))))))))</f>
        <v>Concluída</v>
      </c>
      <c r="C137" s="41" t="s">
        <v>377</v>
      </c>
      <c r="D137" s="42" t="s">
        <v>378</v>
      </c>
      <c r="E137" s="42" t="s">
        <v>379</v>
      </c>
      <c r="F137" s="42" t="s">
        <v>379</v>
      </c>
      <c r="G137" s="43" t="s">
        <v>80</v>
      </c>
      <c r="H137" s="43" t="s">
        <v>81</v>
      </c>
      <c r="I137" s="44" t="s">
        <v>88</v>
      </c>
      <c r="J137" s="44"/>
      <c r="K137" s="44"/>
      <c r="L137" s="45" t="n">
        <v>35</v>
      </c>
      <c r="M137" s="46" t="s">
        <v>173</v>
      </c>
      <c r="N137" s="45" t="n">
        <v>3</v>
      </c>
      <c r="O137" s="47" t="n">
        <f aca="false">IF(OR($L137="",$M137=""),"",(DATE(Semana!$J$3,1,4)-WEEKDAY(DATE(Semana!$J$3,1,4),3))+($L137-1)*7+MATCH($M137,Listas!$F$5:$F$11,0)-1)</f>
        <v>46261</v>
      </c>
      <c r="P137" s="47" t="n">
        <f aca="false">IF(OR($F137="",$O137=""),"",$O137+MAX(0,ROUNDUP($AK137*MAX(1,IF($N137="",1,$N137))/MAX(1,$AL137),0)-1))</f>
        <v>46261</v>
      </c>
      <c r="Q137" s="48" t="n">
        <v>46261</v>
      </c>
      <c r="R137" s="43" t="s">
        <v>85</v>
      </c>
      <c r="S137" s="49"/>
      <c r="T137" s="42"/>
      <c r="U137" s="42"/>
      <c r="V137" s="39" t="str">
        <f aca="false">IF($F137="","",IF(ISNUMBER(SEARCH("(externo)",$I137&amp;$J137&amp;$K137)),"Terceirizada","Interna"))</f>
        <v>Interna</v>
      </c>
      <c r="W137" s="47" t="n">
        <f aca="false">IF($O137="","",IF($S137="",$O137,(DATE(Semana!$J$3,1,4)-WEEKDAY(DATE(Semana!$J$3,1,4),3))+($S137-1)*7+IF($M137="",0,MATCH($M137,Listas!$F$5:$F$11,0)-1)))</f>
        <v>46261</v>
      </c>
      <c r="X137" s="39" t="n">
        <f aca="false">IF($F137="","",IF(OR($AT137="",$O137=""),0,IF($AT137&lt;=$O137,1,0)))</f>
        <v>1</v>
      </c>
      <c r="Y137" s="39" t="n">
        <f aca="false">IF($F137="","",IF(OR($AT137="",$W137=""),0,IF($AT137&lt;=$W137,1,0)))</f>
        <v>1</v>
      </c>
      <c r="Z137" s="39" t="n">
        <f aca="false">IF(OR($AT137="",$O137=""),"",MAX(0,$AT137-$O137))</f>
        <v>0</v>
      </c>
      <c r="AA137" s="39" t="n">
        <f aca="false">IF($F137="","",IF(AND($S137&lt;&gt;"",$L137&lt;&gt;"",$S137&lt;&gt;$L137),1,0))</f>
        <v>0</v>
      </c>
      <c r="AB137" s="39" t="n">
        <f aca="false">IF($F137="","",IF($R137="Cancelada",0,IF(OR($AT137&lt;&gt;"",$R137="Concluída"),1,0)))</f>
        <v>1</v>
      </c>
      <c r="AC137" s="39" t="n">
        <f aca="false">IF($P137="",0,IF($P137&lt;Hoje!$L$1,1,IF(AND($P137=Hoje!$L$1,Hoje!$L$2&gt;Semana!$M$3),1,0)))</f>
        <v>1</v>
      </c>
      <c r="AD137" s="39" t="n">
        <f aca="false">IF($F137="","",IF(COUNTA($I137:$K137)=0,0,1/COUNTA($I137:$K137)))</f>
        <v>1</v>
      </c>
      <c r="AE137" s="39" t="str">
        <f aca="false">IF($AH137=0,"",SUM($AH$4:$AH137))</f>
        <v/>
      </c>
      <c r="AF137" s="39" t="str">
        <f aca="false">IF($AI137=0,"",SUM($AI$4:$AI137))</f>
        <v/>
      </c>
      <c r="AG137" s="50" t="str">
        <f aca="false">IF($F137="","",$I137&amp;IF($J137="",""," · "&amp;$J137)&amp;IF($K137="",""," · "&amp;$K137))</f>
        <v>Júnior</v>
      </c>
      <c r="AH137" s="39" t="n">
        <f aca="false">IF(AND($F137&lt;&gt;"",$O137&lt;&gt;"",$O137&lt;=Hoje!$C$3,$P137&gt;=Hoje!$C$3,$R137&lt;&gt;"Cancelada"),1,0)</f>
        <v>0</v>
      </c>
      <c r="AI137" s="39" t="n">
        <f aca="false">IF(AND($F137&lt;&gt;"",$P137&lt;&gt;"",$P137&lt;Hoje!$C$3,$AB137=0,$R137&lt;&gt;"Cancelada"),1,0)</f>
        <v>0</v>
      </c>
      <c r="AJ137" s="50" t="str">
        <f aca="false">IF($F137="","",$D137&amp;"|"&amp;$E137&amp;"|"&amp;$L137)</f>
        <v>F-938|Trocar palhetas do climatizador|35</v>
      </c>
      <c r="AK137" s="39" t="n">
        <f aca="false">IF($AJ137="","",COUNTIF($AJ$4:$AJ137,$AJ137))</f>
        <v>1</v>
      </c>
      <c r="AL137" s="39" t="n">
        <f aca="false">IF($AJ137="","",COUNTIF($AJ$4:$AJ$1004,$AJ137))</f>
        <v>3</v>
      </c>
      <c r="AM137" s="42"/>
      <c r="AN137" s="50" t="str">
        <f aca="false">IF($D137="","",IFERROR(T(VLOOKUP($D137,Listas!$B$5:$H$120,7,0)),""))</f>
        <v/>
      </c>
      <c r="AO137" s="50" t="str">
        <f aca="false">IF(OR($F137="",$L137&lt;&gt;"",$R137="Cancelada",$AT137&lt;&gt;""),"",$AN137&amp;"|"&amp;$D137&amp;"|"&amp;IF($C137="","zzz",$C137)&amp;"|"&amp;TEXT(137,"0000"))</f>
        <v/>
      </c>
      <c r="AP137" s="50" t="str">
        <f aca="false">IF($AO137="","",COUNTIF($AO$5:$AO$1004,"&lt;"&amp;$AO137)-(ROWS($AO$5:$AO$1004)-Hoje!$L$5)+1)</f>
        <v/>
      </c>
      <c r="AQ137" s="50" t="n">
        <f aca="false">IF(AND($F137&lt;&gt;"",$D137=Frota!$C$3),1,0)</f>
        <v>0</v>
      </c>
      <c r="AR137" s="50" t="str">
        <f aca="false">IF($AQ137=0,"",SUM($AQ$4:$AQ137))</f>
        <v/>
      </c>
      <c r="AS137" s="50" t="str">
        <f aca="false">IFERROR(INDEX(Hoje!$K$10:$K$29,MATCH(ROW(),Hoje!$J$10:$J$29,0)),"")</f>
        <v/>
      </c>
      <c r="AT137" s="47" t="n">
        <f aca="false">IF($Q137&lt;&gt;"",$Q137,$AS137)</f>
        <v>46261</v>
      </c>
    </row>
    <row r="138" customFormat="false" ht="16.5" hidden="false" customHeight="true" outlineLevel="0" collapsed="false">
      <c r="A138" s="39" t="n">
        <f aca="false">IF($F138="","",ROW())</f>
        <v>138</v>
      </c>
      <c r="B138" s="40" t="str">
        <f aca="false">IF($F138="",IF($D138="","","Falta a atividade"),IF($R138="Cancelada","Cancelada",IF($AB138=1,IF(N($Z138)&gt;0,"Concluída com atraso","Concluída"),IF($R138="Em programação","Em programação",IF($O138="",IF($M138="","Na carteira","Falta a semana"),IF($AC138=1,"VENCIDA",IF($O138&gt;Hoje!$L$1,"Programada",IF($P138&gt;Hoje!$L$1,"Em execução","Fecha hoje"))))))))</f>
        <v>Concluída</v>
      </c>
      <c r="C138" s="41"/>
      <c r="D138" s="42" t="s">
        <v>378</v>
      </c>
      <c r="E138" s="42" t="s">
        <v>379</v>
      </c>
      <c r="F138" s="42" t="s">
        <v>380</v>
      </c>
      <c r="G138" s="43" t="s">
        <v>80</v>
      </c>
      <c r="H138" s="43" t="s">
        <v>81</v>
      </c>
      <c r="I138" s="44" t="s">
        <v>88</v>
      </c>
      <c r="J138" s="44"/>
      <c r="K138" s="44"/>
      <c r="L138" s="45" t="n">
        <v>35</v>
      </c>
      <c r="M138" s="46" t="s">
        <v>173</v>
      </c>
      <c r="N138" s="45" t="n">
        <v>3</v>
      </c>
      <c r="O138" s="47" t="n">
        <f aca="false">IF(OR($L138="",$M138=""),"",(DATE(Semana!$J$3,1,4)-WEEKDAY(DATE(Semana!$J$3,1,4),3))+($L138-1)*7+MATCH($M138,Listas!$F$5:$F$11,0)-1)</f>
        <v>46261</v>
      </c>
      <c r="P138" s="47" t="n">
        <f aca="false">IF(OR($F138="",$O138=""),"",$O138+MAX(0,ROUNDUP($AK138*MAX(1,IF($N138="",1,$N138))/MAX(1,$AL138),0)-1))</f>
        <v>46262</v>
      </c>
      <c r="Q138" s="48" t="n">
        <v>46261</v>
      </c>
      <c r="R138" s="43" t="s">
        <v>85</v>
      </c>
      <c r="S138" s="49"/>
      <c r="T138" s="42"/>
      <c r="U138" s="42"/>
      <c r="V138" s="39" t="str">
        <f aca="false">IF($F138="","",IF(ISNUMBER(SEARCH("(externo)",$I138&amp;$J138&amp;$K138)),"Terceirizada","Interna"))</f>
        <v>Interna</v>
      </c>
      <c r="W138" s="47" t="n">
        <f aca="false">IF($O138="","",IF($S138="",$O138,(DATE(Semana!$J$3,1,4)-WEEKDAY(DATE(Semana!$J$3,1,4),3))+($S138-1)*7+IF($M138="",0,MATCH($M138,Listas!$F$5:$F$11,0)-1)))</f>
        <v>46261</v>
      </c>
      <c r="X138" s="39" t="n">
        <f aca="false">IF($F138="","",IF(OR($AT138="",$O138=""),0,IF($AT138&lt;=$O138,1,0)))</f>
        <v>1</v>
      </c>
      <c r="Y138" s="39" t="n">
        <f aca="false">IF($F138="","",IF(OR($AT138="",$W138=""),0,IF($AT138&lt;=$W138,1,0)))</f>
        <v>1</v>
      </c>
      <c r="Z138" s="39" t="n">
        <f aca="false">IF(OR($AT138="",$O138=""),"",MAX(0,$AT138-$O138))</f>
        <v>0</v>
      </c>
      <c r="AA138" s="39" t="n">
        <f aca="false">IF($F138="","",IF(AND($S138&lt;&gt;"",$L138&lt;&gt;"",$S138&lt;&gt;$L138),1,0))</f>
        <v>0</v>
      </c>
      <c r="AB138" s="39" t="n">
        <f aca="false">IF($F138="","",IF($R138="Cancelada",0,IF(OR($AT138&lt;&gt;"",$R138="Concluída"),1,0)))</f>
        <v>1</v>
      </c>
      <c r="AC138" s="39" t="n">
        <f aca="false">IF($P138="",0,IF($P138&lt;Hoje!$L$1,1,IF(AND($P138=Hoje!$L$1,Hoje!$L$2&gt;Semana!$M$3),1,0)))</f>
        <v>1</v>
      </c>
      <c r="AD138" s="39" t="n">
        <f aca="false">IF($F138="","",IF(COUNTA($I138:$K138)=0,0,1/COUNTA($I138:$K138)))</f>
        <v>1</v>
      </c>
      <c r="AE138" s="39" t="str">
        <f aca="false">IF($AH138=0,"",SUM($AH$4:$AH138))</f>
        <v/>
      </c>
      <c r="AF138" s="39" t="str">
        <f aca="false">IF($AI138=0,"",SUM($AI$4:$AI138))</f>
        <v/>
      </c>
      <c r="AG138" s="50" t="str">
        <f aca="false">IF($F138="","",$I138&amp;IF($J138="",""," · "&amp;$J138)&amp;IF($K138="",""," · "&amp;$K138))</f>
        <v>Júnior</v>
      </c>
      <c r="AH138" s="39" t="n">
        <f aca="false">IF(AND($F138&lt;&gt;"",$O138&lt;&gt;"",$O138&lt;=Hoje!$C$3,$P138&gt;=Hoje!$C$3,$R138&lt;&gt;"Cancelada"),1,0)</f>
        <v>0</v>
      </c>
      <c r="AI138" s="39" t="n">
        <f aca="false">IF(AND($F138&lt;&gt;"",$P138&lt;&gt;"",$P138&lt;Hoje!$C$3,$AB138=0,$R138&lt;&gt;"Cancelada"),1,0)</f>
        <v>0</v>
      </c>
      <c r="AJ138" s="50" t="str">
        <f aca="false">IF($F138="","",$D138&amp;"|"&amp;$E138&amp;"|"&amp;$L138)</f>
        <v>F-938|Trocar palhetas do climatizador|35</v>
      </c>
      <c r="AK138" s="39" t="n">
        <f aca="false">IF($AJ138="","",COUNTIF($AJ$4:$AJ138,$AJ138))</f>
        <v>2</v>
      </c>
      <c r="AL138" s="39" t="n">
        <f aca="false">IF($AJ138="","",COUNTIF($AJ$4:$AJ$1004,$AJ138))</f>
        <v>3</v>
      </c>
      <c r="AM138" s="42"/>
      <c r="AN138" s="50" t="str">
        <f aca="false">IF($D138="","",IFERROR(T(VLOOKUP($D138,Listas!$B$5:$H$120,7,0)),""))</f>
        <v/>
      </c>
      <c r="AO138" s="50" t="str">
        <f aca="false">IF(OR($F138="",$L138&lt;&gt;"",$R138="Cancelada",$AT138&lt;&gt;""),"",$AN138&amp;"|"&amp;$D138&amp;"|"&amp;IF($C138="","zzz",$C138)&amp;"|"&amp;TEXT(138,"0000"))</f>
        <v/>
      </c>
      <c r="AP138" s="50" t="str">
        <f aca="false">IF($AO138="","",COUNTIF($AO$5:$AO$1004,"&lt;"&amp;$AO138)-(ROWS($AO$5:$AO$1004)-Hoje!$L$5)+1)</f>
        <v/>
      </c>
      <c r="AQ138" s="50" t="n">
        <f aca="false">IF(AND($F138&lt;&gt;"",$D138=Frota!$C$3),1,0)</f>
        <v>0</v>
      </c>
      <c r="AR138" s="50" t="str">
        <f aca="false">IF($AQ138=0,"",SUM($AQ$4:$AQ138))</f>
        <v/>
      </c>
      <c r="AS138" s="50" t="str">
        <f aca="false">IFERROR(INDEX(Hoje!$K$10:$K$29,MATCH(ROW(),Hoje!$J$10:$J$29,0)),"")</f>
        <v/>
      </c>
      <c r="AT138" s="47" t="n">
        <f aca="false">IF($Q138&lt;&gt;"",$Q138,$AS138)</f>
        <v>46261</v>
      </c>
    </row>
    <row r="139" customFormat="false" ht="16.5" hidden="false" customHeight="true" outlineLevel="0" collapsed="false">
      <c r="A139" s="39" t="n">
        <f aca="false">IF($F139="","",ROW())</f>
        <v>139</v>
      </c>
      <c r="B139" s="40" t="str">
        <f aca="false">IF($F139="",IF($D139="","","Falta a atividade"),IF($R139="Cancelada","Cancelada",IF($AB139=1,IF(N($Z139)&gt;0,"Concluída com atraso","Concluída"),IF($R139="Em programação","Em programação",IF($O139="",IF($M139="","Na carteira","Falta a semana"),IF($AC139=1,"VENCIDA",IF($O139&gt;Hoje!$L$1,"Programada",IF($P139&gt;Hoje!$L$1,"Em execução","Fecha hoje"))))))))</f>
        <v>Concluída</v>
      </c>
      <c r="C139" s="41"/>
      <c r="D139" s="42" t="s">
        <v>378</v>
      </c>
      <c r="E139" s="42" t="s">
        <v>379</v>
      </c>
      <c r="F139" s="42" t="s">
        <v>381</v>
      </c>
      <c r="G139" s="43" t="s">
        <v>80</v>
      </c>
      <c r="H139" s="43" t="s">
        <v>81</v>
      </c>
      <c r="I139" s="44" t="s">
        <v>88</v>
      </c>
      <c r="J139" s="44"/>
      <c r="K139" s="44"/>
      <c r="L139" s="45" t="n">
        <v>35</v>
      </c>
      <c r="M139" s="46" t="s">
        <v>173</v>
      </c>
      <c r="N139" s="45" t="n">
        <v>3</v>
      </c>
      <c r="O139" s="47" t="n">
        <f aca="false">IF(OR($L139="",$M139=""),"",(DATE(Semana!$J$3,1,4)-WEEKDAY(DATE(Semana!$J$3,1,4),3))+($L139-1)*7+MATCH($M139,Listas!$F$5:$F$11,0)-1)</f>
        <v>46261</v>
      </c>
      <c r="P139" s="47" t="n">
        <f aca="false">IF(OR($F139="",$O139=""),"",$O139+MAX(0,ROUNDUP($AK139*MAX(1,IF($N139="",1,$N139))/MAX(1,$AL139),0)-1))</f>
        <v>46263</v>
      </c>
      <c r="Q139" s="48" t="n">
        <v>46261</v>
      </c>
      <c r="R139" s="43" t="s">
        <v>85</v>
      </c>
      <c r="S139" s="49"/>
      <c r="T139" s="42"/>
      <c r="U139" s="42"/>
      <c r="V139" s="39" t="str">
        <f aca="false">IF($F139="","",IF(ISNUMBER(SEARCH("(externo)",$I139&amp;$J139&amp;$K139)),"Terceirizada","Interna"))</f>
        <v>Interna</v>
      </c>
      <c r="W139" s="47" t="n">
        <f aca="false">IF($O139="","",IF($S139="",$O139,(DATE(Semana!$J$3,1,4)-WEEKDAY(DATE(Semana!$J$3,1,4),3))+($S139-1)*7+IF($M139="",0,MATCH($M139,Listas!$F$5:$F$11,0)-1)))</f>
        <v>46261</v>
      </c>
      <c r="X139" s="39" t="n">
        <f aca="false">IF($F139="","",IF(OR($AT139="",$O139=""),0,IF($AT139&lt;=$O139,1,0)))</f>
        <v>1</v>
      </c>
      <c r="Y139" s="39" t="n">
        <f aca="false">IF($F139="","",IF(OR($AT139="",$W139=""),0,IF($AT139&lt;=$W139,1,0)))</f>
        <v>1</v>
      </c>
      <c r="Z139" s="39" t="n">
        <f aca="false">IF(OR($AT139="",$O139=""),"",MAX(0,$AT139-$O139))</f>
        <v>0</v>
      </c>
      <c r="AA139" s="39" t="n">
        <f aca="false">IF($F139="","",IF(AND($S139&lt;&gt;"",$L139&lt;&gt;"",$S139&lt;&gt;$L139),1,0))</f>
        <v>0</v>
      </c>
      <c r="AB139" s="39" t="n">
        <f aca="false">IF($F139="","",IF($R139="Cancelada",0,IF(OR($AT139&lt;&gt;"",$R139="Concluída"),1,0)))</f>
        <v>1</v>
      </c>
      <c r="AC139" s="39" t="n">
        <f aca="false">IF($P139="",0,IF($P139&lt;Hoje!$L$1,1,IF(AND($P139=Hoje!$L$1,Hoje!$L$2&gt;Semana!$M$3),1,0)))</f>
        <v>1</v>
      </c>
      <c r="AD139" s="39" t="n">
        <f aca="false">IF($F139="","",IF(COUNTA($I139:$K139)=0,0,1/COUNTA($I139:$K139)))</f>
        <v>1</v>
      </c>
      <c r="AE139" s="39" t="str">
        <f aca="false">IF($AH139=0,"",SUM($AH$4:$AH139))</f>
        <v/>
      </c>
      <c r="AF139" s="39" t="str">
        <f aca="false">IF($AI139=0,"",SUM($AI$4:$AI139))</f>
        <v/>
      </c>
      <c r="AG139" s="50" t="str">
        <f aca="false">IF($F139="","",$I139&amp;IF($J139="",""," · "&amp;$J139)&amp;IF($K139="",""," · "&amp;$K139))</f>
        <v>Júnior</v>
      </c>
      <c r="AH139" s="39" t="n">
        <f aca="false">IF(AND($F139&lt;&gt;"",$O139&lt;&gt;"",$O139&lt;=Hoje!$C$3,$P139&gt;=Hoje!$C$3,$R139&lt;&gt;"Cancelada"),1,0)</f>
        <v>0</v>
      </c>
      <c r="AI139" s="39" t="n">
        <f aca="false">IF(AND($F139&lt;&gt;"",$P139&lt;&gt;"",$P139&lt;Hoje!$C$3,$AB139=0,$R139&lt;&gt;"Cancelada"),1,0)</f>
        <v>0</v>
      </c>
      <c r="AJ139" s="50" t="str">
        <f aca="false">IF($F139="","",$D139&amp;"|"&amp;$E139&amp;"|"&amp;$L139)</f>
        <v>F-938|Trocar palhetas do climatizador|35</v>
      </c>
      <c r="AK139" s="39" t="n">
        <f aca="false">IF($AJ139="","",COUNTIF($AJ$4:$AJ139,$AJ139))</f>
        <v>3</v>
      </c>
      <c r="AL139" s="39" t="n">
        <f aca="false">IF($AJ139="","",COUNTIF($AJ$4:$AJ$1004,$AJ139))</f>
        <v>3</v>
      </c>
      <c r="AM139" s="42"/>
      <c r="AN139" s="50" t="str">
        <f aca="false">IF($D139="","",IFERROR(T(VLOOKUP($D139,Listas!$B$5:$H$120,7,0)),""))</f>
        <v/>
      </c>
      <c r="AO139" s="50" t="str">
        <f aca="false">IF(OR($F139="",$L139&lt;&gt;"",$R139="Cancelada",$AT139&lt;&gt;""),"",$AN139&amp;"|"&amp;$D139&amp;"|"&amp;IF($C139="","zzz",$C139)&amp;"|"&amp;TEXT(139,"0000"))</f>
        <v/>
      </c>
      <c r="AP139" s="50" t="str">
        <f aca="false">IF($AO139="","",COUNTIF($AO$5:$AO$1004,"&lt;"&amp;$AO139)-(ROWS($AO$5:$AO$1004)-Hoje!$L$5)+1)</f>
        <v/>
      </c>
      <c r="AQ139" s="50" t="n">
        <f aca="false">IF(AND($F139&lt;&gt;"",$D139=Frota!$C$3),1,0)</f>
        <v>0</v>
      </c>
      <c r="AR139" s="50" t="str">
        <f aca="false">IF($AQ139=0,"",SUM($AQ$4:$AQ139))</f>
        <v/>
      </c>
      <c r="AS139" s="50" t="str">
        <f aca="false">IFERROR(INDEX(Hoje!$K$10:$K$29,MATCH(ROW(),Hoje!$J$10:$J$29,0)),"")</f>
        <v/>
      </c>
      <c r="AT139" s="47" t="n">
        <f aca="false">IF($Q139&lt;&gt;"",$Q139,$AS139)</f>
        <v>46261</v>
      </c>
    </row>
    <row r="140" customFormat="false" ht="16.5" hidden="false" customHeight="true" outlineLevel="0" collapsed="false">
      <c r="A140" s="39" t="n">
        <f aca="false">IF($F140="","",ROW())</f>
        <v>140</v>
      </c>
      <c r="B140" s="40" t="str">
        <f aca="false">IF($F140="",IF($D140="","","Falta a atividade"),IF($R140="Cancelada","Cancelada",IF($AB140=1,IF(N($Z140)&gt;0,"Concluída com atraso","Concluída"),IF($R140="Em programação","Em programação",IF($O140="",IF($M140="","Na carteira","Falta a semana"),IF($AC140=1,"VENCIDA",IF($O140&gt;Hoje!$L$1,"Programada",IF($P140&gt;Hoje!$L$1,"Em execução","Fecha hoje"))))))))</f>
        <v>Na carteira</v>
      </c>
      <c r="C140" s="41"/>
      <c r="D140" s="42" t="s">
        <v>382</v>
      </c>
      <c r="E140" s="42" t="s">
        <v>383</v>
      </c>
      <c r="F140" s="42" t="s">
        <v>384</v>
      </c>
      <c r="G140" s="43" t="s">
        <v>80</v>
      </c>
      <c r="H140" s="43" t="s">
        <v>100</v>
      </c>
      <c r="I140" s="44"/>
      <c r="J140" s="44"/>
      <c r="K140" s="44"/>
      <c r="L140" s="45"/>
      <c r="M140" s="46"/>
      <c r="N140" s="45" t="n">
        <v>4</v>
      </c>
      <c r="O140" s="47" t="str">
        <f aca="false">IF(OR($L140="",$M140=""),"",(DATE(Semana!$J$3,1,4)-WEEKDAY(DATE(Semana!$J$3,1,4),3))+($L140-1)*7+MATCH($M140,Listas!$F$5:$F$11,0)-1)</f>
        <v/>
      </c>
      <c r="P140" s="47" t="str">
        <f aca="false">IF(OR($F140="",$O140=""),"",$O140+MAX(0,ROUNDUP($AK140*MAX(1,IF($N140="",1,$N140))/MAX(1,$AL140),0)-1))</f>
        <v/>
      </c>
      <c r="Q140" s="48"/>
      <c r="R140" s="43"/>
      <c r="S140" s="49"/>
      <c r="T140" s="42"/>
      <c r="U140" s="42"/>
      <c r="V140" s="39" t="str">
        <f aca="false">IF($F140="","",IF(ISNUMBER(SEARCH("(externo)",$I140&amp;$J140&amp;$K140)),"Terceirizada","Interna"))</f>
        <v>Interna</v>
      </c>
      <c r="W140" s="47" t="str">
        <f aca="false">IF($O140="","",IF($S140="",$O140,(DATE(Semana!$J$3,1,4)-WEEKDAY(DATE(Semana!$J$3,1,4),3))+($S140-1)*7+IF($M140="",0,MATCH($M140,Listas!$F$5:$F$11,0)-1)))</f>
        <v/>
      </c>
      <c r="X140" s="39" t="n">
        <f aca="false">IF($F140="","",IF(OR($AT140="",$O140=""),0,IF($AT140&lt;=$O140,1,0)))</f>
        <v>0</v>
      </c>
      <c r="Y140" s="39" t="n">
        <f aca="false">IF($F140="","",IF(OR($AT140="",$W140=""),0,IF($AT140&lt;=$W140,1,0)))</f>
        <v>0</v>
      </c>
      <c r="Z140" s="39" t="str">
        <f aca="false">IF(OR($AT140="",$O140=""),"",MAX(0,$AT140-$O140))</f>
        <v/>
      </c>
      <c r="AA140" s="39" t="n">
        <f aca="false">IF($F140="","",IF(AND($S140&lt;&gt;"",$L140&lt;&gt;"",$S140&lt;&gt;$L140),1,0))</f>
        <v>0</v>
      </c>
      <c r="AB140" s="39" t="n">
        <f aca="false">IF($F140="","",IF($R140="Cancelada",0,IF(OR($AT140&lt;&gt;"",$R140="Concluída"),1,0)))</f>
        <v>0</v>
      </c>
      <c r="AC140" s="39" t="n">
        <f aca="false">IF($P140="",0,IF($P140&lt;Hoje!$L$1,1,IF(AND($P140=Hoje!$L$1,Hoje!$L$2&gt;Semana!$M$3),1,0)))</f>
        <v>0</v>
      </c>
      <c r="AD140" s="39" t="n">
        <f aca="false">IF($F140="","",IF(COUNTA($I140:$K140)=0,0,1/COUNTA($I140:$K140)))</f>
        <v>0</v>
      </c>
      <c r="AE140" s="39" t="str">
        <f aca="false">IF($AH140=0,"",SUM($AH$4:$AH140))</f>
        <v/>
      </c>
      <c r="AF140" s="39" t="str">
        <f aca="false">IF($AI140=0,"",SUM($AI$4:$AI140))</f>
        <v/>
      </c>
      <c r="AG140" s="50" t="str">
        <f aca="false">IF($F140="","",$I140&amp;IF($J140="",""," · "&amp;$J140)&amp;IF($K140="",""," · "&amp;$K140))</f>
        <v/>
      </c>
      <c r="AH140" s="39" t="n">
        <f aca="false">IF(AND($F140&lt;&gt;"",$O140&lt;&gt;"",$O140&lt;=Hoje!$C$3,$P140&gt;=Hoje!$C$3,$R140&lt;&gt;"Cancelada"),1,0)</f>
        <v>0</v>
      </c>
      <c r="AI140" s="39" t="n">
        <f aca="false">IF(AND($F140&lt;&gt;"",$P140&lt;&gt;"",$P140&lt;Hoje!$C$3,$AB140=0,$R140&lt;&gt;"Cancelada"),1,0)</f>
        <v>0</v>
      </c>
      <c r="AJ140" s="50" t="str">
        <f aca="false">IF($F140="","",$D140&amp;"|"&amp;$E140&amp;"|"&amp;$L140)</f>
        <v>F-964|BAIXA DE CARTEIRA|</v>
      </c>
      <c r="AK140" s="39" t="n">
        <f aca="false">IF($AJ140="","",COUNTIF($AJ$4:$AJ140,$AJ140))</f>
        <v>1</v>
      </c>
      <c r="AL140" s="39" t="n">
        <f aca="false">IF($AJ140="","",COUNTIF($AJ$4:$AJ$1004,$AJ140))</f>
        <v>33</v>
      </c>
      <c r="AM140" s="42"/>
      <c r="AN140" s="50" t="str">
        <f aca="false">IF($D140="","",IFERROR(T(VLOOKUP($D140,Listas!$B$5:$H$120,7,0)),""))</f>
        <v/>
      </c>
      <c r="AO140" s="50" t="str">
        <f aca="false">IF(OR($F140="",$L140&lt;&gt;"",$R140="Cancelada",$AT140&lt;&gt;""),"",$AN140&amp;"|"&amp;$D140&amp;"|"&amp;IF($C140="","zzz",$C140)&amp;"|"&amp;TEXT(140,"0000"))</f>
        <v>|F-964|zzz|0140</v>
      </c>
      <c r="AP140" s="50" t="n">
        <f aca="false">IF($AO140="","",COUNTIF($AO$5:$AO$1004,"&lt;"&amp;$AO140)-(ROWS($AO$5:$AO$1004)-Hoje!$L$5)+1)</f>
        <v>48</v>
      </c>
      <c r="AQ140" s="50" t="n">
        <f aca="false">IF(AND($F140&lt;&gt;"",$D140=Frota!$C$3),1,0)</f>
        <v>0</v>
      </c>
      <c r="AR140" s="50" t="str">
        <f aca="false">IF($AQ140=0,"",SUM($AQ$4:$AQ140))</f>
        <v/>
      </c>
      <c r="AS140" s="50" t="str">
        <f aca="false">IFERROR(INDEX(Hoje!$K$10:$K$29,MATCH(ROW(),Hoje!$J$10:$J$29,0)),"")</f>
        <v/>
      </c>
      <c r="AT140" s="50" t="str">
        <f aca="false">IF($Q140&lt;&gt;"",$Q140,$AS140)</f>
        <v/>
      </c>
    </row>
    <row r="141" customFormat="false" ht="16.5" hidden="false" customHeight="true" outlineLevel="0" collapsed="false">
      <c r="A141" s="39" t="n">
        <f aca="false">IF($F141="","",ROW())</f>
        <v>141</v>
      </c>
      <c r="B141" s="40" t="str">
        <f aca="false">IF($F141="",IF($D141="","","Falta a atividade"),IF($R141="Cancelada","Cancelada",IF($AB141=1,IF(N($Z141)&gt;0,"Concluída com atraso","Concluída"),IF($R141="Em programação","Em programação",IF($O141="",IF($M141="","Na carteira","Falta a semana"),IF($AC141=1,"VENCIDA",IF($O141&gt;Hoje!$L$1,"Programada",IF($P141&gt;Hoje!$L$1,"Em execução","Fecha hoje"))))))))</f>
        <v>Na carteira</v>
      </c>
      <c r="C141" s="41"/>
      <c r="D141" s="42" t="s">
        <v>382</v>
      </c>
      <c r="E141" s="42" t="s">
        <v>383</v>
      </c>
      <c r="F141" s="42" t="s">
        <v>385</v>
      </c>
      <c r="G141" s="43" t="s">
        <v>80</v>
      </c>
      <c r="H141" s="43" t="s">
        <v>100</v>
      </c>
      <c r="I141" s="44"/>
      <c r="J141" s="44"/>
      <c r="K141" s="44"/>
      <c r="L141" s="45"/>
      <c r="M141" s="46"/>
      <c r="N141" s="45" t="n">
        <v>4</v>
      </c>
      <c r="O141" s="47" t="str">
        <f aca="false">IF(OR($L141="",$M141=""),"",(DATE(Semana!$J$3,1,4)-WEEKDAY(DATE(Semana!$J$3,1,4),3))+($L141-1)*7+MATCH($M141,Listas!$F$5:$F$11,0)-1)</f>
        <v/>
      </c>
      <c r="P141" s="47" t="str">
        <f aca="false">IF(OR($F141="",$O141=""),"",$O141+MAX(0,ROUNDUP($AK141*MAX(1,IF($N141="",1,$N141))/MAX(1,$AL141),0)-1))</f>
        <v/>
      </c>
      <c r="Q141" s="48"/>
      <c r="R141" s="43"/>
      <c r="S141" s="49"/>
      <c r="T141" s="42"/>
      <c r="U141" s="42"/>
      <c r="V141" s="39" t="str">
        <f aca="false">IF($F141="","",IF(ISNUMBER(SEARCH("(externo)",$I141&amp;$J141&amp;$K141)),"Terceirizada","Interna"))</f>
        <v>Interna</v>
      </c>
      <c r="W141" s="47" t="str">
        <f aca="false">IF($O141="","",IF($S141="",$O141,(DATE(Semana!$J$3,1,4)-WEEKDAY(DATE(Semana!$J$3,1,4),3))+($S141-1)*7+IF($M141="",0,MATCH($M141,Listas!$F$5:$F$11,0)-1)))</f>
        <v/>
      </c>
      <c r="X141" s="39" t="n">
        <f aca="false">IF($F141="","",IF(OR($AT141="",$O141=""),0,IF($AT141&lt;=$O141,1,0)))</f>
        <v>0</v>
      </c>
      <c r="Y141" s="39" t="n">
        <f aca="false">IF($F141="","",IF(OR($AT141="",$W141=""),0,IF($AT141&lt;=$W141,1,0)))</f>
        <v>0</v>
      </c>
      <c r="Z141" s="39" t="str">
        <f aca="false">IF(OR($AT141="",$O141=""),"",MAX(0,$AT141-$O141))</f>
        <v/>
      </c>
      <c r="AA141" s="39" t="n">
        <f aca="false">IF($F141="","",IF(AND($S141&lt;&gt;"",$L141&lt;&gt;"",$S141&lt;&gt;$L141),1,0))</f>
        <v>0</v>
      </c>
      <c r="AB141" s="39" t="n">
        <f aca="false">IF($F141="","",IF($R141="Cancelada",0,IF(OR($AT141&lt;&gt;"",$R141="Concluída"),1,0)))</f>
        <v>0</v>
      </c>
      <c r="AC141" s="39" t="n">
        <f aca="false">IF($P141="",0,IF($P141&lt;Hoje!$L$1,1,IF(AND($P141=Hoje!$L$1,Hoje!$L$2&gt;Semana!$M$3),1,0)))</f>
        <v>0</v>
      </c>
      <c r="AD141" s="39" t="n">
        <f aca="false">IF($F141="","",IF(COUNTA($I141:$K141)=0,0,1/COUNTA($I141:$K141)))</f>
        <v>0</v>
      </c>
      <c r="AE141" s="39" t="str">
        <f aca="false">IF($AH141=0,"",SUM($AH$4:$AH141))</f>
        <v/>
      </c>
      <c r="AF141" s="39" t="str">
        <f aca="false">IF($AI141=0,"",SUM($AI$4:$AI141))</f>
        <v/>
      </c>
      <c r="AG141" s="50" t="str">
        <f aca="false">IF($F141="","",$I141&amp;IF($J141="",""," · "&amp;$J141)&amp;IF($K141="",""," · "&amp;$K141))</f>
        <v/>
      </c>
      <c r="AH141" s="39" t="n">
        <f aca="false">IF(AND($F141&lt;&gt;"",$O141&lt;&gt;"",$O141&lt;=Hoje!$C$3,$P141&gt;=Hoje!$C$3,$R141&lt;&gt;"Cancelada"),1,0)</f>
        <v>0</v>
      </c>
      <c r="AI141" s="39" t="n">
        <f aca="false">IF(AND($F141&lt;&gt;"",$P141&lt;&gt;"",$P141&lt;Hoje!$C$3,$AB141=0,$R141&lt;&gt;"Cancelada"),1,0)</f>
        <v>0</v>
      </c>
      <c r="AJ141" s="50" t="str">
        <f aca="false">IF($F141="","",$D141&amp;"|"&amp;$E141&amp;"|"&amp;$L141)</f>
        <v>F-964|BAIXA DE CARTEIRA|</v>
      </c>
      <c r="AK141" s="39" t="n">
        <f aca="false">IF($AJ141="","",COUNTIF($AJ$4:$AJ141,$AJ141))</f>
        <v>2</v>
      </c>
      <c r="AL141" s="39" t="n">
        <f aca="false">IF($AJ141="","",COUNTIF($AJ$4:$AJ$1004,$AJ141))</f>
        <v>33</v>
      </c>
      <c r="AM141" s="42"/>
      <c r="AN141" s="50" t="str">
        <f aca="false">IF($D141="","",IFERROR(T(VLOOKUP($D141,Listas!$B$5:$H$120,7,0)),""))</f>
        <v/>
      </c>
      <c r="AO141" s="50" t="str">
        <f aca="false">IF(OR($F141="",$L141&lt;&gt;"",$R141="Cancelada",$AT141&lt;&gt;""),"",$AN141&amp;"|"&amp;$D141&amp;"|"&amp;IF($C141="","zzz",$C141)&amp;"|"&amp;TEXT(141,"0000"))</f>
        <v>|F-964|zzz|0141</v>
      </c>
      <c r="AP141" s="50" t="n">
        <f aca="false">IF($AO141="","",COUNTIF($AO$5:$AO$1004,"&lt;"&amp;$AO141)-(ROWS($AO$5:$AO$1004)-Hoje!$L$5)+1)</f>
        <v>49</v>
      </c>
      <c r="AQ141" s="50" t="n">
        <f aca="false">IF(AND($F141&lt;&gt;"",$D141=Frota!$C$3),1,0)</f>
        <v>0</v>
      </c>
      <c r="AR141" s="50" t="str">
        <f aca="false">IF($AQ141=0,"",SUM($AQ$4:$AQ141))</f>
        <v/>
      </c>
      <c r="AS141" s="50" t="str">
        <f aca="false">IFERROR(INDEX(Hoje!$K$10:$K$29,MATCH(ROW(),Hoje!$J$10:$J$29,0)),"")</f>
        <v/>
      </c>
      <c r="AT141" s="50" t="str">
        <f aca="false">IF($Q141&lt;&gt;"",$Q141,$AS141)</f>
        <v/>
      </c>
    </row>
    <row r="142" customFormat="false" ht="16.5" hidden="false" customHeight="true" outlineLevel="0" collapsed="false">
      <c r="A142" s="39" t="n">
        <f aca="false">IF($F142="","",ROW())</f>
        <v>142</v>
      </c>
      <c r="B142" s="40" t="str">
        <f aca="false">IF($F142="",IF($D142="","","Falta a atividade"),IF($R142="Cancelada","Cancelada",IF($AB142=1,IF(N($Z142)&gt;0,"Concluída com atraso","Concluída"),IF($R142="Em programação","Em programação",IF($O142="",IF($M142="","Na carteira","Falta a semana"),IF($AC142=1,"VENCIDA",IF($O142&gt;Hoje!$L$1,"Programada",IF($P142&gt;Hoje!$L$1,"Em execução","Fecha hoje"))))))))</f>
        <v>Na carteira</v>
      </c>
      <c r="C142" s="41"/>
      <c r="D142" s="42" t="s">
        <v>382</v>
      </c>
      <c r="E142" s="42" t="s">
        <v>383</v>
      </c>
      <c r="F142" s="42" t="s">
        <v>386</v>
      </c>
      <c r="G142" s="43" t="s">
        <v>80</v>
      </c>
      <c r="H142" s="43" t="s">
        <v>100</v>
      </c>
      <c r="I142" s="44"/>
      <c r="J142" s="44"/>
      <c r="K142" s="44"/>
      <c r="L142" s="45"/>
      <c r="M142" s="46"/>
      <c r="N142" s="45" t="n">
        <v>4</v>
      </c>
      <c r="O142" s="47" t="str">
        <f aca="false">IF(OR($L142="",$M142=""),"",(DATE(Semana!$J$3,1,4)-WEEKDAY(DATE(Semana!$J$3,1,4),3))+($L142-1)*7+MATCH($M142,Listas!$F$5:$F$11,0)-1)</f>
        <v/>
      </c>
      <c r="P142" s="47" t="str">
        <f aca="false">IF(OR($F142="",$O142=""),"",$O142+MAX(0,ROUNDUP($AK142*MAX(1,IF($N142="",1,$N142))/MAX(1,$AL142),0)-1))</f>
        <v/>
      </c>
      <c r="Q142" s="48"/>
      <c r="R142" s="43"/>
      <c r="S142" s="49"/>
      <c r="T142" s="42"/>
      <c r="U142" s="42"/>
      <c r="V142" s="39" t="str">
        <f aca="false">IF($F142="","",IF(ISNUMBER(SEARCH("(externo)",$I142&amp;$J142&amp;$K142)),"Terceirizada","Interna"))</f>
        <v>Interna</v>
      </c>
      <c r="W142" s="47" t="str">
        <f aca="false">IF($O142="","",IF($S142="",$O142,(DATE(Semana!$J$3,1,4)-WEEKDAY(DATE(Semana!$J$3,1,4),3))+($S142-1)*7+IF($M142="",0,MATCH($M142,Listas!$F$5:$F$11,0)-1)))</f>
        <v/>
      </c>
      <c r="X142" s="39" t="n">
        <f aca="false">IF($F142="","",IF(OR($AT142="",$O142=""),0,IF($AT142&lt;=$O142,1,0)))</f>
        <v>0</v>
      </c>
      <c r="Y142" s="39" t="n">
        <f aca="false">IF($F142="","",IF(OR($AT142="",$W142=""),0,IF($AT142&lt;=$W142,1,0)))</f>
        <v>0</v>
      </c>
      <c r="Z142" s="39" t="str">
        <f aca="false">IF(OR($AT142="",$O142=""),"",MAX(0,$AT142-$O142))</f>
        <v/>
      </c>
      <c r="AA142" s="39" t="n">
        <f aca="false">IF($F142="","",IF(AND($S142&lt;&gt;"",$L142&lt;&gt;"",$S142&lt;&gt;$L142),1,0))</f>
        <v>0</v>
      </c>
      <c r="AB142" s="39" t="n">
        <f aca="false">IF($F142="","",IF($R142="Cancelada",0,IF(OR($AT142&lt;&gt;"",$R142="Concluída"),1,0)))</f>
        <v>0</v>
      </c>
      <c r="AC142" s="39" t="n">
        <f aca="false">IF($P142="",0,IF($P142&lt;Hoje!$L$1,1,IF(AND($P142=Hoje!$L$1,Hoje!$L$2&gt;Semana!$M$3),1,0)))</f>
        <v>0</v>
      </c>
      <c r="AD142" s="39" t="n">
        <f aca="false">IF($F142="","",IF(COUNTA($I142:$K142)=0,0,1/COUNTA($I142:$K142)))</f>
        <v>0</v>
      </c>
      <c r="AE142" s="39" t="str">
        <f aca="false">IF($AH142=0,"",SUM($AH$4:$AH142))</f>
        <v/>
      </c>
      <c r="AF142" s="39" t="str">
        <f aca="false">IF($AI142=0,"",SUM($AI$4:$AI142))</f>
        <v/>
      </c>
      <c r="AG142" s="50" t="str">
        <f aca="false">IF($F142="","",$I142&amp;IF($J142="",""," · "&amp;$J142)&amp;IF($K142="",""," · "&amp;$K142))</f>
        <v/>
      </c>
      <c r="AH142" s="39" t="n">
        <f aca="false">IF(AND($F142&lt;&gt;"",$O142&lt;&gt;"",$O142&lt;=Hoje!$C$3,$P142&gt;=Hoje!$C$3,$R142&lt;&gt;"Cancelada"),1,0)</f>
        <v>0</v>
      </c>
      <c r="AI142" s="39" t="n">
        <f aca="false">IF(AND($F142&lt;&gt;"",$P142&lt;&gt;"",$P142&lt;Hoje!$C$3,$AB142=0,$R142&lt;&gt;"Cancelada"),1,0)</f>
        <v>0</v>
      </c>
      <c r="AJ142" s="50" t="str">
        <f aca="false">IF($F142="","",$D142&amp;"|"&amp;$E142&amp;"|"&amp;$L142)</f>
        <v>F-964|BAIXA DE CARTEIRA|</v>
      </c>
      <c r="AK142" s="39" t="n">
        <f aca="false">IF($AJ142="","",COUNTIF($AJ$4:$AJ142,$AJ142))</f>
        <v>3</v>
      </c>
      <c r="AL142" s="39" t="n">
        <f aca="false">IF($AJ142="","",COUNTIF($AJ$4:$AJ$1004,$AJ142))</f>
        <v>33</v>
      </c>
      <c r="AM142" s="42"/>
      <c r="AN142" s="50" t="str">
        <f aca="false">IF($D142="","",IFERROR(T(VLOOKUP($D142,Listas!$B$5:$H$120,7,0)),""))</f>
        <v/>
      </c>
      <c r="AO142" s="50" t="str">
        <f aca="false">IF(OR($F142="",$L142&lt;&gt;"",$R142="Cancelada",$AT142&lt;&gt;""),"",$AN142&amp;"|"&amp;$D142&amp;"|"&amp;IF($C142="","zzz",$C142)&amp;"|"&amp;TEXT(142,"0000"))</f>
        <v>|F-964|zzz|0142</v>
      </c>
      <c r="AP142" s="50" t="n">
        <f aca="false">IF($AO142="","",COUNTIF($AO$5:$AO$1004,"&lt;"&amp;$AO142)-(ROWS($AO$5:$AO$1004)-Hoje!$L$5)+1)</f>
        <v>50</v>
      </c>
      <c r="AQ142" s="50" t="n">
        <f aca="false">IF(AND($F142&lt;&gt;"",$D142=Frota!$C$3),1,0)</f>
        <v>0</v>
      </c>
      <c r="AR142" s="50" t="str">
        <f aca="false">IF($AQ142=0,"",SUM($AQ$4:$AQ142))</f>
        <v/>
      </c>
      <c r="AS142" s="50" t="str">
        <f aca="false">IFERROR(INDEX(Hoje!$K$10:$K$29,MATCH(ROW(),Hoje!$J$10:$J$29,0)),"")</f>
        <v/>
      </c>
      <c r="AT142" s="50" t="str">
        <f aca="false">IF($Q142&lt;&gt;"",$Q142,$AS142)</f>
        <v/>
      </c>
    </row>
    <row r="143" customFormat="false" ht="16.5" hidden="false" customHeight="true" outlineLevel="0" collapsed="false">
      <c r="A143" s="39" t="n">
        <f aca="false">IF($F143="","",ROW())</f>
        <v>143</v>
      </c>
      <c r="B143" s="40" t="str">
        <f aca="false">IF($F143="",IF($D143="","","Falta a atividade"),IF($R143="Cancelada","Cancelada",IF($AB143=1,IF(N($Z143)&gt;0,"Concluída com atraso","Concluída"),IF($R143="Em programação","Em programação",IF($O143="",IF($M143="","Na carteira","Falta a semana"),IF($AC143=1,"VENCIDA",IF($O143&gt;Hoje!$L$1,"Programada",IF($P143&gt;Hoje!$L$1,"Em execução","Fecha hoje"))))))))</f>
        <v>Na carteira</v>
      </c>
      <c r="C143" s="41"/>
      <c r="D143" s="42" t="s">
        <v>382</v>
      </c>
      <c r="E143" s="42" t="s">
        <v>383</v>
      </c>
      <c r="F143" s="42" t="s">
        <v>387</v>
      </c>
      <c r="G143" s="43" t="s">
        <v>80</v>
      </c>
      <c r="H143" s="43" t="s">
        <v>100</v>
      </c>
      <c r="I143" s="44"/>
      <c r="J143" s="44"/>
      <c r="K143" s="44"/>
      <c r="L143" s="45"/>
      <c r="M143" s="46"/>
      <c r="N143" s="45" t="n">
        <v>4</v>
      </c>
      <c r="O143" s="47" t="str">
        <f aca="false">IF(OR($L143="",$M143=""),"",(DATE(Semana!$J$3,1,4)-WEEKDAY(DATE(Semana!$J$3,1,4),3))+($L143-1)*7+MATCH($M143,Listas!$F$5:$F$11,0)-1)</f>
        <v/>
      </c>
      <c r="P143" s="47" t="str">
        <f aca="false">IF(OR($F143="",$O143=""),"",$O143+MAX(0,ROUNDUP($AK143*MAX(1,IF($N143="",1,$N143))/MAX(1,$AL143),0)-1))</f>
        <v/>
      </c>
      <c r="Q143" s="48"/>
      <c r="R143" s="43"/>
      <c r="S143" s="49"/>
      <c r="T143" s="42"/>
      <c r="U143" s="42"/>
      <c r="V143" s="39" t="str">
        <f aca="false">IF($F143="","",IF(ISNUMBER(SEARCH("(externo)",$I143&amp;$J143&amp;$K143)),"Terceirizada","Interna"))</f>
        <v>Interna</v>
      </c>
      <c r="W143" s="47" t="str">
        <f aca="false">IF($O143="","",IF($S143="",$O143,(DATE(Semana!$J$3,1,4)-WEEKDAY(DATE(Semana!$J$3,1,4),3))+($S143-1)*7+IF($M143="",0,MATCH($M143,Listas!$F$5:$F$11,0)-1)))</f>
        <v/>
      </c>
      <c r="X143" s="39" t="n">
        <f aca="false">IF($F143="","",IF(OR($AT143="",$O143=""),0,IF($AT143&lt;=$O143,1,0)))</f>
        <v>0</v>
      </c>
      <c r="Y143" s="39" t="n">
        <f aca="false">IF($F143="","",IF(OR($AT143="",$W143=""),0,IF($AT143&lt;=$W143,1,0)))</f>
        <v>0</v>
      </c>
      <c r="Z143" s="39" t="str">
        <f aca="false">IF(OR($AT143="",$O143=""),"",MAX(0,$AT143-$O143))</f>
        <v/>
      </c>
      <c r="AA143" s="39" t="n">
        <f aca="false">IF($F143="","",IF(AND($S143&lt;&gt;"",$L143&lt;&gt;"",$S143&lt;&gt;$L143),1,0))</f>
        <v>0</v>
      </c>
      <c r="AB143" s="39" t="n">
        <f aca="false">IF($F143="","",IF($R143="Cancelada",0,IF(OR($AT143&lt;&gt;"",$R143="Concluída"),1,0)))</f>
        <v>0</v>
      </c>
      <c r="AC143" s="39" t="n">
        <f aca="false">IF($P143="",0,IF($P143&lt;Hoje!$L$1,1,IF(AND($P143=Hoje!$L$1,Hoje!$L$2&gt;Semana!$M$3),1,0)))</f>
        <v>0</v>
      </c>
      <c r="AD143" s="39" t="n">
        <f aca="false">IF($F143="","",IF(COUNTA($I143:$K143)=0,0,1/COUNTA($I143:$K143)))</f>
        <v>0</v>
      </c>
      <c r="AE143" s="39" t="str">
        <f aca="false">IF($AH143=0,"",SUM($AH$4:$AH143))</f>
        <v/>
      </c>
      <c r="AF143" s="39" t="str">
        <f aca="false">IF($AI143=0,"",SUM($AI$4:$AI143))</f>
        <v/>
      </c>
      <c r="AG143" s="50" t="str">
        <f aca="false">IF($F143="","",$I143&amp;IF($J143="",""," · "&amp;$J143)&amp;IF($K143="",""," · "&amp;$K143))</f>
        <v/>
      </c>
      <c r="AH143" s="39" t="n">
        <f aca="false">IF(AND($F143&lt;&gt;"",$O143&lt;&gt;"",$O143&lt;=Hoje!$C$3,$P143&gt;=Hoje!$C$3,$R143&lt;&gt;"Cancelada"),1,0)</f>
        <v>0</v>
      </c>
      <c r="AI143" s="39" t="n">
        <f aca="false">IF(AND($F143&lt;&gt;"",$P143&lt;&gt;"",$P143&lt;Hoje!$C$3,$AB143=0,$R143&lt;&gt;"Cancelada"),1,0)</f>
        <v>0</v>
      </c>
      <c r="AJ143" s="50" t="str">
        <f aca="false">IF($F143="","",$D143&amp;"|"&amp;$E143&amp;"|"&amp;$L143)</f>
        <v>F-964|BAIXA DE CARTEIRA|</v>
      </c>
      <c r="AK143" s="39" t="n">
        <f aca="false">IF($AJ143="","",COUNTIF($AJ$4:$AJ143,$AJ143))</f>
        <v>4</v>
      </c>
      <c r="AL143" s="39" t="n">
        <f aca="false">IF($AJ143="","",COUNTIF($AJ$4:$AJ$1004,$AJ143))</f>
        <v>33</v>
      </c>
      <c r="AM143" s="42"/>
      <c r="AN143" s="50" t="str">
        <f aca="false">IF($D143="","",IFERROR(T(VLOOKUP($D143,Listas!$B$5:$H$120,7,0)),""))</f>
        <v/>
      </c>
      <c r="AO143" s="50" t="str">
        <f aca="false">IF(OR($F143="",$L143&lt;&gt;"",$R143="Cancelada",$AT143&lt;&gt;""),"",$AN143&amp;"|"&amp;$D143&amp;"|"&amp;IF($C143="","zzz",$C143)&amp;"|"&amp;TEXT(143,"0000"))</f>
        <v>|F-964|zzz|0143</v>
      </c>
      <c r="AP143" s="50" t="n">
        <f aca="false">IF($AO143="","",COUNTIF($AO$5:$AO$1004,"&lt;"&amp;$AO143)-(ROWS($AO$5:$AO$1004)-Hoje!$L$5)+1)</f>
        <v>51</v>
      </c>
      <c r="AQ143" s="50" t="n">
        <f aca="false">IF(AND($F143&lt;&gt;"",$D143=Frota!$C$3),1,0)</f>
        <v>0</v>
      </c>
      <c r="AR143" s="50" t="str">
        <f aca="false">IF($AQ143=0,"",SUM($AQ$4:$AQ143))</f>
        <v/>
      </c>
      <c r="AS143" s="50" t="str">
        <f aca="false">IFERROR(INDEX(Hoje!$K$10:$K$29,MATCH(ROW(),Hoje!$J$10:$J$29,0)),"")</f>
        <v/>
      </c>
      <c r="AT143" s="50" t="str">
        <f aca="false">IF($Q143&lt;&gt;"",$Q143,$AS143)</f>
        <v/>
      </c>
    </row>
    <row r="144" customFormat="false" ht="16.5" hidden="false" customHeight="true" outlineLevel="0" collapsed="false">
      <c r="A144" s="39" t="n">
        <f aca="false">IF($F144="","",ROW())</f>
        <v>144</v>
      </c>
      <c r="B144" s="40" t="str">
        <f aca="false">IF($F144="",IF($D144="","","Falta a atividade"),IF($R144="Cancelada","Cancelada",IF($AB144=1,IF(N($Z144)&gt;0,"Concluída com atraso","Concluída"),IF($R144="Em programação","Em programação",IF($O144="",IF($M144="","Na carteira","Falta a semana"),IF($AC144=1,"VENCIDA",IF($O144&gt;Hoje!$L$1,"Programada",IF($P144&gt;Hoje!$L$1,"Em execução","Fecha hoje"))))))))</f>
        <v>Na carteira</v>
      </c>
      <c r="C144" s="41"/>
      <c r="D144" s="42" t="s">
        <v>382</v>
      </c>
      <c r="E144" s="42" t="s">
        <v>383</v>
      </c>
      <c r="F144" s="42" t="s">
        <v>388</v>
      </c>
      <c r="G144" s="43" t="s">
        <v>80</v>
      </c>
      <c r="H144" s="43" t="s">
        <v>100</v>
      </c>
      <c r="I144" s="44"/>
      <c r="J144" s="44"/>
      <c r="K144" s="44"/>
      <c r="L144" s="45"/>
      <c r="M144" s="46"/>
      <c r="N144" s="45" t="n">
        <v>4</v>
      </c>
      <c r="O144" s="47" t="str">
        <f aca="false">IF(OR($L144="",$M144=""),"",(DATE(Semana!$J$3,1,4)-WEEKDAY(DATE(Semana!$J$3,1,4),3))+($L144-1)*7+MATCH($M144,Listas!$F$5:$F$11,0)-1)</f>
        <v/>
      </c>
      <c r="P144" s="47" t="str">
        <f aca="false">IF(OR($F144="",$O144=""),"",$O144+MAX(0,ROUNDUP($AK144*MAX(1,IF($N144="",1,$N144))/MAX(1,$AL144),0)-1))</f>
        <v/>
      </c>
      <c r="Q144" s="48"/>
      <c r="R144" s="43"/>
      <c r="S144" s="49"/>
      <c r="T144" s="42"/>
      <c r="U144" s="42"/>
      <c r="V144" s="39" t="str">
        <f aca="false">IF($F144="","",IF(ISNUMBER(SEARCH("(externo)",$I144&amp;$J144&amp;$K144)),"Terceirizada","Interna"))</f>
        <v>Interna</v>
      </c>
      <c r="W144" s="47" t="str">
        <f aca="false">IF($O144="","",IF($S144="",$O144,(DATE(Semana!$J$3,1,4)-WEEKDAY(DATE(Semana!$J$3,1,4),3))+($S144-1)*7+IF($M144="",0,MATCH($M144,Listas!$F$5:$F$11,0)-1)))</f>
        <v/>
      </c>
      <c r="X144" s="39" t="n">
        <f aca="false">IF($F144="","",IF(OR($AT144="",$O144=""),0,IF($AT144&lt;=$O144,1,0)))</f>
        <v>0</v>
      </c>
      <c r="Y144" s="39" t="n">
        <f aca="false">IF($F144="","",IF(OR($AT144="",$W144=""),0,IF($AT144&lt;=$W144,1,0)))</f>
        <v>0</v>
      </c>
      <c r="Z144" s="39" t="str">
        <f aca="false">IF(OR($AT144="",$O144=""),"",MAX(0,$AT144-$O144))</f>
        <v/>
      </c>
      <c r="AA144" s="39" t="n">
        <f aca="false">IF($F144="","",IF(AND($S144&lt;&gt;"",$L144&lt;&gt;"",$S144&lt;&gt;$L144),1,0))</f>
        <v>0</v>
      </c>
      <c r="AB144" s="39" t="n">
        <f aca="false">IF($F144="","",IF($R144="Cancelada",0,IF(OR($AT144&lt;&gt;"",$R144="Concluída"),1,0)))</f>
        <v>0</v>
      </c>
      <c r="AC144" s="39" t="n">
        <f aca="false">IF($P144="",0,IF($P144&lt;Hoje!$L$1,1,IF(AND($P144=Hoje!$L$1,Hoje!$L$2&gt;Semana!$M$3),1,0)))</f>
        <v>0</v>
      </c>
      <c r="AD144" s="39" t="n">
        <f aca="false">IF($F144="","",IF(COUNTA($I144:$K144)=0,0,1/COUNTA($I144:$K144)))</f>
        <v>0</v>
      </c>
      <c r="AE144" s="39" t="str">
        <f aca="false">IF($AH144=0,"",SUM($AH$4:$AH144))</f>
        <v/>
      </c>
      <c r="AF144" s="39" t="str">
        <f aca="false">IF($AI144=0,"",SUM($AI$4:$AI144))</f>
        <v/>
      </c>
      <c r="AG144" s="50" t="str">
        <f aca="false">IF($F144="","",$I144&amp;IF($J144="",""," · "&amp;$J144)&amp;IF($K144="",""," · "&amp;$K144))</f>
        <v/>
      </c>
      <c r="AH144" s="39" t="n">
        <f aca="false">IF(AND($F144&lt;&gt;"",$O144&lt;&gt;"",$O144&lt;=Hoje!$C$3,$P144&gt;=Hoje!$C$3,$R144&lt;&gt;"Cancelada"),1,0)</f>
        <v>0</v>
      </c>
      <c r="AI144" s="39" t="n">
        <f aca="false">IF(AND($F144&lt;&gt;"",$P144&lt;&gt;"",$P144&lt;Hoje!$C$3,$AB144=0,$R144&lt;&gt;"Cancelada"),1,0)</f>
        <v>0</v>
      </c>
      <c r="AJ144" s="50" t="str">
        <f aca="false">IF($F144="","",$D144&amp;"|"&amp;$E144&amp;"|"&amp;$L144)</f>
        <v>F-964|BAIXA DE CARTEIRA|</v>
      </c>
      <c r="AK144" s="39" t="n">
        <f aca="false">IF($AJ144="","",COUNTIF($AJ$4:$AJ144,$AJ144))</f>
        <v>5</v>
      </c>
      <c r="AL144" s="39" t="n">
        <f aca="false">IF($AJ144="","",COUNTIF($AJ$4:$AJ$1004,$AJ144))</f>
        <v>33</v>
      </c>
      <c r="AM144" s="42"/>
      <c r="AN144" s="50" t="str">
        <f aca="false">IF($D144="","",IFERROR(T(VLOOKUP($D144,Listas!$B$5:$H$120,7,0)),""))</f>
        <v/>
      </c>
      <c r="AO144" s="50" t="str">
        <f aca="false">IF(OR($F144="",$L144&lt;&gt;"",$R144="Cancelada",$AT144&lt;&gt;""),"",$AN144&amp;"|"&amp;$D144&amp;"|"&amp;IF($C144="","zzz",$C144)&amp;"|"&amp;TEXT(144,"0000"))</f>
        <v>|F-964|zzz|0144</v>
      </c>
      <c r="AP144" s="50" t="n">
        <f aca="false">IF($AO144="","",COUNTIF($AO$5:$AO$1004,"&lt;"&amp;$AO144)-(ROWS($AO$5:$AO$1004)-Hoje!$L$5)+1)</f>
        <v>52</v>
      </c>
      <c r="AQ144" s="50" t="n">
        <f aca="false">IF(AND($F144&lt;&gt;"",$D144=Frota!$C$3),1,0)</f>
        <v>0</v>
      </c>
      <c r="AR144" s="50" t="str">
        <f aca="false">IF($AQ144=0,"",SUM($AQ$4:$AQ144))</f>
        <v/>
      </c>
      <c r="AS144" s="50" t="str">
        <f aca="false">IFERROR(INDEX(Hoje!$K$10:$K$29,MATCH(ROW(),Hoje!$J$10:$J$29,0)),"")</f>
        <v/>
      </c>
      <c r="AT144" s="50" t="str">
        <f aca="false">IF($Q144&lt;&gt;"",$Q144,$AS144)</f>
        <v/>
      </c>
    </row>
    <row r="145" customFormat="false" ht="16.5" hidden="false" customHeight="true" outlineLevel="0" collapsed="false">
      <c r="A145" s="39" t="n">
        <f aca="false">IF($F145="","",ROW())</f>
        <v>145</v>
      </c>
      <c r="B145" s="40" t="str">
        <f aca="false">IF($F145="",IF($D145="","","Falta a atividade"),IF($R145="Cancelada","Cancelada",IF($AB145=1,IF(N($Z145)&gt;0,"Concluída com atraso","Concluída"),IF($R145="Em programação","Em programação",IF($O145="",IF($M145="","Na carteira","Falta a semana"),IF($AC145=1,"VENCIDA",IF($O145&gt;Hoje!$L$1,"Programada",IF($P145&gt;Hoje!$L$1,"Em execução","Fecha hoje"))))))))</f>
        <v>Na carteira</v>
      </c>
      <c r="C145" s="41"/>
      <c r="D145" s="42" t="s">
        <v>382</v>
      </c>
      <c r="E145" s="42" t="s">
        <v>383</v>
      </c>
      <c r="F145" s="42" t="s">
        <v>336</v>
      </c>
      <c r="G145" s="43" t="s">
        <v>80</v>
      </c>
      <c r="H145" s="43" t="s">
        <v>100</v>
      </c>
      <c r="I145" s="44"/>
      <c r="J145" s="44"/>
      <c r="K145" s="44"/>
      <c r="L145" s="45"/>
      <c r="M145" s="46"/>
      <c r="N145" s="45" t="n">
        <v>4</v>
      </c>
      <c r="O145" s="47" t="str">
        <f aca="false">IF(OR($L145="",$M145=""),"",(DATE(Semana!$J$3,1,4)-WEEKDAY(DATE(Semana!$J$3,1,4),3))+($L145-1)*7+MATCH($M145,Listas!$F$5:$F$11,0)-1)</f>
        <v/>
      </c>
      <c r="P145" s="47" t="str">
        <f aca="false">IF(OR($F145="",$O145=""),"",$O145+MAX(0,ROUNDUP($AK145*MAX(1,IF($N145="",1,$N145))/MAX(1,$AL145),0)-1))</f>
        <v/>
      </c>
      <c r="Q145" s="48"/>
      <c r="R145" s="43"/>
      <c r="S145" s="49"/>
      <c r="T145" s="42"/>
      <c r="U145" s="42"/>
      <c r="V145" s="39" t="str">
        <f aca="false">IF($F145="","",IF(ISNUMBER(SEARCH("(externo)",$I145&amp;$J145&amp;$K145)),"Terceirizada","Interna"))</f>
        <v>Interna</v>
      </c>
      <c r="W145" s="47" t="str">
        <f aca="false">IF($O145="","",IF($S145="",$O145,(DATE(Semana!$J$3,1,4)-WEEKDAY(DATE(Semana!$J$3,1,4),3))+($S145-1)*7+IF($M145="",0,MATCH($M145,Listas!$F$5:$F$11,0)-1)))</f>
        <v/>
      </c>
      <c r="X145" s="39" t="n">
        <f aca="false">IF($F145="","",IF(OR($AT145="",$O145=""),0,IF($AT145&lt;=$O145,1,0)))</f>
        <v>0</v>
      </c>
      <c r="Y145" s="39" t="n">
        <f aca="false">IF($F145="","",IF(OR($AT145="",$W145=""),0,IF($AT145&lt;=$W145,1,0)))</f>
        <v>0</v>
      </c>
      <c r="Z145" s="39" t="str">
        <f aca="false">IF(OR($AT145="",$O145=""),"",MAX(0,$AT145-$O145))</f>
        <v/>
      </c>
      <c r="AA145" s="39" t="n">
        <f aca="false">IF($F145="","",IF(AND($S145&lt;&gt;"",$L145&lt;&gt;"",$S145&lt;&gt;$L145),1,0))</f>
        <v>0</v>
      </c>
      <c r="AB145" s="39" t="n">
        <f aca="false">IF($F145="","",IF($R145="Cancelada",0,IF(OR($AT145&lt;&gt;"",$R145="Concluída"),1,0)))</f>
        <v>0</v>
      </c>
      <c r="AC145" s="39" t="n">
        <f aca="false">IF($P145="",0,IF($P145&lt;Hoje!$L$1,1,IF(AND($P145=Hoje!$L$1,Hoje!$L$2&gt;Semana!$M$3),1,0)))</f>
        <v>0</v>
      </c>
      <c r="AD145" s="39" t="n">
        <f aca="false">IF($F145="","",IF(COUNTA($I145:$K145)=0,0,1/COUNTA($I145:$K145)))</f>
        <v>0</v>
      </c>
      <c r="AE145" s="39" t="str">
        <f aca="false">IF($AH145=0,"",SUM($AH$4:$AH145))</f>
        <v/>
      </c>
      <c r="AF145" s="39" t="str">
        <f aca="false">IF($AI145=0,"",SUM($AI$4:$AI145))</f>
        <v/>
      </c>
      <c r="AG145" s="50" t="str">
        <f aca="false">IF($F145="","",$I145&amp;IF($J145="",""," · "&amp;$J145)&amp;IF($K145="",""," · "&amp;$K145))</f>
        <v/>
      </c>
      <c r="AH145" s="39" t="n">
        <f aca="false">IF(AND($F145&lt;&gt;"",$O145&lt;&gt;"",$O145&lt;=Hoje!$C$3,$P145&gt;=Hoje!$C$3,$R145&lt;&gt;"Cancelada"),1,0)</f>
        <v>0</v>
      </c>
      <c r="AI145" s="39" t="n">
        <f aca="false">IF(AND($F145&lt;&gt;"",$P145&lt;&gt;"",$P145&lt;Hoje!$C$3,$AB145=0,$R145&lt;&gt;"Cancelada"),1,0)</f>
        <v>0</v>
      </c>
      <c r="AJ145" s="50" t="str">
        <f aca="false">IF($F145="","",$D145&amp;"|"&amp;$E145&amp;"|"&amp;$L145)</f>
        <v>F-964|BAIXA DE CARTEIRA|</v>
      </c>
      <c r="AK145" s="39" t="n">
        <f aca="false">IF($AJ145="","",COUNTIF($AJ$4:$AJ145,$AJ145))</f>
        <v>6</v>
      </c>
      <c r="AL145" s="39" t="n">
        <f aca="false">IF($AJ145="","",COUNTIF($AJ$4:$AJ$1004,$AJ145))</f>
        <v>33</v>
      </c>
      <c r="AM145" s="42"/>
      <c r="AN145" s="50" t="str">
        <f aca="false">IF($D145="","",IFERROR(T(VLOOKUP($D145,Listas!$B$5:$H$120,7,0)),""))</f>
        <v/>
      </c>
      <c r="AO145" s="50" t="str">
        <f aca="false">IF(OR($F145="",$L145&lt;&gt;"",$R145="Cancelada",$AT145&lt;&gt;""),"",$AN145&amp;"|"&amp;$D145&amp;"|"&amp;IF($C145="","zzz",$C145)&amp;"|"&amp;TEXT(145,"0000"))</f>
        <v>|F-964|zzz|0145</v>
      </c>
      <c r="AP145" s="50" t="n">
        <f aca="false">IF($AO145="","",COUNTIF($AO$5:$AO$1004,"&lt;"&amp;$AO145)-(ROWS($AO$5:$AO$1004)-Hoje!$L$5)+1)</f>
        <v>53</v>
      </c>
      <c r="AQ145" s="50" t="n">
        <f aca="false">IF(AND($F145&lt;&gt;"",$D145=Frota!$C$3),1,0)</f>
        <v>0</v>
      </c>
      <c r="AR145" s="50" t="str">
        <f aca="false">IF($AQ145=0,"",SUM($AQ$4:$AQ145))</f>
        <v/>
      </c>
      <c r="AS145" s="50" t="str">
        <f aca="false">IFERROR(INDEX(Hoje!$K$10:$K$29,MATCH(ROW(),Hoje!$J$10:$J$29,0)),"")</f>
        <v/>
      </c>
      <c r="AT145" s="50" t="str">
        <f aca="false">IF($Q145&lt;&gt;"",$Q145,$AS145)</f>
        <v/>
      </c>
    </row>
    <row r="146" customFormat="false" ht="16.5" hidden="false" customHeight="true" outlineLevel="0" collapsed="false">
      <c r="A146" s="39" t="n">
        <f aca="false">IF($F146="","",ROW())</f>
        <v>146</v>
      </c>
      <c r="B146" s="40" t="str">
        <f aca="false">IF($F146="",IF($D146="","","Falta a atividade"),IF($R146="Cancelada","Cancelada",IF($AB146=1,IF(N($Z146)&gt;0,"Concluída com atraso","Concluída"),IF($R146="Em programação","Em programação",IF($O146="",IF($M146="","Na carteira","Falta a semana"),IF($AC146=1,"VENCIDA",IF($O146&gt;Hoje!$L$1,"Programada",IF($P146&gt;Hoje!$L$1,"Em execução","Fecha hoje"))))))))</f>
        <v>Na carteira</v>
      </c>
      <c r="C146" s="41"/>
      <c r="D146" s="42" t="s">
        <v>382</v>
      </c>
      <c r="E146" s="42" t="s">
        <v>383</v>
      </c>
      <c r="F146" s="42" t="s">
        <v>389</v>
      </c>
      <c r="G146" s="43" t="s">
        <v>80</v>
      </c>
      <c r="H146" s="43" t="s">
        <v>100</v>
      </c>
      <c r="I146" s="44"/>
      <c r="J146" s="44"/>
      <c r="K146" s="44"/>
      <c r="L146" s="45"/>
      <c r="M146" s="46"/>
      <c r="N146" s="45" t="n">
        <v>4</v>
      </c>
      <c r="O146" s="47" t="str">
        <f aca="false">IF(OR($L146="",$M146=""),"",(DATE(Semana!$J$3,1,4)-WEEKDAY(DATE(Semana!$J$3,1,4),3))+($L146-1)*7+MATCH($M146,Listas!$F$5:$F$11,0)-1)</f>
        <v/>
      </c>
      <c r="P146" s="47" t="str">
        <f aca="false">IF(OR($F146="",$O146=""),"",$O146+MAX(0,ROUNDUP($AK146*MAX(1,IF($N146="",1,$N146))/MAX(1,$AL146),0)-1))</f>
        <v/>
      </c>
      <c r="Q146" s="48"/>
      <c r="R146" s="43"/>
      <c r="S146" s="49"/>
      <c r="T146" s="42"/>
      <c r="U146" s="42"/>
      <c r="V146" s="39" t="str">
        <f aca="false">IF($F146="","",IF(ISNUMBER(SEARCH("(externo)",$I146&amp;$J146&amp;$K146)),"Terceirizada","Interna"))</f>
        <v>Interna</v>
      </c>
      <c r="W146" s="47" t="str">
        <f aca="false">IF($O146="","",IF($S146="",$O146,(DATE(Semana!$J$3,1,4)-WEEKDAY(DATE(Semana!$J$3,1,4),3))+($S146-1)*7+IF($M146="",0,MATCH($M146,Listas!$F$5:$F$11,0)-1)))</f>
        <v/>
      </c>
      <c r="X146" s="39" t="n">
        <f aca="false">IF($F146="","",IF(OR($AT146="",$O146=""),0,IF($AT146&lt;=$O146,1,0)))</f>
        <v>0</v>
      </c>
      <c r="Y146" s="39" t="n">
        <f aca="false">IF($F146="","",IF(OR($AT146="",$W146=""),0,IF($AT146&lt;=$W146,1,0)))</f>
        <v>0</v>
      </c>
      <c r="Z146" s="39" t="str">
        <f aca="false">IF(OR($AT146="",$O146=""),"",MAX(0,$AT146-$O146))</f>
        <v/>
      </c>
      <c r="AA146" s="39" t="n">
        <f aca="false">IF($F146="","",IF(AND($S146&lt;&gt;"",$L146&lt;&gt;"",$S146&lt;&gt;$L146),1,0))</f>
        <v>0</v>
      </c>
      <c r="AB146" s="39" t="n">
        <f aca="false">IF($F146="","",IF($R146="Cancelada",0,IF(OR($AT146&lt;&gt;"",$R146="Concluída"),1,0)))</f>
        <v>0</v>
      </c>
      <c r="AC146" s="39" t="n">
        <f aca="false">IF($P146="",0,IF($P146&lt;Hoje!$L$1,1,IF(AND($P146=Hoje!$L$1,Hoje!$L$2&gt;Semana!$M$3),1,0)))</f>
        <v>0</v>
      </c>
      <c r="AD146" s="39" t="n">
        <f aca="false">IF($F146="","",IF(COUNTA($I146:$K146)=0,0,1/COUNTA($I146:$K146)))</f>
        <v>0</v>
      </c>
      <c r="AE146" s="39" t="str">
        <f aca="false">IF($AH146=0,"",SUM($AH$4:$AH146))</f>
        <v/>
      </c>
      <c r="AF146" s="39" t="str">
        <f aca="false">IF($AI146=0,"",SUM($AI$4:$AI146))</f>
        <v/>
      </c>
      <c r="AG146" s="50" t="str">
        <f aca="false">IF($F146="","",$I146&amp;IF($J146="",""," · "&amp;$J146)&amp;IF($K146="",""," · "&amp;$K146))</f>
        <v/>
      </c>
      <c r="AH146" s="39" t="n">
        <f aca="false">IF(AND($F146&lt;&gt;"",$O146&lt;&gt;"",$O146&lt;=Hoje!$C$3,$P146&gt;=Hoje!$C$3,$R146&lt;&gt;"Cancelada"),1,0)</f>
        <v>0</v>
      </c>
      <c r="AI146" s="39" t="n">
        <f aca="false">IF(AND($F146&lt;&gt;"",$P146&lt;&gt;"",$P146&lt;Hoje!$C$3,$AB146=0,$R146&lt;&gt;"Cancelada"),1,0)</f>
        <v>0</v>
      </c>
      <c r="AJ146" s="50" t="str">
        <f aca="false">IF($F146="","",$D146&amp;"|"&amp;$E146&amp;"|"&amp;$L146)</f>
        <v>F-964|BAIXA DE CARTEIRA|</v>
      </c>
      <c r="AK146" s="39" t="n">
        <f aca="false">IF($AJ146="","",COUNTIF($AJ$4:$AJ146,$AJ146))</f>
        <v>7</v>
      </c>
      <c r="AL146" s="39" t="n">
        <f aca="false">IF($AJ146="","",COUNTIF($AJ$4:$AJ$1004,$AJ146))</f>
        <v>33</v>
      </c>
      <c r="AM146" s="42"/>
      <c r="AN146" s="50" t="str">
        <f aca="false">IF($D146="","",IFERROR(T(VLOOKUP($D146,Listas!$B$5:$H$120,7,0)),""))</f>
        <v/>
      </c>
      <c r="AO146" s="50" t="str">
        <f aca="false">IF(OR($F146="",$L146&lt;&gt;"",$R146="Cancelada",$AT146&lt;&gt;""),"",$AN146&amp;"|"&amp;$D146&amp;"|"&amp;IF($C146="","zzz",$C146)&amp;"|"&amp;TEXT(146,"0000"))</f>
        <v>|F-964|zzz|0146</v>
      </c>
      <c r="AP146" s="50" t="n">
        <f aca="false">IF($AO146="","",COUNTIF($AO$5:$AO$1004,"&lt;"&amp;$AO146)-(ROWS($AO$5:$AO$1004)-Hoje!$L$5)+1)</f>
        <v>54</v>
      </c>
      <c r="AQ146" s="50" t="n">
        <f aca="false">IF(AND($F146&lt;&gt;"",$D146=Frota!$C$3),1,0)</f>
        <v>0</v>
      </c>
      <c r="AR146" s="50" t="str">
        <f aca="false">IF($AQ146=0,"",SUM($AQ$4:$AQ146))</f>
        <v/>
      </c>
      <c r="AS146" s="50" t="str">
        <f aca="false">IFERROR(INDEX(Hoje!$K$10:$K$29,MATCH(ROW(),Hoje!$J$10:$J$29,0)),"")</f>
        <v/>
      </c>
      <c r="AT146" s="50" t="str">
        <f aca="false">IF($Q146&lt;&gt;"",$Q146,$AS146)</f>
        <v/>
      </c>
    </row>
    <row r="147" customFormat="false" ht="16.5" hidden="false" customHeight="true" outlineLevel="0" collapsed="false">
      <c r="A147" s="39" t="n">
        <f aca="false">IF($F147="","",ROW())</f>
        <v>147</v>
      </c>
      <c r="B147" s="40" t="str">
        <f aca="false">IF($F147="",IF($D147="","","Falta a atividade"),IF($R147="Cancelada","Cancelada",IF($AB147=1,IF(N($Z147)&gt;0,"Concluída com atraso","Concluída"),IF($R147="Em programação","Em programação",IF($O147="",IF($M147="","Na carteira","Falta a semana"),IF($AC147=1,"VENCIDA",IF($O147&gt;Hoje!$L$1,"Programada",IF($P147&gt;Hoje!$L$1,"Em execução","Fecha hoje"))))))))</f>
        <v>Na carteira</v>
      </c>
      <c r="C147" s="41"/>
      <c r="D147" s="42" t="s">
        <v>382</v>
      </c>
      <c r="E147" s="42" t="s">
        <v>383</v>
      </c>
      <c r="F147" s="42" t="s">
        <v>390</v>
      </c>
      <c r="G147" s="43" t="s">
        <v>80</v>
      </c>
      <c r="H147" s="43" t="s">
        <v>100</v>
      </c>
      <c r="I147" s="44"/>
      <c r="J147" s="44"/>
      <c r="K147" s="44"/>
      <c r="L147" s="45"/>
      <c r="M147" s="46"/>
      <c r="N147" s="45" t="n">
        <v>4</v>
      </c>
      <c r="O147" s="47" t="str">
        <f aca="false">IF(OR($L147="",$M147=""),"",(DATE(Semana!$J$3,1,4)-WEEKDAY(DATE(Semana!$J$3,1,4),3))+($L147-1)*7+MATCH($M147,Listas!$F$5:$F$11,0)-1)</f>
        <v/>
      </c>
      <c r="P147" s="47" t="str">
        <f aca="false">IF(OR($F147="",$O147=""),"",$O147+MAX(0,ROUNDUP($AK147*MAX(1,IF($N147="",1,$N147))/MAX(1,$AL147),0)-1))</f>
        <v/>
      </c>
      <c r="Q147" s="48"/>
      <c r="R147" s="43"/>
      <c r="S147" s="49"/>
      <c r="T147" s="42"/>
      <c r="U147" s="42"/>
      <c r="V147" s="39" t="str">
        <f aca="false">IF($F147="","",IF(ISNUMBER(SEARCH("(externo)",$I147&amp;$J147&amp;$K147)),"Terceirizada","Interna"))</f>
        <v>Interna</v>
      </c>
      <c r="W147" s="47" t="str">
        <f aca="false">IF($O147="","",IF($S147="",$O147,(DATE(Semana!$J$3,1,4)-WEEKDAY(DATE(Semana!$J$3,1,4),3))+($S147-1)*7+IF($M147="",0,MATCH($M147,Listas!$F$5:$F$11,0)-1)))</f>
        <v/>
      </c>
      <c r="X147" s="39" t="n">
        <f aca="false">IF($F147="","",IF(OR($AT147="",$O147=""),0,IF($AT147&lt;=$O147,1,0)))</f>
        <v>0</v>
      </c>
      <c r="Y147" s="39" t="n">
        <f aca="false">IF($F147="","",IF(OR($AT147="",$W147=""),0,IF($AT147&lt;=$W147,1,0)))</f>
        <v>0</v>
      </c>
      <c r="Z147" s="39" t="str">
        <f aca="false">IF(OR($AT147="",$O147=""),"",MAX(0,$AT147-$O147))</f>
        <v/>
      </c>
      <c r="AA147" s="39" t="n">
        <f aca="false">IF($F147="","",IF(AND($S147&lt;&gt;"",$L147&lt;&gt;"",$S147&lt;&gt;$L147),1,0))</f>
        <v>0</v>
      </c>
      <c r="AB147" s="39" t="n">
        <f aca="false">IF($F147="","",IF($R147="Cancelada",0,IF(OR($AT147&lt;&gt;"",$R147="Concluída"),1,0)))</f>
        <v>0</v>
      </c>
      <c r="AC147" s="39" t="n">
        <f aca="false">IF($P147="",0,IF($P147&lt;Hoje!$L$1,1,IF(AND($P147=Hoje!$L$1,Hoje!$L$2&gt;Semana!$M$3),1,0)))</f>
        <v>0</v>
      </c>
      <c r="AD147" s="39" t="n">
        <f aca="false">IF($F147="","",IF(COUNTA($I147:$K147)=0,0,1/COUNTA($I147:$K147)))</f>
        <v>0</v>
      </c>
      <c r="AE147" s="39" t="str">
        <f aca="false">IF($AH147=0,"",SUM($AH$4:$AH147))</f>
        <v/>
      </c>
      <c r="AF147" s="39" t="str">
        <f aca="false">IF($AI147=0,"",SUM($AI$4:$AI147))</f>
        <v/>
      </c>
      <c r="AG147" s="50" t="str">
        <f aca="false">IF($F147="","",$I147&amp;IF($J147="",""," · "&amp;$J147)&amp;IF($K147="",""," · "&amp;$K147))</f>
        <v/>
      </c>
      <c r="AH147" s="39" t="n">
        <f aca="false">IF(AND($F147&lt;&gt;"",$O147&lt;&gt;"",$O147&lt;=Hoje!$C$3,$P147&gt;=Hoje!$C$3,$R147&lt;&gt;"Cancelada"),1,0)</f>
        <v>0</v>
      </c>
      <c r="AI147" s="39" t="n">
        <f aca="false">IF(AND($F147&lt;&gt;"",$P147&lt;&gt;"",$P147&lt;Hoje!$C$3,$AB147=0,$R147&lt;&gt;"Cancelada"),1,0)</f>
        <v>0</v>
      </c>
      <c r="AJ147" s="50" t="str">
        <f aca="false">IF($F147="","",$D147&amp;"|"&amp;$E147&amp;"|"&amp;$L147)</f>
        <v>F-964|BAIXA DE CARTEIRA|</v>
      </c>
      <c r="AK147" s="39" t="n">
        <f aca="false">IF($AJ147="","",COUNTIF($AJ$4:$AJ147,$AJ147))</f>
        <v>8</v>
      </c>
      <c r="AL147" s="39" t="n">
        <f aca="false">IF($AJ147="","",COUNTIF($AJ$4:$AJ$1004,$AJ147))</f>
        <v>33</v>
      </c>
      <c r="AM147" s="42"/>
      <c r="AN147" s="50" t="str">
        <f aca="false">IF($D147="","",IFERROR(T(VLOOKUP($D147,Listas!$B$5:$H$120,7,0)),""))</f>
        <v/>
      </c>
      <c r="AO147" s="50" t="str">
        <f aca="false">IF(OR($F147="",$L147&lt;&gt;"",$R147="Cancelada",$AT147&lt;&gt;""),"",$AN147&amp;"|"&amp;$D147&amp;"|"&amp;IF($C147="","zzz",$C147)&amp;"|"&amp;TEXT(147,"0000"))</f>
        <v>|F-964|zzz|0147</v>
      </c>
      <c r="AP147" s="50" t="n">
        <f aca="false">IF($AO147="","",COUNTIF($AO$5:$AO$1004,"&lt;"&amp;$AO147)-(ROWS($AO$5:$AO$1004)-Hoje!$L$5)+1)</f>
        <v>55</v>
      </c>
      <c r="AQ147" s="50" t="n">
        <f aca="false">IF(AND($F147&lt;&gt;"",$D147=Frota!$C$3),1,0)</f>
        <v>0</v>
      </c>
      <c r="AR147" s="50" t="str">
        <f aca="false">IF($AQ147=0,"",SUM($AQ$4:$AQ147))</f>
        <v/>
      </c>
      <c r="AS147" s="50" t="str">
        <f aca="false">IFERROR(INDEX(Hoje!$K$10:$K$29,MATCH(ROW(),Hoje!$J$10:$J$29,0)),"")</f>
        <v/>
      </c>
      <c r="AT147" s="50" t="str">
        <f aca="false">IF($Q147&lt;&gt;"",$Q147,$AS147)</f>
        <v/>
      </c>
    </row>
    <row r="148" customFormat="false" ht="16.5" hidden="false" customHeight="true" outlineLevel="0" collapsed="false">
      <c r="A148" s="39" t="n">
        <f aca="false">IF($F148="","",ROW())</f>
        <v>148</v>
      </c>
      <c r="B148" s="40" t="str">
        <f aca="false">IF($F148="",IF($D148="","","Falta a atividade"),IF($R148="Cancelada","Cancelada",IF($AB148=1,IF(N($Z148)&gt;0,"Concluída com atraso","Concluída"),IF($R148="Em programação","Em programação",IF($O148="",IF($M148="","Na carteira","Falta a semana"),IF($AC148=1,"VENCIDA",IF($O148&gt;Hoje!$L$1,"Programada",IF($P148&gt;Hoje!$L$1,"Em execução","Fecha hoje"))))))))</f>
        <v>Na carteira</v>
      </c>
      <c r="C148" s="41"/>
      <c r="D148" s="42" t="s">
        <v>382</v>
      </c>
      <c r="E148" s="42" t="s">
        <v>383</v>
      </c>
      <c r="F148" s="42" t="s">
        <v>391</v>
      </c>
      <c r="G148" s="43" t="s">
        <v>80</v>
      </c>
      <c r="H148" s="43" t="s">
        <v>100</v>
      </c>
      <c r="I148" s="44"/>
      <c r="J148" s="44"/>
      <c r="K148" s="44"/>
      <c r="L148" s="45"/>
      <c r="M148" s="46"/>
      <c r="N148" s="45" t="n">
        <v>4</v>
      </c>
      <c r="O148" s="47" t="str">
        <f aca="false">IF(OR($L148="",$M148=""),"",(DATE(Semana!$J$3,1,4)-WEEKDAY(DATE(Semana!$J$3,1,4),3))+($L148-1)*7+MATCH($M148,Listas!$F$5:$F$11,0)-1)</f>
        <v/>
      </c>
      <c r="P148" s="47" t="str">
        <f aca="false">IF(OR($F148="",$O148=""),"",$O148+MAX(0,ROUNDUP($AK148*MAX(1,IF($N148="",1,$N148))/MAX(1,$AL148),0)-1))</f>
        <v/>
      </c>
      <c r="Q148" s="48"/>
      <c r="R148" s="43"/>
      <c r="S148" s="49"/>
      <c r="T148" s="42"/>
      <c r="U148" s="42"/>
      <c r="V148" s="39" t="str">
        <f aca="false">IF($F148="","",IF(ISNUMBER(SEARCH("(externo)",$I148&amp;$J148&amp;$K148)),"Terceirizada","Interna"))</f>
        <v>Interna</v>
      </c>
      <c r="W148" s="47" t="str">
        <f aca="false">IF($O148="","",IF($S148="",$O148,(DATE(Semana!$J$3,1,4)-WEEKDAY(DATE(Semana!$J$3,1,4),3))+($S148-1)*7+IF($M148="",0,MATCH($M148,Listas!$F$5:$F$11,0)-1)))</f>
        <v/>
      </c>
      <c r="X148" s="39" t="n">
        <f aca="false">IF($F148="","",IF(OR($AT148="",$O148=""),0,IF($AT148&lt;=$O148,1,0)))</f>
        <v>0</v>
      </c>
      <c r="Y148" s="39" t="n">
        <f aca="false">IF($F148="","",IF(OR($AT148="",$W148=""),0,IF($AT148&lt;=$W148,1,0)))</f>
        <v>0</v>
      </c>
      <c r="Z148" s="39" t="str">
        <f aca="false">IF(OR($AT148="",$O148=""),"",MAX(0,$AT148-$O148))</f>
        <v/>
      </c>
      <c r="AA148" s="39" t="n">
        <f aca="false">IF($F148="","",IF(AND($S148&lt;&gt;"",$L148&lt;&gt;"",$S148&lt;&gt;$L148),1,0))</f>
        <v>0</v>
      </c>
      <c r="AB148" s="39" t="n">
        <f aca="false">IF($F148="","",IF($R148="Cancelada",0,IF(OR($AT148&lt;&gt;"",$R148="Concluída"),1,0)))</f>
        <v>0</v>
      </c>
      <c r="AC148" s="39" t="n">
        <f aca="false">IF($P148="",0,IF($P148&lt;Hoje!$L$1,1,IF(AND($P148=Hoje!$L$1,Hoje!$L$2&gt;Semana!$M$3),1,0)))</f>
        <v>0</v>
      </c>
      <c r="AD148" s="39" t="n">
        <f aca="false">IF($F148="","",IF(COUNTA($I148:$K148)=0,0,1/COUNTA($I148:$K148)))</f>
        <v>0</v>
      </c>
      <c r="AE148" s="39" t="str">
        <f aca="false">IF($AH148=0,"",SUM($AH$4:$AH148))</f>
        <v/>
      </c>
      <c r="AF148" s="39" t="str">
        <f aca="false">IF($AI148=0,"",SUM($AI$4:$AI148))</f>
        <v/>
      </c>
      <c r="AG148" s="50" t="str">
        <f aca="false">IF($F148="","",$I148&amp;IF($J148="",""," · "&amp;$J148)&amp;IF($K148="",""," · "&amp;$K148))</f>
        <v/>
      </c>
      <c r="AH148" s="39" t="n">
        <f aca="false">IF(AND($F148&lt;&gt;"",$O148&lt;&gt;"",$O148&lt;=Hoje!$C$3,$P148&gt;=Hoje!$C$3,$R148&lt;&gt;"Cancelada"),1,0)</f>
        <v>0</v>
      </c>
      <c r="AI148" s="39" t="n">
        <f aca="false">IF(AND($F148&lt;&gt;"",$P148&lt;&gt;"",$P148&lt;Hoje!$C$3,$AB148=0,$R148&lt;&gt;"Cancelada"),1,0)</f>
        <v>0</v>
      </c>
      <c r="AJ148" s="50" t="str">
        <f aca="false">IF($F148="","",$D148&amp;"|"&amp;$E148&amp;"|"&amp;$L148)</f>
        <v>F-964|BAIXA DE CARTEIRA|</v>
      </c>
      <c r="AK148" s="39" t="n">
        <f aca="false">IF($AJ148="","",COUNTIF($AJ$4:$AJ148,$AJ148))</f>
        <v>9</v>
      </c>
      <c r="AL148" s="39" t="n">
        <f aca="false">IF($AJ148="","",COUNTIF($AJ$4:$AJ$1004,$AJ148))</f>
        <v>33</v>
      </c>
      <c r="AM148" s="42"/>
      <c r="AN148" s="50" t="str">
        <f aca="false">IF($D148="","",IFERROR(T(VLOOKUP($D148,Listas!$B$5:$H$120,7,0)),""))</f>
        <v/>
      </c>
      <c r="AO148" s="50" t="str">
        <f aca="false">IF(OR($F148="",$L148&lt;&gt;"",$R148="Cancelada",$AT148&lt;&gt;""),"",$AN148&amp;"|"&amp;$D148&amp;"|"&amp;IF($C148="","zzz",$C148)&amp;"|"&amp;TEXT(148,"0000"))</f>
        <v>|F-964|zzz|0148</v>
      </c>
      <c r="AP148" s="50" t="n">
        <f aca="false">IF($AO148="","",COUNTIF($AO$5:$AO$1004,"&lt;"&amp;$AO148)-(ROWS($AO$5:$AO$1004)-Hoje!$L$5)+1)</f>
        <v>56</v>
      </c>
      <c r="AQ148" s="50" t="n">
        <f aca="false">IF(AND($F148&lt;&gt;"",$D148=Frota!$C$3),1,0)</f>
        <v>0</v>
      </c>
      <c r="AR148" s="50" t="str">
        <f aca="false">IF($AQ148=0,"",SUM($AQ$4:$AQ148))</f>
        <v/>
      </c>
      <c r="AS148" s="50" t="str">
        <f aca="false">IFERROR(INDEX(Hoje!$K$10:$K$29,MATCH(ROW(),Hoje!$J$10:$J$29,0)),"")</f>
        <v/>
      </c>
      <c r="AT148" s="50" t="str">
        <f aca="false">IF($Q148&lt;&gt;"",$Q148,$AS148)</f>
        <v/>
      </c>
    </row>
    <row r="149" customFormat="false" ht="16.5" hidden="false" customHeight="true" outlineLevel="0" collapsed="false">
      <c r="A149" s="39" t="n">
        <f aca="false">IF($F149="","",ROW())</f>
        <v>149</v>
      </c>
      <c r="B149" s="40" t="str">
        <f aca="false">IF($F149="",IF($D149="","","Falta a atividade"),IF($R149="Cancelada","Cancelada",IF($AB149=1,IF(N($Z149)&gt;0,"Concluída com atraso","Concluída"),IF($R149="Em programação","Em programação",IF($O149="",IF($M149="","Na carteira","Falta a semana"),IF($AC149=1,"VENCIDA",IF($O149&gt;Hoje!$L$1,"Programada",IF($P149&gt;Hoje!$L$1,"Em execução","Fecha hoje"))))))))</f>
        <v>Na carteira</v>
      </c>
      <c r="C149" s="41"/>
      <c r="D149" s="42" t="s">
        <v>382</v>
      </c>
      <c r="E149" s="42" t="s">
        <v>383</v>
      </c>
      <c r="F149" s="42" t="s">
        <v>392</v>
      </c>
      <c r="G149" s="43" t="s">
        <v>80</v>
      </c>
      <c r="H149" s="43" t="s">
        <v>100</v>
      </c>
      <c r="I149" s="44"/>
      <c r="J149" s="44"/>
      <c r="K149" s="44"/>
      <c r="L149" s="45"/>
      <c r="M149" s="46"/>
      <c r="N149" s="45" t="n">
        <v>4</v>
      </c>
      <c r="O149" s="47" t="str">
        <f aca="false">IF(OR($L149="",$M149=""),"",(DATE(Semana!$J$3,1,4)-WEEKDAY(DATE(Semana!$J$3,1,4),3))+($L149-1)*7+MATCH($M149,Listas!$F$5:$F$11,0)-1)</f>
        <v/>
      </c>
      <c r="P149" s="47" t="str">
        <f aca="false">IF(OR($F149="",$O149=""),"",$O149+MAX(0,ROUNDUP($AK149*MAX(1,IF($N149="",1,$N149))/MAX(1,$AL149),0)-1))</f>
        <v/>
      </c>
      <c r="Q149" s="48"/>
      <c r="R149" s="43"/>
      <c r="S149" s="49"/>
      <c r="T149" s="42"/>
      <c r="U149" s="42" t="s">
        <v>393</v>
      </c>
      <c r="V149" s="39" t="str">
        <f aca="false">IF($F149="","",IF(ISNUMBER(SEARCH("(externo)",$I149&amp;$J149&amp;$K149)),"Terceirizada","Interna"))</f>
        <v>Interna</v>
      </c>
      <c r="W149" s="47" t="str">
        <f aca="false">IF($O149="","",IF($S149="",$O149,(DATE(Semana!$J$3,1,4)-WEEKDAY(DATE(Semana!$J$3,1,4),3))+($S149-1)*7+IF($M149="",0,MATCH($M149,Listas!$F$5:$F$11,0)-1)))</f>
        <v/>
      </c>
      <c r="X149" s="39" t="n">
        <f aca="false">IF($F149="","",IF(OR($AT149="",$O149=""),0,IF($AT149&lt;=$O149,1,0)))</f>
        <v>0</v>
      </c>
      <c r="Y149" s="39" t="n">
        <f aca="false">IF($F149="","",IF(OR($AT149="",$W149=""),0,IF($AT149&lt;=$W149,1,0)))</f>
        <v>0</v>
      </c>
      <c r="Z149" s="39" t="str">
        <f aca="false">IF(OR($AT149="",$O149=""),"",MAX(0,$AT149-$O149))</f>
        <v/>
      </c>
      <c r="AA149" s="39" t="n">
        <f aca="false">IF($F149="","",IF(AND($S149&lt;&gt;"",$L149&lt;&gt;"",$S149&lt;&gt;$L149),1,0))</f>
        <v>0</v>
      </c>
      <c r="AB149" s="39" t="n">
        <f aca="false">IF($F149="","",IF($R149="Cancelada",0,IF(OR($AT149&lt;&gt;"",$R149="Concluída"),1,0)))</f>
        <v>0</v>
      </c>
      <c r="AC149" s="39" t="n">
        <f aca="false">IF($P149="",0,IF($P149&lt;Hoje!$L$1,1,IF(AND($P149=Hoje!$L$1,Hoje!$L$2&gt;Semana!$M$3),1,0)))</f>
        <v>0</v>
      </c>
      <c r="AD149" s="39" t="n">
        <f aca="false">IF($F149="","",IF(COUNTA($I149:$K149)=0,0,1/COUNTA($I149:$K149)))</f>
        <v>0</v>
      </c>
      <c r="AE149" s="39" t="str">
        <f aca="false">IF($AH149=0,"",SUM($AH$4:$AH149))</f>
        <v/>
      </c>
      <c r="AF149" s="39" t="str">
        <f aca="false">IF($AI149=0,"",SUM($AI$4:$AI149))</f>
        <v/>
      </c>
      <c r="AG149" s="50" t="str">
        <f aca="false">IF($F149="","",$I149&amp;IF($J149="",""," · "&amp;$J149)&amp;IF($K149="",""," · "&amp;$K149))</f>
        <v/>
      </c>
      <c r="AH149" s="39" t="n">
        <f aca="false">IF(AND($F149&lt;&gt;"",$O149&lt;&gt;"",$O149&lt;=Hoje!$C$3,$P149&gt;=Hoje!$C$3,$R149&lt;&gt;"Cancelada"),1,0)</f>
        <v>0</v>
      </c>
      <c r="AI149" s="39" t="n">
        <f aca="false">IF(AND($F149&lt;&gt;"",$P149&lt;&gt;"",$P149&lt;Hoje!$C$3,$AB149=0,$R149&lt;&gt;"Cancelada"),1,0)</f>
        <v>0</v>
      </c>
      <c r="AJ149" s="50" t="str">
        <f aca="false">IF($F149="","",$D149&amp;"|"&amp;$E149&amp;"|"&amp;$L149)</f>
        <v>F-964|BAIXA DE CARTEIRA|</v>
      </c>
      <c r="AK149" s="39" t="n">
        <f aca="false">IF($AJ149="","",COUNTIF($AJ$4:$AJ149,$AJ149))</f>
        <v>10</v>
      </c>
      <c r="AL149" s="39" t="n">
        <f aca="false">IF($AJ149="","",COUNTIF($AJ$4:$AJ$1004,$AJ149))</f>
        <v>33</v>
      </c>
      <c r="AM149" s="42"/>
      <c r="AN149" s="50" t="str">
        <f aca="false">IF($D149="","",IFERROR(T(VLOOKUP($D149,Listas!$B$5:$H$120,7,0)),""))</f>
        <v/>
      </c>
      <c r="AO149" s="50" t="str">
        <f aca="false">IF(OR($F149="",$L149&lt;&gt;"",$R149="Cancelada",$AT149&lt;&gt;""),"",$AN149&amp;"|"&amp;$D149&amp;"|"&amp;IF($C149="","zzz",$C149)&amp;"|"&amp;TEXT(149,"0000"))</f>
        <v>|F-964|zzz|0149</v>
      </c>
      <c r="AP149" s="50" t="n">
        <f aca="false">IF($AO149="","",COUNTIF($AO$5:$AO$1004,"&lt;"&amp;$AO149)-(ROWS($AO$5:$AO$1004)-Hoje!$L$5)+1)</f>
        <v>57</v>
      </c>
      <c r="AQ149" s="50" t="n">
        <f aca="false">IF(AND($F149&lt;&gt;"",$D149=Frota!$C$3),1,0)</f>
        <v>0</v>
      </c>
      <c r="AR149" s="50" t="str">
        <f aca="false">IF($AQ149=0,"",SUM($AQ$4:$AQ149))</f>
        <v/>
      </c>
      <c r="AS149" s="50" t="str">
        <f aca="false">IFERROR(INDEX(Hoje!$K$10:$K$29,MATCH(ROW(),Hoje!$J$10:$J$29,0)),"")</f>
        <v/>
      </c>
      <c r="AT149" s="50" t="str">
        <f aca="false">IF($Q149&lt;&gt;"",$Q149,$AS149)</f>
        <v/>
      </c>
    </row>
    <row r="150" customFormat="false" ht="16.5" hidden="false" customHeight="true" outlineLevel="0" collapsed="false">
      <c r="A150" s="39" t="n">
        <f aca="false">IF($F150="","",ROW())</f>
        <v>150</v>
      </c>
      <c r="B150" s="40" t="str">
        <f aca="false">IF($F150="",IF($D150="","","Falta a atividade"),IF($R150="Cancelada","Cancelada",IF($AB150=1,IF(N($Z150)&gt;0,"Concluída com atraso","Concluída"),IF($R150="Em programação","Em programação",IF($O150="",IF($M150="","Na carteira","Falta a semana"),IF($AC150=1,"VENCIDA",IF($O150&gt;Hoje!$L$1,"Programada",IF($P150&gt;Hoje!$L$1,"Em execução","Fecha hoje"))))))))</f>
        <v>Na carteira</v>
      </c>
      <c r="C150" s="41"/>
      <c r="D150" s="42" t="s">
        <v>382</v>
      </c>
      <c r="E150" s="42" t="s">
        <v>383</v>
      </c>
      <c r="F150" s="42" t="s">
        <v>394</v>
      </c>
      <c r="G150" s="43" t="s">
        <v>80</v>
      </c>
      <c r="H150" s="43" t="s">
        <v>100</v>
      </c>
      <c r="I150" s="44"/>
      <c r="J150" s="44"/>
      <c r="K150" s="44"/>
      <c r="L150" s="45"/>
      <c r="M150" s="46"/>
      <c r="N150" s="45" t="n">
        <v>4</v>
      </c>
      <c r="O150" s="47" t="str">
        <f aca="false">IF(OR($L150="",$M150=""),"",(DATE(Semana!$J$3,1,4)-WEEKDAY(DATE(Semana!$J$3,1,4),3))+($L150-1)*7+MATCH($M150,Listas!$F$5:$F$11,0)-1)</f>
        <v/>
      </c>
      <c r="P150" s="47" t="str">
        <f aca="false">IF(OR($F150="",$O150=""),"",$O150+MAX(0,ROUNDUP($AK150*MAX(1,IF($N150="",1,$N150))/MAX(1,$AL150),0)-1))</f>
        <v/>
      </c>
      <c r="Q150" s="48"/>
      <c r="R150" s="43"/>
      <c r="S150" s="49"/>
      <c r="T150" s="42"/>
      <c r="U150" s="42"/>
      <c r="V150" s="39" t="str">
        <f aca="false">IF($F150="","",IF(ISNUMBER(SEARCH("(externo)",$I150&amp;$J150&amp;$K150)),"Terceirizada","Interna"))</f>
        <v>Interna</v>
      </c>
      <c r="W150" s="47" t="str">
        <f aca="false">IF($O150="","",IF($S150="",$O150,(DATE(Semana!$J$3,1,4)-WEEKDAY(DATE(Semana!$J$3,1,4),3))+($S150-1)*7+IF($M150="",0,MATCH($M150,Listas!$F$5:$F$11,0)-1)))</f>
        <v/>
      </c>
      <c r="X150" s="39" t="n">
        <f aca="false">IF($F150="","",IF(OR($AT150="",$O150=""),0,IF($AT150&lt;=$O150,1,0)))</f>
        <v>0</v>
      </c>
      <c r="Y150" s="39" t="n">
        <f aca="false">IF($F150="","",IF(OR($AT150="",$W150=""),0,IF($AT150&lt;=$W150,1,0)))</f>
        <v>0</v>
      </c>
      <c r="Z150" s="39" t="str">
        <f aca="false">IF(OR($AT150="",$O150=""),"",MAX(0,$AT150-$O150))</f>
        <v/>
      </c>
      <c r="AA150" s="39" t="n">
        <f aca="false">IF($F150="","",IF(AND($S150&lt;&gt;"",$L150&lt;&gt;"",$S150&lt;&gt;$L150),1,0))</f>
        <v>0</v>
      </c>
      <c r="AB150" s="39" t="n">
        <f aca="false">IF($F150="","",IF($R150="Cancelada",0,IF(OR($AT150&lt;&gt;"",$R150="Concluída"),1,0)))</f>
        <v>0</v>
      </c>
      <c r="AC150" s="39" t="n">
        <f aca="false">IF($P150="",0,IF($P150&lt;Hoje!$L$1,1,IF(AND($P150=Hoje!$L$1,Hoje!$L$2&gt;Semana!$M$3),1,0)))</f>
        <v>0</v>
      </c>
      <c r="AD150" s="39" t="n">
        <f aca="false">IF($F150="","",IF(COUNTA($I150:$K150)=0,0,1/COUNTA($I150:$K150)))</f>
        <v>0</v>
      </c>
      <c r="AE150" s="39" t="str">
        <f aca="false">IF($AH150=0,"",SUM($AH$4:$AH150))</f>
        <v/>
      </c>
      <c r="AF150" s="39" t="str">
        <f aca="false">IF($AI150=0,"",SUM($AI$4:$AI150))</f>
        <v/>
      </c>
      <c r="AG150" s="50" t="str">
        <f aca="false">IF($F150="","",$I150&amp;IF($J150="",""," · "&amp;$J150)&amp;IF($K150="",""," · "&amp;$K150))</f>
        <v/>
      </c>
      <c r="AH150" s="39" t="n">
        <f aca="false">IF(AND($F150&lt;&gt;"",$O150&lt;&gt;"",$O150&lt;=Hoje!$C$3,$P150&gt;=Hoje!$C$3,$R150&lt;&gt;"Cancelada"),1,0)</f>
        <v>0</v>
      </c>
      <c r="AI150" s="39" t="n">
        <f aca="false">IF(AND($F150&lt;&gt;"",$P150&lt;&gt;"",$P150&lt;Hoje!$C$3,$AB150=0,$R150&lt;&gt;"Cancelada"),1,0)</f>
        <v>0</v>
      </c>
      <c r="AJ150" s="50" t="str">
        <f aca="false">IF($F150="","",$D150&amp;"|"&amp;$E150&amp;"|"&amp;$L150)</f>
        <v>F-964|BAIXA DE CARTEIRA|</v>
      </c>
      <c r="AK150" s="39" t="n">
        <f aca="false">IF($AJ150="","",COUNTIF($AJ$4:$AJ150,$AJ150))</f>
        <v>11</v>
      </c>
      <c r="AL150" s="39" t="n">
        <f aca="false">IF($AJ150="","",COUNTIF($AJ$4:$AJ$1004,$AJ150))</f>
        <v>33</v>
      </c>
      <c r="AM150" s="42"/>
      <c r="AN150" s="50" t="str">
        <f aca="false">IF($D150="","",IFERROR(T(VLOOKUP($D150,Listas!$B$5:$H$120,7,0)),""))</f>
        <v/>
      </c>
      <c r="AO150" s="50" t="str">
        <f aca="false">IF(OR($F150="",$L150&lt;&gt;"",$R150="Cancelada",$AT150&lt;&gt;""),"",$AN150&amp;"|"&amp;$D150&amp;"|"&amp;IF($C150="","zzz",$C150)&amp;"|"&amp;TEXT(150,"0000"))</f>
        <v>|F-964|zzz|0150</v>
      </c>
      <c r="AP150" s="50" t="n">
        <f aca="false">IF($AO150="","",COUNTIF($AO$5:$AO$1004,"&lt;"&amp;$AO150)-(ROWS($AO$5:$AO$1004)-Hoje!$L$5)+1)</f>
        <v>58</v>
      </c>
      <c r="AQ150" s="50" t="n">
        <f aca="false">IF(AND($F150&lt;&gt;"",$D150=Frota!$C$3),1,0)</f>
        <v>0</v>
      </c>
      <c r="AR150" s="50" t="str">
        <f aca="false">IF($AQ150=0,"",SUM($AQ$4:$AQ150))</f>
        <v/>
      </c>
      <c r="AS150" s="50" t="str">
        <f aca="false">IFERROR(INDEX(Hoje!$K$10:$K$29,MATCH(ROW(),Hoje!$J$10:$J$29,0)),"")</f>
        <v/>
      </c>
      <c r="AT150" s="50" t="str">
        <f aca="false">IF($Q150&lt;&gt;"",$Q150,$AS150)</f>
        <v/>
      </c>
    </row>
    <row r="151" customFormat="false" ht="16.5" hidden="false" customHeight="true" outlineLevel="0" collapsed="false">
      <c r="A151" s="39" t="n">
        <f aca="false">IF($F151="","",ROW())</f>
        <v>151</v>
      </c>
      <c r="B151" s="40" t="str">
        <f aca="false">IF($F151="",IF($D151="","","Falta a atividade"),IF($R151="Cancelada","Cancelada",IF($AB151=1,IF(N($Z151)&gt;0,"Concluída com atraso","Concluída"),IF($R151="Em programação","Em programação",IF($O151="",IF($M151="","Na carteira","Falta a semana"),IF($AC151=1,"VENCIDA",IF($O151&gt;Hoje!$L$1,"Programada",IF($P151&gt;Hoje!$L$1,"Em execução","Fecha hoje"))))))))</f>
        <v>Na carteira</v>
      </c>
      <c r="C151" s="41" t="s">
        <v>395</v>
      </c>
      <c r="D151" s="42" t="s">
        <v>382</v>
      </c>
      <c r="E151" s="42" t="s">
        <v>383</v>
      </c>
      <c r="F151" s="42" t="s">
        <v>396</v>
      </c>
      <c r="G151" s="43" t="s">
        <v>80</v>
      </c>
      <c r="H151" s="43" t="s">
        <v>100</v>
      </c>
      <c r="I151" s="44"/>
      <c r="J151" s="44"/>
      <c r="K151" s="44"/>
      <c r="L151" s="45"/>
      <c r="M151" s="46"/>
      <c r="N151" s="45" t="n">
        <v>4</v>
      </c>
      <c r="O151" s="47" t="str">
        <f aca="false">IF(OR($L151="",$M151=""),"",(DATE(Semana!$J$3,1,4)-WEEKDAY(DATE(Semana!$J$3,1,4),3))+($L151-1)*7+MATCH($M151,Listas!$F$5:$F$11,0)-1)</f>
        <v/>
      </c>
      <c r="P151" s="47" t="str">
        <f aca="false">IF(OR($F151="",$O151=""),"",$O151+MAX(0,ROUNDUP($AK151*MAX(1,IF($N151="",1,$N151))/MAX(1,$AL151),0)-1))</f>
        <v/>
      </c>
      <c r="Q151" s="48"/>
      <c r="R151" s="43"/>
      <c r="S151" s="49"/>
      <c r="T151" s="42"/>
      <c r="U151" s="42" t="s">
        <v>397</v>
      </c>
      <c r="V151" s="39" t="str">
        <f aca="false">IF($F151="","",IF(ISNUMBER(SEARCH("(externo)",$I151&amp;$J151&amp;$K151)),"Terceirizada","Interna"))</f>
        <v>Interna</v>
      </c>
      <c r="W151" s="47" t="str">
        <f aca="false">IF($O151="","",IF($S151="",$O151,(DATE(Semana!$J$3,1,4)-WEEKDAY(DATE(Semana!$J$3,1,4),3))+($S151-1)*7+IF($M151="",0,MATCH($M151,Listas!$F$5:$F$11,0)-1)))</f>
        <v/>
      </c>
      <c r="X151" s="39" t="n">
        <f aca="false">IF($F151="","",IF(OR($AT151="",$O151=""),0,IF($AT151&lt;=$O151,1,0)))</f>
        <v>0</v>
      </c>
      <c r="Y151" s="39" t="n">
        <f aca="false">IF($F151="","",IF(OR($AT151="",$W151=""),0,IF($AT151&lt;=$W151,1,0)))</f>
        <v>0</v>
      </c>
      <c r="Z151" s="39" t="str">
        <f aca="false">IF(OR($AT151="",$O151=""),"",MAX(0,$AT151-$O151))</f>
        <v/>
      </c>
      <c r="AA151" s="39" t="n">
        <f aca="false">IF($F151="","",IF(AND($S151&lt;&gt;"",$L151&lt;&gt;"",$S151&lt;&gt;$L151),1,0))</f>
        <v>0</v>
      </c>
      <c r="AB151" s="39" t="n">
        <f aca="false">IF($F151="","",IF($R151="Cancelada",0,IF(OR($AT151&lt;&gt;"",$R151="Concluída"),1,0)))</f>
        <v>0</v>
      </c>
      <c r="AC151" s="39" t="n">
        <f aca="false">IF($P151="",0,IF($P151&lt;Hoje!$L$1,1,IF(AND($P151=Hoje!$L$1,Hoje!$L$2&gt;Semana!$M$3),1,0)))</f>
        <v>0</v>
      </c>
      <c r="AD151" s="39" t="n">
        <f aca="false">IF($F151="","",IF(COUNTA($I151:$K151)=0,0,1/COUNTA($I151:$K151)))</f>
        <v>0</v>
      </c>
      <c r="AE151" s="39" t="str">
        <f aca="false">IF($AH151=0,"",SUM($AH$4:$AH151))</f>
        <v/>
      </c>
      <c r="AF151" s="39" t="str">
        <f aca="false">IF($AI151=0,"",SUM($AI$4:$AI151))</f>
        <v/>
      </c>
      <c r="AG151" s="50" t="str">
        <f aca="false">IF($F151="","",$I151&amp;IF($J151="",""," · "&amp;$J151)&amp;IF($K151="",""," · "&amp;$K151))</f>
        <v/>
      </c>
      <c r="AH151" s="39" t="n">
        <f aca="false">IF(AND($F151&lt;&gt;"",$O151&lt;&gt;"",$O151&lt;=Hoje!$C$3,$P151&gt;=Hoje!$C$3,$R151&lt;&gt;"Cancelada"),1,0)</f>
        <v>0</v>
      </c>
      <c r="AI151" s="39" t="n">
        <f aca="false">IF(AND($F151&lt;&gt;"",$P151&lt;&gt;"",$P151&lt;Hoje!$C$3,$AB151=0,$R151&lt;&gt;"Cancelada"),1,0)</f>
        <v>0</v>
      </c>
      <c r="AJ151" s="50" t="str">
        <f aca="false">IF($F151="","",$D151&amp;"|"&amp;$E151&amp;"|"&amp;$L151)</f>
        <v>F-964|BAIXA DE CARTEIRA|</v>
      </c>
      <c r="AK151" s="39" t="n">
        <f aca="false">IF($AJ151="","",COUNTIF($AJ$4:$AJ151,$AJ151))</f>
        <v>12</v>
      </c>
      <c r="AL151" s="39" t="n">
        <f aca="false">IF($AJ151="","",COUNTIF($AJ$4:$AJ$1004,$AJ151))</f>
        <v>33</v>
      </c>
      <c r="AM151" s="42"/>
      <c r="AN151" s="50" t="str">
        <f aca="false">IF($D151="","",IFERROR(T(VLOOKUP($D151,Listas!$B$5:$H$120,7,0)),""))</f>
        <v/>
      </c>
      <c r="AO151" s="50" t="str">
        <f aca="false">IF(OR($F151="",$L151&lt;&gt;"",$R151="Cancelada",$AT151&lt;&gt;""),"",$AN151&amp;"|"&amp;$D151&amp;"|"&amp;IF($C151="","zzz",$C151)&amp;"|"&amp;TEXT(151,"0000"))</f>
        <v>|F-964|007166|0151</v>
      </c>
      <c r="AP151" s="50" t="n">
        <f aca="false">IF($AO151="","",COUNTIF($AO$5:$AO$1004,"&lt;"&amp;$AO151)-(ROWS($AO$5:$AO$1004)-Hoje!$L$5)+1)</f>
        <v>30</v>
      </c>
      <c r="AQ151" s="50" t="n">
        <f aca="false">IF(AND($F151&lt;&gt;"",$D151=Frota!$C$3),1,0)</f>
        <v>0</v>
      </c>
      <c r="AR151" s="50" t="str">
        <f aca="false">IF($AQ151=0,"",SUM($AQ$4:$AQ151))</f>
        <v/>
      </c>
      <c r="AS151" s="50" t="str">
        <f aca="false">IFERROR(INDEX(Hoje!$K$10:$K$29,MATCH(ROW(),Hoje!$J$10:$J$29,0)),"")</f>
        <v/>
      </c>
      <c r="AT151" s="50" t="str">
        <f aca="false">IF($Q151&lt;&gt;"",$Q151,$AS151)</f>
        <v/>
      </c>
    </row>
    <row r="152" customFormat="false" ht="16.5" hidden="false" customHeight="true" outlineLevel="0" collapsed="false">
      <c r="A152" s="39" t="n">
        <f aca="false">IF($F152="","",ROW())</f>
        <v>152</v>
      </c>
      <c r="B152" s="40" t="str">
        <f aca="false">IF($F152="",IF($D152="","","Falta a atividade"),IF($R152="Cancelada","Cancelada",IF($AB152=1,IF(N($Z152)&gt;0,"Concluída com atraso","Concluída"),IF($R152="Em programação","Em programação",IF($O152="",IF($M152="","Na carteira","Falta a semana"),IF($AC152=1,"VENCIDA",IF($O152&gt;Hoje!$L$1,"Programada",IF($P152&gt;Hoje!$L$1,"Em execução","Fecha hoje"))))))))</f>
        <v>Na carteira</v>
      </c>
      <c r="C152" s="41"/>
      <c r="D152" s="42" t="s">
        <v>382</v>
      </c>
      <c r="E152" s="42" t="s">
        <v>383</v>
      </c>
      <c r="F152" s="42" t="s">
        <v>398</v>
      </c>
      <c r="G152" s="43" t="s">
        <v>80</v>
      </c>
      <c r="H152" s="43" t="s">
        <v>100</v>
      </c>
      <c r="I152" s="44"/>
      <c r="J152" s="44"/>
      <c r="K152" s="44"/>
      <c r="L152" s="45"/>
      <c r="M152" s="46"/>
      <c r="N152" s="45" t="n">
        <v>4</v>
      </c>
      <c r="O152" s="47" t="str">
        <f aca="false">IF(OR($L152="",$M152=""),"",(DATE(Semana!$J$3,1,4)-WEEKDAY(DATE(Semana!$J$3,1,4),3))+($L152-1)*7+MATCH($M152,Listas!$F$5:$F$11,0)-1)</f>
        <v/>
      </c>
      <c r="P152" s="47" t="str">
        <f aca="false">IF(OR($F152="",$O152=""),"",$O152+MAX(0,ROUNDUP($AK152*MAX(1,IF($N152="",1,$N152))/MAX(1,$AL152),0)-1))</f>
        <v/>
      </c>
      <c r="Q152" s="48"/>
      <c r="R152" s="43"/>
      <c r="S152" s="49"/>
      <c r="T152" s="42"/>
      <c r="U152" s="42" t="s">
        <v>399</v>
      </c>
      <c r="V152" s="39" t="str">
        <f aca="false">IF($F152="","",IF(ISNUMBER(SEARCH("(externo)",$I152&amp;$J152&amp;$K152)),"Terceirizada","Interna"))</f>
        <v>Interna</v>
      </c>
      <c r="W152" s="47" t="str">
        <f aca="false">IF($O152="","",IF($S152="",$O152,(DATE(Semana!$J$3,1,4)-WEEKDAY(DATE(Semana!$J$3,1,4),3))+($S152-1)*7+IF($M152="",0,MATCH($M152,Listas!$F$5:$F$11,0)-1)))</f>
        <v/>
      </c>
      <c r="X152" s="39" t="n">
        <f aca="false">IF($F152="","",IF(OR($AT152="",$O152=""),0,IF($AT152&lt;=$O152,1,0)))</f>
        <v>0</v>
      </c>
      <c r="Y152" s="39" t="n">
        <f aca="false">IF($F152="","",IF(OR($AT152="",$W152=""),0,IF($AT152&lt;=$W152,1,0)))</f>
        <v>0</v>
      </c>
      <c r="Z152" s="39" t="str">
        <f aca="false">IF(OR($AT152="",$O152=""),"",MAX(0,$AT152-$O152))</f>
        <v/>
      </c>
      <c r="AA152" s="39" t="n">
        <f aca="false">IF($F152="","",IF(AND($S152&lt;&gt;"",$L152&lt;&gt;"",$S152&lt;&gt;$L152),1,0))</f>
        <v>0</v>
      </c>
      <c r="AB152" s="39" t="n">
        <f aca="false">IF($F152="","",IF($R152="Cancelada",0,IF(OR($AT152&lt;&gt;"",$R152="Concluída"),1,0)))</f>
        <v>0</v>
      </c>
      <c r="AC152" s="39" t="n">
        <f aca="false">IF($P152="",0,IF($P152&lt;Hoje!$L$1,1,IF(AND($P152=Hoje!$L$1,Hoje!$L$2&gt;Semana!$M$3),1,0)))</f>
        <v>0</v>
      </c>
      <c r="AD152" s="39" t="n">
        <f aca="false">IF($F152="","",IF(COUNTA($I152:$K152)=0,0,1/COUNTA($I152:$K152)))</f>
        <v>0</v>
      </c>
      <c r="AE152" s="39" t="str">
        <f aca="false">IF($AH152=0,"",SUM($AH$4:$AH152))</f>
        <v/>
      </c>
      <c r="AF152" s="39" t="str">
        <f aca="false">IF($AI152=0,"",SUM($AI$4:$AI152))</f>
        <v/>
      </c>
      <c r="AG152" s="50" t="str">
        <f aca="false">IF($F152="","",$I152&amp;IF($J152="",""," · "&amp;$J152)&amp;IF($K152="",""," · "&amp;$K152))</f>
        <v/>
      </c>
      <c r="AH152" s="39" t="n">
        <f aca="false">IF(AND($F152&lt;&gt;"",$O152&lt;&gt;"",$O152&lt;=Hoje!$C$3,$P152&gt;=Hoje!$C$3,$R152&lt;&gt;"Cancelada"),1,0)</f>
        <v>0</v>
      </c>
      <c r="AI152" s="39" t="n">
        <f aca="false">IF(AND($F152&lt;&gt;"",$P152&lt;&gt;"",$P152&lt;Hoje!$C$3,$AB152=0,$R152&lt;&gt;"Cancelada"),1,0)</f>
        <v>0</v>
      </c>
      <c r="AJ152" s="50" t="str">
        <f aca="false">IF($F152="","",$D152&amp;"|"&amp;$E152&amp;"|"&amp;$L152)</f>
        <v>F-964|BAIXA DE CARTEIRA|</v>
      </c>
      <c r="AK152" s="39" t="n">
        <f aca="false">IF($AJ152="","",COUNTIF($AJ$4:$AJ152,$AJ152))</f>
        <v>13</v>
      </c>
      <c r="AL152" s="39" t="n">
        <f aca="false">IF($AJ152="","",COUNTIF($AJ$4:$AJ$1004,$AJ152))</f>
        <v>33</v>
      </c>
      <c r="AM152" s="42"/>
      <c r="AN152" s="50" t="str">
        <f aca="false">IF($D152="","",IFERROR(T(VLOOKUP($D152,Listas!$B$5:$H$120,7,0)),""))</f>
        <v/>
      </c>
      <c r="AO152" s="50" t="str">
        <f aca="false">IF(OR($F152="",$L152&lt;&gt;"",$R152="Cancelada",$AT152&lt;&gt;""),"",$AN152&amp;"|"&amp;$D152&amp;"|"&amp;IF($C152="","zzz",$C152)&amp;"|"&amp;TEXT(152,"0000"))</f>
        <v>|F-964|zzz|0152</v>
      </c>
      <c r="AP152" s="50" t="n">
        <f aca="false">IF($AO152="","",COUNTIF($AO$5:$AO$1004,"&lt;"&amp;$AO152)-(ROWS($AO$5:$AO$1004)-Hoje!$L$5)+1)</f>
        <v>59</v>
      </c>
      <c r="AQ152" s="50" t="n">
        <f aca="false">IF(AND($F152&lt;&gt;"",$D152=Frota!$C$3),1,0)</f>
        <v>0</v>
      </c>
      <c r="AR152" s="50" t="str">
        <f aca="false">IF($AQ152=0,"",SUM($AQ$4:$AQ152))</f>
        <v/>
      </c>
      <c r="AS152" s="50" t="str">
        <f aca="false">IFERROR(INDEX(Hoje!$K$10:$K$29,MATCH(ROW(),Hoje!$J$10:$J$29,0)),"")</f>
        <v/>
      </c>
      <c r="AT152" s="50" t="str">
        <f aca="false">IF($Q152&lt;&gt;"",$Q152,$AS152)</f>
        <v/>
      </c>
    </row>
    <row r="153" customFormat="false" ht="16.5" hidden="false" customHeight="true" outlineLevel="0" collapsed="false">
      <c r="A153" s="39" t="n">
        <f aca="false">IF($F153="","",ROW())</f>
        <v>153</v>
      </c>
      <c r="B153" s="40" t="str">
        <f aca="false">IF($F153="",IF($D153="","","Falta a atividade"),IF($R153="Cancelada","Cancelada",IF($AB153=1,IF(N($Z153)&gt;0,"Concluída com atraso","Concluída"),IF($R153="Em programação","Em programação",IF($O153="",IF($M153="","Na carteira","Falta a semana"),IF($AC153=1,"VENCIDA",IF($O153&gt;Hoje!$L$1,"Programada",IF($P153&gt;Hoje!$L$1,"Em execução","Fecha hoje"))))))))</f>
        <v>Na carteira</v>
      </c>
      <c r="C153" s="41" t="s">
        <v>400</v>
      </c>
      <c r="D153" s="42" t="s">
        <v>382</v>
      </c>
      <c r="E153" s="42" t="s">
        <v>383</v>
      </c>
      <c r="F153" s="42" t="s">
        <v>401</v>
      </c>
      <c r="G153" s="43" t="s">
        <v>80</v>
      </c>
      <c r="H153" s="43" t="s">
        <v>100</v>
      </c>
      <c r="I153" s="44"/>
      <c r="J153" s="44"/>
      <c r="K153" s="44"/>
      <c r="L153" s="45"/>
      <c r="M153" s="46"/>
      <c r="N153" s="45" t="n">
        <v>4</v>
      </c>
      <c r="O153" s="47" t="str">
        <f aca="false">IF(OR($L153="",$M153=""),"",(DATE(Semana!$J$3,1,4)-WEEKDAY(DATE(Semana!$J$3,1,4),3))+($L153-1)*7+MATCH($M153,Listas!$F$5:$F$11,0)-1)</f>
        <v/>
      </c>
      <c r="P153" s="47" t="str">
        <f aca="false">IF(OR($F153="",$O153=""),"",$O153+MAX(0,ROUNDUP($AK153*MAX(1,IF($N153="",1,$N153))/MAX(1,$AL153),0)-1))</f>
        <v/>
      </c>
      <c r="Q153" s="48"/>
      <c r="R153" s="43"/>
      <c r="S153" s="49"/>
      <c r="T153" s="42"/>
      <c r="U153" s="42" t="s">
        <v>402</v>
      </c>
      <c r="V153" s="39" t="str">
        <f aca="false">IF($F153="","",IF(ISNUMBER(SEARCH("(externo)",$I153&amp;$J153&amp;$K153)),"Terceirizada","Interna"))</f>
        <v>Interna</v>
      </c>
      <c r="W153" s="47" t="str">
        <f aca="false">IF($O153="","",IF($S153="",$O153,(DATE(Semana!$J$3,1,4)-WEEKDAY(DATE(Semana!$J$3,1,4),3))+($S153-1)*7+IF($M153="",0,MATCH($M153,Listas!$F$5:$F$11,0)-1)))</f>
        <v/>
      </c>
      <c r="X153" s="39" t="n">
        <f aca="false">IF($F153="","",IF(OR($AT153="",$O153=""),0,IF($AT153&lt;=$O153,1,0)))</f>
        <v>0</v>
      </c>
      <c r="Y153" s="39" t="n">
        <f aca="false">IF($F153="","",IF(OR($AT153="",$W153=""),0,IF($AT153&lt;=$W153,1,0)))</f>
        <v>0</v>
      </c>
      <c r="Z153" s="39" t="str">
        <f aca="false">IF(OR($AT153="",$O153=""),"",MAX(0,$AT153-$O153))</f>
        <v/>
      </c>
      <c r="AA153" s="39" t="n">
        <f aca="false">IF($F153="","",IF(AND($S153&lt;&gt;"",$L153&lt;&gt;"",$S153&lt;&gt;$L153),1,0))</f>
        <v>0</v>
      </c>
      <c r="AB153" s="39" t="n">
        <f aca="false">IF($F153="","",IF($R153="Cancelada",0,IF(OR($AT153&lt;&gt;"",$R153="Concluída"),1,0)))</f>
        <v>0</v>
      </c>
      <c r="AC153" s="39" t="n">
        <f aca="false">IF($P153="",0,IF($P153&lt;Hoje!$L$1,1,IF(AND($P153=Hoje!$L$1,Hoje!$L$2&gt;Semana!$M$3),1,0)))</f>
        <v>0</v>
      </c>
      <c r="AD153" s="39" t="n">
        <f aca="false">IF($F153="","",IF(COUNTA($I153:$K153)=0,0,1/COUNTA($I153:$K153)))</f>
        <v>0</v>
      </c>
      <c r="AE153" s="39" t="str">
        <f aca="false">IF($AH153=0,"",SUM($AH$4:$AH153))</f>
        <v/>
      </c>
      <c r="AF153" s="39" t="str">
        <f aca="false">IF($AI153=0,"",SUM($AI$4:$AI153))</f>
        <v/>
      </c>
      <c r="AG153" s="50" t="str">
        <f aca="false">IF($F153="","",$I153&amp;IF($J153="",""," · "&amp;$J153)&amp;IF($K153="",""," · "&amp;$K153))</f>
        <v/>
      </c>
      <c r="AH153" s="39" t="n">
        <f aca="false">IF(AND($F153&lt;&gt;"",$O153&lt;&gt;"",$O153&lt;=Hoje!$C$3,$P153&gt;=Hoje!$C$3,$R153&lt;&gt;"Cancelada"),1,0)</f>
        <v>0</v>
      </c>
      <c r="AI153" s="39" t="n">
        <f aca="false">IF(AND($F153&lt;&gt;"",$P153&lt;&gt;"",$P153&lt;Hoje!$C$3,$AB153=0,$R153&lt;&gt;"Cancelada"),1,0)</f>
        <v>0</v>
      </c>
      <c r="AJ153" s="50" t="str">
        <f aca="false">IF($F153="","",$D153&amp;"|"&amp;$E153&amp;"|"&amp;$L153)</f>
        <v>F-964|BAIXA DE CARTEIRA|</v>
      </c>
      <c r="AK153" s="39" t="n">
        <f aca="false">IF($AJ153="","",COUNTIF($AJ$4:$AJ153,$AJ153))</f>
        <v>14</v>
      </c>
      <c r="AL153" s="39" t="n">
        <f aca="false">IF($AJ153="","",COUNTIF($AJ$4:$AJ$1004,$AJ153))</f>
        <v>33</v>
      </c>
      <c r="AM153" s="42"/>
      <c r="AN153" s="50" t="str">
        <f aca="false">IF($D153="","",IFERROR(T(VLOOKUP($D153,Listas!$B$5:$H$120,7,0)),""))</f>
        <v/>
      </c>
      <c r="AO153" s="50" t="str">
        <f aca="false">IF(OR($F153="",$L153&lt;&gt;"",$R153="Cancelada",$AT153&lt;&gt;""),"",$AN153&amp;"|"&amp;$D153&amp;"|"&amp;IF($C153="","zzz",$C153)&amp;"|"&amp;TEXT(153,"0000"))</f>
        <v>|F-964|007185|0153</v>
      </c>
      <c r="AP153" s="50" t="n">
        <f aca="false">IF($AO153="","",COUNTIF($AO$5:$AO$1004,"&lt;"&amp;$AO153)-(ROWS($AO$5:$AO$1004)-Hoje!$L$5)+1)</f>
        <v>36</v>
      </c>
      <c r="AQ153" s="50" t="n">
        <f aca="false">IF(AND($F153&lt;&gt;"",$D153=Frota!$C$3),1,0)</f>
        <v>0</v>
      </c>
      <c r="AR153" s="50" t="str">
        <f aca="false">IF($AQ153=0,"",SUM($AQ$4:$AQ153))</f>
        <v/>
      </c>
      <c r="AS153" s="50" t="str">
        <f aca="false">IFERROR(INDEX(Hoje!$K$10:$K$29,MATCH(ROW(),Hoje!$J$10:$J$29,0)),"")</f>
        <v/>
      </c>
      <c r="AT153" s="50" t="str">
        <f aca="false">IF($Q153&lt;&gt;"",$Q153,$AS153)</f>
        <v/>
      </c>
    </row>
    <row r="154" customFormat="false" ht="16.5" hidden="false" customHeight="true" outlineLevel="0" collapsed="false">
      <c r="A154" s="39" t="n">
        <f aca="false">IF($F154="","",ROW())</f>
        <v>154</v>
      </c>
      <c r="B154" s="40" t="str">
        <f aca="false">IF($F154="",IF($D154="","","Falta a atividade"),IF($R154="Cancelada","Cancelada",IF($AB154=1,IF(N($Z154)&gt;0,"Concluída com atraso","Concluída"),IF($R154="Em programação","Em programação",IF($O154="",IF($M154="","Na carteira","Falta a semana"),IF($AC154=1,"VENCIDA",IF($O154&gt;Hoje!$L$1,"Programada",IF($P154&gt;Hoje!$L$1,"Em execução","Fecha hoje"))))))))</f>
        <v>Na carteira</v>
      </c>
      <c r="C154" s="41" t="s">
        <v>400</v>
      </c>
      <c r="D154" s="42" t="s">
        <v>382</v>
      </c>
      <c r="E154" s="42" t="s">
        <v>383</v>
      </c>
      <c r="F154" s="42" t="s">
        <v>403</v>
      </c>
      <c r="G154" s="43" t="s">
        <v>80</v>
      </c>
      <c r="H154" s="43" t="s">
        <v>100</v>
      </c>
      <c r="I154" s="44"/>
      <c r="J154" s="44"/>
      <c r="K154" s="44"/>
      <c r="L154" s="45"/>
      <c r="M154" s="46"/>
      <c r="N154" s="45" t="n">
        <v>4</v>
      </c>
      <c r="O154" s="47" t="str">
        <f aca="false">IF(OR($L154="",$M154=""),"",(DATE(Semana!$J$3,1,4)-WEEKDAY(DATE(Semana!$J$3,1,4),3))+($L154-1)*7+MATCH($M154,Listas!$F$5:$F$11,0)-1)</f>
        <v/>
      </c>
      <c r="P154" s="47" t="str">
        <f aca="false">IF(OR($F154="",$O154=""),"",$O154+MAX(0,ROUNDUP($AK154*MAX(1,IF($N154="",1,$N154))/MAX(1,$AL154),0)-1))</f>
        <v/>
      </c>
      <c r="Q154" s="48"/>
      <c r="R154" s="43"/>
      <c r="S154" s="49"/>
      <c r="T154" s="42"/>
      <c r="U154" s="42" t="s">
        <v>402</v>
      </c>
      <c r="V154" s="39" t="str">
        <f aca="false">IF($F154="","",IF(ISNUMBER(SEARCH("(externo)",$I154&amp;$J154&amp;$K154)),"Terceirizada","Interna"))</f>
        <v>Interna</v>
      </c>
      <c r="W154" s="47" t="str">
        <f aca="false">IF($O154="","",IF($S154="",$O154,(DATE(Semana!$J$3,1,4)-WEEKDAY(DATE(Semana!$J$3,1,4),3))+($S154-1)*7+IF($M154="",0,MATCH($M154,Listas!$F$5:$F$11,0)-1)))</f>
        <v/>
      </c>
      <c r="X154" s="39" t="n">
        <f aca="false">IF($F154="","",IF(OR($AT154="",$O154=""),0,IF($AT154&lt;=$O154,1,0)))</f>
        <v>0</v>
      </c>
      <c r="Y154" s="39" t="n">
        <f aca="false">IF($F154="","",IF(OR($AT154="",$W154=""),0,IF($AT154&lt;=$W154,1,0)))</f>
        <v>0</v>
      </c>
      <c r="Z154" s="39" t="str">
        <f aca="false">IF(OR($AT154="",$O154=""),"",MAX(0,$AT154-$O154))</f>
        <v/>
      </c>
      <c r="AA154" s="39" t="n">
        <f aca="false">IF($F154="","",IF(AND($S154&lt;&gt;"",$L154&lt;&gt;"",$S154&lt;&gt;$L154),1,0))</f>
        <v>0</v>
      </c>
      <c r="AB154" s="39" t="n">
        <f aca="false">IF($F154="","",IF($R154="Cancelada",0,IF(OR($AT154&lt;&gt;"",$R154="Concluída"),1,0)))</f>
        <v>0</v>
      </c>
      <c r="AC154" s="39" t="n">
        <f aca="false">IF($P154="",0,IF($P154&lt;Hoje!$L$1,1,IF(AND($P154=Hoje!$L$1,Hoje!$L$2&gt;Semana!$M$3),1,0)))</f>
        <v>0</v>
      </c>
      <c r="AD154" s="39" t="n">
        <f aca="false">IF($F154="","",IF(COUNTA($I154:$K154)=0,0,1/COUNTA($I154:$K154)))</f>
        <v>0</v>
      </c>
      <c r="AE154" s="39" t="str">
        <f aca="false">IF($AH154=0,"",SUM($AH$4:$AH154))</f>
        <v/>
      </c>
      <c r="AF154" s="39" t="str">
        <f aca="false">IF($AI154=0,"",SUM($AI$4:$AI154))</f>
        <v/>
      </c>
      <c r="AG154" s="50" t="str">
        <f aca="false">IF($F154="","",$I154&amp;IF($J154="",""," · "&amp;$J154)&amp;IF($K154="",""," · "&amp;$K154))</f>
        <v/>
      </c>
      <c r="AH154" s="39" t="n">
        <f aca="false">IF(AND($F154&lt;&gt;"",$O154&lt;&gt;"",$O154&lt;=Hoje!$C$3,$P154&gt;=Hoje!$C$3,$R154&lt;&gt;"Cancelada"),1,0)</f>
        <v>0</v>
      </c>
      <c r="AI154" s="39" t="n">
        <f aca="false">IF(AND($F154&lt;&gt;"",$P154&lt;&gt;"",$P154&lt;Hoje!$C$3,$AB154=0,$R154&lt;&gt;"Cancelada"),1,0)</f>
        <v>0</v>
      </c>
      <c r="AJ154" s="50" t="str">
        <f aca="false">IF($F154="","",$D154&amp;"|"&amp;$E154&amp;"|"&amp;$L154)</f>
        <v>F-964|BAIXA DE CARTEIRA|</v>
      </c>
      <c r="AK154" s="39" t="n">
        <f aca="false">IF($AJ154="","",COUNTIF($AJ$4:$AJ154,$AJ154))</f>
        <v>15</v>
      </c>
      <c r="AL154" s="39" t="n">
        <f aca="false">IF($AJ154="","",COUNTIF($AJ$4:$AJ$1004,$AJ154))</f>
        <v>33</v>
      </c>
      <c r="AM154" s="42"/>
      <c r="AN154" s="50" t="str">
        <f aca="false">IF($D154="","",IFERROR(T(VLOOKUP($D154,Listas!$B$5:$H$120,7,0)),""))</f>
        <v/>
      </c>
      <c r="AO154" s="50" t="str">
        <f aca="false">IF(OR($F154="",$L154&lt;&gt;"",$R154="Cancelada",$AT154&lt;&gt;""),"",$AN154&amp;"|"&amp;$D154&amp;"|"&amp;IF($C154="","zzz",$C154)&amp;"|"&amp;TEXT(154,"0000"))</f>
        <v>|F-964|007185|0154</v>
      </c>
      <c r="AP154" s="50" t="n">
        <f aca="false">IF($AO154="","",COUNTIF($AO$5:$AO$1004,"&lt;"&amp;$AO154)-(ROWS($AO$5:$AO$1004)-Hoje!$L$5)+1)</f>
        <v>37</v>
      </c>
      <c r="AQ154" s="50" t="n">
        <f aca="false">IF(AND($F154&lt;&gt;"",$D154=Frota!$C$3),1,0)</f>
        <v>0</v>
      </c>
      <c r="AR154" s="50" t="str">
        <f aca="false">IF($AQ154=0,"",SUM($AQ$4:$AQ154))</f>
        <v/>
      </c>
      <c r="AS154" s="50" t="str">
        <f aca="false">IFERROR(INDEX(Hoje!$K$10:$K$29,MATCH(ROW(),Hoje!$J$10:$J$29,0)),"")</f>
        <v/>
      </c>
      <c r="AT154" s="50" t="str">
        <f aca="false">IF($Q154&lt;&gt;"",$Q154,$AS154)</f>
        <v/>
      </c>
    </row>
    <row r="155" customFormat="false" ht="16.5" hidden="false" customHeight="true" outlineLevel="0" collapsed="false">
      <c r="A155" s="39" t="n">
        <f aca="false">IF($F155="","",ROW())</f>
        <v>155</v>
      </c>
      <c r="B155" s="40" t="str">
        <f aca="false">IF($F155="",IF($D155="","","Falta a atividade"),IF($R155="Cancelada","Cancelada",IF($AB155=1,IF(N($Z155)&gt;0,"Concluída com atraso","Concluída"),IF($R155="Em programação","Em programação",IF($O155="",IF($M155="","Na carteira","Falta a semana"),IF($AC155=1,"VENCIDA",IF($O155&gt;Hoje!$L$1,"Programada",IF($P155&gt;Hoje!$L$1,"Em execução","Fecha hoje"))))))))</f>
        <v>Na carteira</v>
      </c>
      <c r="C155" s="41" t="s">
        <v>404</v>
      </c>
      <c r="D155" s="42" t="s">
        <v>382</v>
      </c>
      <c r="E155" s="42" t="s">
        <v>383</v>
      </c>
      <c r="F155" s="42" t="s">
        <v>405</v>
      </c>
      <c r="G155" s="43" t="s">
        <v>80</v>
      </c>
      <c r="H155" s="43" t="s">
        <v>100</v>
      </c>
      <c r="I155" s="44"/>
      <c r="J155" s="44"/>
      <c r="K155" s="44"/>
      <c r="L155" s="45"/>
      <c r="M155" s="46"/>
      <c r="N155" s="45" t="n">
        <v>4</v>
      </c>
      <c r="O155" s="47" t="str">
        <f aca="false">IF(OR($L155="",$M155=""),"",(DATE(Semana!$J$3,1,4)-WEEKDAY(DATE(Semana!$J$3,1,4),3))+($L155-1)*7+MATCH($M155,Listas!$F$5:$F$11,0)-1)</f>
        <v/>
      </c>
      <c r="P155" s="47" t="str">
        <f aca="false">IF(OR($F155="",$O155=""),"",$O155+MAX(0,ROUNDUP($AK155*MAX(1,IF($N155="",1,$N155))/MAX(1,$AL155),0)-1))</f>
        <v/>
      </c>
      <c r="Q155" s="48"/>
      <c r="R155" s="43"/>
      <c r="S155" s="49"/>
      <c r="T155" s="42"/>
      <c r="U155" s="42" t="s">
        <v>406</v>
      </c>
      <c r="V155" s="39" t="str">
        <f aca="false">IF($F155="","",IF(ISNUMBER(SEARCH("(externo)",$I155&amp;$J155&amp;$K155)),"Terceirizada","Interna"))</f>
        <v>Interna</v>
      </c>
      <c r="W155" s="47" t="str">
        <f aca="false">IF($O155="","",IF($S155="",$O155,(DATE(Semana!$J$3,1,4)-WEEKDAY(DATE(Semana!$J$3,1,4),3))+($S155-1)*7+IF($M155="",0,MATCH($M155,Listas!$F$5:$F$11,0)-1)))</f>
        <v/>
      </c>
      <c r="X155" s="39" t="n">
        <f aca="false">IF($F155="","",IF(OR($AT155="",$O155=""),0,IF($AT155&lt;=$O155,1,0)))</f>
        <v>0</v>
      </c>
      <c r="Y155" s="39" t="n">
        <f aca="false">IF($F155="","",IF(OR($AT155="",$W155=""),0,IF($AT155&lt;=$W155,1,0)))</f>
        <v>0</v>
      </c>
      <c r="Z155" s="39" t="str">
        <f aca="false">IF(OR($AT155="",$O155=""),"",MAX(0,$AT155-$O155))</f>
        <v/>
      </c>
      <c r="AA155" s="39" t="n">
        <f aca="false">IF($F155="","",IF(AND($S155&lt;&gt;"",$L155&lt;&gt;"",$S155&lt;&gt;$L155),1,0))</f>
        <v>0</v>
      </c>
      <c r="AB155" s="39" t="n">
        <f aca="false">IF($F155="","",IF($R155="Cancelada",0,IF(OR($AT155&lt;&gt;"",$R155="Concluída"),1,0)))</f>
        <v>0</v>
      </c>
      <c r="AC155" s="39" t="n">
        <f aca="false">IF($P155="",0,IF($P155&lt;Hoje!$L$1,1,IF(AND($P155=Hoje!$L$1,Hoje!$L$2&gt;Semana!$M$3),1,0)))</f>
        <v>0</v>
      </c>
      <c r="AD155" s="39" t="n">
        <f aca="false">IF($F155="","",IF(COUNTA($I155:$K155)=0,0,1/COUNTA($I155:$K155)))</f>
        <v>0</v>
      </c>
      <c r="AE155" s="39" t="str">
        <f aca="false">IF($AH155=0,"",SUM($AH$4:$AH155))</f>
        <v/>
      </c>
      <c r="AF155" s="39" t="str">
        <f aca="false">IF($AI155=0,"",SUM($AI$4:$AI155))</f>
        <v/>
      </c>
      <c r="AG155" s="50" t="str">
        <f aca="false">IF($F155="","",$I155&amp;IF($J155="",""," · "&amp;$J155)&amp;IF($K155="",""," · "&amp;$K155))</f>
        <v/>
      </c>
      <c r="AH155" s="39" t="n">
        <f aca="false">IF(AND($F155&lt;&gt;"",$O155&lt;&gt;"",$O155&lt;=Hoje!$C$3,$P155&gt;=Hoje!$C$3,$R155&lt;&gt;"Cancelada"),1,0)</f>
        <v>0</v>
      </c>
      <c r="AI155" s="39" t="n">
        <f aca="false">IF(AND($F155&lt;&gt;"",$P155&lt;&gt;"",$P155&lt;Hoje!$C$3,$AB155=0,$R155&lt;&gt;"Cancelada"),1,0)</f>
        <v>0</v>
      </c>
      <c r="AJ155" s="50" t="str">
        <f aca="false">IF($F155="","",$D155&amp;"|"&amp;$E155&amp;"|"&amp;$L155)</f>
        <v>F-964|BAIXA DE CARTEIRA|</v>
      </c>
      <c r="AK155" s="39" t="n">
        <f aca="false">IF($AJ155="","",COUNTIF($AJ$4:$AJ155,$AJ155))</f>
        <v>16</v>
      </c>
      <c r="AL155" s="39" t="n">
        <f aca="false">IF($AJ155="","",COUNTIF($AJ$4:$AJ$1004,$AJ155))</f>
        <v>33</v>
      </c>
      <c r="AM155" s="42"/>
      <c r="AN155" s="50" t="str">
        <f aca="false">IF($D155="","",IFERROR(T(VLOOKUP($D155,Listas!$B$5:$H$120,7,0)),""))</f>
        <v/>
      </c>
      <c r="AO155" s="50" t="str">
        <f aca="false">IF(OR($F155="",$L155&lt;&gt;"",$R155="Cancelada",$AT155&lt;&gt;""),"",$AN155&amp;"|"&amp;$D155&amp;"|"&amp;IF($C155="","zzz",$C155)&amp;"|"&amp;TEXT(155,"0000"))</f>
        <v>|F-964|007168|0155</v>
      </c>
      <c r="AP155" s="50" t="n">
        <f aca="false">IF($AO155="","",COUNTIF($AO$5:$AO$1004,"&lt;"&amp;$AO155)-(ROWS($AO$5:$AO$1004)-Hoje!$L$5)+1)</f>
        <v>31</v>
      </c>
      <c r="AQ155" s="50" t="n">
        <f aca="false">IF(AND($F155&lt;&gt;"",$D155=Frota!$C$3),1,0)</f>
        <v>0</v>
      </c>
      <c r="AR155" s="50" t="str">
        <f aca="false">IF($AQ155=0,"",SUM($AQ$4:$AQ155))</f>
        <v/>
      </c>
      <c r="AS155" s="50" t="str">
        <f aca="false">IFERROR(INDEX(Hoje!$K$10:$K$29,MATCH(ROW(),Hoje!$J$10:$J$29,0)),"")</f>
        <v/>
      </c>
      <c r="AT155" s="50" t="str">
        <f aca="false">IF($Q155&lt;&gt;"",$Q155,$AS155)</f>
        <v/>
      </c>
    </row>
    <row r="156" customFormat="false" ht="16.5" hidden="false" customHeight="true" outlineLevel="0" collapsed="false">
      <c r="A156" s="39" t="n">
        <f aca="false">IF($F156="","",ROW())</f>
        <v>156</v>
      </c>
      <c r="B156" s="40" t="str">
        <f aca="false">IF($F156="",IF($D156="","","Falta a atividade"),IF($R156="Cancelada","Cancelada",IF($AB156=1,IF(N($Z156)&gt;0,"Concluída com atraso","Concluída"),IF($R156="Em programação","Em programação",IF($O156="",IF($M156="","Na carteira","Falta a semana"),IF($AC156=1,"VENCIDA",IF($O156&gt;Hoje!$L$1,"Programada",IF($P156&gt;Hoje!$L$1,"Em execução","Fecha hoje"))))))))</f>
        <v>Na carteira</v>
      </c>
      <c r="C156" s="41" t="s">
        <v>407</v>
      </c>
      <c r="D156" s="42" t="s">
        <v>382</v>
      </c>
      <c r="E156" s="42" t="s">
        <v>383</v>
      </c>
      <c r="F156" s="42" t="s">
        <v>408</v>
      </c>
      <c r="G156" s="43" t="s">
        <v>80</v>
      </c>
      <c r="H156" s="43" t="s">
        <v>100</v>
      </c>
      <c r="I156" s="44"/>
      <c r="J156" s="44"/>
      <c r="K156" s="44"/>
      <c r="L156" s="45"/>
      <c r="M156" s="46"/>
      <c r="N156" s="45" t="n">
        <v>4</v>
      </c>
      <c r="O156" s="47" t="str">
        <f aca="false">IF(OR($L156="",$M156=""),"",(DATE(Semana!$J$3,1,4)-WEEKDAY(DATE(Semana!$J$3,1,4),3))+($L156-1)*7+MATCH($M156,Listas!$F$5:$F$11,0)-1)</f>
        <v/>
      </c>
      <c r="P156" s="47" t="str">
        <f aca="false">IF(OR($F156="",$O156=""),"",$O156+MAX(0,ROUNDUP($AK156*MAX(1,IF($N156="",1,$N156))/MAX(1,$AL156),0)-1))</f>
        <v/>
      </c>
      <c r="Q156" s="48"/>
      <c r="R156" s="43"/>
      <c r="S156" s="49"/>
      <c r="T156" s="42"/>
      <c r="U156" s="42" t="s">
        <v>409</v>
      </c>
      <c r="V156" s="39" t="str">
        <f aca="false">IF($F156="","",IF(ISNUMBER(SEARCH("(externo)",$I156&amp;$J156&amp;$K156)),"Terceirizada","Interna"))</f>
        <v>Interna</v>
      </c>
      <c r="W156" s="47" t="str">
        <f aca="false">IF($O156="","",IF($S156="",$O156,(DATE(Semana!$J$3,1,4)-WEEKDAY(DATE(Semana!$J$3,1,4),3))+($S156-1)*7+IF($M156="",0,MATCH($M156,Listas!$F$5:$F$11,0)-1)))</f>
        <v/>
      </c>
      <c r="X156" s="39" t="n">
        <f aca="false">IF($F156="","",IF(OR($AT156="",$O156=""),0,IF($AT156&lt;=$O156,1,0)))</f>
        <v>0</v>
      </c>
      <c r="Y156" s="39" t="n">
        <f aca="false">IF($F156="","",IF(OR($AT156="",$W156=""),0,IF($AT156&lt;=$W156,1,0)))</f>
        <v>0</v>
      </c>
      <c r="Z156" s="39" t="str">
        <f aca="false">IF(OR($AT156="",$O156=""),"",MAX(0,$AT156-$O156))</f>
        <v/>
      </c>
      <c r="AA156" s="39" t="n">
        <f aca="false">IF($F156="","",IF(AND($S156&lt;&gt;"",$L156&lt;&gt;"",$S156&lt;&gt;$L156),1,0))</f>
        <v>0</v>
      </c>
      <c r="AB156" s="39" t="n">
        <f aca="false">IF($F156="","",IF($R156="Cancelada",0,IF(OR($AT156&lt;&gt;"",$R156="Concluída"),1,0)))</f>
        <v>0</v>
      </c>
      <c r="AC156" s="39" t="n">
        <f aca="false">IF($P156="",0,IF($P156&lt;Hoje!$L$1,1,IF(AND($P156=Hoje!$L$1,Hoje!$L$2&gt;Semana!$M$3),1,0)))</f>
        <v>0</v>
      </c>
      <c r="AD156" s="39" t="n">
        <f aca="false">IF($F156="","",IF(COUNTA($I156:$K156)=0,0,1/COUNTA($I156:$K156)))</f>
        <v>0</v>
      </c>
      <c r="AE156" s="39" t="str">
        <f aca="false">IF($AH156=0,"",SUM($AH$4:$AH156))</f>
        <v/>
      </c>
      <c r="AF156" s="39" t="str">
        <f aca="false">IF($AI156=0,"",SUM($AI$4:$AI156))</f>
        <v/>
      </c>
      <c r="AG156" s="50" t="str">
        <f aca="false">IF($F156="","",$I156&amp;IF($J156="",""," · "&amp;$J156)&amp;IF($K156="",""," · "&amp;$K156))</f>
        <v/>
      </c>
      <c r="AH156" s="39" t="n">
        <f aca="false">IF(AND($F156&lt;&gt;"",$O156&lt;&gt;"",$O156&lt;=Hoje!$C$3,$P156&gt;=Hoje!$C$3,$R156&lt;&gt;"Cancelada"),1,0)</f>
        <v>0</v>
      </c>
      <c r="AI156" s="39" t="n">
        <f aca="false">IF(AND($F156&lt;&gt;"",$P156&lt;&gt;"",$P156&lt;Hoje!$C$3,$AB156=0,$R156&lt;&gt;"Cancelada"),1,0)</f>
        <v>0</v>
      </c>
      <c r="AJ156" s="50" t="str">
        <f aca="false">IF($F156="","",$D156&amp;"|"&amp;$E156&amp;"|"&amp;$L156)</f>
        <v>F-964|BAIXA DE CARTEIRA|</v>
      </c>
      <c r="AK156" s="39" t="n">
        <f aca="false">IF($AJ156="","",COUNTIF($AJ$4:$AJ156,$AJ156))</f>
        <v>17</v>
      </c>
      <c r="AL156" s="39" t="n">
        <f aca="false">IF($AJ156="","",COUNTIF($AJ$4:$AJ$1004,$AJ156))</f>
        <v>33</v>
      </c>
      <c r="AM156" s="42"/>
      <c r="AN156" s="50" t="str">
        <f aca="false">IF($D156="","",IFERROR(T(VLOOKUP($D156,Listas!$B$5:$H$120,7,0)),""))</f>
        <v/>
      </c>
      <c r="AO156" s="50" t="str">
        <f aca="false">IF(OR($F156="",$L156&lt;&gt;"",$R156="Cancelada",$AT156&lt;&gt;""),"",$AN156&amp;"|"&amp;$D156&amp;"|"&amp;IF($C156="","zzz",$C156)&amp;"|"&amp;TEXT(156,"0000"))</f>
        <v>|F-964|007189|0156</v>
      </c>
      <c r="AP156" s="50" t="n">
        <f aca="false">IF($AO156="","",COUNTIF($AO$5:$AO$1004,"&lt;"&amp;$AO156)-(ROWS($AO$5:$AO$1004)-Hoje!$L$5)+1)</f>
        <v>40</v>
      </c>
      <c r="AQ156" s="50" t="n">
        <f aca="false">IF(AND($F156&lt;&gt;"",$D156=Frota!$C$3),1,0)</f>
        <v>0</v>
      </c>
      <c r="AR156" s="50" t="str">
        <f aca="false">IF($AQ156=0,"",SUM($AQ$4:$AQ156))</f>
        <v/>
      </c>
      <c r="AS156" s="50" t="str">
        <f aca="false">IFERROR(INDEX(Hoje!$K$10:$K$29,MATCH(ROW(),Hoje!$J$10:$J$29,0)),"")</f>
        <v/>
      </c>
      <c r="AT156" s="50" t="str">
        <f aca="false">IF($Q156&lt;&gt;"",$Q156,$AS156)</f>
        <v/>
      </c>
    </row>
    <row r="157" customFormat="false" ht="16.5" hidden="false" customHeight="true" outlineLevel="0" collapsed="false">
      <c r="A157" s="39" t="n">
        <f aca="false">IF($F157="","",ROW())</f>
        <v>157</v>
      </c>
      <c r="B157" s="40" t="str">
        <f aca="false">IF($F157="",IF($D157="","","Falta a atividade"),IF($R157="Cancelada","Cancelada",IF($AB157=1,IF(N($Z157)&gt;0,"Concluída com atraso","Concluída"),IF($R157="Em programação","Em programação",IF($O157="",IF($M157="","Na carteira","Falta a semana"),IF($AC157=1,"VENCIDA",IF($O157&gt;Hoje!$L$1,"Programada",IF($P157&gt;Hoje!$L$1,"Em execução","Fecha hoje"))))))))</f>
        <v>Na carteira</v>
      </c>
      <c r="C157" s="41" t="s">
        <v>410</v>
      </c>
      <c r="D157" s="42" t="s">
        <v>382</v>
      </c>
      <c r="E157" s="42" t="s">
        <v>383</v>
      </c>
      <c r="F157" s="42" t="s">
        <v>411</v>
      </c>
      <c r="G157" s="43" t="s">
        <v>80</v>
      </c>
      <c r="H157" s="43" t="s">
        <v>100</v>
      </c>
      <c r="I157" s="44"/>
      <c r="J157" s="44"/>
      <c r="K157" s="44"/>
      <c r="L157" s="45"/>
      <c r="M157" s="46"/>
      <c r="N157" s="45" t="n">
        <v>4</v>
      </c>
      <c r="O157" s="47" t="str">
        <f aca="false">IF(OR($L157="",$M157=""),"",(DATE(Semana!$J$3,1,4)-WEEKDAY(DATE(Semana!$J$3,1,4),3))+($L157-1)*7+MATCH($M157,Listas!$F$5:$F$11,0)-1)</f>
        <v/>
      </c>
      <c r="P157" s="47" t="str">
        <f aca="false">IF(OR($F157="",$O157=""),"",$O157+MAX(0,ROUNDUP($AK157*MAX(1,IF($N157="",1,$N157))/MAX(1,$AL157),0)-1))</f>
        <v/>
      </c>
      <c r="Q157" s="48"/>
      <c r="R157" s="43"/>
      <c r="S157" s="49"/>
      <c r="T157" s="42"/>
      <c r="U157" s="42" t="s">
        <v>412</v>
      </c>
      <c r="V157" s="39" t="str">
        <f aca="false">IF($F157="","",IF(ISNUMBER(SEARCH("(externo)",$I157&amp;$J157&amp;$K157)),"Terceirizada","Interna"))</f>
        <v>Interna</v>
      </c>
      <c r="W157" s="47" t="str">
        <f aca="false">IF($O157="","",IF($S157="",$O157,(DATE(Semana!$J$3,1,4)-WEEKDAY(DATE(Semana!$J$3,1,4),3))+($S157-1)*7+IF($M157="",0,MATCH($M157,Listas!$F$5:$F$11,0)-1)))</f>
        <v/>
      </c>
      <c r="X157" s="39" t="n">
        <f aca="false">IF($F157="","",IF(OR($AT157="",$O157=""),0,IF($AT157&lt;=$O157,1,0)))</f>
        <v>0</v>
      </c>
      <c r="Y157" s="39" t="n">
        <f aca="false">IF($F157="","",IF(OR($AT157="",$W157=""),0,IF($AT157&lt;=$W157,1,0)))</f>
        <v>0</v>
      </c>
      <c r="Z157" s="39" t="str">
        <f aca="false">IF(OR($AT157="",$O157=""),"",MAX(0,$AT157-$O157))</f>
        <v/>
      </c>
      <c r="AA157" s="39" t="n">
        <f aca="false">IF($F157="","",IF(AND($S157&lt;&gt;"",$L157&lt;&gt;"",$S157&lt;&gt;$L157),1,0))</f>
        <v>0</v>
      </c>
      <c r="AB157" s="39" t="n">
        <f aca="false">IF($F157="","",IF($R157="Cancelada",0,IF(OR($AT157&lt;&gt;"",$R157="Concluída"),1,0)))</f>
        <v>0</v>
      </c>
      <c r="AC157" s="39" t="n">
        <f aca="false">IF($P157="",0,IF($P157&lt;Hoje!$L$1,1,IF(AND($P157=Hoje!$L$1,Hoje!$L$2&gt;Semana!$M$3),1,0)))</f>
        <v>0</v>
      </c>
      <c r="AD157" s="39" t="n">
        <f aca="false">IF($F157="","",IF(COUNTA($I157:$K157)=0,0,1/COUNTA($I157:$K157)))</f>
        <v>0</v>
      </c>
      <c r="AE157" s="39" t="str">
        <f aca="false">IF($AH157=0,"",SUM($AH$4:$AH157))</f>
        <v/>
      </c>
      <c r="AF157" s="39" t="str">
        <f aca="false">IF($AI157=0,"",SUM($AI$4:$AI157))</f>
        <v/>
      </c>
      <c r="AG157" s="50" t="str">
        <f aca="false">IF($F157="","",$I157&amp;IF($J157="",""," · "&amp;$J157)&amp;IF($K157="",""," · "&amp;$K157))</f>
        <v/>
      </c>
      <c r="AH157" s="39" t="n">
        <f aca="false">IF(AND($F157&lt;&gt;"",$O157&lt;&gt;"",$O157&lt;=Hoje!$C$3,$P157&gt;=Hoje!$C$3,$R157&lt;&gt;"Cancelada"),1,0)</f>
        <v>0</v>
      </c>
      <c r="AI157" s="39" t="n">
        <f aca="false">IF(AND($F157&lt;&gt;"",$P157&lt;&gt;"",$P157&lt;Hoje!$C$3,$AB157=0,$R157&lt;&gt;"Cancelada"),1,0)</f>
        <v>0</v>
      </c>
      <c r="AJ157" s="50" t="str">
        <f aca="false">IF($F157="","",$D157&amp;"|"&amp;$E157&amp;"|"&amp;$L157)</f>
        <v>F-964|BAIXA DE CARTEIRA|</v>
      </c>
      <c r="AK157" s="39" t="n">
        <f aca="false">IF($AJ157="","",COUNTIF($AJ$4:$AJ157,$AJ157))</f>
        <v>18</v>
      </c>
      <c r="AL157" s="39" t="n">
        <f aca="false">IF($AJ157="","",COUNTIF($AJ$4:$AJ$1004,$AJ157))</f>
        <v>33</v>
      </c>
      <c r="AM157" s="42"/>
      <c r="AN157" s="50" t="str">
        <f aca="false">IF($D157="","",IFERROR(T(VLOOKUP($D157,Listas!$B$5:$H$120,7,0)),""))</f>
        <v/>
      </c>
      <c r="AO157" s="50" t="str">
        <f aca="false">IF(OR($F157="",$L157&lt;&gt;"",$R157="Cancelada",$AT157&lt;&gt;""),"",$AN157&amp;"|"&amp;$D157&amp;"|"&amp;IF($C157="","zzz",$C157)&amp;"|"&amp;TEXT(157,"0000"))</f>
        <v>|F-964|007171|0157</v>
      </c>
      <c r="AP157" s="50" t="n">
        <f aca="false">IF($AO157="","",COUNTIF($AO$5:$AO$1004,"&lt;"&amp;$AO157)-(ROWS($AO$5:$AO$1004)-Hoje!$L$5)+1)</f>
        <v>35</v>
      </c>
      <c r="AQ157" s="50" t="n">
        <f aca="false">IF(AND($F157&lt;&gt;"",$D157=Frota!$C$3),1,0)</f>
        <v>0</v>
      </c>
      <c r="AR157" s="50" t="str">
        <f aca="false">IF($AQ157=0,"",SUM($AQ$4:$AQ157))</f>
        <v/>
      </c>
      <c r="AS157" s="50" t="str">
        <f aca="false">IFERROR(INDEX(Hoje!$K$10:$K$29,MATCH(ROW(),Hoje!$J$10:$J$29,0)),"")</f>
        <v/>
      </c>
      <c r="AT157" s="50" t="str">
        <f aca="false">IF($Q157&lt;&gt;"",$Q157,$AS157)</f>
        <v/>
      </c>
    </row>
    <row r="158" customFormat="false" ht="16.5" hidden="false" customHeight="true" outlineLevel="0" collapsed="false">
      <c r="A158" s="39" t="n">
        <f aca="false">IF($F158="","",ROW())</f>
        <v>158</v>
      </c>
      <c r="B158" s="40" t="str">
        <f aca="false">IF($F158="",IF($D158="","","Falta a atividade"),IF($R158="Cancelada","Cancelada",IF($AB158=1,IF(N($Z158)&gt;0,"Concluída com atraso","Concluída"),IF($R158="Em programação","Em programação",IF($O158="",IF($M158="","Na carteira","Falta a semana"),IF($AC158=1,"VENCIDA",IF($O158&gt;Hoje!$L$1,"Programada",IF($P158&gt;Hoje!$L$1,"Em execução","Fecha hoje"))))))))</f>
        <v>Na carteira</v>
      </c>
      <c r="C158" s="41" t="s">
        <v>413</v>
      </c>
      <c r="D158" s="42" t="s">
        <v>382</v>
      </c>
      <c r="E158" s="42" t="s">
        <v>383</v>
      </c>
      <c r="F158" s="42" t="s">
        <v>414</v>
      </c>
      <c r="G158" s="43" t="s">
        <v>80</v>
      </c>
      <c r="H158" s="43" t="s">
        <v>100</v>
      </c>
      <c r="I158" s="44"/>
      <c r="J158" s="44"/>
      <c r="K158" s="44"/>
      <c r="L158" s="45"/>
      <c r="M158" s="46"/>
      <c r="N158" s="45" t="n">
        <v>4</v>
      </c>
      <c r="O158" s="47" t="str">
        <f aca="false">IF(OR($L158="",$M158=""),"",(DATE(Semana!$J$3,1,4)-WEEKDAY(DATE(Semana!$J$3,1,4),3))+($L158-1)*7+MATCH($M158,Listas!$F$5:$F$11,0)-1)</f>
        <v/>
      </c>
      <c r="P158" s="47" t="str">
        <f aca="false">IF(OR($F158="",$O158=""),"",$O158+MAX(0,ROUNDUP($AK158*MAX(1,IF($N158="",1,$N158))/MAX(1,$AL158),0)-1))</f>
        <v/>
      </c>
      <c r="Q158" s="48"/>
      <c r="R158" s="43"/>
      <c r="S158" s="49"/>
      <c r="T158" s="42"/>
      <c r="U158" s="42" t="s">
        <v>415</v>
      </c>
      <c r="V158" s="39" t="str">
        <f aca="false">IF($F158="","",IF(ISNUMBER(SEARCH("(externo)",$I158&amp;$J158&amp;$K158)),"Terceirizada","Interna"))</f>
        <v>Interna</v>
      </c>
      <c r="W158" s="47" t="str">
        <f aca="false">IF($O158="","",IF($S158="",$O158,(DATE(Semana!$J$3,1,4)-WEEKDAY(DATE(Semana!$J$3,1,4),3))+($S158-1)*7+IF($M158="",0,MATCH($M158,Listas!$F$5:$F$11,0)-1)))</f>
        <v/>
      </c>
      <c r="X158" s="39" t="n">
        <f aca="false">IF($F158="","",IF(OR($AT158="",$O158=""),0,IF($AT158&lt;=$O158,1,0)))</f>
        <v>0</v>
      </c>
      <c r="Y158" s="39" t="n">
        <f aca="false">IF($F158="","",IF(OR($AT158="",$W158=""),0,IF($AT158&lt;=$W158,1,0)))</f>
        <v>0</v>
      </c>
      <c r="Z158" s="39" t="str">
        <f aca="false">IF(OR($AT158="",$O158=""),"",MAX(0,$AT158-$O158))</f>
        <v/>
      </c>
      <c r="AA158" s="39" t="n">
        <f aca="false">IF($F158="","",IF(AND($S158&lt;&gt;"",$L158&lt;&gt;"",$S158&lt;&gt;$L158),1,0))</f>
        <v>0</v>
      </c>
      <c r="AB158" s="39" t="n">
        <f aca="false">IF($F158="","",IF($R158="Cancelada",0,IF(OR($AT158&lt;&gt;"",$R158="Concluída"),1,0)))</f>
        <v>0</v>
      </c>
      <c r="AC158" s="39" t="n">
        <f aca="false">IF($P158="",0,IF($P158&lt;Hoje!$L$1,1,IF(AND($P158=Hoje!$L$1,Hoje!$L$2&gt;Semana!$M$3),1,0)))</f>
        <v>0</v>
      </c>
      <c r="AD158" s="39" t="n">
        <f aca="false">IF($F158="","",IF(COUNTA($I158:$K158)=0,0,1/COUNTA($I158:$K158)))</f>
        <v>0</v>
      </c>
      <c r="AE158" s="39" t="str">
        <f aca="false">IF($AH158=0,"",SUM($AH$4:$AH158))</f>
        <v/>
      </c>
      <c r="AF158" s="39" t="str">
        <f aca="false">IF($AI158=0,"",SUM($AI$4:$AI158))</f>
        <v/>
      </c>
      <c r="AG158" s="50" t="str">
        <f aca="false">IF($F158="","",$I158&amp;IF($J158="",""," · "&amp;$J158)&amp;IF($K158="",""," · "&amp;$K158))</f>
        <v/>
      </c>
      <c r="AH158" s="39" t="n">
        <f aca="false">IF(AND($F158&lt;&gt;"",$O158&lt;&gt;"",$O158&lt;=Hoje!$C$3,$P158&gt;=Hoje!$C$3,$R158&lt;&gt;"Cancelada"),1,0)</f>
        <v>0</v>
      </c>
      <c r="AI158" s="39" t="n">
        <f aca="false">IF(AND($F158&lt;&gt;"",$P158&lt;&gt;"",$P158&lt;Hoje!$C$3,$AB158=0,$R158&lt;&gt;"Cancelada"),1,0)</f>
        <v>0</v>
      </c>
      <c r="AJ158" s="50" t="str">
        <f aca="false">IF($F158="","",$D158&amp;"|"&amp;$E158&amp;"|"&amp;$L158)</f>
        <v>F-964|BAIXA DE CARTEIRA|</v>
      </c>
      <c r="AK158" s="39" t="n">
        <f aca="false">IF($AJ158="","",COUNTIF($AJ$4:$AJ158,$AJ158))</f>
        <v>19</v>
      </c>
      <c r="AL158" s="39" t="n">
        <f aca="false">IF($AJ158="","",COUNTIF($AJ$4:$AJ$1004,$AJ158))</f>
        <v>33</v>
      </c>
      <c r="AM158" s="42"/>
      <c r="AN158" s="50" t="str">
        <f aca="false">IF($D158="","",IFERROR(T(VLOOKUP($D158,Listas!$B$5:$H$120,7,0)),""))</f>
        <v/>
      </c>
      <c r="AO158" s="50" t="str">
        <f aca="false">IF(OR($F158="",$L158&lt;&gt;"",$R158="Cancelada",$AT158&lt;&gt;""),"",$AN158&amp;"|"&amp;$D158&amp;"|"&amp;IF($C158="","zzz",$C158)&amp;"|"&amp;TEXT(158,"0000"))</f>
        <v>|F-964|007193|0158</v>
      </c>
      <c r="AP158" s="50" t="n">
        <f aca="false">IF($AO158="","",COUNTIF($AO$5:$AO$1004,"&lt;"&amp;$AO158)-(ROWS($AO$5:$AO$1004)-Hoje!$L$5)+1)</f>
        <v>43</v>
      </c>
      <c r="AQ158" s="50" t="n">
        <f aca="false">IF(AND($F158&lt;&gt;"",$D158=Frota!$C$3),1,0)</f>
        <v>0</v>
      </c>
      <c r="AR158" s="50" t="str">
        <f aca="false">IF($AQ158=0,"",SUM($AQ$4:$AQ158))</f>
        <v/>
      </c>
      <c r="AS158" s="50" t="str">
        <f aca="false">IFERROR(INDEX(Hoje!$K$10:$K$29,MATCH(ROW(),Hoje!$J$10:$J$29,0)),"")</f>
        <v/>
      </c>
      <c r="AT158" s="50" t="str">
        <f aca="false">IF($Q158&lt;&gt;"",$Q158,$AS158)</f>
        <v/>
      </c>
    </row>
    <row r="159" customFormat="false" ht="16.5" hidden="false" customHeight="true" outlineLevel="0" collapsed="false">
      <c r="A159" s="39" t="n">
        <f aca="false">IF($F159="","",ROW())</f>
        <v>159</v>
      </c>
      <c r="B159" s="40" t="str">
        <f aca="false">IF($F159="",IF($D159="","","Falta a atividade"),IF($R159="Cancelada","Cancelada",IF($AB159=1,IF(N($Z159)&gt;0,"Concluída com atraso","Concluída"),IF($R159="Em programação","Em programação",IF($O159="",IF($M159="","Na carteira","Falta a semana"),IF($AC159=1,"VENCIDA",IF($O159&gt;Hoje!$L$1,"Programada",IF($P159&gt;Hoje!$L$1,"Em execução","Fecha hoje"))))))))</f>
        <v>Na carteira</v>
      </c>
      <c r="C159" s="41" t="s">
        <v>400</v>
      </c>
      <c r="D159" s="42" t="s">
        <v>382</v>
      </c>
      <c r="E159" s="42" t="s">
        <v>383</v>
      </c>
      <c r="F159" s="42" t="s">
        <v>416</v>
      </c>
      <c r="G159" s="43" t="s">
        <v>80</v>
      </c>
      <c r="H159" s="43" t="s">
        <v>100</v>
      </c>
      <c r="I159" s="44"/>
      <c r="J159" s="44"/>
      <c r="K159" s="44"/>
      <c r="L159" s="45"/>
      <c r="M159" s="46"/>
      <c r="N159" s="45" t="n">
        <v>4</v>
      </c>
      <c r="O159" s="47" t="str">
        <f aca="false">IF(OR($L159="",$M159=""),"",(DATE(Semana!$J$3,1,4)-WEEKDAY(DATE(Semana!$J$3,1,4),3))+($L159-1)*7+MATCH($M159,Listas!$F$5:$F$11,0)-1)</f>
        <v/>
      </c>
      <c r="P159" s="47" t="str">
        <f aca="false">IF(OR($F159="",$O159=""),"",$O159+MAX(0,ROUNDUP($AK159*MAX(1,IF($N159="",1,$N159))/MAX(1,$AL159),0)-1))</f>
        <v/>
      </c>
      <c r="Q159" s="48"/>
      <c r="R159" s="43"/>
      <c r="S159" s="49"/>
      <c r="T159" s="42"/>
      <c r="U159" s="42" t="s">
        <v>417</v>
      </c>
      <c r="V159" s="39" t="str">
        <f aca="false">IF($F159="","",IF(ISNUMBER(SEARCH("(externo)",$I159&amp;$J159&amp;$K159)),"Terceirizada","Interna"))</f>
        <v>Interna</v>
      </c>
      <c r="W159" s="47" t="str">
        <f aca="false">IF($O159="","",IF($S159="",$O159,(DATE(Semana!$J$3,1,4)-WEEKDAY(DATE(Semana!$J$3,1,4),3))+($S159-1)*7+IF($M159="",0,MATCH($M159,Listas!$F$5:$F$11,0)-1)))</f>
        <v/>
      </c>
      <c r="X159" s="39" t="n">
        <f aca="false">IF($F159="","",IF(OR($AT159="",$O159=""),0,IF($AT159&lt;=$O159,1,0)))</f>
        <v>0</v>
      </c>
      <c r="Y159" s="39" t="n">
        <f aca="false">IF($F159="","",IF(OR($AT159="",$W159=""),0,IF($AT159&lt;=$W159,1,0)))</f>
        <v>0</v>
      </c>
      <c r="Z159" s="39" t="str">
        <f aca="false">IF(OR($AT159="",$O159=""),"",MAX(0,$AT159-$O159))</f>
        <v/>
      </c>
      <c r="AA159" s="39" t="n">
        <f aca="false">IF($F159="","",IF(AND($S159&lt;&gt;"",$L159&lt;&gt;"",$S159&lt;&gt;$L159),1,0))</f>
        <v>0</v>
      </c>
      <c r="AB159" s="39" t="n">
        <f aca="false">IF($F159="","",IF($R159="Cancelada",0,IF(OR($AT159&lt;&gt;"",$R159="Concluída"),1,0)))</f>
        <v>0</v>
      </c>
      <c r="AC159" s="39" t="n">
        <f aca="false">IF($P159="",0,IF($P159&lt;Hoje!$L$1,1,IF(AND($P159=Hoje!$L$1,Hoje!$L$2&gt;Semana!$M$3),1,0)))</f>
        <v>0</v>
      </c>
      <c r="AD159" s="39" t="n">
        <f aca="false">IF($F159="","",IF(COUNTA($I159:$K159)=0,0,1/COUNTA($I159:$K159)))</f>
        <v>0</v>
      </c>
      <c r="AE159" s="39" t="str">
        <f aca="false">IF($AH159=0,"",SUM($AH$4:$AH159))</f>
        <v/>
      </c>
      <c r="AF159" s="39" t="str">
        <f aca="false">IF($AI159=0,"",SUM($AI$4:$AI159))</f>
        <v/>
      </c>
      <c r="AG159" s="50" t="str">
        <f aca="false">IF($F159="","",$I159&amp;IF($J159="",""," · "&amp;$J159)&amp;IF($K159="",""," · "&amp;$K159))</f>
        <v/>
      </c>
      <c r="AH159" s="39" t="n">
        <f aca="false">IF(AND($F159&lt;&gt;"",$O159&lt;&gt;"",$O159&lt;=Hoje!$C$3,$P159&gt;=Hoje!$C$3,$R159&lt;&gt;"Cancelada"),1,0)</f>
        <v>0</v>
      </c>
      <c r="AI159" s="39" t="n">
        <f aca="false">IF(AND($F159&lt;&gt;"",$P159&lt;&gt;"",$P159&lt;Hoje!$C$3,$AB159=0,$R159&lt;&gt;"Cancelada"),1,0)</f>
        <v>0</v>
      </c>
      <c r="AJ159" s="50" t="str">
        <f aca="false">IF($F159="","",$D159&amp;"|"&amp;$E159&amp;"|"&amp;$L159)</f>
        <v>F-964|BAIXA DE CARTEIRA|</v>
      </c>
      <c r="AK159" s="39" t="n">
        <f aca="false">IF($AJ159="","",COUNTIF($AJ$4:$AJ159,$AJ159))</f>
        <v>20</v>
      </c>
      <c r="AL159" s="39" t="n">
        <f aca="false">IF($AJ159="","",COUNTIF($AJ$4:$AJ$1004,$AJ159))</f>
        <v>33</v>
      </c>
      <c r="AM159" s="42"/>
      <c r="AN159" s="50" t="str">
        <f aca="false">IF($D159="","",IFERROR(T(VLOOKUP($D159,Listas!$B$5:$H$120,7,0)),""))</f>
        <v/>
      </c>
      <c r="AO159" s="50" t="str">
        <f aca="false">IF(OR($F159="",$L159&lt;&gt;"",$R159="Cancelada",$AT159&lt;&gt;""),"",$AN159&amp;"|"&amp;$D159&amp;"|"&amp;IF($C159="","zzz",$C159)&amp;"|"&amp;TEXT(159,"0000"))</f>
        <v>|F-964|007185|0159</v>
      </c>
      <c r="AP159" s="50" t="n">
        <f aca="false">IF($AO159="","",COUNTIF($AO$5:$AO$1004,"&lt;"&amp;$AO159)-(ROWS($AO$5:$AO$1004)-Hoje!$L$5)+1)</f>
        <v>38</v>
      </c>
      <c r="AQ159" s="50" t="n">
        <f aca="false">IF(AND($F159&lt;&gt;"",$D159=Frota!$C$3),1,0)</f>
        <v>0</v>
      </c>
      <c r="AR159" s="50" t="str">
        <f aca="false">IF($AQ159=0,"",SUM($AQ$4:$AQ159))</f>
        <v/>
      </c>
      <c r="AS159" s="50" t="str">
        <f aca="false">IFERROR(INDEX(Hoje!$K$10:$K$29,MATCH(ROW(),Hoje!$J$10:$J$29,0)),"")</f>
        <v/>
      </c>
      <c r="AT159" s="50" t="str">
        <f aca="false">IF($Q159&lt;&gt;"",$Q159,$AS159)</f>
        <v/>
      </c>
    </row>
    <row r="160" customFormat="false" ht="16.5" hidden="false" customHeight="true" outlineLevel="0" collapsed="false">
      <c r="A160" s="39" t="n">
        <f aca="false">IF($F160="","",ROW())</f>
        <v>160</v>
      </c>
      <c r="B160" s="40" t="str">
        <f aca="false">IF($F160="",IF($D160="","","Falta a atividade"),IF($R160="Cancelada","Cancelada",IF($AB160=1,IF(N($Z160)&gt;0,"Concluída com atraso","Concluída"),IF($R160="Em programação","Em programação",IF($O160="",IF($M160="","Na carteira","Falta a semana"),IF($AC160=1,"VENCIDA",IF($O160&gt;Hoje!$L$1,"Programada",IF($P160&gt;Hoje!$L$1,"Em execução","Fecha hoje"))))))))</f>
        <v>Na carteira</v>
      </c>
      <c r="C160" s="41" t="s">
        <v>418</v>
      </c>
      <c r="D160" s="42" t="s">
        <v>382</v>
      </c>
      <c r="E160" s="42" t="s">
        <v>383</v>
      </c>
      <c r="F160" s="42" t="s">
        <v>419</v>
      </c>
      <c r="G160" s="43" t="s">
        <v>80</v>
      </c>
      <c r="H160" s="43" t="s">
        <v>100</v>
      </c>
      <c r="I160" s="44"/>
      <c r="J160" s="44"/>
      <c r="K160" s="44"/>
      <c r="L160" s="45"/>
      <c r="M160" s="46"/>
      <c r="N160" s="45" t="n">
        <v>4</v>
      </c>
      <c r="O160" s="47" t="str">
        <f aca="false">IF(OR($L160="",$M160=""),"",(DATE(Semana!$J$3,1,4)-WEEKDAY(DATE(Semana!$J$3,1,4),3))+($L160-1)*7+MATCH($M160,Listas!$F$5:$F$11,0)-1)</f>
        <v/>
      </c>
      <c r="P160" s="47" t="str">
        <f aca="false">IF(OR($F160="",$O160=""),"",$O160+MAX(0,ROUNDUP($AK160*MAX(1,IF($N160="",1,$N160))/MAX(1,$AL160),0)-1))</f>
        <v/>
      </c>
      <c r="Q160" s="48"/>
      <c r="R160" s="43"/>
      <c r="S160" s="49"/>
      <c r="T160" s="42"/>
      <c r="U160" s="42" t="s">
        <v>420</v>
      </c>
      <c r="V160" s="39" t="str">
        <f aca="false">IF($F160="","",IF(ISNUMBER(SEARCH("(externo)",$I160&amp;$J160&amp;$K160)),"Terceirizada","Interna"))</f>
        <v>Interna</v>
      </c>
      <c r="W160" s="47" t="str">
        <f aca="false">IF($O160="","",IF($S160="",$O160,(DATE(Semana!$J$3,1,4)-WEEKDAY(DATE(Semana!$J$3,1,4),3))+($S160-1)*7+IF($M160="",0,MATCH($M160,Listas!$F$5:$F$11,0)-1)))</f>
        <v/>
      </c>
      <c r="X160" s="39" t="n">
        <f aca="false">IF($F160="","",IF(OR($AT160="",$O160=""),0,IF($AT160&lt;=$O160,1,0)))</f>
        <v>0</v>
      </c>
      <c r="Y160" s="39" t="n">
        <f aca="false">IF($F160="","",IF(OR($AT160="",$W160=""),0,IF($AT160&lt;=$W160,1,0)))</f>
        <v>0</v>
      </c>
      <c r="Z160" s="39" t="str">
        <f aca="false">IF(OR($AT160="",$O160=""),"",MAX(0,$AT160-$O160))</f>
        <v/>
      </c>
      <c r="AA160" s="39" t="n">
        <f aca="false">IF($F160="","",IF(AND($S160&lt;&gt;"",$L160&lt;&gt;"",$S160&lt;&gt;$L160),1,0))</f>
        <v>0</v>
      </c>
      <c r="AB160" s="39" t="n">
        <f aca="false">IF($F160="","",IF($R160="Cancelada",0,IF(OR($AT160&lt;&gt;"",$R160="Concluída"),1,0)))</f>
        <v>0</v>
      </c>
      <c r="AC160" s="39" t="n">
        <f aca="false">IF($P160="",0,IF($P160&lt;Hoje!$L$1,1,IF(AND($P160=Hoje!$L$1,Hoje!$L$2&gt;Semana!$M$3),1,0)))</f>
        <v>0</v>
      </c>
      <c r="AD160" s="39" t="n">
        <f aca="false">IF($F160="","",IF(COUNTA($I160:$K160)=0,0,1/COUNTA($I160:$K160)))</f>
        <v>0</v>
      </c>
      <c r="AE160" s="39" t="str">
        <f aca="false">IF($AH160=0,"",SUM($AH$4:$AH160))</f>
        <v/>
      </c>
      <c r="AF160" s="39" t="str">
        <f aca="false">IF($AI160=0,"",SUM($AI$4:$AI160))</f>
        <v/>
      </c>
      <c r="AG160" s="50" t="str">
        <f aca="false">IF($F160="","",$I160&amp;IF($J160="",""," · "&amp;$J160)&amp;IF($K160="",""," · "&amp;$K160))</f>
        <v/>
      </c>
      <c r="AH160" s="39" t="n">
        <f aca="false">IF(AND($F160&lt;&gt;"",$O160&lt;&gt;"",$O160&lt;=Hoje!$C$3,$P160&gt;=Hoje!$C$3,$R160&lt;&gt;"Cancelada"),1,0)</f>
        <v>0</v>
      </c>
      <c r="AI160" s="39" t="n">
        <f aca="false">IF(AND($F160&lt;&gt;"",$P160&lt;&gt;"",$P160&lt;Hoje!$C$3,$AB160=0,$R160&lt;&gt;"Cancelada"),1,0)</f>
        <v>0</v>
      </c>
      <c r="AJ160" s="50" t="str">
        <f aca="false">IF($F160="","",$D160&amp;"|"&amp;$E160&amp;"|"&amp;$L160)</f>
        <v>F-964|BAIXA DE CARTEIRA|</v>
      </c>
      <c r="AK160" s="39" t="n">
        <f aca="false">IF($AJ160="","",COUNTIF($AJ$4:$AJ160,$AJ160))</f>
        <v>21</v>
      </c>
      <c r="AL160" s="39" t="n">
        <f aca="false">IF($AJ160="","",COUNTIF($AJ$4:$AJ$1004,$AJ160))</f>
        <v>33</v>
      </c>
      <c r="AM160" s="42"/>
      <c r="AN160" s="50" t="str">
        <f aca="false">IF($D160="","",IFERROR(T(VLOOKUP($D160,Listas!$B$5:$H$120,7,0)),""))</f>
        <v/>
      </c>
      <c r="AO160" s="50" t="str">
        <f aca="false">IF(OR($F160="",$L160&lt;&gt;"",$R160="Cancelada",$AT160&lt;&gt;""),"",$AN160&amp;"|"&amp;$D160&amp;"|"&amp;IF($C160="","zzz",$C160)&amp;"|"&amp;TEXT(160,"0000"))</f>
        <v>|F-964|007190|0160</v>
      </c>
      <c r="AP160" s="50" t="n">
        <f aca="false">IF($AO160="","",COUNTIF($AO$5:$AO$1004,"&lt;"&amp;$AO160)-(ROWS($AO$5:$AO$1004)-Hoje!$L$5)+1)</f>
        <v>41</v>
      </c>
      <c r="AQ160" s="50" t="n">
        <f aca="false">IF(AND($F160&lt;&gt;"",$D160=Frota!$C$3),1,0)</f>
        <v>0</v>
      </c>
      <c r="AR160" s="50" t="str">
        <f aca="false">IF($AQ160=0,"",SUM($AQ$4:$AQ160))</f>
        <v/>
      </c>
      <c r="AS160" s="50" t="str">
        <f aca="false">IFERROR(INDEX(Hoje!$K$10:$K$29,MATCH(ROW(),Hoje!$J$10:$J$29,0)),"")</f>
        <v/>
      </c>
      <c r="AT160" s="50" t="str">
        <f aca="false">IF($Q160&lt;&gt;"",$Q160,$AS160)</f>
        <v/>
      </c>
    </row>
    <row r="161" customFormat="false" ht="16.5" hidden="false" customHeight="true" outlineLevel="0" collapsed="false">
      <c r="A161" s="39" t="n">
        <f aca="false">IF($F161="","",ROW())</f>
        <v>161</v>
      </c>
      <c r="B161" s="40" t="str">
        <f aca="false">IF($F161="",IF($D161="","","Falta a atividade"),IF($R161="Cancelada","Cancelada",IF($AB161=1,IF(N($Z161)&gt;0,"Concluída com atraso","Concluída"),IF($R161="Em programação","Em programação",IF($O161="",IF($M161="","Na carteira","Falta a semana"),IF($AC161=1,"VENCIDA",IF($O161&gt;Hoje!$L$1,"Programada",IF($P161&gt;Hoje!$L$1,"Em execução","Fecha hoje"))))))))</f>
        <v>Na carteira</v>
      </c>
      <c r="C161" s="41" t="s">
        <v>421</v>
      </c>
      <c r="D161" s="42" t="s">
        <v>382</v>
      </c>
      <c r="E161" s="42" t="s">
        <v>383</v>
      </c>
      <c r="F161" s="42" t="s">
        <v>422</v>
      </c>
      <c r="G161" s="43" t="s">
        <v>80</v>
      </c>
      <c r="H161" s="43" t="s">
        <v>100</v>
      </c>
      <c r="I161" s="44"/>
      <c r="J161" s="44"/>
      <c r="K161" s="44"/>
      <c r="L161" s="45"/>
      <c r="M161" s="46"/>
      <c r="N161" s="45" t="n">
        <v>4</v>
      </c>
      <c r="O161" s="47" t="str">
        <f aca="false">IF(OR($L161="",$M161=""),"",(DATE(Semana!$J$3,1,4)-WEEKDAY(DATE(Semana!$J$3,1,4),3))+($L161-1)*7+MATCH($M161,Listas!$F$5:$F$11,0)-1)</f>
        <v/>
      </c>
      <c r="P161" s="47" t="str">
        <f aca="false">IF(OR($F161="",$O161=""),"",$O161+MAX(0,ROUNDUP($AK161*MAX(1,IF($N161="",1,$N161))/MAX(1,$AL161),0)-1))</f>
        <v/>
      </c>
      <c r="Q161" s="48"/>
      <c r="R161" s="43"/>
      <c r="S161" s="49"/>
      <c r="T161" s="42"/>
      <c r="U161" s="42" t="s">
        <v>423</v>
      </c>
      <c r="V161" s="39" t="str">
        <f aca="false">IF($F161="","",IF(ISNUMBER(SEARCH("(externo)",$I161&amp;$J161&amp;$K161)),"Terceirizada","Interna"))</f>
        <v>Interna</v>
      </c>
      <c r="W161" s="47" t="str">
        <f aca="false">IF($O161="","",IF($S161="",$O161,(DATE(Semana!$J$3,1,4)-WEEKDAY(DATE(Semana!$J$3,1,4),3))+($S161-1)*7+IF($M161="",0,MATCH($M161,Listas!$F$5:$F$11,0)-1)))</f>
        <v/>
      </c>
      <c r="X161" s="39" t="n">
        <f aca="false">IF($F161="","",IF(OR($AT161="",$O161=""),0,IF($AT161&lt;=$O161,1,0)))</f>
        <v>0</v>
      </c>
      <c r="Y161" s="39" t="n">
        <f aca="false">IF($F161="","",IF(OR($AT161="",$W161=""),0,IF($AT161&lt;=$W161,1,0)))</f>
        <v>0</v>
      </c>
      <c r="Z161" s="39" t="str">
        <f aca="false">IF(OR($AT161="",$O161=""),"",MAX(0,$AT161-$O161))</f>
        <v/>
      </c>
      <c r="AA161" s="39" t="n">
        <f aca="false">IF($F161="","",IF(AND($S161&lt;&gt;"",$L161&lt;&gt;"",$S161&lt;&gt;$L161),1,0))</f>
        <v>0</v>
      </c>
      <c r="AB161" s="39" t="n">
        <f aca="false">IF($F161="","",IF($R161="Cancelada",0,IF(OR($AT161&lt;&gt;"",$R161="Concluída"),1,0)))</f>
        <v>0</v>
      </c>
      <c r="AC161" s="39" t="n">
        <f aca="false">IF($P161="",0,IF($P161&lt;Hoje!$L$1,1,IF(AND($P161=Hoje!$L$1,Hoje!$L$2&gt;Semana!$M$3),1,0)))</f>
        <v>0</v>
      </c>
      <c r="AD161" s="39" t="n">
        <f aca="false">IF($F161="","",IF(COUNTA($I161:$K161)=0,0,1/COUNTA($I161:$K161)))</f>
        <v>0</v>
      </c>
      <c r="AE161" s="39" t="str">
        <f aca="false">IF($AH161=0,"",SUM($AH$4:$AH161))</f>
        <v/>
      </c>
      <c r="AF161" s="39" t="str">
        <f aca="false">IF($AI161=0,"",SUM($AI$4:$AI161))</f>
        <v/>
      </c>
      <c r="AG161" s="50" t="str">
        <f aca="false">IF($F161="","",$I161&amp;IF($J161="",""," · "&amp;$J161)&amp;IF($K161="",""," · "&amp;$K161))</f>
        <v/>
      </c>
      <c r="AH161" s="39" t="n">
        <f aca="false">IF(AND($F161&lt;&gt;"",$O161&lt;&gt;"",$O161&lt;=Hoje!$C$3,$P161&gt;=Hoje!$C$3,$R161&lt;&gt;"Cancelada"),1,0)</f>
        <v>0</v>
      </c>
      <c r="AI161" s="39" t="n">
        <f aca="false">IF(AND($F161&lt;&gt;"",$P161&lt;&gt;"",$P161&lt;Hoje!$C$3,$AB161=0,$R161&lt;&gt;"Cancelada"),1,0)</f>
        <v>0</v>
      </c>
      <c r="AJ161" s="50" t="str">
        <f aca="false">IF($F161="","",$D161&amp;"|"&amp;$E161&amp;"|"&amp;$L161)</f>
        <v>F-964|BAIXA DE CARTEIRA|</v>
      </c>
      <c r="AK161" s="39" t="n">
        <f aca="false">IF($AJ161="","",COUNTIF($AJ$4:$AJ161,$AJ161))</f>
        <v>22</v>
      </c>
      <c r="AL161" s="39" t="n">
        <f aca="false">IF($AJ161="","",COUNTIF($AJ$4:$AJ$1004,$AJ161))</f>
        <v>33</v>
      </c>
      <c r="AM161" s="42"/>
      <c r="AN161" s="50" t="str">
        <f aca="false">IF($D161="","",IFERROR(T(VLOOKUP($D161,Listas!$B$5:$H$120,7,0)),""))</f>
        <v/>
      </c>
      <c r="AO161" s="50" t="str">
        <f aca="false">IF(OR($F161="",$L161&lt;&gt;"",$R161="Cancelada",$AT161&lt;&gt;""),"",$AN161&amp;"|"&amp;$D161&amp;"|"&amp;IF($C161="","zzz",$C161)&amp;"|"&amp;TEXT(161,"0000"))</f>
        <v>|F-964|007205|0161</v>
      </c>
      <c r="AP161" s="50" t="n">
        <f aca="false">IF($AO161="","",COUNTIF($AO$5:$AO$1004,"&lt;"&amp;$AO161)-(ROWS($AO$5:$AO$1004)-Hoje!$L$5)+1)</f>
        <v>47</v>
      </c>
      <c r="AQ161" s="50" t="n">
        <f aca="false">IF(AND($F161&lt;&gt;"",$D161=Frota!$C$3),1,0)</f>
        <v>0</v>
      </c>
      <c r="AR161" s="50" t="str">
        <f aca="false">IF($AQ161=0,"",SUM($AQ$4:$AQ161))</f>
        <v/>
      </c>
      <c r="AS161" s="50" t="str">
        <f aca="false">IFERROR(INDEX(Hoje!$K$10:$K$29,MATCH(ROW(),Hoje!$J$10:$J$29,0)),"")</f>
        <v/>
      </c>
      <c r="AT161" s="50" t="str">
        <f aca="false">IF($Q161&lt;&gt;"",$Q161,$AS161)</f>
        <v/>
      </c>
    </row>
    <row r="162" customFormat="false" ht="16.5" hidden="false" customHeight="true" outlineLevel="0" collapsed="false">
      <c r="A162" s="39" t="n">
        <f aca="false">IF($F162="","",ROW())</f>
        <v>162</v>
      </c>
      <c r="B162" s="40" t="str">
        <f aca="false">IF($F162="",IF($D162="","","Falta a atividade"),IF($R162="Cancelada","Cancelada",IF($AB162=1,IF(N($Z162)&gt;0,"Concluída com atraso","Concluída"),IF($R162="Em programação","Em programação",IF($O162="",IF($M162="","Na carteira","Falta a semana"),IF($AC162=1,"VENCIDA",IF($O162&gt;Hoje!$L$1,"Programada",IF($P162&gt;Hoje!$L$1,"Em execução","Fecha hoje"))))))))</f>
        <v>Na carteira</v>
      </c>
      <c r="C162" s="41" t="s">
        <v>424</v>
      </c>
      <c r="D162" s="42" t="s">
        <v>382</v>
      </c>
      <c r="E162" s="42" t="s">
        <v>383</v>
      </c>
      <c r="F162" s="42" t="s">
        <v>425</v>
      </c>
      <c r="G162" s="43" t="s">
        <v>80</v>
      </c>
      <c r="H162" s="43" t="s">
        <v>100</v>
      </c>
      <c r="I162" s="44"/>
      <c r="J162" s="44"/>
      <c r="K162" s="44"/>
      <c r="L162" s="45"/>
      <c r="M162" s="46"/>
      <c r="N162" s="45" t="n">
        <v>4</v>
      </c>
      <c r="O162" s="47" t="str">
        <f aca="false">IF(OR($L162="",$M162=""),"",(DATE(Semana!$J$3,1,4)-WEEKDAY(DATE(Semana!$J$3,1,4),3))+($L162-1)*7+MATCH($M162,Listas!$F$5:$F$11,0)-1)</f>
        <v/>
      </c>
      <c r="P162" s="47" t="str">
        <f aca="false">IF(OR($F162="",$O162=""),"",$O162+MAX(0,ROUNDUP($AK162*MAX(1,IF($N162="",1,$N162))/MAX(1,$AL162),0)-1))</f>
        <v/>
      </c>
      <c r="Q162" s="48"/>
      <c r="R162" s="43"/>
      <c r="S162" s="49"/>
      <c r="T162" s="42"/>
      <c r="U162" s="42" t="s">
        <v>426</v>
      </c>
      <c r="V162" s="39" t="str">
        <f aca="false">IF($F162="","",IF(ISNUMBER(SEARCH("(externo)",$I162&amp;$J162&amp;$K162)),"Terceirizada","Interna"))</f>
        <v>Interna</v>
      </c>
      <c r="W162" s="47" t="str">
        <f aca="false">IF($O162="","",IF($S162="",$O162,(DATE(Semana!$J$3,1,4)-WEEKDAY(DATE(Semana!$J$3,1,4),3))+($S162-1)*7+IF($M162="",0,MATCH($M162,Listas!$F$5:$F$11,0)-1)))</f>
        <v/>
      </c>
      <c r="X162" s="39" t="n">
        <f aca="false">IF($F162="","",IF(OR($AT162="",$O162=""),0,IF($AT162&lt;=$O162,1,0)))</f>
        <v>0</v>
      </c>
      <c r="Y162" s="39" t="n">
        <f aca="false">IF($F162="","",IF(OR($AT162="",$W162=""),0,IF($AT162&lt;=$W162,1,0)))</f>
        <v>0</v>
      </c>
      <c r="Z162" s="39" t="str">
        <f aca="false">IF(OR($AT162="",$O162=""),"",MAX(0,$AT162-$O162))</f>
        <v/>
      </c>
      <c r="AA162" s="39" t="n">
        <f aca="false">IF($F162="","",IF(AND($S162&lt;&gt;"",$L162&lt;&gt;"",$S162&lt;&gt;$L162),1,0))</f>
        <v>0</v>
      </c>
      <c r="AB162" s="39" t="n">
        <f aca="false">IF($F162="","",IF($R162="Cancelada",0,IF(OR($AT162&lt;&gt;"",$R162="Concluída"),1,0)))</f>
        <v>0</v>
      </c>
      <c r="AC162" s="39" t="n">
        <f aca="false">IF($P162="",0,IF($P162&lt;Hoje!$L$1,1,IF(AND($P162=Hoje!$L$1,Hoje!$L$2&gt;Semana!$M$3),1,0)))</f>
        <v>0</v>
      </c>
      <c r="AD162" s="39" t="n">
        <f aca="false">IF($F162="","",IF(COUNTA($I162:$K162)=0,0,1/COUNTA($I162:$K162)))</f>
        <v>0</v>
      </c>
      <c r="AE162" s="39" t="str">
        <f aca="false">IF($AH162=0,"",SUM($AH$4:$AH162))</f>
        <v/>
      </c>
      <c r="AF162" s="39" t="str">
        <f aca="false">IF($AI162=0,"",SUM($AI$4:$AI162))</f>
        <v/>
      </c>
      <c r="AG162" s="50" t="str">
        <f aca="false">IF($F162="","",$I162&amp;IF($J162="",""," · "&amp;$J162)&amp;IF($K162="",""," · "&amp;$K162))</f>
        <v/>
      </c>
      <c r="AH162" s="39" t="n">
        <f aca="false">IF(AND($F162&lt;&gt;"",$O162&lt;&gt;"",$O162&lt;=Hoje!$C$3,$P162&gt;=Hoje!$C$3,$R162&lt;&gt;"Cancelada"),1,0)</f>
        <v>0</v>
      </c>
      <c r="AI162" s="39" t="n">
        <f aca="false">IF(AND($F162&lt;&gt;"",$P162&lt;&gt;"",$P162&lt;Hoje!$C$3,$AB162=0,$R162&lt;&gt;"Cancelada"),1,0)</f>
        <v>0</v>
      </c>
      <c r="AJ162" s="50" t="str">
        <f aca="false">IF($F162="","",$D162&amp;"|"&amp;$E162&amp;"|"&amp;$L162)</f>
        <v>F-964|BAIXA DE CARTEIRA|</v>
      </c>
      <c r="AK162" s="39" t="n">
        <f aca="false">IF($AJ162="","",COUNTIF($AJ$4:$AJ162,$AJ162))</f>
        <v>23</v>
      </c>
      <c r="AL162" s="39" t="n">
        <f aca="false">IF($AJ162="","",COUNTIF($AJ$4:$AJ$1004,$AJ162))</f>
        <v>33</v>
      </c>
      <c r="AM162" s="42"/>
      <c r="AN162" s="50" t="str">
        <f aca="false">IF($D162="","",IFERROR(T(VLOOKUP($D162,Listas!$B$5:$H$120,7,0)),""))</f>
        <v/>
      </c>
      <c r="AO162" s="50" t="str">
        <f aca="false">IF(OR($F162="",$L162&lt;&gt;"",$R162="Cancelada",$AT162&lt;&gt;""),"",$AN162&amp;"|"&amp;$D162&amp;"|"&amp;IF($C162="","zzz",$C162)&amp;"|"&amp;TEXT(162,"0000"))</f>
        <v>|F-964|007192|0162</v>
      </c>
      <c r="AP162" s="50" t="n">
        <f aca="false">IF($AO162="","",COUNTIF($AO$5:$AO$1004,"&lt;"&amp;$AO162)-(ROWS($AO$5:$AO$1004)-Hoje!$L$5)+1)</f>
        <v>42</v>
      </c>
      <c r="AQ162" s="50" t="n">
        <f aca="false">IF(AND($F162&lt;&gt;"",$D162=Frota!$C$3),1,0)</f>
        <v>0</v>
      </c>
      <c r="AR162" s="50" t="str">
        <f aca="false">IF($AQ162=0,"",SUM($AQ$4:$AQ162))</f>
        <v/>
      </c>
      <c r="AS162" s="50" t="str">
        <f aca="false">IFERROR(INDEX(Hoje!$K$10:$K$29,MATCH(ROW(),Hoje!$J$10:$J$29,0)),"")</f>
        <v/>
      </c>
      <c r="AT162" s="50" t="str">
        <f aca="false">IF($Q162&lt;&gt;"",$Q162,$AS162)</f>
        <v/>
      </c>
    </row>
    <row r="163" customFormat="false" ht="16.5" hidden="false" customHeight="true" outlineLevel="0" collapsed="false">
      <c r="A163" s="39" t="n">
        <f aca="false">IF($F163="","",ROW())</f>
        <v>163</v>
      </c>
      <c r="B163" s="40" t="str">
        <f aca="false">IF($F163="",IF($D163="","","Falta a atividade"),IF($R163="Cancelada","Cancelada",IF($AB163=1,IF(N($Z163)&gt;0,"Concluída com atraso","Concluída"),IF($R163="Em programação","Em programação",IF($O163="",IF($M163="","Na carteira","Falta a semana"),IF($AC163=1,"VENCIDA",IF($O163&gt;Hoje!$L$1,"Programada",IF($P163&gt;Hoje!$L$1,"Em execução","Fecha hoje"))))))))</f>
        <v>Na carteira</v>
      </c>
      <c r="C163" s="41" t="s">
        <v>404</v>
      </c>
      <c r="D163" s="42" t="s">
        <v>382</v>
      </c>
      <c r="E163" s="42" t="s">
        <v>383</v>
      </c>
      <c r="F163" s="42" t="s">
        <v>427</v>
      </c>
      <c r="G163" s="43" t="s">
        <v>80</v>
      </c>
      <c r="H163" s="43" t="s">
        <v>100</v>
      </c>
      <c r="I163" s="44"/>
      <c r="J163" s="44"/>
      <c r="K163" s="44"/>
      <c r="L163" s="45"/>
      <c r="M163" s="46"/>
      <c r="N163" s="45" t="n">
        <v>4</v>
      </c>
      <c r="O163" s="47" t="str">
        <f aca="false">IF(OR($L163="",$M163=""),"",(DATE(Semana!$J$3,1,4)-WEEKDAY(DATE(Semana!$J$3,1,4),3))+($L163-1)*7+MATCH($M163,Listas!$F$5:$F$11,0)-1)</f>
        <v/>
      </c>
      <c r="P163" s="47" t="str">
        <f aca="false">IF(OR($F163="",$O163=""),"",$O163+MAX(0,ROUNDUP($AK163*MAX(1,IF($N163="",1,$N163))/MAX(1,$AL163),0)-1))</f>
        <v/>
      </c>
      <c r="Q163" s="48"/>
      <c r="R163" s="43"/>
      <c r="S163" s="49"/>
      <c r="T163" s="42"/>
      <c r="U163" s="42" t="s">
        <v>428</v>
      </c>
      <c r="V163" s="39" t="str">
        <f aca="false">IF($F163="","",IF(ISNUMBER(SEARCH("(externo)",$I163&amp;$J163&amp;$K163)),"Terceirizada","Interna"))</f>
        <v>Interna</v>
      </c>
      <c r="W163" s="47" t="str">
        <f aca="false">IF($O163="","",IF($S163="",$O163,(DATE(Semana!$J$3,1,4)-WEEKDAY(DATE(Semana!$J$3,1,4),3))+($S163-1)*7+IF($M163="",0,MATCH($M163,Listas!$F$5:$F$11,0)-1)))</f>
        <v/>
      </c>
      <c r="X163" s="39" t="n">
        <f aca="false">IF($F163="","",IF(OR($AT163="",$O163=""),0,IF($AT163&lt;=$O163,1,0)))</f>
        <v>0</v>
      </c>
      <c r="Y163" s="39" t="n">
        <f aca="false">IF($F163="","",IF(OR($AT163="",$W163=""),0,IF($AT163&lt;=$W163,1,0)))</f>
        <v>0</v>
      </c>
      <c r="Z163" s="39" t="str">
        <f aca="false">IF(OR($AT163="",$O163=""),"",MAX(0,$AT163-$O163))</f>
        <v/>
      </c>
      <c r="AA163" s="39" t="n">
        <f aca="false">IF($F163="","",IF(AND($S163&lt;&gt;"",$L163&lt;&gt;"",$S163&lt;&gt;$L163),1,0))</f>
        <v>0</v>
      </c>
      <c r="AB163" s="39" t="n">
        <f aca="false">IF($F163="","",IF($R163="Cancelada",0,IF(OR($AT163&lt;&gt;"",$R163="Concluída"),1,0)))</f>
        <v>0</v>
      </c>
      <c r="AC163" s="39" t="n">
        <f aca="false">IF($P163="",0,IF($P163&lt;Hoje!$L$1,1,IF(AND($P163=Hoje!$L$1,Hoje!$L$2&gt;Semana!$M$3),1,0)))</f>
        <v>0</v>
      </c>
      <c r="AD163" s="39" t="n">
        <f aca="false">IF($F163="","",IF(COUNTA($I163:$K163)=0,0,1/COUNTA($I163:$K163)))</f>
        <v>0</v>
      </c>
      <c r="AE163" s="39" t="str">
        <f aca="false">IF($AH163=0,"",SUM($AH$4:$AH163))</f>
        <v/>
      </c>
      <c r="AF163" s="39" t="str">
        <f aca="false">IF($AI163=0,"",SUM($AI$4:$AI163))</f>
        <v/>
      </c>
      <c r="AG163" s="50" t="str">
        <f aca="false">IF($F163="","",$I163&amp;IF($J163="",""," · "&amp;$J163)&amp;IF($K163="",""," · "&amp;$K163))</f>
        <v/>
      </c>
      <c r="AH163" s="39" t="n">
        <f aca="false">IF(AND($F163&lt;&gt;"",$O163&lt;&gt;"",$O163&lt;=Hoje!$C$3,$P163&gt;=Hoje!$C$3,$R163&lt;&gt;"Cancelada"),1,0)</f>
        <v>0</v>
      </c>
      <c r="AI163" s="39" t="n">
        <f aca="false">IF(AND($F163&lt;&gt;"",$P163&lt;&gt;"",$P163&lt;Hoje!$C$3,$AB163=0,$R163&lt;&gt;"Cancelada"),1,0)</f>
        <v>0</v>
      </c>
      <c r="AJ163" s="50" t="str">
        <f aca="false">IF($F163="","",$D163&amp;"|"&amp;$E163&amp;"|"&amp;$L163)</f>
        <v>F-964|BAIXA DE CARTEIRA|</v>
      </c>
      <c r="AK163" s="39" t="n">
        <f aca="false">IF($AJ163="","",COUNTIF($AJ$4:$AJ163,$AJ163))</f>
        <v>24</v>
      </c>
      <c r="AL163" s="39" t="n">
        <f aca="false">IF($AJ163="","",COUNTIF($AJ$4:$AJ$1004,$AJ163))</f>
        <v>33</v>
      </c>
      <c r="AM163" s="42"/>
      <c r="AN163" s="50" t="str">
        <f aca="false">IF($D163="","",IFERROR(T(VLOOKUP($D163,Listas!$B$5:$H$120,7,0)),""))</f>
        <v/>
      </c>
      <c r="AO163" s="50" t="str">
        <f aca="false">IF(OR($F163="",$L163&lt;&gt;"",$R163="Cancelada",$AT163&lt;&gt;""),"",$AN163&amp;"|"&amp;$D163&amp;"|"&amp;IF($C163="","zzz",$C163)&amp;"|"&amp;TEXT(163,"0000"))</f>
        <v>|F-964|007168|0163</v>
      </c>
      <c r="AP163" s="50" t="n">
        <f aca="false">IF($AO163="","",COUNTIF($AO$5:$AO$1004,"&lt;"&amp;$AO163)-(ROWS($AO$5:$AO$1004)-Hoje!$L$5)+1)</f>
        <v>32</v>
      </c>
      <c r="AQ163" s="50" t="n">
        <f aca="false">IF(AND($F163&lt;&gt;"",$D163=Frota!$C$3),1,0)</f>
        <v>0</v>
      </c>
      <c r="AR163" s="50" t="str">
        <f aca="false">IF($AQ163=0,"",SUM($AQ$4:$AQ163))</f>
        <v/>
      </c>
      <c r="AS163" s="50" t="str">
        <f aca="false">IFERROR(INDEX(Hoje!$K$10:$K$29,MATCH(ROW(),Hoje!$J$10:$J$29,0)),"")</f>
        <v/>
      </c>
      <c r="AT163" s="50" t="str">
        <f aca="false">IF($Q163&lt;&gt;"",$Q163,$AS163)</f>
        <v/>
      </c>
    </row>
    <row r="164" customFormat="false" ht="16.5" hidden="false" customHeight="true" outlineLevel="0" collapsed="false">
      <c r="A164" s="39" t="n">
        <f aca="false">IF($F164="","",ROW())</f>
        <v>164</v>
      </c>
      <c r="B164" s="40" t="str">
        <f aca="false">IF($F164="",IF($D164="","","Falta a atividade"),IF($R164="Cancelada","Cancelada",IF($AB164=1,IF(N($Z164)&gt;0,"Concluída com atraso","Concluída"),IF($R164="Em programação","Em programação",IF($O164="",IF($M164="","Na carteira","Falta a semana"),IF($AC164=1,"VENCIDA",IF($O164&gt;Hoje!$L$1,"Programada",IF($P164&gt;Hoje!$L$1,"Em execução","Fecha hoje"))))))))</f>
        <v>Na carteira</v>
      </c>
      <c r="C164" s="41"/>
      <c r="D164" s="42" t="s">
        <v>382</v>
      </c>
      <c r="E164" s="42" t="s">
        <v>383</v>
      </c>
      <c r="F164" s="42" t="s">
        <v>429</v>
      </c>
      <c r="G164" s="43" t="s">
        <v>80</v>
      </c>
      <c r="H164" s="43" t="s">
        <v>100</v>
      </c>
      <c r="I164" s="44"/>
      <c r="J164" s="44"/>
      <c r="K164" s="44"/>
      <c r="L164" s="45"/>
      <c r="M164" s="46"/>
      <c r="N164" s="45" t="n">
        <v>4</v>
      </c>
      <c r="O164" s="47" t="str">
        <f aca="false">IF(OR($L164="",$M164=""),"",(DATE(Semana!$J$3,1,4)-WEEKDAY(DATE(Semana!$J$3,1,4),3))+($L164-1)*7+MATCH($M164,Listas!$F$5:$F$11,0)-1)</f>
        <v/>
      </c>
      <c r="P164" s="47" t="str">
        <f aca="false">IF(OR($F164="",$O164=""),"",$O164+MAX(0,ROUNDUP($AK164*MAX(1,IF($N164="",1,$N164))/MAX(1,$AL164),0)-1))</f>
        <v/>
      </c>
      <c r="Q164" s="48"/>
      <c r="R164" s="43"/>
      <c r="S164" s="49"/>
      <c r="T164" s="42"/>
      <c r="U164" s="42" t="s">
        <v>430</v>
      </c>
      <c r="V164" s="39" t="str">
        <f aca="false">IF($F164="","",IF(ISNUMBER(SEARCH("(externo)",$I164&amp;$J164&amp;$K164)),"Terceirizada","Interna"))</f>
        <v>Interna</v>
      </c>
      <c r="W164" s="47" t="str">
        <f aca="false">IF($O164="","",IF($S164="",$O164,(DATE(Semana!$J$3,1,4)-WEEKDAY(DATE(Semana!$J$3,1,4),3))+($S164-1)*7+IF($M164="",0,MATCH($M164,Listas!$F$5:$F$11,0)-1)))</f>
        <v/>
      </c>
      <c r="X164" s="39" t="n">
        <f aca="false">IF($F164="","",IF(OR($AT164="",$O164=""),0,IF($AT164&lt;=$O164,1,0)))</f>
        <v>0</v>
      </c>
      <c r="Y164" s="39" t="n">
        <f aca="false">IF($F164="","",IF(OR($AT164="",$W164=""),0,IF($AT164&lt;=$W164,1,0)))</f>
        <v>0</v>
      </c>
      <c r="Z164" s="39" t="str">
        <f aca="false">IF(OR($AT164="",$O164=""),"",MAX(0,$AT164-$O164))</f>
        <v/>
      </c>
      <c r="AA164" s="39" t="n">
        <f aca="false">IF($F164="","",IF(AND($S164&lt;&gt;"",$L164&lt;&gt;"",$S164&lt;&gt;$L164),1,0))</f>
        <v>0</v>
      </c>
      <c r="AB164" s="39" t="n">
        <f aca="false">IF($F164="","",IF($R164="Cancelada",0,IF(OR($AT164&lt;&gt;"",$R164="Concluída"),1,0)))</f>
        <v>0</v>
      </c>
      <c r="AC164" s="39" t="n">
        <f aca="false">IF($P164="",0,IF($P164&lt;Hoje!$L$1,1,IF(AND($P164=Hoje!$L$1,Hoje!$L$2&gt;Semana!$M$3),1,0)))</f>
        <v>0</v>
      </c>
      <c r="AD164" s="39" t="n">
        <f aca="false">IF($F164="","",IF(COUNTA($I164:$K164)=0,0,1/COUNTA($I164:$K164)))</f>
        <v>0</v>
      </c>
      <c r="AE164" s="39" t="str">
        <f aca="false">IF($AH164=0,"",SUM($AH$4:$AH164))</f>
        <v/>
      </c>
      <c r="AF164" s="39" t="str">
        <f aca="false">IF($AI164=0,"",SUM($AI$4:$AI164))</f>
        <v/>
      </c>
      <c r="AG164" s="50" t="str">
        <f aca="false">IF($F164="","",$I164&amp;IF($J164="",""," · "&amp;$J164)&amp;IF($K164="",""," · "&amp;$K164))</f>
        <v/>
      </c>
      <c r="AH164" s="39" t="n">
        <f aca="false">IF(AND($F164&lt;&gt;"",$O164&lt;&gt;"",$O164&lt;=Hoje!$C$3,$P164&gt;=Hoje!$C$3,$R164&lt;&gt;"Cancelada"),1,0)</f>
        <v>0</v>
      </c>
      <c r="AI164" s="39" t="n">
        <f aca="false">IF(AND($F164&lt;&gt;"",$P164&lt;&gt;"",$P164&lt;Hoje!$C$3,$AB164=0,$R164&lt;&gt;"Cancelada"),1,0)</f>
        <v>0</v>
      </c>
      <c r="AJ164" s="50" t="str">
        <f aca="false">IF($F164="","",$D164&amp;"|"&amp;$E164&amp;"|"&amp;$L164)</f>
        <v>F-964|BAIXA DE CARTEIRA|</v>
      </c>
      <c r="AK164" s="39" t="n">
        <f aca="false">IF($AJ164="","",COUNTIF($AJ$4:$AJ164,$AJ164))</f>
        <v>25</v>
      </c>
      <c r="AL164" s="39" t="n">
        <f aca="false">IF($AJ164="","",COUNTIF($AJ$4:$AJ$1004,$AJ164))</f>
        <v>33</v>
      </c>
      <c r="AM164" s="42"/>
      <c r="AN164" s="50" t="str">
        <f aca="false">IF($D164="","",IFERROR(T(VLOOKUP($D164,Listas!$B$5:$H$120,7,0)),""))</f>
        <v/>
      </c>
      <c r="AO164" s="50" t="str">
        <f aca="false">IF(OR($F164="",$L164&lt;&gt;"",$R164="Cancelada",$AT164&lt;&gt;""),"",$AN164&amp;"|"&amp;$D164&amp;"|"&amp;IF($C164="","zzz",$C164)&amp;"|"&amp;TEXT(164,"0000"))</f>
        <v>|F-964|zzz|0164</v>
      </c>
      <c r="AP164" s="50" t="n">
        <f aca="false">IF($AO164="","",COUNTIF($AO$5:$AO$1004,"&lt;"&amp;$AO164)-(ROWS($AO$5:$AO$1004)-Hoje!$L$5)+1)</f>
        <v>60</v>
      </c>
      <c r="AQ164" s="50" t="n">
        <f aca="false">IF(AND($F164&lt;&gt;"",$D164=Frota!$C$3),1,0)</f>
        <v>0</v>
      </c>
      <c r="AR164" s="50" t="str">
        <f aca="false">IF($AQ164=0,"",SUM($AQ$4:$AQ164))</f>
        <v/>
      </c>
      <c r="AS164" s="50" t="str">
        <f aca="false">IFERROR(INDEX(Hoje!$K$10:$K$29,MATCH(ROW(),Hoje!$J$10:$J$29,0)),"")</f>
        <v/>
      </c>
      <c r="AT164" s="50" t="str">
        <f aca="false">IF($Q164&lt;&gt;"",$Q164,$AS164)</f>
        <v/>
      </c>
    </row>
    <row r="165" customFormat="false" ht="16.5" hidden="false" customHeight="true" outlineLevel="0" collapsed="false">
      <c r="A165" s="39" t="n">
        <f aca="false">IF($F165="","",ROW())</f>
        <v>165</v>
      </c>
      <c r="B165" s="40" t="str">
        <f aca="false">IF($F165="",IF($D165="","","Falta a atividade"),IF($R165="Cancelada","Cancelada",IF($AB165=1,IF(N($Z165)&gt;0,"Concluída com atraso","Concluída"),IF($R165="Em programação","Em programação",IF($O165="",IF($M165="","Na carteira","Falta a semana"),IF($AC165=1,"VENCIDA",IF($O165&gt;Hoje!$L$1,"Programada",IF($P165&gt;Hoje!$L$1,"Em execução","Fecha hoje"))))))))</f>
        <v>Na carteira</v>
      </c>
      <c r="C165" s="41" t="s">
        <v>404</v>
      </c>
      <c r="D165" s="42" t="s">
        <v>382</v>
      </c>
      <c r="E165" s="42" t="s">
        <v>383</v>
      </c>
      <c r="F165" s="42" t="s">
        <v>431</v>
      </c>
      <c r="G165" s="43" t="s">
        <v>80</v>
      </c>
      <c r="H165" s="43" t="s">
        <v>100</v>
      </c>
      <c r="I165" s="44"/>
      <c r="J165" s="44"/>
      <c r="K165" s="44"/>
      <c r="L165" s="45"/>
      <c r="M165" s="46"/>
      <c r="N165" s="45" t="n">
        <v>4</v>
      </c>
      <c r="O165" s="47" t="str">
        <f aca="false">IF(OR($L165="",$M165=""),"",(DATE(Semana!$J$3,1,4)-WEEKDAY(DATE(Semana!$J$3,1,4),3))+($L165-1)*7+MATCH($M165,Listas!$F$5:$F$11,0)-1)</f>
        <v/>
      </c>
      <c r="P165" s="47" t="str">
        <f aca="false">IF(OR($F165="",$O165=""),"",$O165+MAX(0,ROUNDUP($AK165*MAX(1,IF($N165="",1,$N165))/MAX(1,$AL165),0)-1))</f>
        <v/>
      </c>
      <c r="Q165" s="48"/>
      <c r="R165" s="43"/>
      <c r="S165" s="49"/>
      <c r="T165" s="42"/>
      <c r="U165" s="42" t="s">
        <v>432</v>
      </c>
      <c r="V165" s="39" t="str">
        <f aca="false">IF($F165="","",IF(ISNUMBER(SEARCH("(externo)",$I165&amp;$J165&amp;$K165)),"Terceirizada","Interna"))</f>
        <v>Interna</v>
      </c>
      <c r="W165" s="47" t="str">
        <f aca="false">IF($O165="","",IF($S165="",$O165,(DATE(Semana!$J$3,1,4)-WEEKDAY(DATE(Semana!$J$3,1,4),3))+($S165-1)*7+IF($M165="",0,MATCH($M165,Listas!$F$5:$F$11,0)-1)))</f>
        <v/>
      </c>
      <c r="X165" s="39" t="n">
        <f aca="false">IF($F165="","",IF(OR($AT165="",$O165=""),0,IF($AT165&lt;=$O165,1,0)))</f>
        <v>0</v>
      </c>
      <c r="Y165" s="39" t="n">
        <f aca="false">IF($F165="","",IF(OR($AT165="",$W165=""),0,IF($AT165&lt;=$W165,1,0)))</f>
        <v>0</v>
      </c>
      <c r="Z165" s="39" t="str">
        <f aca="false">IF(OR($AT165="",$O165=""),"",MAX(0,$AT165-$O165))</f>
        <v/>
      </c>
      <c r="AA165" s="39" t="n">
        <f aca="false">IF($F165="","",IF(AND($S165&lt;&gt;"",$L165&lt;&gt;"",$S165&lt;&gt;$L165),1,0))</f>
        <v>0</v>
      </c>
      <c r="AB165" s="39" t="n">
        <f aca="false">IF($F165="","",IF($R165="Cancelada",0,IF(OR($AT165&lt;&gt;"",$R165="Concluída"),1,0)))</f>
        <v>0</v>
      </c>
      <c r="AC165" s="39" t="n">
        <f aca="false">IF($P165="",0,IF($P165&lt;Hoje!$L$1,1,IF(AND($P165=Hoje!$L$1,Hoje!$L$2&gt;Semana!$M$3),1,0)))</f>
        <v>0</v>
      </c>
      <c r="AD165" s="39" t="n">
        <f aca="false">IF($F165="","",IF(COUNTA($I165:$K165)=0,0,1/COUNTA($I165:$K165)))</f>
        <v>0</v>
      </c>
      <c r="AE165" s="39" t="str">
        <f aca="false">IF($AH165=0,"",SUM($AH$4:$AH165))</f>
        <v/>
      </c>
      <c r="AF165" s="39" t="str">
        <f aca="false">IF($AI165=0,"",SUM($AI$4:$AI165))</f>
        <v/>
      </c>
      <c r="AG165" s="50" t="str">
        <f aca="false">IF($F165="","",$I165&amp;IF($J165="",""," · "&amp;$J165)&amp;IF($K165="",""," · "&amp;$K165))</f>
        <v/>
      </c>
      <c r="AH165" s="39" t="n">
        <f aca="false">IF(AND($F165&lt;&gt;"",$O165&lt;&gt;"",$O165&lt;=Hoje!$C$3,$P165&gt;=Hoje!$C$3,$R165&lt;&gt;"Cancelada"),1,0)</f>
        <v>0</v>
      </c>
      <c r="AI165" s="39" t="n">
        <f aca="false">IF(AND($F165&lt;&gt;"",$P165&lt;&gt;"",$P165&lt;Hoje!$C$3,$AB165=0,$R165&lt;&gt;"Cancelada"),1,0)</f>
        <v>0</v>
      </c>
      <c r="AJ165" s="50" t="str">
        <f aca="false">IF($F165="","",$D165&amp;"|"&amp;$E165&amp;"|"&amp;$L165)</f>
        <v>F-964|BAIXA DE CARTEIRA|</v>
      </c>
      <c r="AK165" s="39" t="n">
        <f aca="false">IF($AJ165="","",COUNTIF($AJ$4:$AJ165,$AJ165))</f>
        <v>26</v>
      </c>
      <c r="AL165" s="39" t="n">
        <f aca="false">IF($AJ165="","",COUNTIF($AJ$4:$AJ$1004,$AJ165))</f>
        <v>33</v>
      </c>
      <c r="AM165" s="42"/>
      <c r="AN165" s="50" t="str">
        <f aca="false">IF($D165="","",IFERROR(T(VLOOKUP($D165,Listas!$B$5:$H$120,7,0)),""))</f>
        <v/>
      </c>
      <c r="AO165" s="50" t="str">
        <f aca="false">IF(OR($F165="",$L165&lt;&gt;"",$R165="Cancelada",$AT165&lt;&gt;""),"",$AN165&amp;"|"&amp;$D165&amp;"|"&amp;IF($C165="","zzz",$C165)&amp;"|"&amp;TEXT(165,"0000"))</f>
        <v>|F-964|007168|0165</v>
      </c>
      <c r="AP165" s="50" t="n">
        <f aca="false">IF($AO165="","",COUNTIF($AO$5:$AO$1004,"&lt;"&amp;$AO165)-(ROWS($AO$5:$AO$1004)-Hoje!$L$5)+1)</f>
        <v>33</v>
      </c>
      <c r="AQ165" s="50" t="n">
        <f aca="false">IF(AND($F165&lt;&gt;"",$D165=Frota!$C$3),1,0)</f>
        <v>0</v>
      </c>
      <c r="AR165" s="50" t="str">
        <f aca="false">IF($AQ165=0,"",SUM($AQ$4:$AQ165))</f>
        <v/>
      </c>
      <c r="AS165" s="50" t="str">
        <f aca="false">IFERROR(INDEX(Hoje!$K$10:$K$29,MATCH(ROW(),Hoje!$J$10:$J$29,0)),"")</f>
        <v/>
      </c>
      <c r="AT165" s="50" t="str">
        <f aca="false">IF($Q165&lt;&gt;"",$Q165,$AS165)</f>
        <v/>
      </c>
    </row>
    <row r="166" customFormat="false" ht="16.5" hidden="false" customHeight="true" outlineLevel="0" collapsed="false">
      <c r="A166" s="39" t="n">
        <f aca="false">IF($F166="","",ROW())</f>
        <v>166</v>
      </c>
      <c r="B166" s="40" t="str">
        <f aca="false">IF($F166="",IF($D166="","","Falta a atividade"),IF($R166="Cancelada","Cancelada",IF($AB166=1,IF(N($Z166)&gt;0,"Concluída com atraso","Concluída"),IF($R166="Em programação","Em programação",IF($O166="",IF($M166="","Na carteira","Falta a semana"),IF($AC166=1,"VENCIDA",IF($O166&gt;Hoje!$L$1,"Programada",IF($P166&gt;Hoje!$L$1,"Em execução","Fecha hoje"))))))))</f>
        <v>Na carteira</v>
      </c>
      <c r="C166" s="41" t="s">
        <v>433</v>
      </c>
      <c r="D166" s="42" t="s">
        <v>382</v>
      </c>
      <c r="E166" s="42" t="s">
        <v>383</v>
      </c>
      <c r="F166" s="42" t="s">
        <v>434</v>
      </c>
      <c r="G166" s="43" t="s">
        <v>80</v>
      </c>
      <c r="H166" s="43" t="s">
        <v>100</v>
      </c>
      <c r="I166" s="44"/>
      <c r="J166" s="44"/>
      <c r="K166" s="44"/>
      <c r="L166" s="45"/>
      <c r="M166" s="46"/>
      <c r="N166" s="45" t="n">
        <v>4</v>
      </c>
      <c r="O166" s="47" t="str">
        <f aca="false">IF(OR($L166="",$M166=""),"",(DATE(Semana!$J$3,1,4)-WEEKDAY(DATE(Semana!$J$3,1,4),3))+($L166-1)*7+MATCH($M166,Listas!$F$5:$F$11,0)-1)</f>
        <v/>
      </c>
      <c r="P166" s="47" t="str">
        <f aca="false">IF(OR($F166="",$O166=""),"",$O166+MAX(0,ROUNDUP($AK166*MAX(1,IF($N166="",1,$N166))/MAX(1,$AL166),0)-1))</f>
        <v/>
      </c>
      <c r="Q166" s="48"/>
      <c r="R166" s="43"/>
      <c r="S166" s="49"/>
      <c r="T166" s="42"/>
      <c r="U166" s="42" t="s">
        <v>435</v>
      </c>
      <c r="V166" s="39" t="str">
        <f aca="false">IF($F166="","",IF(ISNUMBER(SEARCH("(externo)",$I166&amp;$J166&amp;$K166)),"Terceirizada","Interna"))</f>
        <v>Interna</v>
      </c>
      <c r="W166" s="47" t="str">
        <f aca="false">IF($O166="","",IF($S166="",$O166,(DATE(Semana!$J$3,1,4)-WEEKDAY(DATE(Semana!$J$3,1,4),3))+($S166-1)*7+IF($M166="",0,MATCH($M166,Listas!$F$5:$F$11,0)-1)))</f>
        <v/>
      </c>
      <c r="X166" s="39" t="n">
        <f aca="false">IF($F166="","",IF(OR($AT166="",$O166=""),0,IF($AT166&lt;=$O166,1,0)))</f>
        <v>0</v>
      </c>
      <c r="Y166" s="39" t="n">
        <f aca="false">IF($F166="","",IF(OR($AT166="",$W166=""),0,IF($AT166&lt;=$W166,1,0)))</f>
        <v>0</v>
      </c>
      <c r="Z166" s="39" t="str">
        <f aca="false">IF(OR($AT166="",$O166=""),"",MAX(0,$AT166-$O166))</f>
        <v/>
      </c>
      <c r="AA166" s="39" t="n">
        <f aca="false">IF($F166="","",IF(AND($S166&lt;&gt;"",$L166&lt;&gt;"",$S166&lt;&gt;$L166),1,0))</f>
        <v>0</v>
      </c>
      <c r="AB166" s="39" t="n">
        <f aca="false">IF($F166="","",IF($R166="Cancelada",0,IF(OR($AT166&lt;&gt;"",$R166="Concluída"),1,0)))</f>
        <v>0</v>
      </c>
      <c r="AC166" s="39" t="n">
        <f aca="false">IF($P166="",0,IF($P166&lt;Hoje!$L$1,1,IF(AND($P166=Hoje!$L$1,Hoje!$L$2&gt;Semana!$M$3),1,0)))</f>
        <v>0</v>
      </c>
      <c r="AD166" s="39" t="n">
        <f aca="false">IF($F166="","",IF(COUNTA($I166:$K166)=0,0,1/COUNTA($I166:$K166)))</f>
        <v>0</v>
      </c>
      <c r="AE166" s="39" t="str">
        <f aca="false">IF($AH166=0,"",SUM($AH$4:$AH166))</f>
        <v/>
      </c>
      <c r="AF166" s="39" t="str">
        <f aca="false">IF($AI166=0,"",SUM($AI$4:$AI166))</f>
        <v/>
      </c>
      <c r="AG166" s="50" t="str">
        <f aca="false">IF($F166="","",$I166&amp;IF($J166="",""," · "&amp;$J166)&amp;IF($K166="",""," · "&amp;$K166))</f>
        <v/>
      </c>
      <c r="AH166" s="39" t="n">
        <f aca="false">IF(AND($F166&lt;&gt;"",$O166&lt;&gt;"",$O166&lt;=Hoje!$C$3,$P166&gt;=Hoje!$C$3,$R166&lt;&gt;"Cancelada"),1,0)</f>
        <v>0</v>
      </c>
      <c r="AI166" s="39" t="n">
        <f aca="false">IF(AND($F166&lt;&gt;"",$P166&lt;&gt;"",$P166&lt;Hoje!$C$3,$AB166=0,$R166&lt;&gt;"Cancelada"),1,0)</f>
        <v>0</v>
      </c>
      <c r="AJ166" s="50" t="str">
        <f aca="false">IF($F166="","",$D166&amp;"|"&amp;$E166&amp;"|"&amp;$L166)</f>
        <v>F-964|BAIXA DE CARTEIRA|</v>
      </c>
      <c r="AK166" s="39" t="n">
        <f aca="false">IF($AJ166="","",COUNTIF($AJ$4:$AJ166,$AJ166))</f>
        <v>27</v>
      </c>
      <c r="AL166" s="39" t="n">
        <f aca="false">IF($AJ166="","",COUNTIF($AJ$4:$AJ$1004,$AJ166))</f>
        <v>33</v>
      </c>
      <c r="AM166" s="42"/>
      <c r="AN166" s="50" t="str">
        <f aca="false">IF($D166="","",IFERROR(T(VLOOKUP($D166,Listas!$B$5:$H$120,7,0)),""))</f>
        <v/>
      </c>
      <c r="AO166" s="50" t="str">
        <f aca="false">IF(OR($F166="",$L166&lt;&gt;"",$R166="Cancelada",$AT166&lt;&gt;""),"",$AN166&amp;"|"&amp;$D166&amp;"|"&amp;IF($C166="","zzz",$C166)&amp;"|"&amp;TEXT(166,"0000"))</f>
        <v>|F-964|007195|0166</v>
      </c>
      <c r="AP166" s="50" t="n">
        <f aca="false">IF($AO166="","",COUNTIF($AO$5:$AO$1004,"&lt;"&amp;$AO166)-(ROWS($AO$5:$AO$1004)-Hoje!$L$5)+1)</f>
        <v>44</v>
      </c>
      <c r="AQ166" s="50" t="n">
        <f aca="false">IF(AND($F166&lt;&gt;"",$D166=Frota!$C$3),1,0)</f>
        <v>0</v>
      </c>
      <c r="AR166" s="50" t="str">
        <f aca="false">IF($AQ166=0,"",SUM($AQ$4:$AQ166))</f>
        <v/>
      </c>
      <c r="AS166" s="50" t="str">
        <f aca="false">IFERROR(INDEX(Hoje!$K$10:$K$29,MATCH(ROW(),Hoje!$J$10:$J$29,0)),"")</f>
        <v/>
      </c>
      <c r="AT166" s="50" t="str">
        <f aca="false">IF($Q166&lt;&gt;"",$Q166,$AS166)</f>
        <v/>
      </c>
    </row>
    <row r="167" customFormat="false" ht="16.5" hidden="false" customHeight="true" outlineLevel="0" collapsed="false">
      <c r="A167" s="39" t="n">
        <f aca="false">IF($F167="","",ROW())</f>
        <v>167</v>
      </c>
      <c r="B167" s="40" t="str">
        <f aca="false">IF($F167="",IF($D167="","","Falta a atividade"),IF($R167="Cancelada","Cancelada",IF($AB167=1,IF(N($Z167)&gt;0,"Concluída com atraso","Concluída"),IF($R167="Em programação","Em programação",IF($O167="",IF($M167="","Na carteira","Falta a semana"),IF($AC167=1,"VENCIDA",IF($O167&gt;Hoje!$L$1,"Programada",IF($P167&gt;Hoje!$L$1,"Em execução","Fecha hoje"))))))))</f>
        <v>Na carteira</v>
      </c>
      <c r="C167" s="41" t="s">
        <v>404</v>
      </c>
      <c r="D167" s="42" t="s">
        <v>382</v>
      </c>
      <c r="E167" s="42" t="s">
        <v>383</v>
      </c>
      <c r="F167" s="42" t="s">
        <v>436</v>
      </c>
      <c r="G167" s="43" t="s">
        <v>80</v>
      </c>
      <c r="H167" s="43" t="s">
        <v>100</v>
      </c>
      <c r="I167" s="44"/>
      <c r="J167" s="44"/>
      <c r="K167" s="44"/>
      <c r="L167" s="45"/>
      <c r="M167" s="46"/>
      <c r="N167" s="45" t="n">
        <v>4</v>
      </c>
      <c r="O167" s="47" t="str">
        <f aca="false">IF(OR($L167="",$M167=""),"",(DATE(Semana!$J$3,1,4)-WEEKDAY(DATE(Semana!$J$3,1,4),3))+($L167-1)*7+MATCH($M167,Listas!$F$5:$F$11,0)-1)</f>
        <v/>
      </c>
      <c r="P167" s="47" t="str">
        <f aca="false">IF(OR($F167="",$O167=""),"",$O167+MAX(0,ROUNDUP($AK167*MAX(1,IF($N167="",1,$N167))/MAX(1,$AL167),0)-1))</f>
        <v/>
      </c>
      <c r="Q167" s="48"/>
      <c r="R167" s="43"/>
      <c r="S167" s="49"/>
      <c r="T167" s="42"/>
      <c r="U167" s="42" t="s">
        <v>437</v>
      </c>
      <c r="V167" s="39" t="str">
        <f aca="false">IF($F167="","",IF(ISNUMBER(SEARCH("(externo)",$I167&amp;$J167&amp;$K167)),"Terceirizada","Interna"))</f>
        <v>Interna</v>
      </c>
      <c r="W167" s="47" t="str">
        <f aca="false">IF($O167="","",IF($S167="",$O167,(DATE(Semana!$J$3,1,4)-WEEKDAY(DATE(Semana!$J$3,1,4),3))+($S167-1)*7+IF($M167="",0,MATCH($M167,Listas!$F$5:$F$11,0)-1)))</f>
        <v/>
      </c>
      <c r="X167" s="39" t="n">
        <f aca="false">IF($F167="","",IF(OR($AT167="",$O167=""),0,IF($AT167&lt;=$O167,1,0)))</f>
        <v>0</v>
      </c>
      <c r="Y167" s="39" t="n">
        <f aca="false">IF($F167="","",IF(OR($AT167="",$W167=""),0,IF($AT167&lt;=$W167,1,0)))</f>
        <v>0</v>
      </c>
      <c r="Z167" s="39" t="str">
        <f aca="false">IF(OR($AT167="",$O167=""),"",MAX(0,$AT167-$O167))</f>
        <v/>
      </c>
      <c r="AA167" s="39" t="n">
        <f aca="false">IF($F167="","",IF(AND($S167&lt;&gt;"",$L167&lt;&gt;"",$S167&lt;&gt;$L167),1,0))</f>
        <v>0</v>
      </c>
      <c r="AB167" s="39" t="n">
        <f aca="false">IF($F167="","",IF($R167="Cancelada",0,IF(OR($AT167&lt;&gt;"",$R167="Concluída"),1,0)))</f>
        <v>0</v>
      </c>
      <c r="AC167" s="39" t="n">
        <f aca="false">IF($P167="",0,IF($P167&lt;Hoje!$L$1,1,IF(AND($P167=Hoje!$L$1,Hoje!$L$2&gt;Semana!$M$3),1,0)))</f>
        <v>0</v>
      </c>
      <c r="AD167" s="39" t="n">
        <f aca="false">IF($F167="","",IF(COUNTA($I167:$K167)=0,0,1/COUNTA($I167:$K167)))</f>
        <v>0</v>
      </c>
      <c r="AE167" s="39" t="str">
        <f aca="false">IF($AH167=0,"",SUM($AH$4:$AH167))</f>
        <v/>
      </c>
      <c r="AF167" s="39" t="str">
        <f aca="false">IF($AI167=0,"",SUM($AI$4:$AI167))</f>
        <v/>
      </c>
      <c r="AG167" s="50" t="str">
        <f aca="false">IF($F167="","",$I167&amp;IF($J167="",""," · "&amp;$J167)&amp;IF($K167="",""," · "&amp;$K167))</f>
        <v/>
      </c>
      <c r="AH167" s="39" t="n">
        <f aca="false">IF(AND($F167&lt;&gt;"",$O167&lt;&gt;"",$O167&lt;=Hoje!$C$3,$P167&gt;=Hoje!$C$3,$R167&lt;&gt;"Cancelada"),1,0)</f>
        <v>0</v>
      </c>
      <c r="AI167" s="39" t="n">
        <f aca="false">IF(AND($F167&lt;&gt;"",$P167&lt;&gt;"",$P167&lt;Hoje!$C$3,$AB167=0,$R167&lt;&gt;"Cancelada"),1,0)</f>
        <v>0</v>
      </c>
      <c r="AJ167" s="50" t="str">
        <f aca="false">IF($F167="","",$D167&amp;"|"&amp;$E167&amp;"|"&amp;$L167)</f>
        <v>F-964|BAIXA DE CARTEIRA|</v>
      </c>
      <c r="AK167" s="39" t="n">
        <f aca="false">IF($AJ167="","",COUNTIF($AJ$4:$AJ167,$AJ167))</f>
        <v>28</v>
      </c>
      <c r="AL167" s="39" t="n">
        <f aca="false">IF($AJ167="","",COUNTIF($AJ$4:$AJ$1004,$AJ167))</f>
        <v>33</v>
      </c>
      <c r="AM167" s="42"/>
      <c r="AN167" s="50" t="str">
        <f aca="false">IF($D167="","",IFERROR(T(VLOOKUP($D167,Listas!$B$5:$H$120,7,0)),""))</f>
        <v/>
      </c>
      <c r="AO167" s="50" t="str">
        <f aca="false">IF(OR($F167="",$L167&lt;&gt;"",$R167="Cancelada",$AT167&lt;&gt;""),"",$AN167&amp;"|"&amp;$D167&amp;"|"&amp;IF($C167="","zzz",$C167)&amp;"|"&amp;TEXT(167,"0000"))</f>
        <v>|F-964|007168|0167</v>
      </c>
      <c r="AP167" s="50" t="n">
        <f aca="false">IF($AO167="","",COUNTIF($AO$5:$AO$1004,"&lt;"&amp;$AO167)-(ROWS($AO$5:$AO$1004)-Hoje!$L$5)+1)</f>
        <v>34</v>
      </c>
      <c r="AQ167" s="50" t="n">
        <f aca="false">IF(AND($F167&lt;&gt;"",$D167=Frota!$C$3),1,0)</f>
        <v>0</v>
      </c>
      <c r="AR167" s="50" t="str">
        <f aca="false">IF($AQ167=0,"",SUM($AQ$4:$AQ167))</f>
        <v/>
      </c>
      <c r="AS167" s="50" t="str">
        <f aca="false">IFERROR(INDEX(Hoje!$K$10:$K$29,MATCH(ROW(),Hoje!$J$10:$J$29,0)),"")</f>
        <v/>
      </c>
      <c r="AT167" s="50" t="str">
        <f aca="false">IF($Q167&lt;&gt;"",$Q167,$AS167)</f>
        <v/>
      </c>
    </row>
    <row r="168" customFormat="false" ht="16.5" hidden="false" customHeight="true" outlineLevel="0" collapsed="false">
      <c r="A168" s="39" t="n">
        <f aca="false">IF($F168="","",ROW())</f>
        <v>168</v>
      </c>
      <c r="B168" s="40" t="str">
        <f aca="false">IF($F168="",IF($D168="","","Falta a atividade"),IF($R168="Cancelada","Cancelada",IF($AB168=1,IF(N($Z168)&gt;0,"Concluída com atraso","Concluída"),IF($R168="Em programação","Em programação",IF($O168="",IF($M168="","Na carteira","Falta a semana"),IF($AC168=1,"VENCIDA",IF($O168&gt;Hoje!$L$1,"Programada",IF($P168&gt;Hoje!$L$1,"Em execução","Fecha hoje"))))))))</f>
        <v>Na carteira</v>
      </c>
      <c r="C168" s="41" t="s">
        <v>438</v>
      </c>
      <c r="D168" s="42" t="s">
        <v>382</v>
      </c>
      <c r="E168" s="42" t="s">
        <v>383</v>
      </c>
      <c r="F168" s="42" t="s">
        <v>439</v>
      </c>
      <c r="G168" s="43" t="s">
        <v>80</v>
      </c>
      <c r="H168" s="43" t="s">
        <v>100</v>
      </c>
      <c r="I168" s="44"/>
      <c r="J168" s="44"/>
      <c r="K168" s="44"/>
      <c r="L168" s="45"/>
      <c r="M168" s="46"/>
      <c r="N168" s="45" t="n">
        <v>4</v>
      </c>
      <c r="O168" s="47" t="str">
        <f aca="false">IF(OR($L168="",$M168=""),"",(DATE(Semana!$J$3,1,4)-WEEKDAY(DATE(Semana!$J$3,1,4),3))+($L168-1)*7+MATCH($M168,Listas!$F$5:$F$11,0)-1)</f>
        <v/>
      </c>
      <c r="P168" s="47" t="str">
        <f aca="false">IF(OR($F168="",$O168=""),"",$O168+MAX(0,ROUNDUP($AK168*MAX(1,IF($N168="",1,$N168))/MAX(1,$AL168),0)-1))</f>
        <v/>
      </c>
      <c r="Q168" s="48"/>
      <c r="R168" s="43"/>
      <c r="S168" s="49"/>
      <c r="T168" s="42"/>
      <c r="U168" s="42" t="s">
        <v>440</v>
      </c>
      <c r="V168" s="39" t="str">
        <f aca="false">IF($F168="","",IF(ISNUMBER(SEARCH("(externo)",$I168&amp;$J168&amp;$K168)),"Terceirizada","Interna"))</f>
        <v>Interna</v>
      </c>
      <c r="W168" s="47" t="str">
        <f aca="false">IF($O168="","",IF($S168="",$O168,(DATE(Semana!$J$3,1,4)-WEEKDAY(DATE(Semana!$J$3,1,4),3))+($S168-1)*7+IF($M168="",0,MATCH($M168,Listas!$F$5:$F$11,0)-1)))</f>
        <v/>
      </c>
      <c r="X168" s="39" t="n">
        <f aca="false">IF($F168="","",IF(OR($AT168="",$O168=""),0,IF($AT168&lt;=$O168,1,0)))</f>
        <v>0</v>
      </c>
      <c r="Y168" s="39" t="n">
        <f aca="false">IF($F168="","",IF(OR($AT168="",$W168=""),0,IF($AT168&lt;=$W168,1,0)))</f>
        <v>0</v>
      </c>
      <c r="Z168" s="39" t="str">
        <f aca="false">IF(OR($AT168="",$O168=""),"",MAX(0,$AT168-$O168))</f>
        <v/>
      </c>
      <c r="AA168" s="39" t="n">
        <f aca="false">IF($F168="","",IF(AND($S168&lt;&gt;"",$L168&lt;&gt;"",$S168&lt;&gt;$L168),1,0))</f>
        <v>0</v>
      </c>
      <c r="AB168" s="39" t="n">
        <f aca="false">IF($F168="","",IF($R168="Cancelada",0,IF(OR($AT168&lt;&gt;"",$R168="Concluída"),1,0)))</f>
        <v>0</v>
      </c>
      <c r="AC168" s="39" t="n">
        <f aca="false">IF($P168="",0,IF($P168&lt;Hoje!$L$1,1,IF(AND($P168=Hoje!$L$1,Hoje!$L$2&gt;Semana!$M$3),1,0)))</f>
        <v>0</v>
      </c>
      <c r="AD168" s="39" t="n">
        <f aca="false">IF($F168="","",IF(COUNTA($I168:$K168)=0,0,1/COUNTA($I168:$K168)))</f>
        <v>0</v>
      </c>
      <c r="AE168" s="39" t="str">
        <f aca="false">IF($AH168=0,"",SUM($AH$4:$AH168))</f>
        <v/>
      </c>
      <c r="AF168" s="39" t="str">
        <f aca="false">IF($AI168=0,"",SUM($AI$4:$AI168))</f>
        <v/>
      </c>
      <c r="AG168" s="50" t="str">
        <f aca="false">IF($F168="","",$I168&amp;IF($J168="",""," · "&amp;$J168)&amp;IF($K168="",""," · "&amp;$K168))</f>
        <v/>
      </c>
      <c r="AH168" s="39" t="n">
        <f aca="false">IF(AND($F168&lt;&gt;"",$O168&lt;&gt;"",$O168&lt;=Hoje!$C$3,$P168&gt;=Hoje!$C$3,$R168&lt;&gt;"Cancelada"),1,0)</f>
        <v>0</v>
      </c>
      <c r="AI168" s="39" t="n">
        <f aca="false">IF(AND($F168&lt;&gt;"",$P168&lt;&gt;"",$P168&lt;Hoje!$C$3,$AB168=0,$R168&lt;&gt;"Cancelada"),1,0)</f>
        <v>0</v>
      </c>
      <c r="AJ168" s="50" t="str">
        <f aca="false">IF($F168="","",$D168&amp;"|"&amp;$E168&amp;"|"&amp;$L168)</f>
        <v>F-964|BAIXA DE CARTEIRA|</v>
      </c>
      <c r="AK168" s="39" t="n">
        <f aca="false">IF($AJ168="","",COUNTIF($AJ$4:$AJ168,$AJ168))</f>
        <v>29</v>
      </c>
      <c r="AL168" s="39" t="n">
        <f aca="false">IF($AJ168="","",COUNTIF($AJ$4:$AJ$1004,$AJ168))</f>
        <v>33</v>
      </c>
      <c r="AM168" s="42"/>
      <c r="AN168" s="50" t="str">
        <f aca="false">IF($D168="","",IFERROR(T(VLOOKUP($D168,Listas!$B$5:$H$120,7,0)),""))</f>
        <v/>
      </c>
      <c r="AO168" s="50" t="str">
        <f aca="false">IF(OR($F168="",$L168&lt;&gt;"",$R168="Cancelada",$AT168&lt;&gt;""),"",$AN168&amp;"|"&amp;$D168&amp;"|"&amp;IF($C168="","zzz",$C168)&amp;"|"&amp;TEXT(168,"0000"))</f>
        <v>|F-964|007196|0168</v>
      </c>
      <c r="AP168" s="50" t="n">
        <f aca="false">IF($AO168="","",COUNTIF($AO$5:$AO$1004,"&lt;"&amp;$AO168)-(ROWS($AO$5:$AO$1004)-Hoje!$L$5)+1)</f>
        <v>45</v>
      </c>
      <c r="AQ168" s="50" t="n">
        <f aca="false">IF(AND($F168&lt;&gt;"",$D168=Frota!$C$3),1,0)</f>
        <v>0</v>
      </c>
      <c r="AR168" s="50" t="str">
        <f aca="false">IF($AQ168=0,"",SUM($AQ$4:$AQ168))</f>
        <v/>
      </c>
      <c r="AS168" s="50" t="str">
        <f aca="false">IFERROR(INDEX(Hoje!$K$10:$K$29,MATCH(ROW(),Hoje!$J$10:$J$29,0)),"")</f>
        <v/>
      </c>
      <c r="AT168" s="50" t="str">
        <f aca="false">IF($Q168&lt;&gt;"",$Q168,$AS168)</f>
        <v/>
      </c>
    </row>
    <row r="169" customFormat="false" ht="16.5" hidden="false" customHeight="true" outlineLevel="0" collapsed="false">
      <c r="A169" s="39" t="n">
        <f aca="false">IF($F169="","",ROW())</f>
        <v>169</v>
      </c>
      <c r="B169" s="40" t="str">
        <f aca="false">IF($F169="",IF($D169="","","Falta a atividade"),IF($R169="Cancelada","Cancelada",IF($AB169=1,IF(N($Z169)&gt;0,"Concluída com atraso","Concluída"),IF($R169="Em programação","Em programação",IF($O169="",IF($M169="","Na carteira","Falta a semana"),IF($AC169=1,"VENCIDA",IF($O169&gt;Hoje!$L$1,"Programada",IF($P169&gt;Hoje!$L$1,"Em execução","Fecha hoje"))))))))</f>
        <v>Na carteira</v>
      </c>
      <c r="C169" s="41" t="s">
        <v>441</v>
      </c>
      <c r="D169" s="42" t="s">
        <v>382</v>
      </c>
      <c r="E169" s="42" t="s">
        <v>383</v>
      </c>
      <c r="F169" s="42" t="s">
        <v>442</v>
      </c>
      <c r="G169" s="43" t="s">
        <v>80</v>
      </c>
      <c r="H169" s="43" t="s">
        <v>100</v>
      </c>
      <c r="I169" s="44"/>
      <c r="J169" s="44"/>
      <c r="K169" s="44"/>
      <c r="L169" s="45"/>
      <c r="M169" s="46"/>
      <c r="N169" s="45" t="n">
        <v>4</v>
      </c>
      <c r="O169" s="47" t="str">
        <f aca="false">IF(OR($L169="",$M169=""),"",(DATE(Semana!$J$3,1,4)-WEEKDAY(DATE(Semana!$J$3,1,4),3))+($L169-1)*7+MATCH($M169,Listas!$F$5:$F$11,0)-1)</f>
        <v/>
      </c>
      <c r="P169" s="47" t="str">
        <f aca="false">IF(OR($F169="",$O169=""),"",$O169+MAX(0,ROUNDUP($AK169*MAX(1,IF($N169="",1,$N169))/MAX(1,$AL169),0)-1))</f>
        <v/>
      </c>
      <c r="Q169" s="48"/>
      <c r="R169" s="43"/>
      <c r="S169" s="49"/>
      <c r="T169" s="42"/>
      <c r="U169" s="42" t="s">
        <v>443</v>
      </c>
      <c r="V169" s="39" t="str">
        <f aca="false">IF($F169="","",IF(ISNUMBER(SEARCH("(externo)",$I169&amp;$J169&amp;$K169)),"Terceirizada","Interna"))</f>
        <v>Interna</v>
      </c>
      <c r="W169" s="47" t="str">
        <f aca="false">IF($O169="","",IF($S169="",$O169,(DATE(Semana!$J$3,1,4)-WEEKDAY(DATE(Semana!$J$3,1,4),3))+($S169-1)*7+IF($M169="",0,MATCH($M169,Listas!$F$5:$F$11,0)-1)))</f>
        <v/>
      </c>
      <c r="X169" s="39" t="n">
        <f aca="false">IF($F169="","",IF(OR($AT169="",$O169=""),0,IF($AT169&lt;=$O169,1,0)))</f>
        <v>0</v>
      </c>
      <c r="Y169" s="39" t="n">
        <f aca="false">IF($F169="","",IF(OR($AT169="",$W169=""),0,IF($AT169&lt;=$W169,1,0)))</f>
        <v>0</v>
      </c>
      <c r="Z169" s="39" t="str">
        <f aca="false">IF(OR($AT169="",$O169=""),"",MAX(0,$AT169-$O169))</f>
        <v/>
      </c>
      <c r="AA169" s="39" t="n">
        <f aca="false">IF($F169="","",IF(AND($S169&lt;&gt;"",$L169&lt;&gt;"",$S169&lt;&gt;$L169),1,0))</f>
        <v>0</v>
      </c>
      <c r="AB169" s="39" t="n">
        <f aca="false">IF($F169="","",IF($R169="Cancelada",0,IF(OR($AT169&lt;&gt;"",$R169="Concluída"),1,0)))</f>
        <v>0</v>
      </c>
      <c r="AC169" s="39" t="n">
        <f aca="false">IF($P169="",0,IF($P169&lt;Hoje!$L$1,1,IF(AND($P169=Hoje!$L$1,Hoje!$L$2&gt;Semana!$M$3),1,0)))</f>
        <v>0</v>
      </c>
      <c r="AD169" s="39" t="n">
        <f aca="false">IF($F169="","",IF(COUNTA($I169:$K169)=0,0,1/COUNTA($I169:$K169)))</f>
        <v>0</v>
      </c>
      <c r="AE169" s="39" t="str">
        <f aca="false">IF($AH169=0,"",SUM($AH$4:$AH169))</f>
        <v/>
      </c>
      <c r="AF169" s="39" t="str">
        <f aca="false">IF($AI169=0,"",SUM($AI$4:$AI169))</f>
        <v/>
      </c>
      <c r="AG169" s="50" t="str">
        <f aca="false">IF($F169="","",$I169&amp;IF($J169="",""," · "&amp;$J169)&amp;IF($K169="",""," · "&amp;$K169))</f>
        <v/>
      </c>
      <c r="AH169" s="39" t="n">
        <f aca="false">IF(AND($F169&lt;&gt;"",$O169&lt;&gt;"",$O169&lt;=Hoje!$C$3,$P169&gt;=Hoje!$C$3,$R169&lt;&gt;"Cancelada"),1,0)</f>
        <v>0</v>
      </c>
      <c r="AI169" s="39" t="n">
        <f aca="false">IF(AND($F169&lt;&gt;"",$P169&lt;&gt;"",$P169&lt;Hoje!$C$3,$AB169=0,$R169&lt;&gt;"Cancelada"),1,0)</f>
        <v>0</v>
      </c>
      <c r="AJ169" s="50" t="str">
        <f aca="false">IF($F169="","",$D169&amp;"|"&amp;$E169&amp;"|"&amp;$L169)</f>
        <v>F-964|BAIXA DE CARTEIRA|</v>
      </c>
      <c r="AK169" s="39" t="n">
        <f aca="false">IF($AJ169="","",COUNTIF($AJ$4:$AJ169,$AJ169))</f>
        <v>30</v>
      </c>
      <c r="AL169" s="39" t="n">
        <f aca="false">IF($AJ169="","",COUNTIF($AJ$4:$AJ$1004,$AJ169))</f>
        <v>33</v>
      </c>
      <c r="AM169" s="42"/>
      <c r="AN169" s="50" t="str">
        <f aca="false">IF($D169="","",IFERROR(T(VLOOKUP($D169,Listas!$B$5:$H$120,7,0)),""))</f>
        <v/>
      </c>
      <c r="AO169" s="50" t="str">
        <f aca="false">IF(OR($F169="",$L169&lt;&gt;"",$R169="Cancelada",$AT169&lt;&gt;""),"",$AN169&amp;"|"&amp;$D169&amp;"|"&amp;IF($C169="","zzz",$C169)&amp;"|"&amp;TEXT(169,"0000"))</f>
        <v>|F-964|007197|0169</v>
      </c>
      <c r="AP169" s="50" t="n">
        <f aca="false">IF($AO169="","",COUNTIF($AO$5:$AO$1004,"&lt;"&amp;$AO169)-(ROWS($AO$5:$AO$1004)-Hoje!$L$5)+1)</f>
        <v>46</v>
      </c>
      <c r="AQ169" s="50" t="n">
        <f aca="false">IF(AND($F169&lt;&gt;"",$D169=Frota!$C$3),1,0)</f>
        <v>0</v>
      </c>
      <c r="AR169" s="50" t="str">
        <f aca="false">IF($AQ169=0,"",SUM($AQ$4:$AQ169))</f>
        <v/>
      </c>
      <c r="AS169" s="50" t="str">
        <f aca="false">IFERROR(INDEX(Hoje!$K$10:$K$29,MATCH(ROW(),Hoje!$J$10:$J$29,0)),"")</f>
        <v/>
      </c>
      <c r="AT169" s="50" t="str">
        <f aca="false">IF($Q169&lt;&gt;"",$Q169,$AS169)</f>
        <v/>
      </c>
    </row>
    <row r="170" customFormat="false" ht="16.5" hidden="false" customHeight="true" outlineLevel="0" collapsed="false">
      <c r="A170" s="39" t="n">
        <f aca="false">IF($F170="","",ROW())</f>
        <v>170</v>
      </c>
      <c r="B170" s="40" t="str">
        <f aca="false">IF($F170="",IF($D170="","","Falta a atividade"),IF($R170="Cancelada","Cancelada",IF($AB170=1,IF(N($Z170)&gt;0,"Concluída com atraso","Concluída"),IF($R170="Em programação","Em programação",IF($O170="",IF($M170="","Na carteira","Falta a semana"),IF($AC170=1,"VENCIDA",IF($O170&gt;Hoje!$L$1,"Programada",IF($P170&gt;Hoje!$L$1,"Em execução","Fecha hoje"))))))))</f>
        <v>Na carteira</v>
      </c>
      <c r="C170" s="41" t="s">
        <v>400</v>
      </c>
      <c r="D170" s="42" t="s">
        <v>382</v>
      </c>
      <c r="E170" s="42" t="s">
        <v>383</v>
      </c>
      <c r="F170" s="42" t="s">
        <v>444</v>
      </c>
      <c r="G170" s="43" t="s">
        <v>80</v>
      </c>
      <c r="H170" s="43" t="s">
        <v>100</v>
      </c>
      <c r="I170" s="44"/>
      <c r="J170" s="44"/>
      <c r="K170" s="44"/>
      <c r="L170" s="45"/>
      <c r="M170" s="46"/>
      <c r="N170" s="45" t="n">
        <v>4</v>
      </c>
      <c r="O170" s="47" t="str">
        <f aca="false">IF(OR($L170="",$M170=""),"",(DATE(Semana!$J$3,1,4)-WEEKDAY(DATE(Semana!$J$3,1,4),3))+($L170-1)*7+MATCH($M170,Listas!$F$5:$F$11,0)-1)</f>
        <v/>
      </c>
      <c r="P170" s="47" t="str">
        <f aca="false">IF(OR($F170="",$O170=""),"",$O170+MAX(0,ROUNDUP($AK170*MAX(1,IF($N170="",1,$N170))/MAX(1,$AL170),0)-1))</f>
        <v/>
      </c>
      <c r="Q170" s="48"/>
      <c r="R170" s="43"/>
      <c r="S170" s="49"/>
      <c r="T170" s="42"/>
      <c r="U170" s="42" t="s">
        <v>402</v>
      </c>
      <c r="V170" s="39" t="str">
        <f aca="false">IF($F170="","",IF(ISNUMBER(SEARCH("(externo)",$I170&amp;$J170&amp;$K170)),"Terceirizada","Interna"))</f>
        <v>Interna</v>
      </c>
      <c r="W170" s="47" t="str">
        <f aca="false">IF($O170="","",IF($S170="",$O170,(DATE(Semana!$J$3,1,4)-WEEKDAY(DATE(Semana!$J$3,1,4),3))+($S170-1)*7+IF($M170="",0,MATCH($M170,Listas!$F$5:$F$11,0)-1)))</f>
        <v/>
      </c>
      <c r="X170" s="39" t="n">
        <f aca="false">IF($F170="","",IF(OR($AT170="",$O170=""),0,IF($AT170&lt;=$O170,1,0)))</f>
        <v>0</v>
      </c>
      <c r="Y170" s="39" t="n">
        <f aca="false">IF($F170="","",IF(OR($AT170="",$W170=""),0,IF($AT170&lt;=$W170,1,0)))</f>
        <v>0</v>
      </c>
      <c r="Z170" s="39" t="str">
        <f aca="false">IF(OR($AT170="",$O170=""),"",MAX(0,$AT170-$O170))</f>
        <v/>
      </c>
      <c r="AA170" s="39" t="n">
        <f aca="false">IF($F170="","",IF(AND($S170&lt;&gt;"",$L170&lt;&gt;"",$S170&lt;&gt;$L170),1,0))</f>
        <v>0</v>
      </c>
      <c r="AB170" s="39" t="n">
        <f aca="false">IF($F170="","",IF($R170="Cancelada",0,IF(OR($AT170&lt;&gt;"",$R170="Concluída"),1,0)))</f>
        <v>0</v>
      </c>
      <c r="AC170" s="39" t="n">
        <f aca="false">IF($P170="",0,IF($P170&lt;Hoje!$L$1,1,IF(AND($P170=Hoje!$L$1,Hoje!$L$2&gt;Semana!$M$3),1,0)))</f>
        <v>0</v>
      </c>
      <c r="AD170" s="39" t="n">
        <f aca="false">IF($F170="","",IF(COUNTA($I170:$K170)=0,0,1/COUNTA($I170:$K170)))</f>
        <v>0</v>
      </c>
      <c r="AE170" s="39" t="str">
        <f aca="false">IF($AH170=0,"",SUM($AH$4:$AH170))</f>
        <v/>
      </c>
      <c r="AF170" s="39" t="str">
        <f aca="false">IF($AI170=0,"",SUM($AI$4:$AI170))</f>
        <v/>
      </c>
      <c r="AG170" s="50" t="str">
        <f aca="false">IF($F170="","",$I170&amp;IF($J170="",""," · "&amp;$J170)&amp;IF($K170="",""," · "&amp;$K170))</f>
        <v/>
      </c>
      <c r="AH170" s="39" t="n">
        <f aca="false">IF(AND($F170&lt;&gt;"",$O170&lt;&gt;"",$O170&lt;=Hoje!$C$3,$P170&gt;=Hoje!$C$3,$R170&lt;&gt;"Cancelada"),1,0)</f>
        <v>0</v>
      </c>
      <c r="AI170" s="39" t="n">
        <f aca="false">IF(AND($F170&lt;&gt;"",$P170&lt;&gt;"",$P170&lt;Hoje!$C$3,$AB170=0,$R170&lt;&gt;"Cancelada"),1,0)</f>
        <v>0</v>
      </c>
      <c r="AJ170" s="50" t="str">
        <f aca="false">IF($F170="","",$D170&amp;"|"&amp;$E170&amp;"|"&amp;$L170)</f>
        <v>F-964|BAIXA DE CARTEIRA|</v>
      </c>
      <c r="AK170" s="39" t="n">
        <f aca="false">IF($AJ170="","",COUNTIF($AJ$4:$AJ170,$AJ170))</f>
        <v>31</v>
      </c>
      <c r="AL170" s="39" t="n">
        <f aca="false">IF($AJ170="","",COUNTIF($AJ$4:$AJ$1004,$AJ170))</f>
        <v>33</v>
      </c>
      <c r="AM170" s="42"/>
      <c r="AN170" s="50" t="str">
        <f aca="false">IF($D170="","",IFERROR(T(VLOOKUP($D170,Listas!$B$5:$H$120,7,0)),""))</f>
        <v/>
      </c>
      <c r="AO170" s="50" t="str">
        <f aca="false">IF(OR($F170="",$L170&lt;&gt;"",$R170="Cancelada",$AT170&lt;&gt;""),"",$AN170&amp;"|"&amp;$D170&amp;"|"&amp;IF($C170="","zzz",$C170)&amp;"|"&amp;TEXT(170,"0000"))</f>
        <v>|F-964|007185|0170</v>
      </c>
      <c r="AP170" s="50" t="n">
        <f aca="false">IF($AO170="","",COUNTIF($AO$5:$AO$1004,"&lt;"&amp;$AO170)-(ROWS($AO$5:$AO$1004)-Hoje!$L$5)+1)</f>
        <v>39</v>
      </c>
      <c r="AQ170" s="50" t="n">
        <f aca="false">IF(AND($F170&lt;&gt;"",$D170=Frota!$C$3),1,0)</f>
        <v>0</v>
      </c>
      <c r="AR170" s="50" t="str">
        <f aca="false">IF($AQ170=0,"",SUM($AQ$4:$AQ170))</f>
        <v/>
      </c>
      <c r="AS170" s="50" t="str">
        <f aca="false">IFERROR(INDEX(Hoje!$K$10:$K$29,MATCH(ROW(),Hoje!$J$10:$J$29,0)),"")</f>
        <v/>
      </c>
      <c r="AT170" s="50" t="str">
        <f aca="false">IF($Q170&lt;&gt;"",$Q170,$AS170)</f>
        <v/>
      </c>
    </row>
    <row r="171" customFormat="false" ht="16.5" hidden="false" customHeight="true" outlineLevel="0" collapsed="false">
      <c r="A171" s="39" t="n">
        <f aca="false">IF($F171="","",ROW())</f>
        <v>171</v>
      </c>
      <c r="B171" s="40" t="str">
        <f aca="false">IF($F171="",IF($D171="","","Falta a atividade"),IF($R171="Cancelada","Cancelada",IF($AB171=1,IF(N($Z171)&gt;0,"Concluída com atraso","Concluída"),IF($R171="Em programação","Em programação",IF($O171="",IF($M171="","Na carteira","Falta a semana"),IF($AC171=1,"VENCIDA",IF($O171&gt;Hoje!$L$1,"Programada",IF($P171&gt;Hoje!$L$1,"Em execução","Fecha hoje"))))))))</f>
        <v>Na carteira</v>
      </c>
      <c r="C171" s="41"/>
      <c r="D171" s="42" t="s">
        <v>382</v>
      </c>
      <c r="E171" s="42" t="s">
        <v>383</v>
      </c>
      <c r="F171" s="42" t="s">
        <v>445</v>
      </c>
      <c r="G171" s="43" t="s">
        <v>80</v>
      </c>
      <c r="H171" s="43" t="s">
        <v>100</v>
      </c>
      <c r="I171" s="44"/>
      <c r="J171" s="44"/>
      <c r="K171" s="44"/>
      <c r="L171" s="45"/>
      <c r="M171" s="46"/>
      <c r="N171" s="45" t="n">
        <v>4</v>
      </c>
      <c r="O171" s="47" t="str">
        <f aca="false">IF(OR($L171="",$M171=""),"",(DATE(Semana!$J$3,1,4)-WEEKDAY(DATE(Semana!$J$3,1,4),3))+($L171-1)*7+MATCH($M171,Listas!$F$5:$F$11,0)-1)</f>
        <v/>
      </c>
      <c r="P171" s="47" t="str">
        <f aca="false">IF(OR($F171="",$O171=""),"",$O171+MAX(0,ROUNDUP($AK171*MAX(1,IF($N171="",1,$N171))/MAX(1,$AL171),0)-1))</f>
        <v/>
      </c>
      <c r="Q171" s="48"/>
      <c r="R171" s="43"/>
      <c r="S171" s="49"/>
      <c r="T171" s="42"/>
      <c r="U171" s="42" t="s">
        <v>446</v>
      </c>
      <c r="V171" s="39" t="str">
        <f aca="false">IF($F171="","",IF(ISNUMBER(SEARCH("(externo)",$I171&amp;$J171&amp;$K171)),"Terceirizada","Interna"))</f>
        <v>Interna</v>
      </c>
      <c r="W171" s="47" t="str">
        <f aca="false">IF($O171="","",IF($S171="",$O171,(DATE(Semana!$J$3,1,4)-WEEKDAY(DATE(Semana!$J$3,1,4),3))+($S171-1)*7+IF($M171="",0,MATCH($M171,Listas!$F$5:$F$11,0)-1)))</f>
        <v/>
      </c>
      <c r="X171" s="39" t="n">
        <f aca="false">IF($F171="","",IF(OR($AT171="",$O171=""),0,IF($AT171&lt;=$O171,1,0)))</f>
        <v>0</v>
      </c>
      <c r="Y171" s="39" t="n">
        <f aca="false">IF($F171="","",IF(OR($AT171="",$W171=""),0,IF($AT171&lt;=$W171,1,0)))</f>
        <v>0</v>
      </c>
      <c r="Z171" s="39" t="str">
        <f aca="false">IF(OR($AT171="",$O171=""),"",MAX(0,$AT171-$O171))</f>
        <v/>
      </c>
      <c r="AA171" s="39" t="n">
        <f aca="false">IF($F171="","",IF(AND($S171&lt;&gt;"",$L171&lt;&gt;"",$S171&lt;&gt;$L171),1,0))</f>
        <v>0</v>
      </c>
      <c r="AB171" s="39" t="n">
        <f aca="false">IF($F171="","",IF($R171="Cancelada",0,IF(OR($AT171&lt;&gt;"",$R171="Concluída"),1,0)))</f>
        <v>0</v>
      </c>
      <c r="AC171" s="39" t="n">
        <f aca="false">IF($P171="",0,IF($P171&lt;Hoje!$L$1,1,IF(AND($P171=Hoje!$L$1,Hoje!$L$2&gt;Semana!$M$3),1,0)))</f>
        <v>0</v>
      </c>
      <c r="AD171" s="39" t="n">
        <f aca="false">IF($F171="","",IF(COUNTA($I171:$K171)=0,0,1/COUNTA($I171:$K171)))</f>
        <v>0</v>
      </c>
      <c r="AE171" s="39" t="str">
        <f aca="false">IF($AH171=0,"",SUM($AH$4:$AH171))</f>
        <v/>
      </c>
      <c r="AF171" s="39" t="str">
        <f aca="false">IF($AI171=0,"",SUM($AI$4:$AI171))</f>
        <v/>
      </c>
      <c r="AG171" s="50" t="str">
        <f aca="false">IF($F171="","",$I171&amp;IF($J171="",""," · "&amp;$J171)&amp;IF($K171="",""," · "&amp;$K171))</f>
        <v/>
      </c>
      <c r="AH171" s="39" t="n">
        <f aca="false">IF(AND($F171&lt;&gt;"",$O171&lt;&gt;"",$O171&lt;=Hoje!$C$3,$P171&gt;=Hoje!$C$3,$R171&lt;&gt;"Cancelada"),1,0)</f>
        <v>0</v>
      </c>
      <c r="AI171" s="39" t="n">
        <f aca="false">IF(AND($F171&lt;&gt;"",$P171&lt;&gt;"",$P171&lt;Hoje!$C$3,$AB171=0,$R171&lt;&gt;"Cancelada"),1,0)</f>
        <v>0</v>
      </c>
      <c r="AJ171" s="50" t="str">
        <f aca="false">IF($F171="","",$D171&amp;"|"&amp;$E171&amp;"|"&amp;$L171)</f>
        <v>F-964|BAIXA DE CARTEIRA|</v>
      </c>
      <c r="AK171" s="39" t="n">
        <f aca="false">IF($AJ171="","",COUNTIF($AJ$4:$AJ171,$AJ171))</f>
        <v>32</v>
      </c>
      <c r="AL171" s="39" t="n">
        <f aca="false">IF($AJ171="","",COUNTIF($AJ$4:$AJ$1004,$AJ171))</f>
        <v>33</v>
      </c>
      <c r="AM171" s="42"/>
      <c r="AN171" s="50" t="str">
        <f aca="false">IF($D171="","",IFERROR(T(VLOOKUP($D171,Listas!$B$5:$H$120,7,0)),""))</f>
        <v/>
      </c>
      <c r="AO171" s="50" t="str">
        <f aca="false">IF(OR($F171="",$L171&lt;&gt;"",$R171="Cancelada",$AT171&lt;&gt;""),"",$AN171&amp;"|"&amp;$D171&amp;"|"&amp;IF($C171="","zzz",$C171)&amp;"|"&amp;TEXT(171,"0000"))</f>
        <v>|F-964|zzz|0171</v>
      </c>
      <c r="AP171" s="50" t="n">
        <f aca="false">IF($AO171="","",COUNTIF($AO$5:$AO$1004,"&lt;"&amp;$AO171)-(ROWS($AO$5:$AO$1004)-Hoje!$L$5)+1)</f>
        <v>61</v>
      </c>
      <c r="AQ171" s="50" t="n">
        <f aca="false">IF(AND($F171&lt;&gt;"",$D171=Frota!$C$3),1,0)</f>
        <v>0</v>
      </c>
      <c r="AR171" s="50" t="str">
        <f aca="false">IF($AQ171=0,"",SUM($AQ$4:$AQ171))</f>
        <v/>
      </c>
      <c r="AS171" s="50" t="str">
        <f aca="false">IFERROR(INDEX(Hoje!$K$10:$K$29,MATCH(ROW(),Hoje!$J$10:$J$29,0)),"")</f>
        <v/>
      </c>
      <c r="AT171" s="50" t="str">
        <f aca="false">IF($Q171&lt;&gt;"",$Q171,$AS171)</f>
        <v/>
      </c>
    </row>
    <row r="172" customFormat="false" ht="16.5" hidden="false" customHeight="true" outlineLevel="0" collapsed="false">
      <c r="A172" s="39" t="n">
        <f aca="false">IF($F172="","",ROW())</f>
        <v>172</v>
      </c>
      <c r="B172" s="40" t="str">
        <f aca="false">IF($F172="",IF($D172="","","Falta a atividade"),IF($R172="Cancelada","Cancelada",IF($AB172=1,IF(N($Z172)&gt;0,"Concluída com atraso","Concluída"),IF($R172="Em programação","Em programação",IF($O172="",IF($M172="","Na carteira","Falta a semana"),IF($AC172=1,"VENCIDA",IF($O172&gt;Hoje!$L$1,"Programada",IF($P172&gt;Hoje!$L$1,"Em execução","Fecha hoje"))))))))</f>
        <v>Na carteira</v>
      </c>
      <c r="C172" s="41"/>
      <c r="D172" s="42" t="s">
        <v>382</v>
      </c>
      <c r="E172" s="42" t="s">
        <v>383</v>
      </c>
      <c r="F172" s="42" t="s">
        <v>447</v>
      </c>
      <c r="G172" s="43" t="s">
        <v>80</v>
      </c>
      <c r="H172" s="43" t="s">
        <v>100</v>
      </c>
      <c r="I172" s="44"/>
      <c r="J172" s="44"/>
      <c r="K172" s="44"/>
      <c r="L172" s="45"/>
      <c r="M172" s="46"/>
      <c r="N172" s="45" t="n">
        <v>4</v>
      </c>
      <c r="O172" s="47" t="str">
        <f aca="false">IF(OR($L172="",$M172=""),"",(DATE(Semana!$J$3,1,4)-WEEKDAY(DATE(Semana!$J$3,1,4),3))+($L172-1)*7+MATCH($M172,Listas!$F$5:$F$11,0)-1)</f>
        <v/>
      </c>
      <c r="P172" s="47" t="str">
        <f aca="false">IF(OR($F172="",$O172=""),"",$O172+MAX(0,ROUNDUP($AK172*MAX(1,IF($N172="",1,$N172))/MAX(1,$AL172),0)-1))</f>
        <v/>
      </c>
      <c r="Q172" s="48"/>
      <c r="R172" s="43"/>
      <c r="S172" s="49"/>
      <c r="T172" s="42"/>
      <c r="U172" s="42" t="s">
        <v>101</v>
      </c>
      <c r="V172" s="39" t="str">
        <f aca="false">IF($F172="","",IF(ISNUMBER(SEARCH("(externo)",$I172&amp;$J172&amp;$K172)),"Terceirizada","Interna"))</f>
        <v>Interna</v>
      </c>
      <c r="W172" s="47" t="str">
        <f aca="false">IF($O172="","",IF($S172="",$O172,(DATE(Semana!$J$3,1,4)-WEEKDAY(DATE(Semana!$J$3,1,4),3))+($S172-1)*7+IF($M172="",0,MATCH($M172,Listas!$F$5:$F$11,0)-1)))</f>
        <v/>
      </c>
      <c r="X172" s="39" t="n">
        <f aca="false">IF($F172="","",IF(OR($AT172="",$O172=""),0,IF($AT172&lt;=$O172,1,0)))</f>
        <v>0</v>
      </c>
      <c r="Y172" s="39" t="n">
        <f aca="false">IF($F172="","",IF(OR($AT172="",$W172=""),0,IF($AT172&lt;=$W172,1,0)))</f>
        <v>0</v>
      </c>
      <c r="Z172" s="39" t="str">
        <f aca="false">IF(OR($AT172="",$O172=""),"",MAX(0,$AT172-$O172))</f>
        <v/>
      </c>
      <c r="AA172" s="39" t="n">
        <f aca="false">IF($F172="","",IF(AND($S172&lt;&gt;"",$L172&lt;&gt;"",$S172&lt;&gt;$L172),1,0))</f>
        <v>0</v>
      </c>
      <c r="AB172" s="39" t="n">
        <f aca="false">IF($F172="","",IF($R172="Cancelada",0,IF(OR($AT172&lt;&gt;"",$R172="Concluída"),1,0)))</f>
        <v>0</v>
      </c>
      <c r="AC172" s="39" t="n">
        <f aca="false">IF($P172="",0,IF($P172&lt;Hoje!$L$1,1,IF(AND($P172=Hoje!$L$1,Hoje!$L$2&gt;Semana!$M$3),1,0)))</f>
        <v>0</v>
      </c>
      <c r="AD172" s="39" t="n">
        <f aca="false">IF($F172="","",IF(COUNTA($I172:$K172)=0,0,1/COUNTA($I172:$K172)))</f>
        <v>0</v>
      </c>
      <c r="AE172" s="39" t="str">
        <f aca="false">IF($AH172=0,"",SUM($AH$4:$AH172))</f>
        <v/>
      </c>
      <c r="AF172" s="39" t="str">
        <f aca="false">IF($AI172=0,"",SUM($AI$4:$AI172))</f>
        <v/>
      </c>
      <c r="AG172" s="50" t="str">
        <f aca="false">IF($F172="","",$I172&amp;IF($J172="",""," · "&amp;$J172)&amp;IF($K172="",""," · "&amp;$K172))</f>
        <v/>
      </c>
      <c r="AH172" s="39" t="n">
        <f aca="false">IF(AND($F172&lt;&gt;"",$O172&lt;&gt;"",$O172&lt;=Hoje!$C$3,$P172&gt;=Hoje!$C$3,$R172&lt;&gt;"Cancelada"),1,0)</f>
        <v>0</v>
      </c>
      <c r="AI172" s="39" t="n">
        <f aca="false">IF(AND($F172&lt;&gt;"",$P172&lt;&gt;"",$P172&lt;Hoje!$C$3,$AB172=0,$R172&lt;&gt;"Cancelada"),1,0)</f>
        <v>0</v>
      </c>
      <c r="AJ172" s="50" t="str">
        <f aca="false">IF($F172="","",$D172&amp;"|"&amp;$E172&amp;"|"&amp;$L172)</f>
        <v>F-964|BAIXA DE CARTEIRA|</v>
      </c>
      <c r="AK172" s="39" t="n">
        <f aca="false">IF($AJ172="","",COUNTIF($AJ$4:$AJ172,$AJ172))</f>
        <v>33</v>
      </c>
      <c r="AL172" s="39" t="n">
        <f aca="false">IF($AJ172="","",COUNTIF($AJ$4:$AJ$1004,$AJ172))</f>
        <v>33</v>
      </c>
      <c r="AM172" s="42"/>
      <c r="AN172" s="50" t="str">
        <f aca="false">IF($D172="","",IFERROR(T(VLOOKUP($D172,Listas!$B$5:$H$120,7,0)),""))</f>
        <v/>
      </c>
      <c r="AO172" s="50" t="str">
        <f aca="false">IF(OR($F172="",$L172&lt;&gt;"",$R172="Cancelada",$AT172&lt;&gt;""),"",$AN172&amp;"|"&amp;$D172&amp;"|"&amp;IF($C172="","zzz",$C172)&amp;"|"&amp;TEXT(172,"0000"))</f>
        <v>|F-964|zzz|0172</v>
      </c>
      <c r="AP172" s="50" t="n">
        <f aca="false">IF($AO172="","",COUNTIF($AO$5:$AO$1004,"&lt;"&amp;$AO172)-(ROWS($AO$5:$AO$1004)-Hoje!$L$5)+1)</f>
        <v>62</v>
      </c>
      <c r="AQ172" s="50" t="n">
        <f aca="false">IF(AND($F172&lt;&gt;"",$D172=Frota!$C$3),1,0)</f>
        <v>0</v>
      </c>
      <c r="AR172" s="50" t="str">
        <f aca="false">IF($AQ172=0,"",SUM($AQ$4:$AQ172))</f>
        <v/>
      </c>
      <c r="AS172" s="50" t="str">
        <f aca="false">IFERROR(INDEX(Hoje!$K$10:$K$29,MATCH(ROW(),Hoje!$J$10:$J$29,0)),"")</f>
        <v/>
      </c>
      <c r="AT172" s="50" t="str">
        <f aca="false">IF($Q172&lt;&gt;"",$Q172,$AS172)</f>
        <v/>
      </c>
    </row>
    <row r="173" customFormat="false" ht="16.5" hidden="false" customHeight="true" outlineLevel="0" collapsed="false">
      <c r="A173" s="39" t="n">
        <f aca="false">IF($F173="","",ROW())</f>
        <v>173</v>
      </c>
      <c r="B173" s="40" t="str">
        <f aca="false">IF($F173="",IF($D173="","","Falta a atividade"),IF($R173="Cancelada","Cancelada",IF($AB173=1,IF(N($Z173)&gt;0,"Concluída com atraso","Concluída"),IF($R173="Em programação","Em programação",IF($O173="",IF($M173="","Na carteira","Falta a semana"),IF($AC173=1,"VENCIDA",IF($O173&gt;Hoje!$L$1,"Programada",IF($P173&gt;Hoje!$L$1,"Em execução","Fecha hoje"))))))))</f>
        <v>Concluída</v>
      </c>
      <c r="C173" s="41"/>
      <c r="D173" s="42" t="s">
        <v>448</v>
      </c>
      <c r="E173" s="42" t="s">
        <v>78</v>
      </c>
      <c r="F173" s="42" t="s">
        <v>449</v>
      </c>
      <c r="G173" s="43" t="s">
        <v>80</v>
      </c>
      <c r="H173" s="43" t="s">
        <v>81</v>
      </c>
      <c r="I173" s="44" t="s">
        <v>82</v>
      </c>
      <c r="J173" s="44" t="s">
        <v>83</v>
      </c>
      <c r="K173" s="44"/>
      <c r="L173" s="45" t="n">
        <v>35</v>
      </c>
      <c r="M173" s="46" t="s">
        <v>173</v>
      </c>
      <c r="N173" s="45" t="n">
        <v>2</v>
      </c>
      <c r="O173" s="47" t="n">
        <f aca="false">IF(OR($L173="",$M173=""),"",(DATE(Semana!$J$3,1,4)-WEEKDAY(DATE(Semana!$J$3,1,4),3))+($L173-1)*7+MATCH($M173,Listas!$F$5:$F$11,0)-1)</f>
        <v>46261</v>
      </c>
      <c r="P173" s="47" t="n">
        <f aca="false">IF(OR($F173="",$O173=""),"",$O173+MAX(0,ROUNDUP($AK173*MAX(1,IF($N173="",1,$N173))/MAX(1,$AL173),0)-1))</f>
        <v>46262</v>
      </c>
      <c r="Q173" s="48" t="n">
        <v>46261</v>
      </c>
      <c r="R173" s="43" t="s">
        <v>85</v>
      </c>
      <c r="S173" s="49"/>
      <c r="T173" s="42"/>
      <c r="U173" s="42"/>
      <c r="V173" s="39" t="str">
        <f aca="false">IF($F173="","",IF(ISNUMBER(SEARCH("(externo)",$I173&amp;$J173&amp;$K173)),"Terceirizada","Interna"))</f>
        <v>Interna</v>
      </c>
      <c r="W173" s="47" t="n">
        <f aca="false">IF($O173="","",IF($S173="",$O173,(DATE(Semana!$J$3,1,4)-WEEKDAY(DATE(Semana!$J$3,1,4),3))+($S173-1)*7+IF($M173="",0,MATCH($M173,Listas!$F$5:$F$11,0)-1)))</f>
        <v>46261</v>
      </c>
      <c r="X173" s="39" t="n">
        <f aca="false">IF($F173="","",IF(OR($AT173="",$O173=""),0,IF($AT173&lt;=$O173,1,0)))</f>
        <v>1</v>
      </c>
      <c r="Y173" s="39" t="n">
        <f aca="false">IF($F173="","",IF(OR($AT173="",$W173=""),0,IF($AT173&lt;=$W173,1,0)))</f>
        <v>1</v>
      </c>
      <c r="Z173" s="39" t="n">
        <f aca="false">IF(OR($AT173="",$O173=""),"",MAX(0,$AT173-$O173))</f>
        <v>0</v>
      </c>
      <c r="AA173" s="39" t="n">
        <f aca="false">IF($F173="","",IF(AND($S173&lt;&gt;"",$L173&lt;&gt;"",$S173&lt;&gt;$L173),1,0))</f>
        <v>0</v>
      </c>
      <c r="AB173" s="39" t="n">
        <f aca="false">IF($F173="","",IF($R173="Cancelada",0,IF(OR($AT173&lt;&gt;"",$R173="Concluída"),1,0)))</f>
        <v>1</v>
      </c>
      <c r="AC173" s="39" t="n">
        <f aca="false">IF($P173="",0,IF($P173&lt;Hoje!$L$1,1,IF(AND($P173=Hoje!$L$1,Hoje!$L$2&gt;Semana!$M$3),1,0)))</f>
        <v>1</v>
      </c>
      <c r="AD173" s="39" t="n">
        <f aca="false">IF($F173="","",IF(COUNTA($I173:$K173)=0,0,1/COUNTA($I173:$K173)))</f>
        <v>0.5</v>
      </c>
      <c r="AE173" s="39" t="str">
        <f aca="false">IF($AH173=0,"",SUM($AH$4:$AH173))</f>
        <v/>
      </c>
      <c r="AF173" s="39" t="str">
        <f aca="false">IF($AI173=0,"",SUM($AI$4:$AI173))</f>
        <v/>
      </c>
      <c r="AG173" s="50" t="str">
        <f aca="false">IF($F173="","",$I173&amp;IF($J173="",""," · "&amp;$J173)&amp;IF($K173="",""," · "&amp;$K173))</f>
        <v>Airton · Luiz Paulo</v>
      </c>
      <c r="AH173" s="39" t="n">
        <f aca="false">IF(AND($F173&lt;&gt;"",$O173&lt;&gt;"",$O173&lt;=Hoje!$C$3,$P173&gt;=Hoje!$C$3,$R173&lt;&gt;"Cancelada"),1,0)</f>
        <v>0</v>
      </c>
      <c r="AI173" s="39" t="n">
        <f aca="false">IF(AND($F173&lt;&gt;"",$P173&lt;&gt;"",$P173&lt;Hoje!$C$3,$AB173=0,$R173&lt;&gt;"Cancelada"),1,0)</f>
        <v>0</v>
      </c>
      <c r="AJ173" s="50" t="str">
        <f aca="false">IF($F173="","",$D173&amp;"|"&amp;$E173&amp;"|"&amp;$L173)</f>
        <v>F-1064|Calibração e troca de pneus|35</v>
      </c>
      <c r="AK173" s="39" t="n">
        <f aca="false">IF($AJ173="","",COUNTIF($AJ$4:$AJ173,$AJ173))</f>
        <v>1</v>
      </c>
      <c r="AL173" s="39" t="n">
        <f aca="false">IF($AJ173="","",COUNTIF($AJ$4:$AJ$1004,$AJ173))</f>
        <v>1</v>
      </c>
      <c r="AM173" s="42"/>
      <c r="AN173" s="50" t="str">
        <f aca="false">IF($D173="","",IFERROR(T(VLOOKUP($D173,Listas!$B$5:$H$120,7,0)),""))</f>
        <v/>
      </c>
      <c r="AO173" s="50" t="str">
        <f aca="false">IF(OR($F173="",$L173&lt;&gt;"",$R173="Cancelada",$AT173&lt;&gt;""),"",$AN173&amp;"|"&amp;$D173&amp;"|"&amp;IF($C173="","zzz",$C173)&amp;"|"&amp;TEXT(173,"0000"))</f>
        <v/>
      </c>
      <c r="AP173" s="50" t="str">
        <f aca="false">IF($AO173="","",COUNTIF($AO$5:$AO$1004,"&lt;"&amp;$AO173)-(ROWS($AO$5:$AO$1004)-Hoje!$L$5)+1)</f>
        <v/>
      </c>
      <c r="AQ173" s="50" t="n">
        <f aca="false">IF(AND($F173&lt;&gt;"",$D173=Frota!$C$3),1,0)</f>
        <v>0</v>
      </c>
      <c r="AR173" s="50" t="str">
        <f aca="false">IF($AQ173=0,"",SUM($AQ$4:$AQ173))</f>
        <v/>
      </c>
      <c r="AS173" s="50" t="str">
        <f aca="false">IFERROR(INDEX(Hoje!$K$10:$K$29,MATCH(ROW(),Hoje!$J$10:$J$29,0)),"")</f>
        <v/>
      </c>
      <c r="AT173" s="47" t="n">
        <f aca="false">IF($Q173&lt;&gt;"",$Q173,$AS173)</f>
        <v>46261</v>
      </c>
    </row>
    <row r="174" customFormat="false" ht="16.5" hidden="false" customHeight="true" outlineLevel="0" collapsed="false">
      <c r="A174" s="39" t="n">
        <f aca="false">IF($F174="","",ROW())</f>
        <v>174</v>
      </c>
      <c r="B174" s="40" t="str">
        <f aca="false">IF($F174="",IF($D174="","","Falta a atividade"),IF($R174="Cancelada","Cancelada",IF($AB174=1,IF(N($Z174)&gt;0,"Concluída com atraso","Concluída"),IF($R174="Em programação","Em programação",IF($O174="",IF($M174="","Na carteira","Falta a semana"),IF($AC174=1,"VENCIDA",IF($O174&gt;Hoje!$L$1,"Programada",IF($P174&gt;Hoje!$L$1,"Em execução","Fecha hoje"))))))))</f>
        <v>Concluída</v>
      </c>
      <c r="C174" s="41"/>
      <c r="D174" s="42" t="s">
        <v>450</v>
      </c>
      <c r="E174" s="42" t="s">
        <v>78</v>
      </c>
      <c r="F174" s="42" t="s">
        <v>449</v>
      </c>
      <c r="G174" s="43" t="s">
        <v>80</v>
      </c>
      <c r="H174" s="43" t="s">
        <v>81</v>
      </c>
      <c r="I174" s="44" t="s">
        <v>82</v>
      </c>
      <c r="J174" s="44" t="s">
        <v>83</v>
      </c>
      <c r="K174" s="44"/>
      <c r="L174" s="45" t="n">
        <v>35</v>
      </c>
      <c r="M174" s="46" t="s">
        <v>173</v>
      </c>
      <c r="N174" s="45" t="n">
        <v>4</v>
      </c>
      <c r="O174" s="47" t="n">
        <f aca="false">IF(OR($L174="",$M174=""),"",(DATE(Semana!$J$3,1,4)-WEEKDAY(DATE(Semana!$J$3,1,4),3))+($L174-1)*7+MATCH($M174,Listas!$F$5:$F$11,0)-1)</f>
        <v>46261</v>
      </c>
      <c r="P174" s="47" t="n">
        <f aca="false">IF(OR($F174="",$O174=""),"",$O174+MAX(0,ROUNDUP($AK174*MAX(1,IF($N174="",1,$N174))/MAX(1,$AL174),0)-1))</f>
        <v>46264</v>
      </c>
      <c r="Q174" s="48" t="n">
        <v>46261</v>
      </c>
      <c r="R174" s="43" t="s">
        <v>85</v>
      </c>
      <c r="S174" s="49"/>
      <c r="T174" s="42"/>
      <c r="U174" s="42"/>
      <c r="V174" s="39" t="str">
        <f aca="false">IF($F174="","",IF(ISNUMBER(SEARCH("(externo)",$I174&amp;$J174&amp;$K174)),"Terceirizada","Interna"))</f>
        <v>Interna</v>
      </c>
      <c r="W174" s="47" t="n">
        <f aca="false">IF($O174="","",IF($S174="",$O174,(DATE(Semana!$J$3,1,4)-WEEKDAY(DATE(Semana!$J$3,1,4),3))+($S174-1)*7+IF($M174="",0,MATCH($M174,Listas!$F$5:$F$11,0)-1)))</f>
        <v>46261</v>
      </c>
      <c r="X174" s="39" t="n">
        <f aca="false">IF($F174="","",IF(OR($AT174="",$O174=""),0,IF($AT174&lt;=$O174,1,0)))</f>
        <v>1</v>
      </c>
      <c r="Y174" s="39" t="n">
        <f aca="false">IF($F174="","",IF(OR($AT174="",$W174=""),0,IF($AT174&lt;=$W174,1,0)))</f>
        <v>1</v>
      </c>
      <c r="Z174" s="39" t="n">
        <f aca="false">IF(OR($AT174="",$O174=""),"",MAX(0,$AT174-$O174))</f>
        <v>0</v>
      </c>
      <c r="AA174" s="39" t="n">
        <f aca="false">IF($F174="","",IF(AND($S174&lt;&gt;"",$L174&lt;&gt;"",$S174&lt;&gt;$L174),1,0))</f>
        <v>0</v>
      </c>
      <c r="AB174" s="39" t="n">
        <f aca="false">IF($F174="","",IF($R174="Cancelada",0,IF(OR($AT174&lt;&gt;"",$R174="Concluída"),1,0)))</f>
        <v>1</v>
      </c>
      <c r="AC174" s="39" t="n">
        <f aca="false">IF($P174="",0,IF($P174&lt;Hoje!$L$1,1,IF(AND($P174=Hoje!$L$1,Hoje!$L$2&gt;Semana!$M$3),1,0)))</f>
        <v>1</v>
      </c>
      <c r="AD174" s="39" t="n">
        <f aca="false">IF($F174="","",IF(COUNTA($I174:$K174)=0,0,1/COUNTA($I174:$K174)))</f>
        <v>0.5</v>
      </c>
      <c r="AE174" s="39" t="str">
        <f aca="false">IF($AH174=0,"",SUM($AH$4:$AH174))</f>
        <v/>
      </c>
      <c r="AF174" s="39" t="str">
        <f aca="false">IF($AI174=0,"",SUM($AI$4:$AI174))</f>
        <v/>
      </c>
      <c r="AG174" s="50" t="str">
        <f aca="false">IF($F174="","",$I174&amp;IF($J174="",""," · "&amp;$J174)&amp;IF($K174="",""," · "&amp;$K174))</f>
        <v>Airton · Luiz Paulo</v>
      </c>
      <c r="AH174" s="39" t="n">
        <f aca="false">IF(AND($F174&lt;&gt;"",$O174&lt;&gt;"",$O174&lt;=Hoje!$C$3,$P174&gt;=Hoje!$C$3,$R174&lt;&gt;"Cancelada"),1,0)</f>
        <v>0</v>
      </c>
      <c r="AI174" s="39" t="n">
        <f aca="false">IF(AND($F174&lt;&gt;"",$P174&lt;&gt;"",$P174&lt;Hoje!$C$3,$AB174=0,$R174&lt;&gt;"Cancelada"),1,0)</f>
        <v>0</v>
      </c>
      <c r="AJ174" s="50" t="str">
        <f aca="false">IF($F174="","",$D174&amp;"|"&amp;$E174&amp;"|"&amp;$L174)</f>
        <v>F-1065|Calibração e troca de pneus|35</v>
      </c>
      <c r="AK174" s="39" t="n">
        <f aca="false">IF($AJ174="","",COUNTIF($AJ$4:$AJ174,$AJ174))</f>
        <v>1</v>
      </c>
      <c r="AL174" s="39" t="n">
        <f aca="false">IF($AJ174="","",COUNTIF($AJ$4:$AJ$1004,$AJ174))</f>
        <v>1</v>
      </c>
      <c r="AM174" s="42"/>
      <c r="AN174" s="50" t="str">
        <f aca="false">IF($D174="","",IFERROR(T(VLOOKUP($D174,Listas!$B$5:$H$120,7,0)),""))</f>
        <v/>
      </c>
      <c r="AO174" s="50" t="str">
        <f aca="false">IF(OR($F174="",$L174&lt;&gt;"",$R174="Cancelada",$AT174&lt;&gt;""),"",$AN174&amp;"|"&amp;$D174&amp;"|"&amp;IF($C174="","zzz",$C174)&amp;"|"&amp;TEXT(174,"0000"))</f>
        <v/>
      </c>
      <c r="AP174" s="50" t="str">
        <f aca="false">IF($AO174="","",COUNTIF($AO$5:$AO$1004,"&lt;"&amp;$AO174)-(ROWS($AO$5:$AO$1004)-Hoje!$L$5)+1)</f>
        <v/>
      </c>
      <c r="AQ174" s="50" t="n">
        <f aca="false">IF(AND($F174&lt;&gt;"",$D174=Frota!$C$3),1,0)</f>
        <v>0</v>
      </c>
      <c r="AR174" s="50" t="str">
        <f aca="false">IF($AQ174=0,"",SUM($AQ$4:$AQ174))</f>
        <v/>
      </c>
      <c r="AS174" s="50" t="str">
        <f aca="false">IFERROR(INDEX(Hoje!$K$10:$K$29,MATCH(ROW(),Hoje!$J$10:$J$29,0)),"")</f>
        <v/>
      </c>
      <c r="AT174" s="47" t="n">
        <f aca="false">IF($Q174&lt;&gt;"",$Q174,$AS174)</f>
        <v>46261</v>
      </c>
    </row>
    <row r="175" customFormat="false" ht="16.5" hidden="false" customHeight="true" outlineLevel="0" collapsed="false">
      <c r="A175" s="39" t="n">
        <f aca="false">IF($F175="","",ROW())</f>
        <v>175</v>
      </c>
      <c r="B175" s="40" t="str">
        <f aca="false">IF($F175="",IF($D175="","","Falta a atividade"),IF($R175="Cancelada","Cancelada",IF($AB175=1,IF(N($Z175)&gt;0,"Concluída com atraso","Concluída"),IF($R175="Em programação","Em programação",IF($O175="",IF($M175="","Na carteira","Falta a semana"),IF($AC175=1,"VENCIDA",IF($O175&gt;Hoje!$L$1,"Programada",IF($P175&gt;Hoje!$L$1,"Em execução","Fecha hoje"))))))))</f>
        <v>Concluída com atraso</v>
      </c>
      <c r="C175" s="41"/>
      <c r="D175" s="42" t="s">
        <v>451</v>
      </c>
      <c r="E175" s="42" t="s">
        <v>452</v>
      </c>
      <c r="F175" s="42" t="s">
        <v>453</v>
      </c>
      <c r="G175" s="43" t="s">
        <v>80</v>
      </c>
      <c r="H175" s="43" t="s">
        <v>100</v>
      </c>
      <c r="I175" s="44" t="s">
        <v>182</v>
      </c>
      <c r="J175" s="44" t="s">
        <v>283</v>
      </c>
      <c r="K175" s="44"/>
      <c r="L175" s="45" t="n">
        <v>35</v>
      </c>
      <c r="M175" s="46" t="s">
        <v>131</v>
      </c>
      <c r="N175" s="45" t="n">
        <v>3</v>
      </c>
      <c r="O175" s="47" t="n">
        <f aca="false">IF(OR($L175="",$M175=""),"",(DATE(Semana!$J$3,1,4)-WEEKDAY(DATE(Semana!$J$3,1,4),3))+($L175-1)*7+MATCH($M175,Listas!$F$5:$F$11,0)-1)</f>
        <v>46259</v>
      </c>
      <c r="P175" s="47" t="n">
        <f aca="false">IF(OR($F175="",$O175=""),"",$O175+MAX(0,ROUNDUP($AK175*MAX(1,IF($N175="",1,$N175))/MAX(1,$AL175),0)-1))</f>
        <v>46259</v>
      </c>
      <c r="Q175" s="48" t="n">
        <v>46260</v>
      </c>
      <c r="R175" s="43" t="s">
        <v>85</v>
      </c>
      <c r="S175" s="49" t="n">
        <v>34</v>
      </c>
      <c r="T175" s="42" t="s">
        <v>114</v>
      </c>
      <c r="U175" s="42"/>
      <c r="V175" s="39" t="str">
        <f aca="false">IF($F175="","",IF(ISNUMBER(SEARCH("(externo)",$I175&amp;$J175&amp;$K175)),"Terceirizada","Interna"))</f>
        <v>Interna</v>
      </c>
      <c r="W175" s="47" t="n">
        <f aca="false">IF($O175="","",IF($S175="",$O175,(DATE(Semana!$J$3,1,4)-WEEKDAY(DATE(Semana!$J$3,1,4),3))+($S175-1)*7+IF($M175="",0,MATCH($M175,Listas!$F$5:$F$11,0)-1)))</f>
        <v>46252</v>
      </c>
      <c r="X175" s="39" t="n">
        <f aca="false">IF($F175="","",IF(OR($AT175="",$O175=""),0,IF($AT175&lt;=$O175,1,0)))</f>
        <v>0</v>
      </c>
      <c r="Y175" s="39" t="n">
        <f aca="false">IF($F175="","",IF(OR($AT175="",$W175=""),0,IF($AT175&lt;=$W175,1,0)))</f>
        <v>0</v>
      </c>
      <c r="Z175" s="39" t="n">
        <f aca="false">IF(OR($AT175="",$O175=""),"",MAX(0,$AT175-$O175))</f>
        <v>1</v>
      </c>
      <c r="AA175" s="39" t="n">
        <f aca="false">IF($F175="","",IF(AND($S175&lt;&gt;"",$L175&lt;&gt;"",$S175&lt;&gt;$L175),1,0))</f>
        <v>1</v>
      </c>
      <c r="AB175" s="39" t="n">
        <f aca="false">IF($F175="","",IF($R175="Cancelada",0,IF(OR($AT175&lt;&gt;"",$R175="Concluída"),1,0)))</f>
        <v>1</v>
      </c>
      <c r="AC175" s="39" t="n">
        <f aca="false">IF($P175="",0,IF($P175&lt;Hoje!$L$1,1,IF(AND($P175=Hoje!$L$1,Hoje!$L$2&gt;Semana!$M$3),1,0)))</f>
        <v>1</v>
      </c>
      <c r="AD175" s="39" t="n">
        <f aca="false">IF($F175="","",IF(COUNTA($I175:$K175)=0,0,1/COUNTA($I175:$K175)))</f>
        <v>0.5</v>
      </c>
      <c r="AE175" s="39" t="str">
        <f aca="false">IF($AH175=0,"",SUM($AH$4:$AH175))</f>
        <v/>
      </c>
      <c r="AF175" s="39" t="str">
        <f aca="false">IF($AI175=0,"",SUM($AI$4:$AI175))</f>
        <v/>
      </c>
      <c r="AG175" s="50" t="str">
        <f aca="false">IF($F175="","",$I175&amp;IF($J175="",""," · "&amp;$J175)&amp;IF($K175="",""," · "&amp;$K175))</f>
        <v>Alexandre · Heliton</v>
      </c>
      <c r="AH175" s="39" t="n">
        <f aca="false">IF(AND($F175&lt;&gt;"",$O175&lt;&gt;"",$O175&lt;=Hoje!$C$3,$P175&gt;=Hoje!$C$3,$R175&lt;&gt;"Cancelada"),1,0)</f>
        <v>0</v>
      </c>
      <c r="AI175" s="39" t="n">
        <f aca="false">IF(AND($F175&lt;&gt;"",$P175&lt;&gt;"",$P175&lt;Hoje!$C$3,$AB175=0,$R175&lt;&gt;"Cancelada"),1,0)</f>
        <v>0</v>
      </c>
      <c r="AJ175" s="50" t="str">
        <f aca="false">IF($F175="","",$D175&amp;"|"&amp;$E175&amp;"|"&amp;$L175)</f>
        <v>F-966|BAIXA DE PENDENCIAS|35</v>
      </c>
      <c r="AK175" s="39" t="n">
        <f aca="false">IF($AJ175="","",COUNTIF($AJ$4:$AJ175,$AJ175))</f>
        <v>1</v>
      </c>
      <c r="AL175" s="39" t="n">
        <f aca="false">IF($AJ175="","",COUNTIF($AJ$4:$AJ$1004,$AJ175))</f>
        <v>7</v>
      </c>
      <c r="AM175" s="42"/>
      <c r="AN175" s="50" t="str">
        <f aca="false">IF($D175="","",IFERROR(T(VLOOKUP($D175,Listas!$B$5:$H$120,7,0)),""))</f>
        <v/>
      </c>
      <c r="AO175" s="50" t="str">
        <f aca="false">IF(OR($F175="",$L175&lt;&gt;"",$R175="Cancelada",$AT175&lt;&gt;""),"",$AN175&amp;"|"&amp;$D175&amp;"|"&amp;IF($C175="","zzz",$C175)&amp;"|"&amp;TEXT(175,"0000"))</f>
        <v/>
      </c>
      <c r="AP175" s="50" t="str">
        <f aca="false">IF($AO175="","",COUNTIF($AO$5:$AO$1004,"&lt;"&amp;$AO175)-(ROWS($AO$5:$AO$1004)-Hoje!$L$5)+1)</f>
        <v/>
      </c>
      <c r="AQ175" s="50" t="n">
        <f aca="false">IF(AND($F175&lt;&gt;"",$D175=Frota!$C$3),1,0)</f>
        <v>0</v>
      </c>
      <c r="AR175" s="50" t="str">
        <f aca="false">IF($AQ175=0,"",SUM($AQ$4:$AQ175))</f>
        <v/>
      </c>
      <c r="AS175" s="50" t="str">
        <f aca="false">IFERROR(INDEX(Hoje!$K$10:$K$29,MATCH(ROW(),Hoje!$J$10:$J$29,0)),"")</f>
        <v/>
      </c>
      <c r="AT175" s="47" t="n">
        <f aca="false">IF($Q175&lt;&gt;"",$Q175,$AS175)</f>
        <v>46260</v>
      </c>
    </row>
    <row r="176" customFormat="false" ht="16.5" hidden="false" customHeight="true" outlineLevel="0" collapsed="false">
      <c r="A176" s="39" t="n">
        <f aca="false">IF($F176="","",ROW())</f>
        <v>176</v>
      </c>
      <c r="B176" s="40" t="str">
        <f aca="false">IF($F176="",IF($D176="","","Falta a atividade"),IF($R176="Cancelada","Cancelada",IF($AB176=1,IF(N($Z176)&gt;0,"Concluída com atraso","Concluída"),IF($R176="Em programação","Em programação",IF($O176="",IF($M176="","Na carteira","Falta a semana"),IF($AC176=1,"VENCIDA",IF($O176&gt;Hoje!$L$1,"Programada",IF($P176&gt;Hoje!$L$1,"Em execução","Fecha hoje"))))))))</f>
        <v>Concluída com atraso</v>
      </c>
      <c r="C176" s="41"/>
      <c r="D176" s="42" t="s">
        <v>451</v>
      </c>
      <c r="E176" s="42" t="s">
        <v>452</v>
      </c>
      <c r="F176" s="42" t="s">
        <v>454</v>
      </c>
      <c r="G176" s="43" t="s">
        <v>80</v>
      </c>
      <c r="H176" s="43" t="s">
        <v>100</v>
      </c>
      <c r="I176" s="44" t="s">
        <v>182</v>
      </c>
      <c r="J176" s="44" t="s">
        <v>283</v>
      </c>
      <c r="K176" s="44"/>
      <c r="L176" s="45" t="n">
        <v>35</v>
      </c>
      <c r="M176" s="46" t="s">
        <v>131</v>
      </c>
      <c r="N176" s="45" t="n">
        <v>3</v>
      </c>
      <c r="O176" s="47" t="n">
        <f aca="false">IF(OR($L176="",$M176=""),"",(DATE(Semana!$J$3,1,4)-WEEKDAY(DATE(Semana!$J$3,1,4),3))+($L176-1)*7+MATCH($M176,Listas!$F$5:$F$11,0)-1)</f>
        <v>46259</v>
      </c>
      <c r="P176" s="47" t="n">
        <f aca="false">IF(OR($F176="",$O176=""),"",$O176+MAX(0,ROUNDUP($AK176*MAX(1,IF($N176="",1,$N176))/MAX(1,$AL176),0)-1))</f>
        <v>46259</v>
      </c>
      <c r="Q176" s="48" t="n">
        <v>46260</v>
      </c>
      <c r="R176" s="43" t="s">
        <v>85</v>
      </c>
      <c r="S176" s="49" t="n">
        <v>34</v>
      </c>
      <c r="T176" s="42" t="s">
        <v>114</v>
      </c>
      <c r="U176" s="42"/>
      <c r="V176" s="39" t="str">
        <f aca="false">IF($F176="","",IF(ISNUMBER(SEARCH("(externo)",$I176&amp;$J176&amp;$K176)),"Terceirizada","Interna"))</f>
        <v>Interna</v>
      </c>
      <c r="W176" s="47" t="n">
        <f aca="false">IF($O176="","",IF($S176="",$O176,(DATE(Semana!$J$3,1,4)-WEEKDAY(DATE(Semana!$J$3,1,4),3))+($S176-1)*7+IF($M176="",0,MATCH($M176,Listas!$F$5:$F$11,0)-1)))</f>
        <v>46252</v>
      </c>
      <c r="X176" s="39" t="n">
        <f aca="false">IF($F176="","",IF(OR($AT176="",$O176=""),0,IF($AT176&lt;=$O176,1,0)))</f>
        <v>0</v>
      </c>
      <c r="Y176" s="39" t="n">
        <f aca="false">IF($F176="","",IF(OR($AT176="",$W176=""),0,IF($AT176&lt;=$W176,1,0)))</f>
        <v>0</v>
      </c>
      <c r="Z176" s="39" t="n">
        <f aca="false">IF(OR($AT176="",$O176=""),"",MAX(0,$AT176-$O176))</f>
        <v>1</v>
      </c>
      <c r="AA176" s="39" t="n">
        <f aca="false">IF($F176="","",IF(AND($S176&lt;&gt;"",$L176&lt;&gt;"",$S176&lt;&gt;$L176),1,0))</f>
        <v>1</v>
      </c>
      <c r="AB176" s="39" t="n">
        <f aca="false">IF($F176="","",IF($R176="Cancelada",0,IF(OR($AT176&lt;&gt;"",$R176="Concluída"),1,0)))</f>
        <v>1</v>
      </c>
      <c r="AC176" s="39" t="n">
        <f aca="false">IF($P176="",0,IF($P176&lt;Hoje!$L$1,1,IF(AND($P176=Hoje!$L$1,Hoje!$L$2&gt;Semana!$M$3),1,0)))</f>
        <v>1</v>
      </c>
      <c r="AD176" s="39" t="n">
        <f aca="false">IF($F176="","",IF(COUNTA($I176:$K176)=0,0,1/COUNTA($I176:$K176)))</f>
        <v>0.5</v>
      </c>
      <c r="AE176" s="39" t="str">
        <f aca="false">IF($AH176=0,"",SUM($AH$4:$AH176))</f>
        <v/>
      </c>
      <c r="AF176" s="39" t="str">
        <f aca="false">IF($AI176=0,"",SUM($AI$4:$AI176))</f>
        <v/>
      </c>
      <c r="AG176" s="50" t="str">
        <f aca="false">IF($F176="","",$I176&amp;IF($J176="",""," · "&amp;$J176)&amp;IF($K176="",""," · "&amp;$K176))</f>
        <v>Alexandre · Heliton</v>
      </c>
      <c r="AH176" s="39" t="n">
        <f aca="false">IF(AND($F176&lt;&gt;"",$O176&lt;&gt;"",$O176&lt;=Hoje!$C$3,$P176&gt;=Hoje!$C$3,$R176&lt;&gt;"Cancelada"),1,0)</f>
        <v>0</v>
      </c>
      <c r="AI176" s="39" t="n">
        <f aca="false">IF(AND($F176&lt;&gt;"",$P176&lt;&gt;"",$P176&lt;Hoje!$C$3,$AB176=0,$R176&lt;&gt;"Cancelada"),1,0)</f>
        <v>0</v>
      </c>
      <c r="AJ176" s="50" t="str">
        <f aca="false">IF($F176="","",$D176&amp;"|"&amp;$E176&amp;"|"&amp;$L176)</f>
        <v>F-966|BAIXA DE PENDENCIAS|35</v>
      </c>
      <c r="AK176" s="39" t="n">
        <f aca="false">IF($AJ176="","",COUNTIF($AJ$4:$AJ176,$AJ176))</f>
        <v>2</v>
      </c>
      <c r="AL176" s="39" t="n">
        <f aca="false">IF($AJ176="","",COUNTIF($AJ$4:$AJ$1004,$AJ176))</f>
        <v>7</v>
      </c>
      <c r="AM176" s="42"/>
      <c r="AN176" s="50" t="str">
        <f aca="false">IF($D176="","",IFERROR(T(VLOOKUP($D176,Listas!$B$5:$H$120,7,0)),""))</f>
        <v/>
      </c>
      <c r="AO176" s="50" t="str">
        <f aca="false">IF(OR($F176="",$L176&lt;&gt;"",$R176="Cancelada",$AT176&lt;&gt;""),"",$AN176&amp;"|"&amp;$D176&amp;"|"&amp;IF($C176="","zzz",$C176)&amp;"|"&amp;TEXT(176,"0000"))</f>
        <v/>
      </c>
      <c r="AP176" s="50" t="str">
        <f aca="false">IF($AO176="","",COUNTIF($AO$5:$AO$1004,"&lt;"&amp;$AO176)-(ROWS($AO$5:$AO$1004)-Hoje!$L$5)+1)</f>
        <v/>
      </c>
      <c r="AQ176" s="50" t="n">
        <f aca="false">IF(AND($F176&lt;&gt;"",$D176=Frota!$C$3),1,0)</f>
        <v>0</v>
      </c>
      <c r="AR176" s="50" t="str">
        <f aca="false">IF($AQ176=0,"",SUM($AQ$4:$AQ176))</f>
        <v/>
      </c>
      <c r="AS176" s="50" t="str">
        <f aca="false">IFERROR(INDEX(Hoje!$K$10:$K$29,MATCH(ROW(),Hoje!$J$10:$J$29,0)),"")</f>
        <v/>
      </c>
      <c r="AT176" s="47" t="n">
        <f aca="false">IF($Q176&lt;&gt;"",$Q176,$AS176)</f>
        <v>46260</v>
      </c>
    </row>
    <row r="177" customFormat="false" ht="16.5" hidden="false" customHeight="true" outlineLevel="0" collapsed="false">
      <c r="A177" s="39" t="n">
        <f aca="false">IF($F177="","",ROW())</f>
        <v>177</v>
      </c>
      <c r="B177" s="40" t="str">
        <f aca="false">IF($F177="",IF($D177="","","Falta a atividade"),IF($R177="Cancelada","Cancelada",IF($AB177=1,IF(N($Z177)&gt;0,"Concluída com atraso","Concluída"),IF($R177="Em programação","Em programação",IF($O177="",IF($M177="","Na carteira","Falta a semana"),IF($AC177=1,"VENCIDA",IF($O177&gt;Hoje!$L$1,"Programada",IF($P177&gt;Hoje!$L$1,"Em execução","Fecha hoje"))))))))</f>
        <v>Concluída com atraso</v>
      </c>
      <c r="C177" s="41"/>
      <c r="D177" s="42" t="s">
        <v>451</v>
      </c>
      <c r="E177" s="42" t="s">
        <v>452</v>
      </c>
      <c r="F177" s="42" t="s">
        <v>455</v>
      </c>
      <c r="G177" s="43" t="s">
        <v>80</v>
      </c>
      <c r="H177" s="43" t="s">
        <v>100</v>
      </c>
      <c r="I177" s="44" t="s">
        <v>182</v>
      </c>
      <c r="J177" s="44" t="s">
        <v>283</v>
      </c>
      <c r="K177" s="44"/>
      <c r="L177" s="45" t="n">
        <v>35</v>
      </c>
      <c r="M177" s="46" t="s">
        <v>131</v>
      </c>
      <c r="N177" s="45" t="n">
        <v>3</v>
      </c>
      <c r="O177" s="47" t="n">
        <f aca="false">IF(OR($L177="",$M177=""),"",(DATE(Semana!$J$3,1,4)-WEEKDAY(DATE(Semana!$J$3,1,4),3))+($L177-1)*7+MATCH($M177,Listas!$F$5:$F$11,0)-1)</f>
        <v>46259</v>
      </c>
      <c r="P177" s="47" t="n">
        <f aca="false">IF(OR($F177="",$O177=""),"",$O177+MAX(0,ROUNDUP($AK177*MAX(1,IF($N177="",1,$N177))/MAX(1,$AL177),0)-1))</f>
        <v>46260</v>
      </c>
      <c r="Q177" s="48" t="n">
        <v>46260</v>
      </c>
      <c r="R177" s="43" t="s">
        <v>85</v>
      </c>
      <c r="S177" s="49" t="n">
        <v>34</v>
      </c>
      <c r="T177" s="42" t="s">
        <v>114</v>
      </c>
      <c r="U177" s="42"/>
      <c r="V177" s="39" t="str">
        <f aca="false">IF($F177="","",IF(ISNUMBER(SEARCH("(externo)",$I177&amp;$J177&amp;$K177)),"Terceirizada","Interna"))</f>
        <v>Interna</v>
      </c>
      <c r="W177" s="47" t="n">
        <f aca="false">IF($O177="","",IF($S177="",$O177,(DATE(Semana!$J$3,1,4)-WEEKDAY(DATE(Semana!$J$3,1,4),3))+($S177-1)*7+IF($M177="",0,MATCH($M177,Listas!$F$5:$F$11,0)-1)))</f>
        <v>46252</v>
      </c>
      <c r="X177" s="39" t="n">
        <f aca="false">IF($F177="","",IF(OR($AT177="",$O177=""),0,IF($AT177&lt;=$O177,1,0)))</f>
        <v>0</v>
      </c>
      <c r="Y177" s="39" t="n">
        <f aca="false">IF($F177="","",IF(OR($AT177="",$W177=""),0,IF($AT177&lt;=$W177,1,0)))</f>
        <v>0</v>
      </c>
      <c r="Z177" s="39" t="n">
        <f aca="false">IF(OR($AT177="",$O177=""),"",MAX(0,$AT177-$O177))</f>
        <v>1</v>
      </c>
      <c r="AA177" s="39" t="n">
        <f aca="false">IF($F177="","",IF(AND($S177&lt;&gt;"",$L177&lt;&gt;"",$S177&lt;&gt;$L177),1,0))</f>
        <v>1</v>
      </c>
      <c r="AB177" s="39" t="n">
        <f aca="false">IF($F177="","",IF($R177="Cancelada",0,IF(OR($AT177&lt;&gt;"",$R177="Concluída"),1,0)))</f>
        <v>1</v>
      </c>
      <c r="AC177" s="39" t="n">
        <f aca="false">IF($P177="",0,IF($P177&lt;Hoje!$L$1,1,IF(AND($P177=Hoje!$L$1,Hoje!$L$2&gt;Semana!$M$3),1,0)))</f>
        <v>1</v>
      </c>
      <c r="AD177" s="39" t="n">
        <f aca="false">IF($F177="","",IF(COUNTA($I177:$K177)=0,0,1/COUNTA($I177:$K177)))</f>
        <v>0.5</v>
      </c>
      <c r="AE177" s="39" t="str">
        <f aca="false">IF($AH177=0,"",SUM($AH$4:$AH177))</f>
        <v/>
      </c>
      <c r="AF177" s="39" t="str">
        <f aca="false">IF($AI177=0,"",SUM($AI$4:$AI177))</f>
        <v/>
      </c>
      <c r="AG177" s="50" t="str">
        <f aca="false">IF($F177="","",$I177&amp;IF($J177="",""," · "&amp;$J177)&amp;IF($K177="",""," · "&amp;$K177))</f>
        <v>Alexandre · Heliton</v>
      </c>
      <c r="AH177" s="39" t="n">
        <f aca="false">IF(AND($F177&lt;&gt;"",$O177&lt;&gt;"",$O177&lt;=Hoje!$C$3,$P177&gt;=Hoje!$C$3,$R177&lt;&gt;"Cancelada"),1,0)</f>
        <v>0</v>
      </c>
      <c r="AI177" s="39" t="n">
        <f aca="false">IF(AND($F177&lt;&gt;"",$P177&lt;&gt;"",$P177&lt;Hoje!$C$3,$AB177=0,$R177&lt;&gt;"Cancelada"),1,0)</f>
        <v>0</v>
      </c>
      <c r="AJ177" s="50" t="str">
        <f aca="false">IF($F177="","",$D177&amp;"|"&amp;$E177&amp;"|"&amp;$L177)</f>
        <v>F-966|BAIXA DE PENDENCIAS|35</v>
      </c>
      <c r="AK177" s="39" t="n">
        <f aca="false">IF($AJ177="","",COUNTIF($AJ$4:$AJ177,$AJ177))</f>
        <v>3</v>
      </c>
      <c r="AL177" s="39" t="n">
        <f aca="false">IF($AJ177="","",COUNTIF($AJ$4:$AJ$1004,$AJ177))</f>
        <v>7</v>
      </c>
      <c r="AM177" s="42"/>
      <c r="AN177" s="50" t="str">
        <f aca="false">IF($D177="","",IFERROR(T(VLOOKUP($D177,Listas!$B$5:$H$120,7,0)),""))</f>
        <v/>
      </c>
      <c r="AO177" s="50" t="str">
        <f aca="false">IF(OR($F177="",$L177&lt;&gt;"",$R177="Cancelada",$AT177&lt;&gt;""),"",$AN177&amp;"|"&amp;$D177&amp;"|"&amp;IF($C177="","zzz",$C177)&amp;"|"&amp;TEXT(177,"0000"))</f>
        <v/>
      </c>
      <c r="AP177" s="50" t="str">
        <f aca="false">IF($AO177="","",COUNTIF($AO$5:$AO$1004,"&lt;"&amp;$AO177)-(ROWS($AO$5:$AO$1004)-Hoje!$L$5)+1)</f>
        <v/>
      </c>
      <c r="AQ177" s="50" t="n">
        <f aca="false">IF(AND($F177&lt;&gt;"",$D177=Frota!$C$3),1,0)</f>
        <v>0</v>
      </c>
      <c r="AR177" s="50" t="str">
        <f aca="false">IF($AQ177=0,"",SUM($AQ$4:$AQ177))</f>
        <v/>
      </c>
      <c r="AS177" s="50" t="str">
        <f aca="false">IFERROR(INDEX(Hoje!$K$10:$K$29,MATCH(ROW(),Hoje!$J$10:$J$29,0)),"")</f>
        <v/>
      </c>
      <c r="AT177" s="47" t="n">
        <f aca="false">IF($Q177&lt;&gt;"",$Q177,$AS177)</f>
        <v>46260</v>
      </c>
    </row>
    <row r="178" customFormat="false" ht="16.5" hidden="false" customHeight="true" outlineLevel="0" collapsed="false">
      <c r="A178" s="39" t="n">
        <f aca="false">IF($F178="","",ROW())</f>
        <v>178</v>
      </c>
      <c r="B178" s="40" t="str">
        <f aca="false">IF($F178="",IF($D178="","","Falta a atividade"),IF($R178="Cancelada","Cancelada",IF($AB178=1,IF(N($Z178)&gt;0,"Concluída com atraso","Concluída"),IF($R178="Em programação","Em programação",IF($O178="",IF($M178="","Na carteira","Falta a semana"),IF($AC178=1,"VENCIDA",IF($O178&gt;Hoje!$L$1,"Programada",IF($P178&gt;Hoje!$L$1,"Em execução","Fecha hoje"))))))))</f>
        <v>Concluída com atraso</v>
      </c>
      <c r="C178" s="41"/>
      <c r="D178" s="42" t="s">
        <v>451</v>
      </c>
      <c r="E178" s="42" t="s">
        <v>452</v>
      </c>
      <c r="F178" s="42" t="s">
        <v>456</v>
      </c>
      <c r="G178" s="43" t="s">
        <v>80</v>
      </c>
      <c r="H178" s="43" t="s">
        <v>100</v>
      </c>
      <c r="I178" s="44" t="s">
        <v>182</v>
      </c>
      <c r="J178" s="44" t="s">
        <v>283</v>
      </c>
      <c r="K178" s="44"/>
      <c r="L178" s="45" t="n">
        <v>35</v>
      </c>
      <c r="M178" s="46" t="s">
        <v>131</v>
      </c>
      <c r="N178" s="45" t="n">
        <v>3</v>
      </c>
      <c r="O178" s="47" t="n">
        <f aca="false">IF(OR($L178="",$M178=""),"",(DATE(Semana!$J$3,1,4)-WEEKDAY(DATE(Semana!$J$3,1,4),3))+($L178-1)*7+MATCH($M178,Listas!$F$5:$F$11,0)-1)</f>
        <v>46259</v>
      </c>
      <c r="P178" s="47" t="n">
        <f aca="false">IF(OR($F178="",$O178=""),"",$O178+MAX(0,ROUNDUP($AK178*MAX(1,IF($N178="",1,$N178))/MAX(1,$AL178),0)-1))</f>
        <v>46260</v>
      </c>
      <c r="Q178" s="48" t="n">
        <v>46260</v>
      </c>
      <c r="R178" s="43" t="s">
        <v>85</v>
      </c>
      <c r="S178" s="49" t="n">
        <v>34</v>
      </c>
      <c r="T178" s="42" t="s">
        <v>114</v>
      </c>
      <c r="U178" s="42"/>
      <c r="V178" s="39" t="str">
        <f aca="false">IF($F178="","",IF(ISNUMBER(SEARCH("(externo)",$I178&amp;$J178&amp;$K178)),"Terceirizada","Interna"))</f>
        <v>Interna</v>
      </c>
      <c r="W178" s="47" t="n">
        <f aca="false">IF($O178="","",IF($S178="",$O178,(DATE(Semana!$J$3,1,4)-WEEKDAY(DATE(Semana!$J$3,1,4),3))+($S178-1)*7+IF($M178="",0,MATCH($M178,Listas!$F$5:$F$11,0)-1)))</f>
        <v>46252</v>
      </c>
      <c r="X178" s="39" t="n">
        <f aca="false">IF($F178="","",IF(OR($AT178="",$O178=""),0,IF($AT178&lt;=$O178,1,0)))</f>
        <v>0</v>
      </c>
      <c r="Y178" s="39" t="n">
        <f aca="false">IF($F178="","",IF(OR($AT178="",$W178=""),0,IF($AT178&lt;=$W178,1,0)))</f>
        <v>0</v>
      </c>
      <c r="Z178" s="39" t="n">
        <f aca="false">IF(OR($AT178="",$O178=""),"",MAX(0,$AT178-$O178))</f>
        <v>1</v>
      </c>
      <c r="AA178" s="39" t="n">
        <f aca="false">IF($F178="","",IF(AND($S178&lt;&gt;"",$L178&lt;&gt;"",$S178&lt;&gt;$L178),1,0))</f>
        <v>1</v>
      </c>
      <c r="AB178" s="39" t="n">
        <f aca="false">IF($F178="","",IF($R178="Cancelada",0,IF(OR($AT178&lt;&gt;"",$R178="Concluída"),1,0)))</f>
        <v>1</v>
      </c>
      <c r="AC178" s="39" t="n">
        <f aca="false">IF($P178="",0,IF($P178&lt;Hoje!$L$1,1,IF(AND($P178=Hoje!$L$1,Hoje!$L$2&gt;Semana!$M$3),1,0)))</f>
        <v>1</v>
      </c>
      <c r="AD178" s="39" t="n">
        <f aca="false">IF($F178="","",IF(COUNTA($I178:$K178)=0,0,1/COUNTA($I178:$K178)))</f>
        <v>0.5</v>
      </c>
      <c r="AE178" s="39" t="str">
        <f aca="false">IF($AH178=0,"",SUM($AH$4:$AH178))</f>
        <v/>
      </c>
      <c r="AF178" s="39" t="str">
        <f aca="false">IF($AI178=0,"",SUM($AI$4:$AI178))</f>
        <v/>
      </c>
      <c r="AG178" s="50" t="str">
        <f aca="false">IF($F178="","",$I178&amp;IF($J178="",""," · "&amp;$J178)&amp;IF($K178="",""," · "&amp;$K178))</f>
        <v>Alexandre · Heliton</v>
      </c>
      <c r="AH178" s="39" t="n">
        <f aca="false">IF(AND($F178&lt;&gt;"",$O178&lt;&gt;"",$O178&lt;=Hoje!$C$3,$P178&gt;=Hoje!$C$3,$R178&lt;&gt;"Cancelada"),1,0)</f>
        <v>0</v>
      </c>
      <c r="AI178" s="39" t="n">
        <f aca="false">IF(AND($F178&lt;&gt;"",$P178&lt;&gt;"",$P178&lt;Hoje!$C$3,$AB178=0,$R178&lt;&gt;"Cancelada"),1,0)</f>
        <v>0</v>
      </c>
      <c r="AJ178" s="50" t="str">
        <f aca="false">IF($F178="","",$D178&amp;"|"&amp;$E178&amp;"|"&amp;$L178)</f>
        <v>F-966|BAIXA DE PENDENCIAS|35</v>
      </c>
      <c r="AK178" s="39" t="n">
        <f aca="false">IF($AJ178="","",COUNTIF($AJ$4:$AJ178,$AJ178))</f>
        <v>4</v>
      </c>
      <c r="AL178" s="39" t="n">
        <f aca="false">IF($AJ178="","",COUNTIF($AJ$4:$AJ$1004,$AJ178))</f>
        <v>7</v>
      </c>
      <c r="AM178" s="42"/>
      <c r="AN178" s="50" t="str">
        <f aca="false">IF($D178="","",IFERROR(T(VLOOKUP($D178,Listas!$B$5:$H$120,7,0)),""))</f>
        <v/>
      </c>
      <c r="AO178" s="50" t="str">
        <f aca="false">IF(OR($F178="",$L178&lt;&gt;"",$R178="Cancelada",$AT178&lt;&gt;""),"",$AN178&amp;"|"&amp;$D178&amp;"|"&amp;IF($C178="","zzz",$C178)&amp;"|"&amp;TEXT(178,"0000"))</f>
        <v/>
      </c>
      <c r="AP178" s="50" t="str">
        <f aca="false">IF($AO178="","",COUNTIF($AO$5:$AO$1004,"&lt;"&amp;$AO178)-(ROWS($AO$5:$AO$1004)-Hoje!$L$5)+1)</f>
        <v/>
      </c>
      <c r="AQ178" s="50" t="n">
        <f aca="false">IF(AND($F178&lt;&gt;"",$D178=Frota!$C$3),1,0)</f>
        <v>0</v>
      </c>
      <c r="AR178" s="50" t="str">
        <f aca="false">IF($AQ178=0,"",SUM($AQ$4:$AQ178))</f>
        <v/>
      </c>
      <c r="AS178" s="50" t="str">
        <f aca="false">IFERROR(INDEX(Hoje!$K$10:$K$29,MATCH(ROW(),Hoje!$J$10:$J$29,0)),"")</f>
        <v/>
      </c>
      <c r="AT178" s="47" t="n">
        <f aca="false">IF($Q178&lt;&gt;"",$Q178,$AS178)</f>
        <v>46260</v>
      </c>
    </row>
    <row r="179" customFormat="false" ht="16.5" hidden="false" customHeight="true" outlineLevel="0" collapsed="false">
      <c r="A179" s="39" t="n">
        <f aca="false">IF($F179="","",ROW())</f>
        <v>179</v>
      </c>
      <c r="B179" s="40" t="str">
        <f aca="false">IF($F179="",IF($D179="","","Falta a atividade"),IF($R179="Cancelada","Cancelada",IF($AB179=1,IF(N($Z179)&gt;0,"Concluída com atraso","Concluída"),IF($R179="Em programação","Em programação",IF($O179="",IF($M179="","Na carteira","Falta a semana"),IF($AC179=1,"VENCIDA",IF($O179&gt;Hoje!$L$1,"Programada",IF($P179&gt;Hoje!$L$1,"Em execução","Fecha hoje"))))))))</f>
        <v>Concluída com atraso</v>
      </c>
      <c r="C179" s="41"/>
      <c r="D179" s="42" t="s">
        <v>451</v>
      </c>
      <c r="E179" s="42" t="s">
        <v>452</v>
      </c>
      <c r="F179" s="42" t="s">
        <v>457</v>
      </c>
      <c r="G179" s="43" t="s">
        <v>80</v>
      </c>
      <c r="H179" s="43" t="s">
        <v>100</v>
      </c>
      <c r="I179" s="44" t="s">
        <v>182</v>
      </c>
      <c r="J179" s="44" t="s">
        <v>283</v>
      </c>
      <c r="K179" s="44"/>
      <c r="L179" s="45" t="n">
        <v>35</v>
      </c>
      <c r="M179" s="46" t="s">
        <v>131</v>
      </c>
      <c r="N179" s="45" t="n">
        <v>3</v>
      </c>
      <c r="O179" s="47" t="n">
        <f aca="false">IF(OR($L179="",$M179=""),"",(DATE(Semana!$J$3,1,4)-WEEKDAY(DATE(Semana!$J$3,1,4),3))+($L179-1)*7+MATCH($M179,Listas!$F$5:$F$11,0)-1)</f>
        <v>46259</v>
      </c>
      <c r="P179" s="47" t="n">
        <f aca="false">IF(OR($F179="",$O179=""),"",$O179+MAX(0,ROUNDUP($AK179*MAX(1,IF($N179="",1,$N179))/MAX(1,$AL179),0)-1))</f>
        <v>46261</v>
      </c>
      <c r="Q179" s="48" t="n">
        <v>46260</v>
      </c>
      <c r="R179" s="43" t="s">
        <v>85</v>
      </c>
      <c r="S179" s="49" t="n">
        <v>34</v>
      </c>
      <c r="T179" s="42" t="s">
        <v>114</v>
      </c>
      <c r="U179" s="42"/>
      <c r="V179" s="39" t="str">
        <f aca="false">IF($F179="","",IF(ISNUMBER(SEARCH("(externo)",$I179&amp;$J179&amp;$K179)),"Terceirizada","Interna"))</f>
        <v>Interna</v>
      </c>
      <c r="W179" s="47" t="n">
        <f aca="false">IF($O179="","",IF($S179="",$O179,(DATE(Semana!$J$3,1,4)-WEEKDAY(DATE(Semana!$J$3,1,4),3))+($S179-1)*7+IF($M179="",0,MATCH($M179,Listas!$F$5:$F$11,0)-1)))</f>
        <v>46252</v>
      </c>
      <c r="X179" s="39" t="n">
        <f aca="false">IF($F179="","",IF(OR($AT179="",$O179=""),0,IF($AT179&lt;=$O179,1,0)))</f>
        <v>0</v>
      </c>
      <c r="Y179" s="39" t="n">
        <f aca="false">IF($F179="","",IF(OR($AT179="",$W179=""),0,IF($AT179&lt;=$W179,1,0)))</f>
        <v>0</v>
      </c>
      <c r="Z179" s="39" t="n">
        <f aca="false">IF(OR($AT179="",$O179=""),"",MAX(0,$AT179-$O179))</f>
        <v>1</v>
      </c>
      <c r="AA179" s="39" t="n">
        <f aca="false">IF($F179="","",IF(AND($S179&lt;&gt;"",$L179&lt;&gt;"",$S179&lt;&gt;$L179),1,0))</f>
        <v>1</v>
      </c>
      <c r="AB179" s="39" t="n">
        <f aca="false">IF($F179="","",IF($R179="Cancelada",0,IF(OR($AT179&lt;&gt;"",$R179="Concluída"),1,0)))</f>
        <v>1</v>
      </c>
      <c r="AC179" s="39" t="n">
        <f aca="false">IF($P179="",0,IF($P179&lt;Hoje!$L$1,1,IF(AND($P179=Hoje!$L$1,Hoje!$L$2&gt;Semana!$M$3),1,0)))</f>
        <v>1</v>
      </c>
      <c r="AD179" s="39" t="n">
        <f aca="false">IF($F179="","",IF(COUNTA($I179:$K179)=0,0,1/COUNTA($I179:$K179)))</f>
        <v>0.5</v>
      </c>
      <c r="AE179" s="39" t="str">
        <f aca="false">IF($AH179=0,"",SUM($AH$4:$AH179))</f>
        <v/>
      </c>
      <c r="AF179" s="39" t="str">
        <f aca="false">IF($AI179=0,"",SUM($AI$4:$AI179))</f>
        <v/>
      </c>
      <c r="AG179" s="50" t="str">
        <f aca="false">IF($F179="","",$I179&amp;IF($J179="",""," · "&amp;$J179)&amp;IF($K179="",""," · "&amp;$K179))</f>
        <v>Alexandre · Heliton</v>
      </c>
      <c r="AH179" s="39" t="n">
        <f aca="false">IF(AND($F179&lt;&gt;"",$O179&lt;&gt;"",$O179&lt;=Hoje!$C$3,$P179&gt;=Hoje!$C$3,$R179&lt;&gt;"Cancelada"),1,0)</f>
        <v>0</v>
      </c>
      <c r="AI179" s="39" t="n">
        <f aca="false">IF(AND($F179&lt;&gt;"",$P179&lt;&gt;"",$P179&lt;Hoje!$C$3,$AB179=0,$R179&lt;&gt;"Cancelada"),1,0)</f>
        <v>0</v>
      </c>
      <c r="AJ179" s="50" t="str">
        <f aca="false">IF($F179="","",$D179&amp;"|"&amp;$E179&amp;"|"&amp;$L179)</f>
        <v>F-966|BAIXA DE PENDENCIAS|35</v>
      </c>
      <c r="AK179" s="39" t="n">
        <f aca="false">IF($AJ179="","",COUNTIF($AJ$4:$AJ179,$AJ179))</f>
        <v>5</v>
      </c>
      <c r="AL179" s="39" t="n">
        <f aca="false">IF($AJ179="","",COUNTIF($AJ$4:$AJ$1004,$AJ179))</f>
        <v>7</v>
      </c>
      <c r="AM179" s="42"/>
      <c r="AN179" s="50" t="str">
        <f aca="false">IF($D179="","",IFERROR(T(VLOOKUP($D179,Listas!$B$5:$H$120,7,0)),""))</f>
        <v/>
      </c>
      <c r="AO179" s="50" t="str">
        <f aca="false">IF(OR($F179="",$L179&lt;&gt;"",$R179="Cancelada",$AT179&lt;&gt;""),"",$AN179&amp;"|"&amp;$D179&amp;"|"&amp;IF($C179="","zzz",$C179)&amp;"|"&amp;TEXT(179,"0000"))</f>
        <v/>
      </c>
      <c r="AP179" s="50" t="str">
        <f aca="false">IF($AO179="","",COUNTIF($AO$5:$AO$1004,"&lt;"&amp;$AO179)-(ROWS($AO$5:$AO$1004)-Hoje!$L$5)+1)</f>
        <v/>
      </c>
      <c r="AQ179" s="50" t="n">
        <f aca="false">IF(AND($F179&lt;&gt;"",$D179=Frota!$C$3),1,0)</f>
        <v>0</v>
      </c>
      <c r="AR179" s="50" t="str">
        <f aca="false">IF($AQ179=0,"",SUM($AQ$4:$AQ179))</f>
        <v/>
      </c>
      <c r="AS179" s="50" t="str">
        <f aca="false">IFERROR(INDEX(Hoje!$K$10:$K$29,MATCH(ROW(),Hoje!$J$10:$J$29,0)),"")</f>
        <v/>
      </c>
      <c r="AT179" s="47" t="n">
        <f aca="false">IF($Q179&lt;&gt;"",$Q179,$AS179)</f>
        <v>46260</v>
      </c>
    </row>
    <row r="180" customFormat="false" ht="16.5" hidden="false" customHeight="true" outlineLevel="0" collapsed="false">
      <c r="A180" s="39" t="n">
        <f aca="false">IF($F180="","",ROW())</f>
        <v>180</v>
      </c>
      <c r="B180" s="40" t="str">
        <f aca="false">IF($F180="",IF($D180="","","Falta a atividade"),IF($R180="Cancelada","Cancelada",IF($AB180=1,IF(N($Z180)&gt;0,"Concluída com atraso","Concluída"),IF($R180="Em programação","Em programação",IF($O180="",IF($M180="","Na carteira","Falta a semana"),IF($AC180=1,"VENCIDA",IF($O180&gt;Hoje!$L$1,"Programada",IF($P180&gt;Hoje!$L$1,"Em execução","Fecha hoje"))))))))</f>
        <v>Concluída com atraso</v>
      </c>
      <c r="C180" s="41"/>
      <c r="D180" s="42" t="s">
        <v>451</v>
      </c>
      <c r="E180" s="42" t="s">
        <v>452</v>
      </c>
      <c r="F180" s="42" t="s">
        <v>458</v>
      </c>
      <c r="G180" s="43" t="s">
        <v>80</v>
      </c>
      <c r="H180" s="43" t="s">
        <v>100</v>
      </c>
      <c r="I180" s="44" t="s">
        <v>182</v>
      </c>
      <c r="J180" s="44" t="s">
        <v>283</v>
      </c>
      <c r="K180" s="44"/>
      <c r="L180" s="45" t="n">
        <v>35</v>
      </c>
      <c r="M180" s="46" t="s">
        <v>131</v>
      </c>
      <c r="N180" s="45" t="n">
        <v>3</v>
      </c>
      <c r="O180" s="47" t="n">
        <f aca="false">IF(OR($L180="",$M180=""),"",(DATE(Semana!$J$3,1,4)-WEEKDAY(DATE(Semana!$J$3,1,4),3))+($L180-1)*7+MATCH($M180,Listas!$F$5:$F$11,0)-1)</f>
        <v>46259</v>
      </c>
      <c r="P180" s="47" t="n">
        <f aca="false">IF(OR($F180="",$O180=""),"",$O180+MAX(0,ROUNDUP($AK180*MAX(1,IF($N180="",1,$N180))/MAX(1,$AL180),0)-1))</f>
        <v>46261</v>
      </c>
      <c r="Q180" s="48" t="n">
        <v>46260</v>
      </c>
      <c r="R180" s="43" t="s">
        <v>85</v>
      </c>
      <c r="S180" s="49" t="n">
        <v>34</v>
      </c>
      <c r="T180" s="42" t="s">
        <v>114</v>
      </c>
      <c r="U180" s="42"/>
      <c r="V180" s="39" t="str">
        <f aca="false">IF($F180="","",IF(ISNUMBER(SEARCH("(externo)",$I180&amp;$J180&amp;$K180)),"Terceirizada","Interna"))</f>
        <v>Interna</v>
      </c>
      <c r="W180" s="47" t="n">
        <f aca="false">IF($O180="","",IF($S180="",$O180,(DATE(Semana!$J$3,1,4)-WEEKDAY(DATE(Semana!$J$3,1,4),3))+($S180-1)*7+IF($M180="",0,MATCH($M180,Listas!$F$5:$F$11,0)-1)))</f>
        <v>46252</v>
      </c>
      <c r="X180" s="39" t="n">
        <f aca="false">IF($F180="","",IF(OR($AT180="",$O180=""),0,IF($AT180&lt;=$O180,1,0)))</f>
        <v>0</v>
      </c>
      <c r="Y180" s="39" t="n">
        <f aca="false">IF($F180="","",IF(OR($AT180="",$W180=""),0,IF($AT180&lt;=$W180,1,0)))</f>
        <v>0</v>
      </c>
      <c r="Z180" s="39" t="n">
        <f aca="false">IF(OR($AT180="",$O180=""),"",MAX(0,$AT180-$O180))</f>
        <v>1</v>
      </c>
      <c r="AA180" s="39" t="n">
        <f aca="false">IF($F180="","",IF(AND($S180&lt;&gt;"",$L180&lt;&gt;"",$S180&lt;&gt;$L180),1,0))</f>
        <v>1</v>
      </c>
      <c r="AB180" s="39" t="n">
        <f aca="false">IF($F180="","",IF($R180="Cancelada",0,IF(OR($AT180&lt;&gt;"",$R180="Concluída"),1,0)))</f>
        <v>1</v>
      </c>
      <c r="AC180" s="39" t="n">
        <f aca="false">IF($P180="",0,IF($P180&lt;Hoje!$L$1,1,IF(AND($P180=Hoje!$L$1,Hoje!$L$2&gt;Semana!$M$3),1,0)))</f>
        <v>1</v>
      </c>
      <c r="AD180" s="39" t="n">
        <f aca="false">IF($F180="","",IF(COUNTA($I180:$K180)=0,0,1/COUNTA($I180:$K180)))</f>
        <v>0.5</v>
      </c>
      <c r="AE180" s="39" t="str">
        <f aca="false">IF($AH180=0,"",SUM($AH$4:$AH180))</f>
        <v/>
      </c>
      <c r="AF180" s="39" t="str">
        <f aca="false">IF($AI180=0,"",SUM($AI$4:$AI180))</f>
        <v/>
      </c>
      <c r="AG180" s="50" t="str">
        <f aca="false">IF($F180="","",$I180&amp;IF($J180="",""," · "&amp;$J180)&amp;IF($K180="",""," · "&amp;$K180))</f>
        <v>Alexandre · Heliton</v>
      </c>
      <c r="AH180" s="39" t="n">
        <f aca="false">IF(AND($F180&lt;&gt;"",$O180&lt;&gt;"",$O180&lt;=Hoje!$C$3,$P180&gt;=Hoje!$C$3,$R180&lt;&gt;"Cancelada"),1,0)</f>
        <v>0</v>
      </c>
      <c r="AI180" s="39" t="n">
        <f aca="false">IF(AND($F180&lt;&gt;"",$P180&lt;&gt;"",$P180&lt;Hoje!$C$3,$AB180=0,$R180&lt;&gt;"Cancelada"),1,0)</f>
        <v>0</v>
      </c>
      <c r="AJ180" s="50" t="str">
        <f aca="false">IF($F180="","",$D180&amp;"|"&amp;$E180&amp;"|"&amp;$L180)</f>
        <v>F-966|BAIXA DE PENDENCIAS|35</v>
      </c>
      <c r="AK180" s="39" t="n">
        <f aca="false">IF($AJ180="","",COUNTIF($AJ$4:$AJ180,$AJ180))</f>
        <v>6</v>
      </c>
      <c r="AL180" s="39" t="n">
        <f aca="false">IF($AJ180="","",COUNTIF($AJ$4:$AJ$1004,$AJ180))</f>
        <v>7</v>
      </c>
      <c r="AM180" s="42"/>
      <c r="AN180" s="50" t="str">
        <f aca="false">IF($D180="","",IFERROR(T(VLOOKUP($D180,Listas!$B$5:$H$120,7,0)),""))</f>
        <v/>
      </c>
      <c r="AO180" s="50" t="str">
        <f aca="false">IF(OR($F180="",$L180&lt;&gt;"",$R180="Cancelada",$AT180&lt;&gt;""),"",$AN180&amp;"|"&amp;$D180&amp;"|"&amp;IF($C180="","zzz",$C180)&amp;"|"&amp;TEXT(180,"0000"))</f>
        <v/>
      </c>
      <c r="AP180" s="50" t="str">
        <f aca="false">IF($AO180="","",COUNTIF($AO$5:$AO$1004,"&lt;"&amp;$AO180)-(ROWS($AO$5:$AO$1004)-Hoje!$L$5)+1)</f>
        <v/>
      </c>
      <c r="AQ180" s="50" t="n">
        <f aca="false">IF(AND($F180&lt;&gt;"",$D180=Frota!$C$3),1,0)</f>
        <v>0</v>
      </c>
      <c r="AR180" s="50" t="str">
        <f aca="false">IF($AQ180=0,"",SUM($AQ$4:$AQ180))</f>
        <v/>
      </c>
      <c r="AS180" s="50" t="str">
        <f aca="false">IFERROR(INDEX(Hoje!$K$10:$K$29,MATCH(ROW(),Hoje!$J$10:$J$29,0)),"")</f>
        <v/>
      </c>
      <c r="AT180" s="47" t="n">
        <f aca="false">IF($Q180&lt;&gt;"",$Q180,$AS180)</f>
        <v>46260</v>
      </c>
    </row>
    <row r="181" customFormat="false" ht="16.5" hidden="false" customHeight="true" outlineLevel="0" collapsed="false">
      <c r="A181" s="39" t="n">
        <f aca="false">IF($F181="","",ROW())</f>
        <v>181</v>
      </c>
      <c r="B181" s="40" t="str">
        <f aca="false">IF($F181="",IF($D181="","","Falta a atividade"),IF($R181="Cancelada","Cancelada",IF($AB181=1,IF(N($Z181)&gt;0,"Concluída com atraso","Concluída"),IF($R181="Em programação","Em programação",IF($O181="",IF($M181="","Na carteira","Falta a semana"),IF($AC181=1,"VENCIDA",IF($O181&gt;Hoje!$L$1,"Programada",IF($P181&gt;Hoje!$L$1,"Em execução","Fecha hoje"))))))))</f>
        <v>Concluída com atraso</v>
      </c>
      <c r="C181" s="41"/>
      <c r="D181" s="42" t="s">
        <v>451</v>
      </c>
      <c r="E181" s="42" t="s">
        <v>452</v>
      </c>
      <c r="F181" s="42" t="s">
        <v>459</v>
      </c>
      <c r="G181" s="43" t="s">
        <v>80</v>
      </c>
      <c r="H181" s="43" t="s">
        <v>100</v>
      </c>
      <c r="I181" s="44" t="s">
        <v>182</v>
      </c>
      <c r="J181" s="44" t="s">
        <v>283</v>
      </c>
      <c r="K181" s="44"/>
      <c r="L181" s="45" t="n">
        <v>35</v>
      </c>
      <c r="M181" s="46" t="s">
        <v>131</v>
      </c>
      <c r="N181" s="45" t="n">
        <v>3</v>
      </c>
      <c r="O181" s="47" t="n">
        <f aca="false">IF(OR($L181="",$M181=""),"",(DATE(Semana!$J$3,1,4)-WEEKDAY(DATE(Semana!$J$3,1,4),3))+($L181-1)*7+MATCH($M181,Listas!$F$5:$F$11,0)-1)</f>
        <v>46259</v>
      </c>
      <c r="P181" s="47" t="n">
        <f aca="false">IF(OR($F181="",$O181=""),"",$O181+MAX(0,ROUNDUP($AK181*MAX(1,IF($N181="",1,$N181))/MAX(1,$AL181),0)-1))</f>
        <v>46261</v>
      </c>
      <c r="Q181" s="48" t="n">
        <v>46260</v>
      </c>
      <c r="R181" s="43" t="s">
        <v>85</v>
      </c>
      <c r="S181" s="49" t="n">
        <v>34</v>
      </c>
      <c r="T181" s="42" t="s">
        <v>114</v>
      </c>
      <c r="U181" s="42"/>
      <c r="V181" s="39" t="str">
        <f aca="false">IF($F181="","",IF(ISNUMBER(SEARCH("(externo)",$I181&amp;$J181&amp;$K181)),"Terceirizada","Interna"))</f>
        <v>Interna</v>
      </c>
      <c r="W181" s="47" t="n">
        <f aca="false">IF($O181="","",IF($S181="",$O181,(DATE(Semana!$J$3,1,4)-WEEKDAY(DATE(Semana!$J$3,1,4),3))+($S181-1)*7+IF($M181="",0,MATCH($M181,Listas!$F$5:$F$11,0)-1)))</f>
        <v>46252</v>
      </c>
      <c r="X181" s="39" t="n">
        <f aca="false">IF($F181="","",IF(OR($AT181="",$O181=""),0,IF($AT181&lt;=$O181,1,0)))</f>
        <v>0</v>
      </c>
      <c r="Y181" s="39" t="n">
        <f aca="false">IF($F181="","",IF(OR($AT181="",$W181=""),0,IF($AT181&lt;=$W181,1,0)))</f>
        <v>0</v>
      </c>
      <c r="Z181" s="39" t="n">
        <f aca="false">IF(OR($AT181="",$O181=""),"",MAX(0,$AT181-$O181))</f>
        <v>1</v>
      </c>
      <c r="AA181" s="39" t="n">
        <f aca="false">IF($F181="","",IF(AND($S181&lt;&gt;"",$L181&lt;&gt;"",$S181&lt;&gt;$L181),1,0))</f>
        <v>1</v>
      </c>
      <c r="AB181" s="39" t="n">
        <f aca="false">IF($F181="","",IF($R181="Cancelada",0,IF(OR($AT181&lt;&gt;"",$R181="Concluída"),1,0)))</f>
        <v>1</v>
      </c>
      <c r="AC181" s="39" t="n">
        <f aca="false">IF($P181="",0,IF($P181&lt;Hoje!$L$1,1,IF(AND($P181=Hoje!$L$1,Hoje!$L$2&gt;Semana!$M$3),1,0)))</f>
        <v>1</v>
      </c>
      <c r="AD181" s="39" t="n">
        <f aca="false">IF($F181="","",IF(COUNTA($I181:$K181)=0,0,1/COUNTA($I181:$K181)))</f>
        <v>0.5</v>
      </c>
      <c r="AE181" s="39" t="str">
        <f aca="false">IF($AH181=0,"",SUM($AH$4:$AH181))</f>
        <v/>
      </c>
      <c r="AF181" s="39" t="str">
        <f aca="false">IF($AI181=0,"",SUM($AI$4:$AI181))</f>
        <v/>
      </c>
      <c r="AG181" s="50" t="str">
        <f aca="false">IF($F181="","",$I181&amp;IF($J181="",""," · "&amp;$J181)&amp;IF($K181="",""," · "&amp;$K181))</f>
        <v>Alexandre · Heliton</v>
      </c>
      <c r="AH181" s="39" t="n">
        <f aca="false">IF(AND($F181&lt;&gt;"",$O181&lt;&gt;"",$O181&lt;=Hoje!$C$3,$P181&gt;=Hoje!$C$3,$R181&lt;&gt;"Cancelada"),1,0)</f>
        <v>0</v>
      </c>
      <c r="AI181" s="39" t="n">
        <f aca="false">IF(AND($F181&lt;&gt;"",$P181&lt;&gt;"",$P181&lt;Hoje!$C$3,$AB181=0,$R181&lt;&gt;"Cancelada"),1,0)</f>
        <v>0</v>
      </c>
      <c r="AJ181" s="50" t="str">
        <f aca="false">IF($F181="","",$D181&amp;"|"&amp;$E181&amp;"|"&amp;$L181)</f>
        <v>F-966|BAIXA DE PENDENCIAS|35</v>
      </c>
      <c r="AK181" s="39" t="n">
        <f aca="false">IF($AJ181="","",COUNTIF($AJ$4:$AJ181,$AJ181))</f>
        <v>7</v>
      </c>
      <c r="AL181" s="39" t="n">
        <f aca="false">IF($AJ181="","",COUNTIF($AJ$4:$AJ$1004,$AJ181))</f>
        <v>7</v>
      </c>
      <c r="AM181" s="42"/>
      <c r="AN181" s="50" t="str">
        <f aca="false">IF($D181="","",IFERROR(T(VLOOKUP($D181,Listas!$B$5:$H$120,7,0)),""))</f>
        <v/>
      </c>
      <c r="AO181" s="50" t="str">
        <f aca="false">IF(OR($F181="",$L181&lt;&gt;"",$R181="Cancelada",$AT181&lt;&gt;""),"",$AN181&amp;"|"&amp;$D181&amp;"|"&amp;IF($C181="","zzz",$C181)&amp;"|"&amp;TEXT(181,"0000"))</f>
        <v/>
      </c>
      <c r="AP181" s="50" t="str">
        <f aca="false">IF($AO181="","",COUNTIF($AO$5:$AO$1004,"&lt;"&amp;$AO181)-(ROWS($AO$5:$AO$1004)-Hoje!$L$5)+1)</f>
        <v/>
      </c>
      <c r="AQ181" s="50" t="n">
        <f aca="false">IF(AND($F181&lt;&gt;"",$D181=Frota!$C$3),1,0)</f>
        <v>0</v>
      </c>
      <c r="AR181" s="50" t="str">
        <f aca="false">IF($AQ181=0,"",SUM($AQ$4:$AQ181))</f>
        <v/>
      </c>
      <c r="AS181" s="50" t="str">
        <f aca="false">IFERROR(INDEX(Hoje!$K$10:$K$29,MATCH(ROW(),Hoje!$J$10:$J$29,0)),"")</f>
        <v/>
      </c>
      <c r="AT181" s="47" t="n">
        <f aca="false">IF($Q181&lt;&gt;"",$Q181,$AS181)</f>
        <v>46260</v>
      </c>
    </row>
    <row r="182" customFormat="false" ht="16.5" hidden="false" customHeight="true" outlineLevel="0" collapsed="false">
      <c r="A182" s="39" t="n">
        <f aca="false">IF($F182="","",ROW())</f>
        <v>182</v>
      </c>
      <c r="B182" s="40" t="str">
        <f aca="false">IF($F182="",IF($D182="","","Falta a atividade"),IF($R182="Cancelada","Cancelada",IF($AB182=1,IF(N($Z182)&gt;0,"Concluída com atraso","Concluída"),IF($R182="Em programação","Em programação",IF($O182="",IF($M182="","Na carteira","Falta a semana"),IF($AC182=1,"VENCIDA",IF($O182&gt;Hoje!$L$1,"Programada",IF($P182&gt;Hoje!$L$1,"Em execução","Fecha hoje"))))))))</f>
        <v>Concluída</v>
      </c>
      <c r="C182" s="41" t="s">
        <v>460</v>
      </c>
      <c r="D182" s="42" t="s">
        <v>461</v>
      </c>
      <c r="E182" s="42" t="s">
        <v>452</v>
      </c>
      <c r="F182" s="42" t="s">
        <v>462</v>
      </c>
      <c r="G182" s="43" t="s">
        <v>80</v>
      </c>
      <c r="H182" s="43" t="s">
        <v>100</v>
      </c>
      <c r="I182" s="44" t="s">
        <v>182</v>
      </c>
      <c r="J182" s="44"/>
      <c r="K182" s="44"/>
      <c r="L182" s="45" t="n">
        <v>36</v>
      </c>
      <c r="M182" s="46" t="s">
        <v>142</v>
      </c>
      <c r="N182" s="45" t="n">
        <v>2</v>
      </c>
      <c r="O182" s="47" t="n">
        <f aca="false">IF(OR($L182="",$M182=""),"",(DATE(Semana!$J$3,1,4)-WEEKDAY(DATE(Semana!$J$3,1,4),3))+($L182-1)*7+MATCH($M182,Listas!$F$5:$F$11,0)-1)</f>
        <v>46269</v>
      </c>
      <c r="P182" s="47" t="n">
        <f aca="false">IF(OR($F182="",$O182=""),"",$O182+MAX(0,ROUNDUP($AK182*MAX(1,IF($N182="",1,$N182))/MAX(1,$AL182),0)-1))</f>
        <v>46269</v>
      </c>
      <c r="Q182" s="48" t="n">
        <v>46269</v>
      </c>
      <c r="R182" s="43" t="s">
        <v>85</v>
      </c>
      <c r="S182" s="49"/>
      <c r="T182" s="42" t="s">
        <v>463</v>
      </c>
      <c r="U182" s="42"/>
      <c r="V182" s="39" t="str">
        <f aca="false">IF($F182="","",IF(ISNUMBER(SEARCH("(externo)",$I182&amp;$J182&amp;$K182)),"Terceirizada","Interna"))</f>
        <v>Interna</v>
      </c>
      <c r="W182" s="47" t="n">
        <f aca="false">IF($O182="","",IF($S182="",$O182,(DATE(Semana!$J$3,1,4)-WEEKDAY(DATE(Semana!$J$3,1,4),3))+($S182-1)*7+IF($M182="",0,MATCH($M182,Listas!$F$5:$F$11,0)-1)))</f>
        <v>46269</v>
      </c>
      <c r="X182" s="39" t="n">
        <f aca="false">IF($F182="","",IF(OR($AT182="",$O182=""),0,IF($AT182&lt;=$O182,1,0)))</f>
        <v>1</v>
      </c>
      <c r="Y182" s="39" t="n">
        <f aca="false">IF($F182="","",IF(OR($AT182="",$W182=""),0,IF($AT182&lt;=$W182,1,0)))</f>
        <v>1</v>
      </c>
      <c r="Z182" s="39" t="n">
        <f aca="false">IF(OR($AT182="",$O182=""),"",MAX(0,$AT182-$O182))</f>
        <v>0</v>
      </c>
      <c r="AA182" s="39" t="n">
        <f aca="false">IF($F182="","",IF(AND($S182&lt;&gt;"",$L182&lt;&gt;"",$S182&lt;&gt;$L182),1,0))</f>
        <v>0</v>
      </c>
      <c r="AB182" s="39" t="n">
        <f aca="false">IF($F182="","",IF($R182="Cancelada",0,IF(OR($AT182&lt;&gt;"",$R182="Concluída"),1,0)))</f>
        <v>1</v>
      </c>
      <c r="AC182" s="39" t="n">
        <f aca="false">IF($P182="",0,IF($P182&lt;Hoje!$L$1,1,IF(AND($P182=Hoje!$L$1,Hoje!$L$2&gt;Semana!$M$3),1,0)))</f>
        <v>1</v>
      </c>
      <c r="AD182" s="39" t="n">
        <f aca="false">IF($F182="","",IF(COUNTA($I182:$K182)=0,0,1/COUNTA($I182:$K182)))</f>
        <v>1</v>
      </c>
      <c r="AE182" s="39" t="str">
        <f aca="false">IF($AH182=0,"",SUM($AH$4:$AH182))</f>
        <v/>
      </c>
      <c r="AF182" s="39" t="str">
        <f aca="false">IF($AI182=0,"",SUM($AI$4:$AI182))</f>
        <v/>
      </c>
      <c r="AG182" s="50" t="str">
        <f aca="false">IF($F182="","",$I182&amp;IF($J182="",""," · "&amp;$J182)&amp;IF($K182="",""," · "&amp;$K182))</f>
        <v>Alexandre</v>
      </c>
      <c r="AH182" s="39" t="n">
        <f aca="false">IF(AND($F182&lt;&gt;"",$O182&lt;&gt;"",$O182&lt;=Hoje!$C$3,$P182&gt;=Hoje!$C$3,$R182&lt;&gt;"Cancelada"),1,0)</f>
        <v>0</v>
      </c>
      <c r="AI182" s="39" t="n">
        <f aca="false">IF(AND($F182&lt;&gt;"",$P182&lt;&gt;"",$P182&lt;Hoje!$C$3,$AB182=0,$R182&lt;&gt;"Cancelada"),1,0)</f>
        <v>0</v>
      </c>
      <c r="AJ182" s="50" t="str">
        <f aca="false">IF($F182="","",$D182&amp;"|"&amp;$E182&amp;"|"&amp;$L182)</f>
        <v>F-814|BAIXA DE PENDENCIAS|36</v>
      </c>
      <c r="AK182" s="39" t="n">
        <f aca="false">IF($AJ182="","",COUNTIF($AJ$4:$AJ182,$AJ182))</f>
        <v>1</v>
      </c>
      <c r="AL182" s="39" t="n">
        <f aca="false">IF($AJ182="","",COUNTIF($AJ$4:$AJ$1004,$AJ182))</f>
        <v>6</v>
      </c>
      <c r="AM182" s="42"/>
      <c r="AN182" s="50" t="str">
        <f aca="false">IF($D182="","",IFERROR(T(VLOOKUP($D182,Listas!$B$5:$H$120,7,0)),""))</f>
        <v/>
      </c>
      <c r="AO182" s="50" t="str">
        <f aca="false">IF(OR($F182="",$L182&lt;&gt;"",$R182="Cancelada",$AT182&lt;&gt;""),"",$AN182&amp;"|"&amp;$D182&amp;"|"&amp;IF($C182="","zzz",$C182)&amp;"|"&amp;TEXT(182,"0000"))</f>
        <v/>
      </c>
      <c r="AP182" s="50" t="str">
        <f aca="false">IF($AO182="","",COUNTIF($AO$5:$AO$1004,"&lt;"&amp;$AO182)-(ROWS($AO$5:$AO$1004)-Hoje!$L$5)+1)</f>
        <v/>
      </c>
      <c r="AQ182" s="50" t="n">
        <f aca="false">IF(AND($F182&lt;&gt;"",$D182=Frota!$C$3),1,0)</f>
        <v>0</v>
      </c>
      <c r="AR182" s="50" t="str">
        <f aca="false">IF($AQ182=0,"",SUM($AQ$4:$AQ182))</f>
        <v/>
      </c>
      <c r="AS182" s="50" t="str">
        <f aca="false">IFERROR(INDEX(Hoje!$K$10:$K$29,MATCH(ROW(),Hoje!$J$10:$J$29,0)),"")</f>
        <v/>
      </c>
      <c r="AT182" s="47" t="n">
        <f aca="false">IF($Q182&lt;&gt;"",$Q182,$AS182)</f>
        <v>46269</v>
      </c>
    </row>
    <row r="183" customFormat="false" ht="16.5" hidden="false" customHeight="true" outlineLevel="0" collapsed="false">
      <c r="A183" s="39" t="n">
        <f aca="false">IF($F183="","",ROW())</f>
        <v>183</v>
      </c>
      <c r="B183" s="40" t="str">
        <f aca="false">IF($F183="",IF($D183="","","Falta a atividade"),IF($R183="Cancelada","Cancelada",IF($AB183=1,IF(N($Z183)&gt;0,"Concluída com atraso","Concluída"),IF($R183="Em programação","Em programação",IF($O183="",IF($M183="","Na carteira","Falta a semana"),IF($AC183=1,"VENCIDA",IF($O183&gt;Hoje!$L$1,"Programada",IF($P183&gt;Hoje!$L$1,"Em execução","Fecha hoje"))))))))</f>
        <v>Concluída</v>
      </c>
      <c r="C183" s="41" t="s">
        <v>464</v>
      </c>
      <c r="D183" s="42" t="s">
        <v>461</v>
      </c>
      <c r="E183" s="42" t="s">
        <v>452</v>
      </c>
      <c r="F183" s="42" t="s">
        <v>465</v>
      </c>
      <c r="G183" s="43" t="s">
        <v>80</v>
      </c>
      <c r="H183" s="43" t="s">
        <v>100</v>
      </c>
      <c r="I183" s="44" t="s">
        <v>283</v>
      </c>
      <c r="J183" s="44"/>
      <c r="K183" s="44"/>
      <c r="L183" s="45" t="n">
        <v>37</v>
      </c>
      <c r="M183" s="46" t="s">
        <v>131</v>
      </c>
      <c r="N183" s="45" t="n">
        <v>2</v>
      </c>
      <c r="O183" s="47" t="n">
        <f aca="false">IF(OR($L183="",$M183=""),"",(DATE(Semana!$J$3,1,4)-WEEKDAY(DATE(Semana!$J$3,1,4),3))+($L183-1)*7+MATCH($M183,Listas!$F$5:$F$11,0)-1)</f>
        <v>46273</v>
      </c>
      <c r="P183" s="47" t="n">
        <f aca="false">IF(OR($F183="",$O183=""),"",$O183+MAX(0,ROUNDUP($AK183*MAX(1,IF($N183="",1,$N183))/MAX(1,$AL183),0)-1))</f>
        <v>46273</v>
      </c>
      <c r="Q183" s="48" t="n">
        <v>46269</v>
      </c>
      <c r="R183" s="43" t="s">
        <v>85</v>
      </c>
      <c r="S183" s="49" t="n">
        <v>36</v>
      </c>
      <c r="T183" s="42" t="s">
        <v>463</v>
      </c>
      <c r="U183" s="42"/>
      <c r="V183" s="39" t="str">
        <f aca="false">IF($F183="","",IF(ISNUMBER(SEARCH("(externo)",$I183&amp;$J183&amp;$K183)),"Terceirizada","Interna"))</f>
        <v>Interna</v>
      </c>
      <c r="W183" s="47" t="n">
        <f aca="false">IF($O183="","",IF($S183="",$O183,(DATE(Semana!$J$3,1,4)-WEEKDAY(DATE(Semana!$J$3,1,4),3))+($S183-1)*7+IF($M183="",0,MATCH($M183,Listas!$F$5:$F$11,0)-1)))</f>
        <v>46266</v>
      </c>
      <c r="X183" s="39" t="n">
        <f aca="false">IF($F183="","",IF(OR($AT183="",$O183=""),0,IF($AT183&lt;=$O183,1,0)))</f>
        <v>1</v>
      </c>
      <c r="Y183" s="39" t="n">
        <f aca="false">IF($F183="","",IF(OR($AT183="",$W183=""),0,IF($AT183&lt;=$W183,1,0)))</f>
        <v>0</v>
      </c>
      <c r="Z183" s="39" t="n">
        <f aca="false">IF(OR($AT183="",$O183=""),"",MAX(0,$AT183-$O183))</f>
        <v>0</v>
      </c>
      <c r="AA183" s="39" t="n">
        <f aca="false">IF($F183="","",IF(AND($S183&lt;&gt;"",$L183&lt;&gt;"",$S183&lt;&gt;$L183),1,0))</f>
        <v>1</v>
      </c>
      <c r="AB183" s="39" t="n">
        <f aca="false">IF($F183="","",IF($R183="Cancelada",0,IF(OR($AT183&lt;&gt;"",$R183="Concluída"),1,0)))</f>
        <v>1</v>
      </c>
      <c r="AC183" s="39" t="n">
        <f aca="false">IF($P183="",0,IF($P183&lt;Hoje!$L$1,1,IF(AND($P183=Hoje!$L$1,Hoje!$L$2&gt;Semana!$M$3),1,0)))</f>
        <v>1</v>
      </c>
      <c r="AD183" s="39" t="n">
        <f aca="false">IF($F183="","",IF(COUNTA($I183:$K183)=0,0,1/COUNTA($I183:$K183)))</f>
        <v>1</v>
      </c>
      <c r="AE183" s="39" t="str">
        <f aca="false">IF($AH183=0,"",SUM($AH$4:$AH183))</f>
        <v/>
      </c>
      <c r="AF183" s="39" t="str">
        <f aca="false">IF($AI183=0,"",SUM($AI$4:$AI183))</f>
        <v/>
      </c>
      <c r="AG183" s="50" t="str">
        <f aca="false">IF($F183="","",$I183&amp;IF($J183="",""," · "&amp;$J183)&amp;IF($K183="",""," · "&amp;$K183))</f>
        <v>Heliton</v>
      </c>
      <c r="AH183" s="39" t="n">
        <f aca="false">IF(AND($F183&lt;&gt;"",$O183&lt;&gt;"",$O183&lt;=Hoje!$C$3,$P183&gt;=Hoje!$C$3,$R183&lt;&gt;"Cancelada"),1,0)</f>
        <v>0</v>
      </c>
      <c r="AI183" s="39" t="n">
        <f aca="false">IF(AND($F183&lt;&gt;"",$P183&lt;&gt;"",$P183&lt;Hoje!$C$3,$AB183=0,$R183&lt;&gt;"Cancelada"),1,0)</f>
        <v>0</v>
      </c>
      <c r="AJ183" s="50" t="str">
        <f aca="false">IF($F183="","",$D183&amp;"|"&amp;$E183&amp;"|"&amp;$L183)</f>
        <v>F-814|BAIXA DE PENDENCIAS|37</v>
      </c>
      <c r="AK183" s="39" t="n">
        <f aca="false">IF($AJ183="","",COUNTIF($AJ$4:$AJ183,$AJ183))</f>
        <v>1</v>
      </c>
      <c r="AL183" s="39" t="n">
        <f aca="false">IF($AJ183="","",COUNTIF($AJ$4:$AJ$1004,$AJ183))</f>
        <v>4</v>
      </c>
      <c r="AM183" s="42"/>
      <c r="AN183" s="50" t="str">
        <f aca="false">IF($D183="","",IFERROR(T(VLOOKUP($D183,Listas!$B$5:$H$120,7,0)),""))</f>
        <v/>
      </c>
      <c r="AO183" s="50" t="str">
        <f aca="false">IF(OR($F183="",$L183&lt;&gt;"",$R183="Cancelada",$AT183&lt;&gt;""),"",$AN183&amp;"|"&amp;$D183&amp;"|"&amp;IF($C183="","zzz",$C183)&amp;"|"&amp;TEXT(183,"0000"))</f>
        <v/>
      </c>
      <c r="AP183" s="50" t="str">
        <f aca="false">IF($AO183="","",COUNTIF($AO$5:$AO$1004,"&lt;"&amp;$AO183)-(ROWS($AO$5:$AO$1004)-Hoje!$L$5)+1)</f>
        <v/>
      </c>
      <c r="AQ183" s="50" t="n">
        <f aca="false">IF(AND($F183&lt;&gt;"",$D183=Frota!$C$3),1,0)</f>
        <v>0</v>
      </c>
      <c r="AR183" s="50" t="str">
        <f aca="false">IF($AQ183=0,"",SUM($AQ$4:$AQ183))</f>
        <v/>
      </c>
      <c r="AS183" s="50" t="str">
        <f aca="false">IFERROR(INDEX(Hoje!$K$10:$K$29,MATCH(ROW(),Hoje!$J$10:$J$29,0)),"")</f>
        <v/>
      </c>
      <c r="AT183" s="47" t="n">
        <f aca="false">IF($Q183&lt;&gt;"",$Q183,$AS183)</f>
        <v>46269</v>
      </c>
    </row>
    <row r="184" customFormat="false" ht="16.5" hidden="false" customHeight="true" outlineLevel="0" collapsed="false">
      <c r="A184" s="39" t="n">
        <f aca="false">IF($F184="","",ROW())</f>
        <v>184</v>
      </c>
      <c r="B184" s="40" t="str">
        <f aca="false">IF($F184="",IF($D184="","","Falta a atividade"),IF($R184="Cancelada","Cancelada",IF($AB184=1,IF(N($Z184)&gt;0,"Concluída com atraso","Concluída"),IF($R184="Em programação","Em programação",IF($O184="",IF($M184="","Na carteira","Falta a semana"),IF($AC184=1,"VENCIDA",IF($O184&gt;Hoje!$L$1,"Programada",IF($P184&gt;Hoje!$L$1,"Em execução","Fecha hoje"))))))))</f>
        <v>Concluída</v>
      </c>
      <c r="C184" s="41" t="s">
        <v>466</v>
      </c>
      <c r="D184" s="42" t="s">
        <v>461</v>
      </c>
      <c r="E184" s="42" t="s">
        <v>452</v>
      </c>
      <c r="F184" s="42" t="s">
        <v>467</v>
      </c>
      <c r="G184" s="43" t="s">
        <v>80</v>
      </c>
      <c r="H184" s="43" t="s">
        <v>100</v>
      </c>
      <c r="I184" s="44" t="s">
        <v>182</v>
      </c>
      <c r="J184" s="44"/>
      <c r="K184" s="44"/>
      <c r="L184" s="45" t="n">
        <v>36</v>
      </c>
      <c r="M184" s="46" t="s">
        <v>142</v>
      </c>
      <c r="N184" s="45" t="n">
        <v>2</v>
      </c>
      <c r="O184" s="47" t="n">
        <f aca="false">IF(OR($L184="",$M184=""),"",(DATE(Semana!$J$3,1,4)-WEEKDAY(DATE(Semana!$J$3,1,4),3))+($L184-1)*7+MATCH($M184,Listas!$F$5:$F$11,0)-1)</f>
        <v>46269</v>
      </c>
      <c r="P184" s="47" t="n">
        <f aca="false">IF(OR($F184="",$O184=""),"",$O184+MAX(0,ROUNDUP($AK184*MAX(1,IF($N184="",1,$N184))/MAX(1,$AL184),0)-1))</f>
        <v>46269</v>
      </c>
      <c r="Q184" s="48" t="n">
        <v>46269</v>
      </c>
      <c r="R184" s="43" t="s">
        <v>85</v>
      </c>
      <c r="S184" s="49"/>
      <c r="T184" s="42" t="s">
        <v>463</v>
      </c>
      <c r="U184" s="42"/>
      <c r="V184" s="39" t="str">
        <f aca="false">IF($F184="","",IF(ISNUMBER(SEARCH("(externo)",$I184&amp;$J184&amp;$K184)),"Terceirizada","Interna"))</f>
        <v>Interna</v>
      </c>
      <c r="W184" s="47" t="n">
        <f aca="false">IF($O184="","",IF($S184="",$O184,(DATE(Semana!$J$3,1,4)-WEEKDAY(DATE(Semana!$J$3,1,4),3))+($S184-1)*7+IF($M184="",0,MATCH($M184,Listas!$F$5:$F$11,0)-1)))</f>
        <v>46269</v>
      </c>
      <c r="X184" s="39" t="n">
        <f aca="false">IF($F184="","",IF(OR($AT184="",$O184=""),0,IF($AT184&lt;=$O184,1,0)))</f>
        <v>1</v>
      </c>
      <c r="Y184" s="39" t="n">
        <f aca="false">IF($F184="","",IF(OR($AT184="",$W184=""),0,IF($AT184&lt;=$W184,1,0)))</f>
        <v>1</v>
      </c>
      <c r="Z184" s="39" t="n">
        <f aca="false">IF(OR($AT184="",$O184=""),"",MAX(0,$AT184-$O184))</f>
        <v>0</v>
      </c>
      <c r="AA184" s="39" t="n">
        <f aca="false">IF($F184="","",IF(AND($S184&lt;&gt;"",$L184&lt;&gt;"",$S184&lt;&gt;$L184),1,0))</f>
        <v>0</v>
      </c>
      <c r="AB184" s="39" t="n">
        <f aca="false">IF($F184="","",IF($R184="Cancelada",0,IF(OR($AT184&lt;&gt;"",$R184="Concluída"),1,0)))</f>
        <v>1</v>
      </c>
      <c r="AC184" s="39" t="n">
        <f aca="false">IF($P184="",0,IF($P184&lt;Hoje!$L$1,1,IF(AND($P184=Hoje!$L$1,Hoje!$L$2&gt;Semana!$M$3),1,0)))</f>
        <v>1</v>
      </c>
      <c r="AD184" s="39" t="n">
        <f aca="false">IF($F184="","",IF(COUNTA($I184:$K184)=0,0,1/COUNTA($I184:$K184)))</f>
        <v>1</v>
      </c>
      <c r="AE184" s="39" t="str">
        <f aca="false">IF($AH184=0,"",SUM($AH$4:$AH184))</f>
        <v/>
      </c>
      <c r="AF184" s="39" t="str">
        <f aca="false">IF($AI184=0,"",SUM($AI$4:$AI184))</f>
        <v/>
      </c>
      <c r="AG184" s="50" t="str">
        <f aca="false">IF($F184="","",$I184&amp;IF($J184="",""," · "&amp;$J184)&amp;IF($K184="",""," · "&amp;$K184))</f>
        <v>Alexandre</v>
      </c>
      <c r="AH184" s="39" t="n">
        <f aca="false">IF(AND($F184&lt;&gt;"",$O184&lt;&gt;"",$O184&lt;=Hoje!$C$3,$P184&gt;=Hoje!$C$3,$R184&lt;&gt;"Cancelada"),1,0)</f>
        <v>0</v>
      </c>
      <c r="AI184" s="39" t="n">
        <f aca="false">IF(AND($F184&lt;&gt;"",$P184&lt;&gt;"",$P184&lt;Hoje!$C$3,$AB184=0,$R184&lt;&gt;"Cancelada"),1,0)</f>
        <v>0</v>
      </c>
      <c r="AJ184" s="50" t="str">
        <f aca="false">IF($F184="","",$D184&amp;"|"&amp;$E184&amp;"|"&amp;$L184)</f>
        <v>F-814|BAIXA DE PENDENCIAS|36</v>
      </c>
      <c r="AK184" s="39" t="n">
        <f aca="false">IF($AJ184="","",COUNTIF($AJ$4:$AJ184,$AJ184))</f>
        <v>2</v>
      </c>
      <c r="AL184" s="39" t="n">
        <f aca="false">IF($AJ184="","",COUNTIF($AJ$4:$AJ$1004,$AJ184))</f>
        <v>6</v>
      </c>
      <c r="AM184" s="42"/>
      <c r="AN184" s="50" t="str">
        <f aca="false">IF($D184="","",IFERROR(T(VLOOKUP($D184,Listas!$B$5:$H$120,7,0)),""))</f>
        <v/>
      </c>
      <c r="AO184" s="50" t="str">
        <f aca="false">IF(OR($F184="",$L184&lt;&gt;"",$R184="Cancelada",$AT184&lt;&gt;""),"",$AN184&amp;"|"&amp;$D184&amp;"|"&amp;IF($C184="","zzz",$C184)&amp;"|"&amp;TEXT(184,"0000"))</f>
        <v/>
      </c>
      <c r="AP184" s="50" t="str">
        <f aca="false">IF($AO184="","",COUNTIF($AO$5:$AO$1004,"&lt;"&amp;$AO184)-(ROWS($AO$5:$AO$1004)-Hoje!$L$5)+1)</f>
        <v/>
      </c>
      <c r="AQ184" s="50" t="n">
        <f aca="false">IF(AND($F184&lt;&gt;"",$D184=Frota!$C$3),1,0)</f>
        <v>0</v>
      </c>
      <c r="AR184" s="50" t="str">
        <f aca="false">IF($AQ184=0,"",SUM($AQ$4:$AQ184))</f>
        <v/>
      </c>
      <c r="AS184" s="50" t="str">
        <f aca="false">IFERROR(INDEX(Hoje!$K$10:$K$29,MATCH(ROW(),Hoje!$J$10:$J$29,0)),"")</f>
        <v/>
      </c>
      <c r="AT184" s="47" t="n">
        <f aca="false">IF($Q184&lt;&gt;"",$Q184,$AS184)</f>
        <v>46269</v>
      </c>
    </row>
    <row r="185" customFormat="false" ht="16.5" hidden="false" customHeight="true" outlineLevel="0" collapsed="false">
      <c r="A185" s="39" t="n">
        <f aca="false">IF($F185="","",ROW())</f>
        <v>185</v>
      </c>
      <c r="B185" s="40" t="str">
        <f aca="false">IF($F185="",IF($D185="","","Falta a atividade"),IF($R185="Cancelada","Cancelada",IF($AB185=1,IF(N($Z185)&gt;0,"Concluída com atraso","Concluída"),IF($R185="Em programação","Em programação",IF($O185="",IF($M185="","Na carteira","Falta a semana"),IF($AC185=1,"VENCIDA",IF($O185&gt;Hoje!$L$1,"Programada",IF($P185&gt;Hoje!$L$1,"Em execução","Fecha hoje"))))))))</f>
        <v>Concluída</v>
      </c>
      <c r="C185" s="41" t="s">
        <v>468</v>
      </c>
      <c r="D185" s="42" t="s">
        <v>461</v>
      </c>
      <c r="E185" s="42" t="s">
        <v>452</v>
      </c>
      <c r="F185" s="42" t="s">
        <v>469</v>
      </c>
      <c r="G185" s="43" t="s">
        <v>80</v>
      </c>
      <c r="H185" s="43" t="s">
        <v>100</v>
      </c>
      <c r="I185" s="44"/>
      <c r="J185" s="44"/>
      <c r="K185" s="44"/>
      <c r="L185" s="45" t="n">
        <v>36</v>
      </c>
      <c r="M185" s="46" t="s">
        <v>142</v>
      </c>
      <c r="N185" s="45" t="n">
        <v>2</v>
      </c>
      <c r="O185" s="47" t="n">
        <f aca="false">IF(OR($L185="",$M185=""),"",(DATE(Semana!$J$3,1,4)-WEEKDAY(DATE(Semana!$J$3,1,4),3))+($L185-1)*7+MATCH($M185,Listas!$F$5:$F$11,0)-1)</f>
        <v>46269</v>
      </c>
      <c r="P185" s="47" t="n">
        <f aca="false">IF(OR($F185="",$O185=""),"",$O185+MAX(0,ROUNDUP($AK185*MAX(1,IF($N185="",1,$N185))/MAX(1,$AL185),0)-1))</f>
        <v>46269</v>
      </c>
      <c r="Q185" s="48" t="n">
        <v>46269</v>
      </c>
      <c r="R185" s="43" t="s">
        <v>85</v>
      </c>
      <c r="S185" s="49"/>
      <c r="T185" s="42" t="s">
        <v>463</v>
      </c>
      <c r="U185" s="42" t="s">
        <v>470</v>
      </c>
      <c r="V185" s="39" t="str">
        <f aca="false">IF($F185="","",IF(ISNUMBER(SEARCH("(externo)",$I185&amp;$J185&amp;$K185)),"Terceirizada","Interna"))</f>
        <v>Interna</v>
      </c>
      <c r="W185" s="47" t="n">
        <f aca="false">IF($O185="","",IF($S185="",$O185,(DATE(Semana!$J$3,1,4)-WEEKDAY(DATE(Semana!$J$3,1,4),3))+($S185-1)*7+IF($M185="",0,MATCH($M185,Listas!$F$5:$F$11,0)-1)))</f>
        <v>46269</v>
      </c>
      <c r="X185" s="39" t="n">
        <f aca="false">IF($F185="","",IF(OR($AT185="",$O185=""),0,IF($AT185&lt;=$O185,1,0)))</f>
        <v>1</v>
      </c>
      <c r="Y185" s="39" t="n">
        <f aca="false">IF($F185="","",IF(OR($AT185="",$W185=""),0,IF($AT185&lt;=$W185,1,0)))</f>
        <v>1</v>
      </c>
      <c r="Z185" s="39" t="n">
        <f aca="false">IF(OR($AT185="",$O185=""),"",MAX(0,$AT185-$O185))</f>
        <v>0</v>
      </c>
      <c r="AA185" s="39" t="n">
        <f aca="false">IF($F185="","",IF(AND($S185&lt;&gt;"",$L185&lt;&gt;"",$S185&lt;&gt;$L185),1,0))</f>
        <v>0</v>
      </c>
      <c r="AB185" s="39" t="n">
        <f aca="false">IF($F185="","",IF($R185="Cancelada",0,IF(OR($AT185&lt;&gt;"",$R185="Concluída"),1,0)))</f>
        <v>1</v>
      </c>
      <c r="AC185" s="39" t="n">
        <f aca="false">IF($P185="",0,IF($P185&lt;Hoje!$L$1,1,IF(AND($P185=Hoje!$L$1,Hoje!$L$2&gt;Semana!$M$3),1,0)))</f>
        <v>1</v>
      </c>
      <c r="AD185" s="39" t="n">
        <f aca="false">IF($F185="","",IF(COUNTA($I185:$K185)=0,0,1/COUNTA($I185:$K185)))</f>
        <v>0</v>
      </c>
      <c r="AE185" s="39" t="str">
        <f aca="false">IF($AH185=0,"",SUM($AH$4:$AH185))</f>
        <v/>
      </c>
      <c r="AF185" s="39" t="str">
        <f aca="false">IF($AI185=0,"",SUM($AI$4:$AI185))</f>
        <v/>
      </c>
      <c r="AG185" s="50" t="str">
        <f aca="false">IF($F185="","",$I185&amp;IF($J185="",""," · "&amp;$J185)&amp;IF($K185="",""," · "&amp;$K185))</f>
        <v/>
      </c>
      <c r="AH185" s="39" t="n">
        <f aca="false">IF(AND($F185&lt;&gt;"",$O185&lt;&gt;"",$O185&lt;=Hoje!$C$3,$P185&gt;=Hoje!$C$3,$R185&lt;&gt;"Cancelada"),1,0)</f>
        <v>0</v>
      </c>
      <c r="AI185" s="39" t="n">
        <f aca="false">IF(AND($F185&lt;&gt;"",$P185&lt;&gt;"",$P185&lt;Hoje!$C$3,$AB185=0,$R185&lt;&gt;"Cancelada"),1,0)</f>
        <v>0</v>
      </c>
      <c r="AJ185" s="50" t="str">
        <f aca="false">IF($F185="","",$D185&amp;"|"&amp;$E185&amp;"|"&amp;$L185)</f>
        <v>F-814|BAIXA DE PENDENCIAS|36</v>
      </c>
      <c r="AK185" s="39" t="n">
        <f aca="false">IF($AJ185="","",COUNTIF($AJ$4:$AJ185,$AJ185))</f>
        <v>3</v>
      </c>
      <c r="AL185" s="39" t="n">
        <f aca="false">IF($AJ185="","",COUNTIF($AJ$4:$AJ$1004,$AJ185))</f>
        <v>6</v>
      </c>
      <c r="AM185" s="42"/>
      <c r="AN185" s="50" t="str">
        <f aca="false">IF($D185="","",IFERROR(T(VLOOKUP($D185,Listas!$B$5:$H$120,7,0)),""))</f>
        <v/>
      </c>
      <c r="AO185" s="50" t="str">
        <f aca="false">IF(OR($F185="",$L185&lt;&gt;"",$R185="Cancelada",$AT185&lt;&gt;""),"",$AN185&amp;"|"&amp;$D185&amp;"|"&amp;IF($C185="","zzz",$C185)&amp;"|"&amp;TEXT(185,"0000"))</f>
        <v/>
      </c>
      <c r="AP185" s="50" t="str">
        <f aca="false">IF($AO185="","",COUNTIF($AO$5:$AO$1004,"&lt;"&amp;$AO185)-(ROWS($AO$5:$AO$1004)-Hoje!$L$5)+1)</f>
        <v/>
      </c>
      <c r="AQ185" s="50" t="n">
        <f aca="false">IF(AND($F185&lt;&gt;"",$D185=Frota!$C$3),1,0)</f>
        <v>0</v>
      </c>
      <c r="AR185" s="50" t="str">
        <f aca="false">IF($AQ185=0,"",SUM($AQ$4:$AQ185))</f>
        <v/>
      </c>
      <c r="AS185" s="50" t="str">
        <f aca="false">IFERROR(INDEX(Hoje!$K$10:$K$29,MATCH(ROW(),Hoje!$J$10:$J$29,0)),"")</f>
        <v/>
      </c>
      <c r="AT185" s="47" t="n">
        <f aca="false">IF($Q185&lt;&gt;"",$Q185,$AS185)</f>
        <v>46269</v>
      </c>
    </row>
    <row r="186" customFormat="false" ht="16.5" hidden="false" customHeight="true" outlineLevel="0" collapsed="false">
      <c r="A186" s="39" t="n">
        <f aca="false">IF($F186="","",ROW())</f>
        <v>186</v>
      </c>
      <c r="B186" s="40" t="str">
        <f aca="false">IF($F186="",IF($D186="","","Falta a atividade"),IF($R186="Cancelada","Cancelada",IF($AB186=1,IF(N($Z186)&gt;0,"Concluída com atraso","Concluída"),IF($R186="Em programação","Em programação",IF($O186="",IF($M186="","Na carteira","Falta a semana"),IF($AC186=1,"VENCIDA",IF($O186&gt;Hoje!$L$1,"Programada",IF($P186&gt;Hoje!$L$1,"Em execução","Fecha hoje"))))))))</f>
        <v>Concluída</v>
      </c>
      <c r="C186" s="41" t="s">
        <v>471</v>
      </c>
      <c r="D186" s="42" t="s">
        <v>461</v>
      </c>
      <c r="E186" s="42" t="s">
        <v>452</v>
      </c>
      <c r="F186" s="42" t="s">
        <v>472</v>
      </c>
      <c r="G186" s="43" t="s">
        <v>80</v>
      </c>
      <c r="H186" s="43" t="s">
        <v>100</v>
      </c>
      <c r="I186" s="44" t="s">
        <v>283</v>
      </c>
      <c r="J186" s="44"/>
      <c r="K186" s="44"/>
      <c r="L186" s="45" t="n">
        <v>36</v>
      </c>
      <c r="M186" s="46" t="s">
        <v>142</v>
      </c>
      <c r="N186" s="45" t="n">
        <v>2</v>
      </c>
      <c r="O186" s="47" t="n">
        <f aca="false">IF(OR($L186="",$M186=""),"",(DATE(Semana!$J$3,1,4)-WEEKDAY(DATE(Semana!$J$3,1,4),3))+($L186-1)*7+MATCH($M186,Listas!$F$5:$F$11,0)-1)</f>
        <v>46269</v>
      </c>
      <c r="P186" s="47" t="n">
        <f aca="false">IF(OR($F186="",$O186=""),"",$O186+MAX(0,ROUNDUP($AK186*MAX(1,IF($N186="",1,$N186))/MAX(1,$AL186),0)-1))</f>
        <v>46270</v>
      </c>
      <c r="Q186" s="48" t="n">
        <v>46269</v>
      </c>
      <c r="R186" s="43" t="s">
        <v>85</v>
      </c>
      <c r="S186" s="49"/>
      <c r="T186" s="42" t="s">
        <v>463</v>
      </c>
      <c r="U186" s="42" t="s">
        <v>473</v>
      </c>
      <c r="V186" s="39" t="str">
        <f aca="false">IF($F186="","",IF(ISNUMBER(SEARCH("(externo)",$I186&amp;$J186&amp;$K186)),"Terceirizada","Interna"))</f>
        <v>Interna</v>
      </c>
      <c r="W186" s="47" t="n">
        <f aca="false">IF($O186="","",IF($S186="",$O186,(DATE(Semana!$J$3,1,4)-WEEKDAY(DATE(Semana!$J$3,1,4),3))+($S186-1)*7+IF($M186="",0,MATCH($M186,Listas!$F$5:$F$11,0)-1)))</f>
        <v>46269</v>
      </c>
      <c r="X186" s="39" t="n">
        <f aca="false">IF($F186="","",IF(OR($AT186="",$O186=""),0,IF($AT186&lt;=$O186,1,0)))</f>
        <v>1</v>
      </c>
      <c r="Y186" s="39" t="n">
        <f aca="false">IF($F186="","",IF(OR($AT186="",$W186=""),0,IF($AT186&lt;=$W186,1,0)))</f>
        <v>1</v>
      </c>
      <c r="Z186" s="39" t="n">
        <f aca="false">IF(OR($AT186="",$O186=""),"",MAX(0,$AT186-$O186))</f>
        <v>0</v>
      </c>
      <c r="AA186" s="39" t="n">
        <f aca="false">IF($F186="","",IF(AND($S186&lt;&gt;"",$L186&lt;&gt;"",$S186&lt;&gt;$L186),1,0))</f>
        <v>0</v>
      </c>
      <c r="AB186" s="39" t="n">
        <f aca="false">IF($F186="","",IF($R186="Cancelada",0,IF(OR($AT186&lt;&gt;"",$R186="Concluída"),1,0)))</f>
        <v>1</v>
      </c>
      <c r="AC186" s="39" t="n">
        <f aca="false">IF($P186="",0,IF($P186&lt;Hoje!$L$1,1,IF(AND($P186=Hoje!$L$1,Hoje!$L$2&gt;Semana!$M$3),1,0)))</f>
        <v>1</v>
      </c>
      <c r="AD186" s="39" t="n">
        <f aca="false">IF($F186="","",IF(COUNTA($I186:$K186)=0,0,1/COUNTA($I186:$K186)))</f>
        <v>1</v>
      </c>
      <c r="AE186" s="39" t="str">
        <f aca="false">IF($AH186=0,"",SUM($AH$4:$AH186))</f>
        <v/>
      </c>
      <c r="AF186" s="39" t="str">
        <f aca="false">IF($AI186=0,"",SUM($AI$4:$AI186))</f>
        <v/>
      </c>
      <c r="AG186" s="50" t="str">
        <f aca="false">IF($F186="","",$I186&amp;IF($J186="",""," · "&amp;$J186)&amp;IF($K186="",""," · "&amp;$K186))</f>
        <v>Heliton</v>
      </c>
      <c r="AH186" s="39" t="n">
        <f aca="false">IF(AND($F186&lt;&gt;"",$O186&lt;&gt;"",$O186&lt;=Hoje!$C$3,$P186&gt;=Hoje!$C$3,$R186&lt;&gt;"Cancelada"),1,0)</f>
        <v>0</v>
      </c>
      <c r="AI186" s="39" t="n">
        <f aca="false">IF(AND($F186&lt;&gt;"",$P186&lt;&gt;"",$P186&lt;Hoje!$C$3,$AB186=0,$R186&lt;&gt;"Cancelada"),1,0)</f>
        <v>0</v>
      </c>
      <c r="AJ186" s="50" t="str">
        <f aca="false">IF($F186="","",$D186&amp;"|"&amp;$E186&amp;"|"&amp;$L186)</f>
        <v>F-814|BAIXA DE PENDENCIAS|36</v>
      </c>
      <c r="AK186" s="39" t="n">
        <f aca="false">IF($AJ186="","",COUNTIF($AJ$4:$AJ186,$AJ186))</f>
        <v>4</v>
      </c>
      <c r="AL186" s="39" t="n">
        <f aca="false">IF($AJ186="","",COUNTIF($AJ$4:$AJ$1004,$AJ186))</f>
        <v>6</v>
      </c>
      <c r="AM186" s="42"/>
      <c r="AN186" s="50" t="str">
        <f aca="false">IF($D186="","",IFERROR(T(VLOOKUP($D186,Listas!$B$5:$H$120,7,0)),""))</f>
        <v/>
      </c>
      <c r="AO186" s="50" t="str">
        <f aca="false">IF(OR($F186="",$L186&lt;&gt;"",$R186="Cancelada",$AT186&lt;&gt;""),"",$AN186&amp;"|"&amp;$D186&amp;"|"&amp;IF($C186="","zzz",$C186)&amp;"|"&amp;TEXT(186,"0000"))</f>
        <v/>
      </c>
      <c r="AP186" s="50" t="str">
        <f aca="false">IF($AO186="","",COUNTIF($AO$5:$AO$1004,"&lt;"&amp;$AO186)-(ROWS($AO$5:$AO$1004)-Hoje!$L$5)+1)</f>
        <v/>
      </c>
      <c r="AQ186" s="50" t="n">
        <f aca="false">IF(AND($F186&lt;&gt;"",$D186=Frota!$C$3),1,0)</f>
        <v>0</v>
      </c>
      <c r="AR186" s="50" t="str">
        <f aca="false">IF($AQ186=0,"",SUM($AQ$4:$AQ186))</f>
        <v/>
      </c>
      <c r="AS186" s="50" t="str">
        <f aca="false">IFERROR(INDEX(Hoje!$K$10:$K$29,MATCH(ROW(),Hoje!$J$10:$J$29,0)),"")</f>
        <v/>
      </c>
      <c r="AT186" s="47" t="n">
        <f aca="false">IF($Q186&lt;&gt;"",$Q186,$AS186)</f>
        <v>46269</v>
      </c>
    </row>
    <row r="187" customFormat="false" ht="16.5" hidden="false" customHeight="true" outlineLevel="0" collapsed="false">
      <c r="A187" s="39" t="n">
        <f aca="false">IF($F187="","",ROW())</f>
        <v>187</v>
      </c>
      <c r="B187" s="40" t="str">
        <f aca="false">IF($F187="",IF($D187="","","Falta a atividade"),IF($R187="Cancelada","Cancelada",IF($AB187=1,IF(N($Z187)&gt;0,"Concluída com atraso","Concluída"),IF($R187="Em programação","Em programação",IF($O187="",IF($M187="","Na carteira","Falta a semana"),IF($AC187=1,"VENCIDA",IF($O187&gt;Hoje!$L$1,"Programada",IF($P187&gt;Hoje!$L$1,"Em execução","Fecha hoje"))))))))</f>
        <v>Concluída</v>
      </c>
      <c r="C187" s="41" t="s">
        <v>474</v>
      </c>
      <c r="D187" s="42" t="s">
        <v>461</v>
      </c>
      <c r="E187" s="42" t="s">
        <v>452</v>
      </c>
      <c r="F187" s="42" t="s">
        <v>475</v>
      </c>
      <c r="G187" s="43" t="s">
        <v>80</v>
      </c>
      <c r="H187" s="43" t="s">
        <v>100</v>
      </c>
      <c r="I187" s="44" t="s">
        <v>283</v>
      </c>
      <c r="J187" s="44"/>
      <c r="K187" s="44"/>
      <c r="L187" s="45" t="n">
        <v>37</v>
      </c>
      <c r="M187" s="46" t="s">
        <v>131</v>
      </c>
      <c r="N187" s="45" t="n">
        <v>2</v>
      </c>
      <c r="O187" s="47" t="n">
        <f aca="false">IF(OR($L187="",$M187=""),"",(DATE(Semana!$J$3,1,4)-WEEKDAY(DATE(Semana!$J$3,1,4),3))+($L187-1)*7+MATCH($M187,Listas!$F$5:$F$11,0)-1)</f>
        <v>46273</v>
      </c>
      <c r="P187" s="47" t="n">
        <f aca="false">IF(OR($F187="",$O187=""),"",$O187+MAX(0,ROUNDUP($AK187*MAX(1,IF($N187="",1,$N187))/MAX(1,$AL187),0)-1))</f>
        <v>46273</v>
      </c>
      <c r="Q187" s="48" t="n">
        <v>46269</v>
      </c>
      <c r="R187" s="43" t="s">
        <v>85</v>
      </c>
      <c r="S187" s="49" t="n">
        <v>36</v>
      </c>
      <c r="T187" s="42" t="s">
        <v>463</v>
      </c>
      <c r="U187" s="42"/>
      <c r="V187" s="39" t="str">
        <f aca="false">IF($F187="","",IF(ISNUMBER(SEARCH("(externo)",$I187&amp;$J187&amp;$K187)),"Terceirizada","Interna"))</f>
        <v>Interna</v>
      </c>
      <c r="W187" s="47" t="n">
        <f aca="false">IF($O187="","",IF($S187="",$O187,(DATE(Semana!$J$3,1,4)-WEEKDAY(DATE(Semana!$J$3,1,4),3))+($S187-1)*7+IF($M187="",0,MATCH($M187,Listas!$F$5:$F$11,0)-1)))</f>
        <v>46266</v>
      </c>
      <c r="X187" s="39" t="n">
        <f aca="false">IF($F187="","",IF(OR($AT187="",$O187=""),0,IF($AT187&lt;=$O187,1,0)))</f>
        <v>1</v>
      </c>
      <c r="Y187" s="39" t="n">
        <f aca="false">IF($F187="","",IF(OR($AT187="",$W187=""),0,IF($AT187&lt;=$W187,1,0)))</f>
        <v>0</v>
      </c>
      <c r="Z187" s="39" t="n">
        <f aca="false">IF(OR($AT187="",$O187=""),"",MAX(0,$AT187-$O187))</f>
        <v>0</v>
      </c>
      <c r="AA187" s="39" t="n">
        <f aca="false">IF($F187="","",IF(AND($S187&lt;&gt;"",$L187&lt;&gt;"",$S187&lt;&gt;$L187),1,0))</f>
        <v>1</v>
      </c>
      <c r="AB187" s="39" t="n">
        <f aca="false">IF($F187="","",IF($R187="Cancelada",0,IF(OR($AT187&lt;&gt;"",$R187="Concluída"),1,0)))</f>
        <v>1</v>
      </c>
      <c r="AC187" s="39" t="n">
        <f aca="false">IF($P187="",0,IF($P187&lt;Hoje!$L$1,1,IF(AND($P187=Hoje!$L$1,Hoje!$L$2&gt;Semana!$M$3),1,0)))</f>
        <v>1</v>
      </c>
      <c r="AD187" s="39" t="n">
        <f aca="false">IF($F187="","",IF(COUNTA($I187:$K187)=0,0,1/COUNTA($I187:$K187)))</f>
        <v>1</v>
      </c>
      <c r="AE187" s="39" t="str">
        <f aca="false">IF($AH187=0,"",SUM($AH$4:$AH187))</f>
        <v/>
      </c>
      <c r="AF187" s="39" t="str">
        <f aca="false">IF($AI187=0,"",SUM($AI$4:$AI187))</f>
        <v/>
      </c>
      <c r="AG187" s="50" t="str">
        <f aca="false">IF($F187="","",$I187&amp;IF($J187="",""," · "&amp;$J187)&amp;IF($K187="",""," · "&amp;$K187))</f>
        <v>Heliton</v>
      </c>
      <c r="AH187" s="39" t="n">
        <f aca="false">IF(AND($F187&lt;&gt;"",$O187&lt;&gt;"",$O187&lt;=Hoje!$C$3,$P187&gt;=Hoje!$C$3,$R187&lt;&gt;"Cancelada"),1,0)</f>
        <v>0</v>
      </c>
      <c r="AI187" s="39" t="n">
        <f aca="false">IF(AND($F187&lt;&gt;"",$P187&lt;&gt;"",$P187&lt;Hoje!$C$3,$AB187=0,$R187&lt;&gt;"Cancelada"),1,0)</f>
        <v>0</v>
      </c>
      <c r="AJ187" s="50" t="str">
        <f aca="false">IF($F187="","",$D187&amp;"|"&amp;$E187&amp;"|"&amp;$L187)</f>
        <v>F-814|BAIXA DE PENDENCIAS|37</v>
      </c>
      <c r="AK187" s="39" t="n">
        <f aca="false">IF($AJ187="","",COUNTIF($AJ$4:$AJ187,$AJ187))</f>
        <v>2</v>
      </c>
      <c r="AL187" s="39" t="n">
        <f aca="false">IF($AJ187="","",COUNTIF($AJ$4:$AJ$1004,$AJ187))</f>
        <v>4</v>
      </c>
      <c r="AM187" s="42"/>
      <c r="AN187" s="50" t="str">
        <f aca="false">IF($D187="","",IFERROR(T(VLOOKUP($D187,Listas!$B$5:$H$120,7,0)),""))</f>
        <v/>
      </c>
      <c r="AO187" s="50" t="str">
        <f aca="false">IF(OR($F187="",$L187&lt;&gt;"",$R187="Cancelada",$AT187&lt;&gt;""),"",$AN187&amp;"|"&amp;$D187&amp;"|"&amp;IF($C187="","zzz",$C187)&amp;"|"&amp;TEXT(187,"0000"))</f>
        <v/>
      </c>
      <c r="AP187" s="50" t="str">
        <f aca="false">IF($AO187="","",COUNTIF($AO$5:$AO$1004,"&lt;"&amp;$AO187)-(ROWS($AO$5:$AO$1004)-Hoje!$L$5)+1)</f>
        <v/>
      </c>
      <c r="AQ187" s="50" t="n">
        <f aca="false">IF(AND($F187&lt;&gt;"",$D187=Frota!$C$3),1,0)</f>
        <v>0</v>
      </c>
      <c r="AR187" s="50" t="str">
        <f aca="false">IF($AQ187=0,"",SUM($AQ$4:$AQ187))</f>
        <v/>
      </c>
      <c r="AS187" s="50" t="str">
        <f aca="false">IFERROR(INDEX(Hoje!$K$10:$K$29,MATCH(ROW(),Hoje!$J$10:$J$29,0)),"")</f>
        <v/>
      </c>
      <c r="AT187" s="47" t="n">
        <f aca="false">IF($Q187&lt;&gt;"",$Q187,$AS187)</f>
        <v>46269</v>
      </c>
    </row>
    <row r="188" customFormat="false" ht="16.5" hidden="false" customHeight="true" outlineLevel="0" collapsed="false">
      <c r="A188" s="39" t="n">
        <f aca="false">IF($F188="","",ROW())</f>
        <v>188</v>
      </c>
      <c r="B188" s="40" t="str">
        <f aca="false">IF($F188="",IF($D188="","","Falta a atividade"),IF($R188="Cancelada","Cancelada",IF($AB188=1,IF(N($Z188)&gt;0,"Concluída com atraso","Concluída"),IF($R188="Em programação","Em programação",IF($O188="",IF($M188="","Na carteira","Falta a semana"),IF($AC188=1,"VENCIDA",IF($O188&gt;Hoje!$L$1,"Programada",IF($P188&gt;Hoje!$L$1,"Em execução","Fecha hoje"))))))))</f>
        <v>Concluída</v>
      </c>
      <c r="C188" s="41" t="s">
        <v>476</v>
      </c>
      <c r="D188" s="42" t="s">
        <v>461</v>
      </c>
      <c r="E188" s="42" t="s">
        <v>452</v>
      </c>
      <c r="F188" s="42" t="s">
        <v>477</v>
      </c>
      <c r="G188" s="43" t="s">
        <v>80</v>
      </c>
      <c r="H188" s="43" t="s">
        <v>100</v>
      </c>
      <c r="I188" s="44" t="s">
        <v>283</v>
      </c>
      <c r="J188" s="44"/>
      <c r="K188" s="44"/>
      <c r="L188" s="45" t="n">
        <v>37</v>
      </c>
      <c r="M188" s="46" t="s">
        <v>131</v>
      </c>
      <c r="N188" s="45" t="n">
        <v>2</v>
      </c>
      <c r="O188" s="47" t="n">
        <f aca="false">IF(OR($L188="",$M188=""),"",(DATE(Semana!$J$3,1,4)-WEEKDAY(DATE(Semana!$J$3,1,4),3))+($L188-1)*7+MATCH($M188,Listas!$F$5:$F$11,0)-1)</f>
        <v>46273</v>
      </c>
      <c r="P188" s="47" t="n">
        <f aca="false">IF(OR($F188="",$O188=""),"",$O188+MAX(0,ROUNDUP($AK188*MAX(1,IF($N188="",1,$N188))/MAX(1,$AL188),0)-1))</f>
        <v>46274</v>
      </c>
      <c r="Q188" s="48" t="n">
        <v>46269</v>
      </c>
      <c r="R188" s="43" t="s">
        <v>85</v>
      </c>
      <c r="S188" s="49" t="n">
        <v>36</v>
      </c>
      <c r="T188" s="42" t="s">
        <v>463</v>
      </c>
      <c r="U188" s="42"/>
      <c r="V188" s="39" t="str">
        <f aca="false">IF($F188="","",IF(ISNUMBER(SEARCH("(externo)",$I188&amp;$J188&amp;$K188)),"Terceirizada","Interna"))</f>
        <v>Interna</v>
      </c>
      <c r="W188" s="47" t="n">
        <f aca="false">IF($O188="","",IF($S188="",$O188,(DATE(Semana!$J$3,1,4)-WEEKDAY(DATE(Semana!$J$3,1,4),3))+($S188-1)*7+IF($M188="",0,MATCH($M188,Listas!$F$5:$F$11,0)-1)))</f>
        <v>46266</v>
      </c>
      <c r="X188" s="39" t="n">
        <f aca="false">IF($F188="","",IF(OR($AT188="",$O188=""),0,IF($AT188&lt;=$O188,1,0)))</f>
        <v>1</v>
      </c>
      <c r="Y188" s="39" t="n">
        <f aca="false">IF($F188="","",IF(OR($AT188="",$W188=""),0,IF($AT188&lt;=$W188,1,0)))</f>
        <v>0</v>
      </c>
      <c r="Z188" s="39" t="n">
        <f aca="false">IF(OR($AT188="",$O188=""),"",MAX(0,$AT188-$O188))</f>
        <v>0</v>
      </c>
      <c r="AA188" s="39" t="n">
        <f aca="false">IF($F188="","",IF(AND($S188&lt;&gt;"",$L188&lt;&gt;"",$S188&lt;&gt;$L188),1,0))</f>
        <v>1</v>
      </c>
      <c r="AB188" s="39" t="n">
        <f aca="false">IF($F188="","",IF($R188="Cancelada",0,IF(OR($AT188&lt;&gt;"",$R188="Concluída"),1,0)))</f>
        <v>1</v>
      </c>
      <c r="AC188" s="39" t="n">
        <f aca="false">IF($P188="",0,IF($P188&lt;Hoje!$L$1,1,IF(AND($P188=Hoje!$L$1,Hoje!$L$2&gt;Semana!$M$3),1,0)))</f>
        <v>0</v>
      </c>
      <c r="AD188" s="39" t="n">
        <f aca="false">IF($F188="","",IF(COUNTA($I188:$K188)=0,0,1/COUNTA($I188:$K188)))</f>
        <v>1</v>
      </c>
      <c r="AE188" s="39" t="n">
        <f aca="false">IF($AH188=0,"",SUM($AH$4:$AH188))</f>
        <v>5</v>
      </c>
      <c r="AF188" s="39" t="str">
        <f aca="false">IF($AI188=0,"",SUM($AI$4:$AI188))</f>
        <v/>
      </c>
      <c r="AG188" s="50" t="str">
        <f aca="false">IF($F188="","",$I188&amp;IF($J188="",""," · "&amp;$J188)&amp;IF($K188="",""," · "&amp;$K188))</f>
        <v>Heliton</v>
      </c>
      <c r="AH188" s="39" t="n">
        <f aca="false">IF(AND($F188&lt;&gt;"",$O188&lt;&gt;"",$O188&lt;=Hoje!$C$3,$P188&gt;=Hoje!$C$3,$R188&lt;&gt;"Cancelada"),1,0)</f>
        <v>1</v>
      </c>
      <c r="AI188" s="39" t="n">
        <f aca="false">IF(AND($F188&lt;&gt;"",$P188&lt;&gt;"",$P188&lt;Hoje!$C$3,$AB188=0,$R188&lt;&gt;"Cancelada"),1,0)</f>
        <v>0</v>
      </c>
      <c r="AJ188" s="50" t="str">
        <f aca="false">IF($F188="","",$D188&amp;"|"&amp;$E188&amp;"|"&amp;$L188)</f>
        <v>F-814|BAIXA DE PENDENCIAS|37</v>
      </c>
      <c r="AK188" s="39" t="n">
        <f aca="false">IF($AJ188="","",COUNTIF($AJ$4:$AJ188,$AJ188))</f>
        <v>3</v>
      </c>
      <c r="AL188" s="39" t="n">
        <f aca="false">IF($AJ188="","",COUNTIF($AJ$4:$AJ$1004,$AJ188))</f>
        <v>4</v>
      </c>
      <c r="AM188" s="42"/>
      <c r="AN188" s="50" t="str">
        <f aca="false">IF($D188="","",IFERROR(T(VLOOKUP($D188,Listas!$B$5:$H$120,7,0)),""))</f>
        <v/>
      </c>
      <c r="AO188" s="50" t="str">
        <f aca="false">IF(OR($F188="",$L188&lt;&gt;"",$R188="Cancelada",$AT188&lt;&gt;""),"",$AN188&amp;"|"&amp;$D188&amp;"|"&amp;IF($C188="","zzz",$C188)&amp;"|"&amp;TEXT(188,"0000"))</f>
        <v/>
      </c>
      <c r="AP188" s="50" t="str">
        <f aca="false">IF($AO188="","",COUNTIF($AO$5:$AO$1004,"&lt;"&amp;$AO188)-(ROWS($AO$5:$AO$1004)-Hoje!$L$5)+1)</f>
        <v/>
      </c>
      <c r="AQ188" s="50" t="n">
        <f aca="false">IF(AND($F188&lt;&gt;"",$D188=Frota!$C$3),1,0)</f>
        <v>0</v>
      </c>
      <c r="AR188" s="50" t="str">
        <f aca="false">IF($AQ188=0,"",SUM($AQ$4:$AQ188))</f>
        <v/>
      </c>
      <c r="AS188" s="50" t="str">
        <f aca="false">IFERROR(INDEX(Hoje!$K$10:$K$29,MATCH(ROW(),Hoje!$J$10:$J$29,0)),"")</f>
        <v/>
      </c>
      <c r="AT188" s="47" t="n">
        <f aca="false">IF($Q188&lt;&gt;"",$Q188,$AS188)</f>
        <v>46269</v>
      </c>
    </row>
    <row r="189" customFormat="false" ht="16.5" hidden="false" customHeight="true" outlineLevel="0" collapsed="false">
      <c r="A189" s="39" t="n">
        <f aca="false">IF($F189="","",ROW())</f>
        <v>189</v>
      </c>
      <c r="B189" s="40" t="str">
        <f aca="false">IF($F189="",IF($D189="","","Falta a atividade"),IF($R189="Cancelada","Cancelada",IF($AB189=1,IF(N($Z189)&gt;0,"Concluída com atraso","Concluída"),IF($R189="Em programação","Em programação",IF($O189="",IF($M189="","Na carteira","Falta a semana"),IF($AC189=1,"VENCIDA",IF($O189&gt;Hoje!$L$1,"Programada",IF($P189&gt;Hoje!$L$1,"Em execução","Fecha hoje"))))))))</f>
        <v>Concluída</v>
      </c>
      <c r="C189" s="41" t="s">
        <v>478</v>
      </c>
      <c r="D189" s="42" t="s">
        <v>461</v>
      </c>
      <c r="E189" s="42" t="s">
        <v>452</v>
      </c>
      <c r="F189" s="42" t="s">
        <v>479</v>
      </c>
      <c r="G189" s="43" t="s">
        <v>80</v>
      </c>
      <c r="H189" s="43" t="s">
        <v>100</v>
      </c>
      <c r="I189" s="44" t="s">
        <v>88</v>
      </c>
      <c r="J189" s="44"/>
      <c r="K189" s="44"/>
      <c r="L189" s="45" t="n">
        <v>36</v>
      </c>
      <c r="M189" s="46" t="s">
        <v>142</v>
      </c>
      <c r="N189" s="45" t="n">
        <v>2</v>
      </c>
      <c r="O189" s="47" t="n">
        <f aca="false">IF(OR($L189="",$M189=""),"",(DATE(Semana!$J$3,1,4)-WEEKDAY(DATE(Semana!$J$3,1,4),3))+($L189-1)*7+MATCH($M189,Listas!$F$5:$F$11,0)-1)</f>
        <v>46269</v>
      </c>
      <c r="P189" s="47" t="n">
        <f aca="false">IF(OR($F189="",$O189=""),"",$O189+MAX(0,ROUNDUP($AK189*MAX(1,IF($N189="",1,$N189))/MAX(1,$AL189),0)-1))</f>
        <v>46270</v>
      </c>
      <c r="Q189" s="48" t="n">
        <v>46269</v>
      </c>
      <c r="R189" s="43" t="s">
        <v>85</v>
      </c>
      <c r="S189" s="49"/>
      <c r="T189" s="42" t="s">
        <v>463</v>
      </c>
      <c r="U189" s="42"/>
      <c r="V189" s="39" t="str">
        <f aca="false">IF($F189="","",IF(ISNUMBER(SEARCH("(externo)",$I189&amp;$J189&amp;$K189)),"Terceirizada","Interna"))</f>
        <v>Interna</v>
      </c>
      <c r="W189" s="47" t="n">
        <f aca="false">IF($O189="","",IF($S189="",$O189,(DATE(Semana!$J$3,1,4)-WEEKDAY(DATE(Semana!$J$3,1,4),3))+($S189-1)*7+IF($M189="",0,MATCH($M189,Listas!$F$5:$F$11,0)-1)))</f>
        <v>46269</v>
      </c>
      <c r="X189" s="39" t="n">
        <f aca="false">IF($F189="","",IF(OR($AT189="",$O189=""),0,IF($AT189&lt;=$O189,1,0)))</f>
        <v>1</v>
      </c>
      <c r="Y189" s="39" t="n">
        <f aca="false">IF($F189="","",IF(OR($AT189="",$W189=""),0,IF($AT189&lt;=$W189,1,0)))</f>
        <v>1</v>
      </c>
      <c r="Z189" s="39" t="n">
        <f aca="false">IF(OR($AT189="",$O189=""),"",MAX(0,$AT189-$O189))</f>
        <v>0</v>
      </c>
      <c r="AA189" s="39" t="n">
        <f aca="false">IF($F189="","",IF(AND($S189&lt;&gt;"",$L189&lt;&gt;"",$S189&lt;&gt;$L189),1,0))</f>
        <v>0</v>
      </c>
      <c r="AB189" s="39" t="n">
        <f aca="false">IF($F189="","",IF($R189="Cancelada",0,IF(OR($AT189&lt;&gt;"",$R189="Concluída"),1,0)))</f>
        <v>1</v>
      </c>
      <c r="AC189" s="39" t="n">
        <f aca="false">IF($P189="",0,IF($P189&lt;Hoje!$L$1,1,IF(AND($P189=Hoje!$L$1,Hoje!$L$2&gt;Semana!$M$3),1,0)))</f>
        <v>1</v>
      </c>
      <c r="AD189" s="39" t="n">
        <f aca="false">IF($F189="","",IF(COUNTA($I189:$K189)=0,0,1/COUNTA($I189:$K189)))</f>
        <v>1</v>
      </c>
      <c r="AE189" s="39" t="str">
        <f aca="false">IF($AH189=0,"",SUM($AH$4:$AH189))</f>
        <v/>
      </c>
      <c r="AF189" s="39" t="str">
        <f aca="false">IF($AI189=0,"",SUM($AI$4:$AI189))</f>
        <v/>
      </c>
      <c r="AG189" s="50" t="str">
        <f aca="false">IF($F189="","",$I189&amp;IF($J189="",""," · "&amp;$J189)&amp;IF($K189="",""," · "&amp;$K189))</f>
        <v>Júnior</v>
      </c>
      <c r="AH189" s="39" t="n">
        <f aca="false">IF(AND($F189&lt;&gt;"",$O189&lt;&gt;"",$O189&lt;=Hoje!$C$3,$P189&gt;=Hoje!$C$3,$R189&lt;&gt;"Cancelada"),1,0)</f>
        <v>0</v>
      </c>
      <c r="AI189" s="39" t="n">
        <f aca="false">IF(AND($F189&lt;&gt;"",$P189&lt;&gt;"",$P189&lt;Hoje!$C$3,$AB189=0,$R189&lt;&gt;"Cancelada"),1,0)</f>
        <v>0</v>
      </c>
      <c r="AJ189" s="50" t="str">
        <f aca="false">IF($F189="","",$D189&amp;"|"&amp;$E189&amp;"|"&amp;$L189)</f>
        <v>F-814|BAIXA DE PENDENCIAS|36</v>
      </c>
      <c r="AK189" s="39" t="n">
        <f aca="false">IF($AJ189="","",COUNTIF($AJ$4:$AJ189,$AJ189))</f>
        <v>5</v>
      </c>
      <c r="AL189" s="39" t="n">
        <f aca="false">IF($AJ189="","",COUNTIF($AJ$4:$AJ$1004,$AJ189))</f>
        <v>6</v>
      </c>
      <c r="AM189" s="42"/>
      <c r="AN189" s="50" t="str">
        <f aca="false">IF($D189="","",IFERROR(T(VLOOKUP($D189,Listas!$B$5:$H$120,7,0)),""))</f>
        <v/>
      </c>
      <c r="AO189" s="50" t="str">
        <f aca="false">IF(OR($F189="",$L189&lt;&gt;"",$R189="Cancelada",$AT189&lt;&gt;""),"",$AN189&amp;"|"&amp;$D189&amp;"|"&amp;IF($C189="","zzz",$C189)&amp;"|"&amp;TEXT(189,"0000"))</f>
        <v/>
      </c>
      <c r="AP189" s="50" t="str">
        <f aca="false">IF($AO189="","",COUNTIF($AO$5:$AO$1004,"&lt;"&amp;$AO189)-(ROWS($AO$5:$AO$1004)-Hoje!$L$5)+1)</f>
        <v/>
      </c>
      <c r="AQ189" s="50" t="n">
        <f aca="false">IF(AND($F189&lt;&gt;"",$D189=Frota!$C$3),1,0)</f>
        <v>0</v>
      </c>
      <c r="AR189" s="50" t="str">
        <f aca="false">IF($AQ189=0,"",SUM($AQ$4:$AQ189))</f>
        <v/>
      </c>
      <c r="AS189" s="50" t="str">
        <f aca="false">IFERROR(INDEX(Hoje!$K$10:$K$29,MATCH(ROW(),Hoje!$J$10:$J$29,0)),"")</f>
        <v/>
      </c>
      <c r="AT189" s="47" t="n">
        <f aca="false">IF($Q189&lt;&gt;"",$Q189,$AS189)</f>
        <v>46269</v>
      </c>
    </row>
    <row r="190" customFormat="false" ht="16.5" hidden="false" customHeight="true" outlineLevel="0" collapsed="false">
      <c r="A190" s="39" t="n">
        <f aca="false">IF($F190="","",ROW())</f>
        <v>190</v>
      </c>
      <c r="B190" s="40" t="str">
        <f aca="false">IF($F190="",IF($D190="","","Falta a atividade"),IF($R190="Cancelada","Cancelada",IF($AB190=1,IF(N($Z190)&gt;0,"Concluída com atraso","Concluída"),IF($R190="Em programação","Em programação",IF($O190="",IF($M190="","Na carteira","Falta a semana"),IF($AC190=1,"VENCIDA",IF($O190&gt;Hoje!$L$1,"Programada",IF($P190&gt;Hoje!$L$1,"Em execução","Fecha hoje"))))))))</f>
        <v>Concluída</v>
      </c>
      <c r="C190" s="41" t="s">
        <v>480</v>
      </c>
      <c r="D190" s="42" t="s">
        <v>461</v>
      </c>
      <c r="E190" s="42" t="s">
        <v>452</v>
      </c>
      <c r="F190" s="42" t="s">
        <v>481</v>
      </c>
      <c r="G190" s="43" t="s">
        <v>80</v>
      </c>
      <c r="H190" s="43" t="s">
        <v>100</v>
      </c>
      <c r="I190" s="44" t="s">
        <v>182</v>
      </c>
      <c r="J190" s="44"/>
      <c r="K190" s="44"/>
      <c r="L190" s="45" t="n">
        <v>36</v>
      </c>
      <c r="M190" s="46" t="s">
        <v>142</v>
      </c>
      <c r="N190" s="45" t="n">
        <v>2</v>
      </c>
      <c r="O190" s="47" t="n">
        <f aca="false">IF(OR($L190="",$M190=""),"",(DATE(Semana!$J$3,1,4)-WEEKDAY(DATE(Semana!$J$3,1,4),3))+($L190-1)*7+MATCH($M190,Listas!$F$5:$F$11,0)-1)</f>
        <v>46269</v>
      </c>
      <c r="P190" s="47" t="n">
        <f aca="false">IF(OR($F190="",$O190=""),"",$O190+MAX(0,ROUNDUP($AK190*MAX(1,IF($N190="",1,$N190))/MAX(1,$AL190),0)-1))</f>
        <v>46270</v>
      </c>
      <c r="Q190" s="48" t="n">
        <v>46269</v>
      </c>
      <c r="R190" s="43" t="s">
        <v>85</v>
      </c>
      <c r="S190" s="49"/>
      <c r="T190" s="42" t="s">
        <v>463</v>
      </c>
      <c r="U190" s="42" t="s">
        <v>482</v>
      </c>
      <c r="V190" s="39" t="str">
        <f aca="false">IF($F190="","",IF(ISNUMBER(SEARCH("(externo)",$I190&amp;$J190&amp;$K190)),"Terceirizada","Interna"))</f>
        <v>Interna</v>
      </c>
      <c r="W190" s="47" t="n">
        <f aca="false">IF($O190="","",IF($S190="",$O190,(DATE(Semana!$J$3,1,4)-WEEKDAY(DATE(Semana!$J$3,1,4),3))+($S190-1)*7+IF($M190="",0,MATCH($M190,Listas!$F$5:$F$11,0)-1)))</f>
        <v>46269</v>
      </c>
      <c r="X190" s="39" t="n">
        <f aca="false">IF($F190="","",IF(OR($AT190="",$O190=""),0,IF($AT190&lt;=$O190,1,0)))</f>
        <v>1</v>
      </c>
      <c r="Y190" s="39" t="n">
        <f aca="false">IF($F190="","",IF(OR($AT190="",$W190=""),0,IF($AT190&lt;=$W190,1,0)))</f>
        <v>1</v>
      </c>
      <c r="Z190" s="39" t="n">
        <f aca="false">IF(OR($AT190="",$O190=""),"",MAX(0,$AT190-$O190))</f>
        <v>0</v>
      </c>
      <c r="AA190" s="39" t="n">
        <f aca="false">IF($F190="","",IF(AND($S190&lt;&gt;"",$L190&lt;&gt;"",$S190&lt;&gt;$L190),1,0))</f>
        <v>0</v>
      </c>
      <c r="AB190" s="39" t="n">
        <f aca="false">IF($F190="","",IF($R190="Cancelada",0,IF(OR($AT190&lt;&gt;"",$R190="Concluída"),1,0)))</f>
        <v>1</v>
      </c>
      <c r="AC190" s="39" t="n">
        <f aca="false">IF($P190="",0,IF($P190&lt;Hoje!$L$1,1,IF(AND($P190=Hoje!$L$1,Hoje!$L$2&gt;Semana!$M$3),1,0)))</f>
        <v>1</v>
      </c>
      <c r="AD190" s="39" t="n">
        <f aca="false">IF($F190="","",IF(COUNTA($I190:$K190)=0,0,1/COUNTA($I190:$K190)))</f>
        <v>1</v>
      </c>
      <c r="AE190" s="39" t="str">
        <f aca="false">IF($AH190=0,"",SUM($AH$4:$AH190))</f>
        <v/>
      </c>
      <c r="AF190" s="39" t="str">
        <f aca="false">IF($AI190=0,"",SUM($AI$4:$AI190))</f>
        <v/>
      </c>
      <c r="AG190" s="50" t="str">
        <f aca="false">IF($F190="","",$I190&amp;IF($J190="",""," · "&amp;$J190)&amp;IF($K190="",""," · "&amp;$K190))</f>
        <v>Alexandre</v>
      </c>
      <c r="AH190" s="39" t="n">
        <f aca="false">IF(AND($F190&lt;&gt;"",$O190&lt;&gt;"",$O190&lt;=Hoje!$C$3,$P190&gt;=Hoje!$C$3,$R190&lt;&gt;"Cancelada"),1,0)</f>
        <v>0</v>
      </c>
      <c r="AI190" s="39" t="n">
        <f aca="false">IF(AND($F190&lt;&gt;"",$P190&lt;&gt;"",$P190&lt;Hoje!$C$3,$AB190=0,$R190&lt;&gt;"Cancelada"),1,0)</f>
        <v>0</v>
      </c>
      <c r="AJ190" s="50" t="str">
        <f aca="false">IF($F190="","",$D190&amp;"|"&amp;$E190&amp;"|"&amp;$L190)</f>
        <v>F-814|BAIXA DE PENDENCIAS|36</v>
      </c>
      <c r="AK190" s="39" t="n">
        <f aca="false">IF($AJ190="","",COUNTIF($AJ$4:$AJ190,$AJ190))</f>
        <v>6</v>
      </c>
      <c r="AL190" s="39" t="n">
        <f aca="false">IF($AJ190="","",COUNTIF($AJ$4:$AJ$1004,$AJ190))</f>
        <v>6</v>
      </c>
      <c r="AM190" s="42"/>
      <c r="AN190" s="50" t="str">
        <f aca="false">IF($D190="","",IFERROR(T(VLOOKUP($D190,Listas!$B$5:$H$120,7,0)),""))</f>
        <v/>
      </c>
      <c r="AO190" s="50" t="str">
        <f aca="false">IF(OR($F190="",$L190&lt;&gt;"",$R190="Cancelada",$AT190&lt;&gt;""),"",$AN190&amp;"|"&amp;$D190&amp;"|"&amp;IF($C190="","zzz",$C190)&amp;"|"&amp;TEXT(190,"0000"))</f>
        <v/>
      </c>
      <c r="AP190" s="50" t="str">
        <f aca="false">IF($AO190="","",COUNTIF($AO$5:$AO$1004,"&lt;"&amp;$AO190)-(ROWS($AO$5:$AO$1004)-Hoje!$L$5)+1)</f>
        <v/>
      </c>
      <c r="AQ190" s="50" t="n">
        <f aca="false">IF(AND($F190&lt;&gt;"",$D190=Frota!$C$3),1,0)</f>
        <v>0</v>
      </c>
      <c r="AR190" s="50" t="str">
        <f aca="false">IF($AQ190=0,"",SUM($AQ$4:$AQ190))</f>
        <v/>
      </c>
      <c r="AS190" s="50" t="str">
        <f aca="false">IFERROR(INDEX(Hoje!$K$10:$K$29,MATCH(ROW(),Hoje!$J$10:$J$29,0)),"")</f>
        <v/>
      </c>
      <c r="AT190" s="47" t="n">
        <f aca="false">IF($Q190&lt;&gt;"",$Q190,$AS190)</f>
        <v>46269</v>
      </c>
    </row>
    <row r="191" customFormat="false" ht="16.5" hidden="false" customHeight="true" outlineLevel="0" collapsed="false">
      <c r="A191" s="39" t="n">
        <f aca="false">IF($F191="","",ROW())</f>
        <v>191</v>
      </c>
      <c r="B191" s="40" t="str">
        <f aca="false">IF($F191="",IF($D191="","","Falta a atividade"),IF($R191="Cancelada","Cancelada",IF($AB191=1,IF(N($Z191)&gt;0,"Concluída com atraso","Concluída"),IF($R191="Em programação","Em programação",IF($O191="",IF($M191="","Na carteira","Falta a semana"),IF($AC191=1,"VENCIDA",IF($O191&gt;Hoje!$L$1,"Programada",IF($P191&gt;Hoje!$L$1,"Em execução","Fecha hoje"))))))))</f>
        <v>Concluída</v>
      </c>
      <c r="C191" s="41" t="s">
        <v>483</v>
      </c>
      <c r="D191" s="42" t="s">
        <v>461</v>
      </c>
      <c r="E191" s="42" t="s">
        <v>452</v>
      </c>
      <c r="F191" s="42" t="s">
        <v>484</v>
      </c>
      <c r="G191" s="43" t="s">
        <v>80</v>
      </c>
      <c r="H191" s="43" t="s">
        <v>100</v>
      </c>
      <c r="I191" s="44" t="s">
        <v>88</v>
      </c>
      <c r="J191" s="44" t="s">
        <v>283</v>
      </c>
      <c r="K191" s="44"/>
      <c r="L191" s="45" t="n">
        <v>37</v>
      </c>
      <c r="M191" s="46" t="s">
        <v>131</v>
      </c>
      <c r="N191" s="45" t="n">
        <v>2</v>
      </c>
      <c r="O191" s="47" t="n">
        <f aca="false">IF(OR($L191="",$M191=""),"",(DATE(Semana!$J$3,1,4)-WEEKDAY(DATE(Semana!$J$3,1,4),3))+($L191-1)*7+MATCH($M191,Listas!$F$5:$F$11,0)-1)</f>
        <v>46273</v>
      </c>
      <c r="P191" s="47" t="n">
        <f aca="false">IF(OR($F191="",$O191=""),"",$O191+MAX(0,ROUNDUP($AK191*MAX(1,IF($N191="",1,$N191))/MAX(1,$AL191),0)-1))</f>
        <v>46274</v>
      </c>
      <c r="Q191" s="48" t="n">
        <v>46269</v>
      </c>
      <c r="R191" s="43" t="s">
        <v>85</v>
      </c>
      <c r="S191" s="49" t="n">
        <v>36</v>
      </c>
      <c r="T191" s="42" t="s">
        <v>463</v>
      </c>
      <c r="U191" s="42"/>
      <c r="V191" s="39" t="str">
        <f aca="false">IF($F191="","",IF(ISNUMBER(SEARCH("(externo)",$I191&amp;$J191&amp;$K191)),"Terceirizada","Interna"))</f>
        <v>Interna</v>
      </c>
      <c r="W191" s="47" t="n">
        <f aca="false">IF($O191="","",IF($S191="",$O191,(DATE(Semana!$J$3,1,4)-WEEKDAY(DATE(Semana!$J$3,1,4),3))+($S191-1)*7+IF($M191="",0,MATCH($M191,Listas!$F$5:$F$11,0)-1)))</f>
        <v>46266</v>
      </c>
      <c r="X191" s="39" t="n">
        <f aca="false">IF($F191="","",IF(OR($AT191="",$O191=""),0,IF($AT191&lt;=$O191,1,0)))</f>
        <v>1</v>
      </c>
      <c r="Y191" s="39" t="n">
        <f aca="false">IF($F191="","",IF(OR($AT191="",$W191=""),0,IF($AT191&lt;=$W191,1,0)))</f>
        <v>0</v>
      </c>
      <c r="Z191" s="39" t="n">
        <f aca="false">IF(OR($AT191="",$O191=""),"",MAX(0,$AT191-$O191))</f>
        <v>0</v>
      </c>
      <c r="AA191" s="39" t="n">
        <f aca="false">IF($F191="","",IF(AND($S191&lt;&gt;"",$L191&lt;&gt;"",$S191&lt;&gt;$L191),1,0))</f>
        <v>1</v>
      </c>
      <c r="AB191" s="39" t="n">
        <f aca="false">IF($F191="","",IF($R191="Cancelada",0,IF(OR($AT191&lt;&gt;"",$R191="Concluída"),1,0)))</f>
        <v>1</v>
      </c>
      <c r="AC191" s="39" t="n">
        <f aca="false">IF($P191="",0,IF($P191&lt;Hoje!$L$1,1,IF(AND($P191=Hoje!$L$1,Hoje!$L$2&gt;Semana!$M$3),1,0)))</f>
        <v>0</v>
      </c>
      <c r="AD191" s="39" t="n">
        <f aca="false">IF($F191="","",IF(COUNTA($I191:$K191)=0,0,1/COUNTA($I191:$K191)))</f>
        <v>0.5</v>
      </c>
      <c r="AE191" s="39" t="n">
        <f aca="false">IF($AH191=0,"",SUM($AH$4:$AH191))</f>
        <v>6</v>
      </c>
      <c r="AF191" s="39" t="str">
        <f aca="false">IF($AI191=0,"",SUM($AI$4:$AI191))</f>
        <v/>
      </c>
      <c r="AG191" s="50" t="str">
        <f aca="false">IF($F191="","",$I191&amp;IF($J191="",""," · "&amp;$J191)&amp;IF($K191="",""," · "&amp;$K191))</f>
        <v>Júnior · Heliton</v>
      </c>
      <c r="AH191" s="39" t="n">
        <f aca="false">IF(AND($F191&lt;&gt;"",$O191&lt;&gt;"",$O191&lt;=Hoje!$C$3,$P191&gt;=Hoje!$C$3,$R191&lt;&gt;"Cancelada"),1,0)</f>
        <v>1</v>
      </c>
      <c r="AI191" s="39" t="n">
        <f aca="false">IF(AND($F191&lt;&gt;"",$P191&lt;&gt;"",$P191&lt;Hoje!$C$3,$AB191=0,$R191&lt;&gt;"Cancelada"),1,0)</f>
        <v>0</v>
      </c>
      <c r="AJ191" s="50" t="str">
        <f aca="false">IF($F191="","",$D191&amp;"|"&amp;$E191&amp;"|"&amp;$L191)</f>
        <v>F-814|BAIXA DE PENDENCIAS|37</v>
      </c>
      <c r="AK191" s="39" t="n">
        <f aca="false">IF($AJ191="","",COUNTIF($AJ$4:$AJ191,$AJ191))</f>
        <v>4</v>
      </c>
      <c r="AL191" s="39" t="n">
        <f aca="false">IF($AJ191="","",COUNTIF($AJ$4:$AJ$1004,$AJ191))</f>
        <v>4</v>
      </c>
      <c r="AM191" s="42"/>
      <c r="AN191" s="50" t="str">
        <f aca="false">IF($D191="","",IFERROR(T(VLOOKUP($D191,Listas!$B$5:$H$120,7,0)),""))</f>
        <v/>
      </c>
      <c r="AO191" s="50" t="str">
        <f aca="false">IF(OR($F191="",$L191&lt;&gt;"",$R191="Cancelada",$AT191&lt;&gt;""),"",$AN191&amp;"|"&amp;$D191&amp;"|"&amp;IF($C191="","zzz",$C191)&amp;"|"&amp;TEXT(191,"0000"))</f>
        <v/>
      </c>
      <c r="AP191" s="50" t="str">
        <f aca="false">IF($AO191="","",COUNTIF($AO$5:$AO$1004,"&lt;"&amp;$AO191)-(ROWS($AO$5:$AO$1004)-Hoje!$L$5)+1)</f>
        <v/>
      </c>
      <c r="AQ191" s="50" t="n">
        <f aca="false">IF(AND($F191&lt;&gt;"",$D191=Frota!$C$3),1,0)</f>
        <v>0</v>
      </c>
      <c r="AR191" s="50" t="str">
        <f aca="false">IF($AQ191=0,"",SUM($AQ$4:$AQ191))</f>
        <v/>
      </c>
      <c r="AS191" s="50" t="str">
        <f aca="false">IFERROR(INDEX(Hoje!$K$10:$K$29,MATCH(ROW(),Hoje!$J$10:$J$29,0)),"")</f>
        <v/>
      </c>
      <c r="AT191" s="47" t="n">
        <f aca="false">IF($Q191&lt;&gt;"",$Q191,$AS191)</f>
        <v>46269</v>
      </c>
    </row>
    <row r="192" customFormat="false" ht="16.5" hidden="false" customHeight="true" outlineLevel="0" collapsed="false">
      <c r="A192" s="39" t="n">
        <f aca="false">IF($F192="","",ROW())</f>
        <v>192</v>
      </c>
      <c r="B192" s="40" t="str">
        <f aca="false">IF($F192="",IF($D192="","","Falta a atividade"),IF($R192="Cancelada","Cancelada",IF($AB192=1,IF(N($Z192)&gt;0,"Concluída com atraso","Concluída"),IF($R192="Em programação","Em programação",IF($O192="",IF($M192="","Na carteira","Falta a semana"),IF($AC192=1,"VENCIDA",IF($O192&gt;Hoje!$L$1,"Programada",IF($P192&gt;Hoje!$L$1,"Em execução","Fecha hoje"))))))))</f>
        <v>Concluída</v>
      </c>
      <c r="C192" s="41" t="s">
        <v>485</v>
      </c>
      <c r="D192" s="42" t="s">
        <v>486</v>
      </c>
      <c r="E192" s="42" t="s">
        <v>487</v>
      </c>
      <c r="F192" s="42" t="s">
        <v>488</v>
      </c>
      <c r="G192" s="43" t="s">
        <v>80</v>
      </c>
      <c r="H192" s="43" t="s">
        <v>81</v>
      </c>
      <c r="I192" s="44" t="s">
        <v>107</v>
      </c>
      <c r="J192" s="44"/>
      <c r="K192" s="44"/>
      <c r="L192" s="45" t="n">
        <v>36</v>
      </c>
      <c r="M192" s="46" t="s">
        <v>108</v>
      </c>
      <c r="N192" s="45" t="n">
        <v>1</v>
      </c>
      <c r="O192" s="47" t="n">
        <f aca="false">IF(OR($L192="",$M192=""),"",(DATE(Semana!$J$3,1,4)-WEEKDAY(DATE(Semana!$J$3,1,4),3))+($L192-1)*7+MATCH($M192,Listas!$F$5:$F$11,0)-1)</f>
        <v>46265</v>
      </c>
      <c r="P192" s="47" t="n">
        <f aca="false">IF(OR($F192="",$O192=""),"",$O192+MAX(0,ROUNDUP($AK192*MAX(1,IF($N192="",1,$N192))/MAX(1,$AL192),0)-1))</f>
        <v>46265</v>
      </c>
      <c r="Q192" s="48" t="n">
        <v>46265</v>
      </c>
      <c r="R192" s="43" t="s">
        <v>85</v>
      </c>
      <c r="S192" s="49"/>
      <c r="T192" s="42"/>
      <c r="U192" s="42"/>
      <c r="V192" s="39" t="str">
        <f aca="false">IF($F192="","",IF(ISNUMBER(SEARCH("(externo)",$I192&amp;$J192&amp;$K192)),"Terceirizada","Interna"))</f>
        <v>Interna</v>
      </c>
      <c r="W192" s="47" t="n">
        <f aca="false">IF($O192="","",IF($S192="",$O192,(DATE(Semana!$J$3,1,4)-WEEKDAY(DATE(Semana!$J$3,1,4),3))+($S192-1)*7+IF($M192="",0,MATCH($M192,Listas!$F$5:$F$11,0)-1)))</f>
        <v>46265</v>
      </c>
      <c r="X192" s="39" t="n">
        <f aca="false">IF($F192="","",IF(OR($AT192="",$O192=""),0,IF($AT192&lt;=$O192,1,0)))</f>
        <v>1</v>
      </c>
      <c r="Y192" s="39" t="n">
        <f aca="false">IF($F192="","",IF(OR($AT192="",$W192=""),0,IF($AT192&lt;=$W192,1,0)))</f>
        <v>1</v>
      </c>
      <c r="Z192" s="39" t="n">
        <f aca="false">IF(OR($AT192="",$O192=""),"",MAX(0,$AT192-$O192))</f>
        <v>0</v>
      </c>
      <c r="AA192" s="39" t="n">
        <f aca="false">IF($F192="","",IF(AND($S192&lt;&gt;"",$L192&lt;&gt;"",$S192&lt;&gt;$L192),1,0))</f>
        <v>0</v>
      </c>
      <c r="AB192" s="39" t="n">
        <f aca="false">IF($F192="","",IF($R192="Cancelada",0,IF(OR($AT192&lt;&gt;"",$R192="Concluída"),1,0)))</f>
        <v>1</v>
      </c>
      <c r="AC192" s="39" t="n">
        <f aca="false">IF($P192="",0,IF($P192&lt;Hoje!$L$1,1,IF(AND($P192=Hoje!$L$1,Hoje!$L$2&gt;Semana!$M$3),1,0)))</f>
        <v>1</v>
      </c>
      <c r="AD192" s="39" t="n">
        <f aca="false">IF($F192="","",IF(COUNTA($I192:$K192)=0,0,1/COUNTA($I192:$K192)))</f>
        <v>1</v>
      </c>
      <c r="AE192" s="39" t="str">
        <f aca="false">IF($AH192=0,"",SUM($AH$4:$AH192))</f>
        <v/>
      </c>
      <c r="AF192" s="39" t="str">
        <f aca="false">IF($AI192=0,"",SUM($AI$4:$AI192))</f>
        <v/>
      </c>
      <c r="AG192" s="50" t="str">
        <f aca="false">IF($F192="","",$I192&amp;IF($J192="",""," · "&amp;$J192)&amp;IF($K192="",""," · "&amp;$K192))</f>
        <v>Gabriel</v>
      </c>
      <c r="AH192" s="39" t="n">
        <f aca="false">IF(AND($F192&lt;&gt;"",$O192&lt;&gt;"",$O192&lt;=Hoje!$C$3,$P192&gt;=Hoje!$C$3,$R192&lt;&gt;"Cancelada"),1,0)</f>
        <v>0</v>
      </c>
      <c r="AI192" s="39" t="n">
        <f aca="false">IF(AND($F192&lt;&gt;"",$P192&lt;&gt;"",$P192&lt;Hoje!$C$3,$AB192=0,$R192&lt;&gt;"Cancelada"),1,0)</f>
        <v>0</v>
      </c>
      <c r="AJ192" s="50" t="str">
        <f aca="false">IF($F192="","",$D192&amp;"|"&amp;$E192&amp;"|"&amp;$L192)</f>
        <v>F-711|Substituir filtro|36</v>
      </c>
      <c r="AK192" s="39" t="n">
        <f aca="false">IF($AJ192="","",COUNTIF($AJ$4:$AJ192,$AJ192))</f>
        <v>1</v>
      </c>
      <c r="AL192" s="39" t="n">
        <f aca="false">IF($AJ192="","",COUNTIF($AJ$4:$AJ$1004,$AJ192))</f>
        <v>1</v>
      </c>
      <c r="AM192" s="42"/>
      <c r="AN192" s="50" t="str">
        <f aca="false">IF($D192="","",IFERROR(T(VLOOKUP($D192,Listas!$B$5:$H$120,7,0)),""))</f>
        <v/>
      </c>
      <c r="AO192" s="50" t="str">
        <f aca="false">IF(OR($F192="",$L192&lt;&gt;"",$R192="Cancelada",$AT192&lt;&gt;""),"",$AN192&amp;"|"&amp;$D192&amp;"|"&amp;IF($C192="","zzz",$C192)&amp;"|"&amp;TEXT(192,"0000"))</f>
        <v/>
      </c>
      <c r="AP192" s="50" t="str">
        <f aca="false">IF($AO192="","",COUNTIF($AO$5:$AO$1004,"&lt;"&amp;$AO192)-(ROWS($AO$5:$AO$1004)-Hoje!$L$5)+1)</f>
        <v/>
      </c>
      <c r="AQ192" s="50" t="n">
        <f aca="false">IF(AND($F192&lt;&gt;"",$D192=Frota!$C$3),1,0)</f>
        <v>0</v>
      </c>
      <c r="AR192" s="50" t="str">
        <f aca="false">IF($AQ192=0,"",SUM($AQ$4:$AQ192))</f>
        <v/>
      </c>
      <c r="AS192" s="50" t="str">
        <f aca="false">IFERROR(INDEX(Hoje!$K$10:$K$29,MATCH(ROW(),Hoje!$J$10:$J$29,0)),"")</f>
        <v/>
      </c>
      <c r="AT192" s="47" t="n">
        <f aca="false">IF($Q192&lt;&gt;"",$Q192,$AS192)</f>
        <v>46265</v>
      </c>
    </row>
    <row r="193" customFormat="false" ht="16.5" hidden="false" customHeight="true" outlineLevel="0" collapsed="false">
      <c r="A193" s="39" t="n">
        <f aca="false">IF($F193="","",ROW())</f>
        <v>193</v>
      </c>
      <c r="B193" s="40" t="str">
        <f aca="false">IF($F193="",IF($D193="","","Falta a atividade"),IF($R193="Cancelada","Cancelada",IF($AB193=1,IF(N($Z193)&gt;0,"Concluída com atraso","Concluída"),IF($R193="Em programação","Em programação",IF($O193="",IF($M193="","Na carteira","Falta a semana"),IF($AC193=1,"VENCIDA",IF($O193&gt;Hoje!$L$1,"Programada",IF($P193&gt;Hoje!$L$1,"Em execução","Fecha hoje"))))))))</f>
        <v>Concluída</v>
      </c>
      <c r="C193" s="41"/>
      <c r="D193" s="42" t="s">
        <v>489</v>
      </c>
      <c r="E193" s="42" t="s">
        <v>490</v>
      </c>
      <c r="F193" s="42" t="s">
        <v>491</v>
      </c>
      <c r="G193" s="43" t="s">
        <v>80</v>
      </c>
      <c r="H193" s="43" t="s">
        <v>100</v>
      </c>
      <c r="I193" s="44" t="s">
        <v>82</v>
      </c>
      <c r="J193" s="44" t="s">
        <v>83</v>
      </c>
      <c r="K193" s="44"/>
      <c r="L193" s="45" t="n">
        <v>35</v>
      </c>
      <c r="M193" s="46" t="s">
        <v>142</v>
      </c>
      <c r="N193" s="45" t="n">
        <v>1</v>
      </c>
      <c r="O193" s="47" t="n">
        <f aca="false">IF(OR($L193="",$M193=""),"",(DATE(Semana!$J$3,1,4)-WEEKDAY(DATE(Semana!$J$3,1,4),3))+($L193-1)*7+MATCH($M193,Listas!$F$5:$F$11,0)-1)</f>
        <v>46262</v>
      </c>
      <c r="P193" s="47" t="n">
        <f aca="false">IF(OR($F193="",$O193=""),"",$O193+MAX(0,ROUNDUP($AK193*MAX(1,IF($N193="",1,$N193))/MAX(1,$AL193),0)-1))</f>
        <v>46262</v>
      </c>
      <c r="Q193" s="48" t="n">
        <v>46262</v>
      </c>
      <c r="R193" s="43" t="s">
        <v>85</v>
      </c>
      <c r="S193" s="49"/>
      <c r="T193" s="42"/>
      <c r="U193" s="42" t="s">
        <v>492</v>
      </c>
      <c r="V193" s="39" t="str">
        <f aca="false">IF($F193="","",IF(ISNUMBER(SEARCH("(externo)",$I193&amp;$J193&amp;$K193)),"Terceirizada","Interna"))</f>
        <v>Interna</v>
      </c>
      <c r="W193" s="47" t="n">
        <f aca="false">IF($O193="","",IF($S193="",$O193,(DATE(Semana!$J$3,1,4)-WEEKDAY(DATE(Semana!$J$3,1,4),3))+($S193-1)*7+IF($M193="",0,MATCH($M193,Listas!$F$5:$F$11,0)-1)))</f>
        <v>46262</v>
      </c>
      <c r="X193" s="39" t="n">
        <f aca="false">IF($F193="","",IF(OR($AT193="",$O193=""),0,IF($AT193&lt;=$O193,1,0)))</f>
        <v>1</v>
      </c>
      <c r="Y193" s="39" t="n">
        <f aca="false">IF($F193="","",IF(OR($AT193="",$W193=""),0,IF($AT193&lt;=$W193,1,0)))</f>
        <v>1</v>
      </c>
      <c r="Z193" s="39" t="n">
        <f aca="false">IF(OR($AT193="",$O193=""),"",MAX(0,$AT193-$O193))</f>
        <v>0</v>
      </c>
      <c r="AA193" s="39" t="n">
        <f aca="false">IF($F193="","",IF(AND($S193&lt;&gt;"",$L193&lt;&gt;"",$S193&lt;&gt;$L193),1,0))</f>
        <v>0</v>
      </c>
      <c r="AB193" s="39" t="n">
        <f aca="false">IF($F193="","",IF($R193="Cancelada",0,IF(OR($AT193&lt;&gt;"",$R193="Concluída"),1,0)))</f>
        <v>1</v>
      </c>
      <c r="AC193" s="39" t="n">
        <f aca="false">IF($P193="",0,IF($P193&lt;Hoje!$L$1,1,IF(AND($P193=Hoje!$L$1,Hoje!$L$2&gt;Semana!$M$3),1,0)))</f>
        <v>1</v>
      </c>
      <c r="AD193" s="39" t="n">
        <f aca="false">IF($F193="","",IF(COUNTA($I193:$K193)=0,0,1/COUNTA($I193:$K193)))</f>
        <v>0.5</v>
      </c>
      <c r="AE193" s="39" t="str">
        <f aca="false">IF($AH193=0,"",SUM($AH$4:$AH193))</f>
        <v/>
      </c>
      <c r="AF193" s="39" t="str">
        <f aca="false">IF($AI193=0,"",SUM($AI$4:$AI193))</f>
        <v/>
      </c>
      <c r="AG193" s="50" t="str">
        <f aca="false">IF($F193="","",$I193&amp;IF($J193="",""," · "&amp;$J193)&amp;IF($K193="",""," · "&amp;$K193))</f>
        <v>Airton · Luiz Paulo</v>
      </c>
      <c r="AH193" s="39" t="n">
        <f aca="false">IF(AND($F193&lt;&gt;"",$O193&lt;&gt;"",$O193&lt;=Hoje!$C$3,$P193&gt;=Hoje!$C$3,$R193&lt;&gt;"Cancelada"),1,0)</f>
        <v>0</v>
      </c>
      <c r="AI193" s="39" t="n">
        <f aca="false">IF(AND($F193&lt;&gt;"",$P193&lt;&gt;"",$P193&lt;Hoje!$C$3,$AB193=0,$R193&lt;&gt;"Cancelada"),1,0)</f>
        <v>0</v>
      </c>
      <c r="AJ193" s="50" t="str">
        <f aca="false">IF($F193="","",$D193&amp;"|"&amp;$E193&amp;"|"&amp;$L193)</f>
        <v>F-616|TROCAR E FERRAR PNEUS|35</v>
      </c>
      <c r="AK193" s="39" t="n">
        <f aca="false">IF($AJ193="","",COUNTIF($AJ$4:$AJ193,$AJ193))</f>
        <v>1</v>
      </c>
      <c r="AL193" s="39" t="n">
        <f aca="false">IF($AJ193="","",COUNTIF($AJ$4:$AJ$1004,$AJ193))</f>
        <v>1</v>
      </c>
      <c r="AM193" s="42"/>
      <c r="AN193" s="50" t="str">
        <f aca="false">IF($D193="","",IFERROR(T(VLOOKUP($D193,Listas!$B$5:$H$120,7,0)),""))</f>
        <v/>
      </c>
      <c r="AO193" s="50" t="str">
        <f aca="false">IF(OR($F193="",$L193&lt;&gt;"",$R193="Cancelada",$AT193&lt;&gt;""),"",$AN193&amp;"|"&amp;$D193&amp;"|"&amp;IF($C193="","zzz",$C193)&amp;"|"&amp;TEXT(193,"0000"))</f>
        <v/>
      </c>
      <c r="AP193" s="50" t="str">
        <f aca="false">IF($AO193="","",COUNTIF($AO$5:$AO$1004,"&lt;"&amp;$AO193)-(ROWS($AO$5:$AO$1004)-Hoje!$L$5)+1)</f>
        <v/>
      </c>
      <c r="AQ193" s="50" t="n">
        <f aca="false">IF(AND($F193&lt;&gt;"",$D193=Frota!$C$3),1,0)</f>
        <v>0</v>
      </c>
      <c r="AR193" s="50" t="str">
        <f aca="false">IF($AQ193=0,"",SUM($AQ$4:$AQ193))</f>
        <v/>
      </c>
      <c r="AS193" s="50" t="str">
        <f aca="false">IFERROR(INDEX(Hoje!$K$10:$K$29,MATCH(ROW(),Hoje!$J$10:$J$29,0)),"")</f>
        <v/>
      </c>
      <c r="AT193" s="47" t="n">
        <f aca="false">IF($Q193&lt;&gt;"",$Q193,$AS193)</f>
        <v>46262</v>
      </c>
    </row>
    <row r="194" customFormat="false" ht="16.5" hidden="false" customHeight="true" outlineLevel="0" collapsed="false">
      <c r="A194" s="39" t="n">
        <f aca="false">IF($F194="","",ROW())</f>
        <v>194</v>
      </c>
      <c r="B194" s="40" t="str">
        <f aca="false">IF($F194="",IF($D194="","","Falta a atividade"),IF($R194="Cancelada","Cancelada",IF($AB194=1,IF(N($Z194)&gt;0,"Concluída com atraso","Concluída"),IF($R194="Em programação","Em programação",IF($O194="",IF($M194="","Na carteira","Falta a semana"),IF($AC194=1,"VENCIDA",IF($O194&gt;Hoje!$L$1,"Programada",IF($P194&gt;Hoje!$L$1,"Em execução","Fecha hoje"))))))))</f>
        <v>Na carteira</v>
      </c>
      <c r="C194" s="41" t="s">
        <v>493</v>
      </c>
      <c r="D194" s="42" t="s">
        <v>494</v>
      </c>
      <c r="E194" s="42" t="s">
        <v>495</v>
      </c>
      <c r="F194" s="42" t="s">
        <v>496</v>
      </c>
      <c r="G194" s="43" t="s">
        <v>80</v>
      </c>
      <c r="H194" s="43" t="s">
        <v>100</v>
      </c>
      <c r="I194" s="44"/>
      <c r="J194" s="44"/>
      <c r="K194" s="44"/>
      <c r="L194" s="45"/>
      <c r="M194" s="46"/>
      <c r="N194" s="45"/>
      <c r="O194" s="47" t="str">
        <f aca="false">IF(OR($L194="",$M194=""),"",(DATE(Semana!$J$3,1,4)-WEEKDAY(DATE(Semana!$J$3,1,4),3))+($L194-1)*7+MATCH($M194,Listas!$F$5:$F$11,0)-1)</f>
        <v/>
      </c>
      <c r="P194" s="47" t="str">
        <f aca="false">IF(OR($F194="",$O194=""),"",$O194+MAX(0,ROUNDUP($AK194*MAX(1,IF($N194="",1,$N194))/MAX(1,$AL194),0)-1))</f>
        <v/>
      </c>
      <c r="Q194" s="48"/>
      <c r="R194" s="43"/>
      <c r="S194" s="49"/>
      <c r="T194" s="42"/>
      <c r="U194" s="42" t="s">
        <v>497</v>
      </c>
      <c r="V194" s="39" t="str">
        <f aca="false">IF($F194="","",IF(ISNUMBER(SEARCH("(externo)",$I194&amp;$J194&amp;$K194)),"Terceirizada","Interna"))</f>
        <v>Interna</v>
      </c>
      <c r="W194" s="47" t="str">
        <f aca="false">IF($O194="","",IF($S194="",$O194,(DATE(Semana!$J$3,1,4)-WEEKDAY(DATE(Semana!$J$3,1,4),3))+($S194-1)*7+IF($M194="",0,MATCH($M194,Listas!$F$5:$F$11,0)-1)))</f>
        <v/>
      </c>
      <c r="X194" s="39" t="n">
        <f aca="false">IF($F194="","",IF(OR($AT194="",$O194=""),0,IF($AT194&lt;=$O194,1,0)))</f>
        <v>0</v>
      </c>
      <c r="Y194" s="39" t="n">
        <f aca="false">IF($F194="","",IF(OR($AT194="",$W194=""),0,IF($AT194&lt;=$W194,1,0)))</f>
        <v>0</v>
      </c>
      <c r="Z194" s="39" t="str">
        <f aca="false">IF(OR($AT194="",$O194=""),"",MAX(0,$AT194-$O194))</f>
        <v/>
      </c>
      <c r="AA194" s="39" t="n">
        <f aca="false">IF($F194="","",IF(AND($S194&lt;&gt;"",$L194&lt;&gt;"",$S194&lt;&gt;$L194),1,0))</f>
        <v>0</v>
      </c>
      <c r="AB194" s="39" t="n">
        <f aca="false">IF($F194="","",IF($R194="Cancelada",0,IF(OR($AT194&lt;&gt;"",$R194="Concluída"),1,0)))</f>
        <v>0</v>
      </c>
      <c r="AC194" s="39" t="n">
        <f aca="false">IF($P194="",0,IF($P194&lt;Hoje!$L$1,1,IF(AND($P194=Hoje!$L$1,Hoje!$L$2&gt;Semana!$M$3),1,0)))</f>
        <v>0</v>
      </c>
      <c r="AD194" s="39" t="n">
        <f aca="false">IF($F194="","",IF(COUNTA($I194:$K194)=0,0,1/COUNTA($I194:$K194)))</f>
        <v>0</v>
      </c>
      <c r="AE194" s="39" t="str">
        <f aca="false">IF($AH194=0,"",SUM($AH$4:$AH194))</f>
        <v/>
      </c>
      <c r="AF194" s="39" t="str">
        <f aca="false">IF($AI194=0,"",SUM($AI$4:$AI194))</f>
        <v/>
      </c>
      <c r="AG194" s="50" t="str">
        <f aca="false">IF($F194="","",$I194&amp;IF($J194="",""," · "&amp;$J194)&amp;IF($K194="",""," · "&amp;$K194))</f>
        <v/>
      </c>
      <c r="AH194" s="39" t="n">
        <f aca="false">IF(AND($F194&lt;&gt;"",$O194&lt;&gt;"",$O194&lt;=Hoje!$C$3,$P194&gt;=Hoje!$C$3,$R194&lt;&gt;"Cancelada"),1,0)</f>
        <v>0</v>
      </c>
      <c r="AI194" s="39" t="n">
        <f aca="false">IF(AND($F194&lt;&gt;"",$P194&lt;&gt;"",$P194&lt;Hoje!$C$3,$AB194=0,$R194&lt;&gt;"Cancelada"),1,0)</f>
        <v>0</v>
      </c>
      <c r="AJ194" s="50" t="str">
        <f aca="false">IF($F194="","",$D194&amp;"|"&amp;$E194&amp;"|"&amp;$L194)</f>
        <v>F-1038|Pendências de inspeção|</v>
      </c>
      <c r="AK194" s="39" t="n">
        <f aca="false">IF($AJ194="","",COUNTIF($AJ$4:$AJ194,$AJ194))</f>
        <v>1</v>
      </c>
      <c r="AL194" s="39" t="n">
        <f aca="false">IF($AJ194="","",COUNTIF($AJ$4:$AJ$1004,$AJ194))</f>
        <v>10</v>
      </c>
      <c r="AM194" s="42"/>
      <c r="AN194" s="50" t="str">
        <f aca="false">IF($D194="","",IFERROR(T(VLOOKUP($D194,Listas!$B$5:$H$120,7,0)),""))</f>
        <v/>
      </c>
      <c r="AO194" s="50" t="str">
        <f aca="false">IF(OR($F194="",$L194&lt;&gt;"",$R194="Cancelada",$AT194&lt;&gt;""),"",$AN194&amp;"|"&amp;$D194&amp;"|"&amp;IF($C194="","zzz",$C194)&amp;"|"&amp;TEXT(194,"0000"))</f>
        <v>|F-1038|007305|0194</v>
      </c>
      <c r="AP194" s="50" t="n">
        <f aca="false">IF($AO194="","",COUNTIF($AO$5:$AO$1004,"&lt;"&amp;$AO194)-(ROWS($AO$5:$AO$1004)-Hoje!$L$5)+1)</f>
        <v>1</v>
      </c>
      <c r="AQ194" s="50" t="n">
        <f aca="false">IF(AND($F194&lt;&gt;"",$D194=Frota!$C$3),1,0)</f>
        <v>1</v>
      </c>
      <c r="AR194" s="50" t="n">
        <f aca="false">IF($AQ194=0,"",SUM($AQ$4:$AQ194))</f>
        <v>1</v>
      </c>
      <c r="AS194" s="50" t="str">
        <f aca="false">IFERROR(INDEX(Hoje!$K$10:$K$29,MATCH(ROW(),Hoje!$J$10:$J$29,0)),"")</f>
        <v/>
      </c>
      <c r="AT194" s="50" t="str">
        <f aca="false">IF($Q194&lt;&gt;"",$Q194,$AS194)</f>
        <v/>
      </c>
    </row>
    <row r="195" customFormat="false" ht="16.5" hidden="false" customHeight="true" outlineLevel="0" collapsed="false">
      <c r="A195" s="39" t="n">
        <f aca="false">IF($F195="","",ROW())</f>
        <v>195</v>
      </c>
      <c r="B195" s="40" t="str">
        <f aca="false">IF($F195="",IF($D195="","","Falta a atividade"),IF($R195="Cancelada","Cancelada",IF($AB195=1,IF(N($Z195)&gt;0,"Concluída com atraso","Concluída"),IF($R195="Em programação","Em programação",IF($O195="",IF($M195="","Na carteira","Falta a semana"),IF($AC195=1,"VENCIDA",IF($O195&gt;Hoje!$L$1,"Programada",IF($P195&gt;Hoje!$L$1,"Em execução","Fecha hoje"))))))))</f>
        <v>Na carteira</v>
      </c>
      <c r="C195" s="41" t="s">
        <v>498</v>
      </c>
      <c r="D195" s="42" t="s">
        <v>494</v>
      </c>
      <c r="E195" s="42" t="s">
        <v>495</v>
      </c>
      <c r="F195" s="42" t="s">
        <v>499</v>
      </c>
      <c r="G195" s="43" t="s">
        <v>80</v>
      </c>
      <c r="H195" s="43" t="s">
        <v>100</v>
      </c>
      <c r="I195" s="44"/>
      <c r="J195" s="44"/>
      <c r="K195" s="44"/>
      <c r="L195" s="45"/>
      <c r="M195" s="46"/>
      <c r="N195" s="45"/>
      <c r="O195" s="47" t="str">
        <f aca="false">IF(OR($L195="",$M195=""),"",(DATE(Semana!$J$3,1,4)-WEEKDAY(DATE(Semana!$J$3,1,4),3))+($L195-1)*7+MATCH($M195,Listas!$F$5:$F$11,0)-1)</f>
        <v/>
      </c>
      <c r="P195" s="47" t="str">
        <f aca="false">IF(OR($F195="",$O195=""),"",$O195+MAX(0,ROUNDUP($AK195*MAX(1,IF($N195="",1,$N195))/MAX(1,$AL195),0)-1))</f>
        <v/>
      </c>
      <c r="Q195" s="48"/>
      <c r="R195" s="43"/>
      <c r="S195" s="49"/>
      <c r="T195" s="42"/>
      <c r="U195" s="42" t="s">
        <v>500</v>
      </c>
      <c r="V195" s="39" t="str">
        <f aca="false">IF($F195="","",IF(ISNUMBER(SEARCH("(externo)",$I195&amp;$J195&amp;$K195)),"Terceirizada","Interna"))</f>
        <v>Interna</v>
      </c>
      <c r="W195" s="47" t="str">
        <f aca="false">IF($O195="","",IF($S195="",$O195,(DATE(Semana!$J$3,1,4)-WEEKDAY(DATE(Semana!$J$3,1,4),3))+($S195-1)*7+IF($M195="",0,MATCH($M195,Listas!$F$5:$F$11,0)-1)))</f>
        <v/>
      </c>
      <c r="X195" s="39" t="n">
        <f aca="false">IF($F195="","",IF(OR($AT195="",$O195=""),0,IF($AT195&lt;=$O195,1,0)))</f>
        <v>0</v>
      </c>
      <c r="Y195" s="39" t="n">
        <f aca="false">IF($F195="","",IF(OR($AT195="",$W195=""),0,IF($AT195&lt;=$W195,1,0)))</f>
        <v>0</v>
      </c>
      <c r="Z195" s="39" t="str">
        <f aca="false">IF(OR($AT195="",$O195=""),"",MAX(0,$AT195-$O195))</f>
        <v/>
      </c>
      <c r="AA195" s="39" t="n">
        <f aca="false">IF($F195="","",IF(AND($S195&lt;&gt;"",$L195&lt;&gt;"",$S195&lt;&gt;$L195),1,0))</f>
        <v>0</v>
      </c>
      <c r="AB195" s="39" t="n">
        <f aca="false">IF($F195="","",IF($R195="Cancelada",0,IF(OR($AT195&lt;&gt;"",$R195="Concluída"),1,0)))</f>
        <v>0</v>
      </c>
      <c r="AC195" s="39" t="n">
        <f aca="false">IF($P195="",0,IF($P195&lt;Hoje!$L$1,1,IF(AND($P195=Hoje!$L$1,Hoje!$L$2&gt;Semana!$M$3),1,0)))</f>
        <v>0</v>
      </c>
      <c r="AD195" s="39" t="n">
        <f aca="false">IF($F195="","",IF(COUNTA($I195:$K195)=0,0,1/COUNTA($I195:$K195)))</f>
        <v>0</v>
      </c>
      <c r="AE195" s="39" t="str">
        <f aca="false">IF($AH195=0,"",SUM($AH$4:$AH195))</f>
        <v/>
      </c>
      <c r="AF195" s="39" t="str">
        <f aca="false">IF($AI195=0,"",SUM($AI$4:$AI195))</f>
        <v/>
      </c>
      <c r="AG195" s="50" t="str">
        <f aca="false">IF($F195="","",$I195&amp;IF($J195="",""," · "&amp;$J195)&amp;IF($K195="",""," · "&amp;$K195))</f>
        <v/>
      </c>
      <c r="AH195" s="39" t="n">
        <f aca="false">IF(AND($F195&lt;&gt;"",$O195&lt;&gt;"",$O195&lt;=Hoje!$C$3,$P195&gt;=Hoje!$C$3,$R195&lt;&gt;"Cancelada"),1,0)</f>
        <v>0</v>
      </c>
      <c r="AI195" s="39" t="n">
        <f aca="false">IF(AND($F195&lt;&gt;"",$P195&lt;&gt;"",$P195&lt;Hoje!$C$3,$AB195=0,$R195&lt;&gt;"Cancelada"),1,0)</f>
        <v>0</v>
      </c>
      <c r="AJ195" s="50" t="str">
        <f aca="false">IF($F195="","",$D195&amp;"|"&amp;$E195&amp;"|"&amp;$L195)</f>
        <v>F-1038|Pendências de inspeção|</v>
      </c>
      <c r="AK195" s="39" t="n">
        <f aca="false">IF($AJ195="","",COUNTIF($AJ$4:$AJ195,$AJ195))</f>
        <v>2</v>
      </c>
      <c r="AL195" s="39" t="n">
        <f aca="false">IF($AJ195="","",COUNTIF($AJ$4:$AJ$1004,$AJ195))</f>
        <v>10</v>
      </c>
      <c r="AM195" s="42"/>
      <c r="AN195" s="50" t="str">
        <f aca="false">IF($D195="","",IFERROR(T(VLOOKUP($D195,Listas!$B$5:$H$120,7,0)),""))</f>
        <v/>
      </c>
      <c r="AO195" s="50" t="str">
        <f aca="false">IF(OR($F195="",$L195&lt;&gt;"",$R195="Cancelada",$AT195&lt;&gt;""),"",$AN195&amp;"|"&amp;$D195&amp;"|"&amp;IF($C195="","zzz",$C195)&amp;"|"&amp;TEXT(195,"0000"))</f>
        <v>|F-1038|007306|0195</v>
      </c>
      <c r="AP195" s="50" t="n">
        <f aca="false">IF($AO195="","",COUNTIF($AO$5:$AO$1004,"&lt;"&amp;$AO195)-(ROWS($AO$5:$AO$1004)-Hoje!$L$5)+1)</f>
        <v>2</v>
      </c>
      <c r="AQ195" s="50" t="n">
        <f aca="false">IF(AND($F195&lt;&gt;"",$D195=Frota!$C$3),1,0)</f>
        <v>1</v>
      </c>
      <c r="AR195" s="50" t="n">
        <f aca="false">IF($AQ195=0,"",SUM($AQ$4:$AQ195))</f>
        <v>2</v>
      </c>
      <c r="AS195" s="50" t="str">
        <f aca="false">IFERROR(INDEX(Hoje!$K$10:$K$29,MATCH(ROW(),Hoje!$J$10:$J$29,0)),"")</f>
        <v/>
      </c>
      <c r="AT195" s="50" t="str">
        <f aca="false">IF($Q195&lt;&gt;"",$Q195,$AS195)</f>
        <v/>
      </c>
    </row>
    <row r="196" customFormat="false" ht="16.5" hidden="false" customHeight="true" outlineLevel="0" collapsed="false">
      <c r="A196" s="39" t="n">
        <f aca="false">IF($F196="","",ROW())</f>
        <v>196</v>
      </c>
      <c r="B196" s="40" t="str">
        <f aca="false">IF($F196="",IF($D196="","","Falta a atividade"),IF($R196="Cancelada","Cancelada",IF($AB196=1,IF(N($Z196)&gt;0,"Concluída com atraso","Concluída"),IF($R196="Em programação","Em programação",IF($O196="",IF($M196="","Na carteira","Falta a semana"),IF($AC196=1,"VENCIDA",IF($O196&gt;Hoje!$L$1,"Programada",IF($P196&gt;Hoje!$L$1,"Em execução","Fecha hoje"))))))))</f>
        <v>Na carteira</v>
      </c>
      <c r="C196" s="41" t="s">
        <v>501</v>
      </c>
      <c r="D196" s="42" t="s">
        <v>494</v>
      </c>
      <c r="E196" s="42" t="s">
        <v>495</v>
      </c>
      <c r="F196" s="42" t="s">
        <v>502</v>
      </c>
      <c r="G196" s="43" t="s">
        <v>80</v>
      </c>
      <c r="H196" s="43" t="s">
        <v>100</v>
      </c>
      <c r="I196" s="44"/>
      <c r="J196" s="44"/>
      <c r="K196" s="44"/>
      <c r="L196" s="45"/>
      <c r="M196" s="46"/>
      <c r="N196" s="45"/>
      <c r="O196" s="47" t="str">
        <f aca="false">IF(OR($L196="",$M196=""),"",(DATE(Semana!$J$3,1,4)-WEEKDAY(DATE(Semana!$J$3,1,4),3))+($L196-1)*7+MATCH($M196,Listas!$F$5:$F$11,0)-1)</f>
        <v/>
      </c>
      <c r="P196" s="47" t="str">
        <f aca="false">IF(OR($F196="",$O196=""),"",$O196+MAX(0,ROUNDUP($AK196*MAX(1,IF($N196="",1,$N196))/MAX(1,$AL196),0)-1))</f>
        <v/>
      </c>
      <c r="Q196" s="48"/>
      <c r="R196" s="43"/>
      <c r="S196" s="49"/>
      <c r="T196" s="42"/>
      <c r="U196" s="42" t="s">
        <v>500</v>
      </c>
      <c r="V196" s="39" t="str">
        <f aca="false">IF($F196="","",IF(ISNUMBER(SEARCH("(externo)",$I196&amp;$J196&amp;$K196)),"Terceirizada","Interna"))</f>
        <v>Interna</v>
      </c>
      <c r="W196" s="47" t="str">
        <f aca="false">IF($O196="","",IF($S196="",$O196,(DATE(Semana!$J$3,1,4)-WEEKDAY(DATE(Semana!$J$3,1,4),3))+($S196-1)*7+IF($M196="",0,MATCH($M196,Listas!$F$5:$F$11,0)-1)))</f>
        <v/>
      </c>
      <c r="X196" s="39" t="n">
        <f aca="false">IF($F196="","",IF(OR($AT196="",$O196=""),0,IF($AT196&lt;=$O196,1,0)))</f>
        <v>0</v>
      </c>
      <c r="Y196" s="39" t="n">
        <f aca="false">IF($F196="","",IF(OR($AT196="",$W196=""),0,IF($AT196&lt;=$W196,1,0)))</f>
        <v>0</v>
      </c>
      <c r="Z196" s="39" t="str">
        <f aca="false">IF(OR($AT196="",$O196=""),"",MAX(0,$AT196-$O196))</f>
        <v/>
      </c>
      <c r="AA196" s="39" t="n">
        <f aca="false">IF($F196="","",IF(AND($S196&lt;&gt;"",$L196&lt;&gt;"",$S196&lt;&gt;$L196),1,0))</f>
        <v>0</v>
      </c>
      <c r="AB196" s="39" t="n">
        <f aca="false">IF($F196="","",IF($R196="Cancelada",0,IF(OR($AT196&lt;&gt;"",$R196="Concluída"),1,0)))</f>
        <v>0</v>
      </c>
      <c r="AC196" s="39" t="n">
        <f aca="false">IF($P196="",0,IF($P196&lt;Hoje!$L$1,1,IF(AND($P196=Hoje!$L$1,Hoje!$L$2&gt;Semana!$M$3),1,0)))</f>
        <v>0</v>
      </c>
      <c r="AD196" s="39" t="n">
        <f aca="false">IF($F196="","",IF(COUNTA($I196:$K196)=0,0,1/COUNTA($I196:$K196)))</f>
        <v>0</v>
      </c>
      <c r="AE196" s="39" t="str">
        <f aca="false">IF($AH196=0,"",SUM($AH$4:$AH196))</f>
        <v/>
      </c>
      <c r="AF196" s="39" t="str">
        <f aca="false">IF($AI196=0,"",SUM($AI$4:$AI196))</f>
        <v/>
      </c>
      <c r="AG196" s="50" t="str">
        <f aca="false">IF($F196="","",$I196&amp;IF($J196="",""," · "&amp;$J196)&amp;IF($K196="",""," · "&amp;$K196))</f>
        <v/>
      </c>
      <c r="AH196" s="39" t="n">
        <f aca="false">IF(AND($F196&lt;&gt;"",$O196&lt;&gt;"",$O196&lt;=Hoje!$C$3,$P196&gt;=Hoje!$C$3,$R196&lt;&gt;"Cancelada"),1,0)</f>
        <v>0</v>
      </c>
      <c r="AI196" s="39" t="n">
        <f aca="false">IF(AND($F196&lt;&gt;"",$P196&lt;&gt;"",$P196&lt;Hoje!$C$3,$AB196=0,$R196&lt;&gt;"Cancelada"),1,0)</f>
        <v>0</v>
      </c>
      <c r="AJ196" s="50" t="str">
        <f aca="false">IF($F196="","",$D196&amp;"|"&amp;$E196&amp;"|"&amp;$L196)</f>
        <v>F-1038|Pendências de inspeção|</v>
      </c>
      <c r="AK196" s="39" t="n">
        <f aca="false">IF($AJ196="","",COUNTIF($AJ$4:$AJ196,$AJ196))</f>
        <v>3</v>
      </c>
      <c r="AL196" s="39" t="n">
        <f aca="false">IF($AJ196="","",COUNTIF($AJ$4:$AJ$1004,$AJ196))</f>
        <v>10</v>
      </c>
      <c r="AM196" s="42"/>
      <c r="AN196" s="50" t="str">
        <f aca="false">IF($D196="","",IFERROR(T(VLOOKUP($D196,Listas!$B$5:$H$120,7,0)),""))</f>
        <v/>
      </c>
      <c r="AO196" s="50" t="str">
        <f aca="false">IF(OR($F196="",$L196&lt;&gt;"",$R196="Cancelada",$AT196&lt;&gt;""),"",$AN196&amp;"|"&amp;$D196&amp;"|"&amp;IF($C196="","zzz",$C196)&amp;"|"&amp;TEXT(196,"0000"))</f>
        <v>|F-1038|007307|0196</v>
      </c>
      <c r="AP196" s="50" t="n">
        <f aca="false">IF($AO196="","",COUNTIF($AO$5:$AO$1004,"&lt;"&amp;$AO196)-(ROWS($AO$5:$AO$1004)-Hoje!$L$5)+1)</f>
        <v>3</v>
      </c>
      <c r="AQ196" s="50" t="n">
        <f aca="false">IF(AND($F196&lt;&gt;"",$D196=Frota!$C$3),1,0)</f>
        <v>1</v>
      </c>
      <c r="AR196" s="50" t="n">
        <f aca="false">IF($AQ196=0,"",SUM($AQ$4:$AQ196))</f>
        <v>3</v>
      </c>
      <c r="AS196" s="50" t="str">
        <f aca="false">IFERROR(INDEX(Hoje!$K$10:$K$29,MATCH(ROW(),Hoje!$J$10:$J$29,0)),"")</f>
        <v/>
      </c>
      <c r="AT196" s="50" t="str">
        <f aca="false">IF($Q196&lt;&gt;"",$Q196,$AS196)</f>
        <v/>
      </c>
    </row>
    <row r="197" customFormat="false" ht="16.5" hidden="false" customHeight="true" outlineLevel="0" collapsed="false">
      <c r="A197" s="39" t="n">
        <f aca="false">IF($F197="","",ROW())</f>
        <v>197</v>
      </c>
      <c r="B197" s="40" t="str">
        <f aca="false">IF($F197="",IF($D197="","","Falta a atividade"),IF($R197="Cancelada","Cancelada",IF($AB197=1,IF(N($Z197)&gt;0,"Concluída com atraso","Concluída"),IF($R197="Em programação","Em programação",IF($O197="",IF($M197="","Na carteira","Falta a semana"),IF($AC197=1,"VENCIDA",IF($O197&gt;Hoje!$L$1,"Programada",IF($P197&gt;Hoje!$L$1,"Em execução","Fecha hoje"))))))))</f>
        <v>Na carteira</v>
      </c>
      <c r="C197" s="41" t="s">
        <v>503</v>
      </c>
      <c r="D197" s="42" t="s">
        <v>494</v>
      </c>
      <c r="E197" s="42" t="s">
        <v>495</v>
      </c>
      <c r="F197" s="42" t="s">
        <v>504</v>
      </c>
      <c r="G197" s="43" t="s">
        <v>80</v>
      </c>
      <c r="H197" s="43" t="s">
        <v>100</v>
      </c>
      <c r="I197" s="44"/>
      <c r="J197" s="44"/>
      <c r="K197" s="44"/>
      <c r="L197" s="45"/>
      <c r="M197" s="46"/>
      <c r="N197" s="45"/>
      <c r="O197" s="47" t="str">
        <f aca="false">IF(OR($L197="",$M197=""),"",(DATE(Semana!$J$3,1,4)-WEEKDAY(DATE(Semana!$J$3,1,4),3))+($L197-1)*7+MATCH($M197,Listas!$F$5:$F$11,0)-1)</f>
        <v/>
      </c>
      <c r="P197" s="47" t="str">
        <f aca="false">IF(OR($F197="",$O197=""),"",$O197+MAX(0,ROUNDUP($AK197*MAX(1,IF($N197="",1,$N197))/MAX(1,$AL197),0)-1))</f>
        <v/>
      </c>
      <c r="Q197" s="48"/>
      <c r="R197" s="43"/>
      <c r="S197" s="49"/>
      <c r="T197" s="42"/>
      <c r="U197" s="42" t="s">
        <v>500</v>
      </c>
      <c r="V197" s="39" t="str">
        <f aca="false">IF($F197="","",IF(ISNUMBER(SEARCH("(externo)",$I197&amp;$J197&amp;$K197)),"Terceirizada","Interna"))</f>
        <v>Interna</v>
      </c>
      <c r="W197" s="47" t="str">
        <f aca="false">IF($O197="","",IF($S197="",$O197,(DATE(Semana!$J$3,1,4)-WEEKDAY(DATE(Semana!$J$3,1,4),3))+($S197-1)*7+IF($M197="",0,MATCH($M197,Listas!$F$5:$F$11,0)-1)))</f>
        <v/>
      </c>
      <c r="X197" s="39" t="n">
        <f aca="false">IF($F197="","",IF(OR($AT197="",$O197=""),0,IF($AT197&lt;=$O197,1,0)))</f>
        <v>0</v>
      </c>
      <c r="Y197" s="39" t="n">
        <f aca="false">IF($F197="","",IF(OR($AT197="",$W197=""),0,IF($AT197&lt;=$W197,1,0)))</f>
        <v>0</v>
      </c>
      <c r="Z197" s="39" t="str">
        <f aca="false">IF(OR($AT197="",$O197=""),"",MAX(0,$AT197-$O197))</f>
        <v/>
      </c>
      <c r="AA197" s="39" t="n">
        <f aca="false">IF($F197="","",IF(AND($S197&lt;&gt;"",$L197&lt;&gt;"",$S197&lt;&gt;$L197),1,0))</f>
        <v>0</v>
      </c>
      <c r="AB197" s="39" t="n">
        <f aca="false">IF($F197="","",IF($R197="Cancelada",0,IF(OR($AT197&lt;&gt;"",$R197="Concluída"),1,0)))</f>
        <v>0</v>
      </c>
      <c r="AC197" s="39" t="n">
        <f aca="false">IF($P197="",0,IF($P197&lt;Hoje!$L$1,1,IF(AND($P197=Hoje!$L$1,Hoje!$L$2&gt;Semana!$M$3),1,0)))</f>
        <v>0</v>
      </c>
      <c r="AD197" s="39" t="n">
        <f aca="false">IF($F197="","",IF(COUNTA($I197:$K197)=0,0,1/COUNTA($I197:$K197)))</f>
        <v>0</v>
      </c>
      <c r="AE197" s="39" t="str">
        <f aca="false">IF($AH197=0,"",SUM($AH$4:$AH197))</f>
        <v/>
      </c>
      <c r="AF197" s="39" t="str">
        <f aca="false">IF($AI197=0,"",SUM($AI$4:$AI197))</f>
        <v/>
      </c>
      <c r="AG197" s="50" t="str">
        <f aca="false">IF($F197="","",$I197&amp;IF($J197="",""," · "&amp;$J197)&amp;IF($K197="",""," · "&amp;$K197))</f>
        <v/>
      </c>
      <c r="AH197" s="39" t="n">
        <f aca="false">IF(AND($F197&lt;&gt;"",$O197&lt;&gt;"",$O197&lt;=Hoje!$C$3,$P197&gt;=Hoje!$C$3,$R197&lt;&gt;"Cancelada"),1,0)</f>
        <v>0</v>
      </c>
      <c r="AI197" s="39" t="n">
        <f aca="false">IF(AND($F197&lt;&gt;"",$P197&lt;&gt;"",$P197&lt;Hoje!$C$3,$AB197=0,$R197&lt;&gt;"Cancelada"),1,0)</f>
        <v>0</v>
      </c>
      <c r="AJ197" s="50" t="str">
        <f aca="false">IF($F197="","",$D197&amp;"|"&amp;$E197&amp;"|"&amp;$L197)</f>
        <v>F-1038|Pendências de inspeção|</v>
      </c>
      <c r="AK197" s="39" t="n">
        <f aca="false">IF($AJ197="","",COUNTIF($AJ$4:$AJ197,$AJ197))</f>
        <v>4</v>
      </c>
      <c r="AL197" s="39" t="n">
        <f aca="false">IF($AJ197="","",COUNTIF($AJ$4:$AJ$1004,$AJ197))</f>
        <v>10</v>
      </c>
      <c r="AM197" s="42"/>
      <c r="AN197" s="50" t="str">
        <f aca="false">IF($D197="","",IFERROR(T(VLOOKUP($D197,Listas!$B$5:$H$120,7,0)),""))</f>
        <v/>
      </c>
      <c r="AO197" s="50" t="str">
        <f aca="false">IF(OR($F197="",$L197&lt;&gt;"",$R197="Cancelada",$AT197&lt;&gt;""),"",$AN197&amp;"|"&amp;$D197&amp;"|"&amp;IF($C197="","zzz",$C197)&amp;"|"&amp;TEXT(197,"0000"))</f>
        <v>|F-1038|007308|0197</v>
      </c>
      <c r="AP197" s="50" t="n">
        <f aca="false">IF($AO197="","",COUNTIF($AO$5:$AO$1004,"&lt;"&amp;$AO197)-(ROWS($AO$5:$AO$1004)-Hoje!$L$5)+1)</f>
        <v>4</v>
      </c>
      <c r="AQ197" s="50" t="n">
        <f aca="false">IF(AND($F197&lt;&gt;"",$D197=Frota!$C$3),1,0)</f>
        <v>1</v>
      </c>
      <c r="AR197" s="50" t="n">
        <f aca="false">IF($AQ197=0,"",SUM($AQ$4:$AQ197))</f>
        <v>4</v>
      </c>
      <c r="AS197" s="50" t="str">
        <f aca="false">IFERROR(INDEX(Hoje!$K$10:$K$29,MATCH(ROW(),Hoje!$J$10:$J$29,0)),"")</f>
        <v/>
      </c>
      <c r="AT197" s="50" t="str">
        <f aca="false">IF($Q197&lt;&gt;"",$Q197,$AS197)</f>
        <v/>
      </c>
    </row>
    <row r="198" customFormat="false" ht="16.5" hidden="false" customHeight="true" outlineLevel="0" collapsed="false">
      <c r="A198" s="39" t="n">
        <f aca="false">IF($F198="","",ROW())</f>
        <v>198</v>
      </c>
      <c r="B198" s="40" t="str">
        <f aca="false">IF($F198="",IF($D198="","","Falta a atividade"),IF($R198="Cancelada","Cancelada",IF($AB198=1,IF(N($Z198)&gt;0,"Concluída com atraso","Concluída"),IF($R198="Em programação","Em programação",IF($O198="",IF($M198="","Na carteira","Falta a semana"),IF($AC198=1,"VENCIDA",IF($O198&gt;Hoje!$L$1,"Programada",IF($P198&gt;Hoje!$L$1,"Em execução","Fecha hoje"))))))))</f>
        <v>Na carteira</v>
      </c>
      <c r="C198" s="41" t="s">
        <v>505</v>
      </c>
      <c r="D198" s="42" t="s">
        <v>494</v>
      </c>
      <c r="E198" s="42" t="s">
        <v>495</v>
      </c>
      <c r="F198" s="42" t="s">
        <v>506</v>
      </c>
      <c r="G198" s="43" t="s">
        <v>80</v>
      </c>
      <c r="H198" s="43" t="s">
        <v>100</v>
      </c>
      <c r="I198" s="44"/>
      <c r="J198" s="44"/>
      <c r="K198" s="44"/>
      <c r="L198" s="45"/>
      <c r="M198" s="46"/>
      <c r="N198" s="45"/>
      <c r="O198" s="47" t="str">
        <f aca="false">IF(OR($L198="",$M198=""),"",(DATE(Semana!$J$3,1,4)-WEEKDAY(DATE(Semana!$J$3,1,4),3))+($L198-1)*7+MATCH($M198,Listas!$F$5:$F$11,0)-1)</f>
        <v/>
      </c>
      <c r="P198" s="47" t="str">
        <f aca="false">IF(OR($F198="",$O198=""),"",$O198+MAX(0,ROUNDUP($AK198*MAX(1,IF($N198="",1,$N198))/MAX(1,$AL198),0)-1))</f>
        <v/>
      </c>
      <c r="Q198" s="48"/>
      <c r="R198" s="43"/>
      <c r="S198" s="49"/>
      <c r="T198" s="42"/>
      <c r="U198" s="42" t="s">
        <v>500</v>
      </c>
      <c r="V198" s="39" t="str">
        <f aca="false">IF($F198="","",IF(ISNUMBER(SEARCH("(externo)",$I198&amp;$J198&amp;$K198)),"Terceirizada","Interna"))</f>
        <v>Interna</v>
      </c>
      <c r="W198" s="47" t="str">
        <f aca="false">IF($O198="","",IF($S198="",$O198,(DATE(Semana!$J$3,1,4)-WEEKDAY(DATE(Semana!$J$3,1,4),3))+($S198-1)*7+IF($M198="",0,MATCH($M198,Listas!$F$5:$F$11,0)-1)))</f>
        <v/>
      </c>
      <c r="X198" s="39" t="n">
        <f aca="false">IF($F198="","",IF(OR($AT198="",$O198=""),0,IF($AT198&lt;=$O198,1,0)))</f>
        <v>0</v>
      </c>
      <c r="Y198" s="39" t="n">
        <f aca="false">IF($F198="","",IF(OR($AT198="",$W198=""),0,IF($AT198&lt;=$W198,1,0)))</f>
        <v>0</v>
      </c>
      <c r="Z198" s="39" t="str">
        <f aca="false">IF(OR($AT198="",$O198=""),"",MAX(0,$AT198-$O198))</f>
        <v/>
      </c>
      <c r="AA198" s="39" t="n">
        <f aca="false">IF($F198="","",IF(AND($S198&lt;&gt;"",$L198&lt;&gt;"",$S198&lt;&gt;$L198),1,0))</f>
        <v>0</v>
      </c>
      <c r="AB198" s="39" t="n">
        <f aca="false">IF($F198="","",IF($R198="Cancelada",0,IF(OR($AT198&lt;&gt;"",$R198="Concluída"),1,0)))</f>
        <v>0</v>
      </c>
      <c r="AC198" s="39" t="n">
        <f aca="false">IF($P198="",0,IF($P198&lt;Hoje!$L$1,1,IF(AND($P198=Hoje!$L$1,Hoje!$L$2&gt;Semana!$M$3),1,0)))</f>
        <v>0</v>
      </c>
      <c r="AD198" s="39" t="n">
        <f aca="false">IF($F198="","",IF(COUNTA($I198:$K198)=0,0,1/COUNTA($I198:$K198)))</f>
        <v>0</v>
      </c>
      <c r="AE198" s="39" t="str">
        <f aca="false">IF($AH198=0,"",SUM($AH$4:$AH198))</f>
        <v/>
      </c>
      <c r="AF198" s="39" t="str">
        <f aca="false">IF($AI198=0,"",SUM($AI$4:$AI198))</f>
        <v/>
      </c>
      <c r="AG198" s="50" t="str">
        <f aca="false">IF($F198="","",$I198&amp;IF($J198="",""," · "&amp;$J198)&amp;IF($K198="",""," · "&amp;$K198))</f>
        <v/>
      </c>
      <c r="AH198" s="39" t="n">
        <f aca="false">IF(AND($F198&lt;&gt;"",$O198&lt;&gt;"",$O198&lt;=Hoje!$C$3,$P198&gt;=Hoje!$C$3,$R198&lt;&gt;"Cancelada"),1,0)</f>
        <v>0</v>
      </c>
      <c r="AI198" s="39" t="n">
        <f aca="false">IF(AND($F198&lt;&gt;"",$P198&lt;&gt;"",$P198&lt;Hoje!$C$3,$AB198=0,$R198&lt;&gt;"Cancelada"),1,0)</f>
        <v>0</v>
      </c>
      <c r="AJ198" s="50" t="str">
        <f aca="false">IF($F198="","",$D198&amp;"|"&amp;$E198&amp;"|"&amp;$L198)</f>
        <v>F-1038|Pendências de inspeção|</v>
      </c>
      <c r="AK198" s="39" t="n">
        <f aca="false">IF($AJ198="","",COUNTIF($AJ$4:$AJ198,$AJ198))</f>
        <v>5</v>
      </c>
      <c r="AL198" s="39" t="n">
        <f aca="false">IF($AJ198="","",COUNTIF($AJ$4:$AJ$1004,$AJ198))</f>
        <v>10</v>
      </c>
      <c r="AM198" s="42"/>
      <c r="AN198" s="50" t="str">
        <f aca="false">IF($D198="","",IFERROR(T(VLOOKUP($D198,Listas!$B$5:$H$120,7,0)),""))</f>
        <v/>
      </c>
      <c r="AO198" s="50" t="str">
        <f aca="false">IF(OR($F198="",$L198&lt;&gt;"",$R198="Cancelada",$AT198&lt;&gt;""),"",$AN198&amp;"|"&amp;$D198&amp;"|"&amp;IF($C198="","zzz",$C198)&amp;"|"&amp;TEXT(198,"0000"))</f>
        <v>|F-1038|007310|0198</v>
      </c>
      <c r="AP198" s="50" t="n">
        <f aca="false">IF($AO198="","",COUNTIF($AO$5:$AO$1004,"&lt;"&amp;$AO198)-(ROWS($AO$5:$AO$1004)-Hoje!$L$5)+1)</f>
        <v>5</v>
      </c>
      <c r="AQ198" s="50" t="n">
        <f aca="false">IF(AND($F198&lt;&gt;"",$D198=Frota!$C$3),1,0)</f>
        <v>1</v>
      </c>
      <c r="AR198" s="50" t="n">
        <f aca="false">IF($AQ198=0,"",SUM($AQ$4:$AQ198))</f>
        <v>5</v>
      </c>
      <c r="AS198" s="50" t="str">
        <f aca="false">IFERROR(INDEX(Hoje!$K$10:$K$29,MATCH(ROW(),Hoje!$J$10:$J$29,0)),"")</f>
        <v/>
      </c>
      <c r="AT198" s="50" t="str">
        <f aca="false">IF($Q198&lt;&gt;"",$Q198,$AS198)</f>
        <v/>
      </c>
    </row>
    <row r="199" customFormat="false" ht="16.5" hidden="false" customHeight="true" outlineLevel="0" collapsed="false">
      <c r="A199" s="39" t="n">
        <f aca="false">IF($F199="","",ROW())</f>
        <v>199</v>
      </c>
      <c r="B199" s="40" t="str">
        <f aca="false">IF($F199="",IF($D199="","","Falta a atividade"),IF($R199="Cancelada","Cancelada",IF($AB199=1,IF(N($Z199)&gt;0,"Concluída com atraso","Concluída"),IF($R199="Em programação","Em programação",IF($O199="",IF($M199="","Na carteira","Falta a semana"),IF($AC199=1,"VENCIDA",IF($O199&gt;Hoje!$L$1,"Programada",IF($P199&gt;Hoje!$L$1,"Em execução","Fecha hoje"))))))))</f>
        <v>Na carteira</v>
      </c>
      <c r="C199" s="41" t="s">
        <v>507</v>
      </c>
      <c r="D199" s="42" t="s">
        <v>494</v>
      </c>
      <c r="E199" s="42" t="s">
        <v>495</v>
      </c>
      <c r="F199" s="42" t="s">
        <v>508</v>
      </c>
      <c r="G199" s="43" t="s">
        <v>80</v>
      </c>
      <c r="H199" s="43" t="s">
        <v>100</v>
      </c>
      <c r="I199" s="44"/>
      <c r="J199" s="44"/>
      <c r="K199" s="44"/>
      <c r="L199" s="45"/>
      <c r="M199" s="46"/>
      <c r="N199" s="45"/>
      <c r="O199" s="47" t="str">
        <f aca="false">IF(OR($L199="",$M199=""),"",(DATE(Semana!$J$3,1,4)-WEEKDAY(DATE(Semana!$J$3,1,4),3))+($L199-1)*7+MATCH($M199,Listas!$F$5:$F$11,0)-1)</f>
        <v/>
      </c>
      <c r="P199" s="47" t="str">
        <f aca="false">IF(OR($F199="",$O199=""),"",$O199+MAX(0,ROUNDUP($AK199*MAX(1,IF($N199="",1,$N199))/MAX(1,$AL199),0)-1))</f>
        <v/>
      </c>
      <c r="Q199" s="48"/>
      <c r="R199" s="43"/>
      <c r="S199" s="49"/>
      <c r="T199" s="42"/>
      <c r="U199" s="42" t="s">
        <v>500</v>
      </c>
      <c r="V199" s="39" t="str">
        <f aca="false">IF($F199="","",IF(ISNUMBER(SEARCH("(externo)",$I199&amp;$J199&amp;$K199)),"Terceirizada","Interna"))</f>
        <v>Interna</v>
      </c>
      <c r="W199" s="47" t="str">
        <f aca="false">IF($O199="","",IF($S199="",$O199,(DATE(Semana!$J$3,1,4)-WEEKDAY(DATE(Semana!$J$3,1,4),3))+($S199-1)*7+IF($M199="",0,MATCH($M199,Listas!$F$5:$F$11,0)-1)))</f>
        <v/>
      </c>
      <c r="X199" s="39" t="n">
        <f aca="false">IF($F199="","",IF(OR($AT199="",$O199=""),0,IF($AT199&lt;=$O199,1,0)))</f>
        <v>0</v>
      </c>
      <c r="Y199" s="39" t="n">
        <f aca="false">IF($F199="","",IF(OR($AT199="",$W199=""),0,IF($AT199&lt;=$W199,1,0)))</f>
        <v>0</v>
      </c>
      <c r="Z199" s="39" t="str">
        <f aca="false">IF(OR($AT199="",$O199=""),"",MAX(0,$AT199-$O199))</f>
        <v/>
      </c>
      <c r="AA199" s="39" t="n">
        <f aca="false">IF($F199="","",IF(AND($S199&lt;&gt;"",$L199&lt;&gt;"",$S199&lt;&gt;$L199),1,0))</f>
        <v>0</v>
      </c>
      <c r="AB199" s="39" t="n">
        <f aca="false">IF($F199="","",IF($R199="Cancelada",0,IF(OR($AT199&lt;&gt;"",$R199="Concluída"),1,0)))</f>
        <v>0</v>
      </c>
      <c r="AC199" s="39" t="n">
        <f aca="false">IF($P199="",0,IF($P199&lt;Hoje!$L$1,1,IF(AND($P199=Hoje!$L$1,Hoje!$L$2&gt;Semana!$M$3),1,0)))</f>
        <v>0</v>
      </c>
      <c r="AD199" s="39" t="n">
        <f aca="false">IF($F199="","",IF(COUNTA($I199:$K199)=0,0,1/COUNTA($I199:$K199)))</f>
        <v>0</v>
      </c>
      <c r="AE199" s="39" t="str">
        <f aca="false">IF($AH199=0,"",SUM($AH$4:$AH199))</f>
        <v/>
      </c>
      <c r="AF199" s="39" t="str">
        <f aca="false">IF($AI199=0,"",SUM($AI$4:$AI199))</f>
        <v/>
      </c>
      <c r="AG199" s="50" t="str">
        <f aca="false">IF($F199="","",$I199&amp;IF($J199="",""," · "&amp;$J199)&amp;IF($K199="",""," · "&amp;$K199))</f>
        <v/>
      </c>
      <c r="AH199" s="39" t="n">
        <f aca="false">IF(AND($F199&lt;&gt;"",$O199&lt;&gt;"",$O199&lt;=Hoje!$C$3,$P199&gt;=Hoje!$C$3,$R199&lt;&gt;"Cancelada"),1,0)</f>
        <v>0</v>
      </c>
      <c r="AI199" s="39" t="n">
        <f aca="false">IF(AND($F199&lt;&gt;"",$P199&lt;&gt;"",$P199&lt;Hoje!$C$3,$AB199=0,$R199&lt;&gt;"Cancelada"),1,0)</f>
        <v>0</v>
      </c>
      <c r="AJ199" s="50" t="str">
        <f aca="false">IF($F199="","",$D199&amp;"|"&amp;$E199&amp;"|"&amp;$L199)</f>
        <v>F-1038|Pendências de inspeção|</v>
      </c>
      <c r="AK199" s="39" t="n">
        <f aca="false">IF($AJ199="","",COUNTIF($AJ$4:$AJ199,$AJ199))</f>
        <v>6</v>
      </c>
      <c r="AL199" s="39" t="n">
        <f aca="false">IF($AJ199="","",COUNTIF($AJ$4:$AJ$1004,$AJ199))</f>
        <v>10</v>
      </c>
      <c r="AM199" s="42"/>
      <c r="AN199" s="50" t="str">
        <f aca="false">IF($D199="","",IFERROR(T(VLOOKUP($D199,Listas!$B$5:$H$120,7,0)),""))</f>
        <v/>
      </c>
      <c r="AO199" s="50" t="str">
        <f aca="false">IF(OR($F199="",$L199&lt;&gt;"",$R199="Cancelada",$AT199&lt;&gt;""),"",$AN199&amp;"|"&amp;$D199&amp;"|"&amp;IF($C199="","zzz",$C199)&amp;"|"&amp;TEXT(199,"0000"))</f>
        <v>|F-1038|007313|0199</v>
      </c>
      <c r="AP199" s="50" t="n">
        <f aca="false">IF($AO199="","",COUNTIF($AO$5:$AO$1004,"&lt;"&amp;$AO199)-(ROWS($AO$5:$AO$1004)-Hoje!$L$5)+1)</f>
        <v>6</v>
      </c>
      <c r="AQ199" s="50" t="n">
        <f aca="false">IF(AND($F199&lt;&gt;"",$D199=Frota!$C$3),1,0)</f>
        <v>1</v>
      </c>
      <c r="AR199" s="50" t="n">
        <f aca="false">IF($AQ199=0,"",SUM($AQ$4:$AQ199))</f>
        <v>6</v>
      </c>
      <c r="AS199" s="50" t="str">
        <f aca="false">IFERROR(INDEX(Hoje!$K$10:$K$29,MATCH(ROW(),Hoje!$J$10:$J$29,0)),"")</f>
        <v/>
      </c>
      <c r="AT199" s="50" t="str">
        <f aca="false">IF($Q199&lt;&gt;"",$Q199,$AS199)</f>
        <v/>
      </c>
    </row>
    <row r="200" customFormat="false" ht="16.5" hidden="false" customHeight="true" outlineLevel="0" collapsed="false">
      <c r="A200" s="39" t="n">
        <f aca="false">IF($F200="","",ROW())</f>
        <v>200</v>
      </c>
      <c r="B200" s="40" t="str">
        <f aca="false">IF($F200="",IF($D200="","","Falta a atividade"),IF($R200="Cancelada","Cancelada",IF($AB200=1,IF(N($Z200)&gt;0,"Concluída com atraso","Concluída"),IF($R200="Em programação","Em programação",IF($O200="",IF($M200="","Na carteira","Falta a semana"),IF($AC200=1,"VENCIDA",IF($O200&gt;Hoje!$L$1,"Programada",IF($P200&gt;Hoje!$L$1,"Em execução","Fecha hoje"))))))))</f>
        <v>Na carteira</v>
      </c>
      <c r="C200" s="41" t="s">
        <v>509</v>
      </c>
      <c r="D200" s="42" t="s">
        <v>494</v>
      </c>
      <c r="E200" s="42" t="s">
        <v>495</v>
      </c>
      <c r="F200" s="42" t="s">
        <v>510</v>
      </c>
      <c r="G200" s="43" t="s">
        <v>80</v>
      </c>
      <c r="H200" s="43" t="s">
        <v>100</v>
      </c>
      <c r="I200" s="44"/>
      <c r="J200" s="44"/>
      <c r="K200" s="44"/>
      <c r="L200" s="45"/>
      <c r="M200" s="46"/>
      <c r="N200" s="45"/>
      <c r="O200" s="47" t="str">
        <f aca="false">IF(OR($L200="",$M200=""),"",(DATE(Semana!$J$3,1,4)-WEEKDAY(DATE(Semana!$J$3,1,4),3))+($L200-1)*7+MATCH($M200,Listas!$F$5:$F$11,0)-1)</f>
        <v/>
      </c>
      <c r="P200" s="47" t="str">
        <f aca="false">IF(OR($F200="",$O200=""),"",$O200+MAX(0,ROUNDUP($AK200*MAX(1,IF($N200="",1,$N200))/MAX(1,$AL200),0)-1))</f>
        <v/>
      </c>
      <c r="Q200" s="48"/>
      <c r="R200" s="43"/>
      <c r="S200" s="49"/>
      <c r="T200" s="42"/>
      <c r="U200" s="42" t="s">
        <v>500</v>
      </c>
      <c r="V200" s="39" t="str">
        <f aca="false">IF($F200="","",IF(ISNUMBER(SEARCH("(externo)",$I200&amp;$J200&amp;$K200)),"Terceirizada","Interna"))</f>
        <v>Interna</v>
      </c>
      <c r="W200" s="47" t="str">
        <f aca="false">IF($O200="","",IF($S200="",$O200,(DATE(Semana!$J$3,1,4)-WEEKDAY(DATE(Semana!$J$3,1,4),3))+($S200-1)*7+IF($M200="",0,MATCH($M200,Listas!$F$5:$F$11,0)-1)))</f>
        <v/>
      </c>
      <c r="X200" s="39" t="n">
        <f aca="false">IF($F200="","",IF(OR($AT200="",$O200=""),0,IF($AT200&lt;=$O200,1,0)))</f>
        <v>0</v>
      </c>
      <c r="Y200" s="39" t="n">
        <f aca="false">IF($F200="","",IF(OR($AT200="",$W200=""),0,IF($AT200&lt;=$W200,1,0)))</f>
        <v>0</v>
      </c>
      <c r="Z200" s="39" t="str">
        <f aca="false">IF(OR($AT200="",$O200=""),"",MAX(0,$AT200-$O200))</f>
        <v/>
      </c>
      <c r="AA200" s="39" t="n">
        <f aca="false">IF($F200="","",IF(AND($S200&lt;&gt;"",$L200&lt;&gt;"",$S200&lt;&gt;$L200),1,0))</f>
        <v>0</v>
      </c>
      <c r="AB200" s="39" t="n">
        <f aca="false">IF($F200="","",IF($R200="Cancelada",0,IF(OR($AT200&lt;&gt;"",$R200="Concluída"),1,0)))</f>
        <v>0</v>
      </c>
      <c r="AC200" s="39" t="n">
        <f aca="false">IF($P200="",0,IF($P200&lt;Hoje!$L$1,1,IF(AND($P200=Hoje!$L$1,Hoje!$L$2&gt;Semana!$M$3),1,0)))</f>
        <v>0</v>
      </c>
      <c r="AD200" s="39" t="n">
        <f aca="false">IF($F200="","",IF(COUNTA($I200:$K200)=0,0,1/COUNTA($I200:$K200)))</f>
        <v>0</v>
      </c>
      <c r="AE200" s="39" t="str">
        <f aca="false">IF($AH200=0,"",SUM($AH$4:$AH200))</f>
        <v/>
      </c>
      <c r="AF200" s="39" t="str">
        <f aca="false">IF($AI200=0,"",SUM($AI$4:$AI200))</f>
        <v/>
      </c>
      <c r="AG200" s="50" t="str">
        <f aca="false">IF($F200="","",$I200&amp;IF($J200="",""," · "&amp;$J200)&amp;IF($K200="",""," · "&amp;$K200))</f>
        <v/>
      </c>
      <c r="AH200" s="39" t="n">
        <f aca="false">IF(AND($F200&lt;&gt;"",$O200&lt;&gt;"",$O200&lt;=Hoje!$C$3,$P200&gt;=Hoje!$C$3,$R200&lt;&gt;"Cancelada"),1,0)</f>
        <v>0</v>
      </c>
      <c r="AI200" s="39" t="n">
        <f aca="false">IF(AND($F200&lt;&gt;"",$P200&lt;&gt;"",$P200&lt;Hoje!$C$3,$AB200=0,$R200&lt;&gt;"Cancelada"),1,0)</f>
        <v>0</v>
      </c>
      <c r="AJ200" s="50" t="str">
        <f aca="false">IF($F200="","",$D200&amp;"|"&amp;$E200&amp;"|"&amp;$L200)</f>
        <v>F-1038|Pendências de inspeção|</v>
      </c>
      <c r="AK200" s="39" t="n">
        <f aca="false">IF($AJ200="","",COUNTIF($AJ$4:$AJ200,$AJ200))</f>
        <v>7</v>
      </c>
      <c r="AL200" s="39" t="n">
        <f aca="false">IF($AJ200="","",COUNTIF($AJ$4:$AJ$1004,$AJ200))</f>
        <v>10</v>
      </c>
      <c r="AM200" s="42"/>
      <c r="AN200" s="50" t="str">
        <f aca="false">IF($D200="","",IFERROR(T(VLOOKUP($D200,Listas!$B$5:$H$120,7,0)),""))</f>
        <v/>
      </c>
      <c r="AO200" s="50" t="str">
        <f aca="false">IF(OR($F200="",$L200&lt;&gt;"",$R200="Cancelada",$AT200&lt;&gt;""),"",$AN200&amp;"|"&amp;$D200&amp;"|"&amp;IF($C200="","zzz",$C200)&amp;"|"&amp;TEXT(200,"0000"))</f>
        <v>|F-1038|007317|0200</v>
      </c>
      <c r="AP200" s="50" t="n">
        <f aca="false">IF($AO200="","",COUNTIF($AO$5:$AO$1004,"&lt;"&amp;$AO200)-(ROWS($AO$5:$AO$1004)-Hoje!$L$5)+1)</f>
        <v>8</v>
      </c>
      <c r="AQ200" s="50" t="n">
        <f aca="false">IF(AND($F200&lt;&gt;"",$D200=Frota!$C$3),1,0)</f>
        <v>1</v>
      </c>
      <c r="AR200" s="50" t="n">
        <f aca="false">IF($AQ200=0,"",SUM($AQ$4:$AQ200))</f>
        <v>7</v>
      </c>
      <c r="AS200" s="50" t="str">
        <f aca="false">IFERROR(INDEX(Hoje!$K$10:$K$29,MATCH(ROW(),Hoje!$J$10:$J$29,0)),"")</f>
        <v/>
      </c>
      <c r="AT200" s="50" t="str">
        <f aca="false">IF($Q200&lt;&gt;"",$Q200,$AS200)</f>
        <v/>
      </c>
    </row>
    <row r="201" customFormat="false" ht="16.5" hidden="false" customHeight="true" outlineLevel="0" collapsed="false">
      <c r="A201" s="39" t="n">
        <f aca="false">IF($F201="","",ROW())</f>
        <v>201</v>
      </c>
      <c r="B201" s="40" t="str">
        <f aca="false">IF($F201="",IF($D201="","","Falta a atividade"),IF($R201="Cancelada","Cancelada",IF($AB201=1,IF(N($Z201)&gt;0,"Concluída com atraso","Concluída"),IF($R201="Em programação","Em programação",IF($O201="",IF($M201="","Na carteira","Falta a semana"),IF($AC201=1,"VENCIDA",IF($O201&gt;Hoje!$L$1,"Programada",IF($P201&gt;Hoje!$L$1,"Em execução","Fecha hoje"))))))))</f>
        <v>Na carteira</v>
      </c>
      <c r="C201" s="41" t="s">
        <v>511</v>
      </c>
      <c r="D201" s="42" t="s">
        <v>494</v>
      </c>
      <c r="E201" s="42" t="s">
        <v>495</v>
      </c>
      <c r="F201" s="42" t="s">
        <v>512</v>
      </c>
      <c r="G201" s="43" t="s">
        <v>80</v>
      </c>
      <c r="H201" s="43" t="s">
        <v>100</v>
      </c>
      <c r="I201" s="44"/>
      <c r="J201" s="44"/>
      <c r="K201" s="44"/>
      <c r="L201" s="45"/>
      <c r="M201" s="46"/>
      <c r="N201" s="45"/>
      <c r="O201" s="47" t="str">
        <f aca="false">IF(OR($L201="",$M201=""),"",(DATE(Semana!$J$3,1,4)-WEEKDAY(DATE(Semana!$J$3,1,4),3))+($L201-1)*7+MATCH($M201,Listas!$F$5:$F$11,0)-1)</f>
        <v/>
      </c>
      <c r="P201" s="47" t="str">
        <f aca="false">IF(OR($F201="",$O201=""),"",$O201+MAX(0,ROUNDUP($AK201*MAX(1,IF($N201="",1,$N201))/MAX(1,$AL201),0)-1))</f>
        <v/>
      </c>
      <c r="Q201" s="48"/>
      <c r="R201" s="43"/>
      <c r="S201" s="49"/>
      <c r="T201" s="42"/>
      <c r="U201" s="42" t="s">
        <v>500</v>
      </c>
      <c r="V201" s="39" t="str">
        <f aca="false">IF($F201="","",IF(ISNUMBER(SEARCH("(externo)",$I201&amp;$J201&amp;$K201)),"Terceirizada","Interna"))</f>
        <v>Interna</v>
      </c>
      <c r="W201" s="47" t="str">
        <f aca="false">IF($O201="","",IF($S201="",$O201,(DATE(Semana!$J$3,1,4)-WEEKDAY(DATE(Semana!$J$3,1,4),3))+($S201-1)*7+IF($M201="",0,MATCH($M201,Listas!$F$5:$F$11,0)-1)))</f>
        <v/>
      </c>
      <c r="X201" s="39" t="n">
        <f aca="false">IF($F201="","",IF(OR($AT201="",$O201=""),0,IF($AT201&lt;=$O201,1,0)))</f>
        <v>0</v>
      </c>
      <c r="Y201" s="39" t="n">
        <f aca="false">IF($F201="","",IF(OR($AT201="",$W201=""),0,IF($AT201&lt;=$W201,1,0)))</f>
        <v>0</v>
      </c>
      <c r="Z201" s="39" t="str">
        <f aca="false">IF(OR($AT201="",$O201=""),"",MAX(0,$AT201-$O201))</f>
        <v/>
      </c>
      <c r="AA201" s="39" t="n">
        <f aca="false">IF($F201="","",IF(AND($S201&lt;&gt;"",$L201&lt;&gt;"",$S201&lt;&gt;$L201),1,0))</f>
        <v>0</v>
      </c>
      <c r="AB201" s="39" t="n">
        <f aca="false">IF($F201="","",IF($R201="Cancelada",0,IF(OR($AT201&lt;&gt;"",$R201="Concluída"),1,0)))</f>
        <v>0</v>
      </c>
      <c r="AC201" s="39" t="n">
        <f aca="false">IF($P201="",0,IF($P201&lt;Hoje!$L$1,1,IF(AND($P201=Hoje!$L$1,Hoje!$L$2&gt;Semana!$M$3),1,0)))</f>
        <v>0</v>
      </c>
      <c r="AD201" s="39" t="n">
        <f aca="false">IF($F201="","",IF(COUNTA($I201:$K201)=0,0,1/COUNTA($I201:$K201)))</f>
        <v>0</v>
      </c>
      <c r="AE201" s="39" t="str">
        <f aca="false">IF($AH201=0,"",SUM($AH$4:$AH201))</f>
        <v/>
      </c>
      <c r="AF201" s="39" t="str">
        <f aca="false">IF($AI201=0,"",SUM($AI$4:$AI201))</f>
        <v/>
      </c>
      <c r="AG201" s="50" t="str">
        <f aca="false">IF($F201="","",$I201&amp;IF($J201="",""," · "&amp;$J201)&amp;IF($K201="",""," · "&amp;$K201))</f>
        <v/>
      </c>
      <c r="AH201" s="39" t="n">
        <f aca="false">IF(AND($F201&lt;&gt;"",$O201&lt;&gt;"",$O201&lt;=Hoje!$C$3,$P201&gt;=Hoje!$C$3,$R201&lt;&gt;"Cancelada"),1,0)</f>
        <v>0</v>
      </c>
      <c r="AI201" s="39" t="n">
        <f aca="false">IF(AND($F201&lt;&gt;"",$P201&lt;&gt;"",$P201&lt;Hoje!$C$3,$AB201=0,$R201&lt;&gt;"Cancelada"),1,0)</f>
        <v>0</v>
      </c>
      <c r="AJ201" s="50" t="str">
        <f aca="false">IF($F201="","",$D201&amp;"|"&amp;$E201&amp;"|"&amp;$L201)</f>
        <v>F-1038|Pendências de inspeção|</v>
      </c>
      <c r="AK201" s="39" t="n">
        <f aca="false">IF($AJ201="","",COUNTIF($AJ$4:$AJ201,$AJ201))</f>
        <v>8</v>
      </c>
      <c r="AL201" s="39" t="n">
        <f aca="false">IF($AJ201="","",COUNTIF($AJ$4:$AJ$1004,$AJ201))</f>
        <v>10</v>
      </c>
      <c r="AM201" s="42"/>
      <c r="AN201" s="50" t="str">
        <f aca="false">IF($D201="","",IFERROR(T(VLOOKUP($D201,Listas!$B$5:$H$120,7,0)),""))</f>
        <v/>
      </c>
      <c r="AO201" s="50" t="str">
        <f aca="false">IF(OR($F201="",$L201&lt;&gt;"",$R201="Cancelada",$AT201&lt;&gt;""),"",$AN201&amp;"|"&amp;$D201&amp;"|"&amp;IF($C201="","zzz",$C201)&amp;"|"&amp;TEXT(201,"0000"))</f>
        <v>|F-1038|007318|0201</v>
      </c>
      <c r="AP201" s="50" t="n">
        <f aca="false">IF($AO201="","",COUNTIF($AO$5:$AO$1004,"&lt;"&amp;$AO201)-(ROWS($AO$5:$AO$1004)-Hoje!$L$5)+1)</f>
        <v>9</v>
      </c>
      <c r="AQ201" s="50" t="n">
        <f aca="false">IF(AND($F201&lt;&gt;"",$D201=Frota!$C$3),1,0)</f>
        <v>1</v>
      </c>
      <c r="AR201" s="50" t="n">
        <f aca="false">IF($AQ201=0,"",SUM($AQ$4:$AQ201))</f>
        <v>8</v>
      </c>
      <c r="AS201" s="50" t="str">
        <f aca="false">IFERROR(INDEX(Hoje!$K$10:$K$29,MATCH(ROW(),Hoje!$J$10:$J$29,0)),"")</f>
        <v/>
      </c>
      <c r="AT201" s="50" t="str">
        <f aca="false">IF($Q201&lt;&gt;"",$Q201,$AS201)</f>
        <v/>
      </c>
    </row>
    <row r="202" customFormat="false" ht="16.5" hidden="false" customHeight="true" outlineLevel="0" collapsed="false">
      <c r="A202" s="39" t="n">
        <f aca="false">IF($F202="","",ROW())</f>
        <v>202</v>
      </c>
      <c r="B202" s="40" t="str">
        <f aca="false">IF($F202="",IF($D202="","","Falta a atividade"),IF($R202="Cancelada","Cancelada",IF($AB202=1,IF(N($Z202)&gt;0,"Concluída com atraso","Concluída"),IF($R202="Em programação","Em programação",IF($O202="",IF($M202="","Na carteira","Falta a semana"),IF($AC202=1,"VENCIDA",IF($O202&gt;Hoje!$L$1,"Programada",IF($P202&gt;Hoje!$L$1,"Em execução","Fecha hoje"))))))))</f>
        <v>Na carteira</v>
      </c>
      <c r="C202" s="41" t="s">
        <v>513</v>
      </c>
      <c r="D202" s="42" t="s">
        <v>494</v>
      </c>
      <c r="E202" s="42" t="s">
        <v>495</v>
      </c>
      <c r="F202" s="42" t="s">
        <v>514</v>
      </c>
      <c r="G202" s="43" t="s">
        <v>80</v>
      </c>
      <c r="H202" s="43" t="s">
        <v>100</v>
      </c>
      <c r="I202" s="44"/>
      <c r="J202" s="44"/>
      <c r="K202" s="44"/>
      <c r="L202" s="45"/>
      <c r="M202" s="46"/>
      <c r="N202" s="45"/>
      <c r="O202" s="47" t="str">
        <f aca="false">IF(OR($L202="",$M202=""),"",(DATE(Semana!$J$3,1,4)-WEEKDAY(DATE(Semana!$J$3,1,4),3))+($L202-1)*7+MATCH($M202,Listas!$F$5:$F$11,0)-1)</f>
        <v/>
      </c>
      <c r="P202" s="47" t="str">
        <f aca="false">IF(OR($F202="",$O202=""),"",$O202+MAX(0,ROUNDUP($AK202*MAX(1,IF($N202="",1,$N202))/MAX(1,$AL202),0)-1))</f>
        <v/>
      </c>
      <c r="Q202" s="48"/>
      <c r="R202" s="43"/>
      <c r="S202" s="49"/>
      <c r="T202" s="42"/>
      <c r="U202" s="42" t="s">
        <v>500</v>
      </c>
      <c r="V202" s="39" t="str">
        <f aca="false">IF($F202="","",IF(ISNUMBER(SEARCH("(externo)",$I202&amp;$J202&amp;$K202)),"Terceirizada","Interna"))</f>
        <v>Interna</v>
      </c>
      <c r="W202" s="47" t="str">
        <f aca="false">IF($O202="","",IF($S202="",$O202,(DATE(Semana!$J$3,1,4)-WEEKDAY(DATE(Semana!$J$3,1,4),3))+($S202-1)*7+IF($M202="",0,MATCH($M202,Listas!$F$5:$F$11,0)-1)))</f>
        <v/>
      </c>
      <c r="X202" s="39" t="n">
        <f aca="false">IF($F202="","",IF(OR($AT202="",$O202=""),0,IF($AT202&lt;=$O202,1,0)))</f>
        <v>0</v>
      </c>
      <c r="Y202" s="39" t="n">
        <f aca="false">IF($F202="","",IF(OR($AT202="",$W202=""),0,IF($AT202&lt;=$W202,1,0)))</f>
        <v>0</v>
      </c>
      <c r="Z202" s="39" t="str">
        <f aca="false">IF(OR($AT202="",$O202=""),"",MAX(0,$AT202-$O202))</f>
        <v/>
      </c>
      <c r="AA202" s="39" t="n">
        <f aca="false">IF($F202="","",IF(AND($S202&lt;&gt;"",$L202&lt;&gt;"",$S202&lt;&gt;$L202),1,0))</f>
        <v>0</v>
      </c>
      <c r="AB202" s="39" t="n">
        <f aca="false">IF($F202="","",IF($R202="Cancelada",0,IF(OR($AT202&lt;&gt;"",$R202="Concluída"),1,0)))</f>
        <v>0</v>
      </c>
      <c r="AC202" s="39" t="n">
        <f aca="false">IF($P202="",0,IF($P202&lt;Hoje!$L$1,1,IF(AND($P202=Hoje!$L$1,Hoje!$L$2&gt;Semana!$M$3),1,0)))</f>
        <v>0</v>
      </c>
      <c r="AD202" s="39" t="n">
        <f aca="false">IF($F202="","",IF(COUNTA($I202:$K202)=0,0,1/COUNTA($I202:$K202)))</f>
        <v>0</v>
      </c>
      <c r="AE202" s="39" t="str">
        <f aca="false">IF($AH202=0,"",SUM($AH$4:$AH202))</f>
        <v/>
      </c>
      <c r="AF202" s="39" t="str">
        <f aca="false">IF($AI202=0,"",SUM($AI$4:$AI202))</f>
        <v/>
      </c>
      <c r="AG202" s="50" t="str">
        <f aca="false">IF($F202="","",$I202&amp;IF($J202="",""," · "&amp;$J202)&amp;IF($K202="",""," · "&amp;$K202))</f>
        <v/>
      </c>
      <c r="AH202" s="39" t="n">
        <f aca="false">IF(AND($F202&lt;&gt;"",$O202&lt;&gt;"",$O202&lt;=Hoje!$C$3,$P202&gt;=Hoje!$C$3,$R202&lt;&gt;"Cancelada"),1,0)</f>
        <v>0</v>
      </c>
      <c r="AI202" s="39" t="n">
        <f aca="false">IF(AND($F202&lt;&gt;"",$P202&lt;&gt;"",$P202&lt;Hoje!$C$3,$AB202=0,$R202&lt;&gt;"Cancelada"),1,0)</f>
        <v>0</v>
      </c>
      <c r="AJ202" s="50" t="str">
        <f aca="false">IF($F202="","",$D202&amp;"|"&amp;$E202&amp;"|"&amp;$L202)</f>
        <v>F-1038|Pendências de inspeção|</v>
      </c>
      <c r="AK202" s="39" t="n">
        <f aca="false">IF($AJ202="","",COUNTIF($AJ$4:$AJ202,$AJ202))</f>
        <v>9</v>
      </c>
      <c r="AL202" s="39" t="n">
        <f aca="false">IF($AJ202="","",COUNTIF($AJ$4:$AJ$1004,$AJ202))</f>
        <v>10</v>
      </c>
      <c r="AM202" s="42"/>
      <c r="AN202" s="50" t="str">
        <f aca="false">IF($D202="","",IFERROR(T(VLOOKUP($D202,Listas!$B$5:$H$120,7,0)),""))</f>
        <v/>
      </c>
      <c r="AO202" s="50" t="str">
        <f aca="false">IF(OR($F202="",$L202&lt;&gt;"",$R202="Cancelada",$AT202&lt;&gt;""),"",$AN202&amp;"|"&amp;$D202&amp;"|"&amp;IF($C202="","zzz",$C202)&amp;"|"&amp;TEXT(202,"0000"))</f>
        <v>|F-1038|007316|0202</v>
      </c>
      <c r="AP202" s="50" t="n">
        <f aca="false">IF($AO202="","",COUNTIF($AO$5:$AO$1004,"&lt;"&amp;$AO202)-(ROWS($AO$5:$AO$1004)-Hoje!$L$5)+1)</f>
        <v>7</v>
      </c>
      <c r="AQ202" s="50" t="n">
        <f aca="false">IF(AND($F202&lt;&gt;"",$D202=Frota!$C$3),1,0)</f>
        <v>1</v>
      </c>
      <c r="AR202" s="50" t="n">
        <f aca="false">IF($AQ202=0,"",SUM($AQ$4:$AQ202))</f>
        <v>9</v>
      </c>
      <c r="AS202" s="50" t="str">
        <f aca="false">IFERROR(INDEX(Hoje!$K$10:$K$29,MATCH(ROW(),Hoje!$J$10:$J$29,0)),"")</f>
        <v/>
      </c>
      <c r="AT202" s="50" t="str">
        <f aca="false">IF($Q202&lt;&gt;"",$Q202,$AS202)</f>
        <v/>
      </c>
    </row>
    <row r="203" customFormat="false" ht="16.5" hidden="false" customHeight="true" outlineLevel="0" collapsed="false">
      <c r="A203" s="39" t="n">
        <f aca="false">IF($F203="","",ROW())</f>
        <v>203</v>
      </c>
      <c r="B203" s="40" t="str">
        <f aca="false">IF($F203="",IF($D203="","","Falta a atividade"),IF($R203="Cancelada","Cancelada",IF($AB203=1,IF(N($Z203)&gt;0,"Concluída com atraso","Concluída"),IF($R203="Em programação","Em programação",IF($O203="",IF($M203="","Na carteira","Falta a semana"),IF($AC203=1,"VENCIDA",IF($O203&gt;Hoje!$L$1,"Programada",IF($P203&gt;Hoje!$L$1,"Em execução","Fecha hoje"))))))))</f>
        <v>Na carteira</v>
      </c>
      <c r="C203" s="41" t="s">
        <v>515</v>
      </c>
      <c r="D203" s="42" t="s">
        <v>494</v>
      </c>
      <c r="E203" s="42" t="s">
        <v>495</v>
      </c>
      <c r="F203" s="42" t="s">
        <v>516</v>
      </c>
      <c r="G203" s="43" t="s">
        <v>80</v>
      </c>
      <c r="H203" s="43" t="s">
        <v>100</v>
      </c>
      <c r="I203" s="44"/>
      <c r="J203" s="44"/>
      <c r="K203" s="44"/>
      <c r="L203" s="45"/>
      <c r="M203" s="46"/>
      <c r="N203" s="45"/>
      <c r="O203" s="47" t="str">
        <f aca="false">IF(OR($L203="",$M203=""),"",(DATE(Semana!$J$3,1,4)-WEEKDAY(DATE(Semana!$J$3,1,4),3))+($L203-1)*7+MATCH($M203,Listas!$F$5:$F$11,0)-1)</f>
        <v/>
      </c>
      <c r="P203" s="47" t="str">
        <f aca="false">IF(OR($F203="",$O203=""),"",$O203+MAX(0,ROUNDUP($AK203*MAX(1,IF($N203="",1,$N203))/MAX(1,$AL203),0)-1))</f>
        <v/>
      </c>
      <c r="Q203" s="48"/>
      <c r="R203" s="43"/>
      <c r="S203" s="49"/>
      <c r="T203" s="42"/>
      <c r="U203" s="42" t="s">
        <v>500</v>
      </c>
      <c r="V203" s="39" t="str">
        <f aca="false">IF($F203="","",IF(ISNUMBER(SEARCH("(externo)",$I203&amp;$J203&amp;$K203)),"Terceirizada","Interna"))</f>
        <v>Interna</v>
      </c>
      <c r="W203" s="47" t="str">
        <f aca="false">IF($O203="","",IF($S203="",$O203,(DATE(Semana!$J$3,1,4)-WEEKDAY(DATE(Semana!$J$3,1,4),3))+($S203-1)*7+IF($M203="",0,MATCH($M203,Listas!$F$5:$F$11,0)-1)))</f>
        <v/>
      </c>
      <c r="X203" s="39" t="n">
        <f aca="false">IF($F203="","",IF(OR($AT203="",$O203=""),0,IF($AT203&lt;=$O203,1,0)))</f>
        <v>0</v>
      </c>
      <c r="Y203" s="39" t="n">
        <f aca="false">IF($F203="","",IF(OR($AT203="",$W203=""),0,IF($AT203&lt;=$W203,1,0)))</f>
        <v>0</v>
      </c>
      <c r="Z203" s="39" t="str">
        <f aca="false">IF(OR($AT203="",$O203=""),"",MAX(0,$AT203-$O203))</f>
        <v/>
      </c>
      <c r="AA203" s="39" t="n">
        <f aca="false">IF($F203="","",IF(AND($S203&lt;&gt;"",$L203&lt;&gt;"",$S203&lt;&gt;$L203),1,0))</f>
        <v>0</v>
      </c>
      <c r="AB203" s="39" t="n">
        <f aca="false">IF($F203="","",IF($R203="Cancelada",0,IF(OR($AT203&lt;&gt;"",$R203="Concluída"),1,0)))</f>
        <v>0</v>
      </c>
      <c r="AC203" s="39" t="n">
        <f aca="false">IF($P203="",0,IF($P203&lt;Hoje!$L$1,1,IF(AND($P203=Hoje!$L$1,Hoje!$L$2&gt;Semana!$M$3),1,0)))</f>
        <v>0</v>
      </c>
      <c r="AD203" s="39" t="n">
        <f aca="false">IF($F203="","",IF(COUNTA($I203:$K203)=0,0,1/COUNTA($I203:$K203)))</f>
        <v>0</v>
      </c>
      <c r="AE203" s="39" t="str">
        <f aca="false">IF($AH203=0,"",SUM($AH$4:$AH203))</f>
        <v/>
      </c>
      <c r="AF203" s="39" t="str">
        <f aca="false">IF($AI203=0,"",SUM($AI$4:$AI203))</f>
        <v/>
      </c>
      <c r="AG203" s="50" t="str">
        <f aca="false">IF($F203="","",$I203&amp;IF($J203="",""," · "&amp;$J203)&amp;IF($K203="",""," · "&amp;$K203))</f>
        <v/>
      </c>
      <c r="AH203" s="39" t="n">
        <f aca="false">IF(AND($F203&lt;&gt;"",$O203&lt;&gt;"",$O203&lt;=Hoje!$C$3,$P203&gt;=Hoje!$C$3,$R203&lt;&gt;"Cancelada"),1,0)</f>
        <v>0</v>
      </c>
      <c r="AI203" s="39" t="n">
        <f aca="false">IF(AND($F203&lt;&gt;"",$P203&lt;&gt;"",$P203&lt;Hoje!$C$3,$AB203=0,$R203&lt;&gt;"Cancelada"),1,0)</f>
        <v>0</v>
      </c>
      <c r="AJ203" s="50" t="str">
        <f aca="false">IF($F203="","",$D203&amp;"|"&amp;$E203&amp;"|"&amp;$L203)</f>
        <v>F-1038|Pendências de inspeção|</v>
      </c>
      <c r="AK203" s="39" t="n">
        <f aca="false">IF($AJ203="","",COUNTIF($AJ$4:$AJ203,$AJ203))</f>
        <v>10</v>
      </c>
      <c r="AL203" s="39" t="n">
        <f aca="false">IF($AJ203="","",COUNTIF($AJ$4:$AJ$1004,$AJ203))</f>
        <v>10</v>
      </c>
      <c r="AM203" s="42"/>
      <c r="AN203" s="50" t="str">
        <f aca="false">IF($D203="","",IFERROR(T(VLOOKUP($D203,Listas!$B$5:$H$120,7,0)),""))</f>
        <v/>
      </c>
      <c r="AO203" s="50" t="str">
        <f aca="false">IF(OR($F203="",$L203&lt;&gt;"",$R203="Cancelada",$AT203&lt;&gt;""),"",$AN203&amp;"|"&amp;$D203&amp;"|"&amp;IF($C203="","zzz",$C203)&amp;"|"&amp;TEXT(203,"0000"))</f>
        <v>|F-1038|007319|0203</v>
      </c>
      <c r="AP203" s="50" t="n">
        <f aca="false">IF($AO203="","",COUNTIF($AO$5:$AO$1004,"&lt;"&amp;$AO203)-(ROWS($AO$5:$AO$1004)-Hoje!$L$5)+1)</f>
        <v>10</v>
      </c>
      <c r="AQ203" s="50" t="n">
        <f aca="false">IF(AND($F203&lt;&gt;"",$D203=Frota!$C$3),1,0)</f>
        <v>1</v>
      </c>
      <c r="AR203" s="50" t="n">
        <f aca="false">IF($AQ203=0,"",SUM($AQ$4:$AQ203))</f>
        <v>10</v>
      </c>
      <c r="AS203" s="50" t="str">
        <f aca="false">IFERROR(INDEX(Hoje!$K$10:$K$29,MATCH(ROW(),Hoje!$J$10:$J$29,0)),"")</f>
        <v/>
      </c>
      <c r="AT203" s="50" t="str">
        <f aca="false">IF($Q203&lt;&gt;"",$Q203,$AS203)</f>
        <v/>
      </c>
    </row>
    <row r="204" customFormat="false" ht="16.5" hidden="false" customHeight="true" outlineLevel="0" collapsed="false">
      <c r="A204" s="39" t="n">
        <f aca="false">IF($F204="","",ROW())</f>
        <v>204</v>
      </c>
      <c r="B204" s="40" t="str">
        <f aca="false">IF($F204="",IF($D204="","","Falta a atividade"),IF($R204="Cancelada","Cancelada",IF($AB204=1,IF(N($Z204)&gt;0,"Concluída com atraso","Concluída"),IF($R204="Em programação","Em programação",IF($O204="",IF($M204="","Na carteira","Falta a semana"),IF($AC204=1,"VENCIDA",IF($O204&gt;Hoje!$L$1,"Programada",IF($P204&gt;Hoje!$L$1,"Em execução","Fecha hoje"))))))))</f>
        <v>Na carteira</v>
      </c>
      <c r="C204" s="41" t="s">
        <v>517</v>
      </c>
      <c r="D204" s="42" t="s">
        <v>518</v>
      </c>
      <c r="E204" s="42" t="s">
        <v>495</v>
      </c>
      <c r="F204" s="42" t="s">
        <v>519</v>
      </c>
      <c r="G204" s="43" t="s">
        <v>80</v>
      </c>
      <c r="H204" s="43" t="s">
        <v>100</v>
      </c>
      <c r="I204" s="44"/>
      <c r="J204" s="44"/>
      <c r="K204" s="44"/>
      <c r="L204" s="45"/>
      <c r="M204" s="46"/>
      <c r="N204" s="45"/>
      <c r="O204" s="47" t="str">
        <f aca="false">IF(OR($L204="",$M204=""),"",(DATE(Semana!$J$3,1,4)-WEEKDAY(DATE(Semana!$J$3,1,4),3))+($L204-1)*7+MATCH($M204,Listas!$F$5:$F$11,0)-1)</f>
        <v/>
      </c>
      <c r="P204" s="47" t="str">
        <f aca="false">IF(OR($F204="",$O204=""),"",$O204+MAX(0,ROUNDUP($AK204*MAX(1,IF($N204="",1,$N204))/MAX(1,$AL204),0)-1))</f>
        <v/>
      </c>
      <c r="Q204" s="48"/>
      <c r="R204" s="43"/>
      <c r="S204" s="49"/>
      <c r="T204" s="42"/>
      <c r="U204" s="42" t="s">
        <v>500</v>
      </c>
      <c r="V204" s="39" t="str">
        <f aca="false">IF($F204="","",IF(ISNUMBER(SEARCH("(externo)",$I204&amp;$J204&amp;$K204)),"Terceirizada","Interna"))</f>
        <v>Interna</v>
      </c>
      <c r="W204" s="47" t="str">
        <f aca="false">IF($O204="","",IF($S204="",$O204,(DATE(Semana!$J$3,1,4)-WEEKDAY(DATE(Semana!$J$3,1,4),3))+($S204-1)*7+IF($M204="",0,MATCH($M204,Listas!$F$5:$F$11,0)-1)))</f>
        <v/>
      </c>
      <c r="X204" s="39" t="n">
        <f aca="false">IF($F204="","",IF(OR($AT204="",$O204=""),0,IF($AT204&lt;=$O204,1,0)))</f>
        <v>0</v>
      </c>
      <c r="Y204" s="39" t="n">
        <f aca="false">IF($F204="","",IF(OR($AT204="",$W204=""),0,IF($AT204&lt;=$W204,1,0)))</f>
        <v>0</v>
      </c>
      <c r="Z204" s="39" t="str">
        <f aca="false">IF(OR($AT204="",$O204=""),"",MAX(0,$AT204-$O204))</f>
        <v/>
      </c>
      <c r="AA204" s="39" t="n">
        <f aca="false">IF($F204="","",IF(AND($S204&lt;&gt;"",$L204&lt;&gt;"",$S204&lt;&gt;$L204),1,0))</f>
        <v>0</v>
      </c>
      <c r="AB204" s="39" t="n">
        <f aca="false">IF($F204="","",IF($R204="Cancelada",0,IF(OR($AT204&lt;&gt;"",$R204="Concluída"),1,0)))</f>
        <v>0</v>
      </c>
      <c r="AC204" s="39" t="n">
        <f aca="false">IF($P204="",0,IF($P204&lt;Hoje!$L$1,1,IF(AND($P204=Hoje!$L$1,Hoje!$L$2&gt;Semana!$M$3),1,0)))</f>
        <v>0</v>
      </c>
      <c r="AD204" s="39" t="n">
        <f aca="false">IF($F204="","",IF(COUNTA($I204:$K204)=0,0,1/COUNTA($I204:$K204)))</f>
        <v>0</v>
      </c>
      <c r="AE204" s="39" t="str">
        <f aca="false">IF($AH204=0,"",SUM($AH$4:$AH204))</f>
        <v/>
      </c>
      <c r="AF204" s="39" t="str">
        <f aca="false">IF($AI204=0,"",SUM($AI$4:$AI204))</f>
        <v/>
      </c>
      <c r="AG204" s="50" t="str">
        <f aca="false">IF($F204="","",$I204&amp;IF($J204="",""," · "&amp;$J204)&amp;IF($K204="",""," · "&amp;$K204))</f>
        <v/>
      </c>
      <c r="AH204" s="39" t="n">
        <f aca="false">IF(AND($F204&lt;&gt;"",$O204&lt;&gt;"",$O204&lt;=Hoje!$C$3,$P204&gt;=Hoje!$C$3,$R204&lt;&gt;"Cancelada"),1,0)</f>
        <v>0</v>
      </c>
      <c r="AI204" s="39" t="n">
        <f aca="false">IF(AND($F204&lt;&gt;"",$P204&lt;&gt;"",$P204&lt;Hoje!$C$3,$AB204=0,$R204&lt;&gt;"Cancelada"),1,0)</f>
        <v>0</v>
      </c>
      <c r="AJ204" s="50" t="str">
        <f aca="false">IF($F204="","",$D204&amp;"|"&amp;$E204&amp;"|"&amp;$L204)</f>
        <v>F-1039|Pendências de inspeção|</v>
      </c>
      <c r="AK204" s="39" t="n">
        <f aca="false">IF($AJ204="","",COUNTIF($AJ$4:$AJ204,$AJ204))</f>
        <v>1</v>
      </c>
      <c r="AL204" s="39" t="n">
        <f aca="false">IF($AJ204="","",COUNTIF($AJ$4:$AJ$1004,$AJ204))</f>
        <v>9</v>
      </c>
      <c r="AM204" s="42"/>
      <c r="AN204" s="50" t="str">
        <f aca="false">IF($D204="","",IFERROR(T(VLOOKUP($D204,Listas!$B$5:$H$120,7,0)),""))</f>
        <v/>
      </c>
      <c r="AO204" s="50" t="str">
        <f aca="false">IF(OR($F204="",$L204&lt;&gt;"",$R204="Cancelada",$AT204&lt;&gt;""),"",$AN204&amp;"|"&amp;$D204&amp;"|"&amp;IF($C204="","zzz",$C204)&amp;"|"&amp;TEXT(204,"0000"))</f>
        <v>|F-1039|007320|0204</v>
      </c>
      <c r="AP204" s="50" t="n">
        <f aca="false">IF($AO204="","",COUNTIF($AO$5:$AO$1004,"&lt;"&amp;$AO204)-(ROWS($AO$5:$AO$1004)-Hoje!$L$5)+1)</f>
        <v>11</v>
      </c>
      <c r="AQ204" s="50" t="n">
        <f aca="false">IF(AND($F204&lt;&gt;"",$D204=Frota!$C$3),1,0)</f>
        <v>0</v>
      </c>
      <c r="AR204" s="50" t="str">
        <f aca="false">IF($AQ204=0,"",SUM($AQ$4:$AQ204))</f>
        <v/>
      </c>
      <c r="AS204" s="50" t="str">
        <f aca="false">IFERROR(INDEX(Hoje!$K$10:$K$29,MATCH(ROW(),Hoje!$J$10:$J$29,0)),"")</f>
        <v/>
      </c>
      <c r="AT204" s="50" t="str">
        <f aca="false">IF($Q204&lt;&gt;"",$Q204,$AS204)</f>
        <v/>
      </c>
    </row>
    <row r="205" customFormat="false" ht="16.5" hidden="false" customHeight="true" outlineLevel="0" collapsed="false">
      <c r="A205" s="39" t="n">
        <f aca="false">IF($F205="","",ROW())</f>
        <v>205</v>
      </c>
      <c r="B205" s="40" t="str">
        <f aca="false">IF($F205="",IF($D205="","","Falta a atividade"),IF($R205="Cancelada","Cancelada",IF($AB205=1,IF(N($Z205)&gt;0,"Concluída com atraso","Concluída"),IF($R205="Em programação","Em programação",IF($O205="",IF($M205="","Na carteira","Falta a semana"),IF($AC205=1,"VENCIDA",IF($O205&gt;Hoje!$L$1,"Programada",IF($P205&gt;Hoje!$L$1,"Em execução","Fecha hoje"))))))))</f>
        <v>Na carteira</v>
      </c>
      <c r="C205" s="41" t="s">
        <v>520</v>
      </c>
      <c r="D205" s="42" t="s">
        <v>518</v>
      </c>
      <c r="E205" s="42" t="s">
        <v>495</v>
      </c>
      <c r="F205" s="42" t="s">
        <v>521</v>
      </c>
      <c r="G205" s="43" t="s">
        <v>80</v>
      </c>
      <c r="H205" s="43" t="s">
        <v>100</v>
      </c>
      <c r="I205" s="44"/>
      <c r="J205" s="44"/>
      <c r="K205" s="44"/>
      <c r="L205" s="45"/>
      <c r="M205" s="46"/>
      <c r="N205" s="45"/>
      <c r="O205" s="47" t="str">
        <f aca="false">IF(OR($L205="",$M205=""),"",(DATE(Semana!$J$3,1,4)-WEEKDAY(DATE(Semana!$J$3,1,4),3))+($L205-1)*7+MATCH($M205,Listas!$F$5:$F$11,0)-1)</f>
        <v/>
      </c>
      <c r="P205" s="47" t="str">
        <f aca="false">IF(OR($F205="",$O205=""),"",$O205+MAX(0,ROUNDUP($AK205*MAX(1,IF($N205="",1,$N205))/MAX(1,$AL205),0)-1))</f>
        <v/>
      </c>
      <c r="Q205" s="48"/>
      <c r="R205" s="43"/>
      <c r="S205" s="49"/>
      <c r="T205" s="42"/>
      <c r="U205" s="42" t="s">
        <v>500</v>
      </c>
      <c r="V205" s="39" t="str">
        <f aca="false">IF($F205="","",IF(ISNUMBER(SEARCH("(externo)",$I205&amp;$J205&amp;$K205)),"Terceirizada","Interna"))</f>
        <v>Interna</v>
      </c>
      <c r="W205" s="47" t="str">
        <f aca="false">IF($O205="","",IF($S205="",$O205,(DATE(Semana!$J$3,1,4)-WEEKDAY(DATE(Semana!$J$3,1,4),3))+($S205-1)*7+IF($M205="",0,MATCH($M205,Listas!$F$5:$F$11,0)-1)))</f>
        <v/>
      </c>
      <c r="X205" s="39" t="n">
        <f aca="false">IF($F205="","",IF(OR($AT205="",$O205=""),0,IF($AT205&lt;=$O205,1,0)))</f>
        <v>0</v>
      </c>
      <c r="Y205" s="39" t="n">
        <f aca="false">IF($F205="","",IF(OR($AT205="",$W205=""),0,IF($AT205&lt;=$W205,1,0)))</f>
        <v>0</v>
      </c>
      <c r="Z205" s="39" t="str">
        <f aca="false">IF(OR($AT205="",$O205=""),"",MAX(0,$AT205-$O205))</f>
        <v/>
      </c>
      <c r="AA205" s="39" t="n">
        <f aca="false">IF($F205="","",IF(AND($S205&lt;&gt;"",$L205&lt;&gt;"",$S205&lt;&gt;$L205),1,0))</f>
        <v>0</v>
      </c>
      <c r="AB205" s="39" t="n">
        <f aca="false">IF($F205="","",IF($R205="Cancelada",0,IF(OR($AT205&lt;&gt;"",$R205="Concluída"),1,0)))</f>
        <v>0</v>
      </c>
      <c r="AC205" s="39" t="n">
        <f aca="false">IF($P205="",0,IF($P205&lt;Hoje!$L$1,1,IF(AND($P205=Hoje!$L$1,Hoje!$L$2&gt;Semana!$M$3),1,0)))</f>
        <v>0</v>
      </c>
      <c r="AD205" s="39" t="n">
        <f aca="false">IF($F205="","",IF(COUNTA($I205:$K205)=0,0,1/COUNTA($I205:$K205)))</f>
        <v>0</v>
      </c>
      <c r="AE205" s="39" t="str">
        <f aca="false">IF($AH205=0,"",SUM($AH$4:$AH205))</f>
        <v/>
      </c>
      <c r="AF205" s="39" t="str">
        <f aca="false">IF($AI205=0,"",SUM($AI$4:$AI205))</f>
        <v/>
      </c>
      <c r="AG205" s="50" t="str">
        <f aca="false">IF($F205="","",$I205&amp;IF($J205="",""," · "&amp;$J205)&amp;IF($K205="",""," · "&amp;$K205))</f>
        <v/>
      </c>
      <c r="AH205" s="39" t="n">
        <f aca="false">IF(AND($F205&lt;&gt;"",$O205&lt;&gt;"",$O205&lt;=Hoje!$C$3,$P205&gt;=Hoje!$C$3,$R205&lt;&gt;"Cancelada"),1,0)</f>
        <v>0</v>
      </c>
      <c r="AI205" s="39" t="n">
        <f aca="false">IF(AND($F205&lt;&gt;"",$P205&lt;&gt;"",$P205&lt;Hoje!$C$3,$AB205=0,$R205&lt;&gt;"Cancelada"),1,0)</f>
        <v>0</v>
      </c>
      <c r="AJ205" s="50" t="str">
        <f aca="false">IF($F205="","",$D205&amp;"|"&amp;$E205&amp;"|"&amp;$L205)</f>
        <v>F-1039|Pendências de inspeção|</v>
      </c>
      <c r="AK205" s="39" t="n">
        <f aca="false">IF($AJ205="","",COUNTIF($AJ$4:$AJ205,$AJ205))</f>
        <v>2</v>
      </c>
      <c r="AL205" s="39" t="n">
        <f aca="false">IF($AJ205="","",COUNTIF($AJ$4:$AJ$1004,$AJ205))</f>
        <v>9</v>
      </c>
      <c r="AM205" s="42"/>
      <c r="AN205" s="50" t="str">
        <f aca="false">IF($D205="","",IFERROR(T(VLOOKUP($D205,Listas!$B$5:$H$120,7,0)),""))</f>
        <v/>
      </c>
      <c r="AO205" s="50" t="str">
        <f aca="false">IF(OR($F205="",$L205&lt;&gt;"",$R205="Cancelada",$AT205&lt;&gt;""),"",$AN205&amp;"|"&amp;$D205&amp;"|"&amp;IF($C205="","zzz",$C205)&amp;"|"&amp;TEXT(205,"0000"))</f>
        <v>|F-1039|007321|0205</v>
      </c>
      <c r="AP205" s="50" t="n">
        <f aca="false">IF($AO205="","",COUNTIF($AO$5:$AO$1004,"&lt;"&amp;$AO205)-(ROWS($AO$5:$AO$1004)-Hoje!$L$5)+1)</f>
        <v>12</v>
      </c>
      <c r="AQ205" s="50" t="n">
        <f aca="false">IF(AND($F205&lt;&gt;"",$D205=Frota!$C$3),1,0)</f>
        <v>0</v>
      </c>
      <c r="AR205" s="50" t="str">
        <f aca="false">IF($AQ205=0,"",SUM($AQ$4:$AQ205))</f>
        <v/>
      </c>
      <c r="AS205" s="50" t="str">
        <f aca="false">IFERROR(INDEX(Hoje!$K$10:$K$29,MATCH(ROW(),Hoje!$J$10:$J$29,0)),"")</f>
        <v/>
      </c>
      <c r="AT205" s="50" t="str">
        <f aca="false">IF($Q205&lt;&gt;"",$Q205,$AS205)</f>
        <v/>
      </c>
    </row>
    <row r="206" customFormat="false" ht="16.5" hidden="false" customHeight="true" outlineLevel="0" collapsed="false">
      <c r="A206" s="39" t="n">
        <f aca="false">IF($F206="","",ROW())</f>
        <v>206</v>
      </c>
      <c r="B206" s="40" t="str">
        <f aca="false">IF($F206="",IF($D206="","","Falta a atividade"),IF($R206="Cancelada","Cancelada",IF($AB206=1,IF(N($Z206)&gt;0,"Concluída com atraso","Concluída"),IF($R206="Em programação","Em programação",IF($O206="",IF($M206="","Na carteira","Falta a semana"),IF($AC206=1,"VENCIDA",IF($O206&gt;Hoje!$L$1,"Programada",IF($P206&gt;Hoje!$L$1,"Em execução","Fecha hoje"))))))))</f>
        <v>Na carteira</v>
      </c>
      <c r="C206" s="41" t="s">
        <v>522</v>
      </c>
      <c r="D206" s="42" t="s">
        <v>518</v>
      </c>
      <c r="E206" s="42" t="s">
        <v>495</v>
      </c>
      <c r="F206" s="42" t="s">
        <v>523</v>
      </c>
      <c r="G206" s="43" t="s">
        <v>80</v>
      </c>
      <c r="H206" s="43" t="s">
        <v>100</v>
      </c>
      <c r="I206" s="44"/>
      <c r="J206" s="44"/>
      <c r="K206" s="44"/>
      <c r="L206" s="45"/>
      <c r="M206" s="46"/>
      <c r="N206" s="45"/>
      <c r="O206" s="47" t="str">
        <f aca="false">IF(OR($L206="",$M206=""),"",(DATE(Semana!$J$3,1,4)-WEEKDAY(DATE(Semana!$J$3,1,4),3))+($L206-1)*7+MATCH($M206,Listas!$F$5:$F$11,0)-1)</f>
        <v/>
      </c>
      <c r="P206" s="47" t="str">
        <f aca="false">IF(OR($F206="",$O206=""),"",$O206+MAX(0,ROUNDUP($AK206*MAX(1,IF($N206="",1,$N206))/MAX(1,$AL206),0)-1))</f>
        <v/>
      </c>
      <c r="Q206" s="48"/>
      <c r="R206" s="43"/>
      <c r="S206" s="49"/>
      <c r="T206" s="42"/>
      <c r="U206" s="42" t="s">
        <v>500</v>
      </c>
      <c r="V206" s="39" t="str">
        <f aca="false">IF($F206="","",IF(ISNUMBER(SEARCH("(externo)",$I206&amp;$J206&amp;$K206)),"Terceirizada","Interna"))</f>
        <v>Interna</v>
      </c>
      <c r="W206" s="47" t="str">
        <f aca="false">IF($O206="","",IF($S206="",$O206,(DATE(Semana!$J$3,1,4)-WEEKDAY(DATE(Semana!$J$3,1,4),3))+($S206-1)*7+IF($M206="",0,MATCH($M206,Listas!$F$5:$F$11,0)-1)))</f>
        <v/>
      </c>
      <c r="X206" s="39" t="n">
        <f aca="false">IF($F206="","",IF(OR($AT206="",$O206=""),0,IF($AT206&lt;=$O206,1,0)))</f>
        <v>0</v>
      </c>
      <c r="Y206" s="39" t="n">
        <f aca="false">IF($F206="","",IF(OR($AT206="",$W206=""),0,IF($AT206&lt;=$W206,1,0)))</f>
        <v>0</v>
      </c>
      <c r="Z206" s="39" t="str">
        <f aca="false">IF(OR($AT206="",$O206=""),"",MAX(0,$AT206-$O206))</f>
        <v/>
      </c>
      <c r="AA206" s="39" t="n">
        <f aca="false">IF($F206="","",IF(AND($S206&lt;&gt;"",$L206&lt;&gt;"",$S206&lt;&gt;$L206),1,0))</f>
        <v>0</v>
      </c>
      <c r="AB206" s="39" t="n">
        <f aca="false">IF($F206="","",IF($R206="Cancelada",0,IF(OR($AT206&lt;&gt;"",$R206="Concluída"),1,0)))</f>
        <v>0</v>
      </c>
      <c r="AC206" s="39" t="n">
        <f aca="false">IF($P206="",0,IF($P206&lt;Hoje!$L$1,1,IF(AND($P206=Hoje!$L$1,Hoje!$L$2&gt;Semana!$M$3),1,0)))</f>
        <v>0</v>
      </c>
      <c r="AD206" s="39" t="n">
        <f aca="false">IF($F206="","",IF(COUNTA($I206:$K206)=0,0,1/COUNTA($I206:$K206)))</f>
        <v>0</v>
      </c>
      <c r="AE206" s="39" t="str">
        <f aca="false">IF($AH206=0,"",SUM($AH$4:$AH206))</f>
        <v/>
      </c>
      <c r="AF206" s="39" t="str">
        <f aca="false">IF($AI206=0,"",SUM($AI$4:$AI206))</f>
        <v/>
      </c>
      <c r="AG206" s="50" t="str">
        <f aca="false">IF($F206="","",$I206&amp;IF($J206="",""," · "&amp;$J206)&amp;IF($K206="",""," · "&amp;$K206))</f>
        <v/>
      </c>
      <c r="AH206" s="39" t="n">
        <f aca="false">IF(AND($F206&lt;&gt;"",$O206&lt;&gt;"",$O206&lt;=Hoje!$C$3,$P206&gt;=Hoje!$C$3,$R206&lt;&gt;"Cancelada"),1,0)</f>
        <v>0</v>
      </c>
      <c r="AI206" s="39" t="n">
        <f aca="false">IF(AND($F206&lt;&gt;"",$P206&lt;&gt;"",$P206&lt;Hoje!$C$3,$AB206=0,$R206&lt;&gt;"Cancelada"),1,0)</f>
        <v>0</v>
      </c>
      <c r="AJ206" s="50" t="str">
        <f aca="false">IF($F206="","",$D206&amp;"|"&amp;$E206&amp;"|"&amp;$L206)</f>
        <v>F-1039|Pendências de inspeção|</v>
      </c>
      <c r="AK206" s="39" t="n">
        <f aca="false">IF($AJ206="","",COUNTIF($AJ$4:$AJ206,$AJ206))</f>
        <v>3</v>
      </c>
      <c r="AL206" s="39" t="n">
        <f aca="false">IF($AJ206="","",COUNTIF($AJ$4:$AJ$1004,$AJ206))</f>
        <v>9</v>
      </c>
      <c r="AM206" s="42"/>
      <c r="AN206" s="50" t="str">
        <f aca="false">IF($D206="","",IFERROR(T(VLOOKUP($D206,Listas!$B$5:$H$120,7,0)),""))</f>
        <v/>
      </c>
      <c r="AO206" s="50" t="str">
        <f aca="false">IF(OR($F206="",$L206&lt;&gt;"",$R206="Cancelada",$AT206&lt;&gt;""),"",$AN206&amp;"|"&amp;$D206&amp;"|"&amp;IF($C206="","zzz",$C206)&amp;"|"&amp;TEXT(206,"0000"))</f>
        <v>|F-1039|007322|0206</v>
      </c>
      <c r="AP206" s="50" t="n">
        <f aca="false">IF($AO206="","",COUNTIF($AO$5:$AO$1004,"&lt;"&amp;$AO206)-(ROWS($AO$5:$AO$1004)-Hoje!$L$5)+1)</f>
        <v>13</v>
      </c>
      <c r="AQ206" s="50" t="n">
        <f aca="false">IF(AND($F206&lt;&gt;"",$D206=Frota!$C$3),1,0)</f>
        <v>0</v>
      </c>
      <c r="AR206" s="50" t="str">
        <f aca="false">IF($AQ206=0,"",SUM($AQ$4:$AQ206))</f>
        <v/>
      </c>
      <c r="AS206" s="50" t="str">
        <f aca="false">IFERROR(INDEX(Hoje!$K$10:$K$29,MATCH(ROW(),Hoje!$J$10:$J$29,0)),"")</f>
        <v/>
      </c>
      <c r="AT206" s="50" t="str">
        <f aca="false">IF($Q206&lt;&gt;"",$Q206,$AS206)</f>
        <v/>
      </c>
    </row>
    <row r="207" customFormat="false" ht="16.5" hidden="false" customHeight="true" outlineLevel="0" collapsed="false">
      <c r="A207" s="39" t="n">
        <f aca="false">IF($F207="","",ROW())</f>
        <v>207</v>
      </c>
      <c r="B207" s="40" t="str">
        <f aca="false">IF($F207="",IF($D207="","","Falta a atividade"),IF($R207="Cancelada","Cancelada",IF($AB207=1,IF(N($Z207)&gt;0,"Concluída com atraso","Concluída"),IF($R207="Em programação","Em programação",IF($O207="",IF($M207="","Na carteira","Falta a semana"),IF($AC207=1,"VENCIDA",IF($O207&gt;Hoje!$L$1,"Programada",IF($P207&gt;Hoje!$L$1,"Em execução","Fecha hoje"))))))))</f>
        <v>Na carteira</v>
      </c>
      <c r="C207" s="41" t="s">
        <v>524</v>
      </c>
      <c r="D207" s="42" t="s">
        <v>518</v>
      </c>
      <c r="E207" s="42" t="s">
        <v>495</v>
      </c>
      <c r="F207" s="42" t="s">
        <v>525</v>
      </c>
      <c r="G207" s="43" t="s">
        <v>80</v>
      </c>
      <c r="H207" s="43" t="s">
        <v>100</v>
      </c>
      <c r="I207" s="44"/>
      <c r="J207" s="44"/>
      <c r="K207" s="44"/>
      <c r="L207" s="45"/>
      <c r="M207" s="46"/>
      <c r="N207" s="45"/>
      <c r="O207" s="47" t="str">
        <f aca="false">IF(OR($L207="",$M207=""),"",(DATE(Semana!$J$3,1,4)-WEEKDAY(DATE(Semana!$J$3,1,4),3))+($L207-1)*7+MATCH($M207,Listas!$F$5:$F$11,0)-1)</f>
        <v/>
      </c>
      <c r="P207" s="47" t="str">
        <f aca="false">IF(OR($F207="",$O207=""),"",$O207+MAX(0,ROUNDUP($AK207*MAX(1,IF($N207="",1,$N207))/MAX(1,$AL207),0)-1))</f>
        <v/>
      </c>
      <c r="Q207" s="48"/>
      <c r="R207" s="43"/>
      <c r="S207" s="49"/>
      <c r="T207" s="42"/>
      <c r="U207" s="42" t="s">
        <v>500</v>
      </c>
      <c r="V207" s="39" t="str">
        <f aca="false">IF($F207="","",IF(ISNUMBER(SEARCH("(externo)",$I207&amp;$J207&amp;$K207)),"Terceirizada","Interna"))</f>
        <v>Interna</v>
      </c>
      <c r="W207" s="47" t="str">
        <f aca="false">IF($O207="","",IF($S207="",$O207,(DATE(Semana!$J$3,1,4)-WEEKDAY(DATE(Semana!$J$3,1,4),3))+($S207-1)*7+IF($M207="",0,MATCH($M207,Listas!$F$5:$F$11,0)-1)))</f>
        <v/>
      </c>
      <c r="X207" s="39" t="n">
        <f aca="false">IF($F207="","",IF(OR($AT207="",$O207=""),0,IF($AT207&lt;=$O207,1,0)))</f>
        <v>0</v>
      </c>
      <c r="Y207" s="39" t="n">
        <f aca="false">IF($F207="","",IF(OR($AT207="",$W207=""),0,IF($AT207&lt;=$W207,1,0)))</f>
        <v>0</v>
      </c>
      <c r="Z207" s="39" t="str">
        <f aca="false">IF(OR($AT207="",$O207=""),"",MAX(0,$AT207-$O207))</f>
        <v/>
      </c>
      <c r="AA207" s="39" t="n">
        <f aca="false">IF($F207="","",IF(AND($S207&lt;&gt;"",$L207&lt;&gt;"",$S207&lt;&gt;$L207),1,0))</f>
        <v>0</v>
      </c>
      <c r="AB207" s="39" t="n">
        <f aca="false">IF($F207="","",IF($R207="Cancelada",0,IF(OR($AT207&lt;&gt;"",$R207="Concluída"),1,0)))</f>
        <v>0</v>
      </c>
      <c r="AC207" s="39" t="n">
        <f aca="false">IF($P207="",0,IF($P207&lt;Hoje!$L$1,1,IF(AND($P207=Hoje!$L$1,Hoje!$L$2&gt;Semana!$M$3),1,0)))</f>
        <v>0</v>
      </c>
      <c r="AD207" s="39" t="n">
        <f aca="false">IF($F207="","",IF(COUNTA($I207:$K207)=0,0,1/COUNTA($I207:$K207)))</f>
        <v>0</v>
      </c>
      <c r="AE207" s="39" t="str">
        <f aca="false">IF($AH207=0,"",SUM($AH$4:$AH207))</f>
        <v/>
      </c>
      <c r="AF207" s="39" t="str">
        <f aca="false">IF($AI207=0,"",SUM($AI$4:$AI207))</f>
        <v/>
      </c>
      <c r="AG207" s="50" t="str">
        <f aca="false">IF($F207="","",$I207&amp;IF($J207="",""," · "&amp;$J207)&amp;IF($K207="",""," · "&amp;$K207))</f>
        <v/>
      </c>
      <c r="AH207" s="39" t="n">
        <f aca="false">IF(AND($F207&lt;&gt;"",$O207&lt;&gt;"",$O207&lt;=Hoje!$C$3,$P207&gt;=Hoje!$C$3,$R207&lt;&gt;"Cancelada"),1,0)</f>
        <v>0</v>
      </c>
      <c r="AI207" s="39" t="n">
        <f aca="false">IF(AND($F207&lt;&gt;"",$P207&lt;&gt;"",$P207&lt;Hoje!$C$3,$AB207=0,$R207&lt;&gt;"Cancelada"),1,0)</f>
        <v>0</v>
      </c>
      <c r="AJ207" s="50" t="str">
        <f aca="false">IF($F207="","",$D207&amp;"|"&amp;$E207&amp;"|"&amp;$L207)</f>
        <v>F-1039|Pendências de inspeção|</v>
      </c>
      <c r="AK207" s="39" t="n">
        <f aca="false">IF($AJ207="","",COUNTIF($AJ$4:$AJ207,$AJ207))</f>
        <v>4</v>
      </c>
      <c r="AL207" s="39" t="n">
        <f aca="false">IF($AJ207="","",COUNTIF($AJ$4:$AJ$1004,$AJ207))</f>
        <v>9</v>
      </c>
      <c r="AM207" s="42"/>
      <c r="AN207" s="50" t="str">
        <f aca="false">IF($D207="","",IFERROR(T(VLOOKUP($D207,Listas!$B$5:$H$120,7,0)),""))</f>
        <v/>
      </c>
      <c r="AO207" s="50" t="str">
        <f aca="false">IF(OR($F207="",$L207&lt;&gt;"",$R207="Cancelada",$AT207&lt;&gt;""),"",$AN207&amp;"|"&amp;$D207&amp;"|"&amp;IF($C207="","zzz",$C207)&amp;"|"&amp;TEXT(207,"0000"))</f>
        <v>|F-1039|007323|0207</v>
      </c>
      <c r="AP207" s="50" t="n">
        <f aca="false">IF($AO207="","",COUNTIF($AO$5:$AO$1004,"&lt;"&amp;$AO207)-(ROWS($AO$5:$AO$1004)-Hoje!$L$5)+1)</f>
        <v>14</v>
      </c>
      <c r="AQ207" s="50" t="n">
        <f aca="false">IF(AND($F207&lt;&gt;"",$D207=Frota!$C$3),1,0)</f>
        <v>0</v>
      </c>
      <c r="AR207" s="50" t="str">
        <f aca="false">IF($AQ207=0,"",SUM($AQ$4:$AQ207))</f>
        <v/>
      </c>
      <c r="AS207" s="50" t="str">
        <f aca="false">IFERROR(INDEX(Hoje!$K$10:$K$29,MATCH(ROW(),Hoje!$J$10:$J$29,0)),"")</f>
        <v/>
      </c>
      <c r="AT207" s="50" t="str">
        <f aca="false">IF($Q207&lt;&gt;"",$Q207,$AS207)</f>
        <v/>
      </c>
    </row>
    <row r="208" customFormat="false" ht="16.5" hidden="false" customHeight="true" outlineLevel="0" collapsed="false">
      <c r="A208" s="39" t="n">
        <f aca="false">IF($F208="","",ROW())</f>
        <v>208</v>
      </c>
      <c r="B208" s="40" t="str">
        <f aca="false">IF($F208="",IF($D208="","","Falta a atividade"),IF($R208="Cancelada","Cancelada",IF($AB208=1,IF(N($Z208)&gt;0,"Concluída com atraso","Concluída"),IF($R208="Em programação","Em programação",IF($O208="",IF($M208="","Na carteira","Falta a semana"),IF($AC208=1,"VENCIDA",IF($O208&gt;Hoje!$L$1,"Programada",IF($P208&gt;Hoje!$L$1,"Em execução","Fecha hoje"))))))))</f>
        <v>Na carteira</v>
      </c>
      <c r="C208" s="41" t="s">
        <v>526</v>
      </c>
      <c r="D208" s="42" t="s">
        <v>518</v>
      </c>
      <c r="E208" s="42" t="s">
        <v>495</v>
      </c>
      <c r="F208" s="42" t="s">
        <v>527</v>
      </c>
      <c r="G208" s="43" t="s">
        <v>80</v>
      </c>
      <c r="H208" s="43" t="s">
        <v>100</v>
      </c>
      <c r="I208" s="44"/>
      <c r="J208" s="44"/>
      <c r="K208" s="44"/>
      <c r="L208" s="45"/>
      <c r="M208" s="46"/>
      <c r="N208" s="45"/>
      <c r="O208" s="47" t="str">
        <f aca="false">IF(OR($L208="",$M208=""),"",(DATE(Semana!$J$3,1,4)-WEEKDAY(DATE(Semana!$J$3,1,4),3))+($L208-1)*7+MATCH($M208,Listas!$F$5:$F$11,0)-1)</f>
        <v/>
      </c>
      <c r="P208" s="47" t="str">
        <f aca="false">IF(OR($F208="",$O208=""),"",$O208+MAX(0,ROUNDUP($AK208*MAX(1,IF($N208="",1,$N208))/MAX(1,$AL208),0)-1))</f>
        <v/>
      </c>
      <c r="Q208" s="48"/>
      <c r="R208" s="43"/>
      <c r="S208" s="49"/>
      <c r="T208" s="42"/>
      <c r="U208" s="42" t="s">
        <v>500</v>
      </c>
      <c r="V208" s="39" t="str">
        <f aca="false">IF($F208="","",IF(ISNUMBER(SEARCH("(externo)",$I208&amp;$J208&amp;$K208)),"Terceirizada","Interna"))</f>
        <v>Interna</v>
      </c>
      <c r="W208" s="47" t="str">
        <f aca="false">IF($O208="","",IF($S208="",$O208,(DATE(Semana!$J$3,1,4)-WEEKDAY(DATE(Semana!$J$3,1,4),3))+($S208-1)*7+IF($M208="",0,MATCH($M208,Listas!$F$5:$F$11,0)-1)))</f>
        <v/>
      </c>
      <c r="X208" s="39" t="n">
        <f aca="false">IF($F208="","",IF(OR($AT208="",$O208=""),0,IF($AT208&lt;=$O208,1,0)))</f>
        <v>0</v>
      </c>
      <c r="Y208" s="39" t="n">
        <f aca="false">IF($F208="","",IF(OR($AT208="",$W208=""),0,IF($AT208&lt;=$W208,1,0)))</f>
        <v>0</v>
      </c>
      <c r="Z208" s="39" t="str">
        <f aca="false">IF(OR($AT208="",$O208=""),"",MAX(0,$AT208-$O208))</f>
        <v/>
      </c>
      <c r="AA208" s="39" t="n">
        <f aca="false">IF($F208="","",IF(AND($S208&lt;&gt;"",$L208&lt;&gt;"",$S208&lt;&gt;$L208),1,0))</f>
        <v>0</v>
      </c>
      <c r="AB208" s="39" t="n">
        <f aca="false">IF($F208="","",IF($R208="Cancelada",0,IF(OR($AT208&lt;&gt;"",$R208="Concluída"),1,0)))</f>
        <v>0</v>
      </c>
      <c r="AC208" s="39" t="n">
        <f aca="false">IF($P208="",0,IF($P208&lt;Hoje!$L$1,1,IF(AND($P208=Hoje!$L$1,Hoje!$L$2&gt;Semana!$M$3),1,0)))</f>
        <v>0</v>
      </c>
      <c r="AD208" s="39" t="n">
        <f aca="false">IF($F208="","",IF(COUNTA($I208:$K208)=0,0,1/COUNTA($I208:$K208)))</f>
        <v>0</v>
      </c>
      <c r="AE208" s="39" t="str">
        <f aca="false">IF($AH208=0,"",SUM($AH$4:$AH208))</f>
        <v/>
      </c>
      <c r="AF208" s="39" t="str">
        <f aca="false">IF($AI208=0,"",SUM($AI$4:$AI208))</f>
        <v/>
      </c>
      <c r="AG208" s="50" t="str">
        <f aca="false">IF($F208="","",$I208&amp;IF($J208="",""," · "&amp;$J208)&amp;IF($K208="",""," · "&amp;$K208))</f>
        <v/>
      </c>
      <c r="AH208" s="39" t="n">
        <f aca="false">IF(AND($F208&lt;&gt;"",$O208&lt;&gt;"",$O208&lt;=Hoje!$C$3,$P208&gt;=Hoje!$C$3,$R208&lt;&gt;"Cancelada"),1,0)</f>
        <v>0</v>
      </c>
      <c r="AI208" s="39" t="n">
        <f aca="false">IF(AND($F208&lt;&gt;"",$P208&lt;&gt;"",$P208&lt;Hoje!$C$3,$AB208=0,$R208&lt;&gt;"Cancelada"),1,0)</f>
        <v>0</v>
      </c>
      <c r="AJ208" s="50" t="str">
        <f aca="false">IF($F208="","",$D208&amp;"|"&amp;$E208&amp;"|"&amp;$L208)</f>
        <v>F-1039|Pendências de inspeção|</v>
      </c>
      <c r="AK208" s="39" t="n">
        <f aca="false">IF($AJ208="","",COUNTIF($AJ$4:$AJ208,$AJ208))</f>
        <v>5</v>
      </c>
      <c r="AL208" s="39" t="n">
        <f aca="false">IF($AJ208="","",COUNTIF($AJ$4:$AJ$1004,$AJ208))</f>
        <v>9</v>
      </c>
      <c r="AM208" s="42"/>
      <c r="AN208" s="50" t="str">
        <f aca="false">IF($D208="","",IFERROR(T(VLOOKUP($D208,Listas!$B$5:$H$120,7,0)),""))</f>
        <v/>
      </c>
      <c r="AO208" s="50" t="str">
        <f aca="false">IF(OR($F208="",$L208&lt;&gt;"",$R208="Cancelada",$AT208&lt;&gt;""),"",$AN208&amp;"|"&amp;$D208&amp;"|"&amp;IF($C208="","zzz",$C208)&amp;"|"&amp;TEXT(208,"0000"))</f>
        <v>|F-1039|007324|0208</v>
      </c>
      <c r="AP208" s="50" t="n">
        <f aca="false">IF($AO208="","",COUNTIF($AO$5:$AO$1004,"&lt;"&amp;$AO208)-(ROWS($AO$5:$AO$1004)-Hoje!$L$5)+1)</f>
        <v>15</v>
      </c>
      <c r="AQ208" s="50" t="n">
        <f aca="false">IF(AND($F208&lt;&gt;"",$D208=Frota!$C$3),1,0)</f>
        <v>0</v>
      </c>
      <c r="AR208" s="50" t="str">
        <f aca="false">IF($AQ208=0,"",SUM($AQ$4:$AQ208))</f>
        <v/>
      </c>
      <c r="AS208" s="50" t="str">
        <f aca="false">IFERROR(INDEX(Hoje!$K$10:$K$29,MATCH(ROW(),Hoje!$J$10:$J$29,0)),"")</f>
        <v/>
      </c>
      <c r="AT208" s="50" t="str">
        <f aca="false">IF($Q208&lt;&gt;"",$Q208,$AS208)</f>
        <v/>
      </c>
    </row>
    <row r="209" customFormat="false" ht="16.5" hidden="false" customHeight="true" outlineLevel="0" collapsed="false">
      <c r="A209" s="39" t="n">
        <f aca="false">IF($F209="","",ROW())</f>
        <v>209</v>
      </c>
      <c r="B209" s="40" t="str">
        <f aca="false">IF($F209="",IF($D209="","","Falta a atividade"),IF($R209="Cancelada","Cancelada",IF($AB209=1,IF(N($Z209)&gt;0,"Concluída com atraso","Concluída"),IF($R209="Em programação","Em programação",IF($O209="",IF($M209="","Na carteira","Falta a semana"),IF($AC209=1,"VENCIDA",IF($O209&gt;Hoje!$L$1,"Programada",IF($P209&gt;Hoje!$L$1,"Em execução","Fecha hoje"))))))))</f>
        <v>Na carteira</v>
      </c>
      <c r="C209" s="41" t="s">
        <v>528</v>
      </c>
      <c r="D209" s="42" t="s">
        <v>518</v>
      </c>
      <c r="E209" s="42" t="s">
        <v>495</v>
      </c>
      <c r="F209" s="42" t="s">
        <v>529</v>
      </c>
      <c r="G209" s="43" t="s">
        <v>80</v>
      </c>
      <c r="H209" s="43" t="s">
        <v>100</v>
      </c>
      <c r="I209" s="44"/>
      <c r="J209" s="44"/>
      <c r="K209" s="44"/>
      <c r="L209" s="45"/>
      <c r="M209" s="46"/>
      <c r="N209" s="45"/>
      <c r="O209" s="47" t="str">
        <f aca="false">IF(OR($L209="",$M209=""),"",(DATE(Semana!$J$3,1,4)-WEEKDAY(DATE(Semana!$J$3,1,4),3))+($L209-1)*7+MATCH($M209,Listas!$F$5:$F$11,0)-1)</f>
        <v/>
      </c>
      <c r="P209" s="47" t="str">
        <f aca="false">IF(OR($F209="",$O209=""),"",$O209+MAX(0,ROUNDUP($AK209*MAX(1,IF($N209="",1,$N209))/MAX(1,$AL209),0)-1))</f>
        <v/>
      </c>
      <c r="Q209" s="48"/>
      <c r="R209" s="43"/>
      <c r="S209" s="49"/>
      <c r="T209" s="42"/>
      <c r="U209" s="42" t="s">
        <v>500</v>
      </c>
      <c r="V209" s="39" t="str">
        <f aca="false">IF($F209="","",IF(ISNUMBER(SEARCH("(externo)",$I209&amp;$J209&amp;$K209)),"Terceirizada","Interna"))</f>
        <v>Interna</v>
      </c>
      <c r="W209" s="47" t="str">
        <f aca="false">IF($O209="","",IF($S209="",$O209,(DATE(Semana!$J$3,1,4)-WEEKDAY(DATE(Semana!$J$3,1,4),3))+($S209-1)*7+IF($M209="",0,MATCH($M209,Listas!$F$5:$F$11,0)-1)))</f>
        <v/>
      </c>
      <c r="X209" s="39" t="n">
        <f aca="false">IF($F209="","",IF(OR($AT209="",$O209=""),0,IF($AT209&lt;=$O209,1,0)))</f>
        <v>0</v>
      </c>
      <c r="Y209" s="39" t="n">
        <f aca="false">IF($F209="","",IF(OR($AT209="",$W209=""),0,IF($AT209&lt;=$W209,1,0)))</f>
        <v>0</v>
      </c>
      <c r="Z209" s="39" t="str">
        <f aca="false">IF(OR($AT209="",$O209=""),"",MAX(0,$AT209-$O209))</f>
        <v/>
      </c>
      <c r="AA209" s="39" t="n">
        <f aca="false">IF($F209="","",IF(AND($S209&lt;&gt;"",$L209&lt;&gt;"",$S209&lt;&gt;$L209),1,0))</f>
        <v>0</v>
      </c>
      <c r="AB209" s="39" t="n">
        <f aca="false">IF($F209="","",IF($R209="Cancelada",0,IF(OR($AT209&lt;&gt;"",$R209="Concluída"),1,0)))</f>
        <v>0</v>
      </c>
      <c r="AC209" s="39" t="n">
        <f aca="false">IF($P209="",0,IF($P209&lt;Hoje!$L$1,1,IF(AND($P209=Hoje!$L$1,Hoje!$L$2&gt;Semana!$M$3),1,0)))</f>
        <v>0</v>
      </c>
      <c r="AD209" s="39" t="n">
        <f aca="false">IF($F209="","",IF(COUNTA($I209:$K209)=0,0,1/COUNTA($I209:$K209)))</f>
        <v>0</v>
      </c>
      <c r="AE209" s="39" t="str">
        <f aca="false">IF($AH209=0,"",SUM($AH$4:$AH209))</f>
        <v/>
      </c>
      <c r="AF209" s="39" t="str">
        <f aca="false">IF($AI209=0,"",SUM($AI$4:$AI209))</f>
        <v/>
      </c>
      <c r="AG209" s="50" t="str">
        <f aca="false">IF($F209="","",$I209&amp;IF($J209="",""," · "&amp;$J209)&amp;IF($K209="",""," · "&amp;$K209))</f>
        <v/>
      </c>
      <c r="AH209" s="39" t="n">
        <f aca="false">IF(AND($F209&lt;&gt;"",$O209&lt;&gt;"",$O209&lt;=Hoje!$C$3,$P209&gt;=Hoje!$C$3,$R209&lt;&gt;"Cancelada"),1,0)</f>
        <v>0</v>
      </c>
      <c r="AI209" s="39" t="n">
        <f aca="false">IF(AND($F209&lt;&gt;"",$P209&lt;&gt;"",$P209&lt;Hoje!$C$3,$AB209=0,$R209&lt;&gt;"Cancelada"),1,0)</f>
        <v>0</v>
      </c>
      <c r="AJ209" s="50" t="str">
        <f aca="false">IF($F209="","",$D209&amp;"|"&amp;$E209&amp;"|"&amp;$L209)</f>
        <v>F-1039|Pendências de inspeção|</v>
      </c>
      <c r="AK209" s="39" t="n">
        <f aca="false">IF($AJ209="","",COUNTIF($AJ$4:$AJ209,$AJ209))</f>
        <v>6</v>
      </c>
      <c r="AL209" s="39" t="n">
        <f aca="false">IF($AJ209="","",COUNTIF($AJ$4:$AJ$1004,$AJ209))</f>
        <v>9</v>
      </c>
      <c r="AM209" s="42"/>
      <c r="AN209" s="50" t="str">
        <f aca="false">IF($D209="","",IFERROR(T(VLOOKUP($D209,Listas!$B$5:$H$120,7,0)),""))</f>
        <v/>
      </c>
      <c r="AO209" s="50" t="str">
        <f aca="false">IF(OR($F209="",$L209&lt;&gt;"",$R209="Cancelada",$AT209&lt;&gt;""),"",$AN209&amp;"|"&amp;$D209&amp;"|"&amp;IF($C209="","zzz",$C209)&amp;"|"&amp;TEXT(209,"0000"))</f>
        <v>|F-1039|007325|0209</v>
      </c>
      <c r="AP209" s="50" t="n">
        <f aca="false">IF($AO209="","",COUNTIF($AO$5:$AO$1004,"&lt;"&amp;$AO209)-(ROWS($AO$5:$AO$1004)-Hoje!$L$5)+1)</f>
        <v>16</v>
      </c>
      <c r="AQ209" s="50" t="n">
        <f aca="false">IF(AND($F209&lt;&gt;"",$D209=Frota!$C$3),1,0)</f>
        <v>0</v>
      </c>
      <c r="AR209" s="50" t="str">
        <f aca="false">IF($AQ209=0,"",SUM($AQ$4:$AQ209))</f>
        <v/>
      </c>
      <c r="AS209" s="50" t="str">
        <f aca="false">IFERROR(INDEX(Hoje!$K$10:$K$29,MATCH(ROW(),Hoje!$J$10:$J$29,0)),"")</f>
        <v/>
      </c>
      <c r="AT209" s="50" t="str">
        <f aca="false">IF($Q209&lt;&gt;"",$Q209,$AS209)</f>
        <v/>
      </c>
    </row>
    <row r="210" customFormat="false" ht="16.5" hidden="false" customHeight="true" outlineLevel="0" collapsed="false">
      <c r="A210" s="39" t="n">
        <f aca="false">IF($F210="","",ROW())</f>
        <v>210</v>
      </c>
      <c r="B210" s="40" t="str">
        <f aca="false">IF($F210="",IF($D210="","","Falta a atividade"),IF($R210="Cancelada","Cancelada",IF($AB210=1,IF(N($Z210)&gt;0,"Concluída com atraso","Concluída"),IF($R210="Em programação","Em programação",IF($O210="",IF($M210="","Na carteira","Falta a semana"),IF($AC210=1,"VENCIDA",IF($O210&gt;Hoje!$L$1,"Programada",IF($P210&gt;Hoje!$L$1,"Em execução","Fecha hoje"))))))))</f>
        <v>Na carteira</v>
      </c>
      <c r="C210" s="41" t="s">
        <v>530</v>
      </c>
      <c r="D210" s="42" t="s">
        <v>518</v>
      </c>
      <c r="E210" s="42" t="s">
        <v>495</v>
      </c>
      <c r="F210" s="42" t="s">
        <v>531</v>
      </c>
      <c r="G210" s="43" t="s">
        <v>80</v>
      </c>
      <c r="H210" s="43" t="s">
        <v>100</v>
      </c>
      <c r="I210" s="44"/>
      <c r="J210" s="44"/>
      <c r="K210" s="44"/>
      <c r="L210" s="45"/>
      <c r="M210" s="46"/>
      <c r="N210" s="45"/>
      <c r="O210" s="47" t="str">
        <f aca="false">IF(OR($L210="",$M210=""),"",(DATE(Semana!$J$3,1,4)-WEEKDAY(DATE(Semana!$J$3,1,4),3))+($L210-1)*7+MATCH($M210,Listas!$F$5:$F$11,0)-1)</f>
        <v/>
      </c>
      <c r="P210" s="47" t="str">
        <f aca="false">IF(OR($F210="",$O210=""),"",$O210+MAX(0,ROUNDUP($AK210*MAX(1,IF($N210="",1,$N210))/MAX(1,$AL210),0)-1))</f>
        <v/>
      </c>
      <c r="Q210" s="48"/>
      <c r="R210" s="43"/>
      <c r="S210" s="49"/>
      <c r="T210" s="42"/>
      <c r="U210" s="42" t="s">
        <v>500</v>
      </c>
      <c r="V210" s="39" t="str">
        <f aca="false">IF($F210="","",IF(ISNUMBER(SEARCH("(externo)",$I210&amp;$J210&amp;$K210)),"Terceirizada","Interna"))</f>
        <v>Interna</v>
      </c>
      <c r="W210" s="47" t="str">
        <f aca="false">IF($O210="","",IF($S210="",$O210,(DATE(Semana!$J$3,1,4)-WEEKDAY(DATE(Semana!$J$3,1,4),3))+($S210-1)*7+IF($M210="",0,MATCH($M210,Listas!$F$5:$F$11,0)-1)))</f>
        <v/>
      </c>
      <c r="X210" s="39" t="n">
        <f aca="false">IF($F210="","",IF(OR($AT210="",$O210=""),0,IF($AT210&lt;=$O210,1,0)))</f>
        <v>0</v>
      </c>
      <c r="Y210" s="39" t="n">
        <f aca="false">IF($F210="","",IF(OR($AT210="",$W210=""),0,IF($AT210&lt;=$W210,1,0)))</f>
        <v>0</v>
      </c>
      <c r="Z210" s="39" t="str">
        <f aca="false">IF(OR($AT210="",$O210=""),"",MAX(0,$AT210-$O210))</f>
        <v/>
      </c>
      <c r="AA210" s="39" t="n">
        <f aca="false">IF($F210="","",IF(AND($S210&lt;&gt;"",$L210&lt;&gt;"",$S210&lt;&gt;$L210),1,0))</f>
        <v>0</v>
      </c>
      <c r="AB210" s="39" t="n">
        <f aca="false">IF($F210="","",IF($R210="Cancelada",0,IF(OR($AT210&lt;&gt;"",$R210="Concluída"),1,0)))</f>
        <v>0</v>
      </c>
      <c r="AC210" s="39" t="n">
        <f aca="false">IF($P210="",0,IF($P210&lt;Hoje!$L$1,1,IF(AND($P210=Hoje!$L$1,Hoje!$L$2&gt;Semana!$M$3),1,0)))</f>
        <v>0</v>
      </c>
      <c r="AD210" s="39" t="n">
        <f aca="false">IF($F210="","",IF(COUNTA($I210:$K210)=0,0,1/COUNTA($I210:$K210)))</f>
        <v>0</v>
      </c>
      <c r="AE210" s="39" t="str">
        <f aca="false">IF($AH210=0,"",SUM($AH$4:$AH210))</f>
        <v/>
      </c>
      <c r="AF210" s="39" t="str">
        <f aca="false">IF($AI210=0,"",SUM($AI$4:$AI210))</f>
        <v/>
      </c>
      <c r="AG210" s="50" t="str">
        <f aca="false">IF($F210="","",$I210&amp;IF($J210="",""," · "&amp;$J210)&amp;IF($K210="",""," · "&amp;$K210))</f>
        <v/>
      </c>
      <c r="AH210" s="39" t="n">
        <f aca="false">IF(AND($F210&lt;&gt;"",$O210&lt;&gt;"",$O210&lt;=Hoje!$C$3,$P210&gt;=Hoje!$C$3,$R210&lt;&gt;"Cancelada"),1,0)</f>
        <v>0</v>
      </c>
      <c r="AI210" s="39" t="n">
        <f aca="false">IF(AND($F210&lt;&gt;"",$P210&lt;&gt;"",$P210&lt;Hoje!$C$3,$AB210=0,$R210&lt;&gt;"Cancelada"),1,0)</f>
        <v>0</v>
      </c>
      <c r="AJ210" s="50" t="str">
        <f aca="false">IF($F210="","",$D210&amp;"|"&amp;$E210&amp;"|"&amp;$L210)</f>
        <v>F-1039|Pendências de inspeção|</v>
      </c>
      <c r="AK210" s="39" t="n">
        <f aca="false">IF($AJ210="","",COUNTIF($AJ$4:$AJ210,$AJ210))</f>
        <v>7</v>
      </c>
      <c r="AL210" s="39" t="n">
        <f aca="false">IF($AJ210="","",COUNTIF($AJ$4:$AJ$1004,$AJ210))</f>
        <v>9</v>
      </c>
      <c r="AM210" s="42"/>
      <c r="AN210" s="50" t="str">
        <f aca="false">IF($D210="","",IFERROR(T(VLOOKUP($D210,Listas!$B$5:$H$120,7,0)),""))</f>
        <v/>
      </c>
      <c r="AO210" s="50" t="str">
        <f aca="false">IF(OR($F210="",$L210&lt;&gt;"",$R210="Cancelada",$AT210&lt;&gt;""),"",$AN210&amp;"|"&amp;$D210&amp;"|"&amp;IF($C210="","zzz",$C210)&amp;"|"&amp;TEXT(210,"0000"))</f>
        <v>|F-1039|007326|0210</v>
      </c>
      <c r="AP210" s="50" t="n">
        <f aca="false">IF($AO210="","",COUNTIF($AO$5:$AO$1004,"&lt;"&amp;$AO210)-(ROWS($AO$5:$AO$1004)-Hoje!$L$5)+1)</f>
        <v>17</v>
      </c>
      <c r="AQ210" s="50" t="n">
        <f aca="false">IF(AND($F210&lt;&gt;"",$D210=Frota!$C$3),1,0)</f>
        <v>0</v>
      </c>
      <c r="AR210" s="50" t="str">
        <f aca="false">IF($AQ210=0,"",SUM($AQ$4:$AQ210))</f>
        <v/>
      </c>
      <c r="AS210" s="50" t="str">
        <f aca="false">IFERROR(INDEX(Hoje!$K$10:$K$29,MATCH(ROW(),Hoje!$J$10:$J$29,0)),"")</f>
        <v/>
      </c>
      <c r="AT210" s="50" t="str">
        <f aca="false">IF($Q210&lt;&gt;"",$Q210,$AS210)</f>
        <v/>
      </c>
    </row>
    <row r="211" customFormat="false" ht="16.5" hidden="false" customHeight="true" outlineLevel="0" collapsed="false">
      <c r="A211" s="39" t="n">
        <f aca="false">IF($F211="","",ROW())</f>
        <v>211</v>
      </c>
      <c r="B211" s="40" t="str">
        <f aca="false">IF($F211="",IF($D211="","","Falta a atividade"),IF($R211="Cancelada","Cancelada",IF($AB211=1,IF(N($Z211)&gt;0,"Concluída com atraso","Concluída"),IF($R211="Em programação","Em programação",IF($O211="",IF($M211="","Na carteira","Falta a semana"),IF($AC211=1,"VENCIDA",IF($O211&gt;Hoje!$L$1,"Programada",IF($P211&gt;Hoje!$L$1,"Em execução","Fecha hoje"))))))))</f>
        <v>Na carteira</v>
      </c>
      <c r="C211" s="41" t="s">
        <v>532</v>
      </c>
      <c r="D211" s="42" t="s">
        <v>518</v>
      </c>
      <c r="E211" s="42" t="s">
        <v>495</v>
      </c>
      <c r="F211" s="42" t="s">
        <v>533</v>
      </c>
      <c r="G211" s="43" t="s">
        <v>80</v>
      </c>
      <c r="H211" s="43" t="s">
        <v>100</v>
      </c>
      <c r="I211" s="44"/>
      <c r="J211" s="44"/>
      <c r="K211" s="44"/>
      <c r="L211" s="45"/>
      <c r="M211" s="46"/>
      <c r="N211" s="45"/>
      <c r="O211" s="47" t="str">
        <f aca="false">IF(OR($L211="",$M211=""),"",(DATE(Semana!$J$3,1,4)-WEEKDAY(DATE(Semana!$J$3,1,4),3))+($L211-1)*7+MATCH($M211,Listas!$F$5:$F$11,0)-1)</f>
        <v/>
      </c>
      <c r="P211" s="47" t="str">
        <f aca="false">IF(OR($F211="",$O211=""),"",$O211+MAX(0,ROUNDUP($AK211*MAX(1,IF($N211="",1,$N211))/MAX(1,$AL211),0)-1))</f>
        <v/>
      </c>
      <c r="Q211" s="48"/>
      <c r="R211" s="43"/>
      <c r="S211" s="49"/>
      <c r="T211" s="42"/>
      <c r="U211" s="42" t="s">
        <v>500</v>
      </c>
      <c r="V211" s="39" t="str">
        <f aca="false">IF($F211="","",IF(ISNUMBER(SEARCH("(externo)",$I211&amp;$J211&amp;$K211)),"Terceirizada","Interna"))</f>
        <v>Interna</v>
      </c>
      <c r="W211" s="47" t="str">
        <f aca="false">IF($O211="","",IF($S211="",$O211,(DATE(Semana!$J$3,1,4)-WEEKDAY(DATE(Semana!$J$3,1,4),3))+($S211-1)*7+IF($M211="",0,MATCH($M211,Listas!$F$5:$F$11,0)-1)))</f>
        <v/>
      </c>
      <c r="X211" s="39" t="n">
        <f aca="false">IF($F211="","",IF(OR($AT211="",$O211=""),0,IF($AT211&lt;=$O211,1,0)))</f>
        <v>0</v>
      </c>
      <c r="Y211" s="39" t="n">
        <f aca="false">IF($F211="","",IF(OR($AT211="",$W211=""),0,IF($AT211&lt;=$W211,1,0)))</f>
        <v>0</v>
      </c>
      <c r="Z211" s="39" t="str">
        <f aca="false">IF(OR($AT211="",$O211=""),"",MAX(0,$AT211-$O211))</f>
        <v/>
      </c>
      <c r="AA211" s="39" t="n">
        <f aca="false">IF($F211="","",IF(AND($S211&lt;&gt;"",$L211&lt;&gt;"",$S211&lt;&gt;$L211),1,0))</f>
        <v>0</v>
      </c>
      <c r="AB211" s="39" t="n">
        <f aca="false">IF($F211="","",IF($R211="Cancelada",0,IF(OR($AT211&lt;&gt;"",$R211="Concluída"),1,0)))</f>
        <v>0</v>
      </c>
      <c r="AC211" s="39" t="n">
        <f aca="false">IF($P211="",0,IF($P211&lt;Hoje!$L$1,1,IF(AND($P211=Hoje!$L$1,Hoje!$L$2&gt;Semana!$M$3),1,0)))</f>
        <v>0</v>
      </c>
      <c r="AD211" s="39" t="n">
        <f aca="false">IF($F211="","",IF(COUNTA($I211:$K211)=0,0,1/COUNTA($I211:$K211)))</f>
        <v>0</v>
      </c>
      <c r="AE211" s="39" t="str">
        <f aca="false">IF($AH211=0,"",SUM($AH$4:$AH211))</f>
        <v/>
      </c>
      <c r="AF211" s="39" t="str">
        <f aca="false">IF($AI211=0,"",SUM($AI$4:$AI211))</f>
        <v/>
      </c>
      <c r="AG211" s="50" t="str">
        <f aca="false">IF($F211="","",$I211&amp;IF($J211="",""," · "&amp;$J211)&amp;IF($K211="",""," · "&amp;$K211))</f>
        <v/>
      </c>
      <c r="AH211" s="39" t="n">
        <f aca="false">IF(AND($F211&lt;&gt;"",$O211&lt;&gt;"",$O211&lt;=Hoje!$C$3,$P211&gt;=Hoje!$C$3,$R211&lt;&gt;"Cancelada"),1,0)</f>
        <v>0</v>
      </c>
      <c r="AI211" s="39" t="n">
        <f aca="false">IF(AND($F211&lt;&gt;"",$P211&lt;&gt;"",$P211&lt;Hoje!$C$3,$AB211=0,$R211&lt;&gt;"Cancelada"),1,0)</f>
        <v>0</v>
      </c>
      <c r="AJ211" s="50" t="str">
        <f aca="false">IF($F211="","",$D211&amp;"|"&amp;$E211&amp;"|"&amp;$L211)</f>
        <v>F-1039|Pendências de inspeção|</v>
      </c>
      <c r="AK211" s="39" t="n">
        <f aca="false">IF($AJ211="","",COUNTIF($AJ$4:$AJ211,$AJ211))</f>
        <v>8</v>
      </c>
      <c r="AL211" s="39" t="n">
        <f aca="false">IF($AJ211="","",COUNTIF($AJ$4:$AJ$1004,$AJ211))</f>
        <v>9</v>
      </c>
      <c r="AM211" s="42"/>
      <c r="AN211" s="50" t="str">
        <f aca="false">IF($D211="","",IFERROR(T(VLOOKUP($D211,Listas!$B$5:$H$120,7,0)),""))</f>
        <v/>
      </c>
      <c r="AO211" s="50" t="str">
        <f aca="false">IF(OR($F211="",$L211&lt;&gt;"",$R211="Cancelada",$AT211&lt;&gt;""),"",$AN211&amp;"|"&amp;$D211&amp;"|"&amp;IF($C211="","zzz",$C211)&amp;"|"&amp;TEXT(211,"0000"))</f>
        <v>|F-1039|007328|0211</v>
      </c>
      <c r="AP211" s="50" t="n">
        <f aca="false">IF($AO211="","",COUNTIF($AO$5:$AO$1004,"&lt;"&amp;$AO211)-(ROWS($AO$5:$AO$1004)-Hoje!$L$5)+1)</f>
        <v>18</v>
      </c>
      <c r="AQ211" s="50" t="n">
        <f aca="false">IF(AND($F211&lt;&gt;"",$D211=Frota!$C$3),1,0)</f>
        <v>0</v>
      </c>
      <c r="AR211" s="50" t="str">
        <f aca="false">IF($AQ211=0,"",SUM($AQ$4:$AQ211))</f>
        <v/>
      </c>
      <c r="AS211" s="50" t="str">
        <f aca="false">IFERROR(INDEX(Hoje!$K$10:$K$29,MATCH(ROW(),Hoje!$J$10:$J$29,0)),"")</f>
        <v/>
      </c>
      <c r="AT211" s="50" t="str">
        <f aca="false">IF($Q211&lt;&gt;"",$Q211,$AS211)</f>
        <v/>
      </c>
    </row>
    <row r="212" customFormat="false" ht="16.5" hidden="false" customHeight="true" outlineLevel="0" collapsed="false">
      <c r="A212" s="39" t="n">
        <f aca="false">IF($F212="","",ROW())</f>
        <v>212</v>
      </c>
      <c r="B212" s="40" t="str">
        <f aca="false">IF($F212="",IF($D212="","","Falta a atividade"),IF($R212="Cancelada","Cancelada",IF($AB212=1,IF(N($Z212)&gt;0,"Concluída com atraso","Concluída"),IF($R212="Em programação","Em programação",IF($O212="",IF($M212="","Na carteira","Falta a semana"),IF($AC212=1,"VENCIDA",IF($O212&gt;Hoje!$L$1,"Programada",IF($P212&gt;Hoje!$L$1,"Em execução","Fecha hoje"))))))))</f>
        <v>Na carteira</v>
      </c>
      <c r="C212" s="41" t="s">
        <v>534</v>
      </c>
      <c r="D212" s="42" t="s">
        <v>518</v>
      </c>
      <c r="E212" s="42" t="s">
        <v>495</v>
      </c>
      <c r="F212" s="42" t="s">
        <v>535</v>
      </c>
      <c r="G212" s="43" t="s">
        <v>80</v>
      </c>
      <c r="H212" s="43" t="s">
        <v>100</v>
      </c>
      <c r="I212" s="44"/>
      <c r="J212" s="44"/>
      <c r="K212" s="44"/>
      <c r="L212" s="45"/>
      <c r="M212" s="46"/>
      <c r="N212" s="45"/>
      <c r="O212" s="47" t="str">
        <f aca="false">IF(OR($L212="",$M212=""),"",(DATE(Semana!$J$3,1,4)-WEEKDAY(DATE(Semana!$J$3,1,4),3))+($L212-1)*7+MATCH($M212,Listas!$F$5:$F$11,0)-1)</f>
        <v/>
      </c>
      <c r="P212" s="47" t="str">
        <f aca="false">IF(OR($F212="",$O212=""),"",$O212+MAX(0,ROUNDUP($AK212*MAX(1,IF($N212="",1,$N212))/MAX(1,$AL212),0)-1))</f>
        <v/>
      </c>
      <c r="Q212" s="48"/>
      <c r="R212" s="43"/>
      <c r="S212" s="49"/>
      <c r="T212" s="42"/>
      <c r="U212" s="42" t="s">
        <v>500</v>
      </c>
      <c r="V212" s="39" t="str">
        <f aca="false">IF($F212="","",IF(ISNUMBER(SEARCH("(externo)",$I212&amp;$J212&amp;$K212)),"Terceirizada","Interna"))</f>
        <v>Interna</v>
      </c>
      <c r="W212" s="47" t="str">
        <f aca="false">IF($O212="","",IF($S212="",$O212,(DATE(Semana!$J$3,1,4)-WEEKDAY(DATE(Semana!$J$3,1,4),3))+($S212-1)*7+IF($M212="",0,MATCH($M212,Listas!$F$5:$F$11,0)-1)))</f>
        <v/>
      </c>
      <c r="X212" s="39" t="n">
        <f aca="false">IF($F212="","",IF(OR($AT212="",$O212=""),0,IF($AT212&lt;=$O212,1,0)))</f>
        <v>0</v>
      </c>
      <c r="Y212" s="39" t="n">
        <f aca="false">IF($F212="","",IF(OR($AT212="",$W212=""),0,IF($AT212&lt;=$W212,1,0)))</f>
        <v>0</v>
      </c>
      <c r="Z212" s="39" t="str">
        <f aca="false">IF(OR($AT212="",$O212=""),"",MAX(0,$AT212-$O212))</f>
        <v/>
      </c>
      <c r="AA212" s="39" t="n">
        <f aca="false">IF($F212="","",IF(AND($S212&lt;&gt;"",$L212&lt;&gt;"",$S212&lt;&gt;$L212),1,0))</f>
        <v>0</v>
      </c>
      <c r="AB212" s="39" t="n">
        <f aca="false">IF($F212="","",IF($R212="Cancelada",0,IF(OR($AT212&lt;&gt;"",$R212="Concluída"),1,0)))</f>
        <v>0</v>
      </c>
      <c r="AC212" s="39" t="n">
        <f aca="false">IF($P212="",0,IF($P212&lt;Hoje!$L$1,1,IF(AND($P212=Hoje!$L$1,Hoje!$L$2&gt;Semana!$M$3),1,0)))</f>
        <v>0</v>
      </c>
      <c r="AD212" s="39" t="n">
        <f aca="false">IF($F212="","",IF(COUNTA($I212:$K212)=0,0,1/COUNTA($I212:$K212)))</f>
        <v>0</v>
      </c>
      <c r="AE212" s="39" t="str">
        <f aca="false">IF($AH212=0,"",SUM($AH$4:$AH212))</f>
        <v/>
      </c>
      <c r="AF212" s="39" t="str">
        <f aca="false">IF($AI212=0,"",SUM($AI$4:$AI212))</f>
        <v/>
      </c>
      <c r="AG212" s="50" t="str">
        <f aca="false">IF($F212="","",$I212&amp;IF($J212="",""," · "&amp;$J212)&amp;IF($K212="",""," · "&amp;$K212))</f>
        <v/>
      </c>
      <c r="AH212" s="39" t="n">
        <f aca="false">IF(AND($F212&lt;&gt;"",$O212&lt;&gt;"",$O212&lt;=Hoje!$C$3,$P212&gt;=Hoje!$C$3,$R212&lt;&gt;"Cancelada"),1,0)</f>
        <v>0</v>
      </c>
      <c r="AI212" s="39" t="n">
        <f aca="false">IF(AND($F212&lt;&gt;"",$P212&lt;&gt;"",$P212&lt;Hoje!$C$3,$AB212=0,$R212&lt;&gt;"Cancelada"),1,0)</f>
        <v>0</v>
      </c>
      <c r="AJ212" s="50" t="str">
        <f aca="false">IF($F212="","",$D212&amp;"|"&amp;$E212&amp;"|"&amp;$L212)</f>
        <v>F-1039|Pendências de inspeção|</v>
      </c>
      <c r="AK212" s="39" t="n">
        <f aca="false">IF($AJ212="","",COUNTIF($AJ$4:$AJ212,$AJ212))</f>
        <v>9</v>
      </c>
      <c r="AL212" s="39" t="n">
        <f aca="false">IF($AJ212="","",COUNTIF($AJ$4:$AJ$1004,$AJ212))</f>
        <v>9</v>
      </c>
      <c r="AM212" s="42"/>
      <c r="AN212" s="50" t="str">
        <f aca="false">IF($D212="","",IFERROR(T(VLOOKUP($D212,Listas!$B$5:$H$120,7,0)),""))</f>
        <v/>
      </c>
      <c r="AO212" s="50" t="str">
        <f aca="false">IF(OR($F212="",$L212&lt;&gt;"",$R212="Cancelada",$AT212&lt;&gt;""),"",$AN212&amp;"|"&amp;$D212&amp;"|"&amp;IF($C212="","zzz",$C212)&amp;"|"&amp;TEXT(212,"0000"))</f>
        <v>|F-1039|007330|0212</v>
      </c>
      <c r="AP212" s="50" t="n">
        <f aca="false">IF($AO212="","",COUNTIF($AO$5:$AO$1004,"&lt;"&amp;$AO212)-(ROWS($AO$5:$AO$1004)-Hoje!$L$5)+1)</f>
        <v>19</v>
      </c>
      <c r="AQ212" s="50" t="n">
        <f aca="false">IF(AND($F212&lt;&gt;"",$D212=Frota!$C$3),1,0)</f>
        <v>0</v>
      </c>
      <c r="AR212" s="50" t="str">
        <f aca="false">IF($AQ212=0,"",SUM($AQ$4:$AQ212))</f>
        <v/>
      </c>
      <c r="AS212" s="50" t="str">
        <f aca="false">IFERROR(INDEX(Hoje!$K$10:$K$29,MATCH(ROW(),Hoje!$J$10:$J$29,0)),"")</f>
        <v/>
      </c>
      <c r="AT212" s="50" t="str">
        <f aca="false">IF($Q212&lt;&gt;"",$Q212,$AS212)</f>
        <v/>
      </c>
    </row>
    <row r="213" customFormat="false" ht="16.5" hidden="false" customHeight="true" outlineLevel="0" collapsed="false">
      <c r="A213" s="39" t="n">
        <f aca="false">IF($F213="","",ROW())</f>
        <v>213</v>
      </c>
      <c r="B213" s="40" t="str">
        <f aca="false">IF($F213="",IF($D213="","","Falta a atividade"),IF($R213="Cancelada","Cancelada",IF($AB213=1,IF(N($Z213)&gt;0,"Concluída com atraso","Concluída"),IF($R213="Em programação","Em programação",IF($O213="",IF($M213="","Na carteira","Falta a semana"),IF($AC213=1,"VENCIDA",IF($O213&gt;Hoje!$L$1,"Programada",IF($P213&gt;Hoje!$L$1,"Em execução","Fecha hoje"))))))))</f>
        <v>Programada</v>
      </c>
      <c r="C213" s="41" t="s">
        <v>536</v>
      </c>
      <c r="D213" s="42" t="s">
        <v>537</v>
      </c>
      <c r="E213" s="42" t="s">
        <v>495</v>
      </c>
      <c r="F213" s="42" t="s">
        <v>538</v>
      </c>
      <c r="G213" s="43" t="s">
        <v>80</v>
      </c>
      <c r="H213" s="43" t="s">
        <v>100</v>
      </c>
      <c r="I213" s="44"/>
      <c r="J213" s="44"/>
      <c r="K213" s="44"/>
      <c r="L213" s="45" t="n">
        <v>37</v>
      </c>
      <c r="M213" s="46" t="s">
        <v>173</v>
      </c>
      <c r="N213" s="45" t="n">
        <v>4</v>
      </c>
      <c r="O213" s="47" t="n">
        <f aca="false">IF(OR($L213="",$M213=""),"",(DATE(Semana!$J$3,1,4)-WEEKDAY(DATE(Semana!$J$3,1,4),3))+($L213-1)*7+MATCH($M213,Listas!$F$5:$F$11,0)-1)</f>
        <v>46275</v>
      </c>
      <c r="P213" s="47" t="n">
        <f aca="false">IF(OR($F213="",$O213=""),"",$O213+MAX(0,ROUNDUP($AK213*MAX(1,IF($N213="",1,$N213))/MAX(1,$AL213),0)-1))</f>
        <v>46275</v>
      </c>
      <c r="Q213" s="48"/>
      <c r="R213" s="43"/>
      <c r="S213" s="49"/>
      <c r="T213" s="42"/>
      <c r="U213" s="42" t="s">
        <v>500</v>
      </c>
      <c r="V213" s="39" t="str">
        <f aca="false">IF($F213="","",IF(ISNUMBER(SEARCH("(externo)",$I213&amp;$J213&amp;$K213)),"Terceirizada","Interna"))</f>
        <v>Interna</v>
      </c>
      <c r="W213" s="47" t="n">
        <f aca="false">IF($O213="","",IF($S213="",$O213,(DATE(Semana!$J$3,1,4)-WEEKDAY(DATE(Semana!$J$3,1,4),3))+($S213-1)*7+IF($M213="",0,MATCH($M213,Listas!$F$5:$F$11,0)-1)))</f>
        <v>46275</v>
      </c>
      <c r="X213" s="39" t="n">
        <f aca="false">IF($F213="","",IF(OR($AT213="",$O213=""),0,IF($AT213&lt;=$O213,1,0)))</f>
        <v>0</v>
      </c>
      <c r="Y213" s="39" t="n">
        <f aca="false">IF($F213="","",IF(OR($AT213="",$W213=""),0,IF($AT213&lt;=$W213,1,0)))</f>
        <v>0</v>
      </c>
      <c r="Z213" s="39" t="str">
        <f aca="false">IF(OR($AT213="",$O213=""),"",MAX(0,$AT213-$O213))</f>
        <v/>
      </c>
      <c r="AA213" s="39" t="n">
        <f aca="false">IF($F213="","",IF(AND($S213&lt;&gt;"",$L213&lt;&gt;"",$S213&lt;&gt;$L213),1,0))</f>
        <v>0</v>
      </c>
      <c r="AB213" s="39" t="n">
        <f aca="false">IF($F213="","",IF($R213="Cancelada",0,IF(OR($AT213&lt;&gt;"",$R213="Concluída"),1,0)))</f>
        <v>0</v>
      </c>
      <c r="AC213" s="39" t="n">
        <f aca="false">IF($P213="",0,IF($P213&lt;Hoje!$L$1,1,IF(AND($P213=Hoje!$L$1,Hoje!$L$2&gt;Semana!$M$3),1,0)))</f>
        <v>0</v>
      </c>
      <c r="AD213" s="39" t="n">
        <f aca="false">IF($F213="","",IF(COUNTA($I213:$K213)=0,0,1/COUNTA($I213:$K213)))</f>
        <v>0</v>
      </c>
      <c r="AE213" s="39" t="str">
        <f aca="false">IF($AH213=0,"",SUM($AH$4:$AH213))</f>
        <v/>
      </c>
      <c r="AF213" s="39" t="str">
        <f aca="false">IF($AI213=0,"",SUM($AI$4:$AI213))</f>
        <v/>
      </c>
      <c r="AG213" s="50" t="str">
        <f aca="false">IF($F213="","",$I213&amp;IF($J213="",""," · "&amp;$J213)&amp;IF($K213="",""," · "&amp;$K213))</f>
        <v/>
      </c>
      <c r="AH213" s="39" t="n">
        <f aca="false">IF(AND($F213&lt;&gt;"",$O213&lt;&gt;"",$O213&lt;=Hoje!$C$3,$P213&gt;=Hoje!$C$3,$R213&lt;&gt;"Cancelada"),1,0)</f>
        <v>0</v>
      </c>
      <c r="AI213" s="39" t="n">
        <f aca="false">IF(AND($F213&lt;&gt;"",$P213&lt;&gt;"",$P213&lt;Hoje!$C$3,$AB213=0,$R213&lt;&gt;"Cancelada"),1,0)</f>
        <v>0</v>
      </c>
      <c r="AJ213" s="50" t="str">
        <f aca="false">IF($F213="","",$D213&amp;"|"&amp;$E213&amp;"|"&amp;$L213)</f>
        <v>F-818|Pendências de inspeção|37</v>
      </c>
      <c r="AK213" s="39" t="n">
        <f aca="false">IF($AJ213="","",COUNTIF($AJ$4:$AJ213,$AJ213))</f>
        <v>1</v>
      </c>
      <c r="AL213" s="39" t="n">
        <f aca="false">IF($AJ213="","",COUNTIF($AJ$4:$AJ$1004,$AJ213))</f>
        <v>21</v>
      </c>
      <c r="AM213" s="42"/>
      <c r="AN213" s="50" t="str">
        <f aca="false">IF($D213="","",IFERROR(T(VLOOKUP($D213,Listas!$B$5:$H$120,7,0)),""))</f>
        <v/>
      </c>
      <c r="AO213" s="50" t="str">
        <f aca="false">IF(OR($F213="",$L213&lt;&gt;"",$R213="Cancelada",$AT213&lt;&gt;""),"",$AN213&amp;"|"&amp;$D213&amp;"|"&amp;IF($C213="","zzz",$C213)&amp;"|"&amp;TEXT(213,"0000"))</f>
        <v/>
      </c>
      <c r="AP213" s="50" t="str">
        <f aca="false">IF($AO213="","",COUNTIF($AO$5:$AO$1004,"&lt;"&amp;$AO213)-(ROWS($AO$5:$AO$1004)-Hoje!$L$5)+1)</f>
        <v/>
      </c>
      <c r="AQ213" s="50" t="n">
        <f aca="false">IF(AND($F213&lt;&gt;"",$D213=Frota!$C$3),1,0)</f>
        <v>0</v>
      </c>
      <c r="AR213" s="50" t="str">
        <f aca="false">IF($AQ213=0,"",SUM($AQ$4:$AQ213))</f>
        <v/>
      </c>
      <c r="AS213" s="50" t="str">
        <f aca="false">IFERROR(INDEX(Hoje!$K$10:$K$29,MATCH(ROW(),Hoje!$J$10:$J$29,0)),"")</f>
        <v/>
      </c>
      <c r="AT213" s="50" t="str">
        <f aca="false">IF($Q213&lt;&gt;"",$Q213,$AS213)</f>
        <v/>
      </c>
    </row>
    <row r="214" customFormat="false" ht="16.5" hidden="false" customHeight="true" outlineLevel="0" collapsed="false">
      <c r="A214" s="39" t="n">
        <f aca="false">IF($F214="","",ROW())</f>
        <v>214</v>
      </c>
      <c r="B214" s="40" t="str">
        <f aca="false">IF($F214="",IF($D214="","","Falta a atividade"),IF($R214="Cancelada","Cancelada",IF($AB214=1,IF(N($Z214)&gt;0,"Concluída com atraso","Concluída"),IF($R214="Em programação","Em programação",IF($O214="",IF($M214="","Na carteira","Falta a semana"),IF($AC214=1,"VENCIDA",IF($O214&gt;Hoje!$L$1,"Programada",IF($P214&gt;Hoje!$L$1,"Em execução","Fecha hoje"))))))))</f>
        <v>Programada</v>
      </c>
      <c r="C214" s="41" t="s">
        <v>539</v>
      </c>
      <c r="D214" s="42" t="s">
        <v>537</v>
      </c>
      <c r="E214" s="42" t="s">
        <v>495</v>
      </c>
      <c r="F214" s="42" t="s">
        <v>540</v>
      </c>
      <c r="G214" s="43" t="s">
        <v>80</v>
      </c>
      <c r="H214" s="43" t="s">
        <v>100</v>
      </c>
      <c r="I214" s="44"/>
      <c r="J214" s="44"/>
      <c r="K214" s="44"/>
      <c r="L214" s="45" t="n">
        <v>37</v>
      </c>
      <c r="M214" s="46" t="s">
        <v>173</v>
      </c>
      <c r="N214" s="45" t="n">
        <v>4</v>
      </c>
      <c r="O214" s="47" t="n">
        <f aca="false">IF(OR($L214="",$M214=""),"",(DATE(Semana!$J$3,1,4)-WEEKDAY(DATE(Semana!$J$3,1,4),3))+($L214-1)*7+MATCH($M214,Listas!$F$5:$F$11,0)-1)</f>
        <v>46275</v>
      </c>
      <c r="P214" s="47" t="n">
        <f aca="false">IF(OR($F214="",$O214=""),"",$O214+MAX(0,ROUNDUP($AK214*MAX(1,IF($N214="",1,$N214))/MAX(1,$AL214),0)-1))</f>
        <v>46275</v>
      </c>
      <c r="Q214" s="48"/>
      <c r="R214" s="43"/>
      <c r="S214" s="49"/>
      <c r="T214" s="42"/>
      <c r="U214" s="42" t="s">
        <v>541</v>
      </c>
      <c r="V214" s="39" t="str">
        <f aca="false">IF($F214="","",IF(ISNUMBER(SEARCH("(externo)",$I214&amp;$J214&amp;$K214)),"Terceirizada","Interna"))</f>
        <v>Interna</v>
      </c>
      <c r="W214" s="47" t="n">
        <f aca="false">IF($O214="","",IF($S214="",$O214,(DATE(Semana!$J$3,1,4)-WEEKDAY(DATE(Semana!$J$3,1,4),3))+($S214-1)*7+IF($M214="",0,MATCH($M214,Listas!$F$5:$F$11,0)-1)))</f>
        <v>46275</v>
      </c>
      <c r="X214" s="39" t="n">
        <f aca="false">IF($F214="","",IF(OR($AT214="",$O214=""),0,IF($AT214&lt;=$O214,1,0)))</f>
        <v>0</v>
      </c>
      <c r="Y214" s="39" t="n">
        <f aca="false">IF($F214="","",IF(OR($AT214="",$W214=""),0,IF($AT214&lt;=$W214,1,0)))</f>
        <v>0</v>
      </c>
      <c r="Z214" s="39" t="str">
        <f aca="false">IF(OR($AT214="",$O214=""),"",MAX(0,$AT214-$O214))</f>
        <v/>
      </c>
      <c r="AA214" s="39" t="n">
        <f aca="false">IF($F214="","",IF(AND($S214&lt;&gt;"",$L214&lt;&gt;"",$S214&lt;&gt;$L214),1,0))</f>
        <v>0</v>
      </c>
      <c r="AB214" s="39" t="n">
        <f aca="false">IF($F214="","",IF($R214="Cancelada",0,IF(OR($AT214&lt;&gt;"",$R214="Concluída"),1,0)))</f>
        <v>0</v>
      </c>
      <c r="AC214" s="39" t="n">
        <f aca="false">IF($P214="",0,IF($P214&lt;Hoje!$L$1,1,IF(AND($P214=Hoje!$L$1,Hoje!$L$2&gt;Semana!$M$3),1,0)))</f>
        <v>0</v>
      </c>
      <c r="AD214" s="39" t="n">
        <f aca="false">IF($F214="","",IF(COUNTA($I214:$K214)=0,0,1/COUNTA($I214:$K214)))</f>
        <v>0</v>
      </c>
      <c r="AE214" s="39" t="str">
        <f aca="false">IF($AH214=0,"",SUM($AH$4:$AH214))</f>
        <v/>
      </c>
      <c r="AF214" s="39" t="str">
        <f aca="false">IF($AI214=0,"",SUM($AI$4:$AI214))</f>
        <v/>
      </c>
      <c r="AG214" s="50" t="str">
        <f aca="false">IF($F214="","",$I214&amp;IF($J214="",""," · "&amp;$J214)&amp;IF($K214="",""," · "&amp;$K214))</f>
        <v/>
      </c>
      <c r="AH214" s="39" t="n">
        <f aca="false">IF(AND($F214&lt;&gt;"",$O214&lt;&gt;"",$O214&lt;=Hoje!$C$3,$P214&gt;=Hoje!$C$3,$R214&lt;&gt;"Cancelada"),1,0)</f>
        <v>0</v>
      </c>
      <c r="AI214" s="39" t="n">
        <f aca="false">IF(AND($F214&lt;&gt;"",$P214&lt;&gt;"",$P214&lt;Hoje!$C$3,$AB214=0,$R214&lt;&gt;"Cancelada"),1,0)</f>
        <v>0</v>
      </c>
      <c r="AJ214" s="50" t="str">
        <f aca="false">IF($F214="","",$D214&amp;"|"&amp;$E214&amp;"|"&amp;$L214)</f>
        <v>F-818|Pendências de inspeção|37</v>
      </c>
      <c r="AK214" s="39" t="n">
        <f aca="false">IF($AJ214="","",COUNTIF($AJ$4:$AJ214,$AJ214))</f>
        <v>2</v>
      </c>
      <c r="AL214" s="39" t="n">
        <f aca="false">IF($AJ214="","",COUNTIF($AJ$4:$AJ$1004,$AJ214))</f>
        <v>21</v>
      </c>
      <c r="AM214" s="42"/>
      <c r="AN214" s="50" t="str">
        <f aca="false">IF($D214="","",IFERROR(T(VLOOKUP($D214,Listas!$B$5:$H$120,7,0)),""))</f>
        <v/>
      </c>
      <c r="AO214" s="50" t="str">
        <f aca="false">IF(OR($F214="",$L214&lt;&gt;"",$R214="Cancelada",$AT214&lt;&gt;""),"",$AN214&amp;"|"&amp;$D214&amp;"|"&amp;IF($C214="","zzz",$C214)&amp;"|"&amp;TEXT(214,"0000"))</f>
        <v/>
      </c>
      <c r="AP214" s="50" t="str">
        <f aca="false">IF($AO214="","",COUNTIF($AO$5:$AO$1004,"&lt;"&amp;$AO214)-(ROWS($AO$5:$AO$1004)-Hoje!$L$5)+1)</f>
        <v/>
      </c>
      <c r="AQ214" s="50" t="n">
        <f aca="false">IF(AND($F214&lt;&gt;"",$D214=Frota!$C$3),1,0)</f>
        <v>0</v>
      </c>
      <c r="AR214" s="50" t="str">
        <f aca="false">IF($AQ214=0,"",SUM($AQ$4:$AQ214))</f>
        <v/>
      </c>
      <c r="AS214" s="50" t="str">
        <f aca="false">IFERROR(INDEX(Hoje!$K$10:$K$29,MATCH(ROW(),Hoje!$J$10:$J$29,0)),"")</f>
        <v/>
      </c>
      <c r="AT214" s="50" t="str">
        <f aca="false">IF($Q214&lt;&gt;"",$Q214,$AS214)</f>
        <v/>
      </c>
    </row>
    <row r="215" customFormat="false" ht="16.5" hidden="false" customHeight="true" outlineLevel="0" collapsed="false">
      <c r="A215" s="39" t="n">
        <f aca="false">IF($F215="","",ROW())</f>
        <v>215</v>
      </c>
      <c r="B215" s="40" t="str">
        <f aca="false">IF($F215="",IF($D215="","","Falta a atividade"),IF($R215="Cancelada","Cancelada",IF($AB215=1,IF(N($Z215)&gt;0,"Concluída com atraso","Concluída"),IF($R215="Em programação","Em programação",IF($O215="",IF($M215="","Na carteira","Falta a semana"),IF($AC215=1,"VENCIDA",IF($O215&gt;Hoje!$L$1,"Programada",IF($P215&gt;Hoje!$L$1,"Em execução","Fecha hoje"))))))))</f>
        <v>Programada</v>
      </c>
      <c r="C215" s="41" t="s">
        <v>542</v>
      </c>
      <c r="D215" s="42" t="s">
        <v>537</v>
      </c>
      <c r="E215" s="42" t="s">
        <v>495</v>
      </c>
      <c r="F215" s="42" t="s">
        <v>543</v>
      </c>
      <c r="G215" s="43" t="s">
        <v>80</v>
      </c>
      <c r="H215" s="43" t="s">
        <v>100</v>
      </c>
      <c r="I215" s="44"/>
      <c r="J215" s="44"/>
      <c r="K215" s="44"/>
      <c r="L215" s="45" t="n">
        <v>37</v>
      </c>
      <c r="M215" s="46" t="s">
        <v>173</v>
      </c>
      <c r="N215" s="45" t="n">
        <v>4</v>
      </c>
      <c r="O215" s="47" t="n">
        <f aca="false">IF(OR($L215="",$M215=""),"",(DATE(Semana!$J$3,1,4)-WEEKDAY(DATE(Semana!$J$3,1,4),3))+($L215-1)*7+MATCH($M215,Listas!$F$5:$F$11,0)-1)</f>
        <v>46275</v>
      </c>
      <c r="P215" s="47" t="n">
        <f aca="false">IF(OR($F215="",$O215=""),"",$O215+MAX(0,ROUNDUP($AK215*MAX(1,IF($N215="",1,$N215))/MAX(1,$AL215),0)-1))</f>
        <v>46275</v>
      </c>
      <c r="Q215" s="48"/>
      <c r="R215" s="43"/>
      <c r="S215" s="49"/>
      <c r="T215" s="42"/>
      <c r="U215" s="42" t="s">
        <v>500</v>
      </c>
      <c r="V215" s="39" t="str">
        <f aca="false">IF($F215="","",IF(ISNUMBER(SEARCH("(externo)",$I215&amp;$J215&amp;$K215)),"Terceirizada","Interna"))</f>
        <v>Interna</v>
      </c>
      <c r="W215" s="47" t="n">
        <f aca="false">IF($O215="","",IF($S215="",$O215,(DATE(Semana!$J$3,1,4)-WEEKDAY(DATE(Semana!$J$3,1,4),3))+($S215-1)*7+IF($M215="",0,MATCH($M215,Listas!$F$5:$F$11,0)-1)))</f>
        <v>46275</v>
      </c>
      <c r="X215" s="39" t="n">
        <f aca="false">IF($F215="","",IF(OR($AT215="",$O215=""),0,IF($AT215&lt;=$O215,1,0)))</f>
        <v>0</v>
      </c>
      <c r="Y215" s="39" t="n">
        <f aca="false">IF($F215="","",IF(OR($AT215="",$W215=""),0,IF($AT215&lt;=$W215,1,0)))</f>
        <v>0</v>
      </c>
      <c r="Z215" s="39" t="str">
        <f aca="false">IF(OR($AT215="",$O215=""),"",MAX(0,$AT215-$O215))</f>
        <v/>
      </c>
      <c r="AA215" s="39" t="n">
        <f aca="false">IF($F215="","",IF(AND($S215&lt;&gt;"",$L215&lt;&gt;"",$S215&lt;&gt;$L215),1,0))</f>
        <v>0</v>
      </c>
      <c r="AB215" s="39" t="n">
        <f aca="false">IF($F215="","",IF($R215="Cancelada",0,IF(OR($AT215&lt;&gt;"",$R215="Concluída"),1,0)))</f>
        <v>0</v>
      </c>
      <c r="AC215" s="39" t="n">
        <f aca="false">IF($P215="",0,IF($P215&lt;Hoje!$L$1,1,IF(AND($P215=Hoje!$L$1,Hoje!$L$2&gt;Semana!$M$3),1,0)))</f>
        <v>0</v>
      </c>
      <c r="AD215" s="39" t="n">
        <f aca="false">IF($F215="","",IF(COUNTA($I215:$K215)=0,0,1/COUNTA($I215:$K215)))</f>
        <v>0</v>
      </c>
      <c r="AE215" s="39" t="str">
        <f aca="false">IF($AH215=0,"",SUM($AH$4:$AH215))</f>
        <v/>
      </c>
      <c r="AF215" s="39" t="str">
        <f aca="false">IF($AI215=0,"",SUM($AI$4:$AI215))</f>
        <v/>
      </c>
      <c r="AG215" s="50" t="str">
        <f aca="false">IF($F215="","",$I215&amp;IF($J215="",""," · "&amp;$J215)&amp;IF($K215="",""," · "&amp;$K215))</f>
        <v/>
      </c>
      <c r="AH215" s="39" t="n">
        <f aca="false">IF(AND($F215&lt;&gt;"",$O215&lt;&gt;"",$O215&lt;=Hoje!$C$3,$P215&gt;=Hoje!$C$3,$R215&lt;&gt;"Cancelada"),1,0)</f>
        <v>0</v>
      </c>
      <c r="AI215" s="39" t="n">
        <f aca="false">IF(AND($F215&lt;&gt;"",$P215&lt;&gt;"",$P215&lt;Hoje!$C$3,$AB215=0,$R215&lt;&gt;"Cancelada"),1,0)</f>
        <v>0</v>
      </c>
      <c r="AJ215" s="50" t="str">
        <f aca="false">IF($F215="","",$D215&amp;"|"&amp;$E215&amp;"|"&amp;$L215)</f>
        <v>F-818|Pendências de inspeção|37</v>
      </c>
      <c r="AK215" s="39" t="n">
        <f aca="false">IF($AJ215="","",COUNTIF($AJ$4:$AJ215,$AJ215))</f>
        <v>3</v>
      </c>
      <c r="AL215" s="39" t="n">
        <f aca="false">IF($AJ215="","",COUNTIF($AJ$4:$AJ$1004,$AJ215))</f>
        <v>21</v>
      </c>
      <c r="AM215" s="42"/>
      <c r="AN215" s="50" t="str">
        <f aca="false">IF($D215="","",IFERROR(T(VLOOKUP($D215,Listas!$B$5:$H$120,7,0)),""))</f>
        <v/>
      </c>
      <c r="AO215" s="50" t="str">
        <f aca="false">IF(OR($F215="",$L215&lt;&gt;"",$R215="Cancelada",$AT215&lt;&gt;""),"",$AN215&amp;"|"&amp;$D215&amp;"|"&amp;IF($C215="","zzz",$C215)&amp;"|"&amp;TEXT(215,"0000"))</f>
        <v/>
      </c>
      <c r="AP215" s="50" t="str">
        <f aca="false">IF($AO215="","",COUNTIF($AO$5:$AO$1004,"&lt;"&amp;$AO215)-(ROWS($AO$5:$AO$1004)-Hoje!$L$5)+1)</f>
        <v/>
      </c>
      <c r="AQ215" s="50" t="n">
        <f aca="false">IF(AND($F215&lt;&gt;"",$D215=Frota!$C$3),1,0)</f>
        <v>0</v>
      </c>
      <c r="AR215" s="50" t="str">
        <f aca="false">IF($AQ215=0,"",SUM($AQ$4:$AQ215))</f>
        <v/>
      </c>
      <c r="AS215" s="50" t="str">
        <f aca="false">IFERROR(INDEX(Hoje!$K$10:$K$29,MATCH(ROW(),Hoje!$J$10:$J$29,0)),"")</f>
        <v/>
      </c>
      <c r="AT215" s="50" t="str">
        <f aca="false">IF($Q215&lt;&gt;"",$Q215,$AS215)</f>
        <v/>
      </c>
    </row>
    <row r="216" customFormat="false" ht="16.5" hidden="false" customHeight="true" outlineLevel="0" collapsed="false">
      <c r="A216" s="39" t="n">
        <f aca="false">IF($F216="","",ROW())</f>
        <v>216</v>
      </c>
      <c r="B216" s="40" t="str">
        <f aca="false">IF($F216="",IF($D216="","","Falta a atividade"),IF($R216="Cancelada","Cancelada",IF($AB216=1,IF(N($Z216)&gt;0,"Concluída com atraso","Concluída"),IF($R216="Em programação","Em programação",IF($O216="",IF($M216="","Na carteira","Falta a semana"),IF($AC216=1,"VENCIDA",IF($O216&gt;Hoje!$L$1,"Programada",IF($P216&gt;Hoje!$L$1,"Em execução","Fecha hoje"))))))))</f>
        <v>Programada</v>
      </c>
      <c r="C216" s="41" t="s">
        <v>544</v>
      </c>
      <c r="D216" s="42" t="s">
        <v>537</v>
      </c>
      <c r="E216" s="42" t="s">
        <v>495</v>
      </c>
      <c r="F216" s="42" t="s">
        <v>545</v>
      </c>
      <c r="G216" s="43" t="s">
        <v>80</v>
      </c>
      <c r="H216" s="43" t="s">
        <v>100</v>
      </c>
      <c r="I216" s="44"/>
      <c r="J216" s="44"/>
      <c r="K216" s="44"/>
      <c r="L216" s="45" t="n">
        <v>37</v>
      </c>
      <c r="M216" s="46" t="s">
        <v>173</v>
      </c>
      <c r="N216" s="45" t="n">
        <v>4</v>
      </c>
      <c r="O216" s="47" t="n">
        <f aca="false">IF(OR($L216="",$M216=""),"",(DATE(Semana!$J$3,1,4)-WEEKDAY(DATE(Semana!$J$3,1,4),3))+($L216-1)*7+MATCH($M216,Listas!$F$5:$F$11,0)-1)</f>
        <v>46275</v>
      </c>
      <c r="P216" s="47" t="n">
        <f aca="false">IF(OR($F216="",$O216=""),"",$O216+MAX(0,ROUNDUP($AK216*MAX(1,IF($N216="",1,$N216))/MAX(1,$AL216),0)-1))</f>
        <v>46275</v>
      </c>
      <c r="Q216" s="48"/>
      <c r="R216" s="43"/>
      <c r="S216" s="49"/>
      <c r="T216" s="42"/>
      <c r="U216" s="42" t="s">
        <v>500</v>
      </c>
      <c r="V216" s="39" t="str">
        <f aca="false">IF($F216="","",IF(ISNUMBER(SEARCH("(externo)",$I216&amp;$J216&amp;$K216)),"Terceirizada","Interna"))</f>
        <v>Interna</v>
      </c>
      <c r="W216" s="47" t="n">
        <f aca="false">IF($O216="","",IF($S216="",$O216,(DATE(Semana!$J$3,1,4)-WEEKDAY(DATE(Semana!$J$3,1,4),3))+($S216-1)*7+IF($M216="",0,MATCH($M216,Listas!$F$5:$F$11,0)-1)))</f>
        <v>46275</v>
      </c>
      <c r="X216" s="39" t="n">
        <f aca="false">IF($F216="","",IF(OR($AT216="",$O216=""),0,IF($AT216&lt;=$O216,1,0)))</f>
        <v>0</v>
      </c>
      <c r="Y216" s="39" t="n">
        <f aca="false">IF($F216="","",IF(OR($AT216="",$W216=""),0,IF($AT216&lt;=$W216,1,0)))</f>
        <v>0</v>
      </c>
      <c r="Z216" s="39" t="str">
        <f aca="false">IF(OR($AT216="",$O216=""),"",MAX(0,$AT216-$O216))</f>
        <v/>
      </c>
      <c r="AA216" s="39" t="n">
        <f aca="false">IF($F216="","",IF(AND($S216&lt;&gt;"",$L216&lt;&gt;"",$S216&lt;&gt;$L216),1,0))</f>
        <v>0</v>
      </c>
      <c r="AB216" s="39" t="n">
        <f aca="false">IF($F216="","",IF($R216="Cancelada",0,IF(OR($AT216&lt;&gt;"",$R216="Concluída"),1,0)))</f>
        <v>0</v>
      </c>
      <c r="AC216" s="39" t="n">
        <f aca="false">IF($P216="",0,IF($P216&lt;Hoje!$L$1,1,IF(AND($P216=Hoje!$L$1,Hoje!$L$2&gt;Semana!$M$3),1,0)))</f>
        <v>0</v>
      </c>
      <c r="AD216" s="39" t="n">
        <f aca="false">IF($F216="","",IF(COUNTA($I216:$K216)=0,0,1/COUNTA($I216:$K216)))</f>
        <v>0</v>
      </c>
      <c r="AE216" s="39" t="str">
        <f aca="false">IF($AH216=0,"",SUM($AH$4:$AH216))</f>
        <v/>
      </c>
      <c r="AF216" s="39" t="str">
        <f aca="false">IF($AI216=0,"",SUM($AI$4:$AI216))</f>
        <v/>
      </c>
      <c r="AG216" s="50" t="str">
        <f aca="false">IF($F216="","",$I216&amp;IF($J216="",""," · "&amp;$J216)&amp;IF($K216="",""," · "&amp;$K216))</f>
        <v/>
      </c>
      <c r="AH216" s="39" t="n">
        <f aca="false">IF(AND($F216&lt;&gt;"",$O216&lt;&gt;"",$O216&lt;=Hoje!$C$3,$P216&gt;=Hoje!$C$3,$R216&lt;&gt;"Cancelada"),1,0)</f>
        <v>0</v>
      </c>
      <c r="AI216" s="39" t="n">
        <f aca="false">IF(AND($F216&lt;&gt;"",$P216&lt;&gt;"",$P216&lt;Hoje!$C$3,$AB216=0,$R216&lt;&gt;"Cancelada"),1,0)</f>
        <v>0</v>
      </c>
      <c r="AJ216" s="50" t="str">
        <f aca="false">IF($F216="","",$D216&amp;"|"&amp;$E216&amp;"|"&amp;$L216)</f>
        <v>F-818|Pendências de inspeção|37</v>
      </c>
      <c r="AK216" s="39" t="n">
        <f aca="false">IF($AJ216="","",COUNTIF($AJ$4:$AJ216,$AJ216))</f>
        <v>4</v>
      </c>
      <c r="AL216" s="39" t="n">
        <f aca="false">IF($AJ216="","",COUNTIF($AJ$4:$AJ$1004,$AJ216))</f>
        <v>21</v>
      </c>
      <c r="AM216" s="42"/>
      <c r="AN216" s="50" t="str">
        <f aca="false">IF($D216="","",IFERROR(T(VLOOKUP($D216,Listas!$B$5:$H$120,7,0)),""))</f>
        <v/>
      </c>
      <c r="AO216" s="50" t="str">
        <f aca="false">IF(OR($F216="",$L216&lt;&gt;"",$R216="Cancelada",$AT216&lt;&gt;""),"",$AN216&amp;"|"&amp;$D216&amp;"|"&amp;IF($C216="","zzz",$C216)&amp;"|"&amp;TEXT(216,"0000"))</f>
        <v/>
      </c>
      <c r="AP216" s="50" t="str">
        <f aca="false">IF($AO216="","",COUNTIF($AO$5:$AO$1004,"&lt;"&amp;$AO216)-(ROWS($AO$5:$AO$1004)-Hoje!$L$5)+1)</f>
        <v/>
      </c>
      <c r="AQ216" s="50" t="n">
        <f aca="false">IF(AND($F216&lt;&gt;"",$D216=Frota!$C$3),1,0)</f>
        <v>0</v>
      </c>
      <c r="AR216" s="50" t="str">
        <f aca="false">IF($AQ216=0,"",SUM($AQ$4:$AQ216))</f>
        <v/>
      </c>
      <c r="AS216" s="50" t="str">
        <f aca="false">IFERROR(INDEX(Hoje!$K$10:$K$29,MATCH(ROW(),Hoje!$J$10:$J$29,0)),"")</f>
        <v/>
      </c>
      <c r="AT216" s="50" t="str">
        <f aca="false">IF($Q216&lt;&gt;"",$Q216,$AS216)</f>
        <v/>
      </c>
    </row>
    <row r="217" customFormat="false" ht="16.5" hidden="false" customHeight="true" outlineLevel="0" collapsed="false">
      <c r="A217" s="39" t="n">
        <f aca="false">IF($F217="","",ROW())</f>
        <v>217</v>
      </c>
      <c r="B217" s="40" t="str">
        <f aca="false">IF($F217="",IF($D217="","","Falta a atividade"),IF($R217="Cancelada","Cancelada",IF($AB217=1,IF(N($Z217)&gt;0,"Concluída com atraso","Concluída"),IF($R217="Em programação","Em programação",IF($O217="",IF($M217="","Na carteira","Falta a semana"),IF($AC217=1,"VENCIDA",IF($O217&gt;Hoje!$L$1,"Programada",IF($P217&gt;Hoje!$L$1,"Em execução","Fecha hoje"))))))))</f>
        <v>Programada</v>
      </c>
      <c r="C217" s="41" t="s">
        <v>546</v>
      </c>
      <c r="D217" s="42" t="s">
        <v>537</v>
      </c>
      <c r="E217" s="42" t="s">
        <v>495</v>
      </c>
      <c r="F217" s="42" t="s">
        <v>547</v>
      </c>
      <c r="G217" s="43" t="s">
        <v>80</v>
      </c>
      <c r="H217" s="43" t="s">
        <v>100</v>
      </c>
      <c r="I217" s="44"/>
      <c r="J217" s="44"/>
      <c r="K217" s="44"/>
      <c r="L217" s="45" t="n">
        <v>37</v>
      </c>
      <c r="M217" s="46" t="s">
        <v>173</v>
      </c>
      <c r="N217" s="45" t="n">
        <v>4</v>
      </c>
      <c r="O217" s="47" t="n">
        <f aca="false">IF(OR($L217="",$M217=""),"",(DATE(Semana!$J$3,1,4)-WEEKDAY(DATE(Semana!$J$3,1,4),3))+($L217-1)*7+MATCH($M217,Listas!$F$5:$F$11,0)-1)</f>
        <v>46275</v>
      </c>
      <c r="P217" s="47" t="n">
        <f aca="false">IF(OR($F217="",$O217=""),"",$O217+MAX(0,ROUNDUP($AK217*MAX(1,IF($N217="",1,$N217))/MAX(1,$AL217),0)-1))</f>
        <v>46275</v>
      </c>
      <c r="Q217" s="48"/>
      <c r="R217" s="43"/>
      <c r="S217" s="49"/>
      <c r="T217" s="42"/>
      <c r="U217" s="42" t="s">
        <v>548</v>
      </c>
      <c r="V217" s="39" t="str">
        <f aca="false">IF($F217="","",IF(ISNUMBER(SEARCH("(externo)",$I217&amp;$J217&amp;$K217)),"Terceirizada","Interna"))</f>
        <v>Interna</v>
      </c>
      <c r="W217" s="47" t="n">
        <f aca="false">IF($O217="","",IF($S217="",$O217,(DATE(Semana!$J$3,1,4)-WEEKDAY(DATE(Semana!$J$3,1,4),3))+($S217-1)*7+IF($M217="",0,MATCH($M217,Listas!$F$5:$F$11,0)-1)))</f>
        <v>46275</v>
      </c>
      <c r="X217" s="39" t="n">
        <f aca="false">IF($F217="","",IF(OR($AT217="",$O217=""),0,IF($AT217&lt;=$O217,1,0)))</f>
        <v>0</v>
      </c>
      <c r="Y217" s="39" t="n">
        <f aca="false">IF($F217="","",IF(OR($AT217="",$W217=""),0,IF($AT217&lt;=$W217,1,0)))</f>
        <v>0</v>
      </c>
      <c r="Z217" s="39" t="str">
        <f aca="false">IF(OR($AT217="",$O217=""),"",MAX(0,$AT217-$O217))</f>
        <v/>
      </c>
      <c r="AA217" s="39" t="n">
        <f aca="false">IF($F217="","",IF(AND($S217&lt;&gt;"",$L217&lt;&gt;"",$S217&lt;&gt;$L217),1,0))</f>
        <v>0</v>
      </c>
      <c r="AB217" s="39" t="n">
        <f aca="false">IF($F217="","",IF($R217="Cancelada",0,IF(OR($AT217&lt;&gt;"",$R217="Concluída"),1,0)))</f>
        <v>0</v>
      </c>
      <c r="AC217" s="39" t="n">
        <f aca="false">IF($P217="",0,IF($P217&lt;Hoje!$L$1,1,IF(AND($P217=Hoje!$L$1,Hoje!$L$2&gt;Semana!$M$3),1,0)))</f>
        <v>0</v>
      </c>
      <c r="AD217" s="39" t="n">
        <f aca="false">IF($F217="","",IF(COUNTA($I217:$K217)=0,0,1/COUNTA($I217:$K217)))</f>
        <v>0</v>
      </c>
      <c r="AE217" s="39" t="str">
        <f aca="false">IF($AH217=0,"",SUM($AH$4:$AH217))</f>
        <v/>
      </c>
      <c r="AF217" s="39" t="str">
        <f aca="false">IF($AI217=0,"",SUM($AI$4:$AI217))</f>
        <v/>
      </c>
      <c r="AG217" s="50" t="str">
        <f aca="false">IF($F217="","",$I217&amp;IF($J217="",""," · "&amp;$J217)&amp;IF($K217="",""," · "&amp;$K217))</f>
        <v/>
      </c>
      <c r="AH217" s="39" t="n">
        <f aca="false">IF(AND($F217&lt;&gt;"",$O217&lt;&gt;"",$O217&lt;=Hoje!$C$3,$P217&gt;=Hoje!$C$3,$R217&lt;&gt;"Cancelada"),1,0)</f>
        <v>0</v>
      </c>
      <c r="AI217" s="39" t="n">
        <f aca="false">IF(AND($F217&lt;&gt;"",$P217&lt;&gt;"",$P217&lt;Hoje!$C$3,$AB217=0,$R217&lt;&gt;"Cancelada"),1,0)</f>
        <v>0</v>
      </c>
      <c r="AJ217" s="50" t="str">
        <f aca="false">IF($F217="","",$D217&amp;"|"&amp;$E217&amp;"|"&amp;$L217)</f>
        <v>F-818|Pendências de inspeção|37</v>
      </c>
      <c r="AK217" s="39" t="n">
        <f aca="false">IF($AJ217="","",COUNTIF($AJ$4:$AJ217,$AJ217))</f>
        <v>5</v>
      </c>
      <c r="AL217" s="39" t="n">
        <f aca="false">IF($AJ217="","",COUNTIF($AJ$4:$AJ$1004,$AJ217))</f>
        <v>21</v>
      </c>
      <c r="AM217" s="42"/>
      <c r="AN217" s="50" t="str">
        <f aca="false">IF($D217="","",IFERROR(T(VLOOKUP($D217,Listas!$B$5:$H$120,7,0)),""))</f>
        <v/>
      </c>
      <c r="AO217" s="50" t="str">
        <f aca="false">IF(OR($F217="",$L217&lt;&gt;"",$R217="Cancelada",$AT217&lt;&gt;""),"",$AN217&amp;"|"&amp;$D217&amp;"|"&amp;IF($C217="","zzz",$C217)&amp;"|"&amp;TEXT(217,"0000"))</f>
        <v/>
      </c>
      <c r="AP217" s="50" t="str">
        <f aca="false">IF($AO217="","",COUNTIF($AO$5:$AO$1004,"&lt;"&amp;$AO217)-(ROWS($AO$5:$AO$1004)-Hoje!$L$5)+1)</f>
        <v/>
      </c>
      <c r="AQ217" s="50" t="n">
        <f aca="false">IF(AND($F217&lt;&gt;"",$D217=Frota!$C$3),1,0)</f>
        <v>0</v>
      </c>
      <c r="AR217" s="50" t="str">
        <f aca="false">IF($AQ217=0,"",SUM($AQ$4:$AQ217))</f>
        <v/>
      </c>
      <c r="AS217" s="50" t="str">
        <f aca="false">IFERROR(INDEX(Hoje!$K$10:$K$29,MATCH(ROW(),Hoje!$J$10:$J$29,0)),"")</f>
        <v/>
      </c>
      <c r="AT217" s="50" t="str">
        <f aca="false">IF($Q217&lt;&gt;"",$Q217,$AS217)</f>
        <v/>
      </c>
    </row>
    <row r="218" customFormat="false" ht="16.5" hidden="false" customHeight="true" outlineLevel="0" collapsed="false">
      <c r="A218" s="39" t="n">
        <f aca="false">IF($F218="","",ROW())</f>
        <v>218</v>
      </c>
      <c r="B218" s="40" t="str">
        <f aca="false">IF($F218="",IF($D218="","","Falta a atividade"),IF($R218="Cancelada","Cancelada",IF($AB218=1,IF(N($Z218)&gt;0,"Concluída com atraso","Concluída"),IF($R218="Em programação","Em programação",IF($O218="",IF($M218="","Na carteira","Falta a semana"),IF($AC218=1,"VENCIDA",IF($O218&gt;Hoje!$L$1,"Programada",IF($P218&gt;Hoje!$L$1,"Em execução","Fecha hoje"))))))))</f>
        <v>Programada</v>
      </c>
      <c r="C218" s="41" t="s">
        <v>549</v>
      </c>
      <c r="D218" s="42" t="s">
        <v>537</v>
      </c>
      <c r="E218" s="42" t="s">
        <v>495</v>
      </c>
      <c r="F218" s="42" t="s">
        <v>550</v>
      </c>
      <c r="G218" s="43" t="s">
        <v>80</v>
      </c>
      <c r="H218" s="43" t="s">
        <v>100</v>
      </c>
      <c r="I218" s="44"/>
      <c r="J218" s="44"/>
      <c r="K218" s="44"/>
      <c r="L218" s="45" t="n">
        <v>37</v>
      </c>
      <c r="M218" s="46" t="s">
        <v>173</v>
      </c>
      <c r="N218" s="45" t="n">
        <v>4</v>
      </c>
      <c r="O218" s="47" t="n">
        <f aca="false">IF(OR($L218="",$M218=""),"",(DATE(Semana!$J$3,1,4)-WEEKDAY(DATE(Semana!$J$3,1,4),3))+($L218-1)*7+MATCH($M218,Listas!$F$5:$F$11,0)-1)</f>
        <v>46275</v>
      </c>
      <c r="P218" s="47" t="n">
        <f aca="false">IF(OR($F218="",$O218=""),"",$O218+MAX(0,ROUNDUP($AK218*MAX(1,IF($N218="",1,$N218))/MAX(1,$AL218),0)-1))</f>
        <v>46276</v>
      </c>
      <c r="Q218" s="48"/>
      <c r="R218" s="43"/>
      <c r="S218" s="49"/>
      <c r="T218" s="42"/>
      <c r="U218" s="42" t="s">
        <v>500</v>
      </c>
      <c r="V218" s="39" t="str">
        <f aca="false">IF($F218="","",IF(ISNUMBER(SEARCH("(externo)",$I218&amp;$J218&amp;$K218)),"Terceirizada","Interna"))</f>
        <v>Interna</v>
      </c>
      <c r="W218" s="47" t="n">
        <f aca="false">IF($O218="","",IF($S218="",$O218,(DATE(Semana!$J$3,1,4)-WEEKDAY(DATE(Semana!$J$3,1,4),3))+($S218-1)*7+IF($M218="",0,MATCH($M218,Listas!$F$5:$F$11,0)-1)))</f>
        <v>46275</v>
      </c>
      <c r="X218" s="39" t="n">
        <f aca="false">IF($F218="","",IF(OR($AT218="",$O218=""),0,IF($AT218&lt;=$O218,1,0)))</f>
        <v>0</v>
      </c>
      <c r="Y218" s="39" t="n">
        <f aca="false">IF($F218="","",IF(OR($AT218="",$W218=""),0,IF($AT218&lt;=$W218,1,0)))</f>
        <v>0</v>
      </c>
      <c r="Z218" s="39" t="str">
        <f aca="false">IF(OR($AT218="",$O218=""),"",MAX(0,$AT218-$O218))</f>
        <v/>
      </c>
      <c r="AA218" s="39" t="n">
        <f aca="false">IF($F218="","",IF(AND($S218&lt;&gt;"",$L218&lt;&gt;"",$S218&lt;&gt;$L218),1,0))</f>
        <v>0</v>
      </c>
      <c r="AB218" s="39" t="n">
        <f aca="false">IF($F218="","",IF($R218="Cancelada",0,IF(OR($AT218&lt;&gt;"",$R218="Concluída"),1,0)))</f>
        <v>0</v>
      </c>
      <c r="AC218" s="39" t="n">
        <f aca="false">IF($P218="",0,IF($P218&lt;Hoje!$L$1,1,IF(AND($P218=Hoje!$L$1,Hoje!$L$2&gt;Semana!$M$3),1,0)))</f>
        <v>0</v>
      </c>
      <c r="AD218" s="39" t="n">
        <f aca="false">IF($F218="","",IF(COUNTA($I218:$K218)=0,0,1/COUNTA($I218:$K218)))</f>
        <v>0</v>
      </c>
      <c r="AE218" s="39" t="str">
        <f aca="false">IF($AH218=0,"",SUM($AH$4:$AH218))</f>
        <v/>
      </c>
      <c r="AF218" s="39" t="str">
        <f aca="false">IF($AI218=0,"",SUM($AI$4:$AI218))</f>
        <v/>
      </c>
      <c r="AG218" s="50" t="str">
        <f aca="false">IF($F218="","",$I218&amp;IF($J218="",""," · "&amp;$J218)&amp;IF($K218="",""," · "&amp;$K218))</f>
        <v/>
      </c>
      <c r="AH218" s="39" t="n">
        <f aca="false">IF(AND($F218&lt;&gt;"",$O218&lt;&gt;"",$O218&lt;=Hoje!$C$3,$P218&gt;=Hoje!$C$3,$R218&lt;&gt;"Cancelada"),1,0)</f>
        <v>0</v>
      </c>
      <c r="AI218" s="39" t="n">
        <f aca="false">IF(AND($F218&lt;&gt;"",$P218&lt;&gt;"",$P218&lt;Hoje!$C$3,$AB218=0,$R218&lt;&gt;"Cancelada"),1,0)</f>
        <v>0</v>
      </c>
      <c r="AJ218" s="50" t="str">
        <f aca="false">IF($F218="","",$D218&amp;"|"&amp;$E218&amp;"|"&amp;$L218)</f>
        <v>F-818|Pendências de inspeção|37</v>
      </c>
      <c r="AK218" s="39" t="n">
        <f aca="false">IF($AJ218="","",COUNTIF($AJ$4:$AJ218,$AJ218))</f>
        <v>6</v>
      </c>
      <c r="AL218" s="39" t="n">
        <f aca="false">IF($AJ218="","",COUNTIF($AJ$4:$AJ$1004,$AJ218))</f>
        <v>21</v>
      </c>
      <c r="AM218" s="42"/>
      <c r="AN218" s="50" t="str">
        <f aca="false">IF($D218="","",IFERROR(T(VLOOKUP($D218,Listas!$B$5:$H$120,7,0)),""))</f>
        <v/>
      </c>
      <c r="AO218" s="50" t="str">
        <f aca="false">IF(OR($F218="",$L218&lt;&gt;"",$R218="Cancelada",$AT218&lt;&gt;""),"",$AN218&amp;"|"&amp;$D218&amp;"|"&amp;IF($C218="","zzz",$C218)&amp;"|"&amp;TEXT(218,"0000"))</f>
        <v/>
      </c>
      <c r="AP218" s="50" t="str">
        <f aca="false">IF($AO218="","",COUNTIF($AO$5:$AO$1004,"&lt;"&amp;$AO218)-(ROWS($AO$5:$AO$1004)-Hoje!$L$5)+1)</f>
        <v/>
      </c>
      <c r="AQ218" s="50" t="n">
        <f aca="false">IF(AND($F218&lt;&gt;"",$D218=Frota!$C$3),1,0)</f>
        <v>0</v>
      </c>
      <c r="AR218" s="50" t="str">
        <f aca="false">IF($AQ218=0,"",SUM($AQ$4:$AQ218))</f>
        <v/>
      </c>
      <c r="AS218" s="50" t="str">
        <f aca="false">IFERROR(INDEX(Hoje!$K$10:$K$29,MATCH(ROW(),Hoje!$J$10:$J$29,0)),"")</f>
        <v/>
      </c>
      <c r="AT218" s="50" t="str">
        <f aca="false">IF($Q218&lt;&gt;"",$Q218,$AS218)</f>
        <v/>
      </c>
    </row>
    <row r="219" customFormat="false" ht="16.5" hidden="false" customHeight="true" outlineLevel="0" collapsed="false">
      <c r="A219" s="39" t="n">
        <f aca="false">IF($F219="","",ROW())</f>
        <v>219</v>
      </c>
      <c r="B219" s="40" t="str">
        <f aca="false">IF($F219="",IF($D219="","","Falta a atividade"),IF($R219="Cancelada","Cancelada",IF($AB219=1,IF(N($Z219)&gt;0,"Concluída com atraso","Concluída"),IF($R219="Em programação","Em programação",IF($O219="",IF($M219="","Na carteira","Falta a semana"),IF($AC219=1,"VENCIDA",IF($O219&gt;Hoje!$L$1,"Programada",IF($P219&gt;Hoje!$L$1,"Em execução","Fecha hoje"))))))))</f>
        <v>Programada</v>
      </c>
      <c r="C219" s="41" t="s">
        <v>551</v>
      </c>
      <c r="D219" s="42" t="s">
        <v>537</v>
      </c>
      <c r="E219" s="42" t="s">
        <v>495</v>
      </c>
      <c r="F219" s="42" t="s">
        <v>552</v>
      </c>
      <c r="G219" s="43" t="s">
        <v>80</v>
      </c>
      <c r="H219" s="43" t="s">
        <v>100</v>
      </c>
      <c r="I219" s="44"/>
      <c r="J219" s="44"/>
      <c r="K219" s="44"/>
      <c r="L219" s="45" t="n">
        <v>37</v>
      </c>
      <c r="M219" s="46" t="s">
        <v>173</v>
      </c>
      <c r="N219" s="45" t="n">
        <v>4</v>
      </c>
      <c r="O219" s="47" t="n">
        <f aca="false">IF(OR($L219="",$M219=""),"",(DATE(Semana!$J$3,1,4)-WEEKDAY(DATE(Semana!$J$3,1,4),3))+($L219-1)*7+MATCH($M219,Listas!$F$5:$F$11,0)-1)</f>
        <v>46275</v>
      </c>
      <c r="P219" s="47" t="n">
        <f aca="false">IF(OR($F219="",$O219=""),"",$O219+MAX(0,ROUNDUP($AK219*MAX(1,IF($N219="",1,$N219))/MAX(1,$AL219),0)-1))</f>
        <v>46276</v>
      </c>
      <c r="Q219" s="48"/>
      <c r="R219" s="43"/>
      <c r="S219" s="49"/>
      <c r="T219" s="42"/>
      <c r="U219" s="42" t="s">
        <v>500</v>
      </c>
      <c r="V219" s="39" t="str">
        <f aca="false">IF($F219="","",IF(ISNUMBER(SEARCH("(externo)",$I219&amp;$J219&amp;$K219)),"Terceirizada","Interna"))</f>
        <v>Interna</v>
      </c>
      <c r="W219" s="47" t="n">
        <f aca="false">IF($O219="","",IF($S219="",$O219,(DATE(Semana!$J$3,1,4)-WEEKDAY(DATE(Semana!$J$3,1,4),3))+($S219-1)*7+IF($M219="",0,MATCH($M219,Listas!$F$5:$F$11,0)-1)))</f>
        <v>46275</v>
      </c>
      <c r="X219" s="39" t="n">
        <f aca="false">IF($F219="","",IF(OR($AT219="",$O219=""),0,IF($AT219&lt;=$O219,1,0)))</f>
        <v>0</v>
      </c>
      <c r="Y219" s="39" t="n">
        <f aca="false">IF($F219="","",IF(OR($AT219="",$W219=""),0,IF($AT219&lt;=$W219,1,0)))</f>
        <v>0</v>
      </c>
      <c r="Z219" s="39" t="str">
        <f aca="false">IF(OR($AT219="",$O219=""),"",MAX(0,$AT219-$O219))</f>
        <v/>
      </c>
      <c r="AA219" s="39" t="n">
        <f aca="false">IF($F219="","",IF(AND($S219&lt;&gt;"",$L219&lt;&gt;"",$S219&lt;&gt;$L219),1,0))</f>
        <v>0</v>
      </c>
      <c r="AB219" s="39" t="n">
        <f aca="false">IF($F219="","",IF($R219="Cancelada",0,IF(OR($AT219&lt;&gt;"",$R219="Concluída"),1,0)))</f>
        <v>0</v>
      </c>
      <c r="AC219" s="39" t="n">
        <f aca="false">IF($P219="",0,IF($P219&lt;Hoje!$L$1,1,IF(AND($P219=Hoje!$L$1,Hoje!$L$2&gt;Semana!$M$3),1,0)))</f>
        <v>0</v>
      </c>
      <c r="AD219" s="39" t="n">
        <f aca="false">IF($F219="","",IF(COUNTA($I219:$K219)=0,0,1/COUNTA($I219:$K219)))</f>
        <v>0</v>
      </c>
      <c r="AE219" s="39" t="str">
        <f aca="false">IF($AH219=0,"",SUM($AH$4:$AH219))</f>
        <v/>
      </c>
      <c r="AF219" s="39" t="str">
        <f aca="false">IF($AI219=0,"",SUM($AI$4:$AI219))</f>
        <v/>
      </c>
      <c r="AG219" s="50" t="str">
        <f aca="false">IF($F219="","",$I219&amp;IF($J219="",""," · "&amp;$J219)&amp;IF($K219="",""," · "&amp;$K219))</f>
        <v/>
      </c>
      <c r="AH219" s="39" t="n">
        <f aca="false">IF(AND($F219&lt;&gt;"",$O219&lt;&gt;"",$O219&lt;=Hoje!$C$3,$P219&gt;=Hoje!$C$3,$R219&lt;&gt;"Cancelada"),1,0)</f>
        <v>0</v>
      </c>
      <c r="AI219" s="39" t="n">
        <f aca="false">IF(AND($F219&lt;&gt;"",$P219&lt;&gt;"",$P219&lt;Hoje!$C$3,$AB219=0,$R219&lt;&gt;"Cancelada"),1,0)</f>
        <v>0</v>
      </c>
      <c r="AJ219" s="50" t="str">
        <f aca="false">IF($F219="","",$D219&amp;"|"&amp;$E219&amp;"|"&amp;$L219)</f>
        <v>F-818|Pendências de inspeção|37</v>
      </c>
      <c r="AK219" s="39" t="n">
        <f aca="false">IF($AJ219="","",COUNTIF($AJ$4:$AJ219,$AJ219))</f>
        <v>7</v>
      </c>
      <c r="AL219" s="39" t="n">
        <f aca="false">IF($AJ219="","",COUNTIF($AJ$4:$AJ$1004,$AJ219))</f>
        <v>21</v>
      </c>
      <c r="AM219" s="42"/>
      <c r="AN219" s="50" t="str">
        <f aca="false">IF($D219="","",IFERROR(T(VLOOKUP($D219,Listas!$B$5:$H$120,7,0)),""))</f>
        <v/>
      </c>
      <c r="AO219" s="50" t="str">
        <f aca="false">IF(OR($F219="",$L219&lt;&gt;"",$R219="Cancelada",$AT219&lt;&gt;""),"",$AN219&amp;"|"&amp;$D219&amp;"|"&amp;IF($C219="","zzz",$C219)&amp;"|"&amp;TEXT(219,"0000"))</f>
        <v/>
      </c>
      <c r="AP219" s="50" t="str">
        <f aca="false">IF($AO219="","",COUNTIF($AO$5:$AO$1004,"&lt;"&amp;$AO219)-(ROWS($AO$5:$AO$1004)-Hoje!$L$5)+1)</f>
        <v/>
      </c>
      <c r="AQ219" s="50" t="n">
        <f aca="false">IF(AND($F219&lt;&gt;"",$D219=Frota!$C$3),1,0)</f>
        <v>0</v>
      </c>
      <c r="AR219" s="50" t="str">
        <f aca="false">IF($AQ219=0,"",SUM($AQ$4:$AQ219))</f>
        <v/>
      </c>
      <c r="AS219" s="50" t="str">
        <f aca="false">IFERROR(INDEX(Hoje!$K$10:$K$29,MATCH(ROW(),Hoje!$J$10:$J$29,0)),"")</f>
        <v/>
      </c>
      <c r="AT219" s="50" t="str">
        <f aca="false">IF($Q219&lt;&gt;"",$Q219,$AS219)</f>
        <v/>
      </c>
    </row>
    <row r="220" customFormat="false" ht="16.5" hidden="false" customHeight="true" outlineLevel="0" collapsed="false">
      <c r="A220" s="39" t="n">
        <f aca="false">IF($F220="","",ROW())</f>
        <v>220</v>
      </c>
      <c r="B220" s="40" t="str">
        <f aca="false">IF($F220="",IF($D220="","","Falta a atividade"),IF($R220="Cancelada","Cancelada",IF($AB220=1,IF(N($Z220)&gt;0,"Concluída com atraso","Concluída"),IF($R220="Em programação","Em programação",IF($O220="",IF($M220="","Na carteira","Falta a semana"),IF($AC220=1,"VENCIDA",IF($O220&gt;Hoje!$L$1,"Programada",IF($P220&gt;Hoje!$L$1,"Em execução","Fecha hoje"))))))))</f>
        <v>Programada</v>
      </c>
      <c r="C220" s="41" t="s">
        <v>553</v>
      </c>
      <c r="D220" s="42" t="s">
        <v>537</v>
      </c>
      <c r="E220" s="42" t="s">
        <v>495</v>
      </c>
      <c r="F220" s="42" t="s">
        <v>554</v>
      </c>
      <c r="G220" s="43" t="s">
        <v>80</v>
      </c>
      <c r="H220" s="43" t="s">
        <v>100</v>
      </c>
      <c r="I220" s="44"/>
      <c r="J220" s="44"/>
      <c r="K220" s="44"/>
      <c r="L220" s="45" t="n">
        <v>37</v>
      </c>
      <c r="M220" s="46" t="s">
        <v>173</v>
      </c>
      <c r="N220" s="45" t="n">
        <v>4</v>
      </c>
      <c r="O220" s="47" t="n">
        <f aca="false">IF(OR($L220="",$M220=""),"",(DATE(Semana!$J$3,1,4)-WEEKDAY(DATE(Semana!$J$3,1,4),3))+($L220-1)*7+MATCH($M220,Listas!$F$5:$F$11,0)-1)</f>
        <v>46275</v>
      </c>
      <c r="P220" s="47" t="n">
        <f aca="false">IF(OR($F220="",$O220=""),"",$O220+MAX(0,ROUNDUP($AK220*MAX(1,IF($N220="",1,$N220))/MAX(1,$AL220),0)-1))</f>
        <v>46276</v>
      </c>
      <c r="Q220" s="48"/>
      <c r="R220" s="43"/>
      <c r="S220" s="49"/>
      <c r="T220" s="42"/>
      <c r="U220" s="42" t="s">
        <v>500</v>
      </c>
      <c r="V220" s="39" t="str">
        <f aca="false">IF($F220="","",IF(ISNUMBER(SEARCH("(externo)",$I220&amp;$J220&amp;$K220)),"Terceirizada","Interna"))</f>
        <v>Interna</v>
      </c>
      <c r="W220" s="47" t="n">
        <f aca="false">IF($O220="","",IF($S220="",$O220,(DATE(Semana!$J$3,1,4)-WEEKDAY(DATE(Semana!$J$3,1,4),3))+($S220-1)*7+IF($M220="",0,MATCH($M220,Listas!$F$5:$F$11,0)-1)))</f>
        <v>46275</v>
      </c>
      <c r="X220" s="39" t="n">
        <f aca="false">IF($F220="","",IF(OR($AT220="",$O220=""),0,IF($AT220&lt;=$O220,1,0)))</f>
        <v>0</v>
      </c>
      <c r="Y220" s="39" t="n">
        <f aca="false">IF($F220="","",IF(OR($AT220="",$W220=""),0,IF($AT220&lt;=$W220,1,0)))</f>
        <v>0</v>
      </c>
      <c r="Z220" s="39" t="str">
        <f aca="false">IF(OR($AT220="",$O220=""),"",MAX(0,$AT220-$O220))</f>
        <v/>
      </c>
      <c r="AA220" s="39" t="n">
        <f aca="false">IF($F220="","",IF(AND($S220&lt;&gt;"",$L220&lt;&gt;"",$S220&lt;&gt;$L220),1,0))</f>
        <v>0</v>
      </c>
      <c r="AB220" s="39" t="n">
        <f aca="false">IF($F220="","",IF($R220="Cancelada",0,IF(OR($AT220&lt;&gt;"",$R220="Concluída"),1,0)))</f>
        <v>0</v>
      </c>
      <c r="AC220" s="39" t="n">
        <f aca="false">IF($P220="",0,IF($P220&lt;Hoje!$L$1,1,IF(AND($P220=Hoje!$L$1,Hoje!$L$2&gt;Semana!$M$3),1,0)))</f>
        <v>0</v>
      </c>
      <c r="AD220" s="39" t="n">
        <f aca="false">IF($F220="","",IF(COUNTA($I220:$K220)=0,0,1/COUNTA($I220:$K220)))</f>
        <v>0</v>
      </c>
      <c r="AE220" s="39" t="str">
        <f aca="false">IF($AH220=0,"",SUM($AH$4:$AH220))</f>
        <v/>
      </c>
      <c r="AF220" s="39" t="str">
        <f aca="false">IF($AI220=0,"",SUM($AI$4:$AI220))</f>
        <v/>
      </c>
      <c r="AG220" s="50" t="str">
        <f aca="false">IF($F220="","",$I220&amp;IF($J220="",""," · "&amp;$J220)&amp;IF($K220="",""," · "&amp;$K220))</f>
        <v/>
      </c>
      <c r="AH220" s="39" t="n">
        <f aca="false">IF(AND($F220&lt;&gt;"",$O220&lt;&gt;"",$O220&lt;=Hoje!$C$3,$P220&gt;=Hoje!$C$3,$R220&lt;&gt;"Cancelada"),1,0)</f>
        <v>0</v>
      </c>
      <c r="AI220" s="39" t="n">
        <f aca="false">IF(AND($F220&lt;&gt;"",$P220&lt;&gt;"",$P220&lt;Hoje!$C$3,$AB220=0,$R220&lt;&gt;"Cancelada"),1,0)</f>
        <v>0</v>
      </c>
      <c r="AJ220" s="50" t="str">
        <f aca="false">IF($F220="","",$D220&amp;"|"&amp;$E220&amp;"|"&amp;$L220)</f>
        <v>F-818|Pendências de inspeção|37</v>
      </c>
      <c r="AK220" s="39" t="n">
        <f aca="false">IF($AJ220="","",COUNTIF($AJ$4:$AJ220,$AJ220))</f>
        <v>8</v>
      </c>
      <c r="AL220" s="39" t="n">
        <f aca="false">IF($AJ220="","",COUNTIF($AJ$4:$AJ$1004,$AJ220))</f>
        <v>21</v>
      </c>
      <c r="AM220" s="42"/>
      <c r="AN220" s="50" t="str">
        <f aca="false">IF($D220="","",IFERROR(T(VLOOKUP($D220,Listas!$B$5:$H$120,7,0)),""))</f>
        <v/>
      </c>
      <c r="AO220" s="50" t="str">
        <f aca="false">IF(OR($F220="",$L220&lt;&gt;"",$R220="Cancelada",$AT220&lt;&gt;""),"",$AN220&amp;"|"&amp;$D220&amp;"|"&amp;IF($C220="","zzz",$C220)&amp;"|"&amp;TEXT(220,"0000"))</f>
        <v/>
      </c>
      <c r="AP220" s="50" t="str">
        <f aca="false">IF($AO220="","",COUNTIF($AO$5:$AO$1004,"&lt;"&amp;$AO220)-(ROWS($AO$5:$AO$1004)-Hoje!$L$5)+1)</f>
        <v/>
      </c>
      <c r="AQ220" s="50" t="n">
        <f aca="false">IF(AND($F220&lt;&gt;"",$D220=Frota!$C$3),1,0)</f>
        <v>0</v>
      </c>
      <c r="AR220" s="50" t="str">
        <f aca="false">IF($AQ220=0,"",SUM($AQ$4:$AQ220))</f>
        <v/>
      </c>
      <c r="AS220" s="50" t="str">
        <f aca="false">IFERROR(INDEX(Hoje!$K$10:$K$29,MATCH(ROW(),Hoje!$J$10:$J$29,0)),"")</f>
        <v/>
      </c>
      <c r="AT220" s="50" t="str">
        <f aca="false">IF($Q220&lt;&gt;"",$Q220,$AS220)</f>
        <v/>
      </c>
    </row>
    <row r="221" customFormat="false" ht="16.5" hidden="false" customHeight="true" outlineLevel="0" collapsed="false">
      <c r="A221" s="39" t="n">
        <f aca="false">IF($F221="","",ROW())</f>
        <v>221</v>
      </c>
      <c r="B221" s="40" t="str">
        <f aca="false">IF($F221="",IF($D221="","","Falta a atividade"),IF($R221="Cancelada","Cancelada",IF($AB221=1,IF(N($Z221)&gt;0,"Concluída com atraso","Concluída"),IF($R221="Em programação","Em programação",IF($O221="",IF($M221="","Na carteira","Falta a semana"),IF($AC221=1,"VENCIDA",IF($O221&gt;Hoje!$L$1,"Programada",IF($P221&gt;Hoje!$L$1,"Em execução","Fecha hoje"))))))))</f>
        <v>Programada</v>
      </c>
      <c r="C221" s="41" t="s">
        <v>555</v>
      </c>
      <c r="D221" s="42" t="s">
        <v>537</v>
      </c>
      <c r="E221" s="42" t="s">
        <v>495</v>
      </c>
      <c r="F221" s="42" t="s">
        <v>556</v>
      </c>
      <c r="G221" s="43" t="s">
        <v>80</v>
      </c>
      <c r="H221" s="43" t="s">
        <v>100</v>
      </c>
      <c r="I221" s="44"/>
      <c r="J221" s="44"/>
      <c r="K221" s="44"/>
      <c r="L221" s="45" t="n">
        <v>37</v>
      </c>
      <c r="M221" s="46" t="s">
        <v>173</v>
      </c>
      <c r="N221" s="45" t="n">
        <v>4</v>
      </c>
      <c r="O221" s="47" t="n">
        <f aca="false">IF(OR($L221="",$M221=""),"",(DATE(Semana!$J$3,1,4)-WEEKDAY(DATE(Semana!$J$3,1,4),3))+($L221-1)*7+MATCH($M221,Listas!$F$5:$F$11,0)-1)</f>
        <v>46275</v>
      </c>
      <c r="P221" s="47" t="n">
        <f aca="false">IF(OR($F221="",$O221=""),"",$O221+MAX(0,ROUNDUP($AK221*MAX(1,IF($N221="",1,$N221))/MAX(1,$AL221),0)-1))</f>
        <v>46276</v>
      </c>
      <c r="Q221" s="48"/>
      <c r="R221" s="43"/>
      <c r="S221" s="49"/>
      <c r="T221" s="42"/>
      <c r="U221" s="42" t="s">
        <v>500</v>
      </c>
      <c r="V221" s="39" t="str">
        <f aca="false">IF($F221="","",IF(ISNUMBER(SEARCH("(externo)",$I221&amp;$J221&amp;$K221)),"Terceirizada","Interna"))</f>
        <v>Interna</v>
      </c>
      <c r="W221" s="47" t="n">
        <f aca="false">IF($O221="","",IF($S221="",$O221,(DATE(Semana!$J$3,1,4)-WEEKDAY(DATE(Semana!$J$3,1,4),3))+($S221-1)*7+IF($M221="",0,MATCH($M221,Listas!$F$5:$F$11,0)-1)))</f>
        <v>46275</v>
      </c>
      <c r="X221" s="39" t="n">
        <f aca="false">IF($F221="","",IF(OR($AT221="",$O221=""),0,IF($AT221&lt;=$O221,1,0)))</f>
        <v>0</v>
      </c>
      <c r="Y221" s="39" t="n">
        <f aca="false">IF($F221="","",IF(OR($AT221="",$W221=""),0,IF($AT221&lt;=$W221,1,0)))</f>
        <v>0</v>
      </c>
      <c r="Z221" s="39" t="str">
        <f aca="false">IF(OR($AT221="",$O221=""),"",MAX(0,$AT221-$O221))</f>
        <v/>
      </c>
      <c r="AA221" s="39" t="n">
        <f aca="false">IF($F221="","",IF(AND($S221&lt;&gt;"",$L221&lt;&gt;"",$S221&lt;&gt;$L221),1,0))</f>
        <v>0</v>
      </c>
      <c r="AB221" s="39" t="n">
        <f aca="false">IF($F221="","",IF($R221="Cancelada",0,IF(OR($AT221&lt;&gt;"",$R221="Concluída"),1,0)))</f>
        <v>0</v>
      </c>
      <c r="AC221" s="39" t="n">
        <f aca="false">IF($P221="",0,IF($P221&lt;Hoje!$L$1,1,IF(AND($P221=Hoje!$L$1,Hoje!$L$2&gt;Semana!$M$3),1,0)))</f>
        <v>0</v>
      </c>
      <c r="AD221" s="39" t="n">
        <f aca="false">IF($F221="","",IF(COUNTA($I221:$K221)=0,0,1/COUNTA($I221:$K221)))</f>
        <v>0</v>
      </c>
      <c r="AE221" s="39" t="str">
        <f aca="false">IF($AH221=0,"",SUM($AH$4:$AH221))</f>
        <v/>
      </c>
      <c r="AF221" s="39" t="str">
        <f aca="false">IF($AI221=0,"",SUM($AI$4:$AI221))</f>
        <v/>
      </c>
      <c r="AG221" s="50" t="str">
        <f aca="false">IF($F221="","",$I221&amp;IF($J221="",""," · "&amp;$J221)&amp;IF($K221="",""," · "&amp;$K221))</f>
        <v/>
      </c>
      <c r="AH221" s="39" t="n">
        <f aca="false">IF(AND($F221&lt;&gt;"",$O221&lt;&gt;"",$O221&lt;=Hoje!$C$3,$P221&gt;=Hoje!$C$3,$R221&lt;&gt;"Cancelada"),1,0)</f>
        <v>0</v>
      </c>
      <c r="AI221" s="39" t="n">
        <f aca="false">IF(AND($F221&lt;&gt;"",$P221&lt;&gt;"",$P221&lt;Hoje!$C$3,$AB221=0,$R221&lt;&gt;"Cancelada"),1,0)</f>
        <v>0</v>
      </c>
      <c r="AJ221" s="50" t="str">
        <f aca="false">IF($F221="","",$D221&amp;"|"&amp;$E221&amp;"|"&amp;$L221)</f>
        <v>F-818|Pendências de inspeção|37</v>
      </c>
      <c r="AK221" s="39" t="n">
        <f aca="false">IF($AJ221="","",COUNTIF($AJ$4:$AJ221,$AJ221))</f>
        <v>9</v>
      </c>
      <c r="AL221" s="39" t="n">
        <f aca="false">IF($AJ221="","",COUNTIF($AJ$4:$AJ$1004,$AJ221))</f>
        <v>21</v>
      </c>
      <c r="AM221" s="42"/>
      <c r="AN221" s="50" t="str">
        <f aca="false">IF($D221="","",IFERROR(T(VLOOKUP($D221,Listas!$B$5:$H$120,7,0)),""))</f>
        <v/>
      </c>
      <c r="AO221" s="50" t="str">
        <f aca="false">IF(OR($F221="",$L221&lt;&gt;"",$R221="Cancelada",$AT221&lt;&gt;""),"",$AN221&amp;"|"&amp;$D221&amp;"|"&amp;IF($C221="","zzz",$C221)&amp;"|"&amp;TEXT(221,"0000"))</f>
        <v/>
      </c>
      <c r="AP221" s="50" t="str">
        <f aca="false">IF($AO221="","",COUNTIF($AO$5:$AO$1004,"&lt;"&amp;$AO221)-(ROWS($AO$5:$AO$1004)-Hoje!$L$5)+1)</f>
        <v/>
      </c>
      <c r="AQ221" s="50" t="n">
        <f aca="false">IF(AND($F221&lt;&gt;"",$D221=Frota!$C$3),1,0)</f>
        <v>0</v>
      </c>
      <c r="AR221" s="50" t="str">
        <f aca="false">IF($AQ221=0,"",SUM($AQ$4:$AQ221))</f>
        <v/>
      </c>
      <c r="AS221" s="50" t="str">
        <f aca="false">IFERROR(INDEX(Hoje!$K$10:$K$29,MATCH(ROW(),Hoje!$J$10:$J$29,0)),"")</f>
        <v/>
      </c>
      <c r="AT221" s="50" t="str">
        <f aca="false">IF($Q221&lt;&gt;"",$Q221,$AS221)</f>
        <v/>
      </c>
    </row>
    <row r="222" customFormat="false" ht="16.5" hidden="false" customHeight="true" outlineLevel="0" collapsed="false">
      <c r="A222" s="39" t="n">
        <f aca="false">IF($F222="","",ROW())</f>
        <v>222</v>
      </c>
      <c r="B222" s="40" t="str">
        <f aca="false">IF($F222="",IF($D222="","","Falta a atividade"),IF($R222="Cancelada","Cancelada",IF($AB222=1,IF(N($Z222)&gt;0,"Concluída com atraso","Concluída"),IF($R222="Em programação","Em programação",IF($O222="",IF($M222="","Na carteira","Falta a semana"),IF($AC222=1,"VENCIDA",IF($O222&gt;Hoje!$L$1,"Programada",IF($P222&gt;Hoje!$L$1,"Em execução","Fecha hoje"))))))))</f>
        <v>Programada</v>
      </c>
      <c r="C222" s="41" t="s">
        <v>557</v>
      </c>
      <c r="D222" s="42" t="s">
        <v>537</v>
      </c>
      <c r="E222" s="42" t="s">
        <v>495</v>
      </c>
      <c r="F222" s="42" t="s">
        <v>558</v>
      </c>
      <c r="G222" s="43" t="s">
        <v>80</v>
      </c>
      <c r="H222" s="43" t="s">
        <v>100</v>
      </c>
      <c r="I222" s="44"/>
      <c r="J222" s="44"/>
      <c r="K222" s="44"/>
      <c r="L222" s="45" t="n">
        <v>37</v>
      </c>
      <c r="M222" s="46" t="s">
        <v>173</v>
      </c>
      <c r="N222" s="45" t="n">
        <v>4</v>
      </c>
      <c r="O222" s="47" t="n">
        <f aca="false">IF(OR($L222="",$M222=""),"",(DATE(Semana!$J$3,1,4)-WEEKDAY(DATE(Semana!$J$3,1,4),3))+($L222-1)*7+MATCH($M222,Listas!$F$5:$F$11,0)-1)</f>
        <v>46275</v>
      </c>
      <c r="P222" s="47" t="n">
        <f aca="false">IF(OR($F222="",$O222=""),"",$O222+MAX(0,ROUNDUP($AK222*MAX(1,IF($N222="",1,$N222))/MAX(1,$AL222),0)-1))</f>
        <v>46276</v>
      </c>
      <c r="Q222" s="48"/>
      <c r="R222" s="43"/>
      <c r="S222" s="49"/>
      <c r="T222" s="42"/>
      <c r="U222" s="42" t="s">
        <v>500</v>
      </c>
      <c r="V222" s="39" t="str">
        <f aca="false">IF($F222="","",IF(ISNUMBER(SEARCH("(externo)",$I222&amp;$J222&amp;$K222)),"Terceirizada","Interna"))</f>
        <v>Interna</v>
      </c>
      <c r="W222" s="47" t="n">
        <f aca="false">IF($O222="","",IF($S222="",$O222,(DATE(Semana!$J$3,1,4)-WEEKDAY(DATE(Semana!$J$3,1,4),3))+($S222-1)*7+IF($M222="",0,MATCH($M222,Listas!$F$5:$F$11,0)-1)))</f>
        <v>46275</v>
      </c>
      <c r="X222" s="39" t="n">
        <f aca="false">IF($F222="","",IF(OR($AT222="",$O222=""),0,IF($AT222&lt;=$O222,1,0)))</f>
        <v>0</v>
      </c>
      <c r="Y222" s="39" t="n">
        <f aca="false">IF($F222="","",IF(OR($AT222="",$W222=""),0,IF($AT222&lt;=$W222,1,0)))</f>
        <v>0</v>
      </c>
      <c r="Z222" s="39" t="str">
        <f aca="false">IF(OR($AT222="",$O222=""),"",MAX(0,$AT222-$O222))</f>
        <v/>
      </c>
      <c r="AA222" s="39" t="n">
        <f aca="false">IF($F222="","",IF(AND($S222&lt;&gt;"",$L222&lt;&gt;"",$S222&lt;&gt;$L222),1,0))</f>
        <v>0</v>
      </c>
      <c r="AB222" s="39" t="n">
        <f aca="false">IF($F222="","",IF($R222="Cancelada",0,IF(OR($AT222&lt;&gt;"",$R222="Concluída"),1,0)))</f>
        <v>0</v>
      </c>
      <c r="AC222" s="39" t="n">
        <f aca="false">IF($P222="",0,IF($P222&lt;Hoje!$L$1,1,IF(AND($P222=Hoje!$L$1,Hoje!$L$2&gt;Semana!$M$3),1,0)))</f>
        <v>0</v>
      </c>
      <c r="AD222" s="39" t="n">
        <f aca="false">IF($F222="","",IF(COUNTA($I222:$K222)=0,0,1/COUNTA($I222:$K222)))</f>
        <v>0</v>
      </c>
      <c r="AE222" s="39" t="str">
        <f aca="false">IF($AH222=0,"",SUM($AH$4:$AH222))</f>
        <v/>
      </c>
      <c r="AF222" s="39" t="str">
        <f aca="false">IF($AI222=0,"",SUM($AI$4:$AI222))</f>
        <v/>
      </c>
      <c r="AG222" s="50" t="str">
        <f aca="false">IF($F222="","",$I222&amp;IF($J222="",""," · "&amp;$J222)&amp;IF($K222="",""," · "&amp;$K222))</f>
        <v/>
      </c>
      <c r="AH222" s="39" t="n">
        <f aca="false">IF(AND($F222&lt;&gt;"",$O222&lt;&gt;"",$O222&lt;=Hoje!$C$3,$P222&gt;=Hoje!$C$3,$R222&lt;&gt;"Cancelada"),1,0)</f>
        <v>0</v>
      </c>
      <c r="AI222" s="39" t="n">
        <f aca="false">IF(AND($F222&lt;&gt;"",$P222&lt;&gt;"",$P222&lt;Hoje!$C$3,$AB222=0,$R222&lt;&gt;"Cancelada"),1,0)</f>
        <v>0</v>
      </c>
      <c r="AJ222" s="50" t="str">
        <f aca="false">IF($F222="","",$D222&amp;"|"&amp;$E222&amp;"|"&amp;$L222)</f>
        <v>F-818|Pendências de inspeção|37</v>
      </c>
      <c r="AK222" s="39" t="n">
        <f aca="false">IF($AJ222="","",COUNTIF($AJ$4:$AJ222,$AJ222))</f>
        <v>10</v>
      </c>
      <c r="AL222" s="39" t="n">
        <f aca="false">IF($AJ222="","",COUNTIF($AJ$4:$AJ$1004,$AJ222))</f>
        <v>21</v>
      </c>
      <c r="AM222" s="42"/>
      <c r="AN222" s="50" t="str">
        <f aca="false">IF($D222="","",IFERROR(T(VLOOKUP($D222,Listas!$B$5:$H$120,7,0)),""))</f>
        <v/>
      </c>
      <c r="AO222" s="50" t="str">
        <f aca="false">IF(OR($F222="",$L222&lt;&gt;"",$R222="Cancelada",$AT222&lt;&gt;""),"",$AN222&amp;"|"&amp;$D222&amp;"|"&amp;IF($C222="","zzz",$C222)&amp;"|"&amp;TEXT(222,"0000"))</f>
        <v/>
      </c>
      <c r="AP222" s="50" t="str">
        <f aca="false">IF($AO222="","",COUNTIF($AO$5:$AO$1004,"&lt;"&amp;$AO222)-(ROWS($AO$5:$AO$1004)-Hoje!$L$5)+1)</f>
        <v/>
      </c>
      <c r="AQ222" s="50" t="n">
        <f aca="false">IF(AND($F222&lt;&gt;"",$D222=Frota!$C$3),1,0)</f>
        <v>0</v>
      </c>
      <c r="AR222" s="50" t="str">
        <f aca="false">IF($AQ222=0,"",SUM($AQ$4:$AQ222))</f>
        <v/>
      </c>
      <c r="AS222" s="50" t="str">
        <f aca="false">IFERROR(INDEX(Hoje!$K$10:$K$29,MATCH(ROW(),Hoje!$J$10:$J$29,0)),"")</f>
        <v/>
      </c>
      <c r="AT222" s="50" t="str">
        <f aca="false">IF($Q222&lt;&gt;"",$Q222,$AS222)</f>
        <v/>
      </c>
    </row>
    <row r="223" customFormat="false" ht="16.5" hidden="false" customHeight="true" outlineLevel="0" collapsed="false">
      <c r="A223" s="39" t="n">
        <f aca="false">IF($F223="","",ROW())</f>
        <v>223</v>
      </c>
      <c r="B223" s="40" t="str">
        <f aca="false">IF($F223="",IF($D223="","","Falta a atividade"),IF($R223="Cancelada","Cancelada",IF($AB223=1,IF(N($Z223)&gt;0,"Concluída com atraso","Concluída"),IF($R223="Em programação","Em programação",IF($O223="",IF($M223="","Na carteira","Falta a semana"),IF($AC223=1,"VENCIDA",IF($O223&gt;Hoje!$L$1,"Programada",IF($P223&gt;Hoje!$L$1,"Em execução","Fecha hoje"))))))))</f>
        <v>Programada</v>
      </c>
      <c r="C223" s="41" t="s">
        <v>559</v>
      </c>
      <c r="D223" s="42" t="s">
        <v>537</v>
      </c>
      <c r="E223" s="42" t="s">
        <v>495</v>
      </c>
      <c r="F223" s="42" t="s">
        <v>560</v>
      </c>
      <c r="G223" s="43" t="s">
        <v>80</v>
      </c>
      <c r="H223" s="43" t="s">
        <v>100</v>
      </c>
      <c r="I223" s="44"/>
      <c r="J223" s="44"/>
      <c r="K223" s="44"/>
      <c r="L223" s="45" t="n">
        <v>37</v>
      </c>
      <c r="M223" s="46" t="s">
        <v>173</v>
      </c>
      <c r="N223" s="45" t="n">
        <v>4</v>
      </c>
      <c r="O223" s="47" t="n">
        <f aca="false">IF(OR($L223="",$M223=""),"",(DATE(Semana!$J$3,1,4)-WEEKDAY(DATE(Semana!$J$3,1,4),3))+($L223-1)*7+MATCH($M223,Listas!$F$5:$F$11,0)-1)</f>
        <v>46275</v>
      </c>
      <c r="P223" s="47" t="n">
        <f aca="false">IF(OR($F223="",$O223=""),"",$O223+MAX(0,ROUNDUP($AK223*MAX(1,IF($N223="",1,$N223))/MAX(1,$AL223),0)-1))</f>
        <v>46277</v>
      </c>
      <c r="Q223" s="48"/>
      <c r="R223" s="43"/>
      <c r="S223" s="49"/>
      <c r="T223" s="42"/>
      <c r="U223" s="42" t="s">
        <v>500</v>
      </c>
      <c r="V223" s="39" t="str">
        <f aca="false">IF($F223="","",IF(ISNUMBER(SEARCH("(externo)",$I223&amp;$J223&amp;$K223)),"Terceirizada","Interna"))</f>
        <v>Interna</v>
      </c>
      <c r="W223" s="47" t="n">
        <f aca="false">IF($O223="","",IF($S223="",$O223,(DATE(Semana!$J$3,1,4)-WEEKDAY(DATE(Semana!$J$3,1,4),3))+($S223-1)*7+IF($M223="",0,MATCH($M223,Listas!$F$5:$F$11,0)-1)))</f>
        <v>46275</v>
      </c>
      <c r="X223" s="39" t="n">
        <f aca="false">IF($F223="","",IF(OR($AT223="",$O223=""),0,IF($AT223&lt;=$O223,1,0)))</f>
        <v>0</v>
      </c>
      <c r="Y223" s="39" t="n">
        <f aca="false">IF($F223="","",IF(OR($AT223="",$W223=""),0,IF($AT223&lt;=$W223,1,0)))</f>
        <v>0</v>
      </c>
      <c r="Z223" s="39" t="str">
        <f aca="false">IF(OR($AT223="",$O223=""),"",MAX(0,$AT223-$O223))</f>
        <v/>
      </c>
      <c r="AA223" s="39" t="n">
        <f aca="false">IF($F223="","",IF(AND($S223&lt;&gt;"",$L223&lt;&gt;"",$S223&lt;&gt;$L223),1,0))</f>
        <v>0</v>
      </c>
      <c r="AB223" s="39" t="n">
        <f aca="false">IF($F223="","",IF($R223="Cancelada",0,IF(OR($AT223&lt;&gt;"",$R223="Concluída"),1,0)))</f>
        <v>0</v>
      </c>
      <c r="AC223" s="39" t="n">
        <f aca="false">IF($P223="",0,IF($P223&lt;Hoje!$L$1,1,IF(AND($P223=Hoje!$L$1,Hoje!$L$2&gt;Semana!$M$3),1,0)))</f>
        <v>0</v>
      </c>
      <c r="AD223" s="39" t="n">
        <f aca="false">IF($F223="","",IF(COUNTA($I223:$K223)=0,0,1/COUNTA($I223:$K223)))</f>
        <v>0</v>
      </c>
      <c r="AE223" s="39" t="str">
        <f aca="false">IF($AH223=0,"",SUM($AH$4:$AH223))</f>
        <v/>
      </c>
      <c r="AF223" s="39" t="str">
        <f aca="false">IF($AI223=0,"",SUM($AI$4:$AI223))</f>
        <v/>
      </c>
      <c r="AG223" s="50" t="str">
        <f aca="false">IF($F223="","",$I223&amp;IF($J223="",""," · "&amp;$J223)&amp;IF($K223="",""," · "&amp;$K223))</f>
        <v/>
      </c>
      <c r="AH223" s="39" t="n">
        <f aca="false">IF(AND($F223&lt;&gt;"",$O223&lt;&gt;"",$O223&lt;=Hoje!$C$3,$P223&gt;=Hoje!$C$3,$R223&lt;&gt;"Cancelada"),1,0)</f>
        <v>0</v>
      </c>
      <c r="AI223" s="39" t="n">
        <f aca="false">IF(AND($F223&lt;&gt;"",$P223&lt;&gt;"",$P223&lt;Hoje!$C$3,$AB223=0,$R223&lt;&gt;"Cancelada"),1,0)</f>
        <v>0</v>
      </c>
      <c r="AJ223" s="50" t="str">
        <f aca="false">IF($F223="","",$D223&amp;"|"&amp;$E223&amp;"|"&amp;$L223)</f>
        <v>F-818|Pendências de inspeção|37</v>
      </c>
      <c r="AK223" s="39" t="n">
        <f aca="false">IF($AJ223="","",COUNTIF($AJ$4:$AJ223,$AJ223))</f>
        <v>11</v>
      </c>
      <c r="AL223" s="39" t="n">
        <f aca="false">IF($AJ223="","",COUNTIF($AJ$4:$AJ$1004,$AJ223))</f>
        <v>21</v>
      </c>
      <c r="AM223" s="42"/>
      <c r="AN223" s="50" t="str">
        <f aca="false">IF($D223="","",IFERROR(T(VLOOKUP($D223,Listas!$B$5:$H$120,7,0)),""))</f>
        <v/>
      </c>
      <c r="AO223" s="50" t="str">
        <f aca="false">IF(OR($F223="",$L223&lt;&gt;"",$R223="Cancelada",$AT223&lt;&gt;""),"",$AN223&amp;"|"&amp;$D223&amp;"|"&amp;IF($C223="","zzz",$C223)&amp;"|"&amp;TEXT(223,"0000"))</f>
        <v/>
      </c>
      <c r="AP223" s="50" t="str">
        <f aca="false">IF($AO223="","",COUNTIF($AO$5:$AO$1004,"&lt;"&amp;$AO223)-(ROWS($AO$5:$AO$1004)-Hoje!$L$5)+1)</f>
        <v/>
      </c>
      <c r="AQ223" s="50" t="n">
        <f aca="false">IF(AND($F223&lt;&gt;"",$D223=Frota!$C$3),1,0)</f>
        <v>0</v>
      </c>
      <c r="AR223" s="50" t="str">
        <f aca="false">IF($AQ223=0,"",SUM($AQ$4:$AQ223))</f>
        <v/>
      </c>
      <c r="AS223" s="50" t="str">
        <f aca="false">IFERROR(INDEX(Hoje!$K$10:$K$29,MATCH(ROW(),Hoje!$J$10:$J$29,0)),"")</f>
        <v/>
      </c>
      <c r="AT223" s="50" t="str">
        <f aca="false">IF($Q223&lt;&gt;"",$Q223,$AS223)</f>
        <v/>
      </c>
    </row>
    <row r="224" customFormat="false" ht="16.5" hidden="false" customHeight="true" outlineLevel="0" collapsed="false">
      <c r="A224" s="39" t="n">
        <f aca="false">IF($F224="","",ROW())</f>
        <v>224</v>
      </c>
      <c r="B224" s="40" t="str">
        <f aca="false">IF($F224="",IF($D224="","","Falta a atividade"),IF($R224="Cancelada","Cancelada",IF($AB224=1,IF(N($Z224)&gt;0,"Concluída com atraso","Concluída"),IF($R224="Em programação","Em programação",IF($O224="",IF($M224="","Na carteira","Falta a semana"),IF($AC224=1,"VENCIDA",IF($O224&gt;Hoje!$L$1,"Programada",IF($P224&gt;Hoje!$L$1,"Em execução","Fecha hoje"))))))))</f>
        <v>Programada</v>
      </c>
      <c r="C224" s="41" t="s">
        <v>561</v>
      </c>
      <c r="D224" s="42" t="s">
        <v>537</v>
      </c>
      <c r="E224" s="42" t="s">
        <v>495</v>
      </c>
      <c r="F224" s="42" t="s">
        <v>311</v>
      </c>
      <c r="G224" s="43" t="s">
        <v>80</v>
      </c>
      <c r="H224" s="43" t="s">
        <v>100</v>
      </c>
      <c r="I224" s="44"/>
      <c r="J224" s="44"/>
      <c r="K224" s="44"/>
      <c r="L224" s="45" t="n">
        <v>37</v>
      </c>
      <c r="M224" s="46" t="s">
        <v>173</v>
      </c>
      <c r="N224" s="45" t="n">
        <v>4</v>
      </c>
      <c r="O224" s="47" t="n">
        <f aca="false">IF(OR($L224="",$M224=""),"",(DATE(Semana!$J$3,1,4)-WEEKDAY(DATE(Semana!$J$3,1,4),3))+($L224-1)*7+MATCH($M224,Listas!$F$5:$F$11,0)-1)</f>
        <v>46275</v>
      </c>
      <c r="P224" s="47" t="n">
        <f aca="false">IF(OR($F224="",$O224=""),"",$O224+MAX(0,ROUNDUP($AK224*MAX(1,IF($N224="",1,$N224))/MAX(1,$AL224),0)-1))</f>
        <v>46277</v>
      </c>
      <c r="Q224" s="48"/>
      <c r="R224" s="43"/>
      <c r="S224" s="49"/>
      <c r="T224" s="42"/>
      <c r="U224" s="42" t="s">
        <v>500</v>
      </c>
      <c r="V224" s="39" t="str">
        <f aca="false">IF($F224="","",IF(ISNUMBER(SEARCH("(externo)",$I224&amp;$J224&amp;$K224)),"Terceirizada","Interna"))</f>
        <v>Interna</v>
      </c>
      <c r="W224" s="47" t="n">
        <f aca="false">IF($O224="","",IF($S224="",$O224,(DATE(Semana!$J$3,1,4)-WEEKDAY(DATE(Semana!$J$3,1,4),3))+($S224-1)*7+IF($M224="",0,MATCH($M224,Listas!$F$5:$F$11,0)-1)))</f>
        <v>46275</v>
      </c>
      <c r="X224" s="39" t="n">
        <f aca="false">IF($F224="","",IF(OR($AT224="",$O224=""),0,IF($AT224&lt;=$O224,1,0)))</f>
        <v>0</v>
      </c>
      <c r="Y224" s="39" t="n">
        <f aca="false">IF($F224="","",IF(OR($AT224="",$W224=""),0,IF($AT224&lt;=$W224,1,0)))</f>
        <v>0</v>
      </c>
      <c r="Z224" s="39" t="str">
        <f aca="false">IF(OR($AT224="",$O224=""),"",MAX(0,$AT224-$O224))</f>
        <v/>
      </c>
      <c r="AA224" s="39" t="n">
        <f aca="false">IF($F224="","",IF(AND($S224&lt;&gt;"",$L224&lt;&gt;"",$S224&lt;&gt;$L224),1,0))</f>
        <v>0</v>
      </c>
      <c r="AB224" s="39" t="n">
        <f aca="false">IF($F224="","",IF($R224="Cancelada",0,IF(OR($AT224&lt;&gt;"",$R224="Concluída"),1,0)))</f>
        <v>0</v>
      </c>
      <c r="AC224" s="39" t="n">
        <f aca="false">IF($P224="",0,IF($P224&lt;Hoje!$L$1,1,IF(AND($P224=Hoje!$L$1,Hoje!$L$2&gt;Semana!$M$3),1,0)))</f>
        <v>0</v>
      </c>
      <c r="AD224" s="39" t="n">
        <f aca="false">IF($F224="","",IF(COUNTA($I224:$K224)=0,0,1/COUNTA($I224:$K224)))</f>
        <v>0</v>
      </c>
      <c r="AE224" s="39" t="str">
        <f aca="false">IF($AH224=0,"",SUM($AH$4:$AH224))</f>
        <v/>
      </c>
      <c r="AF224" s="39" t="str">
        <f aca="false">IF($AI224=0,"",SUM($AI$4:$AI224))</f>
        <v/>
      </c>
      <c r="AG224" s="50" t="str">
        <f aca="false">IF($F224="","",$I224&amp;IF($J224="",""," · "&amp;$J224)&amp;IF($K224="",""," · "&amp;$K224))</f>
        <v/>
      </c>
      <c r="AH224" s="39" t="n">
        <f aca="false">IF(AND($F224&lt;&gt;"",$O224&lt;&gt;"",$O224&lt;=Hoje!$C$3,$P224&gt;=Hoje!$C$3,$R224&lt;&gt;"Cancelada"),1,0)</f>
        <v>0</v>
      </c>
      <c r="AI224" s="39" t="n">
        <f aca="false">IF(AND($F224&lt;&gt;"",$P224&lt;&gt;"",$P224&lt;Hoje!$C$3,$AB224=0,$R224&lt;&gt;"Cancelada"),1,0)</f>
        <v>0</v>
      </c>
      <c r="AJ224" s="50" t="str">
        <f aca="false">IF($F224="","",$D224&amp;"|"&amp;$E224&amp;"|"&amp;$L224)</f>
        <v>F-818|Pendências de inspeção|37</v>
      </c>
      <c r="AK224" s="39" t="n">
        <f aca="false">IF($AJ224="","",COUNTIF($AJ$4:$AJ224,$AJ224))</f>
        <v>12</v>
      </c>
      <c r="AL224" s="39" t="n">
        <f aca="false">IF($AJ224="","",COUNTIF($AJ$4:$AJ$1004,$AJ224))</f>
        <v>21</v>
      </c>
      <c r="AM224" s="42"/>
      <c r="AN224" s="50" t="str">
        <f aca="false">IF($D224="","",IFERROR(T(VLOOKUP($D224,Listas!$B$5:$H$120,7,0)),""))</f>
        <v/>
      </c>
      <c r="AO224" s="50" t="str">
        <f aca="false">IF(OR($F224="",$L224&lt;&gt;"",$R224="Cancelada",$AT224&lt;&gt;""),"",$AN224&amp;"|"&amp;$D224&amp;"|"&amp;IF($C224="","zzz",$C224)&amp;"|"&amp;TEXT(224,"0000"))</f>
        <v/>
      </c>
      <c r="AP224" s="50" t="str">
        <f aca="false">IF($AO224="","",COUNTIF($AO$5:$AO$1004,"&lt;"&amp;$AO224)-(ROWS($AO$5:$AO$1004)-Hoje!$L$5)+1)</f>
        <v/>
      </c>
      <c r="AQ224" s="50" t="n">
        <f aca="false">IF(AND($F224&lt;&gt;"",$D224=Frota!$C$3),1,0)</f>
        <v>0</v>
      </c>
      <c r="AR224" s="50" t="str">
        <f aca="false">IF($AQ224=0,"",SUM($AQ$4:$AQ224))</f>
        <v/>
      </c>
      <c r="AS224" s="50" t="str">
        <f aca="false">IFERROR(INDEX(Hoje!$K$10:$K$29,MATCH(ROW(),Hoje!$J$10:$J$29,0)),"")</f>
        <v/>
      </c>
      <c r="AT224" s="50" t="str">
        <f aca="false">IF($Q224&lt;&gt;"",$Q224,$AS224)</f>
        <v/>
      </c>
    </row>
    <row r="225" customFormat="false" ht="16.5" hidden="false" customHeight="true" outlineLevel="0" collapsed="false">
      <c r="A225" s="39" t="n">
        <f aca="false">IF($F225="","",ROW())</f>
        <v>225</v>
      </c>
      <c r="B225" s="40" t="str">
        <f aca="false">IF($F225="",IF($D225="","","Falta a atividade"),IF($R225="Cancelada","Cancelada",IF($AB225=1,IF(N($Z225)&gt;0,"Concluída com atraso","Concluída"),IF($R225="Em programação","Em programação",IF($O225="",IF($M225="","Na carteira","Falta a semana"),IF($AC225=1,"VENCIDA",IF($O225&gt;Hoje!$L$1,"Programada",IF($P225&gt;Hoje!$L$1,"Em execução","Fecha hoje"))))))))</f>
        <v>Programada</v>
      </c>
      <c r="C225" s="41" t="s">
        <v>562</v>
      </c>
      <c r="D225" s="42" t="s">
        <v>537</v>
      </c>
      <c r="E225" s="42" t="s">
        <v>495</v>
      </c>
      <c r="F225" s="42" t="s">
        <v>563</v>
      </c>
      <c r="G225" s="43" t="s">
        <v>80</v>
      </c>
      <c r="H225" s="43" t="s">
        <v>100</v>
      </c>
      <c r="I225" s="44"/>
      <c r="J225" s="44"/>
      <c r="K225" s="44"/>
      <c r="L225" s="45" t="n">
        <v>37</v>
      </c>
      <c r="M225" s="46" t="s">
        <v>173</v>
      </c>
      <c r="N225" s="45" t="n">
        <v>4</v>
      </c>
      <c r="O225" s="47" t="n">
        <f aca="false">IF(OR($L225="",$M225=""),"",(DATE(Semana!$J$3,1,4)-WEEKDAY(DATE(Semana!$J$3,1,4),3))+($L225-1)*7+MATCH($M225,Listas!$F$5:$F$11,0)-1)</f>
        <v>46275</v>
      </c>
      <c r="P225" s="47" t="n">
        <f aca="false">IF(OR($F225="",$O225=""),"",$O225+MAX(0,ROUNDUP($AK225*MAX(1,IF($N225="",1,$N225))/MAX(1,$AL225),0)-1))</f>
        <v>46277</v>
      </c>
      <c r="Q225" s="48"/>
      <c r="R225" s="43"/>
      <c r="S225" s="49"/>
      <c r="T225" s="42"/>
      <c r="U225" s="42" t="s">
        <v>500</v>
      </c>
      <c r="V225" s="39" t="str">
        <f aca="false">IF($F225="","",IF(ISNUMBER(SEARCH("(externo)",$I225&amp;$J225&amp;$K225)),"Terceirizada","Interna"))</f>
        <v>Interna</v>
      </c>
      <c r="W225" s="47" t="n">
        <f aca="false">IF($O225="","",IF($S225="",$O225,(DATE(Semana!$J$3,1,4)-WEEKDAY(DATE(Semana!$J$3,1,4),3))+($S225-1)*7+IF($M225="",0,MATCH($M225,Listas!$F$5:$F$11,0)-1)))</f>
        <v>46275</v>
      </c>
      <c r="X225" s="39" t="n">
        <f aca="false">IF($F225="","",IF(OR($AT225="",$O225=""),0,IF($AT225&lt;=$O225,1,0)))</f>
        <v>0</v>
      </c>
      <c r="Y225" s="39" t="n">
        <f aca="false">IF($F225="","",IF(OR($AT225="",$W225=""),0,IF($AT225&lt;=$W225,1,0)))</f>
        <v>0</v>
      </c>
      <c r="Z225" s="39" t="str">
        <f aca="false">IF(OR($AT225="",$O225=""),"",MAX(0,$AT225-$O225))</f>
        <v/>
      </c>
      <c r="AA225" s="39" t="n">
        <f aca="false">IF($F225="","",IF(AND($S225&lt;&gt;"",$L225&lt;&gt;"",$S225&lt;&gt;$L225),1,0))</f>
        <v>0</v>
      </c>
      <c r="AB225" s="39" t="n">
        <f aca="false">IF($F225="","",IF($R225="Cancelada",0,IF(OR($AT225&lt;&gt;"",$R225="Concluída"),1,0)))</f>
        <v>0</v>
      </c>
      <c r="AC225" s="39" t="n">
        <f aca="false">IF($P225="",0,IF($P225&lt;Hoje!$L$1,1,IF(AND($P225=Hoje!$L$1,Hoje!$L$2&gt;Semana!$M$3),1,0)))</f>
        <v>0</v>
      </c>
      <c r="AD225" s="39" t="n">
        <f aca="false">IF($F225="","",IF(COUNTA($I225:$K225)=0,0,1/COUNTA($I225:$K225)))</f>
        <v>0</v>
      </c>
      <c r="AE225" s="39" t="str">
        <f aca="false">IF($AH225=0,"",SUM($AH$4:$AH225))</f>
        <v/>
      </c>
      <c r="AF225" s="39" t="str">
        <f aca="false">IF($AI225=0,"",SUM($AI$4:$AI225))</f>
        <v/>
      </c>
      <c r="AG225" s="50" t="str">
        <f aca="false">IF($F225="","",$I225&amp;IF($J225="",""," · "&amp;$J225)&amp;IF($K225="",""," · "&amp;$K225))</f>
        <v/>
      </c>
      <c r="AH225" s="39" t="n">
        <f aca="false">IF(AND($F225&lt;&gt;"",$O225&lt;&gt;"",$O225&lt;=Hoje!$C$3,$P225&gt;=Hoje!$C$3,$R225&lt;&gt;"Cancelada"),1,0)</f>
        <v>0</v>
      </c>
      <c r="AI225" s="39" t="n">
        <f aca="false">IF(AND($F225&lt;&gt;"",$P225&lt;&gt;"",$P225&lt;Hoje!$C$3,$AB225=0,$R225&lt;&gt;"Cancelada"),1,0)</f>
        <v>0</v>
      </c>
      <c r="AJ225" s="50" t="str">
        <f aca="false">IF($F225="","",$D225&amp;"|"&amp;$E225&amp;"|"&amp;$L225)</f>
        <v>F-818|Pendências de inspeção|37</v>
      </c>
      <c r="AK225" s="39" t="n">
        <f aca="false">IF($AJ225="","",COUNTIF($AJ$4:$AJ225,$AJ225))</f>
        <v>13</v>
      </c>
      <c r="AL225" s="39" t="n">
        <f aca="false">IF($AJ225="","",COUNTIF($AJ$4:$AJ$1004,$AJ225))</f>
        <v>21</v>
      </c>
      <c r="AM225" s="42"/>
      <c r="AN225" s="50" t="str">
        <f aca="false">IF($D225="","",IFERROR(T(VLOOKUP($D225,Listas!$B$5:$H$120,7,0)),""))</f>
        <v/>
      </c>
      <c r="AO225" s="50" t="str">
        <f aca="false">IF(OR($F225="",$L225&lt;&gt;"",$R225="Cancelada",$AT225&lt;&gt;""),"",$AN225&amp;"|"&amp;$D225&amp;"|"&amp;IF($C225="","zzz",$C225)&amp;"|"&amp;TEXT(225,"0000"))</f>
        <v/>
      </c>
      <c r="AP225" s="50" t="str">
        <f aca="false">IF($AO225="","",COUNTIF($AO$5:$AO$1004,"&lt;"&amp;$AO225)-(ROWS($AO$5:$AO$1004)-Hoje!$L$5)+1)</f>
        <v/>
      </c>
      <c r="AQ225" s="50" t="n">
        <f aca="false">IF(AND($F225&lt;&gt;"",$D225=Frota!$C$3),1,0)</f>
        <v>0</v>
      </c>
      <c r="AR225" s="50" t="str">
        <f aca="false">IF($AQ225=0,"",SUM($AQ$4:$AQ225))</f>
        <v/>
      </c>
      <c r="AS225" s="50" t="str">
        <f aca="false">IFERROR(INDEX(Hoje!$K$10:$K$29,MATCH(ROW(),Hoje!$J$10:$J$29,0)),"")</f>
        <v/>
      </c>
      <c r="AT225" s="50" t="str">
        <f aca="false">IF($Q225&lt;&gt;"",$Q225,$AS225)</f>
        <v/>
      </c>
    </row>
    <row r="226" customFormat="false" ht="16.5" hidden="false" customHeight="true" outlineLevel="0" collapsed="false">
      <c r="A226" s="39" t="n">
        <f aca="false">IF($F226="","",ROW())</f>
        <v>226</v>
      </c>
      <c r="B226" s="40" t="str">
        <f aca="false">IF($F226="",IF($D226="","","Falta a atividade"),IF($R226="Cancelada","Cancelada",IF($AB226=1,IF(N($Z226)&gt;0,"Concluída com atraso","Concluída"),IF($R226="Em programação","Em programação",IF($O226="",IF($M226="","Na carteira","Falta a semana"),IF($AC226=1,"VENCIDA",IF($O226&gt;Hoje!$L$1,"Programada",IF($P226&gt;Hoje!$L$1,"Em execução","Fecha hoje"))))))))</f>
        <v>Programada</v>
      </c>
      <c r="C226" s="41" t="s">
        <v>564</v>
      </c>
      <c r="D226" s="42" t="s">
        <v>537</v>
      </c>
      <c r="E226" s="42" t="s">
        <v>495</v>
      </c>
      <c r="F226" s="42" t="s">
        <v>565</v>
      </c>
      <c r="G226" s="43" t="s">
        <v>80</v>
      </c>
      <c r="H226" s="43" t="s">
        <v>100</v>
      </c>
      <c r="I226" s="44"/>
      <c r="J226" s="44"/>
      <c r="K226" s="44"/>
      <c r="L226" s="45" t="n">
        <v>37</v>
      </c>
      <c r="M226" s="46" t="s">
        <v>173</v>
      </c>
      <c r="N226" s="45" t="n">
        <v>4</v>
      </c>
      <c r="O226" s="47" t="n">
        <f aca="false">IF(OR($L226="",$M226=""),"",(DATE(Semana!$J$3,1,4)-WEEKDAY(DATE(Semana!$J$3,1,4),3))+($L226-1)*7+MATCH($M226,Listas!$F$5:$F$11,0)-1)</f>
        <v>46275</v>
      </c>
      <c r="P226" s="47" t="n">
        <f aca="false">IF(OR($F226="",$O226=""),"",$O226+MAX(0,ROUNDUP($AK226*MAX(1,IF($N226="",1,$N226))/MAX(1,$AL226),0)-1))</f>
        <v>46277</v>
      </c>
      <c r="Q226" s="48"/>
      <c r="R226" s="43"/>
      <c r="S226" s="49"/>
      <c r="T226" s="42"/>
      <c r="U226" s="42" t="s">
        <v>500</v>
      </c>
      <c r="V226" s="39" t="str">
        <f aca="false">IF($F226="","",IF(ISNUMBER(SEARCH("(externo)",$I226&amp;$J226&amp;$K226)),"Terceirizada","Interna"))</f>
        <v>Interna</v>
      </c>
      <c r="W226" s="47" t="n">
        <f aca="false">IF($O226="","",IF($S226="",$O226,(DATE(Semana!$J$3,1,4)-WEEKDAY(DATE(Semana!$J$3,1,4),3))+($S226-1)*7+IF($M226="",0,MATCH($M226,Listas!$F$5:$F$11,0)-1)))</f>
        <v>46275</v>
      </c>
      <c r="X226" s="39" t="n">
        <f aca="false">IF($F226="","",IF(OR($AT226="",$O226=""),0,IF($AT226&lt;=$O226,1,0)))</f>
        <v>0</v>
      </c>
      <c r="Y226" s="39" t="n">
        <f aca="false">IF($F226="","",IF(OR($AT226="",$W226=""),0,IF($AT226&lt;=$W226,1,0)))</f>
        <v>0</v>
      </c>
      <c r="Z226" s="39" t="str">
        <f aca="false">IF(OR($AT226="",$O226=""),"",MAX(0,$AT226-$O226))</f>
        <v/>
      </c>
      <c r="AA226" s="39" t="n">
        <f aca="false">IF($F226="","",IF(AND($S226&lt;&gt;"",$L226&lt;&gt;"",$S226&lt;&gt;$L226),1,0))</f>
        <v>0</v>
      </c>
      <c r="AB226" s="39" t="n">
        <f aca="false">IF($F226="","",IF($R226="Cancelada",0,IF(OR($AT226&lt;&gt;"",$R226="Concluída"),1,0)))</f>
        <v>0</v>
      </c>
      <c r="AC226" s="39" t="n">
        <f aca="false">IF($P226="",0,IF($P226&lt;Hoje!$L$1,1,IF(AND($P226=Hoje!$L$1,Hoje!$L$2&gt;Semana!$M$3),1,0)))</f>
        <v>0</v>
      </c>
      <c r="AD226" s="39" t="n">
        <f aca="false">IF($F226="","",IF(COUNTA($I226:$K226)=0,0,1/COUNTA($I226:$K226)))</f>
        <v>0</v>
      </c>
      <c r="AE226" s="39" t="str">
        <f aca="false">IF($AH226=0,"",SUM($AH$4:$AH226))</f>
        <v/>
      </c>
      <c r="AF226" s="39" t="str">
        <f aca="false">IF($AI226=0,"",SUM($AI$4:$AI226))</f>
        <v/>
      </c>
      <c r="AG226" s="50" t="str">
        <f aca="false">IF($F226="","",$I226&amp;IF($J226="",""," · "&amp;$J226)&amp;IF($K226="",""," · "&amp;$K226))</f>
        <v/>
      </c>
      <c r="AH226" s="39" t="n">
        <f aca="false">IF(AND($F226&lt;&gt;"",$O226&lt;&gt;"",$O226&lt;=Hoje!$C$3,$P226&gt;=Hoje!$C$3,$R226&lt;&gt;"Cancelada"),1,0)</f>
        <v>0</v>
      </c>
      <c r="AI226" s="39" t="n">
        <f aca="false">IF(AND($F226&lt;&gt;"",$P226&lt;&gt;"",$P226&lt;Hoje!$C$3,$AB226=0,$R226&lt;&gt;"Cancelada"),1,0)</f>
        <v>0</v>
      </c>
      <c r="AJ226" s="50" t="str">
        <f aca="false">IF($F226="","",$D226&amp;"|"&amp;$E226&amp;"|"&amp;$L226)</f>
        <v>F-818|Pendências de inspeção|37</v>
      </c>
      <c r="AK226" s="39" t="n">
        <f aca="false">IF($AJ226="","",COUNTIF($AJ$4:$AJ226,$AJ226))</f>
        <v>14</v>
      </c>
      <c r="AL226" s="39" t="n">
        <f aca="false">IF($AJ226="","",COUNTIF($AJ$4:$AJ$1004,$AJ226))</f>
        <v>21</v>
      </c>
      <c r="AM226" s="42"/>
      <c r="AN226" s="50" t="str">
        <f aca="false">IF($D226="","",IFERROR(T(VLOOKUP($D226,Listas!$B$5:$H$120,7,0)),""))</f>
        <v/>
      </c>
      <c r="AO226" s="50" t="str">
        <f aca="false">IF(OR($F226="",$L226&lt;&gt;"",$R226="Cancelada",$AT226&lt;&gt;""),"",$AN226&amp;"|"&amp;$D226&amp;"|"&amp;IF($C226="","zzz",$C226)&amp;"|"&amp;TEXT(226,"0000"))</f>
        <v/>
      </c>
      <c r="AP226" s="50" t="str">
        <f aca="false">IF($AO226="","",COUNTIF($AO$5:$AO$1004,"&lt;"&amp;$AO226)-(ROWS($AO$5:$AO$1004)-Hoje!$L$5)+1)</f>
        <v/>
      </c>
      <c r="AQ226" s="50" t="n">
        <f aca="false">IF(AND($F226&lt;&gt;"",$D226=Frota!$C$3),1,0)</f>
        <v>0</v>
      </c>
      <c r="AR226" s="50" t="str">
        <f aca="false">IF($AQ226=0,"",SUM($AQ$4:$AQ226))</f>
        <v/>
      </c>
      <c r="AS226" s="50" t="str">
        <f aca="false">IFERROR(INDEX(Hoje!$K$10:$K$29,MATCH(ROW(),Hoje!$J$10:$J$29,0)),"")</f>
        <v/>
      </c>
      <c r="AT226" s="50" t="str">
        <f aca="false">IF($Q226&lt;&gt;"",$Q226,$AS226)</f>
        <v/>
      </c>
    </row>
    <row r="227" customFormat="false" ht="16.5" hidden="false" customHeight="true" outlineLevel="0" collapsed="false">
      <c r="A227" s="39" t="n">
        <f aca="false">IF($F227="","",ROW())</f>
        <v>227</v>
      </c>
      <c r="B227" s="40" t="str">
        <f aca="false">IF($F227="",IF($D227="","","Falta a atividade"),IF($R227="Cancelada","Cancelada",IF($AB227=1,IF(N($Z227)&gt;0,"Concluída com atraso","Concluída"),IF($R227="Em programação","Em programação",IF($O227="",IF($M227="","Na carteira","Falta a semana"),IF($AC227=1,"VENCIDA",IF($O227&gt;Hoje!$L$1,"Programada",IF($P227&gt;Hoje!$L$1,"Em execução","Fecha hoje"))))))))</f>
        <v>Programada</v>
      </c>
      <c r="C227" s="41" t="s">
        <v>566</v>
      </c>
      <c r="D227" s="42" t="s">
        <v>537</v>
      </c>
      <c r="E227" s="42" t="s">
        <v>495</v>
      </c>
      <c r="F227" s="42" t="s">
        <v>567</v>
      </c>
      <c r="G227" s="43" t="s">
        <v>80</v>
      </c>
      <c r="H227" s="43" t="s">
        <v>100</v>
      </c>
      <c r="I227" s="44"/>
      <c r="J227" s="44"/>
      <c r="K227" s="44"/>
      <c r="L227" s="45" t="n">
        <v>37</v>
      </c>
      <c r="M227" s="46" t="s">
        <v>173</v>
      </c>
      <c r="N227" s="45" t="n">
        <v>4</v>
      </c>
      <c r="O227" s="47" t="n">
        <f aca="false">IF(OR($L227="",$M227=""),"",(DATE(Semana!$J$3,1,4)-WEEKDAY(DATE(Semana!$J$3,1,4),3))+($L227-1)*7+MATCH($M227,Listas!$F$5:$F$11,0)-1)</f>
        <v>46275</v>
      </c>
      <c r="P227" s="47" t="n">
        <f aca="false">IF(OR($F227="",$O227=""),"",$O227+MAX(0,ROUNDUP($AK227*MAX(1,IF($N227="",1,$N227))/MAX(1,$AL227),0)-1))</f>
        <v>46277</v>
      </c>
      <c r="Q227" s="48"/>
      <c r="R227" s="43"/>
      <c r="S227" s="49"/>
      <c r="T227" s="42"/>
      <c r="U227" s="42" t="s">
        <v>500</v>
      </c>
      <c r="V227" s="39" t="str">
        <f aca="false">IF($F227="","",IF(ISNUMBER(SEARCH("(externo)",$I227&amp;$J227&amp;$K227)),"Terceirizada","Interna"))</f>
        <v>Interna</v>
      </c>
      <c r="W227" s="47" t="n">
        <f aca="false">IF($O227="","",IF($S227="",$O227,(DATE(Semana!$J$3,1,4)-WEEKDAY(DATE(Semana!$J$3,1,4),3))+($S227-1)*7+IF($M227="",0,MATCH($M227,Listas!$F$5:$F$11,0)-1)))</f>
        <v>46275</v>
      </c>
      <c r="X227" s="39" t="n">
        <f aca="false">IF($F227="","",IF(OR($AT227="",$O227=""),0,IF($AT227&lt;=$O227,1,0)))</f>
        <v>0</v>
      </c>
      <c r="Y227" s="39" t="n">
        <f aca="false">IF($F227="","",IF(OR($AT227="",$W227=""),0,IF($AT227&lt;=$W227,1,0)))</f>
        <v>0</v>
      </c>
      <c r="Z227" s="39" t="str">
        <f aca="false">IF(OR($AT227="",$O227=""),"",MAX(0,$AT227-$O227))</f>
        <v/>
      </c>
      <c r="AA227" s="39" t="n">
        <f aca="false">IF($F227="","",IF(AND($S227&lt;&gt;"",$L227&lt;&gt;"",$S227&lt;&gt;$L227),1,0))</f>
        <v>0</v>
      </c>
      <c r="AB227" s="39" t="n">
        <f aca="false">IF($F227="","",IF($R227="Cancelada",0,IF(OR($AT227&lt;&gt;"",$R227="Concluída"),1,0)))</f>
        <v>0</v>
      </c>
      <c r="AC227" s="39" t="n">
        <f aca="false">IF($P227="",0,IF($P227&lt;Hoje!$L$1,1,IF(AND($P227=Hoje!$L$1,Hoje!$L$2&gt;Semana!$M$3),1,0)))</f>
        <v>0</v>
      </c>
      <c r="AD227" s="39" t="n">
        <f aca="false">IF($F227="","",IF(COUNTA($I227:$K227)=0,0,1/COUNTA($I227:$K227)))</f>
        <v>0</v>
      </c>
      <c r="AE227" s="39" t="str">
        <f aca="false">IF($AH227=0,"",SUM($AH$4:$AH227))</f>
        <v/>
      </c>
      <c r="AF227" s="39" t="str">
        <f aca="false">IF($AI227=0,"",SUM($AI$4:$AI227))</f>
        <v/>
      </c>
      <c r="AG227" s="50" t="str">
        <f aca="false">IF($F227="","",$I227&amp;IF($J227="",""," · "&amp;$J227)&amp;IF($K227="",""," · "&amp;$K227))</f>
        <v/>
      </c>
      <c r="AH227" s="39" t="n">
        <f aca="false">IF(AND($F227&lt;&gt;"",$O227&lt;&gt;"",$O227&lt;=Hoje!$C$3,$P227&gt;=Hoje!$C$3,$R227&lt;&gt;"Cancelada"),1,0)</f>
        <v>0</v>
      </c>
      <c r="AI227" s="39" t="n">
        <f aca="false">IF(AND($F227&lt;&gt;"",$P227&lt;&gt;"",$P227&lt;Hoje!$C$3,$AB227=0,$R227&lt;&gt;"Cancelada"),1,0)</f>
        <v>0</v>
      </c>
      <c r="AJ227" s="50" t="str">
        <f aca="false">IF($F227="","",$D227&amp;"|"&amp;$E227&amp;"|"&amp;$L227)</f>
        <v>F-818|Pendências de inspeção|37</v>
      </c>
      <c r="AK227" s="39" t="n">
        <f aca="false">IF($AJ227="","",COUNTIF($AJ$4:$AJ227,$AJ227))</f>
        <v>15</v>
      </c>
      <c r="AL227" s="39" t="n">
        <f aca="false">IF($AJ227="","",COUNTIF($AJ$4:$AJ$1004,$AJ227))</f>
        <v>21</v>
      </c>
      <c r="AM227" s="42"/>
      <c r="AN227" s="50" t="str">
        <f aca="false">IF($D227="","",IFERROR(T(VLOOKUP($D227,Listas!$B$5:$H$120,7,0)),""))</f>
        <v/>
      </c>
      <c r="AO227" s="50" t="str">
        <f aca="false">IF(OR($F227="",$L227&lt;&gt;"",$R227="Cancelada",$AT227&lt;&gt;""),"",$AN227&amp;"|"&amp;$D227&amp;"|"&amp;IF($C227="","zzz",$C227)&amp;"|"&amp;TEXT(227,"0000"))</f>
        <v/>
      </c>
      <c r="AP227" s="50" t="str">
        <f aca="false">IF($AO227="","",COUNTIF($AO$5:$AO$1004,"&lt;"&amp;$AO227)-(ROWS($AO$5:$AO$1004)-Hoje!$L$5)+1)</f>
        <v/>
      </c>
      <c r="AQ227" s="50" t="n">
        <f aca="false">IF(AND($F227&lt;&gt;"",$D227=Frota!$C$3),1,0)</f>
        <v>0</v>
      </c>
      <c r="AR227" s="50" t="str">
        <f aca="false">IF($AQ227=0,"",SUM($AQ$4:$AQ227))</f>
        <v/>
      </c>
      <c r="AS227" s="50" t="str">
        <f aca="false">IFERROR(INDEX(Hoje!$K$10:$K$29,MATCH(ROW(),Hoje!$J$10:$J$29,0)),"")</f>
        <v/>
      </c>
      <c r="AT227" s="50" t="str">
        <f aca="false">IF($Q227&lt;&gt;"",$Q227,$AS227)</f>
        <v/>
      </c>
    </row>
    <row r="228" customFormat="false" ht="16.5" hidden="false" customHeight="true" outlineLevel="0" collapsed="false">
      <c r="A228" s="39" t="n">
        <f aca="false">IF($F228="","",ROW())</f>
        <v>228</v>
      </c>
      <c r="B228" s="40" t="str">
        <f aca="false">IF($F228="",IF($D228="","","Falta a atividade"),IF($R228="Cancelada","Cancelada",IF($AB228=1,IF(N($Z228)&gt;0,"Concluída com atraso","Concluída"),IF($R228="Em programação","Em programação",IF($O228="",IF($M228="","Na carteira","Falta a semana"),IF($AC228=1,"VENCIDA",IF($O228&gt;Hoje!$L$1,"Programada",IF($P228&gt;Hoje!$L$1,"Em execução","Fecha hoje"))))))))</f>
        <v>Programada</v>
      </c>
      <c r="C228" s="41" t="s">
        <v>568</v>
      </c>
      <c r="D228" s="42" t="s">
        <v>537</v>
      </c>
      <c r="E228" s="42" t="s">
        <v>495</v>
      </c>
      <c r="F228" s="42" t="s">
        <v>569</v>
      </c>
      <c r="G228" s="43" t="s">
        <v>80</v>
      </c>
      <c r="H228" s="43" t="s">
        <v>100</v>
      </c>
      <c r="I228" s="44"/>
      <c r="J228" s="44"/>
      <c r="K228" s="44"/>
      <c r="L228" s="45" t="n">
        <v>37</v>
      </c>
      <c r="M228" s="46" t="s">
        <v>173</v>
      </c>
      <c r="N228" s="45" t="n">
        <v>4</v>
      </c>
      <c r="O228" s="47" t="n">
        <f aca="false">IF(OR($L228="",$M228=""),"",(DATE(Semana!$J$3,1,4)-WEEKDAY(DATE(Semana!$J$3,1,4),3))+($L228-1)*7+MATCH($M228,Listas!$F$5:$F$11,0)-1)</f>
        <v>46275</v>
      </c>
      <c r="P228" s="47" t="n">
        <f aca="false">IF(OR($F228="",$O228=""),"",$O228+MAX(0,ROUNDUP($AK228*MAX(1,IF($N228="",1,$N228))/MAX(1,$AL228),0)-1))</f>
        <v>46278</v>
      </c>
      <c r="Q228" s="48"/>
      <c r="R228" s="43"/>
      <c r="S228" s="49"/>
      <c r="T228" s="42"/>
      <c r="U228" s="42" t="s">
        <v>500</v>
      </c>
      <c r="V228" s="39" t="str">
        <f aca="false">IF($F228="","",IF(ISNUMBER(SEARCH("(externo)",$I228&amp;$J228&amp;$K228)),"Terceirizada","Interna"))</f>
        <v>Interna</v>
      </c>
      <c r="W228" s="47" t="n">
        <f aca="false">IF($O228="","",IF($S228="",$O228,(DATE(Semana!$J$3,1,4)-WEEKDAY(DATE(Semana!$J$3,1,4),3))+($S228-1)*7+IF($M228="",0,MATCH($M228,Listas!$F$5:$F$11,0)-1)))</f>
        <v>46275</v>
      </c>
      <c r="X228" s="39" t="n">
        <f aca="false">IF($F228="","",IF(OR($AT228="",$O228=""),0,IF($AT228&lt;=$O228,1,0)))</f>
        <v>0</v>
      </c>
      <c r="Y228" s="39" t="n">
        <f aca="false">IF($F228="","",IF(OR($AT228="",$W228=""),0,IF($AT228&lt;=$W228,1,0)))</f>
        <v>0</v>
      </c>
      <c r="Z228" s="39" t="str">
        <f aca="false">IF(OR($AT228="",$O228=""),"",MAX(0,$AT228-$O228))</f>
        <v/>
      </c>
      <c r="AA228" s="39" t="n">
        <f aca="false">IF($F228="","",IF(AND($S228&lt;&gt;"",$L228&lt;&gt;"",$S228&lt;&gt;$L228),1,0))</f>
        <v>0</v>
      </c>
      <c r="AB228" s="39" t="n">
        <f aca="false">IF($F228="","",IF($R228="Cancelada",0,IF(OR($AT228&lt;&gt;"",$R228="Concluída"),1,0)))</f>
        <v>0</v>
      </c>
      <c r="AC228" s="39" t="n">
        <f aca="false">IF($P228="",0,IF($P228&lt;Hoje!$L$1,1,IF(AND($P228=Hoje!$L$1,Hoje!$L$2&gt;Semana!$M$3),1,0)))</f>
        <v>0</v>
      </c>
      <c r="AD228" s="39" t="n">
        <f aca="false">IF($F228="","",IF(COUNTA($I228:$K228)=0,0,1/COUNTA($I228:$K228)))</f>
        <v>0</v>
      </c>
      <c r="AE228" s="39" t="str">
        <f aca="false">IF($AH228=0,"",SUM($AH$4:$AH228))</f>
        <v/>
      </c>
      <c r="AF228" s="39" t="str">
        <f aca="false">IF($AI228=0,"",SUM($AI$4:$AI228))</f>
        <v/>
      </c>
      <c r="AG228" s="50" t="str">
        <f aca="false">IF($F228="","",$I228&amp;IF($J228="",""," · "&amp;$J228)&amp;IF($K228="",""," · "&amp;$K228))</f>
        <v/>
      </c>
      <c r="AH228" s="39" t="n">
        <f aca="false">IF(AND($F228&lt;&gt;"",$O228&lt;&gt;"",$O228&lt;=Hoje!$C$3,$P228&gt;=Hoje!$C$3,$R228&lt;&gt;"Cancelada"),1,0)</f>
        <v>0</v>
      </c>
      <c r="AI228" s="39" t="n">
        <f aca="false">IF(AND($F228&lt;&gt;"",$P228&lt;&gt;"",$P228&lt;Hoje!$C$3,$AB228=0,$R228&lt;&gt;"Cancelada"),1,0)</f>
        <v>0</v>
      </c>
      <c r="AJ228" s="50" t="str">
        <f aca="false">IF($F228="","",$D228&amp;"|"&amp;$E228&amp;"|"&amp;$L228)</f>
        <v>F-818|Pendências de inspeção|37</v>
      </c>
      <c r="AK228" s="39" t="n">
        <f aca="false">IF($AJ228="","",COUNTIF($AJ$4:$AJ228,$AJ228))</f>
        <v>16</v>
      </c>
      <c r="AL228" s="39" t="n">
        <f aca="false">IF($AJ228="","",COUNTIF($AJ$4:$AJ$1004,$AJ228))</f>
        <v>21</v>
      </c>
      <c r="AM228" s="42"/>
      <c r="AN228" s="50" t="str">
        <f aca="false">IF($D228="","",IFERROR(T(VLOOKUP($D228,Listas!$B$5:$H$120,7,0)),""))</f>
        <v/>
      </c>
      <c r="AO228" s="50" t="str">
        <f aca="false">IF(OR($F228="",$L228&lt;&gt;"",$R228="Cancelada",$AT228&lt;&gt;""),"",$AN228&amp;"|"&amp;$D228&amp;"|"&amp;IF($C228="","zzz",$C228)&amp;"|"&amp;TEXT(228,"0000"))</f>
        <v/>
      </c>
      <c r="AP228" s="50" t="str">
        <f aca="false">IF($AO228="","",COUNTIF($AO$5:$AO$1004,"&lt;"&amp;$AO228)-(ROWS($AO$5:$AO$1004)-Hoje!$L$5)+1)</f>
        <v/>
      </c>
      <c r="AQ228" s="50" t="n">
        <f aca="false">IF(AND($F228&lt;&gt;"",$D228=Frota!$C$3),1,0)</f>
        <v>0</v>
      </c>
      <c r="AR228" s="50" t="str">
        <f aca="false">IF($AQ228=0,"",SUM($AQ$4:$AQ228))</f>
        <v/>
      </c>
      <c r="AS228" s="50" t="str">
        <f aca="false">IFERROR(INDEX(Hoje!$K$10:$K$29,MATCH(ROW(),Hoje!$J$10:$J$29,0)),"")</f>
        <v/>
      </c>
      <c r="AT228" s="50" t="str">
        <f aca="false">IF($Q228&lt;&gt;"",$Q228,$AS228)</f>
        <v/>
      </c>
    </row>
    <row r="229" customFormat="false" ht="16.5" hidden="false" customHeight="true" outlineLevel="0" collapsed="false">
      <c r="A229" s="39" t="n">
        <f aca="false">IF($F229="","",ROW())</f>
        <v>229</v>
      </c>
      <c r="B229" s="40" t="str">
        <f aca="false">IF($F229="",IF($D229="","","Falta a atividade"),IF($R229="Cancelada","Cancelada",IF($AB229=1,IF(N($Z229)&gt;0,"Concluída com atraso","Concluída"),IF($R229="Em programação","Em programação",IF($O229="",IF($M229="","Na carteira","Falta a semana"),IF($AC229=1,"VENCIDA",IF($O229&gt;Hoje!$L$1,"Programada",IF($P229&gt;Hoje!$L$1,"Em execução","Fecha hoje"))))))))</f>
        <v>Programada</v>
      </c>
      <c r="C229" s="41" t="s">
        <v>570</v>
      </c>
      <c r="D229" s="42" t="s">
        <v>537</v>
      </c>
      <c r="E229" s="42" t="s">
        <v>495</v>
      </c>
      <c r="F229" s="42" t="s">
        <v>571</v>
      </c>
      <c r="G229" s="43" t="s">
        <v>80</v>
      </c>
      <c r="H229" s="43" t="s">
        <v>100</v>
      </c>
      <c r="I229" s="44"/>
      <c r="J229" s="44"/>
      <c r="K229" s="44"/>
      <c r="L229" s="45" t="n">
        <v>37</v>
      </c>
      <c r="M229" s="46" t="s">
        <v>173</v>
      </c>
      <c r="N229" s="45" t="n">
        <v>4</v>
      </c>
      <c r="O229" s="47" t="n">
        <f aca="false">IF(OR($L229="",$M229=""),"",(DATE(Semana!$J$3,1,4)-WEEKDAY(DATE(Semana!$J$3,1,4),3))+($L229-1)*7+MATCH($M229,Listas!$F$5:$F$11,0)-1)</f>
        <v>46275</v>
      </c>
      <c r="P229" s="47" t="n">
        <f aca="false">IF(OR($F229="",$O229=""),"",$O229+MAX(0,ROUNDUP($AK229*MAX(1,IF($N229="",1,$N229))/MAX(1,$AL229),0)-1))</f>
        <v>46278</v>
      </c>
      <c r="Q229" s="48"/>
      <c r="R229" s="43"/>
      <c r="S229" s="49"/>
      <c r="T229" s="42"/>
      <c r="U229" s="42" t="s">
        <v>500</v>
      </c>
      <c r="V229" s="39" t="str">
        <f aca="false">IF($F229="","",IF(ISNUMBER(SEARCH("(externo)",$I229&amp;$J229&amp;$K229)),"Terceirizada","Interna"))</f>
        <v>Interna</v>
      </c>
      <c r="W229" s="47" t="n">
        <f aca="false">IF($O229="","",IF($S229="",$O229,(DATE(Semana!$J$3,1,4)-WEEKDAY(DATE(Semana!$J$3,1,4),3))+($S229-1)*7+IF($M229="",0,MATCH($M229,Listas!$F$5:$F$11,0)-1)))</f>
        <v>46275</v>
      </c>
      <c r="X229" s="39" t="n">
        <f aca="false">IF($F229="","",IF(OR($AT229="",$O229=""),0,IF($AT229&lt;=$O229,1,0)))</f>
        <v>0</v>
      </c>
      <c r="Y229" s="39" t="n">
        <f aca="false">IF($F229="","",IF(OR($AT229="",$W229=""),0,IF($AT229&lt;=$W229,1,0)))</f>
        <v>0</v>
      </c>
      <c r="Z229" s="39" t="str">
        <f aca="false">IF(OR($AT229="",$O229=""),"",MAX(0,$AT229-$O229))</f>
        <v/>
      </c>
      <c r="AA229" s="39" t="n">
        <f aca="false">IF($F229="","",IF(AND($S229&lt;&gt;"",$L229&lt;&gt;"",$S229&lt;&gt;$L229),1,0))</f>
        <v>0</v>
      </c>
      <c r="AB229" s="39" t="n">
        <f aca="false">IF($F229="","",IF($R229="Cancelada",0,IF(OR($AT229&lt;&gt;"",$R229="Concluída"),1,0)))</f>
        <v>0</v>
      </c>
      <c r="AC229" s="39" t="n">
        <f aca="false">IF($P229="",0,IF($P229&lt;Hoje!$L$1,1,IF(AND($P229=Hoje!$L$1,Hoje!$L$2&gt;Semana!$M$3),1,0)))</f>
        <v>0</v>
      </c>
      <c r="AD229" s="39" t="n">
        <f aca="false">IF($F229="","",IF(COUNTA($I229:$K229)=0,0,1/COUNTA($I229:$K229)))</f>
        <v>0</v>
      </c>
      <c r="AE229" s="39" t="str">
        <f aca="false">IF($AH229=0,"",SUM($AH$4:$AH229))</f>
        <v/>
      </c>
      <c r="AF229" s="39" t="str">
        <f aca="false">IF($AI229=0,"",SUM($AI$4:$AI229))</f>
        <v/>
      </c>
      <c r="AG229" s="50" t="str">
        <f aca="false">IF($F229="","",$I229&amp;IF($J229="",""," · "&amp;$J229)&amp;IF($K229="",""," · "&amp;$K229))</f>
        <v/>
      </c>
      <c r="AH229" s="39" t="n">
        <f aca="false">IF(AND($F229&lt;&gt;"",$O229&lt;&gt;"",$O229&lt;=Hoje!$C$3,$P229&gt;=Hoje!$C$3,$R229&lt;&gt;"Cancelada"),1,0)</f>
        <v>0</v>
      </c>
      <c r="AI229" s="39" t="n">
        <f aca="false">IF(AND($F229&lt;&gt;"",$P229&lt;&gt;"",$P229&lt;Hoje!$C$3,$AB229=0,$R229&lt;&gt;"Cancelada"),1,0)</f>
        <v>0</v>
      </c>
      <c r="AJ229" s="50" t="str">
        <f aca="false">IF($F229="","",$D229&amp;"|"&amp;$E229&amp;"|"&amp;$L229)</f>
        <v>F-818|Pendências de inspeção|37</v>
      </c>
      <c r="AK229" s="39" t="n">
        <f aca="false">IF($AJ229="","",COUNTIF($AJ$4:$AJ229,$AJ229))</f>
        <v>17</v>
      </c>
      <c r="AL229" s="39" t="n">
        <f aca="false">IF($AJ229="","",COUNTIF($AJ$4:$AJ$1004,$AJ229))</f>
        <v>21</v>
      </c>
      <c r="AM229" s="42"/>
      <c r="AN229" s="50" t="str">
        <f aca="false">IF($D229="","",IFERROR(T(VLOOKUP($D229,Listas!$B$5:$H$120,7,0)),""))</f>
        <v/>
      </c>
      <c r="AO229" s="50" t="str">
        <f aca="false">IF(OR($F229="",$L229&lt;&gt;"",$R229="Cancelada",$AT229&lt;&gt;""),"",$AN229&amp;"|"&amp;$D229&amp;"|"&amp;IF($C229="","zzz",$C229)&amp;"|"&amp;TEXT(229,"0000"))</f>
        <v/>
      </c>
      <c r="AP229" s="50" t="str">
        <f aca="false">IF($AO229="","",COUNTIF($AO$5:$AO$1004,"&lt;"&amp;$AO229)-(ROWS($AO$5:$AO$1004)-Hoje!$L$5)+1)</f>
        <v/>
      </c>
      <c r="AQ229" s="50" t="n">
        <f aca="false">IF(AND($F229&lt;&gt;"",$D229=Frota!$C$3),1,0)</f>
        <v>0</v>
      </c>
      <c r="AR229" s="50" t="str">
        <f aca="false">IF($AQ229=0,"",SUM($AQ$4:$AQ229))</f>
        <v/>
      </c>
      <c r="AS229" s="50" t="str">
        <f aca="false">IFERROR(INDEX(Hoje!$K$10:$K$29,MATCH(ROW(),Hoje!$J$10:$J$29,0)),"")</f>
        <v/>
      </c>
      <c r="AT229" s="50" t="str">
        <f aca="false">IF($Q229&lt;&gt;"",$Q229,$AS229)</f>
        <v/>
      </c>
    </row>
    <row r="230" customFormat="false" ht="16.5" hidden="false" customHeight="true" outlineLevel="0" collapsed="false">
      <c r="A230" s="39" t="n">
        <f aca="false">IF($F230="","",ROW())</f>
        <v>230</v>
      </c>
      <c r="B230" s="40" t="str">
        <f aca="false">IF($F230="",IF($D230="","","Falta a atividade"),IF($R230="Cancelada","Cancelada",IF($AB230=1,IF(N($Z230)&gt;0,"Concluída com atraso","Concluída"),IF($R230="Em programação","Em programação",IF($O230="",IF($M230="","Na carteira","Falta a semana"),IF($AC230=1,"VENCIDA",IF($O230&gt;Hoje!$L$1,"Programada",IF($P230&gt;Hoje!$L$1,"Em execução","Fecha hoje"))))))))</f>
        <v>Programada</v>
      </c>
      <c r="C230" s="41" t="s">
        <v>572</v>
      </c>
      <c r="D230" s="42" t="s">
        <v>537</v>
      </c>
      <c r="E230" s="42" t="s">
        <v>495</v>
      </c>
      <c r="F230" s="42" t="s">
        <v>573</v>
      </c>
      <c r="G230" s="43" t="s">
        <v>80</v>
      </c>
      <c r="H230" s="43" t="s">
        <v>100</v>
      </c>
      <c r="I230" s="44"/>
      <c r="J230" s="44"/>
      <c r="K230" s="44"/>
      <c r="L230" s="45" t="n">
        <v>37</v>
      </c>
      <c r="M230" s="46" t="s">
        <v>173</v>
      </c>
      <c r="N230" s="45" t="n">
        <v>4</v>
      </c>
      <c r="O230" s="47" t="n">
        <f aca="false">IF(OR($L230="",$M230=""),"",(DATE(Semana!$J$3,1,4)-WEEKDAY(DATE(Semana!$J$3,1,4),3))+($L230-1)*7+MATCH($M230,Listas!$F$5:$F$11,0)-1)</f>
        <v>46275</v>
      </c>
      <c r="P230" s="47" t="n">
        <f aca="false">IF(OR($F230="",$O230=""),"",$O230+MAX(0,ROUNDUP($AK230*MAX(1,IF($N230="",1,$N230))/MAX(1,$AL230),0)-1))</f>
        <v>46278</v>
      </c>
      <c r="Q230" s="48"/>
      <c r="R230" s="43"/>
      <c r="S230" s="49"/>
      <c r="T230" s="42"/>
      <c r="U230" s="42" t="s">
        <v>500</v>
      </c>
      <c r="V230" s="39" t="str">
        <f aca="false">IF($F230="","",IF(ISNUMBER(SEARCH("(externo)",$I230&amp;$J230&amp;$K230)),"Terceirizada","Interna"))</f>
        <v>Interna</v>
      </c>
      <c r="W230" s="47" t="n">
        <f aca="false">IF($O230="","",IF($S230="",$O230,(DATE(Semana!$J$3,1,4)-WEEKDAY(DATE(Semana!$J$3,1,4),3))+($S230-1)*7+IF($M230="",0,MATCH($M230,Listas!$F$5:$F$11,0)-1)))</f>
        <v>46275</v>
      </c>
      <c r="X230" s="39" t="n">
        <f aca="false">IF($F230="","",IF(OR($AT230="",$O230=""),0,IF($AT230&lt;=$O230,1,0)))</f>
        <v>0</v>
      </c>
      <c r="Y230" s="39" t="n">
        <f aca="false">IF($F230="","",IF(OR($AT230="",$W230=""),0,IF($AT230&lt;=$W230,1,0)))</f>
        <v>0</v>
      </c>
      <c r="Z230" s="39" t="str">
        <f aca="false">IF(OR($AT230="",$O230=""),"",MAX(0,$AT230-$O230))</f>
        <v/>
      </c>
      <c r="AA230" s="39" t="n">
        <f aca="false">IF($F230="","",IF(AND($S230&lt;&gt;"",$L230&lt;&gt;"",$S230&lt;&gt;$L230),1,0))</f>
        <v>0</v>
      </c>
      <c r="AB230" s="39" t="n">
        <f aca="false">IF($F230="","",IF($R230="Cancelada",0,IF(OR($AT230&lt;&gt;"",$R230="Concluída"),1,0)))</f>
        <v>0</v>
      </c>
      <c r="AC230" s="39" t="n">
        <f aca="false">IF($P230="",0,IF($P230&lt;Hoje!$L$1,1,IF(AND($P230=Hoje!$L$1,Hoje!$L$2&gt;Semana!$M$3),1,0)))</f>
        <v>0</v>
      </c>
      <c r="AD230" s="39" t="n">
        <f aca="false">IF($F230="","",IF(COUNTA($I230:$K230)=0,0,1/COUNTA($I230:$K230)))</f>
        <v>0</v>
      </c>
      <c r="AE230" s="39" t="str">
        <f aca="false">IF($AH230=0,"",SUM($AH$4:$AH230))</f>
        <v/>
      </c>
      <c r="AF230" s="39" t="str">
        <f aca="false">IF($AI230=0,"",SUM($AI$4:$AI230))</f>
        <v/>
      </c>
      <c r="AG230" s="50" t="str">
        <f aca="false">IF($F230="","",$I230&amp;IF($J230="",""," · "&amp;$J230)&amp;IF($K230="",""," · "&amp;$K230))</f>
        <v/>
      </c>
      <c r="AH230" s="39" t="n">
        <f aca="false">IF(AND($F230&lt;&gt;"",$O230&lt;&gt;"",$O230&lt;=Hoje!$C$3,$P230&gt;=Hoje!$C$3,$R230&lt;&gt;"Cancelada"),1,0)</f>
        <v>0</v>
      </c>
      <c r="AI230" s="39" t="n">
        <f aca="false">IF(AND($F230&lt;&gt;"",$P230&lt;&gt;"",$P230&lt;Hoje!$C$3,$AB230=0,$R230&lt;&gt;"Cancelada"),1,0)</f>
        <v>0</v>
      </c>
      <c r="AJ230" s="50" t="str">
        <f aca="false">IF($F230="","",$D230&amp;"|"&amp;$E230&amp;"|"&amp;$L230)</f>
        <v>F-818|Pendências de inspeção|37</v>
      </c>
      <c r="AK230" s="39" t="n">
        <f aca="false">IF($AJ230="","",COUNTIF($AJ$4:$AJ230,$AJ230))</f>
        <v>18</v>
      </c>
      <c r="AL230" s="39" t="n">
        <f aca="false">IF($AJ230="","",COUNTIF($AJ$4:$AJ$1004,$AJ230))</f>
        <v>21</v>
      </c>
      <c r="AM230" s="42"/>
      <c r="AN230" s="50" t="str">
        <f aca="false">IF($D230="","",IFERROR(T(VLOOKUP($D230,Listas!$B$5:$H$120,7,0)),""))</f>
        <v/>
      </c>
      <c r="AO230" s="50" t="str">
        <f aca="false">IF(OR($F230="",$L230&lt;&gt;"",$R230="Cancelada",$AT230&lt;&gt;""),"",$AN230&amp;"|"&amp;$D230&amp;"|"&amp;IF($C230="","zzz",$C230)&amp;"|"&amp;TEXT(230,"0000"))</f>
        <v/>
      </c>
      <c r="AP230" s="50" t="str">
        <f aca="false">IF($AO230="","",COUNTIF($AO$5:$AO$1004,"&lt;"&amp;$AO230)-(ROWS($AO$5:$AO$1004)-Hoje!$L$5)+1)</f>
        <v/>
      </c>
      <c r="AQ230" s="50" t="n">
        <f aca="false">IF(AND($F230&lt;&gt;"",$D230=Frota!$C$3),1,0)</f>
        <v>0</v>
      </c>
      <c r="AR230" s="50" t="str">
        <f aca="false">IF($AQ230=0,"",SUM($AQ$4:$AQ230))</f>
        <v/>
      </c>
      <c r="AS230" s="50" t="str">
        <f aca="false">IFERROR(INDEX(Hoje!$K$10:$K$29,MATCH(ROW(),Hoje!$J$10:$J$29,0)),"")</f>
        <v/>
      </c>
      <c r="AT230" s="50" t="str">
        <f aca="false">IF($Q230&lt;&gt;"",$Q230,$AS230)</f>
        <v/>
      </c>
    </row>
    <row r="231" customFormat="false" ht="16.5" hidden="false" customHeight="true" outlineLevel="0" collapsed="false">
      <c r="A231" s="39" t="n">
        <f aca="false">IF($F231="","",ROW())</f>
        <v>231</v>
      </c>
      <c r="B231" s="40" t="str">
        <f aca="false">IF($F231="",IF($D231="","","Falta a atividade"),IF($R231="Cancelada","Cancelada",IF($AB231=1,IF(N($Z231)&gt;0,"Concluída com atraso","Concluída"),IF($R231="Em programação","Em programação",IF($O231="",IF($M231="","Na carteira","Falta a semana"),IF($AC231=1,"VENCIDA",IF($O231&gt;Hoje!$L$1,"Programada",IF($P231&gt;Hoje!$L$1,"Em execução","Fecha hoje"))))))))</f>
        <v>Programada</v>
      </c>
      <c r="C231" s="41" t="s">
        <v>574</v>
      </c>
      <c r="D231" s="42" t="s">
        <v>537</v>
      </c>
      <c r="E231" s="42" t="s">
        <v>495</v>
      </c>
      <c r="F231" s="42" t="s">
        <v>575</v>
      </c>
      <c r="G231" s="43" t="s">
        <v>80</v>
      </c>
      <c r="H231" s="43" t="s">
        <v>100</v>
      </c>
      <c r="I231" s="44"/>
      <c r="J231" s="44"/>
      <c r="K231" s="44"/>
      <c r="L231" s="45" t="n">
        <v>37</v>
      </c>
      <c r="M231" s="46" t="s">
        <v>173</v>
      </c>
      <c r="N231" s="45" t="n">
        <v>4</v>
      </c>
      <c r="O231" s="47" t="n">
        <f aca="false">IF(OR($L231="",$M231=""),"",(DATE(Semana!$J$3,1,4)-WEEKDAY(DATE(Semana!$J$3,1,4),3))+($L231-1)*7+MATCH($M231,Listas!$F$5:$F$11,0)-1)</f>
        <v>46275</v>
      </c>
      <c r="P231" s="47" t="n">
        <f aca="false">IF(OR($F231="",$O231=""),"",$O231+MAX(0,ROUNDUP($AK231*MAX(1,IF($N231="",1,$N231))/MAX(1,$AL231),0)-1))</f>
        <v>46278</v>
      </c>
      <c r="Q231" s="48"/>
      <c r="R231" s="43"/>
      <c r="S231" s="49"/>
      <c r="T231" s="42"/>
      <c r="U231" s="42" t="s">
        <v>500</v>
      </c>
      <c r="V231" s="39" t="str">
        <f aca="false">IF($F231="","",IF(ISNUMBER(SEARCH("(externo)",$I231&amp;$J231&amp;$K231)),"Terceirizada","Interna"))</f>
        <v>Interna</v>
      </c>
      <c r="W231" s="47" t="n">
        <f aca="false">IF($O231="","",IF($S231="",$O231,(DATE(Semana!$J$3,1,4)-WEEKDAY(DATE(Semana!$J$3,1,4),3))+($S231-1)*7+IF($M231="",0,MATCH($M231,Listas!$F$5:$F$11,0)-1)))</f>
        <v>46275</v>
      </c>
      <c r="X231" s="39" t="n">
        <f aca="false">IF($F231="","",IF(OR($AT231="",$O231=""),0,IF($AT231&lt;=$O231,1,0)))</f>
        <v>0</v>
      </c>
      <c r="Y231" s="39" t="n">
        <f aca="false">IF($F231="","",IF(OR($AT231="",$W231=""),0,IF($AT231&lt;=$W231,1,0)))</f>
        <v>0</v>
      </c>
      <c r="Z231" s="39" t="str">
        <f aca="false">IF(OR($AT231="",$O231=""),"",MAX(0,$AT231-$O231))</f>
        <v/>
      </c>
      <c r="AA231" s="39" t="n">
        <f aca="false">IF($F231="","",IF(AND($S231&lt;&gt;"",$L231&lt;&gt;"",$S231&lt;&gt;$L231),1,0))</f>
        <v>0</v>
      </c>
      <c r="AB231" s="39" t="n">
        <f aca="false">IF($F231="","",IF($R231="Cancelada",0,IF(OR($AT231&lt;&gt;"",$R231="Concluída"),1,0)))</f>
        <v>0</v>
      </c>
      <c r="AC231" s="39" t="n">
        <f aca="false">IF($P231="",0,IF($P231&lt;Hoje!$L$1,1,IF(AND($P231=Hoje!$L$1,Hoje!$L$2&gt;Semana!$M$3),1,0)))</f>
        <v>0</v>
      </c>
      <c r="AD231" s="39" t="n">
        <f aca="false">IF($F231="","",IF(COUNTA($I231:$K231)=0,0,1/COUNTA($I231:$K231)))</f>
        <v>0</v>
      </c>
      <c r="AE231" s="39" t="str">
        <f aca="false">IF($AH231=0,"",SUM($AH$4:$AH231))</f>
        <v/>
      </c>
      <c r="AF231" s="39" t="str">
        <f aca="false">IF($AI231=0,"",SUM($AI$4:$AI231))</f>
        <v/>
      </c>
      <c r="AG231" s="50" t="str">
        <f aca="false">IF($F231="","",$I231&amp;IF($J231="",""," · "&amp;$J231)&amp;IF($K231="",""," · "&amp;$K231))</f>
        <v/>
      </c>
      <c r="AH231" s="39" t="n">
        <f aca="false">IF(AND($F231&lt;&gt;"",$O231&lt;&gt;"",$O231&lt;=Hoje!$C$3,$P231&gt;=Hoje!$C$3,$R231&lt;&gt;"Cancelada"),1,0)</f>
        <v>0</v>
      </c>
      <c r="AI231" s="39" t="n">
        <f aca="false">IF(AND($F231&lt;&gt;"",$P231&lt;&gt;"",$P231&lt;Hoje!$C$3,$AB231=0,$R231&lt;&gt;"Cancelada"),1,0)</f>
        <v>0</v>
      </c>
      <c r="AJ231" s="50" t="str">
        <f aca="false">IF($F231="","",$D231&amp;"|"&amp;$E231&amp;"|"&amp;$L231)</f>
        <v>F-818|Pendências de inspeção|37</v>
      </c>
      <c r="AK231" s="39" t="n">
        <f aca="false">IF($AJ231="","",COUNTIF($AJ$4:$AJ231,$AJ231))</f>
        <v>19</v>
      </c>
      <c r="AL231" s="39" t="n">
        <f aca="false">IF($AJ231="","",COUNTIF($AJ$4:$AJ$1004,$AJ231))</f>
        <v>21</v>
      </c>
      <c r="AM231" s="42"/>
      <c r="AN231" s="50" t="str">
        <f aca="false">IF($D231="","",IFERROR(T(VLOOKUP($D231,Listas!$B$5:$H$120,7,0)),""))</f>
        <v/>
      </c>
      <c r="AO231" s="50" t="str">
        <f aca="false">IF(OR($F231="",$L231&lt;&gt;"",$R231="Cancelada",$AT231&lt;&gt;""),"",$AN231&amp;"|"&amp;$D231&amp;"|"&amp;IF($C231="","zzz",$C231)&amp;"|"&amp;TEXT(231,"0000"))</f>
        <v/>
      </c>
      <c r="AP231" s="50" t="str">
        <f aca="false">IF($AO231="","",COUNTIF($AO$5:$AO$1004,"&lt;"&amp;$AO231)-(ROWS($AO$5:$AO$1004)-Hoje!$L$5)+1)</f>
        <v/>
      </c>
      <c r="AQ231" s="50" t="n">
        <f aca="false">IF(AND($F231&lt;&gt;"",$D231=Frota!$C$3),1,0)</f>
        <v>0</v>
      </c>
      <c r="AR231" s="50" t="str">
        <f aca="false">IF($AQ231=0,"",SUM($AQ$4:$AQ231))</f>
        <v/>
      </c>
      <c r="AS231" s="50" t="str">
        <f aca="false">IFERROR(INDEX(Hoje!$K$10:$K$29,MATCH(ROW(),Hoje!$J$10:$J$29,0)),"")</f>
        <v/>
      </c>
      <c r="AT231" s="50" t="str">
        <f aca="false">IF($Q231&lt;&gt;"",$Q231,$AS231)</f>
        <v/>
      </c>
    </row>
    <row r="232" customFormat="false" ht="16.5" hidden="false" customHeight="true" outlineLevel="0" collapsed="false">
      <c r="A232" s="39" t="n">
        <f aca="false">IF($F232="","",ROW())</f>
        <v>232</v>
      </c>
      <c r="B232" s="40" t="str">
        <f aca="false">IF($F232="",IF($D232="","","Falta a atividade"),IF($R232="Cancelada","Cancelada",IF($AB232=1,IF(N($Z232)&gt;0,"Concluída com atraso","Concluída"),IF($R232="Em programação","Em programação",IF($O232="",IF($M232="","Na carteira","Falta a semana"),IF($AC232=1,"VENCIDA",IF($O232&gt;Hoje!$L$1,"Programada",IF($P232&gt;Hoje!$L$1,"Em execução","Fecha hoje"))))))))</f>
        <v>Programada</v>
      </c>
      <c r="C232" s="41" t="s">
        <v>576</v>
      </c>
      <c r="D232" s="42" t="s">
        <v>537</v>
      </c>
      <c r="E232" s="42" t="s">
        <v>495</v>
      </c>
      <c r="F232" s="42" t="s">
        <v>154</v>
      </c>
      <c r="G232" s="43" t="s">
        <v>80</v>
      </c>
      <c r="H232" s="43" t="s">
        <v>100</v>
      </c>
      <c r="I232" s="44"/>
      <c r="J232" s="44"/>
      <c r="K232" s="44"/>
      <c r="L232" s="45" t="n">
        <v>37</v>
      </c>
      <c r="M232" s="46" t="s">
        <v>173</v>
      </c>
      <c r="N232" s="45" t="n">
        <v>4</v>
      </c>
      <c r="O232" s="47" t="n">
        <f aca="false">IF(OR($L232="",$M232=""),"",(DATE(Semana!$J$3,1,4)-WEEKDAY(DATE(Semana!$J$3,1,4),3))+($L232-1)*7+MATCH($M232,Listas!$F$5:$F$11,0)-1)</f>
        <v>46275</v>
      </c>
      <c r="P232" s="47" t="n">
        <f aca="false">IF(OR($F232="",$O232=""),"",$O232+MAX(0,ROUNDUP($AK232*MAX(1,IF($N232="",1,$N232))/MAX(1,$AL232),0)-1))</f>
        <v>46278</v>
      </c>
      <c r="Q232" s="48"/>
      <c r="R232" s="43"/>
      <c r="S232" s="49"/>
      <c r="T232" s="42"/>
      <c r="U232" s="42" t="s">
        <v>500</v>
      </c>
      <c r="V232" s="39" t="str">
        <f aca="false">IF($F232="","",IF(ISNUMBER(SEARCH("(externo)",$I232&amp;$J232&amp;$K232)),"Terceirizada","Interna"))</f>
        <v>Interna</v>
      </c>
      <c r="W232" s="47" t="n">
        <f aca="false">IF($O232="","",IF($S232="",$O232,(DATE(Semana!$J$3,1,4)-WEEKDAY(DATE(Semana!$J$3,1,4),3))+($S232-1)*7+IF($M232="",0,MATCH($M232,Listas!$F$5:$F$11,0)-1)))</f>
        <v>46275</v>
      </c>
      <c r="X232" s="39" t="n">
        <f aca="false">IF($F232="","",IF(OR($AT232="",$O232=""),0,IF($AT232&lt;=$O232,1,0)))</f>
        <v>0</v>
      </c>
      <c r="Y232" s="39" t="n">
        <f aca="false">IF($F232="","",IF(OR($AT232="",$W232=""),0,IF($AT232&lt;=$W232,1,0)))</f>
        <v>0</v>
      </c>
      <c r="Z232" s="39" t="str">
        <f aca="false">IF(OR($AT232="",$O232=""),"",MAX(0,$AT232-$O232))</f>
        <v/>
      </c>
      <c r="AA232" s="39" t="n">
        <f aca="false">IF($F232="","",IF(AND($S232&lt;&gt;"",$L232&lt;&gt;"",$S232&lt;&gt;$L232),1,0))</f>
        <v>0</v>
      </c>
      <c r="AB232" s="39" t="n">
        <f aca="false">IF($F232="","",IF($R232="Cancelada",0,IF(OR($AT232&lt;&gt;"",$R232="Concluída"),1,0)))</f>
        <v>0</v>
      </c>
      <c r="AC232" s="39" t="n">
        <f aca="false">IF($P232="",0,IF($P232&lt;Hoje!$L$1,1,IF(AND($P232=Hoje!$L$1,Hoje!$L$2&gt;Semana!$M$3),1,0)))</f>
        <v>0</v>
      </c>
      <c r="AD232" s="39" t="n">
        <f aca="false">IF($F232="","",IF(COUNTA($I232:$K232)=0,0,1/COUNTA($I232:$K232)))</f>
        <v>0</v>
      </c>
      <c r="AE232" s="39" t="str">
        <f aca="false">IF($AH232=0,"",SUM($AH$4:$AH232))</f>
        <v/>
      </c>
      <c r="AF232" s="39" t="str">
        <f aca="false">IF($AI232=0,"",SUM($AI$4:$AI232))</f>
        <v/>
      </c>
      <c r="AG232" s="50" t="str">
        <f aca="false">IF($F232="","",$I232&amp;IF($J232="",""," · "&amp;$J232)&amp;IF($K232="",""," · "&amp;$K232))</f>
        <v/>
      </c>
      <c r="AH232" s="39" t="n">
        <f aca="false">IF(AND($F232&lt;&gt;"",$O232&lt;&gt;"",$O232&lt;=Hoje!$C$3,$P232&gt;=Hoje!$C$3,$R232&lt;&gt;"Cancelada"),1,0)</f>
        <v>0</v>
      </c>
      <c r="AI232" s="39" t="n">
        <f aca="false">IF(AND($F232&lt;&gt;"",$P232&lt;&gt;"",$P232&lt;Hoje!$C$3,$AB232=0,$R232&lt;&gt;"Cancelada"),1,0)</f>
        <v>0</v>
      </c>
      <c r="AJ232" s="50" t="str">
        <f aca="false">IF($F232="","",$D232&amp;"|"&amp;$E232&amp;"|"&amp;$L232)</f>
        <v>F-818|Pendências de inspeção|37</v>
      </c>
      <c r="AK232" s="39" t="n">
        <f aca="false">IF($AJ232="","",COUNTIF($AJ$4:$AJ232,$AJ232))</f>
        <v>20</v>
      </c>
      <c r="AL232" s="39" t="n">
        <f aca="false">IF($AJ232="","",COUNTIF($AJ$4:$AJ$1004,$AJ232))</f>
        <v>21</v>
      </c>
      <c r="AM232" s="42"/>
      <c r="AN232" s="50" t="str">
        <f aca="false">IF($D232="","",IFERROR(T(VLOOKUP($D232,Listas!$B$5:$H$120,7,0)),""))</f>
        <v/>
      </c>
      <c r="AO232" s="50" t="str">
        <f aca="false">IF(OR($F232="",$L232&lt;&gt;"",$R232="Cancelada",$AT232&lt;&gt;""),"",$AN232&amp;"|"&amp;$D232&amp;"|"&amp;IF($C232="","zzz",$C232)&amp;"|"&amp;TEXT(232,"0000"))</f>
        <v/>
      </c>
      <c r="AP232" s="50" t="str">
        <f aca="false">IF($AO232="","",COUNTIF($AO$5:$AO$1004,"&lt;"&amp;$AO232)-(ROWS($AO$5:$AO$1004)-Hoje!$L$5)+1)</f>
        <v/>
      </c>
      <c r="AQ232" s="50" t="n">
        <f aca="false">IF(AND($F232&lt;&gt;"",$D232=Frota!$C$3),1,0)</f>
        <v>0</v>
      </c>
      <c r="AR232" s="50" t="str">
        <f aca="false">IF($AQ232=0,"",SUM($AQ$4:$AQ232))</f>
        <v/>
      </c>
      <c r="AS232" s="50" t="str">
        <f aca="false">IFERROR(INDEX(Hoje!$K$10:$K$29,MATCH(ROW(),Hoje!$J$10:$J$29,0)),"")</f>
        <v/>
      </c>
      <c r="AT232" s="50" t="str">
        <f aca="false">IF($Q232&lt;&gt;"",$Q232,$AS232)</f>
        <v/>
      </c>
    </row>
    <row r="233" customFormat="false" ht="16.5" hidden="false" customHeight="true" outlineLevel="0" collapsed="false">
      <c r="A233" s="39" t="n">
        <f aca="false">IF($F233="","",ROW())</f>
        <v>233</v>
      </c>
      <c r="B233" s="40" t="str">
        <f aca="false">IF($F233="",IF($D233="","","Falta a atividade"),IF($R233="Cancelada","Cancelada",IF($AB233=1,IF(N($Z233)&gt;0,"Concluída com atraso","Concluída"),IF($R233="Em programação","Em programação",IF($O233="",IF($M233="","Na carteira","Falta a semana"),IF($AC233=1,"VENCIDA",IF($O233&gt;Hoje!$L$1,"Programada",IF($P233&gt;Hoje!$L$1,"Em execução","Fecha hoje"))))))))</f>
        <v>Programada</v>
      </c>
      <c r="C233" s="41" t="s">
        <v>577</v>
      </c>
      <c r="D233" s="42" t="s">
        <v>537</v>
      </c>
      <c r="E233" s="42" t="s">
        <v>495</v>
      </c>
      <c r="F233" s="42" t="s">
        <v>578</v>
      </c>
      <c r="G233" s="43" t="s">
        <v>80</v>
      </c>
      <c r="H233" s="43" t="s">
        <v>100</v>
      </c>
      <c r="I233" s="44"/>
      <c r="J233" s="44"/>
      <c r="K233" s="44"/>
      <c r="L233" s="45" t="n">
        <v>37</v>
      </c>
      <c r="M233" s="46" t="s">
        <v>173</v>
      </c>
      <c r="N233" s="45" t="n">
        <v>4</v>
      </c>
      <c r="O233" s="47" t="n">
        <f aca="false">IF(OR($L233="",$M233=""),"",(DATE(Semana!$J$3,1,4)-WEEKDAY(DATE(Semana!$J$3,1,4),3))+($L233-1)*7+MATCH($M233,Listas!$F$5:$F$11,0)-1)</f>
        <v>46275</v>
      </c>
      <c r="P233" s="47" t="n">
        <f aca="false">IF(OR($F233="",$O233=""),"",$O233+MAX(0,ROUNDUP($AK233*MAX(1,IF($N233="",1,$N233))/MAX(1,$AL233),0)-1))</f>
        <v>46278</v>
      </c>
      <c r="Q233" s="48"/>
      <c r="R233" s="43"/>
      <c r="S233" s="49"/>
      <c r="T233" s="42"/>
      <c r="U233" s="42" t="s">
        <v>500</v>
      </c>
      <c r="V233" s="39" t="str">
        <f aca="false">IF($F233="","",IF(ISNUMBER(SEARCH("(externo)",$I233&amp;$J233&amp;$K233)),"Terceirizada","Interna"))</f>
        <v>Interna</v>
      </c>
      <c r="W233" s="47" t="n">
        <f aca="false">IF($O233="","",IF($S233="",$O233,(DATE(Semana!$J$3,1,4)-WEEKDAY(DATE(Semana!$J$3,1,4),3))+($S233-1)*7+IF($M233="",0,MATCH($M233,Listas!$F$5:$F$11,0)-1)))</f>
        <v>46275</v>
      </c>
      <c r="X233" s="39" t="n">
        <f aca="false">IF($F233="","",IF(OR($AT233="",$O233=""),0,IF($AT233&lt;=$O233,1,0)))</f>
        <v>0</v>
      </c>
      <c r="Y233" s="39" t="n">
        <f aca="false">IF($F233="","",IF(OR($AT233="",$W233=""),0,IF($AT233&lt;=$W233,1,0)))</f>
        <v>0</v>
      </c>
      <c r="Z233" s="39" t="str">
        <f aca="false">IF(OR($AT233="",$O233=""),"",MAX(0,$AT233-$O233))</f>
        <v/>
      </c>
      <c r="AA233" s="39" t="n">
        <f aca="false">IF($F233="","",IF(AND($S233&lt;&gt;"",$L233&lt;&gt;"",$S233&lt;&gt;$L233),1,0))</f>
        <v>0</v>
      </c>
      <c r="AB233" s="39" t="n">
        <f aca="false">IF($F233="","",IF($R233="Cancelada",0,IF(OR($AT233&lt;&gt;"",$R233="Concluída"),1,0)))</f>
        <v>0</v>
      </c>
      <c r="AC233" s="39" t="n">
        <f aca="false">IF($P233="",0,IF($P233&lt;Hoje!$L$1,1,IF(AND($P233=Hoje!$L$1,Hoje!$L$2&gt;Semana!$M$3),1,0)))</f>
        <v>0</v>
      </c>
      <c r="AD233" s="39" t="n">
        <f aca="false">IF($F233="","",IF(COUNTA($I233:$K233)=0,0,1/COUNTA($I233:$K233)))</f>
        <v>0</v>
      </c>
      <c r="AE233" s="39" t="str">
        <f aca="false">IF($AH233=0,"",SUM($AH$4:$AH233))</f>
        <v/>
      </c>
      <c r="AF233" s="39" t="str">
        <f aca="false">IF($AI233=0,"",SUM($AI$4:$AI233))</f>
        <v/>
      </c>
      <c r="AG233" s="50" t="str">
        <f aca="false">IF($F233="","",$I233&amp;IF($J233="",""," · "&amp;$J233)&amp;IF($K233="",""," · "&amp;$K233))</f>
        <v/>
      </c>
      <c r="AH233" s="39" t="n">
        <f aca="false">IF(AND($F233&lt;&gt;"",$O233&lt;&gt;"",$O233&lt;=Hoje!$C$3,$P233&gt;=Hoje!$C$3,$R233&lt;&gt;"Cancelada"),1,0)</f>
        <v>0</v>
      </c>
      <c r="AI233" s="39" t="n">
        <f aca="false">IF(AND($F233&lt;&gt;"",$P233&lt;&gt;"",$P233&lt;Hoje!$C$3,$AB233=0,$R233&lt;&gt;"Cancelada"),1,0)</f>
        <v>0</v>
      </c>
      <c r="AJ233" s="50" t="str">
        <f aca="false">IF($F233="","",$D233&amp;"|"&amp;$E233&amp;"|"&amp;$L233)</f>
        <v>F-818|Pendências de inspeção|37</v>
      </c>
      <c r="AK233" s="39" t="n">
        <f aca="false">IF($AJ233="","",COUNTIF($AJ$4:$AJ233,$AJ233))</f>
        <v>21</v>
      </c>
      <c r="AL233" s="39" t="n">
        <f aca="false">IF($AJ233="","",COUNTIF($AJ$4:$AJ$1004,$AJ233))</f>
        <v>21</v>
      </c>
      <c r="AM233" s="42"/>
      <c r="AN233" s="50" t="str">
        <f aca="false">IF($D233="","",IFERROR(T(VLOOKUP($D233,Listas!$B$5:$H$120,7,0)),""))</f>
        <v/>
      </c>
      <c r="AO233" s="50" t="str">
        <f aca="false">IF(OR($F233="",$L233&lt;&gt;"",$R233="Cancelada",$AT233&lt;&gt;""),"",$AN233&amp;"|"&amp;$D233&amp;"|"&amp;IF($C233="","zzz",$C233)&amp;"|"&amp;TEXT(233,"0000"))</f>
        <v/>
      </c>
      <c r="AP233" s="50" t="str">
        <f aca="false">IF($AO233="","",COUNTIF($AO$5:$AO$1004,"&lt;"&amp;$AO233)-(ROWS($AO$5:$AO$1004)-Hoje!$L$5)+1)</f>
        <v/>
      </c>
      <c r="AQ233" s="50" t="n">
        <f aca="false">IF(AND($F233&lt;&gt;"",$D233=Frota!$C$3),1,0)</f>
        <v>0</v>
      </c>
      <c r="AR233" s="50" t="str">
        <f aca="false">IF($AQ233=0,"",SUM($AQ$4:$AQ233))</f>
        <v/>
      </c>
      <c r="AS233" s="50" t="str">
        <f aca="false">IFERROR(INDEX(Hoje!$K$10:$K$29,MATCH(ROW(),Hoje!$J$10:$J$29,0)),"")</f>
        <v/>
      </c>
      <c r="AT233" s="50" t="str">
        <f aca="false">IF($Q233&lt;&gt;"",$Q233,$AS233)</f>
        <v/>
      </c>
    </row>
    <row r="234" customFormat="false" ht="16.5" hidden="false" customHeight="true" outlineLevel="0" collapsed="false">
      <c r="A234" s="39" t="n">
        <f aca="false">IF($F234="","",ROW())</f>
        <v>234</v>
      </c>
      <c r="B234" s="40" t="str">
        <f aca="false">IF($F234="",IF($D234="","","Falta a atividade"),IF($R234="Cancelada","Cancelada",IF($AB234=1,IF(N($Z234)&gt;0,"Concluída com atraso","Concluída"),IF($R234="Em programação","Em programação",IF($O234="",IF($M234="","Na carteira","Falta a semana"),IF($AC234=1,"VENCIDA",IF($O234&gt;Hoje!$L$1,"Programada",IF($P234&gt;Hoje!$L$1,"Em execução","Fecha hoje"))))))))</f>
        <v>Programada</v>
      </c>
      <c r="C234" s="41" t="s">
        <v>579</v>
      </c>
      <c r="D234" s="42" t="s">
        <v>537</v>
      </c>
      <c r="E234" s="42" t="s">
        <v>495</v>
      </c>
      <c r="F234" s="42" t="s">
        <v>580</v>
      </c>
      <c r="G234" s="43" t="s">
        <v>80</v>
      </c>
      <c r="H234" s="43" t="s">
        <v>100</v>
      </c>
      <c r="I234" s="44" t="s">
        <v>581</v>
      </c>
      <c r="J234" s="44"/>
      <c r="K234" s="44"/>
      <c r="L234" s="45" t="n">
        <v>38</v>
      </c>
      <c r="M234" s="46" t="s">
        <v>108</v>
      </c>
      <c r="N234" s="45" t="n">
        <v>3</v>
      </c>
      <c r="O234" s="47" t="n">
        <f aca="false">IF(OR($L234="",$M234=""),"",(DATE(Semana!$J$3,1,4)-WEEKDAY(DATE(Semana!$J$3,1,4),3))+($L234-1)*7+MATCH($M234,Listas!$F$5:$F$11,0)-1)</f>
        <v>46279</v>
      </c>
      <c r="P234" s="47" t="n">
        <f aca="false">IF(OR($F234="",$O234=""),"",$O234+MAX(0,ROUNDUP($AK234*MAX(1,IF($N234="",1,$N234))/MAX(1,$AL234),0)-1))</f>
        <v>46279</v>
      </c>
      <c r="Q234" s="48"/>
      <c r="R234" s="43"/>
      <c r="S234" s="49"/>
      <c r="T234" s="42"/>
      <c r="U234" s="42" t="s">
        <v>582</v>
      </c>
      <c r="V234" s="39" t="str">
        <f aca="false">IF($F234="","",IF(ISNUMBER(SEARCH("(externo)",$I234&amp;$J234&amp;$K234)),"Terceirizada","Interna"))</f>
        <v>Terceirizada</v>
      </c>
      <c r="W234" s="47" t="n">
        <f aca="false">IF($O234="","",IF($S234="",$O234,(DATE(Semana!$J$3,1,4)-WEEKDAY(DATE(Semana!$J$3,1,4),3))+($S234-1)*7+IF($M234="",0,MATCH($M234,Listas!$F$5:$F$11,0)-1)))</f>
        <v>46279</v>
      </c>
      <c r="X234" s="39" t="n">
        <f aca="false">IF($F234="","",IF(OR($AT234="",$O234=""),0,IF($AT234&lt;=$O234,1,0)))</f>
        <v>0</v>
      </c>
      <c r="Y234" s="39" t="n">
        <f aca="false">IF($F234="","",IF(OR($AT234="",$W234=""),0,IF($AT234&lt;=$W234,1,0)))</f>
        <v>0</v>
      </c>
      <c r="Z234" s="39" t="str">
        <f aca="false">IF(OR($AT234="",$O234=""),"",MAX(0,$AT234-$O234))</f>
        <v/>
      </c>
      <c r="AA234" s="39" t="n">
        <f aca="false">IF($F234="","",IF(AND($S234&lt;&gt;"",$L234&lt;&gt;"",$S234&lt;&gt;$L234),1,0))</f>
        <v>0</v>
      </c>
      <c r="AB234" s="39" t="n">
        <f aca="false">IF($F234="","",IF($R234="Cancelada",0,IF(OR($AT234&lt;&gt;"",$R234="Concluída"),1,0)))</f>
        <v>0</v>
      </c>
      <c r="AC234" s="39" t="n">
        <f aca="false">IF($P234="",0,IF($P234&lt;Hoje!$L$1,1,IF(AND($P234=Hoje!$L$1,Hoje!$L$2&gt;Semana!$M$3),1,0)))</f>
        <v>0</v>
      </c>
      <c r="AD234" s="39" t="n">
        <f aca="false">IF($F234="","",IF(COUNTA($I234:$K234)=0,0,1/COUNTA($I234:$K234)))</f>
        <v>1</v>
      </c>
      <c r="AE234" s="39" t="str">
        <f aca="false">IF($AH234=0,"",SUM($AH$4:$AH234))</f>
        <v/>
      </c>
      <c r="AF234" s="39" t="str">
        <f aca="false">IF($AI234=0,"",SUM($AI$4:$AI234))</f>
        <v/>
      </c>
      <c r="AG234" s="50" t="str">
        <f aca="false">IF($F234="","",$I234&amp;IF($J234="",""," · "&amp;$J234)&amp;IF($K234="",""," · "&amp;$K234))</f>
        <v>Cardan Nordeste (externo)</v>
      </c>
      <c r="AH234" s="39" t="n">
        <f aca="false">IF(AND($F234&lt;&gt;"",$O234&lt;&gt;"",$O234&lt;=Hoje!$C$3,$P234&gt;=Hoje!$C$3,$R234&lt;&gt;"Cancelada"),1,0)</f>
        <v>0</v>
      </c>
      <c r="AI234" s="39" t="n">
        <f aca="false">IF(AND($F234&lt;&gt;"",$P234&lt;&gt;"",$P234&lt;Hoje!$C$3,$AB234=0,$R234&lt;&gt;"Cancelada"),1,0)</f>
        <v>0</v>
      </c>
      <c r="AJ234" s="50" t="str">
        <f aca="false">IF($F234="","",$D234&amp;"|"&amp;$E234&amp;"|"&amp;$L234)</f>
        <v>F-818|Pendências de inspeção|38</v>
      </c>
      <c r="AK234" s="39" t="n">
        <f aca="false">IF($AJ234="","",COUNTIF($AJ$4:$AJ234,$AJ234))</f>
        <v>1</v>
      </c>
      <c r="AL234" s="39" t="n">
        <f aca="false">IF($AJ234="","",COUNTIF($AJ$4:$AJ$1004,$AJ234))</f>
        <v>5</v>
      </c>
      <c r="AM234" s="42"/>
      <c r="AN234" s="50" t="str">
        <f aca="false">IF($D234="","",IFERROR(T(VLOOKUP($D234,Listas!$B$5:$H$120,7,0)),""))</f>
        <v/>
      </c>
      <c r="AO234" s="50" t="str">
        <f aca="false">IF(OR($F234="",$L234&lt;&gt;"",$R234="Cancelada",$AT234&lt;&gt;""),"",$AN234&amp;"|"&amp;$D234&amp;"|"&amp;IF($C234="","zzz",$C234)&amp;"|"&amp;TEXT(234,"0000"))</f>
        <v/>
      </c>
      <c r="AP234" s="50" t="str">
        <f aca="false">IF($AO234="","",COUNTIF($AO$5:$AO$1004,"&lt;"&amp;$AO234)-(ROWS($AO$5:$AO$1004)-Hoje!$L$5)+1)</f>
        <v/>
      </c>
      <c r="AQ234" s="50" t="n">
        <f aca="false">IF(AND($F234&lt;&gt;"",$D234=Frota!$C$3),1,0)</f>
        <v>0</v>
      </c>
      <c r="AR234" s="50" t="str">
        <f aca="false">IF($AQ234=0,"",SUM($AQ$4:$AQ234))</f>
        <v/>
      </c>
      <c r="AS234" s="50" t="str">
        <f aca="false">IFERROR(INDEX(Hoje!$K$10:$K$29,MATCH(ROW(),Hoje!$J$10:$J$29,0)),"")</f>
        <v/>
      </c>
      <c r="AT234" s="50" t="str">
        <f aca="false">IF($Q234&lt;&gt;"",$Q234,$AS234)</f>
        <v/>
      </c>
    </row>
    <row r="235" customFormat="false" ht="16.5" hidden="false" customHeight="true" outlineLevel="0" collapsed="false">
      <c r="A235" s="39" t="n">
        <f aca="false">IF($F235="","",ROW())</f>
        <v>235</v>
      </c>
      <c r="B235" s="40" t="str">
        <f aca="false">IF($F235="",IF($D235="","","Falta a atividade"),IF($R235="Cancelada","Cancelada",IF($AB235=1,IF(N($Z235)&gt;0,"Concluída com atraso","Concluída"),IF($R235="Em programação","Em programação",IF($O235="",IF($M235="","Na carteira","Falta a semana"),IF($AC235=1,"VENCIDA",IF($O235&gt;Hoje!$L$1,"Programada",IF($P235&gt;Hoje!$L$1,"Em execução","Fecha hoje"))))))))</f>
        <v>Programada</v>
      </c>
      <c r="C235" s="41" t="s">
        <v>579</v>
      </c>
      <c r="D235" s="42" t="s">
        <v>537</v>
      </c>
      <c r="E235" s="42" t="s">
        <v>495</v>
      </c>
      <c r="F235" s="42" t="s">
        <v>583</v>
      </c>
      <c r="G235" s="43" t="s">
        <v>80</v>
      </c>
      <c r="H235" s="43" t="s">
        <v>100</v>
      </c>
      <c r="I235" s="44" t="s">
        <v>581</v>
      </c>
      <c r="J235" s="44"/>
      <c r="K235" s="44"/>
      <c r="L235" s="45" t="n">
        <v>38</v>
      </c>
      <c r="M235" s="46" t="s">
        <v>108</v>
      </c>
      <c r="N235" s="45" t="n">
        <v>3</v>
      </c>
      <c r="O235" s="47" t="n">
        <f aca="false">IF(OR($L235="",$M235=""),"",(DATE(Semana!$J$3,1,4)-WEEKDAY(DATE(Semana!$J$3,1,4),3))+($L235-1)*7+MATCH($M235,Listas!$F$5:$F$11,0)-1)</f>
        <v>46279</v>
      </c>
      <c r="P235" s="47" t="n">
        <f aca="false">IF(OR($F235="",$O235=""),"",$O235+MAX(0,ROUNDUP($AK235*MAX(1,IF($N235="",1,$N235))/MAX(1,$AL235),0)-1))</f>
        <v>46280</v>
      </c>
      <c r="Q235" s="48"/>
      <c r="R235" s="43"/>
      <c r="S235" s="49"/>
      <c r="T235" s="42"/>
      <c r="U235" s="42" t="s">
        <v>584</v>
      </c>
      <c r="V235" s="39" t="str">
        <f aca="false">IF($F235="","",IF(ISNUMBER(SEARCH("(externo)",$I235&amp;$J235&amp;$K235)),"Terceirizada","Interna"))</f>
        <v>Terceirizada</v>
      </c>
      <c r="W235" s="47" t="n">
        <f aca="false">IF($O235="","",IF($S235="",$O235,(DATE(Semana!$J$3,1,4)-WEEKDAY(DATE(Semana!$J$3,1,4),3))+($S235-1)*7+IF($M235="",0,MATCH($M235,Listas!$F$5:$F$11,0)-1)))</f>
        <v>46279</v>
      </c>
      <c r="X235" s="39" t="n">
        <f aca="false">IF($F235="","",IF(OR($AT235="",$O235=""),0,IF($AT235&lt;=$O235,1,0)))</f>
        <v>0</v>
      </c>
      <c r="Y235" s="39" t="n">
        <f aca="false">IF($F235="","",IF(OR($AT235="",$W235=""),0,IF($AT235&lt;=$W235,1,0)))</f>
        <v>0</v>
      </c>
      <c r="Z235" s="39" t="str">
        <f aca="false">IF(OR($AT235="",$O235=""),"",MAX(0,$AT235-$O235))</f>
        <v/>
      </c>
      <c r="AA235" s="39" t="n">
        <f aca="false">IF($F235="","",IF(AND($S235&lt;&gt;"",$L235&lt;&gt;"",$S235&lt;&gt;$L235),1,0))</f>
        <v>0</v>
      </c>
      <c r="AB235" s="39" t="n">
        <f aca="false">IF($F235="","",IF($R235="Cancelada",0,IF(OR($AT235&lt;&gt;"",$R235="Concluída"),1,0)))</f>
        <v>0</v>
      </c>
      <c r="AC235" s="39" t="n">
        <f aca="false">IF($P235="",0,IF($P235&lt;Hoje!$L$1,1,IF(AND($P235=Hoje!$L$1,Hoje!$L$2&gt;Semana!$M$3),1,0)))</f>
        <v>0</v>
      </c>
      <c r="AD235" s="39" t="n">
        <f aca="false">IF($F235="","",IF(COUNTA($I235:$K235)=0,0,1/COUNTA($I235:$K235)))</f>
        <v>1</v>
      </c>
      <c r="AE235" s="39" t="str">
        <f aca="false">IF($AH235=0,"",SUM($AH$4:$AH235))</f>
        <v/>
      </c>
      <c r="AF235" s="39" t="str">
        <f aca="false">IF($AI235=0,"",SUM($AI$4:$AI235))</f>
        <v/>
      </c>
      <c r="AG235" s="50" t="str">
        <f aca="false">IF($F235="","",$I235&amp;IF($J235="",""," · "&amp;$J235)&amp;IF($K235="",""," · "&amp;$K235))</f>
        <v>Cardan Nordeste (externo)</v>
      </c>
      <c r="AH235" s="39" t="n">
        <f aca="false">IF(AND($F235&lt;&gt;"",$O235&lt;&gt;"",$O235&lt;=Hoje!$C$3,$P235&gt;=Hoje!$C$3,$R235&lt;&gt;"Cancelada"),1,0)</f>
        <v>0</v>
      </c>
      <c r="AI235" s="39" t="n">
        <f aca="false">IF(AND($F235&lt;&gt;"",$P235&lt;&gt;"",$P235&lt;Hoje!$C$3,$AB235=0,$R235&lt;&gt;"Cancelada"),1,0)</f>
        <v>0</v>
      </c>
      <c r="AJ235" s="50" t="str">
        <f aca="false">IF($F235="","",$D235&amp;"|"&amp;$E235&amp;"|"&amp;$L235)</f>
        <v>F-818|Pendências de inspeção|38</v>
      </c>
      <c r="AK235" s="39" t="n">
        <f aca="false">IF($AJ235="","",COUNTIF($AJ$4:$AJ235,$AJ235))</f>
        <v>2</v>
      </c>
      <c r="AL235" s="39" t="n">
        <f aca="false">IF($AJ235="","",COUNTIF($AJ$4:$AJ$1004,$AJ235))</f>
        <v>5</v>
      </c>
      <c r="AM235" s="42"/>
      <c r="AN235" s="50" t="str">
        <f aca="false">IF($D235="","",IFERROR(T(VLOOKUP($D235,Listas!$B$5:$H$120,7,0)),""))</f>
        <v/>
      </c>
      <c r="AO235" s="50" t="str">
        <f aca="false">IF(OR($F235="",$L235&lt;&gt;"",$R235="Cancelada",$AT235&lt;&gt;""),"",$AN235&amp;"|"&amp;$D235&amp;"|"&amp;IF($C235="","zzz",$C235)&amp;"|"&amp;TEXT(235,"0000"))</f>
        <v/>
      </c>
      <c r="AP235" s="50" t="str">
        <f aca="false">IF($AO235="","",COUNTIF($AO$5:$AO$1004,"&lt;"&amp;$AO235)-(ROWS($AO$5:$AO$1004)-Hoje!$L$5)+1)</f>
        <v/>
      </c>
      <c r="AQ235" s="50" t="n">
        <f aca="false">IF(AND($F235&lt;&gt;"",$D235=Frota!$C$3),1,0)</f>
        <v>0</v>
      </c>
      <c r="AR235" s="50" t="str">
        <f aca="false">IF($AQ235=0,"",SUM($AQ$4:$AQ235))</f>
        <v/>
      </c>
      <c r="AS235" s="50" t="str">
        <f aca="false">IFERROR(INDEX(Hoje!$K$10:$K$29,MATCH(ROW(),Hoje!$J$10:$J$29,0)),"")</f>
        <v/>
      </c>
      <c r="AT235" s="50" t="str">
        <f aca="false">IF($Q235&lt;&gt;"",$Q235,$AS235)</f>
        <v/>
      </c>
    </row>
    <row r="236" customFormat="false" ht="16.5" hidden="false" customHeight="true" outlineLevel="0" collapsed="false">
      <c r="A236" s="39" t="n">
        <f aca="false">IF($F236="","",ROW())</f>
        <v>236</v>
      </c>
      <c r="B236" s="40" t="str">
        <f aca="false">IF($F236="",IF($D236="","","Falta a atividade"),IF($R236="Cancelada","Cancelada",IF($AB236=1,IF(N($Z236)&gt;0,"Concluída com atraso","Concluída"),IF($R236="Em programação","Em programação",IF($O236="",IF($M236="","Na carteira","Falta a semana"),IF($AC236=1,"VENCIDA",IF($O236&gt;Hoje!$L$1,"Programada",IF($P236&gt;Hoje!$L$1,"Em execução","Fecha hoje"))))))))</f>
        <v>Programada</v>
      </c>
      <c r="C236" s="41" t="s">
        <v>579</v>
      </c>
      <c r="D236" s="42" t="s">
        <v>537</v>
      </c>
      <c r="E236" s="42" t="s">
        <v>495</v>
      </c>
      <c r="F236" s="42" t="s">
        <v>585</v>
      </c>
      <c r="G236" s="43" t="s">
        <v>80</v>
      </c>
      <c r="H236" s="43" t="s">
        <v>100</v>
      </c>
      <c r="I236" s="44" t="s">
        <v>581</v>
      </c>
      <c r="J236" s="44"/>
      <c r="K236" s="44"/>
      <c r="L236" s="45" t="n">
        <v>38</v>
      </c>
      <c r="M236" s="46" t="s">
        <v>108</v>
      </c>
      <c r="N236" s="45" t="n">
        <v>3</v>
      </c>
      <c r="O236" s="47" t="n">
        <f aca="false">IF(OR($L236="",$M236=""),"",(DATE(Semana!$J$3,1,4)-WEEKDAY(DATE(Semana!$J$3,1,4),3))+($L236-1)*7+MATCH($M236,Listas!$F$5:$F$11,0)-1)</f>
        <v>46279</v>
      </c>
      <c r="P236" s="47" t="n">
        <f aca="false">IF(OR($F236="",$O236=""),"",$O236+MAX(0,ROUNDUP($AK236*MAX(1,IF($N236="",1,$N236))/MAX(1,$AL236),0)-1))</f>
        <v>46280</v>
      </c>
      <c r="Q236" s="48"/>
      <c r="R236" s="43"/>
      <c r="S236" s="49"/>
      <c r="T236" s="42"/>
      <c r="U236" s="42" t="s">
        <v>586</v>
      </c>
      <c r="V236" s="39" t="str">
        <f aca="false">IF($F236="","",IF(ISNUMBER(SEARCH("(externo)",$I236&amp;$J236&amp;$K236)),"Terceirizada","Interna"))</f>
        <v>Terceirizada</v>
      </c>
      <c r="W236" s="47" t="n">
        <f aca="false">IF($O236="","",IF($S236="",$O236,(DATE(Semana!$J$3,1,4)-WEEKDAY(DATE(Semana!$J$3,1,4),3))+($S236-1)*7+IF($M236="",0,MATCH($M236,Listas!$F$5:$F$11,0)-1)))</f>
        <v>46279</v>
      </c>
      <c r="X236" s="39" t="n">
        <f aca="false">IF($F236="","",IF(OR($AT236="",$O236=""),0,IF($AT236&lt;=$O236,1,0)))</f>
        <v>0</v>
      </c>
      <c r="Y236" s="39" t="n">
        <f aca="false">IF($F236="","",IF(OR($AT236="",$W236=""),0,IF($AT236&lt;=$W236,1,0)))</f>
        <v>0</v>
      </c>
      <c r="Z236" s="39" t="str">
        <f aca="false">IF(OR($AT236="",$O236=""),"",MAX(0,$AT236-$O236))</f>
        <v/>
      </c>
      <c r="AA236" s="39" t="n">
        <f aca="false">IF($F236="","",IF(AND($S236&lt;&gt;"",$L236&lt;&gt;"",$S236&lt;&gt;$L236),1,0))</f>
        <v>0</v>
      </c>
      <c r="AB236" s="39" t="n">
        <f aca="false">IF($F236="","",IF($R236="Cancelada",0,IF(OR($AT236&lt;&gt;"",$R236="Concluída"),1,0)))</f>
        <v>0</v>
      </c>
      <c r="AC236" s="39" t="n">
        <f aca="false">IF($P236="",0,IF($P236&lt;Hoje!$L$1,1,IF(AND($P236=Hoje!$L$1,Hoje!$L$2&gt;Semana!$M$3),1,0)))</f>
        <v>0</v>
      </c>
      <c r="AD236" s="39" t="n">
        <f aca="false">IF($F236="","",IF(COUNTA($I236:$K236)=0,0,1/COUNTA($I236:$K236)))</f>
        <v>1</v>
      </c>
      <c r="AE236" s="39" t="str">
        <f aca="false">IF($AH236=0,"",SUM($AH$4:$AH236))</f>
        <v/>
      </c>
      <c r="AF236" s="39" t="str">
        <f aca="false">IF($AI236=0,"",SUM($AI$4:$AI236))</f>
        <v/>
      </c>
      <c r="AG236" s="50" t="str">
        <f aca="false">IF($F236="","",$I236&amp;IF($J236="",""," · "&amp;$J236)&amp;IF($K236="",""," · "&amp;$K236))</f>
        <v>Cardan Nordeste (externo)</v>
      </c>
      <c r="AH236" s="39" t="n">
        <f aca="false">IF(AND($F236&lt;&gt;"",$O236&lt;&gt;"",$O236&lt;=Hoje!$C$3,$P236&gt;=Hoje!$C$3,$R236&lt;&gt;"Cancelada"),1,0)</f>
        <v>0</v>
      </c>
      <c r="AI236" s="39" t="n">
        <f aca="false">IF(AND($F236&lt;&gt;"",$P236&lt;&gt;"",$P236&lt;Hoje!$C$3,$AB236=0,$R236&lt;&gt;"Cancelada"),1,0)</f>
        <v>0</v>
      </c>
      <c r="AJ236" s="50" t="str">
        <f aca="false">IF($F236="","",$D236&amp;"|"&amp;$E236&amp;"|"&amp;$L236)</f>
        <v>F-818|Pendências de inspeção|38</v>
      </c>
      <c r="AK236" s="39" t="n">
        <f aca="false">IF($AJ236="","",COUNTIF($AJ$4:$AJ236,$AJ236))</f>
        <v>3</v>
      </c>
      <c r="AL236" s="39" t="n">
        <f aca="false">IF($AJ236="","",COUNTIF($AJ$4:$AJ$1004,$AJ236))</f>
        <v>5</v>
      </c>
      <c r="AM236" s="42"/>
      <c r="AN236" s="50" t="str">
        <f aca="false">IF($D236="","",IFERROR(T(VLOOKUP($D236,Listas!$B$5:$H$120,7,0)),""))</f>
        <v/>
      </c>
      <c r="AO236" s="50" t="str">
        <f aca="false">IF(OR($F236="",$L236&lt;&gt;"",$R236="Cancelada",$AT236&lt;&gt;""),"",$AN236&amp;"|"&amp;$D236&amp;"|"&amp;IF($C236="","zzz",$C236)&amp;"|"&amp;TEXT(236,"0000"))</f>
        <v/>
      </c>
      <c r="AP236" s="50" t="str">
        <f aca="false">IF($AO236="","",COUNTIF($AO$5:$AO$1004,"&lt;"&amp;$AO236)-(ROWS($AO$5:$AO$1004)-Hoje!$L$5)+1)</f>
        <v/>
      </c>
      <c r="AQ236" s="50" t="n">
        <f aca="false">IF(AND($F236&lt;&gt;"",$D236=Frota!$C$3),1,0)</f>
        <v>0</v>
      </c>
      <c r="AR236" s="50" t="str">
        <f aca="false">IF($AQ236=0,"",SUM($AQ$4:$AQ236))</f>
        <v/>
      </c>
      <c r="AS236" s="50" t="str">
        <f aca="false">IFERROR(INDEX(Hoje!$K$10:$K$29,MATCH(ROW(),Hoje!$J$10:$J$29,0)),"")</f>
        <v/>
      </c>
      <c r="AT236" s="50" t="str">
        <f aca="false">IF($Q236&lt;&gt;"",$Q236,$AS236)</f>
        <v/>
      </c>
    </row>
    <row r="237" customFormat="false" ht="16.5" hidden="false" customHeight="true" outlineLevel="0" collapsed="false">
      <c r="A237" s="39" t="n">
        <f aca="false">IF($F237="","",ROW())</f>
        <v>237</v>
      </c>
      <c r="B237" s="40" t="str">
        <f aca="false">IF($F237="",IF($D237="","","Falta a atividade"),IF($R237="Cancelada","Cancelada",IF($AB237=1,IF(N($Z237)&gt;0,"Concluída com atraso","Concluída"),IF($R237="Em programação","Em programação",IF($O237="",IF($M237="","Na carteira","Falta a semana"),IF($AC237=1,"VENCIDA",IF($O237&gt;Hoje!$L$1,"Programada",IF($P237&gt;Hoje!$L$1,"Em execução","Fecha hoje"))))))))</f>
        <v>Programada</v>
      </c>
      <c r="C237" s="41" t="s">
        <v>579</v>
      </c>
      <c r="D237" s="42" t="s">
        <v>537</v>
      </c>
      <c r="E237" s="42" t="s">
        <v>495</v>
      </c>
      <c r="F237" s="42" t="s">
        <v>587</v>
      </c>
      <c r="G237" s="43" t="s">
        <v>80</v>
      </c>
      <c r="H237" s="43" t="s">
        <v>100</v>
      </c>
      <c r="I237" s="44" t="s">
        <v>581</v>
      </c>
      <c r="J237" s="44"/>
      <c r="K237" s="44"/>
      <c r="L237" s="45" t="n">
        <v>38</v>
      </c>
      <c r="M237" s="46" t="s">
        <v>108</v>
      </c>
      <c r="N237" s="45" t="n">
        <v>3</v>
      </c>
      <c r="O237" s="47" t="n">
        <f aca="false">IF(OR($L237="",$M237=""),"",(DATE(Semana!$J$3,1,4)-WEEKDAY(DATE(Semana!$J$3,1,4),3))+($L237-1)*7+MATCH($M237,Listas!$F$5:$F$11,0)-1)</f>
        <v>46279</v>
      </c>
      <c r="P237" s="47" t="n">
        <f aca="false">IF(OR($F237="",$O237=""),"",$O237+MAX(0,ROUNDUP($AK237*MAX(1,IF($N237="",1,$N237))/MAX(1,$AL237),0)-1))</f>
        <v>46281</v>
      </c>
      <c r="Q237" s="48"/>
      <c r="R237" s="43"/>
      <c r="S237" s="49"/>
      <c r="T237" s="42"/>
      <c r="U237" s="42" t="s">
        <v>586</v>
      </c>
      <c r="V237" s="39" t="str">
        <f aca="false">IF($F237="","",IF(ISNUMBER(SEARCH("(externo)",$I237&amp;$J237&amp;$K237)),"Terceirizada","Interna"))</f>
        <v>Terceirizada</v>
      </c>
      <c r="W237" s="47" t="n">
        <f aca="false">IF($O237="","",IF($S237="",$O237,(DATE(Semana!$J$3,1,4)-WEEKDAY(DATE(Semana!$J$3,1,4),3))+($S237-1)*7+IF($M237="",0,MATCH($M237,Listas!$F$5:$F$11,0)-1)))</f>
        <v>46279</v>
      </c>
      <c r="X237" s="39" t="n">
        <f aca="false">IF($F237="","",IF(OR($AT237="",$O237=""),0,IF($AT237&lt;=$O237,1,0)))</f>
        <v>0</v>
      </c>
      <c r="Y237" s="39" t="n">
        <f aca="false">IF($F237="","",IF(OR($AT237="",$W237=""),0,IF($AT237&lt;=$W237,1,0)))</f>
        <v>0</v>
      </c>
      <c r="Z237" s="39" t="str">
        <f aca="false">IF(OR($AT237="",$O237=""),"",MAX(0,$AT237-$O237))</f>
        <v/>
      </c>
      <c r="AA237" s="39" t="n">
        <f aca="false">IF($F237="","",IF(AND($S237&lt;&gt;"",$L237&lt;&gt;"",$S237&lt;&gt;$L237),1,0))</f>
        <v>0</v>
      </c>
      <c r="AB237" s="39" t="n">
        <f aca="false">IF($F237="","",IF($R237="Cancelada",0,IF(OR($AT237&lt;&gt;"",$R237="Concluída"),1,0)))</f>
        <v>0</v>
      </c>
      <c r="AC237" s="39" t="n">
        <f aca="false">IF($P237="",0,IF($P237&lt;Hoje!$L$1,1,IF(AND($P237=Hoje!$L$1,Hoje!$L$2&gt;Semana!$M$3),1,0)))</f>
        <v>0</v>
      </c>
      <c r="AD237" s="39" t="n">
        <f aca="false">IF($F237="","",IF(COUNTA($I237:$K237)=0,0,1/COUNTA($I237:$K237)))</f>
        <v>1</v>
      </c>
      <c r="AE237" s="39" t="str">
        <f aca="false">IF($AH237=0,"",SUM($AH$4:$AH237))</f>
        <v/>
      </c>
      <c r="AF237" s="39" t="str">
        <f aca="false">IF($AI237=0,"",SUM($AI$4:$AI237))</f>
        <v/>
      </c>
      <c r="AG237" s="50" t="str">
        <f aca="false">IF($F237="","",$I237&amp;IF($J237="",""," · "&amp;$J237)&amp;IF($K237="",""," · "&amp;$K237))</f>
        <v>Cardan Nordeste (externo)</v>
      </c>
      <c r="AH237" s="39" t="n">
        <f aca="false">IF(AND($F237&lt;&gt;"",$O237&lt;&gt;"",$O237&lt;=Hoje!$C$3,$P237&gt;=Hoje!$C$3,$R237&lt;&gt;"Cancelada"),1,0)</f>
        <v>0</v>
      </c>
      <c r="AI237" s="39" t="n">
        <f aca="false">IF(AND($F237&lt;&gt;"",$P237&lt;&gt;"",$P237&lt;Hoje!$C$3,$AB237=0,$R237&lt;&gt;"Cancelada"),1,0)</f>
        <v>0</v>
      </c>
      <c r="AJ237" s="50" t="str">
        <f aca="false">IF($F237="","",$D237&amp;"|"&amp;$E237&amp;"|"&amp;$L237)</f>
        <v>F-818|Pendências de inspeção|38</v>
      </c>
      <c r="AK237" s="39" t="n">
        <f aca="false">IF($AJ237="","",COUNTIF($AJ$4:$AJ237,$AJ237))</f>
        <v>4</v>
      </c>
      <c r="AL237" s="39" t="n">
        <f aca="false">IF($AJ237="","",COUNTIF($AJ$4:$AJ$1004,$AJ237))</f>
        <v>5</v>
      </c>
      <c r="AM237" s="42"/>
      <c r="AN237" s="50" t="str">
        <f aca="false">IF($D237="","",IFERROR(T(VLOOKUP($D237,Listas!$B$5:$H$120,7,0)),""))</f>
        <v/>
      </c>
      <c r="AO237" s="50" t="str">
        <f aca="false">IF(OR($F237="",$L237&lt;&gt;"",$R237="Cancelada",$AT237&lt;&gt;""),"",$AN237&amp;"|"&amp;$D237&amp;"|"&amp;IF($C237="","zzz",$C237)&amp;"|"&amp;TEXT(237,"0000"))</f>
        <v/>
      </c>
      <c r="AP237" s="50" t="str">
        <f aca="false">IF($AO237="","",COUNTIF($AO$5:$AO$1004,"&lt;"&amp;$AO237)-(ROWS($AO$5:$AO$1004)-Hoje!$L$5)+1)</f>
        <v/>
      </c>
      <c r="AQ237" s="50" t="n">
        <f aca="false">IF(AND($F237&lt;&gt;"",$D237=Frota!$C$3),1,0)</f>
        <v>0</v>
      </c>
      <c r="AR237" s="50" t="str">
        <f aca="false">IF($AQ237=0,"",SUM($AQ$4:$AQ237))</f>
        <v/>
      </c>
      <c r="AS237" s="50" t="str">
        <f aca="false">IFERROR(INDEX(Hoje!$K$10:$K$29,MATCH(ROW(),Hoje!$J$10:$J$29,0)),"")</f>
        <v/>
      </c>
      <c r="AT237" s="50" t="str">
        <f aca="false">IF($Q237&lt;&gt;"",$Q237,$AS237)</f>
        <v/>
      </c>
    </row>
    <row r="238" customFormat="false" ht="16.5" hidden="false" customHeight="true" outlineLevel="0" collapsed="false">
      <c r="A238" s="39" t="n">
        <f aca="false">IF($F238="","",ROW())</f>
        <v>238</v>
      </c>
      <c r="B238" s="40" t="str">
        <f aca="false">IF($F238="",IF($D238="","","Falta a atividade"),IF($R238="Cancelada","Cancelada",IF($AB238=1,IF(N($Z238)&gt;0,"Concluída com atraso","Concluída"),IF($R238="Em programação","Em programação",IF($O238="",IF($M238="","Na carteira","Falta a semana"),IF($AC238=1,"VENCIDA",IF($O238&gt;Hoje!$L$1,"Programada",IF($P238&gt;Hoje!$L$1,"Em execução","Fecha hoje"))))))))</f>
        <v>Programada</v>
      </c>
      <c r="C238" s="41" t="s">
        <v>579</v>
      </c>
      <c r="D238" s="42" t="s">
        <v>537</v>
      </c>
      <c r="E238" s="42" t="s">
        <v>495</v>
      </c>
      <c r="F238" s="42" t="s">
        <v>588</v>
      </c>
      <c r="G238" s="43" t="s">
        <v>80</v>
      </c>
      <c r="H238" s="43" t="s">
        <v>100</v>
      </c>
      <c r="I238" s="44" t="s">
        <v>589</v>
      </c>
      <c r="J238" s="44"/>
      <c r="K238" s="44"/>
      <c r="L238" s="45" t="n">
        <v>38</v>
      </c>
      <c r="M238" s="46" t="s">
        <v>108</v>
      </c>
      <c r="N238" s="45" t="n">
        <v>3</v>
      </c>
      <c r="O238" s="47" t="n">
        <f aca="false">IF(OR($L238="",$M238=""),"",(DATE(Semana!$J$3,1,4)-WEEKDAY(DATE(Semana!$J$3,1,4),3))+($L238-1)*7+MATCH($M238,Listas!$F$5:$F$11,0)-1)</f>
        <v>46279</v>
      </c>
      <c r="P238" s="47" t="n">
        <f aca="false">IF(OR($F238="",$O238=""),"",$O238+MAX(0,ROUNDUP($AK238*MAX(1,IF($N238="",1,$N238))/MAX(1,$AL238),0)-1))</f>
        <v>46281</v>
      </c>
      <c r="Q238" s="48"/>
      <c r="R238" s="43"/>
      <c r="S238" s="49"/>
      <c r="T238" s="42"/>
      <c r="U238" s="42" t="s">
        <v>590</v>
      </c>
      <c r="V238" s="39" t="str">
        <f aca="false">IF($F238="","",IF(ISNUMBER(SEARCH("(externo)",$I238&amp;$J238&amp;$K238)),"Terceirizada","Interna"))</f>
        <v>Terceirizada</v>
      </c>
      <c r="W238" s="47" t="n">
        <f aca="false">IF($O238="","",IF($S238="",$O238,(DATE(Semana!$J$3,1,4)-WEEKDAY(DATE(Semana!$J$3,1,4),3))+($S238-1)*7+IF($M238="",0,MATCH($M238,Listas!$F$5:$F$11,0)-1)))</f>
        <v>46279</v>
      </c>
      <c r="X238" s="39" t="n">
        <f aca="false">IF($F238="","",IF(OR($AT238="",$O238=""),0,IF($AT238&lt;=$O238,1,0)))</f>
        <v>0</v>
      </c>
      <c r="Y238" s="39" t="n">
        <f aca="false">IF($F238="","",IF(OR($AT238="",$W238=""),0,IF($AT238&lt;=$W238,1,0)))</f>
        <v>0</v>
      </c>
      <c r="Z238" s="39" t="str">
        <f aca="false">IF(OR($AT238="",$O238=""),"",MAX(0,$AT238-$O238))</f>
        <v/>
      </c>
      <c r="AA238" s="39" t="n">
        <f aca="false">IF($F238="","",IF(AND($S238&lt;&gt;"",$L238&lt;&gt;"",$S238&lt;&gt;$L238),1,0))</f>
        <v>0</v>
      </c>
      <c r="AB238" s="39" t="n">
        <f aca="false">IF($F238="","",IF($R238="Cancelada",0,IF(OR($AT238&lt;&gt;"",$R238="Concluída"),1,0)))</f>
        <v>0</v>
      </c>
      <c r="AC238" s="39" t="n">
        <f aca="false">IF($P238="",0,IF($P238&lt;Hoje!$L$1,1,IF(AND($P238=Hoje!$L$1,Hoje!$L$2&gt;Semana!$M$3),1,0)))</f>
        <v>0</v>
      </c>
      <c r="AD238" s="39" t="n">
        <f aca="false">IF($F238="","",IF(COUNTA($I238:$K238)=0,0,1/COUNTA($I238:$K238)))</f>
        <v>1</v>
      </c>
      <c r="AE238" s="39" t="str">
        <f aca="false">IF($AH238=0,"",SUM($AH$4:$AH238))</f>
        <v/>
      </c>
      <c r="AF238" s="39" t="str">
        <f aca="false">IF($AI238=0,"",SUM($AI$4:$AI238))</f>
        <v/>
      </c>
      <c r="AG238" s="50" t="str">
        <f aca="false">IF($F238="","",$I238&amp;IF($J238="",""," · "&amp;$J238)&amp;IF($K238="",""," · "&amp;$K238))</f>
        <v>Rodo Ceará (externo)</v>
      </c>
      <c r="AH238" s="39" t="n">
        <f aca="false">IF(AND($F238&lt;&gt;"",$O238&lt;&gt;"",$O238&lt;=Hoje!$C$3,$P238&gt;=Hoje!$C$3,$R238&lt;&gt;"Cancelada"),1,0)</f>
        <v>0</v>
      </c>
      <c r="AI238" s="39" t="n">
        <f aca="false">IF(AND($F238&lt;&gt;"",$P238&lt;&gt;"",$P238&lt;Hoje!$C$3,$AB238=0,$R238&lt;&gt;"Cancelada"),1,0)</f>
        <v>0</v>
      </c>
      <c r="AJ238" s="50" t="str">
        <f aca="false">IF($F238="","",$D238&amp;"|"&amp;$E238&amp;"|"&amp;$L238)</f>
        <v>F-818|Pendências de inspeção|38</v>
      </c>
      <c r="AK238" s="39" t="n">
        <f aca="false">IF($AJ238="","",COUNTIF($AJ$4:$AJ238,$AJ238))</f>
        <v>5</v>
      </c>
      <c r="AL238" s="39" t="n">
        <f aca="false">IF($AJ238="","",COUNTIF($AJ$4:$AJ$1004,$AJ238))</f>
        <v>5</v>
      </c>
      <c r="AM238" s="42"/>
      <c r="AN238" s="50" t="str">
        <f aca="false">IF($D238="","",IFERROR(T(VLOOKUP($D238,Listas!$B$5:$H$120,7,0)),""))</f>
        <v/>
      </c>
      <c r="AO238" s="50" t="str">
        <f aca="false">IF(OR($F238="",$L238&lt;&gt;"",$R238="Cancelada",$AT238&lt;&gt;""),"",$AN238&amp;"|"&amp;$D238&amp;"|"&amp;IF($C238="","zzz",$C238)&amp;"|"&amp;TEXT(238,"0000"))</f>
        <v/>
      </c>
      <c r="AP238" s="50" t="str">
        <f aca="false">IF($AO238="","",COUNTIF($AO$5:$AO$1004,"&lt;"&amp;$AO238)-(ROWS($AO$5:$AO$1004)-Hoje!$L$5)+1)</f>
        <v/>
      </c>
      <c r="AQ238" s="50" t="n">
        <f aca="false">IF(AND($F238&lt;&gt;"",$D238=Frota!$C$3),1,0)</f>
        <v>0</v>
      </c>
      <c r="AR238" s="50" t="str">
        <f aca="false">IF($AQ238=0,"",SUM($AQ$4:$AQ238))</f>
        <v/>
      </c>
      <c r="AS238" s="50" t="str">
        <f aca="false">IFERROR(INDEX(Hoje!$K$10:$K$29,MATCH(ROW(),Hoje!$J$10:$J$29,0)),"")</f>
        <v/>
      </c>
      <c r="AT238" s="50" t="str">
        <f aca="false">IF($Q238&lt;&gt;"",$Q238,$AS238)</f>
        <v/>
      </c>
    </row>
    <row r="239" customFormat="false" ht="16.5" hidden="false" customHeight="true" outlineLevel="0" collapsed="false">
      <c r="A239" s="39" t="n">
        <f aca="false">IF($F239="","",ROW())</f>
        <v>239</v>
      </c>
      <c r="B239" s="40" t="str">
        <f aca="false">IF($F239="",IF($D239="","","Falta a atividade"),IF($R239="Cancelada","Cancelada",IF($AB239=1,IF(N($Z239)&gt;0,"Concluída com atraso","Concluída"),IF($R239="Em programação","Em programação",IF($O239="",IF($M239="","Na carteira","Falta a semana"),IF($AC239=1,"VENCIDA",IF($O239&gt;Hoje!$L$1,"Programada",IF($P239&gt;Hoje!$L$1,"Em execução","Fecha hoje"))))))))</f>
        <v>Na carteira</v>
      </c>
      <c r="C239" s="41"/>
      <c r="D239" s="42" t="s">
        <v>591</v>
      </c>
      <c r="E239" s="42" t="s">
        <v>592</v>
      </c>
      <c r="F239" s="42" t="s">
        <v>593</v>
      </c>
      <c r="G239" s="43" t="s">
        <v>594</v>
      </c>
      <c r="H239" s="43" t="s">
        <v>100</v>
      </c>
      <c r="I239" s="44"/>
      <c r="J239" s="44"/>
      <c r="K239" s="44"/>
      <c r="L239" s="45"/>
      <c r="M239" s="46"/>
      <c r="N239" s="45"/>
      <c r="O239" s="47" t="str">
        <f aca="false">IF(OR($L239="",$M239=""),"",(DATE(Semana!$J$3,1,4)-WEEKDAY(DATE(Semana!$J$3,1,4),3))+($L239-1)*7+MATCH($M239,Listas!$F$5:$F$11,0)-1)</f>
        <v/>
      </c>
      <c r="P239" s="47" t="str">
        <f aca="false">IF(OR($F239="",$O239=""),"",$O239+MAX(0,ROUNDUP($AK239*MAX(1,IF($N239="",1,$N239))/MAX(1,$AL239),0)-1))</f>
        <v/>
      </c>
      <c r="Q239" s="48"/>
      <c r="R239" s="43"/>
      <c r="S239" s="49"/>
      <c r="T239" s="42"/>
      <c r="U239" s="42"/>
      <c r="V239" s="39" t="str">
        <f aca="false">IF($F239="","",IF(ISNUMBER(SEARCH("(externo)",$I239&amp;$J239&amp;$K239)),"Terceirizada","Interna"))</f>
        <v>Interna</v>
      </c>
      <c r="W239" s="47" t="str">
        <f aca="false">IF($O239="","",IF($S239="",$O239,(DATE(Semana!$J$3,1,4)-WEEKDAY(DATE(Semana!$J$3,1,4),3))+($S239-1)*7+IF($M239="",0,MATCH($M239,Listas!$F$5:$F$11,0)-1)))</f>
        <v/>
      </c>
      <c r="X239" s="39" t="n">
        <f aca="false">IF($F239="","",IF(OR($AT239="",$O239=""),0,IF($AT239&lt;=$O239,1,0)))</f>
        <v>0</v>
      </c>
      <c r="Y239" s="39" t="n">
        <f aca="false">IF($F239="","",IF(OR($AT239="",$W239=""),0,IF($AT239&lt;=$W239,1,0)))</f>
        <v>0</v>
      </c>
      <c r="Z239" s="39" t="str">
        <f aca="false">IF(OR($AT239="",$O239=""),"",MAX(0,$AT239-$O239))</f>
        <v/>
      </c>
      <c r="AA239" s="39" t="n">
        <f aca="false">IF($F239="","",IF(AND($S239&lt;&gt;"",$L239&lt;&gt;"",$S239&lt;&gt;$L239),1,0))</f>
        <v>0</v>
      </c>
      <c r="AB239" s="39" t="n">
        <f aca="false">IF($F239="","",IF($R239="Cancelada",0,IF(OR($AT239&lt;&gt;"",$R239="Concluída"),1,0)))</f>
        <v>0</v>
      </c>
      <c r="AC239" s="39" t="n">
        <f aca="false">IF($P239="",0,IF($P239&lt;Hoje!$L$1,1,IF(AND($P239=Hoje!$L$1,Hoje!$L$2&gt;Semana!$M$3),1,0)))</f>
        <v>0</v>
      </c>
      <c r="AD239" s="39" t="n">
        <f aca="false">IF($F239="","",IF(COUNTA($I239:$K239)=0,0,1/COUNTA($I239:$K239)))</f>
        <v>0</v>
      </c>
      <c r="AE239" s="39" t="str">
        <f aca="false">IF($AH239=0,"",SUM($AH$4:$AH239))</f>
        <v/>
      </c>
      <c r="AF239" s="39" t="str">
        <f aca="false">IF($AI239=0,"",SUM($AI$4:$AI239))</f>
        <v/>
      </c>
      <c r="AG239" s="50" t="str">
        <f aca="false">IF($F239="","",$I239&amp;IF($J239="",""," · "&amp;$J239)&amp;IF($K239="",""," · "&amp;$K239))</f>
        <v/>
      </c>
      <c r="AH239" s="39" t="n">
        <f aca="false">IF(AND($F239&lt;&gt;"",$O239&lt;&gt;"",$O239&lt;=Hoje!$C$3,$P239&gt;=Hoje!$C$3,$R239&lt;&gt;"Cancelada"),1,0)</f>
        <v>0</v>
      </c>
      <c r="AI239" s="39" t="n">
        <f aca="false">IF(AND($F239&lt;&gt;"",$P239&lt;&gt;"",$P239&lt;Hoje!$C$3,$AB239=0,$R239&lt;&gt;"Cancelada"),1,0)</f>
        <v>0</v>
      </c>
      <c r="AJ239" s="50" t="str">
        <f aca="false">IF($F239="","",$D239&amp;"|"&amp;$E239&amp;"|"&amp;$L239)</f>
        <v>F-968|Inspeção Mossoró|</v>
      </c>
      <c r="AK239" s="39" t="n">
        <f aca="false">IF($AJ239="","",COUNTIF($AJ$4:$AJ239,$AJ239))</f>
        <v>1</v>
      </c>
      <c r="AL239" s="39" t="n">
        <f aca="false">IF($AJ239="","",COUNTIF($AJ$4:$AJ$1004,$AJ239))</f>
        <v>1</v>
      </c>
      <c r="AM239" s="42"/>
      <c r="AN239" s="50" t="str">
        <f aca="false">IF($D239="","",IFERROR(T(VLOOKUP($D239,Listas!$B$5:$H$120,7,0)),""))</f>
        <v>Petro</v>
      </c>
      <c r="AO239" s="50" t="str">
        <f aca="false">IF(OR($F239="",$L239&lt;&gt;"",$R239="Cancelada",$AT239&lt;&gt;""),"",$AN239&amp;"|"&amp;$D239&amp;"|"&amp;IF($C239="","zzz",$C239)&amp;"|"&amp;TEXT(239,"0000"))</f>
        <v>Petro|F-968|zzz|0239</v>
      </c>
      <c r="AP239" s="50" t="n">
        <f aca="false">IF($AO239="","",COUNTIF($AO$5:$AO$1004,"&lt;"&amp;$AO239)-(ROWS($AO$5:$AO$1004)-Hoje!$L$5)+1)</f>
        <v>87</v>
      </c>
      <c r="AQ239" s="50" t="n">
        <f aca="false">IF(AND($F239&lt;&gt;"",$D239=Frota!$C$3),1,0)</f>
        <v>0</v>
      </c>
      <c r="AR239" s="50" t="str">
        <f aca="false">IF($AQ239=0,"",SUM($AQ$4:$AQ239))</f>
        <v/>
      </c>
      <c r="AS239" s="50" t="str">
        <f aca="false">IFERROR(INDEX(Hoje!$K$10:$K$29,MATCH(ROW(),Hoje!$J$10:$J$29,0)),"")</f>
        <v/>
      </c>
      <c r="AT239" s="50" t="str">
        <f aca="false">IF($Q239&lt;&gt;"",$Q239,$AS239)</f>
        <v/>
      </c>
    </row>
    <row r="240" customFormat="false" ht="16.5" hidden="false" customHeight="true" outlineLevel="0" collapsed="false">
      <c r="A240" s="39" t="n">
        <f aca="false">IF($F240="","",ROW())</f>
        <v>240</v>
      </c>
      <c r="B240" s="40" t="str">
        <f aca="false">IF($F240="",IF($D240="","","Falta a atividade"),IF($R240="Cancelada","Cancelada",IF($AB240=1,IF(N($Z240)&gt;0,"Concluída com atraso","Concluída"),IF($R240="Em programação","Em programação",IF($O240="",IF($M240="","Na carteira","Falta a semana"),IF($AC240=1,"VENCIDA",IF($O240&gt;Hoje!$L$1,"Programada",IF($P240&gt;Hoje!$L$1,"Em execução","Fecha hoje"))))))))</f>
        <v>Na carteira</v>
      </c>
      <c r="C240" s="41"/>
      <c r="D240" s="42" t="s">
        <v>595</v>
      </c>
      <c r="E240" s="42" t="s">
        <v>596</v>
      </c>
      <c r="F240" s="42" t="s">
        <v>597</v>
      </c>
      <c r="G240" s="43" t="s">
        <v>594</v>
      </c>
      <c r="H240" s="43" t="s">
        <v>100</v>
      </c>
      <c r="I240" s="44"/>
      <c r="J240" s="44"/>
      <c r="K240" s="44"/>
      <c r="L240" s="45"/>
      <c r="M240" s="46"/>
      <c r="N240" s="45"/>
      <c r="O240" s="47" t="str">
        <f aca="false">IF(OR($L240="",$M240=""),"",(DATE(Semana!$J$3,1,4)-WEEKDAY(DATE(Semana!$J$3,1,4),3))+($L240-1)*7+MATCH($M240,Listas!$F$5:$F$11,0)-1)</f>
        <v/>
      </c>
      <c r="P240" s="47" t="str">
        <f aca="false">IF(OR($F240="",$O240=""),"",$O240+MAX(0,ROUNDUP($AK240*MAX(1,IF($N240="",1,$N240))/MAX(1,$AL240),0)-1))</f>
        <v/>
      </c>
      <c r="Q240" s="48"/>
      <c r="R240" s="43"/>
      <c r="S240" s="49"/>
      <c r="T240" s="42"/>
      <c r="U240" s="42" t="s">
        <v>598</v>
      </c>
      <c r="V240" s="39" t="str">
        <f aca="false">IF($F240="","",IF(ISNUMBER(SEARCH("(externo)",$I240&amp;$J240&amp;$K240)),"Terceirizada","Interna"))</f>
        <v>Interna</v>
      </c>
      <c r="W240" s="47" t="str">
        <f aca="false">IF($O240="","",IF($S240="",$O240,(DATE(Semana!$J$3,1,4)-WEEKDAY(DATE(Semana!$J$3,1,4),3))+($S240-1)*7+IF($M240="",0,MATCH($M240,Listas!$F$5:$F$11,0)-1)))</f>
        <v/>
      </c>
      <c r="X240" s="39" t="n">
        <f aca="false">IF($F240="","",IF(OR($AT240="",$O240=""),0,IF($AT240&lt;=$O240,1,0)))</f>
        <v>0</v>
      </c>
      <c r="Y240" s="39" t="n">
        <f aca="false">IF($F240="","",IF(OR($AT240="",$W240=""),0,IF($AT240&lt;=$W240,1,0)))</f>
        <v>0</v>
      </c>
      <c r="Z240" s="39" t="str">
        <f aca="false">IF(OR($AT240="",$O240=""),"",MAX(0,$AT240-$O240))</f>
        <v/>
      </c>
      <c r="AA240" s="39" t="n">
        <f aca="false">IF($F240="","",IF(AND($S240&lt;&gt;"",$L240&lt;&gt;"",$S240&lt;&gt;$L240),1,0))</f>
        <v>0</v>
      </c>
      <c r="AB240" s="39" t="n">
        <f aca="false">IF($F240="","",IF($R240="Cancelada",0,IF(OR($AT240&lt;&gt;"",$R240="Concluída"),1,0)))</f>
        <v>0</v>
      </c>
      <c r="AC240" s="39" t="n">
        <f aca="false">IF($P240="",0,IF($P240&lt;Hoje!$L$1,1,IF(AND($P240=Hoje!$L$1,Hoje!$L$2&gt;Semana!$M$3),1,0)))</f>
        <v>0</v>
      </c>
      <c r="AD240" s="39" t="n">
        <f aca="false">IF($F240="","",IF(COUNTA($I240:$K240)=0,0,1/COUNTA($I240:$K240)))</f>
        <v>0</v>
      </c>
      <c r="AE240" s="39" t="str">
        <f aca="false">IF($AH240=0,"",SUM($AH$4:$AH240))</f>
        <v/>
      </c>
      <c r="AF240" s="39" t="str">
        <f aca="false">IF($AI240=0,"",SUM($AI$4:$AI240))</f>
        <v/>
      </c>
      <c r="AG240" s="50" t="str">
        <f aca="false">IF($F240="","",$I240&amp;IF($J240="",""," · "&amp;$J240)&amp;IF($K240="",""," · "&amp;$K240))</f>
        <v/>
      </c>
      <c r="AH240" s="39" t="n">
        <f aca="false">IF(AND($F240&lt;&gt;"",$O240&lt;&gt;"",$O240&lt;=Hoje!$C$3,$P240&gt;=Hoje!$C$3,$R240&lt;&gt;"Cancelada"),1,0)</f>
        <v>0</v>
      </c>
      <c r="AI240" s="39" t="n">
        <f aca="false">IF(AND($F240&lt;&gt;"",$P240&lt;&gt;"",$P240&lt;Hoje!$C$3,$AB240=0,$R240&lt;&gt;"Cancelada"),1,0)</f>
        <v>0</v>
      </c>
      <c r="AJ240" s="50" t="str">
        <f aca="false">IF($F240="","",$D240&amp;"|"&amp;$E240&amp;"|"&amp;$L240)</f>
        <v>F-425|Inspeção de setembro|</v>
      </c>
      <c r="AK240" s="39" t="n">
        <f aca="false">IF($AJ240="","",COUNTIF($AJ$4:$AJ240,$AJ240))</f>
        <v>1</v>
      </c>
      <c r="AL240" s="39" t="n">
        <f aca="false">IF($AJ240="","",COUNTIF($AJ$4:$AJ$1004,$AJ240))</f>
        <v>1</v>
      </c>
      <c r="AM240" s="42"/>
      <c r="AN240" s="50" t="str">
        <f aca="false">IF($D240="","",IFERROR(T(VLOOKUP($D240,Listas!$B$5:$H$120,7,0)),""))</f>
        <v/>
      </c>
      <c r="AO240" s="50" t="str">
        <f aca="false">IF(OR($F240="",$L240&lt;&gt;"",$R240="Cancelada",$AT240&lt;&gt;""),"",$AN240&amp;"|"&amp;$D240&amp;"|"&amp;IF($C240="","zzz",$C240)&amp;"|"&amp;TEXT(240,"0000"))</f>
        <v>|F-425|zzz|0240</v>
      </c>
      <c r="AP240" s="50" t="n">
        <f aca="false">IF($AO240="","",COUNTIF($AO$5:$AO$1004,"&lt;"&amp;$AO240)-(ROWS($AO$5:$AO$1004)-Hoje!$L$5)+1)</f>
        <v>21</v>
      </c>
      <c r="AQ240" s="50" t="n">
        <f aca="false">IF(AND($F240&lt;&gt;"",$D240=Frota!$C$3),1,0)</f>
        <v>0</v>
      </c>
      <c r="AR240" s="50" t="str">
        <f aca="false">IF($AQ240=0,"",SUM($AQ$4:$AQ240))</f>
        <v/>
      </c>
      <c r="AS240" s="50" t="str">
        <f aca="false">IFERROR(INDEX(Hoje!$K$10:$K$29,MATCH(ROW(),Hoje!$J$10:$J$29,0)),"")</f>
        <v/>
      </c>
      <c r="AT240" s="50" t="str">
        <f aca="false">IF($Q240&lt;&gt;"",$Q240,$AS240)</f>
        <v/>
      </c>
    </row>
    <row r="241" customFormat="false" ht="16.5" hidden="false" customHeight="true" outlineLevel="0" collapsed="false">
      <c r="A241" s="39" t="n">
        <f aca="false">IF($F241="","",ROW())</f>
        <v>241</v>
      </c>
      <c r="B241" s="40" t="str">
        <f aca="false">IF($F241="",IF($D241="","","Falta a atividade"),IF($R241="Cancelada","Cancelada",IF($AB241=1,IF(N($Z241)&gt;0,"Concluída com atraso","Concluída"),IF($R241="Em programação","Em programação",IF($O241="",IF($M241="","Na carteira","Falta a semana"),IF($AC241=1,"VENCIDA",IF($O241&gt;Hoje!$L$1,"Programada",IF($P241&gt;Hoje!$L$1,"Em execução","Fecha hoje"))))))))</f>
        <v>Na carteira</v>
      </c>
      <c r="C241" s="41"/>
      <c r="D241" s="42" t="s">
        <v>599</v>
      </c>
      <c r="E241" s="42" t="s">
        <v>596</v>
      </c>
      <c r="F241" s="42" t="s">
        <v>597</v>
      </c>
      <c r="G241" s="43" t="s">
        <v>594</v>
      </c>
      <c r="H241" s="43" t="s">
        <v>100</v>
      </c>
      <c r="I241" s="44"/>
      <c r="J241" s="44"/>
      <c r="K241" s="44"/>
      <c r="L241" s="45"/>
      <c r="M241" s="46"/>
      <c r="N241" s="45"/>
      <c r="O241" s="47" t="str">
        <f aca="false">IF(OR($L241="",$M241=""),"",(DATE(Semana!$J$3,1,4)-WEEKDAY(DATE(Semana!$J$3,1,4),3))+($L241-1)*7+MATCH($M241,Listas!$F$5:$F$11,0)-1)</f>
        <v/>
      </c>
      <c r="P241" s="47" t="str">
        <f aca="false">IF(OR($F241="",$O241=""),"",$O241+MAX(0,ROUNDUP($AK241*MAX(1,IF($N241="",1,$N241))/MAX(1,$AL241),0)-1))</f>
        <v/>
      </c>
      <c r="Q241" s="48"/>
      <c r="R241" s="43"/>
      <c r="S241" s="49"/>
      <c r="T241" s="42"/>
      <c r="U241" s="42" t="s">
        <v>598</v>
      </c>
      <c r="V241" s="39" t="str">
        <f aca="false">IF($F241="","",IF(ISNUMBER(SEARCH("(externo)",$I241&amp;$J241&amp;$K241)),"Terceirizada","Interna"))</f>
        <v>Interna</v>
      </c>
      <c r="W241" s="47" t="str">
        <f aca="false">IF($O241="","",IF($S241="",$O241,(DATE(Semana!$J$3,1,4)-WEEKDAY(DATE(Semana!$J$3,1,4),3))+($S241-1)*7+IF($M241="",0,MATCH($M241,Listas!$F$5:$F$11,0)-1)))</f>
        <v/>
      </c>
      <c r="X241" s="39" t="n">
        <f aca="false">IF($F241="","",IF(OR($AT241="",$O241=""),0,IF($AT241&lt;=$O241,1,0)))</f>
        <v>0</v>
      </c>
      <c r="Y241" s="39" t="n">
        <f aca="false">IF($F241="","",IF(OR($AT241="",$W241=""),0,IF($AT241&lt;=$W241,1,0)))</f>
        <v>0</v>
      </c>
      <c r="Z241" s="39" t="str">
        <f aca="false">IF(OR($AT241="",$O241=""),"",MAX(0,$AT241-$O241))</f>
        <v/>
      </c>
      <c r="AA241" s="39" t="n">
        <f aca="false">IF($F241="","",IF(AND($S241&lt;&gt;"",$L241&lt;&gt;"",$S241&lt;&gt;$L241),1,0))</f>
        <v>0</v>
      </c>
      <c r="AB241" s="39" t="n">
        <f aca="false">IF($F241="","",IF($R241="Cancelada",0,IF(OR($AT241&lt;&gt;"",$R241="Concluída"),1,0)))</f>
        <v>0</v>
      </c>
      <c r="AC241" s="39" t="n">
        <f aca="false">IF($P241="",0,IF($P241&lt;Hoje!$L$1,1,IF(AND($P241=Hoje!$L$1,Hoje!$L$2&gt;Semana!$M$3),1,0)))</f>
        <v>0</v>
      </c>
      <c r="AD241" s="39" t="n">
        <f aca="false">IF($F241="","",IF(COUNTA($I241:$K241)=0,0,1/COUNTA($I241:$K241)))</f>
        <v>0</v>
      </c>
      <c r="AE241" s="39" t="str">
        <f aca="false">IF($AH241=0,"",SUM($AH$4:$AH241))</f>
        <v/>
      </c>
      <c r="AF241" s="39" t="str">
        <f aca="false">IF($AI241=0,"",SUM($AI$4:$AI241))</f>
        <v/>
      </c>
      <c r="AG241" s="50" t="str">
        <f aca="false">IF($F241="","",$I241&amp;IF($J241="",""," · "&amp;$J241)&amp;IF($K241="",""," · "&amp;$K241))</f>
        <v/>
      </c>
      <c r="AH241" s="39" t="n">
        <f aca="false">IF(AND($F241&lt;&gt;"",$O241&lt;&gt;"",$O241&lt;=Hoje!$C$3,$P241&gt;=Hoje!$C$3,$R241&lt;&gt;"Cancelada"),1,0)</f>
        <v>0</v>
      </c>
      <c r="AI241" s="39" t="n">
        <f aca="false">IF(AND($F241&lt;&gt;"",$P241&lt;&gt;"",$P241&lt;Hoje!$C$3,$AB241=0,$R241&lt;&gt;"Cancelada"),1,0)</f>
        <v>0</v>
      </c>
      <c r="AJ241" s="50" t="str">
        <f aca="false">IF($F241="","",$D241&amp;"|"&amp;$E241&amp;"|"&amp;$L241)</f>
        <v>F-621|Inspeção de setembro|</v>
      </c>
      <c r="AK241" s="39" t="n">
        <f aca="false">IF($AJ241="","",COUNTIF($AJ$4:$AJ241,$AJ241))</f>
        <v>1</v>
      </c>
      <c r="AL241" s="39" t="n">
        <f aca="false">IF($AJ241="","",COUNTIF($AJ$4:$AJ$1004,$AJ241))</f>
        <v>1</v>
      </c>
      <c r="AM241" s="42"/>
      <c r="AN241" s="50" t="str">
        <f aca="false">IF($D241="","",IFERROR(T(VLOOKUP($D241,Listas!$B$5:$H$120,7,0)),""))</f>
        <v/>
      </c>
      <c r="AO241" s="50" t="str">
        <f aca="false">IF(OR($F241="",$L241&lt;&gt;"",$R241="Cancelada",$AT241&lt;&gt;""),"",$AN241&amp;"|"&amp;$D241&amp;"|"&amp;IF($C241="","zzz",$C241)&amp;"|"&amp;TEXT(241,"0000"))</f>
        <v>|F-621|zzz|0241</v>
      </c>
      <c r="AP241" s="50" t="n">
        <f aca="false">IF($AO241="","",COUNTIF($AO$5:$AO$1004,"&lt;"&amp;$AO241)-(ROWS($AO$5:$AO$1004)-Hoje!$L$5)+1)</f>
        <v>23</v>
      </c>
      <c r="AQ241" s="50" t="n">
        <f aca="false">IF(AND($F241&lt;&gt;"",$D241=Frota!$C$3),1,0)</f>
        <v>0</v>
      </c>
      <c r="AR241" s="50" t="str">
        <f aca="false">IF($AQ241=0,"",SUM($AQ$4:$AQ241))</f>
        <v/>
      </c>
      <c r="AS241" s="50" t="str">
        <f aca="false">IFERROR(INDEX(Hoje!$K$10:$K$29,MATCH(ROW(),Hoje!$J$10:$J$29,0)),"")</f>
        <v/>
      </c>
      <c r="AT241" s="50" t="str">
        <f aca="false">IF($Q241&lt;&gt;"",$Q241,$AS241)</f>
        <v/>
      </c>
    </row>
    <row r="242" customFormat="false" ht="16.5" hidden="false" customHeight="true" outlineLevel="0" collapsed="false">
      <c r="A242" s="39" t="n">
        <f aca="false">IF($F242="","",ROW())</f>
        <v>242</v>
      </c>
      <c r="B242" s="40" t="str">
        <f aca="false">IF($F242="",IF($D242="","","Falta a atividade"),IF($R242="Cancelada","Cancelada",IF($AB242=1,IF(N($Z242)&gt;0,"Concluída com atraso","Concluída"),IF($R242="Em programação","Em programação",IF($O242="",IF($M242="","Na carteira","Falta a semana"),IF($AC242=1,"VENCIDA",IF($O242&gt;Hoje!$L$1,"Programada",IF($P242&gt;Hoje!$L$1,"Em execução","Fecha hoje"))))))))</f>
        <v>Na carteira</v>
      </c>
      <c r="C242" s="41"/>
      <c r="D242" s="42" t="s">
        <v>600</v>
      </c>
      <c r="E242" s="42" t="s">
        <v>596</v>
      </c>
      <c r="F242" s="42" t="s">
        <v>597</v>
      </c>
      <c r="G242" s="43" t="s">
        <v>594</v>
      </c>
      <c r="H242" s="43" t="s">
        <v>100</v>
      </c>
      <c r="I242" s="44"/>
      <c r="J242" s="44"/>
      <c r="K242" s="44"/>
      <c r="L242" s="45"/>
      <c r="M242" s="46"/>
      <c r="N242" s="45"/>
      <c r="O242" s="47" t="str">
        <f aca="false">IF(OR($L242="",$M242=""),"",(DATE(Semana!$J$3,1,4)-WEEKDAY(DATE(Semana!$J$3,1,4),3))+($L242-1)*7+MATCH($M242,Listas!$F$5:$F$11,0)-1)</f>
        <v/>
      </c>
      <c r="P242" s="47" t="str">
        <f aca="false">IF(OR($F242="",$O242=""),"",$O242+MAX(0,ROUNDUP($AK242*MAX(1,IF($N242="",1,$N242))/MAX(1,$AL242),0)-1))</f>
        <v/>
      </c>
      <c r="Q242" s="48"/>
      <c r="R242" s="43"/>
      <c r="S242" s="49"/>
      <c r="T242" s="42"/>
      <c r="U242" s="42" t="s">
        <v>598</v>
      </c>
      <c r="V242" s="39" t="str">
        <f aca="false">IF($F242="","",IF(ISNUMBER(SEARCH("(externo)",$I242&amp;$J242&amp;$K242)),"Terceirizada","Interna"))</f>
        <v>Interna</v>
      </c>
      <c r="W242" s="47" t="str">
        <f aca="false">IF($O242="","",IF($S242="",$O242,(DATE(Semana!$J$3,1,4)-WEEKDAY(DATE(Semana!$J$3,1,4),3))+($S242-1)*7+IF($M242="",0,MATCH($M242,Listas!$F$5:$F$11,0)-1)))</f>
        <v/>
      </c>
      <c r="X242" s="39" t="n">
        <f aca="false">IF($F242="","",IF(OR($AT242="",$O242=""),0,IF($AT242&lt;=$O242,1,0)))</f>
        <v>0</v>
      </c>
      <c r="Y242" s="39" t="n">
        <f aca="false">IF($F242="","",IF(OR($AT242="",$W242=""),0,IF($AT242&lt;=$W242,1,0)))</f>
        <v>0</v>
      </c>
      <c r="Z242" s="39" t="str">
        <f aca="false">IF(OR($AT242="",$O242=""),"",MAX(0,$AT242-$O242))</f>
        <v/>
      </c>
      <c r="AA242" s="39" t="n">
        <f aca="false">IF($F242="","",IF(AND($S242&lt;&gt;"",$L242&lt;&gt;"",$S242&lt;&gt;$L242),1,0))</f>
        <v>0</v>
      </c>
      <c r="AB242" s="39" t="n">
        <f aca="false">IF($F242="","",IF($R242="Cancelada",0,IF(OR($AT242&lt;&gt;"",$R242="Concluída"),1,0)))</f>
        <v>0</v>
      </c>
      <c r="AC242" s="39" t="n">
        <f aca="false">IF($P242="",0,IF($P242&lt;Hoje!$L$1,1,IF(AND($P242=Hoje!$L$1,Hoje!$L$2&gt;Semana!$M$3),1,0)))</f>
        <v>0</v>
      </c>
      <c r="AD242" s="39" t="n">
        <f aca="false">IF($F242="","",IF(COUNTA($I242:$K242)=0,0,1/COUNTA($I242:$K242)))</f>
        <v>0</v>
      </c>
      <c r="AE242" s="39" t="str">
        <f aca="false">IF($AH242=0,"",SUM($AH$4:$AH242))</f>
        <v/>
      </c>
      <c r="AF242" s="39" t="str">
        <f aca="false">IF($AI242=0,"",SUM($AI$4:$AI242))</f>
        <v/>
      </c>
      <c r="AG242" s="50" t="str">
        <f aca="false">IF($F242="","",$I242&amp;IF($J242="",""," · "&amp;$J242)&amp;IF($K242="",""," · "&amp;$K242))</f>
        <v/>
      </c>
      <c r="AH242" s="39" t="n">
        <f aca="false">IF(AND($F242&lt;&gt;"",$O242&lt;&gt;"",$O242&lt;=Hoje!$C$3,$P242&gt;=Hoje!$C$3,$R242&lt;&gt;"Cancelada"),1,0)</f>
        <v>0</v>
      </c>
      <c r="AI242" s="39" t="n">
        <f aca="false">IF(AND($F242&lt;&gt;"",$P242&lt;&gt;"",$P242&lt;Hoje!$C$3,$AB242=0,$R242&lt;&gt;"Cancelada"),1,0)</f>
        <v>0</v>
      </c>
      <c r="AJ242" s="50" t="str">
        <f aca="false">IF($F242="","",$D242&amp;"|"&amp;$E242&amp;"|"&amp;$L242)</f>
        <v>F-433|Inspeção de setembro|</v>
      </c>
      <c r="AK242" s="39" t="n">
        <f aca="false">IF($AJ242="","",COUNTIF($AJ$4:$AJ242,$AJ242))</f>
        <v>1</v>
      </c>
      <c r="AL242" s="39" t="n">
        <f aca="false">IF($AJ242="","",COUNTIF($AJ$4:$AJ$1004,$AJ242))</f>
        <v>1</v>
      </c>
      <c r="AM242" s="42"/>
      <c r="AN242" s="50" t="str">
        <f aca="false">IF($D242="","",IFERROR(T(VLOOKUP($D242,Listas!$B$5:$H$120,7,0)),""))</f>
        <v/>
      </c>
      <c r="AO242" s="50" t="str">
        <f aca="false">IF(OR($F242="",$L242&lt;&gt;"",$R242="Cancelada",$AT242&lt;&gt;""),"",$AN242&amp;"|"&amp;$D242&amp;"|"&amp;IF($C242="","zzz",$C242)&amp;"|"&amp;TEXT(242,"0000"))</f>
        <v>|F-433|zzz|0242</v>
      </c>
      <c r="AP242" s="50" t="n">
        <f aca="false">IF($AO242="","",COUNTIF($AO$5:$AO$1004,"&lt;"&amp;$AO242)-(ROWS($AO$5:$AO$1004)-Hoje!$L$5)+1)</f>
        <v>22</v>
      </c>
      <c r="AQ242" s="50" t="n">
        <f aca="false">IF(AND($F242&lt;&gt;"",$D242=Frota!$C$3),1,0)</f>
        <v>0</v>
      </c>
      <c r="AR242" s="50" t="str">
        <f aca="false">IF($AQ242=0,"",SUM($AQ$4:$AQ242))</f>
        <v/>
      </c>
      <c r="AS242" s="50" t="str">
        <f aca="false">IFERROR(INDEX(Hoje!$K$10:$K$29,MATCH(ROW(),Hoje!$J$10:$J$29,0)),"")</f>
        <v/>
      </c>
      <c r="AT242" s="50" t="str">
        <f aca="false">IF($Q242&lt;&gt;"",$Q242,$AS242)</f>
        <v/>
      </c>
    </row>
    <row r="243" customFormat="false" ht="16.5" hidden="false" customHeight="true" outlineLevel="0" collapsed="false">
      <c r="A243" s="39" t="n">
        <f aca="false">IF($F243="","",ROW())</f>
        <v>243</v>
      </c>
      <c r="B243" s="40" t="str">
        <f aca="false">IF($F243="",IF($D243="","","Falta a atividade"),IF($R243="Cancelada","Cancelada",IF($AB243=1,IF(N($Z243)&gt;0,"Concluída com atraso","Concluída"),IF($R243="Em programação","Em programação",IF($O243="",IF($M243="","Na carteira","Falta a semana"),IF($AC243=1,"VENCIDA",IF($O243&gt;Hoje!$L$1,"Programada",IF($P243&gt;Hoje!$L$1,"Em execução","Fecha hoje"))))))))</f>
        <v>Na carteira</v>
      </c>
      <c r="C243" s="41"/>
      <c r="D243" s="42" t="s">
        <v>601</v>
      </c>
      <c r="E243" s="42" t="s">
        <v>596</v>
      </c>
      <c r="F243" s="42" t="s">
        <v>597</v>
      </c>
      <c r="G243" s="43" t="s">
        <v>594</v>
      </c>
      <c r="H243" s="43" t="s">
        <v>100</v>
      </c>
      <c r="I243" s="44"/>
      <c r="J243" s="44"/>
      <c r="K243" s="44"/>
      <c r="L243" s="45"/>
      <c r="M243" s="46"/>
      <c r="N243" s="45"/>
      <c r="O243" s="47" t="str">
        <f aca="false">IF(OR($L243="",$M243=""),"",(DATE(Semana!$J$3,1,4)-WEEKDAY(DATE(Semana!$J$3,1,4),3))+($L243-1)*7+MATCH($M243,Listas!$F$5:$F$11,0)-1)</f>
        <v/>
      </c>
      <c r="P243" s="47" t="str">
        <f aca="false">IF(OR($F243="",$O243=""),"",$O243+MAX(0,ROUNDUP($AK243*MAX(1,IF($N243="",1,$N243))/MAX(1,$AL243),0)-1))</f>
        <v/>
      </c>
      <c r="Q243" s="48"/>
      <c r="R243" s="43"/>
      <c r="S243" s="49"/>
      <c r="T243" s="42"/>
      <c r="U243" s="42" t="s">
        <v>598</v>
      </c>
      <c r="V243" s="39" t="str">
        <f aca="false">IF($F243="","",IF(ISNUMBER(SEARCH("(externo)",$I243&amp;$J243&amp;$K243)),"Terceirizada","Interna"))</f>
        <v>Interna</v>
      </c>
      <c r="W243" s="47" t="str">
        <f aca="false">IF($O243="","",IF($S243="",$O243,(DATE(Semana!$J$3,1,4)-WEEKDAY(DATE(Semana!$J$3,1,4),3))+($S243-1)*7+IF($M243="",0,MATCH($M243,Listas!$F$5:$F$11,0)-1)))</f>
        <v/>
      </c>
      <c r="X243" s="39" t="n">
        <f aca="false">IF($F243="","",IF(OR($AT243="",$O243=""),0,IF($AT243&lt;=$O243,1,0)))</f>
        <v>0</v>
      </c>
      <c r="Y243" s="39" t="n">
        <f aca="false">IF($F243="","",IF(OR($AT243="",$W243=""),0,IF($AT243&lt;=$W243,1,0)))</f>
        <v>0</v>
      </c>
      <c r="Z243" s="39" t="str">
        <f aca="false">IF(OR($AT243="",$O243=""),"",MAX(0,$AT243-$O243))</f>
        <v/>
      </c>
      <c r="AA243" s="39" t="n">
        <f aca="false">IF($F243="","",IF(AND($S243&lt;&gt;"",$L243&lt;&gt;"",$S243&lt;&gt;$L243),1,0))</f>
        <v>0</v>
      </c>
      <c r="AB243" s="39" t="n">
        <f aca="false">IF($F243="","",IF($R243="Cancelada",0,IF(OR($AT243&lt;&gt;"",$R243="Concluída"),1,0)))</f>
        <v>0</v>
      </c>
      <c r="AC243" s="39" t="n">
        <f aca="false">IF($P243="",0,IF($P243&lt;Hoje!$L$1,1,IF(AND($P243=Hoje!$L$1,Hoje!$L$2&gt;Semana!$M$3),1,0)))</f>
        <v>0</v>
      </c>
      <c r="AD243" s="39" t="n">
        <f aca="false">IF($F243="","",IF(COUNTA($I243:$K243)=0,0,1/COUNTA($I243:$K243)))</f>
        <v>0</v>
      </c>
      <c r="AE243" s="39" t="str">
        <f aca="false">IF($AH243=0,"",SUM($AH$4:$AH243))</f>
        <v/>
      </c>
      <c r="AF243" s="39" t="str">
        <f aca="false">IF($AI243=0,"",SUM($AI$4:$AI243))</f>
        <v/>
      </c>
      <c r="AG243" s="50" t="str">
        <f aca="false">IF($F243="","",$I243&amp;IF($J243="",""," · "&amp;$J243)&amp;IF($K243="",""," · "&amp;$K243))</f>
        <v/>
      </c>
      <c r="AH243" s="39" t="n">
        <f aca="false">IF(AND($F243&lt;&gt;"",$O243&lt;&gt;"",$O243&lt;=Hoje!$C$3,$P243&gt;=Hoje!$C$3,$R243&lt;&gt;"Cancelada"),1,0)</f>
        <v>0</v>
      </c>
      <c r="AI243" s="39" t="n">
        <f aca="false">IF(AND($F243&lt;&gt;"",$P243&lt;&gt;"",$P243&lt;Hoje!$C$3,$AB243=0,$R243&lt;&gt;"Cancelada"),1,0)</f>
        <v>0</v>
      </c>
      <c r="AJ243" s="50" t="str">
        <f aca="false">IF($F243="","",$D243&amp;"|"&amp;$E243&amp;"|"&amp;$L243)</f>
        <v>F-817|Inspeção de setembro|</v>
      </c>
      <c r="AK243" s="39" t="n">
        <f aca="false">IF($AJ243="","",COUNTIF($AJ$4:$AJ243,$AJ243))</f>
        <v>1</v>
      </c>
      <c r="AL243" s="39" t="n">
        <f aca="false">IF($AJ243="","",COUNTIF($AJ$4:$AJ$1004,$AJ243))</f>
        <v>1</v>
      </c>
      <c r="AM243" s="42"/>
      <c r="AN243" s="50" t="str">
        <f aca="false">IF($D243="","",IFERROR(T(VLOOKUP($D243,Listas!$B$5:$H$120,7,0)),""))</f>
        <v/>
      </c>
      <c r="AO243" s="50" t="str">
        <f aca="false">IF(OR($F243="",$L243&lt;&gt;"",$R243="Cancelada",$AT243&lt;&gt;""),"",$AN243&amp;"|"&amp;$D243&amp;"|"&amp;IF($C243="","zzz",$C243)&amp;"|"&amp;TEXT(243,"0000"))</f>
        <v>|F-817|zzz|0243</v>
      </c>
      <c r="AP243" s="50" t="n">
        <f aca="false">IF($AO243="","",COUNTIF($AO$5:$AO$1004,"&lt;"&amp;$AO243)-(ROWS($AO$5:$AO$1004)-Hoje!$L$5)+1)</f>
        <v>25</v>
      </c>
      <c r="AQ243" s="50" t="n">
        <f aca="false">IF(AND($F243&lt;&gt;"",$D243=Frota!$C$3),1,0)</f>
        <v>0</v>
      </c>
      <c r="AR243" s="50" t="str">
        <f aca="false">IF($AQ243=0,"",SUM($AQ$4:$AQ243))</f>
        <v/>
      </c>
      <c r="AS243" s="50" t="str">
        <f aca="false">IFERROR(INDEX(Hoje!$K$10:$K$29,MATCH(ROW(),Hoje!$J$10:$J$29,0)),"")</f>
        <v/>
      </c>
      <c r="AT243" s="50" t="str">
        <f aca="false">IF($Q243&lt;&gt;"",$Q243,$AS243)</f>
        <v/>
      </c>
    </row>
    <row r="244" customFormat="false" ht="16.5" hidden="false" customHeight="true" outlineLevel="0" collapsed="false">
      <c r="A244" s="39" t="n">
        <f aca="false">IF($F244="","",ROW())</f>
        <v>244</v>
      </c>
      <c r="B244" s="40" t="str">
        <f aca="false">IF($F244="",IF($D244="","","Falta a atividade"),IF($R244="Cancelada","Cancelada",IF($AB244=1,IF(N($Z244)&gt;0,"Concluída com atraso","Concluída"),IF($R244="Em programação","Em programação",IF($O244="",IF($M244="","Na carteira","Falta a semana"),IF($AC244=1,"VENCIDA",IF($O244&gt;Hoje!$L$1,"Programada",IF($P244&gt;Hoje!$L$1,"Em execução","Fecha hoje"))))))))</f>
        <v>Na carteira</v>
      </c>
      <c r="C244" s="41"/>
      <c r="D244" s="42" t="s">
        <v>602</v>
      </c>
      <c r="E244" s="42" t="s">
        <v>596</v>
      </c>
      <c r="F244" s="42" t="s">
        <v>597</v>
      </c>
      <c r="G244" s="43" t="s">
        <v>594</v>
      </c>
      <c r="H244" s="43" t="s">
        <v>100</v>
      </c>
      <c r="I244" s="44"/>
      <c r="J244" s="44"/>
      <c r="K244" s="44"/>
      <c r="L244" s="45"/>
      <c r="M244" s="46"/>
      <c r="N244" s="45"/>
      <c r="O244" s="47" t="str">
        <f aca="false">IF(OR($L244="",$M244=""),"",(DATE(Semana!$J$3,1,4)-WEEKDAY(DATE(Semana!$J$3,1,4),3))+($L244-1)*7+MATCH($M244,Listas!$F$5:$F$11,0)-1)</f>
        <v/>
      </c>
      <c r="P244" s="47" t="str">
        <f aca="false">IF(OR($F244="",$O244=""),"",$O244+MAX(0,ROUNDUP($AK244*MAX(1,IF($N244="",1,$N244))/MAX(1,$AL244),0)-1))</f>
        <v/>
      </c>
      <c r="Q244" s="48"/>
      <c r="R244" s="43"/>
      <c r="S244" s="49"/>
      <c r="T244" s="42"/>
      <c r="U244" s="42" t="s">
        <v>598</v>
      </c>
      <c r="V244" s="39" t="str">
        <f aca="false">IF($F244="","",IF(ISNUMBER(SEARCH("(externo)",$I244&amp;$J244&amp;$K244)),"Terceirizada","Interna"))</f>
        <v>Interna</v>
      </c>
      <c r="W244" s="47" t="str">
        <f aca="false">IF($O244="","",IF($S244="",$O244,(DATE(Semana!$J$3,1,4)-WEEKDAY(DATE(Semana!$J$3,1,4),3))+($S244-1)*7+IF($M244="",0,MATCH($M244,Listas!$F$5:$F$11,0)-1)))</f>
        <v/>
      </c>
      <c r="X244" s="39" t="n">
        <f aca="false">IF($F244="","",IF(OR($AT244="",$O244=""),0,IF($AT244&lt;=$O244,1,0)))</f>
        <v>0</v>
      </c>
      <c r="Y244" s="39" t="n">
        <f aca="false">IF($F244="","",IF(OR($AT244="",$W244=""),0,IF($AT244&lt;=$W244,1,0)))</f>
        <v>0</v>
      </c>
      <c r="Z244" s="39" t="str">
        <f aca="false">IF(OR($AT244="",$O244=""),"",MAX(0,$AT244-$O244))</f>
        <v/>
      </c>
      <c r="AA244" s="39" t="n">
        <f aca="false">IF($F244="","",IF(AND($S244&lt;&gt;"",$L244&lt;&gt;"",$S244&lt;&gt;$L244),1,0))</f>
        <v>0</v>
      </c>
      <c r="AB244" s="39" t="n">
        <f aca="false">IF($F244="","",IF($R244="Cancelada",0,IF(OR($AT244&lt;&gt;"",$R244="Concluída"),1,0)))</f>
        <v>0</v>
      </c>
      <c r="AC244" s="39" t="n">
        <f aca="false">IF($P244="",0,IF($P244&lt;Hoje!$L$1,1,IF(AND($P244=Hoje!$L$1,Hoje!$L$2&gt;Semana!$M$3),1,0)))</f>
        <v>0</v>
      </c>
      <c r="AD244" s="39" t="n">
        <f aca="false">IF($F244="","",IF(COUNTA($I244:$K244)=0,0,1/COUNTA($I244:$K244)))</f>
        <v>0</v>
      </c>
      <c r="AE244" s="39" t="str">
        <f aca="false">IF($AH244=0,"",SUM($AH$4:$AH244))</f>
        <v/>
      </c>
      <c r="AF244" s="39" t="str">
        <f aca="false">IF($AI244=0,"",SUM($AI$4:$AI244))</f>
        <v/>
      </c>
      <c r="AG244" s="50" t="str">
        <f aca="false">IF($F244="","",$I244&amp;IF($J244="",""," · "&amp;$J244)&amp;IF($K244="",""," · "&amp;$K244))</f>
        <v/>
      </c>
      <c r="AH244" s="39" t="n">
        <f aca="false">IF(AND($F244&lt;&gt;"",$O244&lt;&gt;"",$O244&lt;=Hoje!$C$3,$P244&gt;=Hoje!$C$3,$R244&lt;&gt;"Cancelada"),1,0)</f>
        <v>0</v>
      </c>
      <c r="AI244" s="39" t="n">
        <f aca="false">IF(AND($F244&lt;&gt;"",$P244&lt;&gt;"",$P244&lt;Hoje!$C$3,$AB244=0,$R244&lt;&gt;"Cancelada"),1,0)</f>
        <v>0</v>
      </c>
      <c r="AJ244" s="50" t="str">
        <f aca="false">IF($F244="","",$D244&amp;"|"&amp;$E244&amp;"|"&amp;$L244)</f>
        <v>F-745|Inspeção de setembro|</v>
      </c>
      <c r="AK244" s="39" t="n">
        <f aca="false">IF($AJ244="","",COUNTIF($AJ$4:$AJ244,$AJ244))</f>
        <v>1</v>
      </c>
      <c r="AL244" s="39" t="n">
        <f aca="false">IF($AJ244="","",COUNTIF($AJ$4:$AJ$1004,$AJ244))</f>
        <v>1</v>
      </c>
      <c r="AM244" s="42"/>
      <c r="AN244" s="50" t="str">
        <f aca="false">IF($D244="","",IFERROR(T(VLOOKUP($D244,Listas!$B$5:$H$120,7,0)),""))</f>
        <v/>
      </c>
      <c r="AO244" s="50" t="str">
        <f aca="false">IF(OR($F244="",$L244&lt;&gt;"",$R244="Cancelada",$AT244&lt;&gt;""),"",$AN244&amp;"|"&amp;$D244&amp;"|"&amp;IF($C244="","zzz",$C244)&amp;"|"&amp;TEXT(244,"0000"))</f>
        <v>|F-745|zzz|0244</v>
      </c>
      <c r="AP244" s="50" t="n">
        <f aca="false">IF($AO244="","",COUNTIF($AO$5:$AO$1004,"&lt;"&amp;$AO244)-(ROWS($AO$5:$AO$1004)-Hoje!$L$5)+1)</f>
        <v>24</v>
      </c>
      <c r="AQ244" s="50" t="n">
        <f aca="false">IF(AND($F244&lt;&gt;"",$D244=Frota!$C$3),1,0)</f>
        <v>0</v>
      </c>
      <c r="AR244" s="50" t="str">
        <f aca="false">IF($AQ244=0,"",SUM($AQ$4:$AQ244))</f>
        <v/>
      </c>
      <c r="AS244" s="50" t="str">
        <f aca="false">IFERROR(INDEX(Hoje!$K$10:$K$29,MATCH(ROW(),Hoje!$J$10:$J$29,0)),"")</f>
        <v/>
      </c>
      <c r="AT244" s="50" t="str">
        <f aca="false">IF($Q244&lt;&gt;"",$Q244,$AS244)</f>
        <v/>
      </c>
    </row>
    <row r="245" customFormat="false" ht="16.5" hidden="false" customHeight="true" outlineLevel="0" collapsed="false">
      <c r="A245" s="39" t="n">
        <f aca="false">IF($F245="","",ROW())</f>
        <v>245</v>
      </c>
      <c r="B245" s="40" t="str">
        <f aca="false">IF($F245="",IF($D245="","","Falta a atividade"),IF($R245="Cancelada","Cancelada",IF($AB245=1,IF(N($Z245)&gt;0,"Concluída com atraso","Concluída"),IF($R245="Em programação","Em programação",IF($O245="",IF($M245="","Na carteira","Falta a semana"),IF($AC245=1,"VENCIDA",IF($O245&gt;Hoje!$L$1,"Programada",IF($P245&gt;Hoje!$L$1,"Em execução","Fecha hoje"))))))))</f>
        <v>Na carteira</v>
      </c>
      <c r="C245" s="41" t="s">
        <v>377</v>
      </c>
      <c r="D245" s="42" t="s">
        <v>378</v>
      </c>
      <c r="E245" s="42" t="s">
        <v>495</v>
      </c>
      <c r="F245" s="42" t="s">
        <v>603</v>
      </c>
      <c r="G245" s="43" t="s">
        <v>80</v>
      </c>
      <c r="H245" s="43" t="s">
        <v>100</v>
      </c>
      <c r="I245" s="44"/>
      <c r="J245" s="44"/>
      <c r="K245" s="44"/>
      <c r="L245" s="45"/>
      <c r="M245" s="46"/>
      <c r="N245" s="45"/>
      <c r="O245" s="47" t="str">
        <f aca="false">IF(OR($L245="",$M245=""),"",(DATE(Semana!$J$3,1,4)-WEEKDAY(DATE(Semana!$J$3,1,4),3))+($L245-1)*7+MATCH($M245,Listas!$F$5:$F$11,0)-1)</f>
        <v/>
      </c>
      <c r="P245" s="47" t="str">
        <f aca="false">IF(OR($F245="",$O245=""),"",$O245+MAX(0,ROUNDUP($AK245*MAX(1,IF($N245="",1,$N245))/MAX(1,$AL245),0)-1))</f>
        <v/>
      </c>
      <c r="Q245" s="48"/>
      <c r="R245" s="43"/>
      <c r="S245" s="49"/>
      <c r="T245" s="42"/>
      <c r="U245" s="42"/>
      <c r="V245" s="39" t="str">
        <f aca="false">IF($F245="","",IF(ISNUMBER(SEARCH("(externo)",$I245&amp;$J245&amp;$K245)),"Terceirizada","Interna"))</f>
        <v>Interna</v>
      </c>
      <c r="W245" s="47" t="str">
        <f aca="false">IF($O245="","",IF($S245="",$O245,(DATE(Semana!$J$3,1,4)-WEEKDAY(DATE(Semana!$J$3,1,4),3))+($S245-1)*7+IF($M245="",0,MATCH($M245,Listas!$F$5:$F$11,0)-1)))</f>
        <v/>
      </c>
      <c r="X245" s="39" t="n">
        <f aca="false">IF($F245="","",IF(OR($AT245="",$O245=""),0,IF($AT245&lt;=$O245,1,0)))</f>
        <v>0</v>
      </c>
      <c r="Y245" s="39" t="n">
        <f aca="false">IF($F245="","",IF(OR($AT245="",$W245=""),0,IF($AT245&lt;=$W245,1,0)))</f>
        <v>0</v>
      </c>
      <c r="Z245" s="39" t="str">
        <f aca="false">IF(OR($AT245="",$O245=""),"",MAX(0,$AT245-$O245))</f>
        <v/>
      </c>
      <c r="AA245" s="39" t="n">
        <f aca="false">IF($F245="","",IF(AND($S245&lt;&gt;"",$L245&lt;&gt;"",$S245&lt;&gt;$L245),1,0))</f>
        <v>0</v>
      </c>
      <c r="AB245" s="39" t="n">
        <f aca="false">IF($F245="","",IF($R245="Cancelada",0,IF(OR($AT245&lt;&gt;"",$R245="Concluída"),1,0)))</f>
        <v>0</v>
      </c>
      <c r="AC245" s="39" t="n">
        <f aca="false">IF($P245="",0,IF($P245&lt;Hoje!$L$1,1,IF(AND($P245=Hoje!$L$1,Hoje!$L$2&gt;Semana!$M$3),1,0)))</f>
        <v>0</v>
      </c>
      <c r="AD245" s="39" t="n">
        <f aca="false">IF($F245="","",IF(COUNTA($I245:$K245)=0,0,1/COUNTA($I245:$K245)))</f>
        <v>0</v>
      </c>
      <c r="AE245" s="39" t="str">
        <f aca="false">IF($AH245=0,"",SUM($AH$4:$AH245))</f>
        <v/>
      </c>
      <c r="AF245" s="39" t="str">
        <f aca="false">IF($AI245=0,"",SUM($AI$4:$AI245))</f>
        <v/>
      </c>
      <c r="AG245" s="50" t="str">
        <f aca="false">IF($F245="","",$I245&amp;IF($J245="",""," · "&amp;$J245)&amp;IF($K245="",""," · "&amp;$K245))</f>
        <v/>
      </c>
      <c r="AH245" s="39" t="n">
        <f aca="false">IF(AND($F245&lt;&gt;"",$O245&lt;&gt;"",$O245&lt;=Hoje!$C$3,$P245&gt;=Hoje!$C$3,$R245&lt;&gt;"Cancelada"),1,0)</f>
        <v>0</v>
      </c>
      <c r="AI245" s="39" t="n">
        <f aca="false">IF(AND($F245&lt;&gt;"",$P245&lt;&gt;"",$P245&lt;Hoje!$C$3,$AB245=0,$R245&lt;&gt;"Cancelada"),1,0)</f>
        <v>0</v>
      </c>
      <c r="AJ245" s="50" t="str">
        <f aca="false">IF($F245="","",$D245&amp;"|"&amp;$E245&amp;"|"&amp;$L245)</f>
        <v>F-938|Pendências de inspeção|</v>
      </c>
      <c r="AK245" s="39" t="n">
        <f aca="false">IF($AJ245="","",COUNTIF($AJ$4:$AJ245,$AJ245))</f>
        <v>1</v>
      </c>
      <c r="AL245" s="39" t="n">
        <f aca="false">IF($AJ245="","",COUNTIF($AJ$4:$AJ$1004,$AJ245))</f>
        <v>4</v>
      </c>
      <c r="AM245" s="42"/>
      <c r="AN245" s="50" t="str">
        <f aca="false">IF($D245="","",IFERROR(T(VLOOKUP($D245,Listas!$B$5:$H$120,7,0)),""))</f>
        <v/>
      </c>
      <c r="AO245" s="50" t="str">
        <f aca="false">IF(OR($F245="",$L245&lt;&gt;"",$R245="Cancelada",$AT245&lt;&gt;""),"",$AN245&amp;"|"&amp;$D245&amp;"|"&amp;IF($C245="","zzz",$C245)&amp;"|"&amp;TEXT(245,"0000"))</f>
        <v>|F-938|021390|0245</v>
      </c>
      <c r="AP245" s="50" t="n">
        <f aca="false">IF($AO245="","",COUNTIF($AO$5:$AO$1004,"&lt;"&amp;$AO245)-(ROWS($AO$5:$AO$1004)-Hoje!$L$5)+1)</f>
        <v>26</v>
      </c>
      <c r="AQ245" s="50" t="n">
        <f aca="false">IF(AND($F245&lt;&gt;"",$D245=Frota!$C$3),1,0)</f>
        <v>0</v>
      </c>
      <c r="AR245" s="50" t="str">
        <f aca="false">IF($AQ245=0,"",SUM($AQ$4:$AQ245))</f>
        <v/>
      </c>
      <c r="AS245" s="50" t="str">
        <f aca="false">IFERROR(INDEX(Hoje!$K$10:$K$29,MATCH(ROW(),Hoje!$J$10:$J$29,0)),"")</f>
        <v/>
      </c>
      <c r="AT245" s="50" t="str">
        <f aca="false">IF($Q245&lt;&gt;"",$Q245,$AS245)</f>
        <v/>
      </c>
    </row>
    <row r="246" customFormat="false" ht="16.5" hidden="false" customHeight="true" outlineLevel="0" collapsed="false">
      <c r="A246" s="39" t="n">
        <f aca="false">IF($F246="","",ROW())</f>
        <v>246</v>
      </c>
      <c r="B246" s="40" t="str">
        <f aca="false">IF($F246="",IF($D246="","","Falta a atividade"),IF($R246="Cancelada","Cancelada",IF($AB246=1,IF(N($Z246)&gt;0,"Concluída com atraso","Concluída"),IF($R246="Em programação","Em programação",IF($O246="",IF($M246="","Na carteira","Falta a semana"),IF($AC246=1,"VENCIDA",IF($O246&gt;Hoje!$L$1,"Programada",IF($P246&gt;Hoje!$L$1,"Em execução","Fecha hoje"))))))))</f>
        <v>Na carteira</v>
      </c>
      <c r="C246" s="41" t="s">
        <v>604</v>
      </c>
      <c r="D246" s="42" t="s">
        <v>378</v>
      </c>
      <c r="E246" s="42" t="s">
        <v>495</v>
      </c>
      <c r="F246" s="42" t="s">
        <v>605</v>
      </c>
      <c r="G246" s="43" t="s">
        <v>80</v>
      </c>
      <c r="H246" s="43" t="s">
        <v>100</v>
      </c>
      <c r="I246" s="44"/>
      <c r="J246" s="44"/>
      <c r="K246" s="44"/>
      <c r="L246" s="45"/>
      <c r="M246" s="46"/>
      <c r="N246" s="45"/>
      <c r="O246" s="47" t="str">
        <f aca="false">IF(OR($L246="",$M246=""),"",(DATE(Semana!$J$3,1,4)-WEEKDAY(DATE(Semana!$J$3,1,4),3))+($L246-1)*7+MATCH($M246,Listas!$F$5:$F$11,0)-1)</f>
        <v/>
      </c>
      <c r="P246" s="47" t="str">
        <f aca="false">IF(OR($F246="",$O246=""),"",$O246+MAX(0,ROUNDUP($AK246*MAX(1,IF($N246="",1,$N246))/MAX(1,$AL246),0)-1))</f>
        <v/>
      </c>
      <c r="Q246" s="48"/>
      <c r="R246" s="43"/>
      <c r="S246" s="49"/>
      <c r="T246" s="42"/>
      <c r="U246" s="42"/>
      <c r="V246" s="39" t="str">
        <f aca="false">IF($F246="","",IF(ISNUMBER(SEARCH("(externo)",$I246&amp;$J246&amp;$K246)),"Terceirizada","Interna"))</f>
        <v>Interna</v>
      </c>
      <c r="W246" s="47" t="str">
        <f aca="false">IF($O246="","",IF($S246="",$O246,(DATE(Semana!$J$3,1,4)-WEEKDAY(DATE(Semana!$J$3,1,4),3))+($S246-1)*7+IF($M246="",0,MATCH($M246,Listas!$F$5:$F$11,0)-1)))</f>
        <v/>
      </c>
      <c r="X246" s="39" t="n">
        <f aca="false">IF($F246="","",IF(OR($AT246="",$O246=""),0,IF($AT246&lt;=$O246,1,0)))</f>
        <v>0</v>
      </c>
      <c r="Y246" s="39" t="n">
        <f aca="false">IF($F246="","",IF(OR($AT246="",$W246=""),0,IF($AT246&lt;=$W246,1,0)))</f>
        <v>0</v>
      </c>
      <c r="Z246" s="39" t="str">
        <f aca="false">IF(OR($AT246="",$O246=""),"",MAX(0,$AT246-$O246))</f>
        <v/>
      </c>
      <c r="AA246" s="39" t="n">
        <f aca="false">IF($F246="","",IF(AND($S246&lt;&gt;"",$L246&lt;&gt;"",$S246&lt;&gt;$L246),1,0))</f>
        <v>0</v>
      </c>
      <c r="AB246" s="39" t="n">
        <f aca="false">IF($F246="","",IF($R246="Cancelada",0,IF(OR($AT246&lt;&gt;"",$R246="Concluída"),1,0)))</f>
        <v>0</v>
      </c>
      <c r="AC246" s="39" t="n">
        <f aca="false">IF($P246="",0,IF($P246&lt;Hoje!$L$1,1,IF(AND($P246=Hoje!$L$1,Hoje!$L$2&gt;Semana!$M$3),1,0)))</f>
        <v>0</v>
      </c>
      <c r="AD246" s="39" t="n">
        <f aca="false">IF($F246="","",IF(COUNTA($I246:$K246)=0,0,1/COUNTA($I246:$K246)))</f>
        <v>0</v>
      </c>
      <c r="AE246" s="39" t="str">
        <f aca="false">IF($AH246=0,"",SUM($AH$4:$AH246))</f>
        <v/>
      </c>
      <c r="AF246" s="39" t="str">
        <f aca="false">IF($AI246=0,"",SUM($AI$4:$AI246))</f>
        <v/>
      </c>
      <c r="AG246" s="50" t="str">
        <f aca="false">IF($F246="","",$I246&amp;IF($J246="",""," · "&amp;$J246)&amp;IF($K246="",""," · "&amp;$K246))</f>
        <v/>
      </c>
      <c r="AH246" s="39" t="n">
        <f aca="false">IF(AND($F246&lt;&gt;"",$O246&lt;&gt;"",$O246&lt;=Hoje!$C$3,$P246&gt;=Hoje!$C$3,$R246&lt;&gt;"Cancelada"),1,0)</f>
        <v>0</v>
      </c>
      <c r="AI246" s="39" t="n">
        <f aca="false">IF(AND($F246&lt;&gt;"",$P246&lt;&gt;"",$P246&lt;Hoje!$C$3,$AB246=0,$R246&lt;&gt;"Cancelada"),1,0)</f>
        <v>0</v>
      </c>
      <c r="AJ246" s="50" t="str">
        <f aca="false">IF($F246="","",$D246&amp;"|"&amp;$E246&amp;"|"&amp;$L246)</f>
        <v>F-938|Pendências de inspeção|</v>
      </c>
      <c r="AK246" s="39" t="n">
        <f aca="false">IF($AJ246="","",COUNTIF($AJ$4:$AJ246,$AJ246))</f>
        <v>2</v>
      </c>
      <c r="AL246" s="39" t="n">
        <f aca="false">IF($AJ246="","",COUNTIF($AJ$4:$AJ$1004,$AJ246))</f>
        <v>4</v>
      </c>
      <c r="AM246" s="42"/>
      <c r="AN246" s="50" t="str">
        <f aca="false">IF($D246="","",IFERROR(T(VLOOKUP($D246,Listas!$B$5:$H$120,7,0)),""))</f>
        <v/>
      </c>
      <c r="AO246" s="50" t="str">
        <f aca="false">IF(OR($F246="",$L246&lt;&gt;"",$R246="Cancelada",$AT246&lt;&gt;""),"",$AN246&amp;"|"&amp;$D246&amp;"|"&amp;IF($C246="","zzz",$C246)&amp;"|"&amp;TEXT(246,"0000"))</f>
        <v>|F-938|021394|0246</v>
      </c>
      <c r="AP246" s="50" t="n">
        <f aca="false">IF($AO246="","",COUNTIF($AO$5:$AO$1004,"&lt;"&amp;$AO246)-(ROWS($AO$5:$AO$1004)-Hoje!$L$5)+1)</f>
        <v>27</v>
      </c>
      <c r="AQ246" s="50" t="n">
        <f aca="false">IF(AND($F246&lt;&gt;"",$D246=Frota!$C$3),1,0)</f>
        <v>0</v>
      </c>
      <c r="AR246" s="50" t="str">
        <f aca="false">IF($AQ246=0,"",SUM($AQ$4:$AQ246))</f>
        <v/>
      </c>
      <c r="AS246" s="50" t="str">
        <f aca="false">IFERROR(INDEX(Hoje!$K$10:$K$29,MATCH(ROW(),Hoje!$J$10:$J$29,0)),"")</f>
        <v/>
      </c>
      <c r="AT246" s="50" t="str">
        <f aca="false">IF($Q246&lt;&gt;"",$Q246,$AS246)</f>
        <v/>
      </c>
    </row>
    <row r="247" customFormat="false" ht="16.5" hidden="false" customHeight="true" outlineLevel="0" collapsed="false">
      <c r="A247" s="39" t="n">
        <f aca="false">IF($F247="","",ROW())</f>
        <v>247</v>
      </c>
      <c r="B247" s="40" t="str">
        <f aca="false">IF($F247="",IF($D247="","","Falta a atividade"),IF($R247="Cancelada","Cancelada",IF($AB247=1,IF(N($Z247)&gt;0,"Concluída com atraso","Concluída"),IF($R247="Em programação","Em programação",IF($O247="",IF($M247="","Na carteira","Falta a semana"),IF($AC247=1,"VENCIDA",IF($O247&gt;Hoje!$L$1,"Programada",IF($P247&gt;Hoje!$L$1,"Em execução","Fecha hoje"))))))))</f>
        <v>Na carteira</v>
      </c>
      <c r="C247" s="41" t="s">
        <v>606</v>
      </c>
      <c r="D247" s="42" t="s">
        <v>378</v>
      </c>
      <c r="E247" s="42" t="s">
        <v>495</v>
      </c>
      <c r="F247" s="42" t="s">
        <v>607</v>
      </c>
      <c r="G247" s="43" t="s">
        <v>80</v>
      </c>
      <c r="H247" s="43" t="s">
        <v>100</v>
      </c>
      <c r="I247" s="44"/>
      <c r="J247" s="44"/>
      <c r="K247" s="44"/>
      <c r="L247" s="45"/>
      <c r="M247" s="46"/>
      <c r="N247" s="45"/>
      <c r="O247" s="47" t="str">
        <f aca="false">IF(OR($L247="",$M247=""),"",(DATE(Semana!$J$3,1,4)-WEEKDAY(DATE(Semana!$J$3,1,4),3))+($L247-1)*7+MATCH($M247,Listas!$F$5:$F$11,0)-1)</f>
        <v/>
      </c>
      <c r="P247" s="47" t="str">
        <f aca="false">IF(OR($F247="",$O247=""),"",$O247+MAX(0,ROUNDUP($AK247*MAX(1,IF($N247="",1,$N247))/MAX(1,$AL247),0)-1))</f>
        <v/>
      </c>
      <c r="Q247" s="48"/>
      <c r="R247" s="43"/>
      <c r="S247" s="49"/>
      <c r="T247" s="42"/>
      <c r="U247" s="42"/>
      <c r="V247" s="39" t="str">
        <f aca="false">IF($F247="","",IF(ISNUMBER(SEARCH("(externo)",$I247&amp;$J247&amp;$K247)),"Terceirizada","Interna"))</f>
        <v>Interna</v>
      </c>
      <c r="W247" s="47" t="str">
        <f aca="false">IF($O247="","",IF($S247="",$O247,(DATE(Semana!$J$3,1,4)-WEEKDAY(DATE(Semana!$J$3,1,4),3))+($S247-1)*7+IF($M247="",0,MATCH($M247,Listas!$F$5:$F$11,0)-1)))</f>
        <v/>
      </c>
      <c r="X247" s="39" t="n">
        <f aca="false">IF($F247="","",IF(OR($AT247="",$O247=""),0,IF($AT247&lt;=$O247,1,0)))</f>
        <v>0</v>
      </c>
      <c r="Y247" s="39" t="n">
        <f aca="false">IF($F247="","",IF(OR($AT247="",$W247=""),0,IF($AT247&lt;=$W247,1,0)))</f>
        <v>0</v>
      </c>
      <c r="Z247" s="39" t="str">
        <f aca="false">IF(OR($AT247="",$O247=""),"",MAX(0,$AT247-$O247))</f>
        <v/>
      </c>
      <c r="AA247" s="39" t="n">
        <f aca="false">IF($F247="","",IF(AND($S247&lt;&gt;"",$L247&lt;&gt;"",$S247&lt;&gt;$L247),1,0))</f>
        <v>0</v>
      </c>
      <c r="AB247" s="39" t="n">
        <f aca="false">IF($F247="","",IF($R247="Cancelada",0,IF(OR($AT247&lt;&gt;"",$R247="Concluída"),1,0)))</f>
        <v>0</v>
      </c>
      <c r="AC247" s="39" t="n">
        <f aca="false">IF($P247="",0,IF($P247&lt;Hoje!$L$1,1,IF(AND($P247=Hoje!$L$1,Hoje!$L$2&gt;Semana!$M$3),1,0)))</f>
        <v>0</v>
      </c>
      <c r="AD247" s="39" t="n">
        <f aca="false">IF($F247="","",IF(COUNTA($I247:$K247)=0,0,1/COUNTA($I247:$K247)))</f>
        <v>0</v>
      </c>
      <c r="AE247" s="39" t="str">
        <f aca="false">IF($AH247=0,"",SUM($AH$4:$AH247))</f>
        <v/>
      </c>
      <c r="AF247" s="39" t="str">
        <f aca="false">IF($AI247=0,"",SUM($AI$4:$AI247))</f>
        <v/>
      </c>
      <c r="AG247" s="50" t="str">
        <f aca="false">IF($F247="","",$I247&amp;IF($J247="",""," · "&amp;$J247)&amp;IF($K247="",""," · "&amp;$K247))</f>
        <v/>
      </c>
      <c r="AH247" s="39" t="n">
        <f aca="false">IF(AND($F247&lt;&gt;"",$O247&lt;&gt;"",$O247&lt;=Hoje!$C$3,$P247&gt;=Hoje!$C$3,$R247&lt;&gt;"Cancelada"),1,0)</f>
        <v>0</v>
      </c>
      <c r="AI247" s="39" t="n">
        <f aca="false">IF(AND($F247&lt;&gt;"",$P247&lt;&gt;"",$P247&lt;Hoje!$C$3,$AB247=0,$R247&lt;&gt;"Cancelada"),1,0)</f>
        <v>0</v>
      </c>
      <c r="AJ247" s="50" t="str">
        <f aca="false">IF($F247="","",$D247&amp;"|"&amp;$E247&amp;"|"&amp;$L247)</f>
        <v>F-938|Pendências de inspeção|</v>
      </c>
      <c r="AK247" s="39" t="n">
        <f aca="false">IF($AJ247="","",COUNTIF($AJ$4:$AJ247,$AJ247))</f>
        <v>3</v>
      </c>
      <c r="AL247" s="39" t="n">
        <f aca="false">IF($AJ247="","",COUNTIF($AJ$4:$AJ$1004,$AJ247))</f>
        <v>4</v>
      </c>
      <c r="AM247" s="42"/>
      <c r="AN247" s="50" t="str">
        <f aca="false">IF($D247="","",IFERROR(T(VLOOKUP($D247,Listas!$B$5:$H$120,7,0)),""))</f>
        <v/>
      </c>
      <c r="AO247" s="50" t="str">
        <f aca="false">IF(OR($F247="",$L247&lt;&gt;"",$R247="Cancelada",$AT247&lt;&gt;""),"",$AN247&amp;"|"&amp;$D247&amp;"|"&amp;IF($C247="","zzz",$C247)&amp;"|"&amp;TEXT(247,"0000"))</f>
        <v>|F-938|021396|0247</v>
      </c>
      <c r="AP247" s="50" t="n">
        <f aca="false">IF($AO247="","",COUNTIF($AO$5:$AO$1004,"&lt;"&amp;$AO247)-(ROWS($AO$5:$AO$1004)-Hoje!$L$5)+1)</f>
        <v>28</v>
      </c>
      <c r="AQ247" s="50" t="n">
        <f aca="false">IF(AND($F247&lt;&gt;"",$D247=Frota!$C$3),1,0)</f>
        <v>0</v>
      </c>
      <c r="AR247" s="50" t="str">
        <f aca="false">IF($AQ247=0,"",SUM($AQ$4:$AQ247))</f>
        <v/>
      </c>
      <c r="AS247" s="50" t="str">
        <f aca="false">IFERROR(INDEX(Hoje!$K$10:$K$29,MATCH(ROW(),Hoje!$J$10:$J$29,0)),"")</f>
        <v/>
      </c>
      <c r="AT247" s="50" t="str">
        <f aca="false">IF($Q247&lt;&gt;"",$Q247,$AS247)</f>
        <v/>
      </c>
    </row>
    <row r="248" customFormat="false" ht="16.5" hidden="false" customHeight="true" outlineLevel="0" collapsed="false">
      <c r="A248" s="39" t="n">
        <f aca="false">IF($F248="","",ROW())</f>
        <v>248</v>
      </c>
      <c r="B248" s="40" t="str">
        <f aca="false">IF($F248="",IF($D248="","","Falta a atividade"),IF($R248="Cancelada","Cancelada",IF($AB248=1,IF(N($Z248)&gt;0,"Concluída com atraso","Concluída"),IF($R248="Em programação","Em programação",IF($O248="",IF($M248="","Na carteira","Falta a semana"),IF($AC248=1,"VENCIDA",IF($O248&gt;Hoje!$L$1,"Programada",IF($P248&gt;Hoje!$L$1,"Em execução","Fecha hoje"))))))))</f>
        <v>Na carteira</v>
      </c>
      <c r="C248" s="41" t="s">
        <v>608</v>
      </c>
      <c r="D248" s="42" t="s">
        <v>378</v>
      </c>
      <c r="E248" s="42" t="s">
        <v>495</v>
      </c>
      <c r="F248" s="42" t="s">
        <v>609</v>
      </c>
      <c r="G248" s="43" t="s">
        <v>80</v>
      </c>
      <c r="H248" s="43" t="s">
        <v>100</v>
      </c>
      <c r="I248" s="44"/>
      <c r="J248" s="44"/>
      <c r="K248" s="44"/>
      <c r="L248" s="45"/>
      <c r="M248" s="46"/>
      <c r="N248" s="45"/>
      <c r="O248" s="47" t="str">
        <f aca="false">IF(OR($L248="",$M248=""),"",(DATE(Semana!$J$3,1,4)-WEEKDAY(DATE(Semana!$J$3,1,4),3))+($L248-1)*7+MATCH($M248,Listas!$F$5:$F$11,0)-1)</f>
        <v/>
      </c>
      <c r="P248" s="47" t="str">
        <f aca="false">IF(OR($F248="",$O248=""),"",$O248+MAX(0,ROUNDUP($AK248*MAX(1,IF($N248="",1,$N248))/MAX(1,$AL248),0)-1))</f>
        <v/>
      </c>
      <c r="Q248" s="48"/>
      <c r="R248" s="43"/>
      <c r="S248" s="49"/>
      <c r="T248" s="42"/>
      <c r="U248" s="42"/>
      <c r="V248" s="39" t="str">
        <f aca="false">IF($F248="","",IF(ISNUMBER(SEARCH("(externo)",$I248&amp;$J248&amp;$K248)),"Terceirizada","Interna"))</f>
        <v>Interna</v>
      </c>
      <c r="W248" s="47" t="str">
        <f aca="false">IF($O248="","",IF($S248="",$O248,(DATE(Semana!$J$3,1,4)-WEEKDAY(DATE(Semana!$J$3,1,4),3))+($S248-1)*7+IF($M248="",0,MATCH($M248,Listas!$F$5:$F$11,0)-1)))</f>
        <v/>
      </c>
      <c r="X248" s="39" t="n">
        <f aca="false">IF($F248="","",IF(OR($AT248="",$O248=""),0,IF($AT248&lt;=$O248,1,0)))</f>
        <v>0</v>
      </c>
      <c r="Y248" s="39" t="n">
        <f aca="false">IF($F248="","",IF(OR($AT248="",$W248=""),0,IF($AT248&lt;=$W248,1,0)))</f>
        <v>0</v>
      </c>
      <c r="Z248" s="39" t="str">
        <f aca="false">IF(OR($AT248="",$O248=""),"",MAX(0,$AT248-$O248))</f>
        <v/>
      </c>
      <c r="AA248" s="39" t="n">
        <f aca="false">IF($F248="","",IF(AND($S248&lt;&gt;"",$L248&lt;&gt;"",$S248&lt;&gt;$L248),1,0))</f>
        <v>0</v>
      </c>
      <c r="AB248" s="39" t="n">
        <f aca="false">IF($F248="","",IF($R248="Cancelada",0,IF(OR($AT248&lt;&gt;"",$R248="Concluída"),1,0)))</f>
        <v>0</v>
      </c>
      <c r="AC248" s="39" t="n">
        <f aca="false">IF($P248="",0,IF($P248&lt;Hoje!$L$1,1,IF(AND($P248=Hoje!$L$1,Hoje!$L$2&gt;Semana!$M$3),1,0)))</f>
        <v>0</v>
      </c>
      <c r="AD248" s="39" t="n">
        <f aca="false">IF($F248="","",IF(COUNTA($I248:$K248)=0,0,1/COUNTA($I248:$K248)))</f>
        <v>0</v>
      </c>
      <c r="AE248" s="39" t="str">
        <f aca="false">IF($AH248=0,"",SUM($AH$4:$AH248))</f>
        <v/>
      </c>
      <c r="AF248" s="39" t="str">
        <f aca="false">IF($AI248=0,"",SUM($AI$4:$AI248))</f>
        <v/>
      </c>
      <c r="AG248" s="50" t="str">
        <f aca="false">IF($F248="","",$I248&amp;IF($J248="",""," · "&amp;$J248)&amp;IF($K248="",""," · "&amp;$K248))</f>
        <v/>
      </c>
      <c r="AH248" s="39" t="n">
        <f aca="false">IF(AND($F248&lt;&gt;"",$O248&lt;&gt;"",$O248&lt;=Hoje!$C$3,$P248&gt;=Hoje!$C$3,$R248&lt;&gt;"Cancelada"),1,0)</f>
        <v>0</v>
      </c>
      <c r="AI248" s="39" t="n">
        <f aca="false">IF(AND($F248&lt;&gt;"",$P248&lt;&gt;"",$P248&lt;Hoje!$C$3,$AB248=0,$R248&lt;&gt;"Cancelada"),1,0)</f>
        <v>0</v>
      </c>
      <c r="AJ248" s="50" t="str">
        <f aca="false">IF($F248="","",$D248&amp;"|"&amp;$E248&amp;"|"&amp;$L248)</f>
        <v>F-938|Pendências de inspeção|</v>
      </c>
      <c r="AK248" s="39" t="n">
        <f aca="false">IF($AJ248="","",COUNTIF($AJ$4:$AJ248,$AJ248))</f>
        <v>4</v>
      </c>
      <c r="AL248" s="39" t="n">
        <f aca="false">IF($AJ248="","",COUNTIF($AJ$4:$AJ$1004,$AJ248))</f>
        <v>4</v>
      </c>
      <c r="AM248" s="42"/>
      <c r="AN248" s="50" t="str">
        <f aca="false">IF($D248="","",IFERROR(T(VLOOKUP($D248,Listas!$B$5:$H$120,7,0)),""))</f>
        <v/>
      </c>
      <c r="AO248" s="50" t="str">
        <f aca="false">IF(OR($F248="",$L248&lt;&gt;"",$R248="Cancelada",$AT248&lt;&gt;""),"",$AN248&amp;"|"&amp;$D248&amp;"|"&amp;IF($C248="","zzz",$C248)&amp;"|"&amp;TEXT(248,"0000"))</f>
        <v>|F-938|021397|0248</v>
      </c>
      <c r="AP248" s="50" t="n">
        <f aca="false">IF($AO248="","",COUNTIF($AO$5:$AO$1004,"&lt;"&amp;$AO248)-(ROWS($AO$5:$AO$1004)-Hoje!$L$5)+1)</f>
        <v>29</v>
      </c>
      <c r="AQ248" s="50" t="n">
        <f aca="false">IF(AND($F248&lt;&gt;"",$D248=Frota!$C$3),1,0)</f>
        <v>0</v>
      </c>
      <c r="AR248" s="50" t="str">
        <f aca="false">IF($AQ248=0,"",SUM($AQ$4:$AQ248))</f>
        <v/>
      </c>
      <c r="AS248" s="50" t="str">
        <f aca="false">IFERROR(INDEX(Hoje!$K$10:$K$29,MATCH(ROW(),Hoje!$J$10:$J$29,0)),"")</f>
        <v/>
      </c>
      <c r="AT248" s="50" t="str">
        <f aca="false">IF($Q248&lt;&gt;"",$Q248,$AS248)</f>
        <v/>
      </c>
    </row>
    <row r="249" customFormat="false" ht="16.5" hidden="false" customHeight="true" outlineLevel="0" collapsed="false">
      <c r="A249" s="39" t="n">
        <f aca="false">IF($F249="","",ROW())</f>
        <v>249</v>
      </c>
      <c r="B249" s="40" t="str">
        <f aca="false">IF($F249="",IF($D249="","","Falta a atividade"),IF($R249="Cancelada","Cancelada",IF($AB249=1,IF(N($Z249)&gt;0,"Concluída com atraso","Concluída"),IF($R249="Em programação","Em programação",IF($O249="",IF($M249="","Na carteira","Falta a semana"),IF($AC249=1,"VENCIDA",IF($O249&gt;Hoje!$L$1,"Programada",IF($P249&gt;Hoje!$L$1,"Em execução","Fecha hoje"))))))))</f>
        <v>Concluída</v>
      </c>
      <c r="C249" s="41" t="s">
        <v>610</v>
      </c>
      <c r="D249" s="42" t="s">
        <v>378</v>
      </c>
      <c r="E249" s="42" t="s">
        <v>495</v>
      </c>
      <c r="F249" s="42" t="s">
        <v>611</v>
      </c>
      <c r="G249" s="43" t="s">
        <v>80</v>
      </c>
      <c r="H249" s="43" t="s">
        <v>81</v>
      </c>
      <c r="I249" s="44" t="s">
        <v>88</v>
      </c>
      <c r="J249" s="44"/>
      <c r="K249" s="44"/>
      <c r="L249" s="45" t="n">
        <v>35</v>
      </c>
      <c r="M249" s="46" t="s">
        <v>173</v>
      </c>
      <c r="N249" s="45" t="n">
        <v>1</v>
      </c>
      <c r="O249" s="47" t="n">
        <f aca="false">IF(OR($L249="",$M249=""),"",(DATE(Semana!$J$3,1,4)-WEEKDAY(DATE(Semana!$J$3,1,4),3))+($L249-1)*7+MATCH($M249,Listas!$F$5:$F$11,0)-1)</f>
        <v>46261</v>
      </c>
      <c r="P249" s="47" t="n">
        <f aca="false">IF(OR($F249="",$O249=""),"",$O249+MAX(0,ROUNDUP($AK249*MAX(1,IF($N249="",1,$N249))/MAX(1,$AL249),0)-1))</f>
        <v>46261</v>
      </c>
      <c r="Q249" s="48" t="n">
        <v>46261</v>
      </c>
      <c r="R249" s="43" t="s">
        <v>85</v>
      </c>
      <c r="S249" s="49"/>
      <c r="T249" s="42"/>
      <c r="U249" s="42"/>
      <c r="V249" s="39" t="str">
        <f aca="false">IF($F249="","",IF(ISNUMBER(SEARCH("(externo)",$I249&amp;$J249&amp;$K249)),"Terceirizada","Interna"))</f>
        <v>Interna</v>
      </c>
      <c r="W249" s="47" t="n">
        <f aca="false">IF($O249="","",IF($S249="",$O249,(DATE(Semana!$J$3,1,4)-WEEKDAY(DATE(Semana!$J$3,1,4),3))+($S249-1)*7+IF($M249="",0,MATCH($M249,Listas!$F$5:$F$11,0)-1)))</f>
        <v>46261</v>
      </c>
      <c r="X249" s="39" t="n">
        <f aca="false">IF($F249="","",IF(OR($AT249="",$O249=""),0,IF($AT249&lt;=$O249,1,0)))</f>
        <v>1</v>
      </c>
      <c r="Y249" s="39" t="n">
        <f aca="false">IF($F249="","",IF(OR($AT249="",$W249=""),0,IF($AT249&lt;=$W249,1,0)))</f>
        <v>1</v>
      </c>
      <c r="Z249" s="39" t="n">
        <f aca="false">IF(OR($AT249="",$O249=""),"",MAX(0,$AT249-$O249))</f>
        <v>0</v>
      </c>
      <c r="AA249" s="39" t="n">
        <f aca="false">IF($F249="","",IF(AND($S249&lt;&gt;"",$L249&lt;&gt;"",$S249&lt;&gt;$L249),1,0))</f>
        <v>0</v>
      </c>
      <c r="AB249" s="39" t="n">
        <f aca="false">IF($F249="","",IF($R249="Cancelada",0,IF(OR($AT249&lt;&gt;"",$R249="Concluída"),1,0)))</f>
        <v>1</v>
      </c>
      <c r="AC249" s="39" t="n">
        <f aca="false">IF($P249="",0,IF($P249&lt;Hoje!$L$1,1,IF(AND($P249=Hoje!$L$1,Hoje!$L$2&gt;Semana!$M$3),1,0)))</f>
        <v>1</v>
      </c>
      <c r="AD249" s="39" t="n">
        <f aca="false">IF($F249="","",IF(COUNTA($I249:$K249)=0,0,1/COUNTA($I249:$K249)))</f>
        <v>1</v>
      </c>
      <c r="AE249" s="39" t="str">
        <f aca="false">IF($AH249=0,"",SUM($AH$4:$AH249))</f>
        <v/>
      </c>
      <c r="AF249" s="39" t="str">
        <f aca="false">IF($AI249=0,"",SUM($AI$4:$AI249))</f>
        <v/>
      </c>
      <c r="AG249" s="50" t="str">
        <f aca="false">IF($F249="","",$I249&amp;IF($J249="",""," · "&amp;$J249)&amp;IF($K249="",""," · "&amp;$K249))</f>
        <v>Júnior</v>
      </c>
      <c r="AH249" s="39" t="n">
        <f aca="false">IF(AND($F249&lt;&gt;"",$O249&lt;&gt;"",$O249&lt;=Hoje!$C$3,$P249&gt;=Hoje!$C$3,$R249&lt;&gt;"Cancelada"),1,0)</f>
        <v>0</v>
      </c>
      <c r="AI249" s="39" t="n">
        <f aca="false">IF(AND($F249&lt;&gt;"",$P249&lt;&gt;"",$P249&lt;Hoje!$C$3,$AB249=0,$R249&lt;&gt;"Cancelada"),1,0)</f>
        <v>0</v>
      </c>
      <c r="AJ249" s="50" t="str">
        <f aca="false">IF($F249="","",$D249&amp;"|"&amp;$E249&amp;"|"&amp;$L249)</f>
        <v>F-938|Pendências de inspeção|35</v>
      </c>
      <c r="AK249" s="39" t="n">
        <f aca="false">IF($AJ249="","",COUNTIF($AJ$4:$AJ249,$AJ249))</f>
        <v>1</v>
      </c>
      <c r="AL249" s="39" t="n">
        <f aca="false">IF($AJ249="","",COUNTIF($AJ$4:$AJ$1004,$AJ249))</f>
        <v>1</v>
      </c>
      <c r="AM249" s="42"/>
      <c r="AN249" s="50" t="str">
        <f aca="false">IF($D249="","",IFERROR(T(VLOOKUP($D249,Listas!$B$5:$H$120,7,0)),""))</f>
        <v/>
      </c>
      <c r="AO249" s="50" t="str">
        <f aca="false">IF(OR($F249="",$L249&lt;&gt;"",$R249="Cancelada",$AT249&lt;&gt;""),"",$AN249&amp;"|"&amp;$D249&amp;"|"&amp;IF($C249="","zzz",$C249)&amp;"|"&amp;TEXT(249,"0000"))</f>
        <v/>
      </c>
      <c r="AP249" s="50" t="str">
        <f aca="false">IF($AO249="","",COUNTIF($AO$5:$AO$1004,"&lt;"&amp;$AO249)-(ROWS($AO$5:$AO$1004)-Hoje!$L$5)+1)</f>
        <v/>
      </c>
      <c r="AQ249" s="50" t="n">
        <f aca="false">IF(AND($F249&lt;&gt;"",$D249=Frota!$C$3),1,0)</f>
        <v>0</v>
      </c>
      <c r="AR249" s="50" t="str">
        <f aca="false">IF($AQ249=0,"",SUM($AQ$4:$AQ249))</f>
        <v/>
      </c>
      <c r="AS249" s="50" t="str">
        <f aca="false">IFERROR(INDEX(Hoje!$K$10:$K$29,MATCH(ROW(),Hoje!$J$10:$J$29,0)),"")</f>
        <v/>
      </c>
      <c r="AT249" s="47" t="n">
        <f aca="false">IF($Q249&lt;&gt;"",$Q249,$AS249)</f>
        <v>46261</v>
      </c>
    </row>
    <row r="250" customFormat="false" ht="16.5" hidden="false" customHeight="true" outlineLevel="0" collapsed="false">
      <c r="A250" s="39" t="n">
        <f aca="false">IF($F250="","",ROW())</f>
        <v>250</v>
      </c>
      <c r="B250" s="40" t="str">
        <f aca="false">IF($F250="",IF($D250="","","Falta a atividade"),IF($R250="Cancelada","Cancelada",IF($AB250=1,IF(N($Z250)&gt;0,"Concluída com atraso","Concluída"),IF($R250="Em programação","Em programação",IF($O250="",IF($M250="","Na carteira","Falta a semana"),IF($AC250=1,"VENCIDA",IF($O250&gt;Hoje!$L$1,"Programada",IF($P250&gt;Hoje!$L$1,"Em execução","Fecha hoje"))))))))</f>
        <v>Concluída com atraso</v>
      </c>
      <c r="C250" s="41" t="s">
        <v>612</v>
      </c>
      <c r="D250" s="42" t="s">
        <v>378</v>
      </c>
      <c r="E250" s="42" t="s">
        <v>613</v>
      </c>
      <c r="F250" s="42" t="s">
        <v>614</v>
      </c>
      <c r="G250" s="43" t="s">
        <v>80</v>
      </c>
      <c r="H250" s="43" t="s">
        <v>81</v>
      </c>
      <c r="I250" s="44" t="s">
        <v>88</v>
      </c>
      <c r="J250" s="44"/>
      <c r="K250" s="44"/>
      <c r="L250" s="45" t="n">
        <v>36</v>
      </c>
      <c r="M250" s="46" t="s">
        <v>131</v>
      </c>
      <c r="N250" s="45" t="n">
        <v>1</v>
      </c>
      <c r="O250" s="47" t="n">
        <f aca="false">IF(OR($L250="",$M250=""),"",(DATE(Semana!$J$3,1,4)-WEEKDAY(DATE(Semana!$J$3,1,4),3))+($L250-1)*7+MATCH($M250,Listas!$F$5:$F$11,0)-1)</f>
        <v>46266</v>
      </c>
      <c r="P250" s="47" t="n">
        <f aca="false">IF(OR($F250="",$O250=""),"",$O250+MAX(0,ROUNDUP($AK250*MAX(1,IF($N250="",1,$N250))/MAX(1,$AL250),0)-1))</f>
        <v>46266</v>
      </c>
      <c r="Q250" s="48" t="n">
        <v>46267</v>
      </c>
      <c r="R250" s="43" t="s">
        <v>85</v>
      </c>
      <c r="S250" s="49"/>
      <c r="T250" s="42"/>
      <c r="U250" s="42"/>
      <c r="V250" s="39" t="str">
        <f aca="false">IF($F250="","",IF(ISNUMBER(SEARCH("(externo)",$I250&amp;$J250&amp;$K250)),"Terceirizada","Interna"))</f>
        <v>Interna</v>
      </c>
      <c r="W250" s="47" t="n">
        <f aca="false">IF($O250="","",IF($S250="",$O250,(DATE(Semana!$J$3,1,4)-WEEKDAY(DATE(Semana!$J$3,1,4),3))+($S250-1)*7+IF($M250="",0,MATCH($M250,Listas!$F$5:$F$11,0)-1)))</f>
        <v>46266</v>
      </c>
      <c r="X250" s="39" t="n">
        <f aca="false">IF($F250="","",IF(OR($AT250="",$O250=""),0,IF($AT250&lt;=$O250,1,0)))</f>
        <v>0</v>
      </c>
      <c r="Y250" s="39" t="n">
        <f aca="false">IF($F250="","",IF(OR($AT250="",$W250=""),0,IF($AT250&lt;=$W250,1,0)))</f>
        <v>0</v>
      </c>
      <c r="Z250" s="39" t="n">
        <f aca="false">IF(OR($AT250="",$O250=""),"",MAX(0,$AT250-$O250))</f>
        <v>1</v>
      </c>
      <c r="AA250" s="39" t="n">
        <f aca="false">IF($F250="","",IF(AND($S250&lt;&gt;"",$L250&lt;&gt;"",$S250&lt;&gt;$L250),1,0))</f>
        <v>0</v>
      </c>
      <c r="AB250" s="39" t="n">
        <f aca="false">IF($F250="","",IF($R250="Cancelada",0,IF(OR($AT250&lt;&gt;"",$R250="Concluída"),1,0)))</f>
        <v>1</v>
      </c>
      <c r="AC250" s="39" t="n">
        <f aca="false">IF($P250="",0,IF($P250&lt;Hoje!$L$1,1,IF(AND($P250=Hoje!$L$1,Hoje!$L$2&gt;Semana!$M$3),1,0)))</f>
        <v>1</v>
      </c>
      <c r="AD250" s="39" t="n">
        <f aca="false">IF($F250="","",IF(COUNTA($I250:$K250)=0,0,1/COUNTA($I250:$K250)))</f>
        <v>1</v>
      </c>
      <c r="AE250" s="39" t="str">
        <f aca="false">IF($AH250=0,"",SUM($AH$4:$AH250))</f>
        <v/>
      </c>
      <c r="AF250" s="39" t="str">
        <f aca="false">IF($AI250=0,"",SUM($AI$4:$AI250))</f>
        <v/>
      </c>
      <c r="AG250" s="50" t="str">
        <f aca="false">IF($F250="","",$I250&amp;IF($J250="",""," · "&amp;$J250)&amp;IF($K250="",""," · "&amp;$K250))</f>
        <v>Júnior</v>
      </c>
      <c r="AH250" s="39" t="n">
        <f aca="false">IF(AND($F250&lt;&gt;"",$O250&lt;&gt;"",$O250&lt;=Hoje!$C$3,$P250&gt;=Hoje!$C$3,$R250&lt;&gt;"Cancelada"),1,0)</f>
        <v>0</v>
      </c>
      <c r="AI250" s="39" t="n">
        <f aca="false">IF(AND($F250&lt;&gt;"",$P250&lt;&gt;"",$P250&lt;Hoje!$C$3,$AB250=0,$R250&lt;&gt;"Cancelada"),1,0)</f>
        <v>0</v>
      </c>
      <c r="AJ250" s="50" t="str">
        <f aca="false">IF($F250="","",$D250&amp;"|"&amp;$E250&amp;"|"&amp;$L250)</f>
        <v>F-938|Realizar troca de baterias|36</v>
      </c>
      <c r="AK250" s="39" t="n">
        <f aca="false">IF($AJ250="","",COUNTIF($AJ$4:$AJ250,$AJ250))</f>
        <v>1</v>
      </c>
      <c r="AL250" s="39" t="n">
        <f aca="false">IF($AJ250="","",COUNTIF($AJ$4:$AJ$1004,$AJ250))</f>
        <v>1</v>
      </c>
      <c r="AM250" s="42"/>
      <c r="AN250" s="50" t="str">
        <f aca="false">IF($D250="","",IFERROR(T(VLOOKUP($D250,Listas!$B$5:$H$120,7,0)),""))</f>
        <v/>
      </c>
      <c r="AO250" s="50" t="str">
        <f aca="false">IF(OR($F250="",$L250&lt;&gt;"",$R250="Cancelada",$AT250&lt;&gt;""),"",$AN250&amp;"|"&amp;$D250&amp;"|"&amp;IF($C250="","zzz",$C250)&amp;"|"&amp;TEXT(250,"0000"))</f>
        <v/>
      </c>
      <c r="AP250" s="50" t="str">
        <f aca="false">IF($AO250="","",COUNTIF($AO$5:$AO$1004,"&lt;"&amp;$AO250)-(ROWS($AO$5:$AO$1004)-Hoje!$L$5)+1)</f>
        <v/>
      </c>
      <c r="AQ250" s="50" t="n">
        <f aca="false">IF(AND($F250&lt;&gt;"",$D250=Frota!$C$3),1,0)</f>
        <v>0</v>
      </c>
      <c r="AR250" s="50" t="str">
        <f aca="false">IF($AQ250=0,"",SUM($AQ$4:$AQ250))</f>
        <v/>
      </c>
      <c r="AS250" s="50" t="str">
        <f aca="false">IFERROR(INDEX(Hoje!$K$10:$K$29,MATCH(ROW(),Hoje!$J$10:$J$29,0)),"")</f>
        <v/>
      </c>
      <c r="AT250" s="47" t="n">
        <f aca="false">IF($Q250&lt;&gt;"",$Q250,$AS250)</f>
        <v>46267</v>
      </c>
    </row>
    <row r="251" customFormat="false" ht="16.5" hidden="false" customHeight="true" outlineLevel="0" collapsed="false">
      <c r="A251" s="39" t="n">
        <f aca="false">IF($F251="","",ROW())</f>
        <v>251</v>
      </c>
      <c r="B251" s="40" t="str">
        <f aca="false">IF($F251="",IF($D251="","","Falta a atividade"),IF($R251="Cancelada","Cancelada",IF($AB251=1,IF(N($Z251)&gt;0,"Concluída com atraso","Concluída"),IF($R251="Em programação","Em programação",IF($O251="",IF($M251="","Na carteira","Falta a semana"),IF($AC251=1,"VENCIDA",IF($O251&gt;Hoje!$L$1,"Programada",IF($P251&gt;Hoje!$L$1,"Em execução","Fecha hoje"))))))))</f>
        <v>Concluída com atraso</v>
      </c>
      <c r="C251" s="41" t="s">
        <v>615</v>
      </c>
      <c r="D251" s="42" t="s">
        <v>229</v>
      </c>
      <c r="E251" s="42" t="s">
        <v>616</v>
      </c>
      <c r="F251" s="42" t="s">
        <v>616</v>
      </c>
      <c r="G251" s="43" t="s">
        <v>80</v>
      </c>
      <c r="H251" s="43" t="s">
        <v>81</v>
      </c>
      <c r="I251" s="44" t="s">
        <v>88</v>
      </c>
      <c r="J251" s="44"/>
      <c r="K251" s="44"/>
      <c r="L251" s="45" t="n">
        <v>36</v>
      </c>
      <c r="M251" s="46" t="s">
        <v>131</v>
      </c>
      <c r="N251" s="45" t="n">
        <v>1</v>
      </c>
      <c r="O251" s="47" t="n">
        <f aca="false">IF(OR($L251="",$M251=""),"",(DATE(Semana!$J$3,1,4)-WEEKDAY(DATE(Semana!$J$3,1,4),3))+($L251-1)*7+MATCH($M251,Listas!$F$5:$F$11,0)-1)</f>
        <v>46266</v>
      </c>
      <c r="P251" s="47" t="n">
        <f aca="false">IF(OR($F251="",$O251=""),"",$O251+MAX(0,ROUNDUP($AK251*MAX(1,IF($N251="",1,$N251))/MAX(1,$AL251),0)-1))</f>
        <v>46266</v>
      </c>
      <c r="Q251" s="48" t="n">
        <v>46269</v>
      </c>
      <c r="R251" s="43" t="s">
        <v>85</v>
      </c>
      <c r="S251" s="49"/>
      <c r="T251" s="42"/>
      <c r="U251" s="42"/>
      <c r="V251" s="39" t="str">
        <f aca="false">IF($F251="","",IF(ISNUMBER(SEARCH("(externo)",$I251&amp;$J251&amp;$K251)),"Terceirizada","Interna"))</f>
        <v>Interna</v>
      </c>
      <c r="W251" s="47" t="n">
        <f aca="false">IF($O251="","",IF($S251="",$O251,(DATE(Semana!$J$3,1,4)-WEEKDAY(DATE(Semana!$J$3,1,4),3))+($S251-1)*7+IF($M251="",0,MATCH($M251,Listas!$F$5:$F$11,0)-1)))</f>
        <v>46266</v>
      </c>
      <c r="X251" s="39" t="n">
        <f aca="false">IF($F251="","",IF(OR($AT251="",$O251=""),0,IF($AT251&lt;=$O251,1,0)))</f>
        <v>0</v>
      </c>
      <c r="Y251" s="39" t="n">
        <f aca="false">IF($F251="","",IF(OR($AT251="",$W251=""),0,IF($AT251&lt;=$W251,1,0)))</f>
        <v>0</v>
      </c>
      <c r="Z251" s="39" t="n">
        <f aca="false">IF(OR($AT251="",$O251=""),"",MAX(0,$AT251-$O251))</f>
        <v>3</v>
      </c>
      <c r="AA251" s="39" t="n">
        <f aca="false">IF($F251="","",IF(AND($S251&lt;&gt;"",$L251&lt;&gt;"",$S251&lt;&gt;$L251),1,0))</f>
        <v>0</v>
      </c>
      <c r="AB251" s="39" t="n">
        <f aca="false">IF($F251="","",IF($R251="Cancelada",0,IF(OR($AT251&lt;&gt;"",$R251="Concluída"),1,0)))</f>
        <v>1</v>
      </c>
      <c r="AC251" s="39" t="n">
        <f aca="false">IF($P251="",0,IF($P251&lt;Hoje!$L$1,1,IF(AND($P251=Hoje!$L$1,Hoje!$L$2&gt;Semana!$M$3),1,0)))</f>
        <v>1</v>
      </c>
      <c r="AD251" s="39" t="n">
        <f aca="false">IF($F251="","",IF(COUNTA($I251:$K251)=0,0,1/COUNTA($I251:$K251)))</f>
        <v>1</v>
      </c>
      <c r="AE251" s="39" t="str">
        <f aca="false">IF($AH251=0,"",SUM($AH$4:$AH251))</f>
        <v/>
      </c>
      <c r="AF251" s="39" t="str">
        <f aca="false">IF($AI251=0,"",SUM($AI$4:$AI251))</f>
        <v/>
      </c>
      <c r="AG251" s="50" t="str">
        <f aca="false">IF($F251="","",$I251&amp;IF($J251="",""," · "&amp;$J251)&amp;IF($K251="",""," · "&amp;$K251))</f>
        <v>Júnior</v>
      </c>
      <c r="AH251" s="39" t="n">
        <f aca="false">IF(AND($F251&lt;&gt;"",$O251&lt;&gt;"",$O251&lt;=Hoje!$C$3,$P251&gt;=Hoje!$C$3,$R251&lt;&gt;"Cancelada"),1,0)</f>
        <v>0</v>
      </c>
      <c r="AI251" s="39" t="n">
        <f aca="false">IF(AND($F251&lt;&gt;"",$P251&lt;&gt;"",$P251&lt;Hoje!$C$3,$AB251=0,$R251&lt;&gt;"Cancelada"),1,0)</f>
        <v>0</v>
      </c>
      <c r="AJ251" s="50" t="str">
        <f aca="false">IF($F251="","",$D251&amp;"|"&amp;$E251&amp;"|"&amp;$L251)</f>
        <v>F-624|Completar liquido de arrefecimento|36</v>
      </c>
      <c r="AK251" s="39" t="n">
        <f aca="false">IF($AJ251="","",COUNTIF($AJ$4:$AJ251,$AJ251))</f>
        <v>1</v>
      </c>
      <c r="AL251" s="39" t="n">
        <f aca="false">IF($AJ251="","",COUNTIF($AJ$4:$AJ$1004,$AJ251))</f>
        <v>1</v>
      </c>
      <c r="AM251" s="42"/>
      <c r="AN251" s="50" t="str">
        <f aca="false">IF($D251="","",IFERROR(T(VLOOKUP($D251,Listas!$B$5:$H$120,7,0)),""))</f>
        <v/>
      </c>
      <c r="AO251" s="50" t="str">
        <f aca="false">IF(OR($F251="",$L251&lt;&gt;"",$R251="Cancelada",$AT251&lt;&gt;""),"",$AN251&amp;"|"&amp;$D251&amp;"|"&amp;IF($C251="","zzz",$C251)&amp;"|"&amp;TEXT(251,"0000"))</f>
        <v/>
      </c>
      <c r="AP251" s="50" t="str">
        <f aca="false">IF($AO251="","",COUNTIF($AO$5:$AO$1004,"&lt;"&amp;$AO251)-(ROWS($AO$5:$AO$1004)-Hoje!$L$5)+1)</f>
        <v/>
      </c>
      <c r="AQ251" s="50" t="n">
        <f aca="false">IF(AND($F251&lt;&gt;"",$D251=Frota!$C$3),1,0)</f>
        <v>0</v>
      </c>
      <c r="AR251" s="50" t="str">
        <f aca="false">IF($AQ251=0,"",SUM($AQ$4:$AQ251))</f>
        <v/>
      </c>
      <c r="AS251" s="50" t="str">
        <f aca="false">IFERROR(INDEX(Hoje!$K$10:$K$29,MATCH(ROW(),Hoje!$J$10:$J$29,0)),"")</f>
        <v/>
      </c>
      <c r="AT251" s="47" t="n">
        <f aca="false">IF($Q251&lt;&gt;"",$Q251,$AS251)</f>
        <v>46269</v>
      </c>
    </row>
    <row r="252" customFormat="false" ht="16.5" hidden="false" customHeight="true" outlineLevel="0" collapsed="false">
      <c r="A252" s="39" t="n">
        <f aca="false">IF($F252="","",ROW())</f>
        <v>252</v>
      </c>
      <c r="B252" s="40" t="str">
        <f aca="false">IF($F252="",IF($D252="","","Falta a atividade"),IF($R252="Cancelada","Cancelada",IF($AB252=1,IF(N($Z252)&gt;0,"Concluída com atraso","Concluída"),IF($R252="Em programação","Em programação",IF($O252="",IF($M252="","Na carteira","Falta a semana"),IF($AC252=1,"VENCIDA",IF($O252&gt;Hoje!$L$1,"Programada",IF($P252&gt;Hoje!$L$1,"Em execução","Fecha hoje"))))))))</f>
        <v>Concluída</v>
      </c>
      <c r="C252" s="41" t="s">
        <v>617</v>
      </c>
      <c r="D252" s="42" t="s">
        <v>134</v>
      </c>
      <c r="E252" s="42" t="s">
        <v>618</v>
      </c>
      <c r="F252" s="42" t="s">
        <v>619</v>
      </c>
      <c r="G252" s="43" t="s">
        <v>80</v>
      </c>
      <c r="H252" s="43" t="s">
        <v>100</v>
      </c>
      <c r="I252" s="44" t="s">
        <v>106</v>
      </c>
      <c r="J252" s="44" t="s">
        <v>88</v>
      </c>
      <c r="K252" s="44" t="s">
        <v>107</v>
      </c>
      <c r="L252" s="45" t="n">
        <v>36</v>
      </c>
      <c r="M252" s="46" t="s">
        <v>84</v>
      </c>
      <c r="N252" s="45" t="n">
        <v>1</v>
      </c>
      <c r="O252" s="47" t="n">
        <f aca="false">IF(OR($L252="",$M252=""),"",(DATE(Semana!$J$3,1,4)-WEEKDAY(DATE(Semana!$J$3,1,4),3))+($L252-1)*7+MATCH($M252,Listas!$F$5:$F$11,0)-1)</f>
        <v>46267</v>
      </c>
      <c r="P252" s="47" t="n">
        <f aca="false">IF(OR($F252="",$O252=""),"",$O252+MAX(0,ROUNDUP($AK252*MAX(1,IF($N252="",1,$N252))/MAX(1,$AL252),0)-1))</f>
        <v>46267</v>
      </c>
      <c r="Q252" s="48" t="n">
        <v>46267</v>
      </c>
      <c r="R252" s="43" t="s">
        <v>85</v>
      </c>
      <c r="S252" s="49"/>
      <c r="T252" s="42"/>
      <c r="U252" s="42" t="s">
        <v>620</v>
      </c>
      <c r="V252" s="39" t="str">
        <f aca="false">IF($F252="","",IF(ISNUMBER(SEARCH("(externo)",$I252&amp;$J252&amp;$K252)),"Terceirizada","Interna"))</f>
        <v>Interna</v>
      </c>
      <c r="W252" s="47" t="n">
        <f aca="false">IF($O252="","",IF($S252="",$O252,(DATE(Semana!$J$3,1,4)-WEEKDAY(DATE(Semana!$J$3,1,4),3))+($S252-1)*7+IF($M252="",0,MATCH($M252,Listas!$F$5:$F$11,0)-1)))</f>
        <v>46267</v>
      </c>
      <c r="X252" s="39" t="n">
        <f aca="false">IF($F252="","",IF(OR($AT252="",$O252=""),0,IF($AT252&lt;=$O252,1,0)))</f>
        <v>1</v>
      </c>
      <c r="Y252" s="39" t="n">
        <f aca="false">IF($F252="","",IF(OR($AT252="",$W252=""),0,IF($AT252&lt;=$W252,1,0)))</f>
        <v>1</v>
      </c>
      <c r="Z252" s="39" t="n">
        <f aca="false">IF(OR($AT252="",$O252=""),"",MAX(0,$AT252-$O252))</f>
        <v>0</v>
      </c>
      <c r="AA252" s="39" t="n">
        <f aca="false">IF($F252="","",IF(AND($S252&lt;&gt;"",$L252&lt;&gt;"",$S252&lt;&gt;$L252),1,0))</f>
        <v>0</v>
      </c>
      <c r="AB252" s="39" t="n">
        <f aca="false">IF($F252="","",IF($R252="Cancelada",0,IF(OR($AT252&lt;&gt;"",$R252="Concluída"),1,0)))</f>
        <v>1</v>
      </c>
      <c r="AC252" s="39" t="n">
        <f aca="false">IF($P252="",0,IF($P252&lt;Hoje!$L$1,1,IF(AND($P252=Hoje!$L$1,Hoje!$L$2&gt;Semana!$M$3),1,0)))</f>
        <v>1</v>
      </c>
      <c r="AD252" s="39" t="n">
        <f aca="false">IF($F252="","",IF(COUNTA($I252:$K252)=0,0,1/COUNTA($I252:$K252)))</f>
        <v>0.333333333333333</v>
      </c>
      <c r="AE252" s="39" t="str">
        <f aca="false">IF($AH252=0,"",SUM($AH$4:$AH252))</f>
        <v/>
      </c>
      <c r="AF252" s="39" t="str">
        <f aca="false">IF($AI252=0,"",SUM($AI$4:$AI252))</f>
        <v/>
      </c>
      <c r="AG252" s="50" t="str">
        <f aca="false">IF($F252="","",$I252&amp;IF($J252="",""," · "&amp;$J252)&amp;IF($K252="",""," · "&amp;$K252))</f>
        <v>Adilton · Júnior · Gabriel</v>
      </c>
      <c r="AH252" s="39" t="n">
        <f aca="false">IF(AND($F252&lt;&gt;"",$O252&lt;&gt;"",$O252&lt;=Hoje!$C$3,$P252&gt;=Hoje!$C$3,$R252&lt;&gt;"Cancelada"),1,0)</f>
        <v>0</v>
      </c>
      <c r="AI252" s="39" t="n">
        <f aca="false">IF(AND($F252&lt;&gt;"",$P252&lt;&gt;"",$P252&lt;Hoje!$C$3,$AB252=0,$R252&lt;&gt;"Cancelada"),1,0)</f>
        <v>0</v>
      </c>
      <c r="AJ252" s="50" t="str">
        <f aca="false">IF($F252="","",$D252&amp;"|"&amp;$E252&amp;"|"&amp;$L252)</f>
        <v>F-331|Programação 02/09|36</v>
      </c>
      <c r="AK252" s="39" t="n">
        <f aca="false">IF($AJ252="","",COUNTIF($AJ$4:$AJ252,$AJ252))</f>
        <v>1</v>
      </c>
      <c r="AL252" s="39" t="n">
        <f aca="false">IF($AJ252="","",COUNTIF($AJ$4:$AJ$1004,$AJ252))</f>
        <v>1</v>
      </c>
      <c r="AM252" s="42"/>
      <c r="AN252" s="50" t="str">
        <f aca="false">IF($D252="","",IFERROR(T(VLOOKUP($D252,Listas!$B$5:$H$120,7,0)),""))</f>
        <v/>
      </c>
      <c r="AO252" s="50" t="str">
        <f aca="false">IF(OR($F252="",$L252&lt;&gt;"",$R252="Cancelada",$AT252&lt;&gt;""),"",$AN252&amp;"|"&amp;$D252&amp;"|"&amp;IF($C252="","zzz",$C252)&amp;"|"&amp;TEXT(252,"0000"))</f>
        <v/>
      </c>
      <c r="AP252" s="50" t="str">
        <f aca="false">IF($AO252="","",COUNTIF($AO$5:$AO$1004,"&lt;"&amp;$AO252)-(ROWS($AO$5:$AO$1004)-Hoje!$L$5)+1)</f>
        <v/>
      </c>
      <c r="AQ252" s="50" t="n">
        <f aca="false">IF(AND($F252&lt;&gt;"",$D252=Frota!$C$3),1,0)</f>
        <v>0</v>
      </c>
      <c r="AR252" s="50" t="str">
        <f aca="false">IF($AQ252=0,"",SUM($AQ$4:$AQ252))</f>
        <v/>
      </c>
      <c r="AS252" s="50" t="str">
        <f aca="false">IFERROR(INDEX(Hoje!$K$10:$K$29,MATCH(ROW(),Hoje!$J$10:$J$29,0)),"")</f>
        <v/>
      </c>
      <c r="AT252" s="47" t="n">
        <f aca="false">IF($Q252&lt;&gt;"",$Q252,$AS252)</f>
        <v>46267</v>
      </c>
    </row>
    <row r="253" customFormat="false" ht="16.5" hidden="false" customHeight="true" outlineLevel="0" collapsed="false">
      <c r="A253" s="39" t="n">
        <f aca="false">IF($F253="","",ROW())</f>
        <v>253</v>
      </c>
      <c r="B253" s="40" t="str">
        <f aca="false">IF($F253="",IF($D253="","","Falta a atividade"),IF($R253="Cancelada","Cancelada",IF($AB253=1,IF(N($Z253)&gt;0,"Concluída com atraso","Concluída"),IF($R253="Em programação","Em programação",IF($O253="",IF($M253="","Na carteira","Falta a semana"),IF($AC253=1,"VENCIDA",IF($O253&gt;Hoje!$L$1,"Programada",IF($P253&gt;Hoje!$L$1,"Em execução","Fecha hoje"))))))))</f>
        <v>Concluída</v>
      </c>
      <c r="C253" s="41" t="s">
        <v>621</v>
      </c>
      <c r="D253" s="42" t="s">
        <v>134</v>
      </c>
      <c r="E253" s="42" t="s">
        <v>622</v>
      </c>
      <c r="F253" s="42" t="s">
        <v>623</v>
      </c>
      <c r="G253" s="43" t="s">
        <v>80</v>
      </c>
      <c r="H253" s="43" t="s">
        <v>100</v>
      </c>
      <c r="I253" s="44" t="s">
        <v>106</v>
      </c>
      <c r="J253" s="44" t="s">
        <v>107</v>
      </c>
      <c r="K253" s="44"/>
      <c r="L253" s="45" t="n">
        <v>36</v>
      </c>
      <c r="M253" s="46" t="s">
        <v>173</v>
      </c>
      <c r="N253" s="45" t="n">
        <v>1</v>
      </c>
      <c r="O253" s="47" t="n">
        <f aca="false">IF(OR($L253="",$M253=""),"",(DATE(Semana!$J$3,1,4)-WEEKDAY(DATE(Semana!$J$3,1,4),3))+($L253-1)*7+MATCH($M253,Listas!$F$5:$F$11,0)-1)</f>
        <v>46268</v>
      </c>
      <c r="P253" s="47" t="n">
        <f aca="false">IF(OR($F253="",$O253=""),"",$O253+MAX(0,ROUNDUP($AK253*MAX(1,IF($N253="",1,$N253))/MAX(1,$AL253),0)-1))</f>
        <v>46268</v>
      </c>
      <c r="Q253" s="48" t="n">
        <v>46238</v>
      </c>
      <c r="R253" s="43"/>
      <c r="S253" s="49"/>
      <c r="T253" s="42" t="s">
        <v>114</v>
      </c>
      <c r="U253" s="42" t="s">
        <v>624</v>
      </c>
      <c r="V253" s="39" t="str">
        <f aca="false">IF($F253="","",IF(ISNUMBER(SEARCH("(externo)",$I253&amp;$J253&amp;$K253)),"Terceirizada","Interna"))</f>
        <v>Interna</v>
      </c>
      <c r="W253" s="47" t="n">
        <f aca="false">IF($O253="","",IF($S253="",$O253,(DATE(Semana!$J$3,1,4)-WEEKDAY(DATE(Semana!$J$3,1,4),3))+($S253-1)*7+IF($M253="",0,MATCH($M253,Listas!$F$5:$F$11,0)-1)))</f>
        <v>46268</v>
      </c>
      <c r="X253" s="39" t="n">
        <f aca="false">IF($F253="","",IF(OR($AT253="",$O253=""),0,IF($AT253&lt;=$O253,1,0)))</f>
        <v>1</v>
      </c>
      <c r="Y253" s="39" t="n">
        <f aca="false">IF($F253="","",IF(OR($AT253="",$W253=""),0,IF($AT253&lt;=$W253,1,0)))</f>
        <v>1</v>
      </c>
      <c r="Z253" s="39" t="n">
        <f aca="false">IF(OR($AT253="",$O253=""),"",MAX(0,$AT253-$O253))</f>
        <v>0</v>
      </c>
      <c r="AA253" s="39" t="n">
        <f aca="false">IF($F253="","",IF(AND($S253&lt;&gt;"",$L253&lt;&gt;"",$S253&lt;&gt;$L253),1,0))</f>
        <v>0</v>
      </c>
      <c r="AB253" s="39" t="n">
        <f aca="false">IF($F253="","",IF($R253="Cancelada",0,IF(OR($AT253&lt;&gt;"",$R253="Concluída"),1,0)))</f>
        <v>1</v>
      </c>
      <c r="AC253" s="39" t="n">
        <f aca="false">IF($P253="",0,IF($P253&lt;Hoje!$L$1,1,IF(AND($P253=Hoje!$L$1,Hoje!$L$2&gt;Semana!$M$3),1,0)))</f>
        <v>1</v>
      </c>
      <c r="AD253" s="39" t="n">
        <f aca="false">IF($F253="","",IF(COUNTA($I253:$K253)=0,0,1/COUNTA($I253:$K253)))</f>
        <v>0.5</v>
      </c>
      <c r="AE253" s="39" t="str">
        <f aca="false">IF($AH253=0,"",SUM($AH$4:$AH253))</f>
        <v/>
      </c>
      <c r="AF253" s="39" t="str">
        <f aca="false">IF($AI253=0,"",SUM($AI$4:$AI253))</f>
        <v/>
      </c>
      <c r="AG253" s="50" t="str">
        <f aca="false">IF($F253="","",$I253&amp;IF($J253="",""," · "&amp;$J253)&amp;IF($K253="",""," · "&amp;$K253))</f>
        <v>Adilton · Gabriel</v>
      </c>
      <c r="AH253" s="39" t="n">
        <f aca="false">IF(AND($F253&lt;&gt;"",$O253&lt;&gt;"",$O253&lt;=Hoje!$C$3,$P253&gt;=Hoje!$C$3,$R253&lt;&gt;"Cancelada"),1,0)</f>
        <v>0</v>
      </c>
      <c r="AI253" s="39" t="n">
        <f aca="false">IF(AND($F253&lt;&gt;"",$P253&lt;&gt;"",$P253&lt;Hoje!$C$3,$AB253=0,$R253&lt;&gt;"Cancelada"),1,0)</f>
        <v>0</v>
      </c>
      <c r="AJ253" s="50" t="str">
        <f aca="false">IF($F253="","",$D253&amp;"|"&amp;$E253&amp;"|"&amp;$L253)</f>
        <v>F-331|Programação 02/10|36</v>
      </c>
      <c r="AK253" s="39" t="n">
        <f aca="false">IF($AJ253="","",COUNTIF($AJ$4:$AJ253,$AJ253))</f>
        <v>1</v>
      </c>
      <c r="AL253" s="39" t="n">
        <f aca="false">IF($AJ253="","",COUNTIF($AJ$4:$AJ$1004,$AJ253))</f>
        <v>1</v>
      </c>
      <c r="AM253" s="42"/>
      <c r="AN253" s="50" t="str">
        <f aca="false">IF($D253="","",IFERROR(T(VLOOKUP($D253,Listas!$B$5:$H$120,7,0)),""))</f>
        <v/>
      </c>
      <c r="AO253" s="50" t="str">
        <f aca="false">IF(OR($F253="",$L253&lt;&gt;"",$R253="Cancelada",$AT253&lt;&gt;""),"",$AN253&amp;"|"&amp;$D253&amp;"|"&amp;IF($C253="","zzz",$C253)&amp;"|"&amp;TEXT(253,"0000"))</f>
        <v/>
      </c>
      <c r="AP253" s="50" t="str">
        <f aca="false">IF($AO253="","",COUNTIF($AO$5:$AO$1004,"&lt;"&amp;$AO253)-(ROWS($AO$5:$AO$1004)-Hoje!$L$5)+1)</f>
        <v/>
      </c>
      <c r="AQ253" s="50" t="n">
        <f aca="false">IF(AND($F253&lt;&gt;"",$D253=Frota!$C$3),1,0)</f>
        <v>0</v>
      </c>
      <c r="AR253" s="50" t="str">
        <f aca="false">IF($AQ253=0,"",SUM($AQ$4:$AQ253))</f>
        <v/>
      </c>
      <c r="AS253" s="50" t="str">
        <f aca="false">IFERROR(INDEX(Hoje!$K$10:$K$29,MATCH(ROW(),Hoje!$J$10:$J$29,0)),"")</f>
        <v/>
      </c>
      <c r="AT253" s="47" t="n">
        <f aca="false">IF($Q253&lt;&gt;"",$Q253,$AS253)</f>
        <v>46238</v>
      </c>
    </row>
    <row r="254" customFormat="false" ht="16.5" hidden="false" customHeight="true" outlineLevel="0" collapsed="false">
      <c r="A254" s="39" t="n">
        <f aca="false">IF($F254="","",ROW())</f>
        <v>254</v>
      </c>
      <c r="B254" s="40" t="str">
        <f aca="false">IF($F254="",IF($D254="","","Falta a atividade"),IF($R254="Cancelada","Cancelada",IF($AB254=1,IF(N($Z254)&gt;0,"Concluída com atraso","Concluída"),IF($R254="Em programação","Em programação",IF($O254="",IF($M254="","Na carteira","Falta a semana"),IF($AC254=1,"VENCIDA",IF($O254&gt;Hoje!$L$1,"Programada",IF($P254&gt;Hoje!$L$1,"Em execução","Fecha hoje"))))))))</f>
        <v>Concluída</v>
      </c>
      <c r="C254" s="41" t="s">
        <v>625</v>
      </c>
      <c r="D254" s="42" t="s">
        <v>461</v>
      </c>
      <c r="E254" s="42" t="s">
        <v>626</v>
      </c>
      <c r="F254" s="42" t="s">
        <v>627</v>
      </c>
      <c r="G254" s="43" t="s">
        <v>628</v>
      </c>
      <c r="H254" s="43" t="s">
        <v>100</v>
      </c>
      <c r="I254" s="44" t="s">
        <v>83</v>
      </c>
      <c r="J254" s="44" t="s">
        <v>82</v>
      </c>
      <c r="K254" s="44"/>
      <c r="L254" s="45" t="n">
        <v>36</v>
      </c>
      <c r="M254" s="46" t="s">
        <v>84</v>
      </c>
      <c r="N254" s="45" t="n">
        <v>1</v>
      </c>
      <c r="O254" s="47" t="n">
        <f aca="false">IF(OR($L254="",$M254=""),"",(DATE(Semana!$J$3,1,4)-WEEKDAY(DATE(Semana!$J$3,1,4),3))+($L254-1)*7+MATCH($M254,Listas!$F$5:$F$11,0)-1)</f>
        <v>46267</v>
      </c>
      <c r="P254" s="47" t="n">
        <f aca="false">IF(OR($F254="",$O254=""),"",$O254+MAX(0,ROUNDUP($AK254*MAX(1,IF($N254="",1,$N254))/MAX(1,$AL254),0)-1))</f>
        <v>46267</v>
      </c>
      <c r="Q254" s="48" t="n">
        <v>46267</v>
      </c>
      <c r="R254" s="43" t="s">
        <v>85</v>
      </c>
      <c r="S254" s="49"/>
      <c r="T254" s="42"/>
      <c r="U254" s="42" t="s">
        <v>629</v>
      </c>
      <c r="V254" s="39" t="str">
        <f aca="false">IF($F254="","",IF(ISNUMBER(SEARCH("(externo)",$I254&amp;$J254&amp;$K254)),"Terceirizada","Interna"))</f>
        <v>Interna</v>
      </c>
      <c r="W254" s="47" t="n">
        <f aca="false">IF($O254="","",IF($S254="",$O254,(DATE(Semana!$J$3,1,4)-WEEKDAY(DATE(Semana!$J$3,1,4),3))+($S254-1)*7+IF($M254="",0,MATCH($M254,Listas!$F$5:$F$11,0)-1)))</f>
        <v>46267</v>
      </c>
      <c r="X254" s="39" t="n">
        <f aca="false">IF($F254="","",IF(OR($AT254="",$O254=""),0,IF($AT254&lt;=$O254,1,0)))</f>
        <v>1</v>
      </c>
      <c r="Y254" s="39" t="n">
        <f aca="false">IF($F254="","",IF(OR($AT254="",$W254=""),0,IF($AT254&lt;=$W254,1,0)))</f>
        <v>1</v>
      </c>
      <c r="Z254" s="39" t="n">
        <f aca="false">IF(OR($AT254="",$O254=""),"",MAX(0,$AT254-$O254))</f>
        <v>0</v>
      </c>
      <c r="AA254" s="39" t="n">
        <f aca="false">IF($F254="","",IF(AND($S254&lt;&gt;"",$L254&lt;&gt;"",$S254&lt;&gt;$L254),1,0))</f>
        <v>0</v>
      </c>
      <c r="AB254" s="39" t="n">
        <f aca="false">IF($F254="","",IF($R254="Cancelada",0,IF(OR($AT254&lt;&gt;"",$R254="Concluída"),1,0)))</f>
        <v>1</v>
      </c>
      <c r="AC254" s="39" t="n">
        <f aca="false">IF($P254="",0,IF($P254&lt;Hoje!$L$1,1,IF(AND($P254=Hoje!$L$1,Hoje!$L$2&gt;Semana!$M$3),1,0)))</f>
        <v>1</v>
      </c>
      <c r="AD254" s="39" t="n">
        <f aca="false">IF($F254="","",IF(COUNTA($I254:$K254)=0,0,1/COUNTA($I254:$K254)))</f>
        <v>0.5</v>
      </c>
      <c r="AE254" s="39" t="str">
        <f aca="false">IF($AH254=0,"",SUM($AH$4:$AH254))</f>
        <v/>
      </c>
      <c r="AF254" s="39" t="str">
        <f aca="false">IF($AI254=0,"",SUM($AI$4:$AI254))</f>
        <v/>
      </c>
      <c r="AG254" s="50" t="str">
        <f aca="false">IF($F254="","",$I254&amp;IF($J254="",""," · "&amp;$J254)&amp;IF($K254="",""," · "&amp;$K254))</f>
        <v>Luiz Paulo · Airton</v>
      </c>
      <c r="AH254" s="39" t="n">
        <f aca="false">IF(AND($F254&lt;&gt;"",$O254&lt;&gt;"",$O254&lt;=Hoje!$C$3,$P254&gt;=Hoje!$C$3,$R254&lt;&gt;"Cancelada"),1,0)</f>
        <v>0</v>
      </c>
      <c r="AI254" s="39" t="n">
        <f aca="false">IF(AND($F254&lt;&gt;"",$P254&lt;&gt;"",$P254&lt;Hoje!$C$3,$AB254=0,$R254&lt;&gt;"Cancelada"),1,0)</f>
        <v>0</v>
      </c>
      <c r="AJ254" s="50" t="str">
        <f aca="false">IF($F254="","",$D254&amp;"|"&amp;$E254&amp;"|"&amp;$L254)</f>
        <v>F-814|Borracharia 02/09|36</v>
      </c>
      <c r="AK254" s="39" t="n">
        <f aca="false">IF($AJ254="","",COUNTIF($AJ$4:$AJ254,$AJ254))</f>
        <v>1</v>
      </c>
      <c r="AL254" s="39" t="n">
        <f aca="false">IF($AJ254="","",COUNTIF($AJ$4:$AJ$1004,$AJ254))</f>
        <v>1</v>
      </c>
      <c r="AM254" s="42"/>
      <c r="AN254" s="50" t="str">
        <f aca="false">IF($D254="","",IFERROR(T(VLOOKUP($D254,Listas!$B$5:$H$120,7,0)),""))</f>
        <v/>
      </c>
      <c r="AO254" s="50" t="str">
        <f aca="false">IF(OR($F254="",$L254&lt;&gt;"",$R254="Cancelada",$AT254&lt;&gt;""),"",$AN254&amp;"|"&amp;$D254&amp;"|"&amp;IF($C254="","zzz",$C254)&amp;"|"&amp;TEXT(254,"0000"))</f>
        <v/>
      </c>
      <c r="AP254" s="50" t="str">
        <f aca="false">IF($AO254="","",COUNTIF($AO$5:$AO$1004,"&lt;"&amp;$AO254)-(ROWS($AO$5:$AO$1004)-Hoje!$L$5)+1)</f>
        <v/>
      </c>
      <c r="AQ254" s="50" t="n">
        <f aca="false">IF(AND($F254&lt;&gt;"",$D254=Frota!$C$3),1,0)</f>
        <v>0</v>
      </c>
      <c r="AR254" s="50" t="str">
        <f aca="false">IF($AQ254=0,"",SUM($AQ$4:$AQ254))</f>
        <v/>
      </c>
      <c r="AS254" s="50" t="str">
        <f aca="false">IFERROR(INDEX(Hoje!$K$10:$K$29,MATCH(ROW(),Hoje!$J$10:$J$29,0)),"")</f>
        <v/>
      </c>
      <c r="AT254" s="47" t="n">
        <f aca="false">IF($Q254&lt;&gt;"",$Q254,$AS254)</f>
        <v>46267</v>
      </c>
    </row>
    <row r="255" customFormat="false" ht="16.5" hidden="false" customHeight="true" outlineLevel="0" collapsed="false">
      <c r="A255" s="39" t="n">
        <f aca="false">IF($F255="","",ROW())</f>
        <v>255</v>
      </c>
      <c r="B255" s="40" t="str">
        <f aca="false">IF($F255="",IF($D255="","","Falta a atividade"),IF($R255="Cancelada","Cancelada",IF($AB255=1,IF(N($Z255)&gt;0,"Concluída com atraso","Concluída"),IF($R255="Em programação","Em programação",IF($O255="",IF($M255="","Na carteira","Falta a semana"),IF($AC255=1,"VENCIDA",IF($O255&gt;Hoje!$L$1,"Programada",IF($P255&gt;Hoje!$L$1,"Em execução","Fecha hoje"))))))))</f>
        <v>Concluída</v>
      </c>
      <c r="C255" s="41"/>
      <c r="D255" s="42" t="s">
        <v>630</v>
      </c>
      <c r="E255" s="42" t="s">
        <v>631</v>
      </c>
      <c r="F255" s="42" t="s">
        <v>632</v>
      </c>
      <c r="G255" s="43" t="s">
        <v>633</v>
      </c>
      <c r="H255" s="43" t="s">
        <v>100</v>
      </c>
      <c r="I255" s="44" t="s">
        <v>182</v>
      </c>
      <c r="J255" s="44"/>
      <c r="K255" s="44"/>
      <c r="L255" s="45" t="n">
        <v>36</v>
      </c>
      <c r="M255" s="46" t="s">
        <v>84</v>
      </c>
      <c r="N255" s="45" t="n">
        <v>1</v>
      </c>
      <c r="O255" s="47" t="n">
        <f aca="false">IF(OR($L255="",$M255=""),"",(DATE(Semana!$J$3,1,4)-WEEKDAY(DATE(Semana!$J$3,1,4),3))+($L255-1)*7+MATCH($M255,Listas!$F$5:$F$11,0)-1)</f>
        <v>46267</v>
      </c>
      <c r="P255" s="47" t="n">
        <f aca="false">IF(OR($F255="",$O255=""),"",$O255+MAX(0,ROUNDUP($AK255*MAX(1,IF($N255="",1,$N255))/MAX(1,$AL255),0)-1))</f>
        <v>46267</v>
      </c>
      <c r="Q255" s="48" t="n">
        <v>46267</v>
      </c>
      <c r="R255" s="43" t="s">
        <v>85</v>
      </c>
      <c r="S255" s="49"/>
      <c r="T255" s="42"/>
      <c r="U255" s="42" t="s">
        <v>634</v>
      </c>
      <c r="V255" s="39" t="str">
        <f aca="false">IF($F255="","",IF(ISNUMBER(SEARCH("(externo)",$I255&amp;$J255&amp;$K255)),"Terceirizada","Interna"))</f>
        <v>Interna</v>
      </c>
      <c r="W255" s="47" t="n">
        <f aca="false">IF($O255="","",IF($S255="",$O255,(DATE(Semana!$J$3,1,4)-WEEKDAY(DATE(Semana!$J$3,1,4),3))+($S255-1)*7+IF($M255="",0,MATCH($M255,Listas!$F$5:$F$11,0)-1)))</f>
        <v>46267</v>
      </c>
      <c r="X255" s="39" t="n">
        <f aca="false">IF($F255="","",IF(OR($AT255="",$O255=""),0,IF($AT255&lt;=$O255,1,0)))</f>
        <v>1</v>
      </c>
      <c r="Y255" s="39" t="n">
        <f aca="false">IF($F255="","",IF(OR($AT255="",$W255=""),0,IF($AT255&lt;=$W255,1,0)))</f>
        <v>1</v>
      </c>
      <c r="Z255" s="39" t="n">
        <f aca="false">IF(OR($AT255="",$O255=""),"",MAX(0,$AT255-$O255))</f>
        <v>0</v>
      </c>
      <c r="AA255" s="39" t="n">
        <f aca="false">IF($F255="","",IF(AND($S255&lt;&gt;"",$L255&lt;&gt;"",$S255&lt;&gt;$L255),1,0))</f>
        <v>0</v>
      </c>
      <c r="AB255" s="39" t="n">
        <f aca="false">IF($F255="","",IF($R255="Cancelada",0,IF(OR($AT255&lt;&gt;"",$R255="Concluída"),1,0)))</f>
        <v>1</v>
      </c>
      <c r="AC255" s="39" t="n">
        <f aca="false">IF($P255="",0,IF($P255&lt;Hoje!$L$1,1,IF(AND($P255=Hoje!$L$1,Hoje!$L$2&gt;Semana!$M$3),1,0)))</f>
        <v>1</v>
      </c>
      <c r="AD255" s="39" t="n">
        <f aca="false">IF($F255="","",IF(COUNTA($I255:$K255)=0,0,1/COUNTA($I255:$K255)))</f>
        <v>1</v>
      </c>
      <c r="AE255" s="39" t="str">
        <f aca="false">IF($AH255=0,"",SUM($AH$4:$AH255))</f>
        <v/>
      </c>
      <c r="AF255" s="39" t="str">
        <f aca="false">IF($AI255=0,"",SUM($AI$4:$AI255))</f>
        <v/>
      </c>
      <c r="AG255" s="50" t="str">
        <f aca="false">IF($F255="","",$I255&amp;IF($J255="",""," · "&amp;$J255)&amp;IF($K255="",""," · "&amp;$K255))</f>
        <v>Alexandre</v>
      </c>
      <c r="AH255" s="39" t="n">
        <f aca="false">IF(AND($F255&lt;&gt;"",$O255&lt;&gt;"",$O255&lt;=Hoje!$C$3,$P255&gt;=Hoje!$C$3,$R255&lt;&gt;"Cancelada"),1,0)</f>
        <v>0</v>
      </c>
      <c r="AI255" s="39" t="n">
        <f aca="false">IF(AND($F255&lt;&gt;"",$P255&lt;&gt;"",$P255&lt;Hoje!$C$3,$AB255=0,$R255&lt;&gt;"Cancelada"),1,0)</f>
        <v>0</v>
      </c>
      <c r="AJ255" s="50" t="str">
        <f aca="false">IF($F255="","",$D255&amp;"|"&amp;$E255&amp;"|"&amp;$L255)</f>
        <v>F-580|Rentaf|36</v>
      </c>
      <c r="AK255" s="39" t="n">
        <f aca="false">IF($AJ255="","",COUNTIF($AJ$4:$AJ255,$AJ255))</f>
        <v>1</v>
      </c>
      <c r="AL255" s="39" t="n">
        <f aca="false">IF($AJ255="","",COUNTIF($AJ$4:$AJ$1004,$AJ255))</f>
        <v>1</v>
      </c>
      <c r="AM255" s="42"/>
      <c r="AN255" s="50" t="str">
        <f aca="false">IF($D255="","",IFERROR(T(VLOOKUP($D255,Listas!$B$5:$H$120,7,0)),""))</f>
        <v/>
      </c>
      <c r="AO255" s="50" t="str">
        <f aca="false">IF(OR($F255="",$L255&lt;&gt;"",$R255="Cancelada",$AT255&lt;&gt;""),"",$AN255&amp;"|"&amp;$D255&amp;"|"&amp;IF($C255="","zzz",$C255)&amp;"|"&amp;TEXT(255,"0000"))</f>
        <v/>
      </c>
      <c r="AP255" s="50" t="str">
        <f aca="false">IF($AO255="","",COUNTIF($AO$5:$AO$1004,"&lt;"&amp;$AO255)-(ROWS($AO$5:$AO$1004)-Hoje!$L$5)+1)</f>
        <v/>
      </c>
      <c r="AQ255" s="50" t="n">
        <f aca="false">IF(AND($F255&lt;&gt;"",$D255=Frota!$C$3),1,0)</f>
        <v>0</v>
      </c>
      <c r="AR255" s="50" t="str">
        <f aca="false">IF($AQ255=0,"",SUM($AQ$4:$AQ255))</f>
        <v/>
      </c>
      <c r="AS255" s="50" t="str">
        <f aca="false">IFERROR(INDEX(Hoje!$K$10:$K$29,MATCH(ROW(),Hoje!$J$10:$J$29,0)),"")</f>
        <v/>
      </c>
      <c r="AT255" s="47" t="n">
        <f aca="false">IF($Q255&lt;&gt;"",$Q255,$AS255)</f>
        <v>46267</v>
      </c>
    </row>
    <row r="256" customFormat="false" ht="16.5" hidden="false" customHeight="true" outlineLevel="0" collapsed="false">
      <c r="A256" s="39" t="n">
        <f aca="false">IF($F256="","",ROW())</f>
        <v>256</v>
      </c>
      <c r="B256" s="40" t="str">
        <f aca="false">IF($F256="",IF($D256="","","Falta a atividade"),IF($R256="Cancelada","Cancelada",IF($AB256=1,IF(N($Z256)&gt;0,"Concluída com atraso","Concluída"),IF($R256="Em programação","Em programação",IF($O256="",IF($M256="","Na carteira","Falta a semana"),IF($AC256=1,"VENCIDA",IF($O256&gt;Hoje!$L$1,"Programada",IF($P256&gt;Hoje!$L$1,"Em execução","Fecha hoje"))))))))</f>
        <v>Concluída</v>
      </c>
      <c r="C256" s="41" t="s">
        <v>635</v>
      </c>
      <c r="D256" s="42" t="s">
        <v>177</v>
      </c>
      <c r="E256" s="42" t="s">
        <v>636</v>
      </c>
      <c r="F256" s="42" t="s">
        <v>637</v>
      </c>
      <c r="G256" s="43" t="s">
        <v>80</v>
      </c>
      <c r="H256" s="43" t="s">
        <v>81</v>
      </c>
      <c r="I256" s="44" t="s">
        <v>638</v>
      </c>
      <c r="J256" s="44"/>
      <c r="K256" s="44"/>
      <c r="L256" s="45" t="n">
        <v>36</v>
      </c>
      <c r="M256" s="46" t="s">
        <v>84</v>
      </c>
      <c r="N256" s="45" t="n">
        <v>1</v>
      </c>
      <c r="O256" s="47" t="n">
        <f aca="false">IF(OR($L256="",$M256=""),"",(DATE(Semana!$J$3,1,4)-WEEKDAY(DATE(Semana!$J$3,1,4),3))+($L256-1)*7+MATCH($M256,Listas!$F$5:$F$11,0)-1)</f>
        <v>46267</v>
      </c>
      <c r="P256" s="47" t="n">
        <f aca="false">IF(OR($F256="",$O256=""),"",$O256+MAX(0,ROUNDUP($AK256*MAX(1,IF($N256="",1,$N256))/MAX(1,$AL256),0)-1))</f>
        <v>46267</v>
      </c>
      <c r="Q256" s="48" t="n">
        <v>46267</v>
      </c>
      <c r="R256" s="43" t="s">
        <v>85</v>
      </c>
      <c r="S256" s="49"/>
      <c r="T256" s="42"/>
      <c r="U256" s="42" t="s">
        <v>639</v>
      </c>
      <c r="V256" s="39" t="str">
        <f aca="false">IF($F256="","",IF(ISNUMBER(SEARCH("(externo)",$I256&amp;$J256&amp;$K256)),"Terceirizada","Interna"))</f>
        <v>Interna</v>
      </c>
      <c r="W256" s="47" t="n">
        <f aca="false">IF($O256="","",IF($S256="",$O256,(DATE(Semana!$J$3,1,4)-WEEKDAY(DATE(Semana!$J$3,1,4),3))+($S256-1)*7+IF($M256="",0,MATCH($M256,Listas!$F$5:$F$11,0)-1)))</f>
        <v>46267</v>
      </c>
      <c r="X256" s="39" t="n">
        <f aca="false">IF($F256="","",IF(OR($AT256="",$O256=""),0,IF($AT256&lt;=$O256,1,0)))</f>
        <v>1</v>
      </c>
      <c r="Y256" s="39" t="n">
        <f aca="false">IF($F256="","",IF(OR($AT256="",$W256=""),0,IF($AT256&lt;=$W256,1,0)))</f>
        <v>1</v>
      </c>
      <c r="Z256" s="39" t="n">
        <f aca="false">IF(OR($AT256="",$O256=""),"",MAX(0,$AT256-$O256))</f>
        <v>0</v>
      </c>
      <c r="AA256" s="39" t="n">
        <f aca="false">IF($F256="","",IF(AND($S256&lt;&gt;"",$L256&lt;&gt;"",$S256&lt;&gt;$L256),1,0))</f>
        <v>0</v>
      </c>
      <c r="AB256" s="39" t="n">
        <f aca="false">IF($F256="","",IF($R256="Cancelada",0,IF(OR($AT256&lt;&gt;"",$R256="Concluída"),1,0)))</f>
        <v>1</v>
      </c>
      <c r="AC256" s="39" t="n">
        <f aca="false">IF($P256="",0,IF($P256&lt;Hoje!$L$1,1,IF(AND($P256=Hoje!$L$1,Hoje!$L$2&gt;Semana!$M$3),1,0)))</f>
        <v>1</v>
      </c>
      <c r="AD256" s="39" t="n">
        <f aca="false">IF($F256="","",IF(COUNTA($I256:$K256)=0,0,1/COUNTA($I256:$K256)))</f>
        <v>1</v>
      </c>
      <c r="AE256" s="39" t="str">
        <f aca="false">IF($AH256=0,"",SUM($AH$4:$AH256))</f>
        <v/>
      </c>
      <c r="AF256" s="39" t="str">
        <f aca="false">IF($AI256=0,"",SUM($AI$4:$AI256))</f>
        <v/>
      </c>
      <c r="AG256" s="50" t="str">
        <f aca="false">IF($F256="","",$I256&amp;IF($J256="",""," · "&amp;$J256)&amp;IF($K256="",""," · "&amp;$K256))</f>
        <v>Thawan</v>
      </c>
      <c r="AH256" s="39" t="n">
        <f aca="false">IF(AND($F256&lt;&gt;"",$O256&lt;&gt;"",$O256&lt;=Hoje!$C$3,$P256&gt;=Hoje!$C$3,$R256&lt;&gt;"Cancelada"),1,0)</f>
        <v>0</v>
      </c>
      <c r="AI256" s="39" t="n">
        <f aca="false">IF(AND($F256&lt;&gt;"",$P256&lt;&gt;"",$P256&lt;Hoje!$C$3,$AB256=0,$R256&lt;&gt;"Cancelada"),1,0)</f>
        <v>0</v>
      </c>
      <c r="AJ256" s="50" t="str">
        <f aca="false">IF($F256="","",$D256&amp;"|"&amp;$E256&amp;"|"&amp;$L256)</f>
        <v>F-617|Extra 02/09|36</v>
      </c>
      <c r="AK256" s="39" t="n">
        <f aca="false">IF($AJ256="","",COUNTIF($AJ$4:$AJ256,$AJ256))</f>
        <v>1</v>
      </c>
      <c r="AL256" s="39" t="n">
        <f aca="false">IF($AJ256="","",COUNTIF($AJ$4:$AJ$1004,$AJ256))</f>
        <v>1</v>
      </c>
      <c r="AM256" s="42"/>
      <c r="AN256" s="50" t="str">
        <f aca="false">IF($D256="","",IFERROR(T(VLOOKUP($D256,Listas!$B$5:$H$120,7,0)),""))</f>
        <v/>
      </c>
      <c r="AO256" s="50" t="str">
        <f aca="false">IF(OR($F256="",$L256&lt;&gt;"",$R256="Cancelada",$AT256&lt;&gt;""),"",$AN256&amp;"|"&amp;$D256&amp;"|"&amp;IF($C256="","zzz",$C256)&amp;"|"&amp;TEXT(256,"0000"))</f>
        <v/>
      </c>
      <c r="AP256" s="50" t="str">
        <f aca="false">IF($AO256="","",COUNTIF($AO$5:$AO$1004,"&lt;"&amp;$AO256)-(ROWS($AO$5:$AO$1004)-Hoje!$L$5)+1)</f>
        <v/>
      </c>
      <c r="AQ256" s="50" t="n">
        <f aca="false">IF(AND($F256&lt;&gt;"",$D256=Frota!$C$3),1,0)</f>
        <v>0</v>
      </c>
      <c r="AR256" s="50" t="str">
        <f aca="false">IF($AQ256=0,"",SUM($AQ$4:$AQ256))</f>
        <v/>
      </c>
      <c r="AS256" s="50" t="str">
        <f aca="false">IFERROR(INDEX(Hoje!$K$10:$K$29,MATCH(ROW(),Hoje!$J$10:$J$29,0)),"")</f>
        <v/>
      </c>
      <c r="AT256" s="47" t="n">
        <f aca="false">IF($Q256&lt;&gt;"",$Q256,$AS256)</f>
        <v>46267</v>
      </c>
    </row>
    <row r="257" customFormat="false" ht="16.5" hidden="false" customHeight="true" outlineLevel="0" collapsed="false">
      <c r="A257" s="39" t="n">
        <f aca="false">IF($F257="","",ROW())</f>
        <v>257</v>
      </c>
      <c r="B257" s="40" t="str">
        <f aca="false">IF($F257="",IF($D257="","","Falta a atividade"),IF($R257="Cancelada","Cancelada",IF($AB257=1,IF(N($Z257)&gt;0,"Concluída com atraso","Concluída"),IF($R257="Em programação","Em programação",IF($O257="",IF($M257="","Na carteira","Falta a semana"),IF($AC257=1,"VENCIDA",IF($O257&gt;Hoje!$L$1,"Programada",IF($P257&gt;Hoje!$L$1,"Em execução","Fecha hoje"))))))))</f>
        <v>Concluída</v>
      </c>
      <c r="C257" s="41" t="s">
        <v>640</v>
      </c>
      <c r="D257" s="42" t="s">
        <v>450</v>
      </c>
      <c r="E257" s="42" t="s">
        <v>626</v>
      </c>
      <c r="F257" s="42" t="s">
        <v>641</v>
      </c>
      <c r="G257" s="43" t="s">
        <v>628</v>
      </c>
      <c r="H257" s="43" t="s">
        <v>100</v>
      </c>
      <c r="I257" s="44" t="s">
        <v>83</v>
      </c>
      <c r="J257" s="44" t="s">
        <v>82</v>
      </c>
      <c r="K257" s="44"/>
      <c r="L257" s="45" t="n">
        <v>36</v>
      </c>
      <c r="M257" s="46" t="s">
        <v>84</v>
      </c>
      <c r="N257" s="45" t="n">
        <v>1</v>
      </c>
      <c r="O257" s="47" t="n">
        <f aca="false">IF(OR($L257="",$M257=""),"",(DATE(Semana!$J$3,1,4)-WEEKDAY(DATE(Semana!$J$3,1,4),3))+($L257-1)*7+MATCH($M257,Listas!$F$5:$F$11,0)-1)</f>
        <v>46267</v>
      </c>
      <c r="P257" s="47" t="n">
        <f aca="false">IF(OR($F257="",$O257=""),"",$O257+MAX(0,ROUNDUP($AK257*MAX(1,IF($N257="",1,$N257))/MAX(1,$AL257),0)-1))</f>
        <v>46267</v>
      </c>
      <c r="Q257" s="48" t="n">
        <v>46267</v>
      </c>
      <c r="R257" s="43" t="s">
        <v>85</v>
      </c>
      <c r="S257" s="49"/>
      <c r="T257" s="42"/>
      <c r="U257" s="42" t="s">
        <v>642</v>
      </c>
      <c r="V257" s="39" t="str">
        <f aca="false">IF($F257="","",IF(ISNUMBER(SEARCH("(externo)",$I257&amp;$J257&amp;$K257)),"Terceirizada","Interna"))</f>
        <v>Interna</v>
      </c>
      <c r="W257" s="47" t="n">
        <f aca="false">IF($O257="","",IF($S257="",$O257,(DATE(Semana!$J$3,1,4)-WEEKDAY(DATE(Semana!$J$3,1,4),3))+($S257-1)*7+IF($M257="",0,MATCH($M257,Listas!$F$5:$F$11,0)-1)))</f>
        <v>46267</v>
      </c>
      <c r="X257" s="39" t="n">
        <f aca="false">IF($F257="","",IF(OR($AT257="",$O257=""),0,IF($AT257&lt;=$O257,1,0)))</f>
        <v>1</v>
      </c>
      <c r="Y257" s="39" t="n">
        <f aca="false">IF($F257="","",IF(OR($AT257="",$W257=""),0,IF($AT257&lt;=$W257,1,0)))</f>
        <v>1</v>
      </c>
      <c r="Z257" s="39" t="n">
        <f aca="false">IF(OR($AT257="",$O257=""),"",MAX(0,$AT257-$O257))</f>
        <v>0</v>
      </c>
      <c r="AA257" s="39" t="n">
        <f aca="false">IF($F257="","",IF(AND($S257&lt;&gt;"",$L257&lt;&gt;"",$S257&lt;&gt;$L257),1,0))</f>
        <v>0</v>
      </c>
      <c r="AB257" s="39" t="n">
        <f aca="false">IF($F257="","",IF($R257="Cancelada",0,IF(OR($AT257&lt;&gt;"",$R257="Concluída"),1,0)))</f>
        <v>1</v>
      </c>
      <c r="AC257" s="39" t="n">
        <f aca="false">IF($P257="",0,IF($P257&lt;Hoje!$L$1,1,IF(AND($P257=Hoje!$L$1,Hoje!$L$2&gt;Semana!$M$3),1,0)))</f>
        <v>1</v>
      </c>
      <c r="AD257" s="39" t="n">
        <f aca="false">IF($F257="","",IF(COUNTA($I257:$K257)=0,0,1/COUNTA($I257:$K257)))</f>
        <v>0.5</v>
      </c>
      <c r="AE257" s="39" t="str">
        <f aca="false">IF($AH257=0,"",SUM($AH$4:$AH257))</f>
        <v/>
      </c>
      <c r="AF257" s="39" t="str">
        <f aca="false">IF($AI257=0,"",SUM($AI$4:$AI257))</f>
        <v/>
      </c>
      <c r="AG257" s="50" t="str">
        <f aca="false">IF($F257="","",$I257&amp;IF($J257="",""," · "&amp;$J257)&amp;IF($K257="",""," · "&amp;$K257))</f>
        <v>Luiz Paulo · Airton</v>
      </c>
      <c r="AH257" s="39" t="n">
        <f aca="false">IF(AND($F257&lt;&gt;"",$O257&lt;&gt;"",$O257&lt;=Hoje!$C$3,$P257&gt;=Hoje!$C$3,$R257&lt;&gt;"Cancelada"),1,0)</f>
        <v>0</v>
      </c>
      <c r="AI257" s="39" t="n">
        <f aca="false">IF(AND($F257&lt;&gt;"",$P257&lt;&gt;"",$P257&lt;Hoje!$C$3,$AB257=0,$R257&lt;&gt;"Cancelada"),1,0)</f>
        <v>0</v>
      </c>
      <c r="AJ257" s="50" t="str">
        <f aca="false">IF($F257="","",$D257&amp;"|"&amp;$E257&amp;"|"&amp;$L257)</f>
        <v>F-1065|Borracharia 02/09|36</v>
      </c>
      <c r="AK257" s="39" t="n">
        <f aca="false">IF($AJ257="","",COUNTIF($AJ$4:$AJ257,$AJ257))</f>
        <v>1</v>
      </c>
      <c r="AL257" s="39" t="n">
        <f aca="false">IF($AJ257="","",COUNTIF($AJ$4:$AJ$1004,$AJ257))</f>
        <v>1</v>
      </c>
      <c r="AM257" s="42"/>
      <c r="AN257" s="50" t="str">
        <f aca="false">IF($D257="","",IFERROR(T(VLOOKUP($D257,Listas!$B$5:$H$120,7,0)),""))</f>
        <v/>
      </c>
      <c r="AO257" s="50" t="str">
        <f aca="false">IF(OR($F257="",$L257&lt;&gt;"",$R257="Cancelada",$AT257&lt;&gt;""),"",$AN257&amp;"|"&amp;$D257&amp;"|"&amp;IF($C257="","zzz",$C257)&amp;"|"&amp;TEXT(257,"0000"))</f>
        <v/>
      </c>
      <c r="AP257" s="50" t="str">
        <f aca="false">IF($AO257="","",COUNTIF($AO$5:$AO$1004,"&lt;"&amp;$AO257)-(ROWS($AO$5:$AO$1004)-Hoje!$L$5)+1)</f>
        <v/>
      </c>
      <c r="AQ257" s="50" t="n">
        <f aca="false">IF(AND($F257&lt;&gt;"",$D257=Frota!$C$3),1,0)</f>
        <v>0</v>
      </c>
      <c r="AR257" s="50" t="str">
        <f aca="false">IF($AQ257=0,"",SUM($AQ$4:$AQ257))</f>
        <v/>
      </c>
      <c r="AS257" s="50" t="str">
        <f aca="false">IFERROR(INDEX(Hoje!$K$10:$K$29,MATCH(ROW(),Hoje!$J$10:$J$29,0)),"")</f>
        <v/>
      </c>
      <c r="AT257" s="47" t="n">
        <f aca="false">IF($Q257&lt;&gt;"",$Q257,$AS257)</f>
        <v>46267</v>
      </c>
    </row>
    <row r="258" customFormat="false" ht="16.5" hidden="false" customHeight="true" outlineLevel="0" collapsed="false">
      <c r="A258" s="39" t="n">
        <f aca="false">IF($F258="","",ROW())</f>
        <v>258</v>
      </c>
      <c r="B258" s="40" t="str">
        <f aca="false">IF($F258="",IF($D258="","","Falta a atividade"),IF($R258="Cancelada","Cancelada",IF($AB258=1,IF(N($Z258)&gt;0,"Concluída com atraso","Concluída"),IF($R258="Em programação","Em programação",IF($O258="",IF($M258="","Na carteira","Falta a semana"),IF($AC258=1,"VENCIDA",IF($O258&gt;Hoje!$L$1,"Programada",IF($P258&gt;Hoje!$L$1,"Em execução","Fecha hoje"))))))))</f>
        <v>Concluída</v>
      </c>
      <c r="C258" s="41" t="s">
        <v>643</v>
      </c>
      <c r="D258" s="42" t="s">
        <v>644</v>
      </c>
      <c r="E258" s="42" t="s">
        <v>626</v>
      </c>
      <c r="F258" s="42" t="s">
        <v>79</v>
      </c>
      <c r="G258" s="43" t="s">
        <v>628</v>
      </c>
      <c r="H258" s="43" t="s">
        <v>100</v>
      </c>
      <c r="I258" s="44" t="s">
        <v>82</v>
      </c>
      <c r="J258" s="44" t="s">
        <v>83</v>
      </c>
      <c r="K258" s="44"/>
      <c r="L258" s="45" t="n">
        <v>36</v>
      </c>
      <c r="M258" s="46" t="s">
        <v>84</v>
      </c>
      <c r="N258" s="45" t="n">
        <v>1</v>
      </c>
      <c r="O258" s="47" t="n">
        <f aca="false">IF(OR($L258="",$M258=""),"",(DATE(Semana!$J$3,1,4)-WEEKDAY(DATE(Semana!$J$3,1,4),3))+($L258-1)*7+MATCH($M258,Listas!$F$5:$F$11,0)-1)</f>
        <v>46267</v>
      </c>
      <c r="P258" s="47" t="n">
        <f aca="false">IF(OR($F258="",$O258=""),"",$O258+MAX(0,ROUNDUP($AK258*MAX(1,IF($N258="",1,$N258))/MAX(1,$AL258),0)-1))</f>
        <v>46267</v>
      </c>
      <c r="Q258" s="48" t="n">
        <v>46267</v>
      </c>
      <c r="R258" s="43" t="s">
        <v>85</v>
      </c>
      <c r="S258" s="49"/>
      <c r="T258" s="42"/>
      <c r="U258" s="42" t="s">
        <v>620</v>
      </c>
      <c r="V258" s="39" t="str">
        <f aca="false">IF($F258="","",IF(ISNUMBER(SEARCH("(externo)",$I258&amp;$J258&amp;$K258)),"Terceirizada","Interna"))</f>
        <v>Interna</v>
      </c>
      <c r="W258" s="47" t="n">
        <f aca="false">IF($O258="","",IF($S258="",$O258,(DATE(Semana!$J$3,1,4)-WEEKDAY(DATE(Semana!$J$3,1,4),3))+($S258-1)*7+IF($M258="",0,MATCH($M258,Listas!$F$5:$F$11,0)-1)))</f>
        <v>46267</v>
      </c>
      <c r="X258" s="39" t="n">
        <f aca="false">IF($F258="","",IF(OR($AT258="",$O258=""),0,IF($AT258&lt;=$O258,1,0)))</f>
        <v>1</v>
      </c>
      <c r="Y258" s="39" t="n">
        <f aca="false">IF($F258="","",IF(OR($AT258="",$W258=""),0,IF($AT258&lt;=$W258,1,0)))</f>
        <v>1</v>
      </c>
      <c r="Z258" s="39" t="n">
        <f aca="false">IF(OR($AT258="",$O258=""),"",MAX(0,$AT258-$O258))</f>
        <v>0</v>
      </c>
      <c r="AA258" s="39" t="n">
        <f aca="false">IF($F258="","",IF(AND($S258&lt;&gt;"",$L258&lt;&gt;"",$S258&lt;&gt;$L258),1,0))</f>
        <v>0</v>
      </c>
      <c r="AB258" s="39" t="n">
        <f aca="false">IF($F258="","",IF($R258="Cancelada",0,IF(OR($AT258&lt;&gt;"",$R258="Concluída"),1,0)))</f>
        <v>1</v>
      </c>
      <c r="AC258" s="39" t="n">
        <f aca="false">IF($P258="",0,IF($P258&lt;Hoje!$L$1,1,IF(AND($P258=Hoje!$L$1,Hoje!$L$2&gt;Semana!$M$3),1,0)))</f>
        <v>1</v>
      </c>
      <c r="AD258" s="39" t="n">
        <f aca="false">IF($F258="","",IF(COUNTA($I258:$K258)=0,0,1/COUNTA($I258:$K258)))</f>
        <v>0.5</v>
      </c>
      <c r="AE258" s="39" t="str">
        <f aca="false">IF($AH258=0,"",SUM($AH$4:$AH258))</f>
        <v/>
      </c>
      <c r="AF258" s="39" t="str">
        <f aca="false">IF($AI258=0,"",SUM($AI$4:$AI258))</f>
        <v/>
      </c>
      <c r="AG258" s="50" t="str">
        <f aca="false">IF($F258="","",$I258&amp;IF($J258="",""," · "&amp;$J258)&amp;IF($K258="",""," · "&amp;$K258))</f>
        <v>Airton · Luiz Paulo</v>
      </c>
      <c r="AH258" s="39" t="n">
        <f aca="false">IF(AND($F258&lt;&gt;"",$O258&lt;&gt;"",$O258&lt;=Hoje!$C$3,$P258&gt;=Hoje!$C$3,$R258&lt;&gt;"Cancelada"),1,0)</f>
        <v>0</v>
      </c>
      <c r="AI258" s="39" t="n">
        <f aca="false">IF(AND($F258&lt;&gt;"",$P258&lt;&gt;"",$P258&lt;Hoje!$C$3,$AB258=0,$R258&lt;&gt;"Cancelada"),1,0)</f>
        <v>0</v>
      </c>
      <c r="AJ258" s="50" t="str">
        <f aca="false">IF($F258="","",$D258&amp;"|"&amp;$E258&amp;"|"&amp;$L258)</f>
        <v>F-848|Borracharia 02/09|36</v>
      </c>
      <c r="AK258" s="39" t="n">
        <f aca="false">IF($AJ258="","",COUNTIF($AJ$4:$AJ258,$AJ258))</f>
        <v>1</v>
      </c>
      <c r="AL258" s="39" t="n">
        <f aca="false">IF($AJ258="","",COUNTIF($AJ$4:$AJ$1004,$AJ258))</f>
        <v>1</v>
      </c>
      <c r="AM258" s="42"/>
      <c r="AN258" s="50" t="str">
        <f aca="false">IF($D258="","",IFERROR(T(VLOOKUP($D258,Listas!$B$5:$H$120,7,0)),""))</f>
        <v/>
      </c>
      <c r="AO258" s="50" t="str">
        <f aca="false">IF(OR($F258="",$L258&lt;&gt;"",$R258="Cancelada",$AT258&lt;&gt;""),"",$AN258&amp;"|"&amp;$D258&amp;"|"&amp;IF($C258="","zzz",$C258)&amp;"|"&amp;TEXT(258,"0000"))</f>
        <v/>
      </c>
      <c r="AP258" s="50" t="str">
        <f aca="false">IF($AO258="","",COUNTIF($AO$5:$AO$1004,"&lt;"&amp;$AO258)-(ROWS($AO$5:$AO$1004)-Hoje!$L$5)+1)</f>
        <v/>
      </c>
      <c r="AQ258" s="50" t="n">
        <f aca="false">IF(AND($F258&lt;&gt;"",$D258=Frota!$C$3),1,0)</f>
        <v>0</v>
      </c>
      <c r="AR258" s="50" t="str">
        <f aca="false">IF($AQ258=0,"",SUM($AQ$4:$AQ258))</f>
        <v/>
      </c>
      <c r="AS258" s="50" t="str">
        <f aca="false">IFERROR(INDEX(Hoje!$K$10:$K$29,MATCH(ROW(),Hoje!$J$10:$J$29,0)),"")</f>
        <v/>
      </c>
      <c r="AT258" s="47" t="n">
        <f aca="false">IF($Q258&lt;&gt;"",$Q258,$AS258)</f>
        <v>46267</v>
      </c>
    </row>
    <row r="259" customFormat="false" ht="16.5" hidden="false" customHeight="true" outlineLevel="0" collapsed="false">
      <c r="A259" s="39" t="n">
        <f aca="false">IF($F259="","",ROW())</f>
        <v>259</v>
      </c>
      <c r="B259" s="40" t="str">
        <f aca="false">IF($F259="",IF($D259="","","Falta a atividade"),IF($R259="Cancelada","Cancelada",IF($AB259=1,IF(N($Z259)&gt;0,"Concluída com atraso","Concluída"),IF($R259="Em programação","Em programação",IF($O259="",IF($M259="","Na carteira","Falta a semana"),IF($AC259=1,"VENCIDA",IF($O259&gt;Hoje!$L$1,"Programada",IF($P259&gt;Hoje!$L$1,"Em execução","Fecha hoje"))))))))</f>
        <v>Concluída com atraso</v>
      </c>
      <c r="C259" s="41" t="s">
        <v>645</v>
      </c>
      <c r="D259" s="42" t="s">
        <v>646</v>
      </c>
      <c r="E259" s="42" t="s">
        <v>626</v>
      </c>
      <c r="F259" s="42" t="s">
        <v>647</v>
      </c>
      <c r="G259" s="43" t="s">
        <v>628</v>
      </c>
      <c r="H259" s="43" t="s">
        <v>100</v>
      </c>
      <c r="I259" s="44" t="s">
        <v>83</v>
      </c>
      <c r="J259" s="44" t="s">
        <v>82</v>
      </c>
      <c r="K259" s="44"/>
      <c r="L259" s="45" t="n">
        <v>36</v>
      </c>
      <c r="M259" s="46" t="s">
        <v>84</v>
      </c>
      <c r="N259" s="45" t="n">
        <v>1</v>
      </c>
      <c r="O259" s="47" t="n">
        <f aca="false">IF(OR($L259="",$M259=""),"",(DATE(Semana!$J$3,1,4)-WEEKDAY(DATE(Semana!$J$3,1,4),3))+($L259-1)*7+MATCH($M259,Listas!$F$5:$F$11,0)-1)</f>
        <v>46267</v>
      </c>
      <c r="P259" s="47" t="n">
        <f aca="false">IF(OR($F259="",$O259=""),"",$O259+MAX(0,ROUNDUP($AK259*MAX(1,IF($N259="",1,$N259))/MAX(1,$AL259),0)-1))</f>
        <v>46267</v>
      </c>
      <c r="Q259" s="48" t="n">
        <v>46268</v>
      </c>
      <c r="R259" s="43" t="s">
        <v>85</v>
      </c>
      <c r="S259" s="49"/>
      <c r="T259" s="42"/>
      <c r="U259" s="42" t="s">
        <v>620</v>
      </c>
      <c r="V259" s="39" t="str">
        <f aca="false">IF($F259="","",IF(ISNUMBER(SEARCH("(externo)",$I259&amp;$J259&amp;$K259)),"Terceirizada","Interna"))</f>
        <v>Interna</v>
      </c>
      <c r="W259" s="47" t="n">
        <f aca="false">IF($O259="","",IF($S259="",$O259,(DATE(Semana!$J$3,1,4)-WEEKDAY(DATE(Semana!$J$3,1,4),3))+($S259-1)*7+IF($M259="",0,MATCH($M259,Listas!$F$5:$F$11,0)-1)))</f>
        <v>46267</v>
      </c>
      <c r="X259" s="39" t="n">
        <f aca="false">IF($F259="","",IF(OR($AT259="",$O259=""),0,IF($AT259&lt;=$O259,1,0)))</f>
        <v>0</v>
      </c>
      <c r="Y259" s="39" t="n">
        <f aca="false">IF($F259="","",IF(OR($AT259="",$W259=""),0,IF($AT259&lt;=$W259,1,0)))</f>
        <v>0</v>
      </c>
      <c r="Z259" s="39" t="n">
        <f aca="false">IF(OR($AT259="",$O259=""),"",MAX(0,$AT259-$O259))</f>
        <v>1</v>
      </c>
      <c r="AA259" s="39" t="n">
        <f aca="false">IF($F259="","",IF(AND($S259&lt;&gt;"",$L259&lt;&gt;"",$S259&lt;&gt;$L259),1,0))</f>
        <v>0</v>
      </c>
      <c r="AB259" s="39" t="n">
        <f aca="false">IF($F259="","",IF($R259="Cancelada",0,IF(OR($AT259&lt;&gt;"",$R259="Concluída"),1,0)))</f>
        <v>1</v>
      </c>
      <c r="AC259" s="39" t="n">
        <f aca="false">IF($P259="",0,IF($P259&lt;Hoje!$L$1,1,IF(AND($P259=Hoje!$L$1,Hoje!$L$2&gt;Semana!$M$3),1,0)))</f>
        <v>1</v>
      </c>
      <c r="AD259" s="39" t="n">
        <f aca="false">IF($F259="","",IF(COUNTA($I259:$K259)=0,0,1/COUNTA($I259:$K259)))</f>
        <v>0.5</v>
      </c>
      <c r="AE259" s="39" t="str">
        <f aca="false">IF($AH259=0,"",SUM($AH$4:$AH259))</f>
        <v/>
      </c>
      <c r="AF259" s="39" t="str">
        <f aca="false">IF($AI259=0,"",SUM($AI$4:$AI259))</f>
        <v/>
      </c>
      <c r="AG259" s="50" t="str">
        <f aca="false">IF($F259="","",$I259&amp;IF($J259="",""," · "&amp;$J259)&amp;IF($K259="",""," · "&amp;$K259))</f>
        <v>Luiz Paulo · Airton</v>
      </c>
      <c r="AH259" s="39" t="n">
        <f aca="false">IF(AND($F259&lt;&gt;"",$O259&lt;&gt;"",$O259&lt;=Hoje!$C$3,$P259&gt;=Hoje!$C$3,$R259&lt;&gt;"Cancelada"),1,0)</f>
        <v>0</v>
      </c>
      <c r="AI259" s="39" t="n">
        <f aca="false">IF(AND($F259&lt;&gt;"",$P259&lt;&gt;"",$P259&lt;Hoje!$C$3,$AB259=0,$R259&lt;&gt;"Cancelada"),1,0)</f>
        <v>0</v>
      </c>
      <c r="AJ259" s="50" t="str">
        <f aca="false">IF($F259="","",$D259&amp;"|"&amp;$E259&amp;"|"&amp;$L259)</f>
        <v>F-618|Borracharia 02/09|36</v>
      </c>
      <c r="AK259" s="39" t="n">
        <f aca="false">IF($AJ259="","",COUNTIF($AJ$4:$AJ259,$AJ259))</f>
        <v>1</v>
      </c>
      <c r="AL259" s="39" t="n">
        <f aca="false">IF($AJ259="","",COUNTIF($AJ$4:$AJ$1004,$AJ259))</f>
        <v>1</v>
      </c>
      <c r="AM259" s="42"/>
      <c r="AN259" s="50" t="str">
        <f aca="false">IF($D259="","",IFERROR(T(VLOOKUP($D259,Listas!$B$5:$H$120,7,0)),""))</f>
        <v/>
      </c>
      <c r="AO259" s="50" t="str">
        <f aca="false">IF(OR($F259="",$L259&lt;&gt;"",$R259="Cancelada",$AT259&lt;&gt;""),"",$AN259&amp;"|"&amp;$D259&amp;"|"&amp;IF($C259="","zzz",$C259)&amp;"|"&amp;TEXT(259,"0000"))</f>
        <v/>
      </c>
      <c r="AP259" s="50" t="str">
        <f aca="false">IF($AO259="","",COUNTIF($AO$5:$AO$1004,"&lt;"&amp;$AO259)-(ROWS($AO$5:$AO$1004)-Hoje!$L$5)+1)</f>
        <v/>
      </c>
      <c r="AQ259" s="50" t="n">
        <f aca="false">IF(AND($F259&lt;&gt;"",$D259=Frota!$C$3),1,0)</f>
        <v>0</v>
      </c>
      <c r="AR259" s="50" t="str">
        <f aca="false">IF($AQ259=0,"",SUM($AQ$4:$AQ259))</f>
        <v/>
      </c>
      <c r="AS259" s="50" t="str">
        <f aca="false">IFERROR(INDEX(Hoje!$K$10:$K$29,MATCH(ROW(),Hoje!$J$10:$J$29,0)),"")</f>
        <v/>
      </c>
      <c r="AT259" s="47" t="n">
        <f aca="false">IF($Q259&lt;&gt;"",$Q259,$AS259)</f>
        <v>46268</v>
      </c>
    </row>
    <row r="260" customFormat="false" ht="16.5" hidden="false" customHeight="true" outlineLevel="0" collapsed="false">
      <c r="A260" s="39" t="n">
        <f aca="false">IF($F260="","",ROW())</f>
        <v>260</v>
      </c>
      <c r="B260" s="40" t="str">
        <f aca="false">IF($F260="",IF($D260="","","Falta a atividade"),IF($R260="Cancelada","Cancelada",IF($AB260=1,IF(N($Z260)&gt;0,"Concluída com atraso","Concluída"),IF($R260="Em programação","Em programação",IF($O260="",IF($M260="","Na carteira","Falta a semana"),IF($AC260=1,"VENCIDA",IF($O260&gt;Hoje!$L$1,"Programada",IF($P260&gt;Hoje!$L$1,"Em execução","Fecha hoje"))))))))</f>
        <v>Na carteira</v>
      </c>
      <c r="C260" s="41" t="s">
        <v>648</v>
      </c>
      <c r="D260" s="42" t="s">
        <v>595</v>
      </c>
      <c r="E260" s="42" t="s">
        <v>135</v>
      </c>
      <c r="F260" s="42" t="s">
        <v>649</v>
      </c>
      <c r="G260" s="43" t="s">
        <v>135</v>
      </c>
      <c r="H260" s="43" t="s">
        <v>100</v>
      </c>
      <c r="I260" s="44"/>
      <c r="J260" s="44"/>
      <c r="K260" s="44"/>
      <c r="L260" s="45"/>
      <c r="M260" s="46"/>
      <c r="N260" s="45"/>
      <c r="O260" s="47" t="str">
        <f aca="false">IF(OR($L260="",$M260=""),"",(DATE(Semana!$J$3,1,4)-WEEKDAY(DATE(Semana!$J$3,1,4),3))+($L260-1)*7+MATCH($M260,Listas!$F$5:$F$11,0)-1)</f>
        <v/>
      </c>
      <c r="P260" s="47" t="str">
        <f aca="false">IF(OR($F260="",$O260=""),"",$O260+MAX(0,ROUNDUP($AK260*MAX(1,IF($N260="",1,$N260))/MAX(1,$AL260),0)-1))</f>
        <v/>
      </c>
      <c r="Q260" s="48"/>
      <c r="R260" s="43"/>
      <c r="S260" s="49"/>
      <c r="T260" s="42"/>
      <c r="U260" s="42" t="s">
        <v>650</v>
      </c>
      <c r="V260" s="39" t="str">
        <f aca="false">IF($F260="","",IF(ISNUMBER(SEARCH("(externo)",$I260&amp;$J260&amp;$K260)),"Terceirizada","Interna"))</f>
        <v>Interna</v>
      </c>
      <c r="W260" s="47" t="str">
        <f aca="false">IF($O260="","",IF($S260="",$O260,(DATE(Semana!$J$3,1,4)-WEEKDAY(DATE(Semana!$J$3,1,4),3))+($S260-1)*7+IF($M260="",0,MATCH($M260,Listas!$F$5:$F$11,0)-1)))</f>
        <v/>
      </c>
      <c r="X260" s="39" t="n">
        <f aca="false">IF($F260="","",IF(OR($AT260="",$O260=""),0,IF($AT260&lt;=$O260,1,0)))</f>
        <v>0</v>
      </c>
      <c r="Y260" s="39" t="n">
        <f aca="false">IF($F260="","",IF(OR($AT260="",$W260=""),0,IF($AT260&lt;=$W260,1,0)))</f>
        <v>0</v>
      </c>
      <c r="Z260" s="39" t="str">
        <f aca="false">IF(OR($AT260="",$O260=""),"",MAX(0,$AT260-$O260))</f>
        <v/>
      </c>
      <c r="AA260" s="39" t="n">
        <f aca="false">IF($F260="","",IF(AND($S260&lt;&gt;"",$L260&lt;&gt;"",$S260&lt;&gt;$L260),1,0))</f>
        <v>0</v>
      </c>
      <c r="AB260" s="39" t="n">
        <f aca="false">IF($F260="","",IF($R260="Cancelada",0,IF(OR($AT260&lt;&gt;"",$R260="Concluída"),1,0)))</f>
        <v>0</v>
      </c>
      <c r="AC260" s="39" t="n">
        <f aca="false">IF($P260="",0,IF($P260&lt;Hoje!$L$1,1,IF(AND($P260=Hoje!$L$1,Hoje!$L$2&gt;Semana!$M$3),1,0)))</f>
        <v>0</v>
      </c>
      <c r="AD260" s="39" t="n">
        <f aca="false">IF($F260="","",IF(COUNTA($I260:$K260)=0,0,1/COUNTA($I260:$K260)))</f>
        <v>0</v>
      </c>
      <c r="AE260" s="39" t="str">
        <f aca="false">IF($AH260=0,"",SUM($AH$4:$AH260))</f>
        <v/>
      </c>
      <c r="AF260" s="39" t="str">
        <f aca="false">IF($AI260=0,"",SUM($AI$4:$AI260))</f>
        <v/>
      </c>
      <c r="AG260" s="50" t="str">
        <f aca="false">IF($F260="","",$I260&amp;IF($J260="",""," · "&amp;$J260)&amp;IF($K260="",""," · "&amp;$K260))</f>
        <v/>
      </c>
      <c r="AH260" s="39" t="n">
        <f aca="false">IF(AND($F260&lt;&gt;"",$O260&lt;&gt;"",$O260&lt;=Hoje!$C$3,$P260&gt;=Hoje!$C$3,$R260&lt;&gt;"Cancelada"),1,0)</f>
        <v>0</v>
      </c>
      <c r="AI260" s="39" t="n">
        <f aca="false">IF(AND($F260&lt;&gt;"",$P260&lt;&gt;"",$P260&lt;Hoje!$C$3,$AB260=0,$R260&lt;&gt;"Cancelada"),1,0)</f>
        <v>0</v>
      </c>
      <c r="AJ260" s="50" t="str">
        <f aca="false">IF($F260="","",$D260&amp;"|"&amp;$E260&amp;"|"&amp;$L260)</f>
        <v>F-425|Preventiva|</v>
      </c>
      <c r="AK260" s="39" t="n">
        <f aca="false">IF($AJ260="","",COUNTIF($AJ$4:$AJ260,$AJ260))</f>
        <v>1</v>
      </c>
      <c r="AL260" s="39" t="n">
        <f aca="false">IF($AJ260="","",COUNTIF($AJ$4:$AJ$1004,$AJ260))</f>
        <v>1</v>
      </c>
      <c r="AM260" s="42"/>
      <c r="AN260" s="50" t="str">
        <f aca="false">IF($D260="","",IFERROR(T(VLOOKUP($D260,Listas!$B$5:$H$120,7,0)),""))</f>
        <v/>
      </c>
      <c r="AO260" s="50" t="str">
        <f aca="false">IF(OR($F260="",$L260&lt;&gt;"",$R260="Cancelada",$AT260&lt;&gt;""),"",$AN260&amp;"|"&amp;$D260&amp;"|"&amp;IF($C260="","zzz",$C260)&amp;"|"&amp;TEXT(260,"0000"))</f>
        <v>|F-425|007011|0260</v>
      </c>
      <c r="AP260" s="50" t="n">
        <f aca="false">IF($AO260="","",COUNTIF($AO$5:$AO$1004,"&lt;"&amp;$AO260)-(ROWS($AO$5:$AO$1004)-Hoje!$L$5)+1)</f>
        <v>20</v>
      </c>
      <c r="AQ260" s="50" t="n">
        <f aca="false">IF(AND($F260&lt;&gt;"",$D260=Frota!$C$3),1,0)</f>
        <v>0</v>
      </c>
      <c r="AR260" s="50" t="str">
        <f aca="false">IF($AQ260=0,"",SUM($AQ$4:$AQ260))</f>
        <v/>
      </c>
      <c r="AS260" s="50" t="str">
        <f aca="false">IFERROR(INDEX(Hoje!$K$10:$K$29,MATCH(ROW(),Hoje!$J$10:$J$29,0)),"")</f>
        <v/>
      </c>
      <c r="AT260" s="50" t="str">
        <f aca="false">IF($Q260&lt;&gt;"",$Q260,$AS260)</f>
        <v/>
      </c>
    </row>
    <row r="261" customFormat="false" ht="16.5" hidden="false" customHeight="true" outlineLevel="0" collapsed="false">
      <c r="A261" s="39" t="n">
        <f aca="false">IF($F261="","",ROW())</f>
        <v>261</v>
      </c>
      <c r="B261" s="40" t="str">
        <f aca="false">IF($F261="",IF($D261="","","Falta a atividade"),IF($R261="Cancelada","Cancelada",IF($AB261=1,IF(N($Z261)&gt;0,"Concluída com atraso","Concluída"),IF($R261="Em programação","Em programação",IF($O261="",IF($M261="","Na carteira","Falta a semana"),IF($AC261=1,"VENCIDA",IF($O261&gt;Hoje!$L$1,"Programada",IF($P261&gt;Hoje!$L$1,"Em execução","Fecha hoje"))))))))</f>
        <v>Na carteira</v>
      </c>
      <c r="C261" s="41" t="s">
        <v>651</v>
      </c>
      <c r="D261" s="42" t="s">
        <v>652</v>
      </c>
      <c r="E261" s="42" t="s">
        <v>452</v>
      </c>
      <c r="F261" s="42" t="s">
        <v>653</v>
      </c>
      <c r="G261" s="43" t="s">
        <v>80</v>
      </c>
      <c r="H261" s="43" t="s">
        <v>100</v>
      </c>
      <c r="I261" s="44"/>
      <c r="J261" s="44"/>
      <c r="K261" s="44"/>
      <c r="L261" s="45"/>
      <c r="M261" s="46"/>
      <c r="N261" s="45"/>
      <c r="O261" s="47" t="str">
        <f aca="false">IF(OR($L261="",$M261=""),"",(DATE(Semana!$J$3,1,4)-WEEKDAY(DATE(Semana!$J$3,1,4),3))+($L261-1)*7+MATCH($M261,Listas!$F$5:$F$11,0)-1)</f>
        <v/>
      </c>
      <c r="P261" s="47" t="str">
        <f aca="false">IF(OR($F261="",$O261=""),"",$O261+MAX(0,ROUNDUP($AK261*MAX(1,IF($N261="",1,$N261))/MAX(1,$AL261),0)-1))</f>
        <v/>
      </c>
      <c r="Q261" s="48"/>
      <c r="R261" s="43"/>
      <c r="S261" s="49"/>
      <c r="T261" s="42"/>
      <c r="U261" s="42"/>
      <c r="V261" s="39" t="str">
        <f aca="false">IF($F261="","",IF(ISNUMBER(SEARCH("(externo)",$I261&amp;$J261&amp;$K261)),"Terceirizada","Interna"))</f>
        <v>Interna</v>
      </c>
      <c r="W261" s="47" t="str">
        <f aca="false">IF($O261="","",IF($S261="",$O261,(DATE(Semana!$J$3,1,4)-WEEKDAY(DATE(Semana!$J$3,1,4),3))+($S261-1)*7+IF($M261="",0,MATCH($M261,Listas!$F$5:$F$11,0)-1)))</f>
        <v/>
      </c>
      <c r="X261" s="39" t="n">
        <f aca="false">IF($F261="","",IF(OR($AT261="",$O261=""),0,IF($AT261&lt;=$O261,1,0)))</f>
        <v>0</v>
      </c>
      <c r="Y261" s="39" t="n">
        <f aca="false">IF($F261="","",IF(OR($AT261="",$W261=""),0,IF($AT261&lt;=$W261,1,0)))</f>
        <v>0</v>
      </c>
      <c r="Z261" s="39" t="str">
        <f aca="false">IF(OR($AT261="",$O261=""),"",MAX(0,$AT261-$O261))</f>
        <v/>
      </c>
      <c r="AA261" s="39" t="n">
        <f aca="false">IF($F261="","",IF(AND($S261&lt;&gt;"",$L261&lt;&gt;"",$S261&lt;&gt;$L261),1,0))</f>
        <v>0</v>
      </c>
      <c r="AB261" s="39" t="n">
        <f aca="false">IF($F261="","",IF($R261="Cancelada",0,IF(OR($AT261&lt;&gt;"",$R261="Concluída"),1,0)))</f>
        <v>0</v>
      </c>
      <c r="AC261" s="39" t="n">
        <f aca="false">IF($P261="",0,IF($P261&lt;Hoje!$L$1,1,IF(AND($P261=Hoje!$L$1,Hoje!$L$2&gt;Semana!$M$3),1,0)))</f>
        <v>0</v>
      </c>
      <c r="AD261" s="39" t="n">
        <f aca="false">IF($F261="","",IF(COUNTA($I261:$K261)=0,0,1/COUNTA($I261:$K261)))</f>
        <v>0</v>
      </c>
      <c r="AE261" s="39" t="str">
        <f aca="false">IF($AH261=0,"",SUM($AH$4:$AH261))</f>
        <v/>
      </c>
      <c r="AF261" s="39" t="str">
        <f aca="false">IF($AI261=0,"",SUM($AI$4:$AI261))</f>
        <v/>
      </c>
      <c r="AG261" s="50" t="str">
        <f aca="false">IF($F261="","",$I261&amp;IF($J261="",""," · "&amp;$J261)&amp;IF($K261="",""," · "&amp;$K261))</f>
        <v/>
      </c>
      <c r="AH261" s="39" t="n">
        <f aca="false">IF(AND($F261&lt;&gt;"",$O261&lt;&gt;"",$O261&lt;=Hoje!$C$3,$P261&gt;=Hoje!$C$3,$R261&lt;&gt;"Cancelada"),1,0)</f>
        <v>0</v>
      </c>
      <c r="AI261" s="39" t="n">
        <f aca="false">IF(AND($F261&lt;&gt;"",$P261&lt;&gt;"",$P261&lt;Hoje!$C$3,$AB261=0,$R261&lt;&gt;"Cancelada"),1,0)</f>
        <v>0</v>
      </c>
      <c r="AJ261" s="50" t="str">
        <f aca="false">IF($F261="","",$D261&amp;"|"&amp;$E261&amp;"|"&amp;$L261)</f>
        <v>F-972|BAIXA DE PENDENCIAS|</v>
      </c>
      <c r="AK261" s="39" t="n">
        <f aca="false">IF($AJ261="","",COUNTIF($AJ$4:$AJ261,$AJ261))</f>
        <v>1</v>
      </c>
      <c r="AL261" s="39" t="n">
        <f aca="false">IF($AJ261="","",COUNTIF($AJ$4:$AJ$1004,$AJ261))</f>
        <v>11</v>
      </c>
      <c r="AM261" s="42"/>
      <c r="AN261" s="50" t="str">
        <f aca="false">IF($D261="","",IFERROR(T(VLOOKUP($D261,Listas!$B$5:$H$120,7,0)),""))</f>
        <v>Petro</v>
      </c>
      <c r="AO261" s="50" t="str">
        <f aca="false">IF(OR($F261="",$L261&lt;&gt;"",$R261="Cancelada",$AT261&lt;&gt;""),"",$AN261&amp;"|"&amp;$D261&amp;"|"&amp;IF($C261="","zzz",$C261)&amp;"|"&amp;TEXT(261,"0000"))</f>
        <v>Petro|F-972|007397|0261</v>
      </c>
      <c r="AP261" s="50" t="n">
        <f aca="false">IF($AO261="","",COUNTIF($AO$5:$AO$1004,"&lt;"&amp;$AO261)-(ROWS($AO$5:$AO$1004)-Hoje!$L$5)+1)</f>
        <v>88</v>
      </c>
      <c r="AQ261" s="50" t="n">
        <f aca="false">IF(AND($F261&lt;&gt;"",$D261=Frota!$C$3),1,0)</f>
        <v>0</v>
      </c>
      <c r="AR261" s="50" t="str">
        <f aca="false">IF($AQ261=0,"",SUM($AQ$4:$AQ261))</f>
        <v/>
      </c>
      <c r="AS261" s="50" t="str">
        <f aca="false">IFERROR(INDEX(Hoje!$K$10:$K$29,MATCH(ROW(),Hoje!$J$10:$J$29,0)),"")</f>
        <v/>
      </c>
      <c r="AT261" s="50" t="str">
        <f aca="false">IF($Q261&lt;&gt;"",$Q261,$AS261)</f>
        <v/>
      </c>
    </row>
    <row r="262" customFormat="false" ht="16.5" hidden="false" customHeight="true" outlineLevel="0" collapsed="false">
      <c r="A262" s="39" t="n">
        <f aca="false">IF($F262="","",ROW())</f>
        <v>262</v>
      </c>
      <c r="B262" s="40" t="str">
        <f aca="false">IF($F262="",IF($D262="","","Falta a atividade"),IF($R262="Cancelada","Cancelada",IF($AB262=1,IF(N($Z262)&gt;0,"Concluída com atraso","Concluída"),IF($R262="Em programação","Em programação",IF($O262="",IF($M262="","Na carteira","Falta a semana"),IF($AC262=1,"VENCIDA",IF($O262&gt;Hoje!$L$1,"Programada",IF($P262&gt;Hoje!$L$1,"Em execução","Fecha hoje"))))))))</f>
        <v>Na carteira</v>
      </c>
      <c r="C262" s="41" t="s">
        <v>654</v>
      </c>
      <c r="D262" s="42" t="s">
        <v>652</v>
      </c>
      <c r="E262" s="42" t="s">
        <v>452</v>
      </c>
      <c r="F262" s="42" t="s">
        <v>655</v>
      </c>
      <c r="G262" s="43" t="s">
        <v>80</v>
      </c>
      <c r="H262" s="43" t="s">
        <v>100</v>
      </c>
      <c r="I262" s="44"/>
      <c r="J262" s="44"/>
      <c r="K262" s="44"/>
      <c r="L262" s="45"/>
      <c r="M262" s="46"/>
      <c r="N262" s="45"/>
      <c r="O262" s="47" t="str">
        <f aca="false">IF(OR($L262="",$M262=""),"",(DATE(Semana!$J$3,1,4)-WEEKDAY(DATE(Semana!$J$3,1,4),3))+($L262-1)*7+MATCH($M262,Listas!$F$5:$F$11,0)-1)</f>
        <v/>
      </c>
      <c r="P262" s="47" t="str">
        <f aca="false">IF(OR($F262="",$O262=""),"",$O262+MAX(0,ROUNDUP($AK262*MAX(1,IF($N262="",1,$N262))/MAX(1,$AL262),0)-1))</f>
        <v/>
      </c>
      <c r="Q262" s="48"/>
      <c r="R262" s="43"/>
      <c r="S262" s="49"/>
      <c r="T262" s="42"/>
      <c r="U262" s="42"/>
      <c r="V262" s="39" t="str">
        <f aca="false">IF($F262="","",IF(ISNUMBER(SEARCH("(externo)",$I262&amp;$J262&amp;$K262)),"Terceirizada","Interna"))</f>
        <v>Interna</v>
      </c>
      <c r="W262" s="47" t="str">
        <f aca="false">IF($O262="","",IF($S262="",$O262,(DATE(Semana!$J$3,1,4)-WEEKDAY(DATE(Semana!$J$3,1,4),3))+($S262-1)*7+IF($M262="",0,MATCH($M262,Listas!$F$5:$F$11,0)-1)))</f>
        <v/>
      </c>
      <c r="X262" s="39" t="n">
        <f aca="false">IF($F262="","",IF(OR($AT262="",$O262=""),0,IF($AT262&lt;=$O262,1,0)))</f>
        <v>0</v>
      </c>
      <c r="Y262" s="39" t="n">
        <f aca="false">IF($F262="","",IF(OR($AT262="",$W262=""),0,IF($AT262&lt;=$W262,1,0)))</f>
        <v>0</v>
      </c>
      <c r="Z262" s="39" t="str">
        <f aca="false">IF(OR($AT262="",$O262=""),"",MAX(0,$AT262-$O262))</f>
        <v/>
      </c>
      <c r="AA262" s="39" t="n">
        <f aca="false">IF($F262="","",IF(AND($S262&lt;&gt;"",$L262&lt;&gt;"",$S262&lt;&gt;$L262),1,0))</f>
        <v>0</v>
      </c>
      <c r="AB262" s="39" t="n">
        <f aca="false">IF($F262="","",IF($R262="Cancelada",0,IF(OR($AT262&lt;&gt;"",$R262="Concluída"),1,0)))</f>
        <v>0</v>
      </c>
      <c r="AC262" s="39" t="n">
        <f aca="false">IF($P262="",0,IF($P262&lt;Hoje!$L$1,1,IF(AND($P262=Hoje!$L$1,Hoje!$L$2&gt;Semana!$M$3),1,0)))</f>
        <v>0</v>
      </c>
      <c r="AD262" s="39" t="n">
        <f aca="false">IF($F262="","",IF(COUNTA($I262:$K262)=0,0,1/COUNTA($I262:$K262)))</f>
        <v>0</v>
      </c>
      <c r="AE262" s="39" t="str">
        <f aca="false">IF($AH262=0,"",SUM($AH$4:$AH262))</f>
        <v/>
      </c>
      <c r="AF262" s="39" t="str">
        <f aca="false">IF($AI262=0,"",SUM($AI$4:$AI262))</f>
        <v/>
      </c>
      <c r="AG262" s="50" t="str">
        <f aca="false">IF($F262="","",$I262&amp;IF($J262="",""," · "&amp;$J262)&amp;IF($K262="",""," · "&amp;$K262))</f>
        <v/>
      </c>
      <c r="AH262" s="39" t="n">
        <f aca="false">IF(AND($F262&lt;&gt;"",$O262&lt;&gt;"",$O262&lt;=Hoje!$C$3,$P262&gt;=Hoje!$C$3,$R262&lt;&gt;"Cancelada"),1,0)</f>
        <v>0</v>
      </c>
      <c r="AI262" s="39" t="n">
        <f aca="false">IF(AND($F262&lt;&gt;"",$P262&lt;&gt;"",$P262&lt;Hoje!$C$3,$AB262=0,$R262&lt;&gt;"Cancelada"),1,0)</f>
        <v>0</v>
      </c>
      <c r="AJ262" s="50" t="str">
        <f aca="false">IF($F262="","",$D262&amp;"|"&amp;$E262&amp;"|"&amp;$L262)</f>
        <v>F-972|BAIXA DE PENDENCIAS|</v>
      </c>
      <c r="AK262" s="39" t="n">
        <f aca="false">IF($AJ262="","",COUNTIF($AJ$4:$AJ262,$AJ262))</f>
        <v>2</v>
      </c>
      <c r="AL262" s="39" t="n">
        <f aca="false">IF($AJ262="","",COUNTIF($AJ$4:$AJ$1004,$AJ262))</f>
        <v>11</v>
      </c>
      <c r="AM262" s="42"/>
      <c r="AN262" s="50" t="str">
        <f aca="false">IF($D262="","",IFERROR(T(VLOOKUP($D262,Listas!$B$5:$H$120,7,0)),""))</f>
        <v>Petro</v>
      </c>
      <c r="AO262" s="50" t="str">
        <f aca="false">IF(OR($F262="",$L262&lt;&gt;"",$R262="Cancelada",$AT262&lt;&gt;""),"",$AN262&amp;"|"&amp;$D262&amp;"|"&amp;IF($C262="","zzz",$C262)&amp;"|"&amp;TEXT(262,"0000"))</f>
        <v>Petro|F-972|007400|0262</v>
      </c>
      <c r="AP262" s="50" t="n">
        <f aca="false">IF($AO262="","",COUNTIF($AO$5:$AO$1004,"&lt;"&amp;$AO262)-(ROWS($AO$5:$AO$1004)-Hoje!$L$5)+1)</f>
        <v>89</v>
      </c>
      <c r="AQ262" s="50" t="n">
        <f aca="false">IF(AND($F262&lt;&gt;"",$D262=Frota!$C$3),1,0)</f>
        <v>0</v>
      </c>
      <c r="AR262" s="50" t="str">
        <f aca="false">IF($AQ262=0,"",SUM($AQ$4:$AQ262))</f>
        <v/>
      </c>
      <c r="AS262" s="50" t="str">
        <f aca="false">IFERROR(INDEX(Hoje!$K$10:$K$29,MATCH(ROW(),Hoje!$J$10:$J$29,0)),"")</f>
        <v/>
      </c>
      <c r="AT262" s="50" t="str">
        <f aca="false">IF($Q262&lt;&gt;"",$Q262,$AS262)</f>
        <v/>
      </c>
    </row>
    <row r="263" customFormat="false" ht="16.5" hidden="false" customHeight="true" outlineLevel="0" collapsed="false">
      <c r="A263" s="39" t="n">
        <f aca="false">IF($F263="","",ROW())</f>
        <v>263</v>
      </c>
      <c r="B263" s="40" t="str">
        <f aca="false">IF($F263="",IF($D263="","","Falta a atividade"),IF($R263="Cancelada","Cancelada",IF($AB263=1,IF(N($Z263)&gt;0,"Concluída com atraso","Concluída"),IF($R263="Em programação","Em programação",IF($O263="",IF($M263="","Na carteira","Falta a semana"),IF($AC263=1,"VENCIDA",IF($O263&gt;Hoje!$L$1,"Programada",IF($P263&gt;Hoje!$L$1,"Em execução","Fecha hoje"))))))))</f>
        <v>Na carteira</v>
      </c>
      <c r="C263" s="41" t="s">
        <v>654</v>
      </c>
      <c r="D263" s="42" t="s">
        <v>652</v>
      </c>
      <c r="E263" s="42" t="s">
        <v>452</v>
      </c>
      <c r="F263" s="42" t="s">
        <v>656</v>
      </c>
      <c r="G263" s="43" t="s">
        <v>80</v>
      </c>
      <c r="H263" s="43" t="s">
        <v>100</v>
      </c>
      <c r="I263" s="44"/>
      <c r="J263" s="44"/>
      <c r="K263" s="44"/>
      <c r="L263" s="45"/>
      <c r="M263" s="46"/>
      <c r="N263" s="45"/>
      <c r="O263" s="47" t="str">
        <f aca="false">IF(OR($L263="",$M263=""),"",(DATE(Semana!$J$3,1,4)-WEEKDAY(DATE(Semana!$J$3,1,4),3))+($L263-1)*7+MATCH($M263,Listas!$F$5:$F$11,0)-1)</f>
        <v/>
      </c>
      <c r="P263" s="47" t="str">
        <f aca="false">IF(OR($F263="",$O263=""),"",$O263+MAX(0,ROUNDUP($AK263*MAX(1,IF($N263="",1,$N263))/MAX(1,$AL263),0)-1))</f>
        <v/>
      </c>
      <c r="Q263" s="48"/>
      <c r="R263" s="43"/>
      <c r="S263" s="49"/>
      <c r="T263" s="42"/>
      <c r="U263" s="42"/>
      <c r="V263" s="39" t="str">
        <f aca="false">IF($F263="","",IF(ISNUMBER(SEARCH("(externo)",$I263&amp;$J263&amp;$K263)),"Terceirizada","Interna"))</f>
        <v>Interna</v>
      </c>
      <c r="W263" s="47" t="str">
        <f aca="false">IF($O263="","",IF($S263="",$O263,(DATE(Semana!$J$3,1,4)-WEEKDAY(DATE(Semana!$J$3,1,4),3))+($S263-1)*7+IF($M263="",0,MATCH($M263,Listas!$F$5:$F$11,0)-1)))</f>
        <v/>
      </c>
      <c r="X263" s="39" t="n">
        <f aca="false">IF($F263="","",IF(OR($AT263="",$O263=""),0,IF($AT263&lt;=$O263,1,0)))</f>
        <v>0</v>
      </c>
      <c r="Y263" s="39" t="n">
        <f aca="false">IF($F263="","",IF(OR($AT263="",$W263=""),0,IF($AT263&lt;=$W263,1,0)))</f>
        <v>0</v>
      </c>
      <c r="Z263" s="39" t="str">
        <f aca="false">IF(OR($AT263="",$O263=""),"",MAX(0,$AT263-$O263))</f>
        <v/>
      </c>
      <c r="AA263" s="39" t="n">
        <f aca="false">IF($F263="","",IF(AND($S263&lt;&gt;"",$L263&lt;&gt;"",$S263&lt;&gt;$L263),1,0))</f>
        <v>0</v>
      </c>
      <c r="AB263" s="39" t="n">
        <f aca="false">IF($F263="","",IF($R263="Cancelada",0,IF(OR($AT263&lt;&gt;"",$R263="Concluída"),1,0)))</f>
        <v>0</v>
      </c>
      <c r="AC263" s="39" t="n">
        <f aca="false">IF($P263="",0,IF($P263&lt;Hoje!$L$1,1,IF(AND($P263=Hoje!$L$1,Hoje!$L$2&gt;Semana!$M$3),1,0)))</f>
        <v>0</v>
      </c>
      <c r="AD263" s="39" t="n">
        <f aca="false">IF($F263="","",IF(COUNTA($I263:$K263)=0,0,1/COUNTA($I263:$K263)))</f>
        <v>0</v>
      </c>
      <c r="AE263" s="39" t="str">
        <f aca="false">IF($AH263=0,"",SUM($AH$4:$AH263))</f>
        <v/>
      </c>
      <c r="AF263" s="39" t="str">
        <f aca="false">IF($AI263=0,"",SUM($AI$4:$AI263))</f>
        <v/>
      </c>
      <c r="AG263" s="50" t="str">
        <f aca="false">IF($F263="","",$I263&amp;IF($J263="",""," · "&amp;$J263)&amp;IF($K263="",""," · "&amp;$K263))</f>
        <v/>
      </c>
      <c r="AH263" s="39" t="n">
        <f aca="false">IF(AND($F263&lt;&gt;"",$O263&lt;&gt;"",$O263&lt;=Hoje!$C$3,$P263&gt;=Hoje!$C$3,$R263&lt;&gt;"Cancelada"),1,0)</f>
        <v>0</v>
      </c>
      <c r="AI263" s="39" t="n">
        <f aca="false">IF(AND($F263&lt;&gt;"",$P263&lt;&gt;"",$P263&lt;Hoje!$C$3,$AB263=0,$R263&lt;&gt;"Cancelada"),1,0)</f>
        <v>0</v>
      </c>
      <c r="AJ263" s="50" t="str">
        <f aca="false">IF($F263="","",$D263&amp;"|"&amp;$E263&amp;"|"&amp;$L263)</f>
        <v>F-972|BAIXA DE PENDENCIAS|</v>
      </c>
      <c r="AK263" s="39" t="n">
        <f aca="false">IF($AJ263="","",COUNTIF($AJ$4:$AJ263,$AJ263))</f>
        <v>3</v>
      </c>
      <c r="AL263" s="39" t="n">
        <f aca="false">IF($AJ263="","",COUNTIF($AJ$4:$AJ$1004,$AJ263))</f>
        <v>11</v>
      </c>
      <c r="AM263" s="42"/>
      <c r="AN263" s="50" t="str">
        <f aca="false">IF($D263="","",IFERROR(T(VLOOKUP($D263,Listas!$B$5:$H$120,7,0)),""))</f>
        <v>Petro</v>
      </c>
      <c r="AO263" s="50" t="str">
        <f aca="false">IF(OR($F263="",$L263&lt;&gt;"",$R263="Cancelada",$AT263&lt;&gt;""),"",$AN263&amp;"|"&amp;$D263&amp;"|"&amp;IF($C263="","zzz",$C263)&amp;"|"&amp;TEXT(263,"0000"))</f>
        <v>Petro|F-972|007400|0263</v>
      </c>
      <c r="AP263" s="50" t="n">
        <f aca="false">IF($AO263="","",COUNTIF($AO$5:$AO$1004,"&lt;"&amp;$AO263)-(ROWS($AO$5:$AO$1004)-Hoje!$L$5)+1)</f>
        <v>90</v>
      </c>
      <c r="AQ263" s="50" t="n">
        <f aca="false">IF(AND($F263&lt;&gt;"",$D263=Frota!$C$3),1,0)</f>
        <v>0</v>
      </c>
      <c r="AR263" s="50" t="str">
        <f aca="false">IF($AQ263=0,"",SUM($AQ$4:$AQ263))</f>
        <v/>
      </c>
      <c r="AS263" s="50" t="str">
        <f aca="false">IFERROR(INDEX(Hoje!$K$10:$K$29,MATCH(ROW(),Hoje!$J$10:$J$29,0)),"")</f>
        <v/>
      </c>
      <c r="AT263" s="50" t="str">
        <f aca="false">IF($Q263&lt;&gt;"",$Q263,$AS263)</f>
        <v/>
      </c>
    </row>
    <row r="264" customFormat="false" ht="16.5" hidden="false" customHeight="true" outlineLevel="0" collapsed="false">
      <c r="A264" s="39" t="n">
        <f aca="false">IF($F264="","",ROW())</f>
        <v>264</v>
      </c>
      <c r="B264" s="40" t="str">
        <f aca="false">IF($F264="",IF($D264="","","Falta a atividade"),IF($R264="Cancelada","Cancelada",IF($AB264=1,IF(N($Z264)&gt;0,"Concluída com atraso","Concluída"),IF($R264="Em programação","Em programação",IF($O264="",IF($M264="","Na carteira","Falta a semana"),IF($AC264=1,"VENCIDA",IF($O264&gt;Hoje!$L$1,"Programada",IF($P264&gt;Hoje!$L$1,"Em execução","Fecha hoje"))))))))</f>
        <v>Na carteira</v>
      </c>
      <c r="C264" s="41" t="s">
        <v>657</v>
      </c>
      <c r="D264" s="42" t="s">
        <v>652</v>
      </c>
      <c r="E264" s="42" t="s">
        <v>452</v>
      </c>
      <c r="F264" s="42" t="s">
        <v>658</v>
      </c>
      <c r="G264" s="43" t="s">
        <v>80</v>
      </c>
      <c r="H264" s="43" t="s">
        <v>100</v>
      </c>
      <c r="I264" s="44"/>
      <c r="J264" s="44"/>
      <c r="K264" s="44"/>
      <c r="L264" s="45"/>
      <c r="M264" s="46"/>
      <c r="N264" s="45"/>
      <c r="O264" s="47" t="str">
        <f aca="false">IF(OR($L264="",$M264=""),"",(DATE(Semana!$J$3,1,4)-WEEKDAY(DATE(Semana!$J$3,1,4),3))+($L264-1)*7+MATCH($M264,Listas!$F$5:$F$11,0)-1)</f>
        <v/>
      </c>
      <c r="P264" s="47" t="str">
        <f aca="false">IF(OR($F264="",$O264=""),"",$O264+MAX(0,ROUNDUP($AK264*MAX(1,IF($N264="",1,$N264))/MAX(1,$AL264),0)-1))</f>
        <v/>
      </c>
      <c r="Q264" s="48"/>
      <c r="R264" s="43"/>
      <c r="S264" s="49"/>
      <c r="T264" s="42"/>
      <c r="U264" s="42"/>
      <c r="V264" s="39" t="str">
        <f aca="false">IF($F264="","",IF(ISNUMBER(SEARCH("(externo)",$I264&amp;$J264&amp;$K264)),"Terceirizada","Interna"))</f>
        <v>Interna</v>
      </c>
      <c r="W264" s="47" t="str">
        <f aca="false">IF($O264="","",IF($S264="",$O264,(DATE(Semana!$J$3,1,4)-WEEKDAY(DATE(Semana!$J$3,1,4),3))+($S264-1)*7+IF($M264="",0,MATCH($M264,Listas!$F$5:$F$11,0)-1)))</f>
        <v/>
      </c>
      <c r="X264" s="39" t="n">
        <f aca="false">IF($F264="","",IF(OR($AT264="",$O264=""),0,IF($AT264&lt;=$O264,1,0)))</f>
        <v>0</v>
      </c>
      <c r="Y264" s="39" t="n">
        <f aca="false">IF($F264="","",IF(OR($AT264="",$W264=""),0,IF($AT264&lt;=$W264,1,0)))</f>
        <v>0</v>
      </c>
      <c r="Z264" s="39" t="str">
        <f aca="false">IF(OR($AT264="",$O264=""),"",MAX(0,$AT264-$O264))</f>
        <v/>
      </c>
      <c r="AA264" s="39" t="n">
        <f aca="false">IF($F264="","",IF(AND($S264&lt;&gt;"",$L264&lt;&gt;"",$S264&lt;&gt;$L264),1,0))</f>
        <v>0</v>
      </c>
      <c r="AB264" s="39" t="n">
        <f aca="false">IF($F264="","",IF($R264="Cancelada",0,IF(OR($AT264&lt;&gt;"",$R264="Concluída"),1,0)))</f>
        <v>0</v>
      </c>
      <c r="AC264" s="39" t="n">
        <f aca="false">IF($P264="",0,IF($P264&lt;Hoje!$L$1,1,IF(AND($P264=Hoje!$L$1,Hoje!$L$2&gt;Semana!$M$3),1,0)))</f>
        <v>0</v>
      </c>
      <c r="AD264" s="39" t="n">
        <f aca="false">IF($F264="","",IF(COUNTA($I264:$K264)=0,0,1/COUNTA($I264:$K264)))</f>
        <v>0</v>
      </c>
      <c r="AE264" s="39" t="str">
        <f aca="false">IF($AH264=0,"",SUM($AH$4:$AH264))</f>
        <v/>
      </c>
      <c r="AF264" s="39" t="str">
        <f aca="false">IF($AI264=0,"",SUM($AI$4:$AI264))</f>
        <v/>
      </c>
      <c r="AG264" s="50" t="str">
        <f aca="false">IF($F264="","",$I264&amp;IF($J264="",""," · "&amp;$J264)&amp;IF($K264="",""," · "&amp;$K264))</f>
        <v/>
      </c>
      <c r="AH264" s="39" t="n">
        <f aca="false">IF(AND($F264&lt;&gt;"",$O264&lt;&gt;"",$O264&lt;=Hoje!$C$3,$P264&gt;=Hoje!$C$3,$R264&lt;&gt;"Cancelada"),1,0)</f>
        <v>0</v>
      </c>
      <c r="AI264" s="39" t="n">
        <f aca="false">IF(AND($F264&lt;&gt;"",$P264&lt;&gt;"",$P264&lt;Hoje!$C$3,$AB264=0,$R264&lt;&gt;"Cancelada"),1,0)</f>
        <v>0</v>
      </c>
      <c r="AJ264" s="50" t="str">
        <f aca="false">IF($F264="","",$D264&amp;"|"&amp;$E264&amp;"|"&amp;$L264)</f>
        <v>F-972|BAIXA DE PENDENCIAS|</v>
      </c>
      <c r="AK264" s="39" t="n">
        <f aca="false">IF($AJ264="","",COUNTIF($AJ$4:$AJ264,$AJ264))</f>
        <v>4</v>
      </c>
      <c r="AL264" s="39" t="n">
        <f aca="false">IF($AJ264="","",COUNTIF($AJ$4:$AJ$1004,$AJ264))</f>
        <v>11</v>
      </c>
      <c r="AM264" s="42"/>
      <c r="AN264" s="50" t="str">
        <f aca="false">IF($D264="","",IFERROR(T(VLOOKUP($D264,Listas!$B$5:$H$120,7,0)),""))</f>
        <v>Petro</v>
      </c>
      <c r="AO264" s="50" t="str">
        <f aca="false">IF(OR($F264="",$L264&lt;&gt;"",$R264="Cancelada",$AT264&lt;&gt;""),"",$AN264&amp;"|"&amp;$D264&amp;"|"&amp;IF($C264="","zzz",$C264)&amp;"|"&amp;TEXT(264,"0000"))</f>
        <v>Petro|F-972|007401|0264</v>
      </c>
      <c r="AP264" s="50" t="n">
        <f aca="false">IF($AO264="","",COUNTIF($AO$5:$AO$1004,"&lt;"&amp;$AO264)-(ROWS($AO$5:$AO$1004)-Hoje!$L$5)+1)</f>
        <v>91</v>
      </c>
      <c r="AQ264" s="50" t="n">
        <f aca="false">IF(AND($F264&lt;&gt;"",$D264=Frota!$C$3),1,0)</f>
        <v>0</v>
      </c>
      <c r="AR264" s="50" t="str">
        <f aca="false">IF($AQ264=0,"",SUM($AQ$4:$AQ264))</f>
        <v/>
      </c>
      <c r="AS264" s="50" t="str">
        <f aca="false">IFERROR(INDEX(Hoje!$K$10:$K$29,MATCH(ROW(),Hoje!$J$10:$J$29,0)),"")</f>
        <v/>
      </c>
      <c r="AT264" s="50" t="str">
        <f aca="false">IF($Q264&lt;&gt;"",$Q264,$AS264)</f>
        <v/>
      </c>
    </row>
    <row r="265" customFormat="false" ht="16.5" hidden="false" customHeight="true" outlineLevel="0" collapsed="false">
      <c r="A265" s="39" t="n">
        <f aca="false">IF($F265="","",ROW())</f>
        <v>265</v>
      </c>
      <c r="B265" s="40" t="str">
        <f aca="false">IF($F265="",IF($D265="","","Falta a atividade"),IF($R265="Cancelada","Cancelada",IF($AB265=1,IF(N($Z265)&gt;0,"Concluída com atraso","Concluída"),IF($R265="Em programação","Em programação",IF($O265="",IF($M265="","Na carteira","Falta a semana"),IF($AC265=1,"VENCIDA",IF($O265&gt;Hoje!$L$1,"Programada",IF($P265&gt;Hoje!$L$1,"Em execução","Fecha hoje"))))))))</f>
        <v>Na carteira</v>
      </c>
      <c r="C265" s="41" t="s">
        <v>659</v>
      </c>
      <c r="D265" s="42" t="s">
        <v>652</v>
      </c>
      <c r="E265" s="42" t="s">
        <v>452</v>
      </c>
      <c r="F265" s="42" t="s">
        <v>660</v>
      </c>
      <c r="G265" s="43" t="s">
        <v>80</v>
      </c>
      <c r="H265" s="43" t="s">
        <v>100</v>
      </c>
      <c r="I265" s="44"/>
      <c r="J265" s="44"/>
      <c r="K265" s="44"/>
      <c r="L265" s="45"/>
      <c r="M265" s="46"/>
      <c r="N265" s="45"/>
      <c r="O265" s="47" t="str">
        <f aca="false">IF(OR($L265="",$M265=""),"",(DATE(Semana!$J$3,1,4)-WEEKDAY(DATE(Semana!$J$3,1,4),3))+($L265-1)*7+MATCH($M265,Listas!$F$5:$F$11,0)-1)</f>
        <v/>
      </c>
      <c r="P265" s="47" t="str">
        <f aca="false">IF(OR($F265="",$O265=""),"",$O265+MAX(0,ROUNDUP($AK265*MAX(1,IF($N265="",1,$N265))/MAX(1,$AL265),0)-1))</f>
        <v/>
      </c>
      <c r="Q265" s="48"/>
      <c r="R265" s="43"/>
      <c r="S265" s="49"/>
      <c r="T265" s="42"/>
      <c r="U265" s="42"/>
      <c r="V265" s="39" t="str">
        <f aca="false">IF($F265="","",IF(ISNUMBER(SEARCH("(externo)",$I265&amp;$J265&amp;$K265)),"Terceirizada","Interna"))</f>
        <v>Interna</v>
      </c>
      <c r="W265" s="47" t="str">
        <f aca="false">IF($O265="","",IF($S265="",$O265,(DATE(Semana!$J$3,1,4)-WEEKDAY(DATE(Semana!$J$3,1,4),3))+($S265-1)*7+IF($M265="",0,MATCH($M265,Listas!$F$5:$F$11,0)-1)))</f>
        <v/>
      </c>
      <c r="X265" s="39" t="n">
        <f aca="false">IF($F265="","",IF(OR($AT265="",$O265=""),0,IF($AT265&lt;=$O265,1,0)))</f>
        <v>0</v>
      </c>
      <c r="Y265" s="39" t="n">
        <f aca="false">IF($F265="","",IF(OR($AT265="",$W265=""),0,IF($AT265&lt;=$W265,1,0)))</f>
        <v>0</v>
      </c>
      <c r="Z265" s="39" t="str">
        <f aca="false">IF(OR($AT265="",$O265=""),"",MAX(0,$AT265-$O265))</f>
        <v/>
      </c>
      <c r="AA265" s="39" t="n">
        <f aca="false">IF($F265="","",IF(AND($S265&lt;&gt;"",$L265&lt;&gt;"",$S265&lt;&gt;$L265),1,0))</f>
        <v>0</v>
      </c>
      <c r="AB265" s="39" t="n">
        <f aca="false">IF($F265="","",IF($R265="Cancelada",0,IF(OR($AT265&lt;&gt;"",$R265="Concluída"),1,0)))</f>
        <v>0</v>
      </c>
      <c r="AC265" s="39" t="n">
        <f aca="false">IF($P265="",0,IF($P265&lt;Hoje!$L$1,1,IF(AND($P265=Hoje!$L$1,Hoje!$L$2&gt;Semana!$M$3),1,0)))</f>
        <v>0</v>
      </c>
      <c r="AD265" s="39" t="n">
        <f aca="false">IF($F265="","",IF(COUNTA($I265:$K265)=0,0,1/COUNTA($I265:$K265)))</f>
        <v>0</v>
      </c>
      <c r="AE265" s="39" t="str">
        <f aca="false">IF($AH265=0,"",SUM($AH$4:$AH265))</f>
        <v/>
      </c>
      <c r="AF265" s="39" t="str">
        <f aca="false">IF($AI265=0,"",SUM($AI$4:$AI265))</f>
        <v/>
      </c>
      <c r="AG265" s="50" t="str">
        <f aca="false">IF($F265="","",$I265&amp;IF($J265="",""," · "&amp;$J265)&amp;IF($K265="",""," · "&amp;$K265))</f>
        <v/>
      </c>
      <c r="AH265" s="39" t="n">
        <f aca="false">IF(AND($F265&lt;&gt;"",$O265&lt;&gt;"",$O265&lt;=Hoje!$C$3,$P265&gt;=Hoje!$C$3,$R265&lt;&gt;"Cancelada"),1,0)</f>
        <v>0</v>
      </c>
      <c r="AI265" s="39" t="n">
        <f aca="false">IF(AND($F265&lt;&gt;"",$P265&lt;&gt;"",$P265&lt;Hoje!$C$3,$AB265=0,$R265&lt;&gt;"Cancelada"),1,0)</f>
        <v>0</v>
      </c>
      <c r="AJ265" s="50" t="str">
        <f aca="false">IF($F265="","",$D265&amp;"|"&amp;$E265&amp;"|"&amp;$L265)</f>
        <v>F-972|BAIXA DE PENDENCIAS|</v>
      </c>
      <c r="AK265" s="39" t="n">
        <f aca="false">IF($AJ265="","",COUNTIF($AJ$4:$AJ265,$AJ265))</f>
        <v>5</v>
      </c>
      <c r="AL265" s="39" t="n">
        <f aca="false">IF($AJ265="","",COUNTIF($AJ$4:$AJ$1004,$AJ265))</f>
        <v>11</v>
      </c>
      <c r="AM265" s="42"/>
      <c r="AN265" s="50" t="str">
        <f aca="false">IF($D265="","",IFERROR(T(VLOOKUP($D265,Listas!$B$5:$H$120,7,0)),""))</f>
        <v>Petro</v>
      </c>
      <c r="AO265" s="50" t="str">
        <f aca="false">IF(OR($F265="",$L265&lt;&gt;"",$R265="Cancelada",$AT265&lt;&gt;""),"",$AN265&amp;"|"&amp;$D265&amp;"|"&amp;IF($C265="","zzz",$C265)&amp;"|"&amp;TEXT(265,"0000"))</f>
        <v>Petro|F-972|007402|0265</v>
      </c>
      <c r="AP265" s="50" t="n">
        <f aca="false">IF($AO265="","",COUNTIF($AO$5:$AO$1004,"&lt;"&amp;$AO265)-(ROWS($AO$5:$AO$1004)-Hoje!$L$5)+1)</f>
        <v>92</v>
      </c>
      <c r="AQ265" s="50" t="n">
        <f aca="false">IF(AND($F265&lt;&gt;"",$D265=Frota!$C$3),1,0)</f>
        <v>0</v>
      </c>
      <c r="AR265" s="50" t="str">
        <f aca="false">IF($AQ265=0,"",SUM($AQ$4:$AQ265))</f>
        <v/>
      </c>
      <c r="AS265" s="50" t="str">
        <f aca="false">IFERROR(INDEX(Hoje!$K$10:$K$29,MATCH(ROW(),Hoje!$J$10:$J$29,0)),"")</f>
        <v/>
      </c>
      <c r="AT265" s="50" t="str">
        <f aca="false">IF($Q265&lt;&gt;"",$Q265,$AS265)</f>
        <v/>
      </c>
    </row>
    <row r="266" customFormat="false" ht="16.5" hidden="false" customHeight="true" outlineLevel="0" collapsed="false">
      <c r="A266" s="39" t="n">
        <f aca="false">IF($F266="","",ROW())</f>
        <v>266</v>
      </c>
      <c r="B266" s="40" t="str">
        <f aca="false">IF($F266="",IF($D266="","","Falta a atividade"),IF($R266="Cancelada","Cancelada",IF($AB266=1,IF(N($Z266)&gt;0,"Concluída com atraso","Concluída"),IF($R266="Em programação","Em programação",IF($O266="",IF($M266="","Na carteira","Falta a semana"),IF($AC266=1,"VENCIDA",IF($O266&gt;Hoje!$L$1,"Programada",IF($P266&gt;Hoje!$L$1,"Em execução","Fecha hoje"))))))))</f>
        <v>Na carteira</v>
      </c>
      <c r="C266" s="41" t="s">
        <v>661</v>
      </c>
      <c r="D266" s="42" t="s">
        <v>652</v>
      </c>
      <c r="E266" s="42" t="s">
        <v>452</v>
      </c>
      <c r="F266" s="42" t="s">
        <v>662</v>
      </c>
      <c r="G266" s="43" t="s">
        <v>80</v>
      </c>
      <c r="H266" s="43" t="s">
        <v>100</v>
      </c>
      <c r="I266" s="44"/>
      <c r="J266" s="44"/>
      <c r="K266" s="44"/>
      <c r="L266" s="45"/>
      <c r="M266" s="46"/>
      <c r="N266" s="45"/>
      <c r="O266" s="47" t="str">
        <f aca="false">IF(OR($L266="",$M266=""),"",(DATE(Semana!$J$3,1,4)-WEEKDAY(DATE(Semana!$J$3,1,4),3))+($L266-1)*7+MATCH($M266,Listas!$F$5:$F$11,0)-1)</f>
        <v/>
      </c>
      <c r="P266" s="47" t="str">
        <f aca="false">IF(OR($F266="",$O266=""),"",$O266+MAX(0,ROUNDUP($AK266*MAX(1,IF($N266="",1,$N266))/MAX(1,$AL266),0)-1))</f>
        <v/>
      </c>
      <c r="Q266" s="48"/>
      <c r="R266" s="43"/>
      <c r="S266" s="49"/>
      <c r="T266" s="42"/>
      <c r="U266" s="42"/>
      <c r="V266" s="39" t="str">
        <f aca="false">IF($F266="","",IF(ISNUMBER(SEARCH("(externo)",$I266&amp;$J266&amp;$K266)),"Terceirizada","Interna"))</f>
        <v>Interna</v>
      </c>
      <c r="W266" s="47" t="str">
        <f aca="false">IF($O266="","",IF($S266="",$O266,(DATE(Semana!$J$3,1,4)-WEEKDAY(DATE(Semana!$J$3,1,4),3))+($S266-1)*7+IF($M266="",0,MATCH($M266,Listas!$F$5:$F$11,0)-1)))</f>
        <v/>
      </c>
      <c r="X266" s="39" t="n">
        <f aca="false">IF($F266="","",IF(OR($AT266="",$O266=""),0,IF($AT266&lt;=$O266,1,0)))</f>
        <v>0</v>
      </c>
      <c r="Y266" s="39" t="n">
        <f aca="false">IF($F266="","",IF(OR($AT266="",$W266=""),0,IF($AT266&lt;=$W266,1,0)))</f>
        <v>0</v>
      </c>
      <c r="Z266" s="39" t="str">
        <f aca="false">IF(OR($AT266="",$O266=""),"",MAX(0,$AT266-$O266))</f>
        <v/>
      </c>
      <c r="AA266" s="39" t="n">
        <f aca="false">IF($F266="","",IF(AND($S266&lt;&gt;"",$L266&lt;&gt;"",$S266&lt;&gt;$L266),1,0))</f>
        <v>0</v>
      </c>
      <c r="AB266" s="39" t="n">
        <f aca="false">IF($F266="","",IF($R266="Cancelada",0,IF(OR($AT266&lt;&gt;"",$R266="Concluída"),1,0)))</f>
        <v>0</v>
      </c>
      <c r="AC266" s="39" t="n">
        <f aca="false">IF($P266="",0,IF($P266&lt;Hoje!$L$1,1,IF(AND($P266=Hoje!$L$1,Hoje!$L$2&gt;Semana!$M$3),1,0)))</f>
        <v>0</v>
      </c>
      <c r="AD266" s="39" t="n">
        <f aca="false">IF($F266="","",IF(COUNTA($I266:$K266)=0,0,1/COUNTA($I266:$K266)))</f>
        <v>0</v>
      </c>
      <c r="AE266" s="39" t="str">
        <f aca="false">IF($AH266=0,"",SUM($AH$4:$AH266))</f>
        <v/>
      </c>
      <c r="AF266" s="39" t="str">
        <f aca="false">IF($AI266=0,"",SUM($AI$4:$AI266))</f>
        <v/>
      </c>
      <c r="AG266" s="50" t="str">
        <f aca="false">IF($F266="","",$I266&amp;IF($J266="",""," · "&amp;$J266)&amp;IF($K266="",""," · "&amp;$K266))</f>
        <v/>
      </c>
      <c r="AH266" s="39" t="n">
        <f aca="false">IF(AND($F266&lt;&gt;"",$O266&lt;&gt;"",$O266&lt;=Hoje!$C$3,$P266&gt;=Hoje!$C$3,$R266&lt;&gt;"Cancelada"),1,0)</f>
        <v>0</v>
      </c>
      <c r="AI266" s="39" t="n">
        <f aca="false">IF(AND($F266&lt;&gt;"",$P266&lt;&gt;"",$P266&lt;Hoje!$C$3,$AB266=0,$R266&lt;&gt;"Cancelada"),1,0)</f>
        <v>0</v>
      </c>
      <c r="AJ266" s="50" t="str">
        <f aca="false">IF($F266="","",$D266&amp;"|"&amp;$E266&amp;"|"&amp;$L266)</f>
        <v>F-972|BAIXA DE PENDENCIAS|</v>
      </c>
      <c r="AK266" s="39" t="n">
        <f aca="false">IF($AJ266="","",COUNTIF($AJ$4:$AJ266,$AJ266))</f>
        <v>6</v>
      </c>
      <c r="AL266" s="39" t="n">
        <f aca="false">IF($AJ266="","",COUNTIF($AJ$4:$AJ$1004,$AJ266))</f>
        <v>11</v>
      </c>
      <c r="AM266" s="42"/>
      <c r="AN266" s="50" t="str">
        <f aca="false">IF($D266="","",IFERROR(T(VLOOKUP($D266,Listas!$B$5:$H$120,7,0)),""))</f>
        <v>Petro</v>
      </c>
      <c r="AO266" s="50" t="str">
        <f aca="false">IF(OR($F266="",$L266&lt;&gt;"",$R266="Cancelada",$AT266&lt;&gt;""),"",$AN266&amp;"|"&amp;$D266&amp;"|"&amp;IF($C266="","zzz",$C266)&amp;"|"&amp;TEXT(266,"0000"))</f>
        <v>Petro|F-972|007403|0266</v>
      </c>
      <c r="AP266" s="50" t="n">
        <f aca="false">IF($AO266="","",COUNTIF($AO$5:$AO$1004,"&lt;"&amp;$AO266)-(ROWS($AO$5:$AO$1004)-Hoje!$L$5)+1)</f>
        <v>93</v>
      </c>
      <c r="AQ266" s="50" t="n">
        <f aca="false">IF(AND($F266&lt;&gt;"",$D266=Frota!$C$3),1,0)</f>
        <v>0</v>
      </c>
      <c r="AR266" s="50" t="str">
        <f aca="false">IF($AQ266=0,"",SUM($AQ$4:$AQ266))</f>
        <v/>
      </c>
      <c r="AS266" s="50" t="str">
        <f aca="false">IFERROR(INDEX(Hoje!$K$10:$K$29,MATCH(ROW(),Hoje!$J$10:$J$29,0)),"")</f>
        <v/>
      </c>
      <c r="AT266" s="50" t="str">
        <f aca="false">IF($Q266&lt;&gt;"",$Q266,$AS266)</f>
        <v/>
      </c>
    </row>
    <row r="267" customFormat="false" ht="16.5" hidden="false" customHeight="true" outlineLevel="0" collapsed="false">
      <c r="A267" s="39" t="n">
        <f aca="false">IF($F267="","",ROW())</f>
        <v>267</v>
      </c>
      <c r="B267" s="40" t="str">
        <f aca="false">IF($F267="",IF($D267="","","Falta a atividade"),IF($R267="Cancelada","Cancelada",IF($AB267=1,IF(N($Z267)&gt;0,"Concluída com atraso","Concluída"),IF($R267="Em programação","Em programação",IF($O267="",IF($M267="","Na carteira","Falta a semana"),IF($AC267=1,"VENCIDA",IF($O267&gt;Hoje!$L$1,"Programada",IF($P267&gt;Hoje!$L$1,"Em execução","Fecha hoje"))))))))</f>
        <v>Na carteira</v>
      </c>
      <c r="C267" s="41" t="s">
        <v>663</v>
      </c>
      <c r="D267" s="42" t="s">
        <v>652</v>
      </c>
      <c r="E267" s="42" t="s">
        <v>452</v>
      </c>
      <c r="F267" s="42" t="s">
        <v>664</v>
      </c>
      <c r="G267" s="43" t="s">
        <v>80</v>
      </c>
      <c r="H267" s="43" t="s">
        <v>100</v>
      </c>
      <c r="I267" s="44"/>
      <c r="J267" s="44"/>
      <c r="K267" s="44"/>
      <c r="L267" s="45"/>
      <c r="M267" s="46"/>
      <c r="N267" s="45"/>
      <c r="O267" s="47" t="str">
        <f aca="false">IF(OR($L267="",$M267=""),"",(DATE(Semana!$J$3,1,4)-WEEKDAY(DATE(Semana!$J$3,1,4),3))+($L267-1)*7+MATCH($M267,Listas!$F$5:$F$11,0)-1)</f>
        <v/>
      </c>
      <c r="P267" s="47" t="str">
        <f aca="false">IF(OR($F267="",$O267=""),"",$O267+MAX(0,ROUNDUP($AK267*MAX(1,IF($N267="",1,$N267))/MAX(1,$AL267),0)-1))</f>
        <v/>
      </c>
      <c r="Q267" s="48"/>
      <c r="R267" s="43"/>
      <c r="S267" s="49"/>
      <c r="T267" s="42"/>
      <c r="U267" s="42"/>
      <c r="V267" s="39" t="str">
        <f aca="false">IF($F267="","",IF(ISNUMBER(SEARCH("(externo)",$I267&amp;$J267&amp;$K267)),"Terceirizada","Interna"))</f>
        <v>Interna</v>
      </c>
      <c r="W267" s="47" t="str">
        <f aca="false">IF($O267="","",IF($S267="",$O267,(DATE(Semana!$J$3,1,4)-WEEKDAY(DATE(Semana!$J$3,1,4),3))+($S267-1)*7+IF($M267="",0,MATCH($M267,Listas!$F$5:$F$11,0)-1)))</f>
        <v/>
      </c>
      <c r="X267" s="39" t="n">
        <f aca="false">IF($F267="","",IF(OR($AT267="",$O267=""),0,IF($AT267&lt;=$O267,1,0)))</f>
        <v>0</v>
      </c>
      <c r="Y267" s="39" t="n">
        <f aca="false">IF($F267="","",IF(OR($AT267="",$W267=""),0,IF($AT267&lt;=$W267,1,0)))</f>
        <v>0</v>
      </c>
      <c r="Z267" s="39" t="str">
        <f aca="false">IF(OR($AT267="",$O267=""),"",MAX(0,$AT267-$O267))</f>
        <v/>
      </c>
      <c r="AA267" s="39" t="n">
        <f aca="false">IF($F267="","",IF(AND($S267&lt;&gt;"",$L267&lt;&gt;"",$S267&lt;&gt;$L267),1,0))</f>
        <v>0</v>
      </c>
      <c r="AB267" s="39" t="n">
        <f aca="false">IF($F267="","",IF($R267="Cancelada",0,IF(OR($AT267&lt;&gt;"",$R267="Concluída"),1,0)))</f>
        <v>0</v>
      </c>
      <c r="AC267" s="39" t="n">
        <f aca="false">IF($P267="",0,IF($P267&lt;Hoje!$L$1,1,IF(AND($P267=Hoje!$L$1,Hoje!$L$2&gt;Semana!$M$3),1,0)))</f>
        <v>0</v>
      </c>
      <c r="AD267" s="39" t="n">
        <f aca="false">IF($F267="","",IF(COUNTA($I267:$K267)=0,0,1/COUNTA($I267:$K267)))</f>
        <v>0</v>
      </c>
      <c r="AE267" s="39" t="str">
        <f aca="false">IF($AH267=0,"",SUM($AH$4:$AH267))</f>
        <v/>
      </c>
      <c r="AF267" s="39" t="str">
        <f aca="false">IF($AI267=0,"",SUM($AI$4:$AI267))</f>
        <v/>
      </c>
      <c r="AG267" s="50" t="str">
        <f aca="false">IF($F267="","",$I267&amp;IF($J267="",""," · "&amp;$J267)&amp;IF($K267="",""," · "&amp;$K267))</f>
        <v/>
      </c>
      <c r="AH267" s="39" t="n">
        <f aca="false">IF(AND($F267&lt;&gt;"",$O267&lt;&gt;"",$O267&lt;=Hoje!$C$3,$P267&gt;=Hoje!$C$3,$R267&lt;&gt;"Cancelada"),1,0)</f>
        <v>0</v>
      </c>
      <c r="AI267" s="39" t="n">
        <f aca="false">IF(AND($F267&lt;&gt;"",$P267&lt;&gt;"",$P267&lt;Hoje!$C$3,$AB267=0,$R267&lt;&gt;"Cancelada"),1,0)</f>
        <v>0</v>
      </c>
      <c r="AJ267" s="50" t="str">
        <f aca="false">IF($F267="","",$D267&amp;"|"&amp;$E267&amp;"|"&amp;$L267)</f>
        <v>F-972|BAIXA DE PENDENCIAS|</v>
      </c>
      <c r="AK267" s="39" t="n">
        <f aca="false">IF($AJ267="","",COUNTIF($AJ$4:$AJ267,$AJ267))</f>
        <v>7</v>
      </c>
      <c r="AL267" s="39" t="n">
        <f aca="false">IF($AJ267="","",COUNTIF($AJ$4:$AJ$1004,$AJ267))</f>
        <v>11</v>
      </c>
      <c r="AM267" s="42"/>
      <c r="AN267" s="50" t="str">
        <f aca="false">IF($D267="","",IFERROR(T(VLOOKUP($D267,Listas!$B$5:$H$120,7,0)),""))</f>
        <v>Petro</v>
      </c>
      <c r="AO267" s="50" t="str">
        <f aca="false">IF(OR($F267="",$L267&lt;&gt;"",$R267="Cancelada",$AT267&lt;&gt;""),"",$AN267&amp;"|"&amp;$D267&amp;"|"&amp;IF($C267="","zzz",$C267)&amp;"|"&amp;TEXT(267,"0000"))</f>
        <v>Petro|F-972|007404|0267</v>
      </c>
      <c r="AP267" s="50" t="n">
        <f aca="false">IF($AO267="","",COUNTIF($AO$5:$AO$1004,"&lt;"&amp;$AO267)-(ROWS($AO$5:$AO$1004)-Hoje!$L$5)+1)</f>
        <v>94</v>
      </c>
      <c r="AQ267" s="50" t="n">
        <f aca="false">IF(AND($F267&lt;&gt;"",$D267=Frota!$C$3),1,0)</f>
        <v>0</v>
      </c>
      <c r="AR267" s="50" t="str">
        <f aca="false">IF($AQ267=0,"",SUM($AQ$4:$AQ267))</f>
        <v/>
      </c>
      <c r="AS267" s="50" t="str">
        <f aca="false">IFERROR(INDEX(Hoje!$K$10:$K$29,MATCH(ROW(),Hoje!$J$10:$J$29,0)),"")</f>
        <v/>
      </c>
      <c r="AT267" s="50" t="str">
        <f aca="false">IF($Q267&lt;&gt;"",$Q267,$AS267)</f>
        <v/>
      </c>
    </row>
    <row r="268" customFormat="false" ht="16.5" hidden="false" customHeight="true" outlineLevel="0" collapsed="false">
      <c r="A268" s="39" t="n">
        <f aca="false">IF($F268="","",ROW())</f>
        <v>268</v>
      </c>
      <c r="B268" s="40" t="str">
        <f aca="false">IF($F268="",IF($D268="","","Falta a atividade"),IF($R268="Cancelada","Cancelada",IF($AB268=1,IF(N($Z268)&gt;0,"Concluída com atraso","Concluída"),IF($R268="Em programação","Em programação",IF($O268="",IF($M268="","Na carteira","Falta a semana"),IF($AC268=1,"VENCIDA",IF($O268&gt;Hoje!$L$1,"Programada",IF($P268&gt;Hoje!$L$1,"Em execução","Fecha hoje"))))))))</f>
        <v>Na carteira</v>
      </c>
      <c r="C268" s="41" t="s">
        <v>665</v>
      </c>
      <c r="D268" s="42" t="s">
        <v>652</v>
      </c>
      <c r="E268" s="42" t="s">
        <v>452</v>
      </c>
      <c r="F268" s="42" t="s">
        <v>666</v>
      </c>
      <c r="G268" s="43" t="s">
        <v>80</v>
      </c>
      <c r="H268" s="43" t="s">
        <v>100</v>
      </c>
      <c r="I268" s="44"/>
      <c r="J268" s="44"/>
      <c r="K268" s="44"/>
      <c r="L268" s="45"/>
      <c r="M268" s="46"/>
      <c r="N268" s="45"/>
      <c r="O268" s="47" t="str">
        <f aca="false">IF(OR($L268="",$M268=""),"",(DATE(Semana!$J$3,1,4)-WEEKDAY(DATE(Semana!$J$3,1,4),3))+($L268-1)*7+MATCH($M268,Listas!$F$5:$F$11,0)-1)</f>
        <v/>
      </c>
      <c r="P268" s="47" t="str">
        <f aca="false">IF(OR($F268="",$O268=""),"",$O268+MAX(0,ROUNDUP($AK268*MAX(1,IF($N268="",1,$N268))/MAX(1,$AL268),0)-1))</f>
        <v/>
      </c>
      <c r="Q268" s="48"/>
      <c r="R268" s="43"/>
      <c r="S268" s="49"/>
      <c r="T268" s="42"/>
      <c r="U268" s="42"/>
      <c r="V268" s="39" t="str">
        <f aca="false">IF($F268="","",IF(ISNUMBER(SEARCH("(externo)",$I268&amp;$J268&amp;$K268)),"Terceirizada","Interna"))</f>
        <v>Interna</v>
      </c>
      <c r="W268" s="47" t="str">
        <f aca="false">IF($O268="","",IF($S268="",$O268,(DATE(Semana!$J$3,1,4)-WEEKDAY(DATE(Semana!$J$3,1,4),3))+($S268-1)*7+IF($M268="",0,MATCH($M268,Listas!$F$5:$F$11,0)-1)))</f>
        <v/>
      </c>
      <c r="X268" s="39" t="n">
        <f aca="false">IF($F268="","",IF(OR($AT268="",$O268=""),0,IF($AT268&lt;=$O268,1,0)))</f>
        <v>0</v>
      </c>
      <c r="Y268" s="39" t="n">
        <f aca="false">IF($F268="","",IF(OR($AT268="",$W268=""),0,IF($AT268&lt;=$W268,1,0)))</f>
        <v>0</v>
      </c>
      <c r="Z268" s="39" t="str">
        <f aca="false">IF(OR($AT268="",$O268=""),"",MAX(0,$AT268-$O268))</f>
        <v/>
      </c>
      <c r="AA268" s="39" t="n">
        <f aca="false">IF($F268="","",IF(AND($S268&lt;&gt;"",$L268&lt;&gt;"",$S268&lt;&gt;$L268),1,0))</f>
        <v>0</v>
      </c>
      <c r="AB268" s="39" t="n">
        <f aca="false">IF($F268="","",IF($R268="Cancelada",0,IF(OR($AT268&lt;&gt;"",$R268="Concluída"),1,0)))</f>
        <v>0</v>
      </c>
      <c r="AC268" s="39" t="n">
        <f aca="false">IF($P268="",0,IF($P268&lt;Hoje!$L$1,1,IF(AND($P268=Hoje!$L$1,Hoje!$L$2&gt;Semana!$M$3),1,0)))</f>
        <v>0</v>
      </c>
      <c r="AD268" s="39" t="n">
        <f aca="false">IF($F268="","",IF(COUNTA($I268:$K268)=0,0,1/COUNTA($I268:$K268)))</f>
        <v>0</v>
      </c>
      <c r="AE268" s="39" t="str">
        <f aca="false">IF($AH268=0,"",SUM($AH$4:$AH268))</f>
        <v/>
      </c>
      <c r="AF268" s="39" t="str">
        <f aca="false">IF($AI268=0,"",SUM($AI$4:$AI268))</f>
        <v/>
      </c>
      <c r="AG268" s="50" t="str">
        <f aca="false">IF($F268="","",$I268&amp;IF($J268="",""," · "&amp;$J268)&amp;IF($K268="",""," · "&amp;$K268))</f>
        <v/>
      </c>
      <c r="AH268" s="39" t="n">
        <f aca="false">IF(AND($F268&lt;&gt;"",$O268&lt;&gt;"",$O268&lt;=Hoje!$C$3,$P268&gt;=Hoje!$C$3,$R268&lt;&gt;"Cancelada"),1,0)</f>
        <v>0</v>
      </c>
      <c r="AI268" s="39" t="n">
        <f aca="false">IF(AND($F268&lt;&gt;"",$P268&lt;&gt;"",$P268&lt;Hoje!$C$3,$AB268=0,$R268&lt;&gt;"Cancelada"),1,0)</f>
        <v>0</v>
      </c>
      <c r="AJ268" s="50" t="str">
        <f aca="false">IF($F268="","",$D268&amp;"|"&amp;$E268&amp;"|"&amp;$L268)</f>
        <v>F-972|BAIXA DE PENDENCIAS|</v>
      </c>
      <c r="AK268" s="39" t="n">
        <f aca="false">IF($AJ268="","",COUNTIF($AJ$4:$AJ268,$AJ268))</f>
        <v>8</v>
      </c>
      <c r="AL268" s="39" t="n">
        <f aca="false">IF($AJ268="","",COUNTIF($AJ$4:$AJ$1004,$AJ268))</f>
        <v>11</v>
      </c>
      <c r="AM268" s="42"/>
      <c r="AN268" s="50" t="str">
        <f aca="false">IF($D268="","",IFERROR(T(VLOOKUP($D268,Listas!$B$5:$H$120,7,0)),""))</f>
        <v>Petro</v>
      </c>
      <c r="AO268" s="50" t="str">
        <f aca="false">IF(OR($F268="",$L268&lt;&gt;"",$R268="Cancelada",$AT268&lt;&gt;""),"",$AN268&amp;"|"&amp;$D268&amp;"|"&amp;IF($C268="","zzz",$C268)&amp;"|"&amp;TEXT(268,"0000"))</f>
        <v>Petro|F-972|007405|0268</v>
      </c>
      <c r="AP268" s="50" t="n">
        <f aca="false">IF($AO268="","",COUNTIF($AO$5:$AO$1004,"&lt;"&amp;$AO268)-(ROWS($AO$5:$AO$1004)-Hoje!$L$5)+1)</f>
        <v>95</v>
      </c>
      <c r="AQ268" s="50" t="n">
        <f aca="false">IF(AND($F268&lt;&gt;"",$D268=Frota!$C$3),1,0)</f>
        <v>0</v>
      </c>
      <c r="AR268" s="50" t="str">
        <f aca="false">IF($AQ268=0,"",SUM($AQ$4:$AQ268))</f>
        <v/>
      </c>
      <c r="AS268" s="50" t="str">
        <f aca="false">IFERROR(INDEX(Hoje!$K$10:$K$29,MATCH(ROW(),Hoje!$J$10:$J$29,0)),"")</f>
        <v/>
      </c>
      <c r="AT268" s="50" t="str">
        <f aca="false">IF($Q268&lt;&gt;"",$Q268,$AS268)</f>
        <v/>
      </c>
    </row>
    <row r="269" customFormat="false" ht="16.5" hidden="false" customHeight="true" outlineLevel="0" collapsed="false">
      <c r="A269" s="39" t="n">
        <f aca="false">IF($F269="","",ROW())</f>
        <v>269</v>
      </c>
      <c r="B269" s="40" t="str">
        <f aca="false">IF($F269="",IF($D269="","","Falta a atividade"),IF($R269="Cancelada","Cancelada",IF($AB269=1,IF(N($Z269)&gt;0,"Concluída com atraso","Concluída"),IF($R269="Em programação","Em programação",IF($O269="",IF($M269="","Na carteira","Falta a semana"),IF($AC269=1,"VENCIDA",IF($O269&gt;Hoje!$L$1,"Programada",IF($P269&gt;Hoje!$L$1,"Em execução","Fecha hoje"))))))))</f>
        <v>Na carteira</v>
      </c>
      <c r="C269" s="41" t="s">
        <v>667</v>
      </c>
      <c r="D269" s="42" t="s">
        <v>652</v>
      </c>
      <c r="E269" s="42" t="s">
        <v>452</v>
      </c>
      <c r="F269" s="42" t="s">
        <v>668</v>
      </c>
      <c r="G269" s="43" t="s">
        <v>80</v>
      </c>
      <c r="H269" s="43" t="s">
        <v>100</v>
      </c>
      <c r="I269" s="44"/>
      <c r="J269" s="44"/>
      <c r="K269" s="44"/>
      <c r="L269" s="45"/>
      <c r="M269" s="46"/>
      <c r="N269" s="45"/>
      <c r="O269" s="47" t="str">
        <f aca="false">IF(OR($L269="",$M269=""),"",(DATE(Semana!$J$3,1,4)-WEEKDAY(DATE(Semana!$J$3,1,4),3))+($L269-1)*7+MATCH($M269,Listas!$F$5:$F$11,0)-1)</f>
        <v/>
      </c>
      <c r="P269" s="47" t="str">
        <f aca="false">IF(OR($F269="",$O269=""),"",$O269+MAX(0,ROUNDUP($AK269*MAX(1,IF($N269="",1,$N269))/MAX(1,$AL269),0)-1))</f>
        <v/>
      </c>
      <c r="Q269" s="48"/>
      <c r="R269" s="43"/>
      <c r="S269" s="49"/>
      <c r="T269" s="42"/>
      <c r="U269" s="42"/>
      <c r="V269" s="39" t="str">
        <f aca="false">IF($F269="","",IF(ISNUMBER(SEARCH("(externo)",$I269&amp;$J269&amp;$K269)),"Terceirizada","Interna"))</f>
        <v>Interna</v>
      </c>
      <c r="W269" s="47" t="str">
        <f aca="false">IF($O269="","",IF($S269="",$O269,(DATE(Semana!$J$3,1,4)-WEEKDAY(DATE(Semana!$J$3,1,4),3))+($S269-1)*7+IF($M269="",0,MATCH($M269,Listas!$F$5:$F$11,0)-1)))</f>
        <v/>
      </c>
      <c r="X269" s="39" t="n">
        <f aca="false">IF($F269="","",IF(OR($AT269="",$O269=""),0,IF($AT269&lt;=$O269,1,0)))</f>
        <v>0</v>
      </c>
      <c r="Y269" s="39" t="n">
        <f aca="false">IF($F269="","",IF(OR($AT269="",$W269=""),0,IF($AT269&lt;=$W269,1,0)))</f>
        <v>0</v>
      </c>
      <c r="Z269" s="39" t="str">
        <f aca="false">IF(OR($AT269="",$O269=""),"",MAX(0,$AT269-$O269))</f>
        <v/>
      </c>
      <c r="AA269" s="39" t="n">
        <f aca="false">IF($F269="","",IF(AND($S269&lt;&gt;"",$L269&lt;&gt;"",$S269&lt;&gt;$L269),1,0))</f>
        <v>0</v>
      </c>
      <c r="AB269" s="39" t="n">
        <f aca="false">IF($F269="","",IF($R269="Cancelada",0,IF(OR($AT269&lt;&gt;"",$R269="Concluída"),1,0)))</f>
        <v>0</v>
      </c>
      <c r="AC269" s="39" t="n">
        <f aca="false">IF($P269="",0,IF($P269&lt;Hoje!$L$1,1,IF(AND($P269=Hoje!$L$1,Hoje!$L$2&gt;Semana!$M$3),1,0)))</f>
        <v>0</v>
      </c>
      <c r="AD269" s="39" t="n">
        <f aca="false">IF($F269="","",IF(COUNTA($I269:$K269)=0,0,1/COUNTA($I269:$K269)))</f>
        <v>0</v>
      </c>
      <c r="AE269" s="39" t="str">
        <f aca="false">IF($AH269=0,"",SUM($AH$4:$AH269))</f>
        <v/>
      </c>
      <c r="AF269" s="39" t="str">
        <f aca="false">IF($AI269=0,"",SUM($AI$4:$AI269))</f>
        <v/>
      </c>
      <c r="AG269" s="50" t="str">
        <f aca="false">IF($F269="","",$I269&amp;IF($J269="",""," · "&amp;$J269)&amp;IF($K269="",""," · "&amp;$K269))</f>
        <v/>
      </c>
      <c r="AH269" s="39" t="n">
        <f aca="false">IF(AND($F269&lt;&gt;"",$O269&lt;&gt;"",$O269&lt;=Hoje!$C$3,$P269&gt;=Hoje!$C$3,$R269&lt;&gt;"Cancelada"),1,0)</f>
        <v>0</v>
      </c>
      <c r="AI269" s="39" t="n">
        <f aca="false">IF(AND($F269&lt;&gt;"",$P269&lt;&gt;"",$P269&lt;Hoje!$C$3,$AB269=0,$R269&lt;&gt;"Cancelada"),1,0)</f>
        <v>0</v>
      </c>
      <c r="AJ269" s="50" t="str">
        <f aca="false">IF($F269="","",$D269&amp;"|"&amp;$E269&amp;"|"&amp;$L269)</f>
        <v>F-972|BAIXA DE PENDENCIAS|</v>
      </c>
      <c r="AK269" s="39" t="n">
        <f aca="false">IF($AJ269="","",COUNTIF($AJ$4:$AJ269,$AJ269))</f>
        <v>9</v>
      </c>
      <c r="AL269" s="39" t="n">
        <f aca="false">IF($AJ269="","",COUNTIF($AJ$4:$AJ$1004,$AJ269))</f>
        <v>11</v>
      </c>
      <c r="AM269" s="42"/>
      <c r="AN269" s="50" t="str">
        <f aca="false">IF($D269="","",IFERROR(T(VLOOKUP($D269,Listas!$B$5:$H$120,7,0)),""))</f>
        <v>Petro</v>
      </c>
      <c r="AO269" s="50" t="str">
        <f aca="false">IF(OR($F269="",$L269&lt;&gt;"",$R269="Cancelada",$AT269&lt;&gt;""),"",$AN269&amp;"|"&amp;$D269&amp;"|"&amp;IF($C269="","zzz",$C269)&amp;"|"&amp;TEXT(269,"0000"))</f>
        <v>Petro|F-972|007406|0269</v>
      </c>
      <c r="AP269" s="50" t="n">
        <f aca="false">IF($AO269="","",COUNTIF($AO$5:$AO$1004,"&lt;"&amp;$AO269)-(ROWS($AO$5:$AO$1004)-Hoje!$L$5)+1)</f>
        <v>96</v>
      </c>
      <c r="AQ269" s="50" t="n">
        <f aca="false">IF(AND($F269&lt;&gt;"",$D269=Frota!$C$3),1,0)</f>
        <v>0</v>
      </c>
      <c r="AR269" s="50" t="str">
        <f aca="false">IF($AQ269=0,"",SUM($AQ$4:$AQ269))</f>
        <v/>
      </c>
      <c r="AS269" s="50" t="str">
        <f aca="false">IFERROR(INDEX(Hoje!$K$10:$K$29,MATCH(ROW(),Hoje!$J$10:$J$29,0)),"")</f>
        <v/>
      </c>
      <c r="AT269" s="50" t="str">
        <f aca="false">IF($Q269&lt;&gt;"",$Q269,$AS269)</f>
        <v/>
      </c>
    </row>
    <row r="270" customFormat="false" ht="16.5" hidden="false" customHeight="true" outlineLevel="0" collapsed="false">
      <c r="A270" s="39" t="n">
        <f aca="false">IF($F270="","",ROW())</f>
        <v>270</v>
      </c>
      <c r="B270" s="40" t="str">
        <f aca="false">IF($F270="",IF($D270="","","Falta a atividade"),IF($R270="Cancelada","Cancelada",IF($AB270=1,IF(N($Z270)&gt;0,"Concluída com atraso","Concluída"),IF($R270="Em programação","Em programação",IF($O270="",IF($M270="","Na carteira","Falta a semana"),IF($AC270=1,"VENCIDA",IF($O270&gt;Hoje!$L$1,"Programada",IF($P270&gt;Hoje!$L$1,"Em execução","Fecha hoje"))))))))</f>
        <v>Na carteira</v>
      </c>
      <c r="C270" s="41" t="s">
        <v>669</v>
      </c>
      <c r="D270" s="42" t="s">
        <v>652</v>
      </c>
      <c r="E270" s="42" t="s">
        <v>452</v>
      </c>
      <c r="F270" s="42" t="s">
        <v>670</v>
      </c>
      <c r="G270" s="43" t="s">
        <v>80</v>
      </c>
      <c r="H270" s="43" t="s">
        <v>100</v>
      </c>
      <c r="I270" s="44"/>
      <c r="J270" s="44"/>
      <c r="K270" s="44"/>
      <c r="L270" s="45"/>
      <c r="M270" s="46"/>
      <c r="N270" s="45"/>
      <c r="O270" s="47" t="str">
        <f aca="false">IF(OR($L270="",$M270=""),"",(DATE(Semana!$J$3,1,4)-WEEKDAY(DATE(Semana!$J$3,1,4),3))+($L270-1)*7+MATCH($M270,Listas!$F$5:$F$11,0)-1)</f>
        <v/>
      </c>
      <c r="P270" s="47" t="str">
        <f aca="false">IF(OR($F270="",$O270=""),"",$O270+MAX(0,ROUNDUP($AK270*MAX(1,IF($N270="",1,$N270))/MAX(1,$AL270),0)-1))</f>
        <v/>
      </c>
      <c r="Q270" s="48"/>
      <c r="R270" s="43"/>
      <c r="S270" s="49"/>
      <c r="T270" s="42"/>
      <c r="U270" s="42"/>
      <c r="V270" s="39" t="str">
        <f aca="false">IF($F270="","",IF(ISNUMBER(SEARCH("(externo)",$I270&amp;$J270&amp;$K270)),"Terceirizada","Interna"))</f>
        <v>Interna</v>
      </c>
      <c r="W270" s="47" t="str">
        <f aca="false">IF($O270="","",IF($S270="",$O270,(DATE(Semana!$J$3,1,4)-WEEKDAY(DATE(Semana!$J$3,1,4),3))+($S270-1)*7+IF($M270="",0,MATCH($M270,Listas!$F$5:$F$11,0)-1)))</f>
        <v/>
      </c>
      <c r="X270" s="39" t="n">
        <f aca="false">IF($F270="","",IF(OR($AT270="",$O270=""),0,IF($AT270&lt;=$O270,1,0)))</f>
        <v>0</v>
      </c>
      <c r="Y270" s="39" t="n">
        <f aca="false">IF($F270="","",IF(OR($AT270="",$W270=""),0,IF($AT270&lt;=$W270,1,0)))</f>
        <v>0</v>
      </c>
      <c r="Z270" s="39" t="str">
        <f aca="false">IF(OR($AT270="",$O270=""),"",MAX(0,$AT270-$O270))</f>
        <v/>
      </c>
      <c r="AA270" s="39" t="n">
        <f aca="false">IF($F270="","",IF(AND($S270&lt;&gt;"",$L270&lt;&gt;"",$S270&lt;&gt;$L270),1,0))</f>
        <v>0</v>
      </c>
      <c r="AB270" s="39" t="n">
        <f aca="false">IF($F270="","",IF($R270="Cancelada",0,IF(OR($AT270&lt;&gt;"",$R270="Concluída"),1,0)))</f>
        <v>0</v>
      </c>
      <c r="AC270" s="39" t="n">
        <f aca="false">IF($P270="",0,IF($P270&lt;Hoje!$L$1,1,IF(AND($P270=Hoje!$L$1,Hoje!$L$2&gt;Semana!$M$3),1,0)))</f>
        <v>0</v>
      </c>
      <c r="AD270" s="39" t="n">
        <f aca="false">IF($F270="","",IF(COUNTA($I270:$K270)=0,0,1/COUNTA($I270:$K270)))</f>
        <v>0</v>
      </c>
      <c r="AE270" s="39" t="str">
        <f aca="false">IF($AH270=0,"",SUM($AH$4:$AH270))</f>
        <v/>
      </c>
      <c r="AF270" s="39" t="str">
        <f aca="false">IF($AI270=0,"",SUM($AI$4:$AI270))</f>
        <v/>
      </c>
      <c r="AG270" s="50" t="str">
        <f aca="false">IF($F270="","",$I270&amp;IF($J270="",""," · "&amp;$J270)&amp;IF($K270="",""," · "&amp;$K270))</f>
        <v/>
      </c>
      <c r="AH270" s="39" t="n">
        <f aca="false">IF(AND($F270&lt;&gt;"",$O270&lt;&gt;"",$O270&lt;=Hoje!$C$3,$P270&gt;=Hoje!$C$3,$R270&lt;&gt;"Cancelada"),1,0)</f>
        <v>0</v>
      </c>
      <c r="AI270" s="39" t="n">
        <f aca="false">IF(AND($F270&lt;&gt;"",$P270&lt;&gt;"",$P270&lt;Hoje!$C$3,$AB270=0,$R270&lt;&gt;"Cancelada"),1,0)</f>
        <v>0</v>
      </c>
      <c r="AJ270" s="50" t="str">
        <f aca="false">IF($F270="","",$D270&amp;"|"&amp;$E270&amp;"|"&amp;$L270)</f>
        <v>F-972|BAIXA DE PENDENCIAS|</v>
      </c>
      <c r="AK270" s="39" t="n">
        <f aca="false">IF($AJ270="","",COUNTIF($AJ$4:$AJ270,$AJ270))</f>
        <v>10</v>
      </c>
      <c r="AL270" s="39" t="n">
        <f aca="false">IF($AJ270="","",COUNTIF($AJ$4:$AJ$1004,$AJ270))</f>
        <v>11</v>
      </c>
      <c r="AM270" s="42"/>
      <c r="AN270" s="50" t="str">
        <f aca="false">IF($D270="","",IFERROR(T(VLOOKUP($D270,Listas!$B$5:$H$120,7,0)),""))</f>
        <v>Petro</v>
      </c>
      <c r="AO270" s="50" t="str">
        <f aca="false">IF(OR($F270="",$L270&lt;&gt;"",$R270="Cancelada",$AT270&lt;&gt;""),"",$AN270&amp;"|"&amp;$D270&amp;"|"&amp;IF($C270="","zzz",$C270)&amp;"|"&amp;TEXT(270,"0000"))</f>
        <v>Petro|F-972|007407|0270</v>
      </c>
      <c r="AP270" s="50" t="n">
        <f aca="false">IF($AO270="","",COUNTIF($AO$5:$AO$1004,"&lt;"&amp;$AO270)-(ROWS($AO$5:$AO$1004)-Hoje!$L$5)+1)</f>
        <v>97</v>
      </c>
      <c r="AQ270" s="50" t="n">
        <f aca="false">IF(AND($F270&lt;&gt;"",$D270=Frota!$C$3),1,0)</f>
        <v>0</v>
      </c>
      <c r="AR270" s="50" t="str">
        <f aca="false">IF($AQ270=0,"",SUM($AQ$4:$AQ270))</f>
        <v/>
      </c>
      <c r="AS270" s="50" t="str">
        <f aca="false">IFERROR(INDEX(Hoje!$K$10:$K$29,MATCH(ROW(),Hoje!$J$10:$J$29,0)),"")</f>
        <v/>
      </c>
      <c r="AT270" s="50" t="str">
        <f aca="false">IF($Q270&lt;&gt;"",$Q270,$AS270)</f>
        <v/>
      </c>
    </row>
    <row r="271" customFormat="false" ht="16.5" hidden="false" customHeight="true" outlineLevel="0" collapsed="false">
      <c r="A271" s="39" t="n">
        <f aca="false">IF($F271="","",ROW())</f>
        <v>271</v>
      </c>
      <c r="B271" s="40" t="str">
        <f aca="false">IF($F271="",IF($D271="","","Falta a atividade"),IF($R271="Cancelada","Cancelada",IF($AB271=1,IF(N($Z271)&gt;0,"Concluída com atraso","Concluída"),IF($R271="Em programação","Em programação",IF($O271="",IF($M271="","Na carteira","Falta a semana"),IF($AC271=1,"VENCIDA",IF($O271&gt;Hoje!$L$1,"Programada",IF($P271&gt;Hoje!$L$1,"Em execução","Fecha hoje"))))))))</f>
        <v>Na carteira</v>
      </c>
      <c r="C271" s="41" t="s">
        <v>671</v>
      </c>
      <c r="D271" s="42" t="s">
        <v>652</v>
      </c>
      <c r="E271" s="42" t="s">
        <v>452</v>
      </c>
      <c r="F271" s="42" t="s">
        <v>672</v>
      </c>
      <c r="G271" s="43" t="s">
        <v>80</v>
      </c>
      <c r="H271" s="43" t="s">
        <v>100</v>
      </c>
      <c r="I271" s="44"/>
      <c r="J271" s="44"/>
      <c r="K271" s="44"/>
      <c r="L271" s="45"/>
      <c r="M271" s="46"/>
      <c r="N271" s="45"/>
      <c r="O271" s="47" t="str">
        <f aca="false">IF(OR($L271="",$M271=""),"",(DATE(Semana!$J$3,1,4)-WEEKDAY(DATE(Semana!$J$3,1,4),3))+($L271-1)*7+MATCH($M271,Listas!$F$5:$F$11,0)-1)</f>
        <v/>
      </c>
      <c r="P271" s="47" t="str">
        <f aca="false">IF(OR($F271="",$O271=""),"",$O271+MAX(0,ROUNDUP($AK271*MAX(1,IF($N271="",1,$N271))/MAX(1,$AL271),0)-1))</f>
        <v/>
      </c>
      <c r="Q271" s="48"/>
      <c r="R271" s="43"/>
      <c r="S271" s="49"/>
      <c r="T271" s="42"/>
      <c r="U271" s="42"/>
      <c r="V271" s="39" t="str">
        <f aca="false">IF($F271="","",IF(ISNUMBER(SEARCH("(externo)",$I271&amp;$J271&amp;$K271)),"Terceirizada","Interna"))</f>
        <v>Interna</v>
      </c>
      <c r="W271" s="47" t="str">
        <f aca="false">IF($O271="","",IF($S271="",$O271,(DATE(Semana!$J$3,1,4)-WEEKDAY(DATE(Semana!$J$3,1,4),3))+($S271-1)*7+IF($M271="",0,MATCH($M271,Listas!$F$5:$F$11,0)-1)))</f>
        <v/>
      </c>
      <c r="X271" s="39" t="n">
        <f aca="false">IF($F271="","",IF(OR($AT271="",$O271=""),0,IF($AT271&lt;=$O271,1,0)))</f>
        <v>0</v>
      </c>
      <c r="Y271" s="39" t="n">
        <f aca="false">IF($F271="","",IF(OR($AT271="",$W271=""),0,IF($AT271&lt;=$W271,1,0)))</f>
        <v>0</v>
      </c>
      <c r="Z271" s="39" t="str">
        <f aca="false">IF(OR($AT271="",$O271=""),"",MAX(0,$AT271-$O271))</f>
        <v/>
      </c>
      <c r="AA271" s="39" t="n">
        <f aca="false">IF($F271="","",IF(AND($S271&lt;&gt;"",$L271&lt;&gt;"",$S271&lt;&gt;$L271),1,0))</f>
        <v>0</v>
      </c>
      <c r="AB271" s="39" t="n">
        <f aca="false">IF($F271="","",IF($R271="Cancelada",0,IF(OR($AT271&lt;&gt;"",$R271="Concluída"),1,0)))</f>
        <v>0</v>
      </c>
      <c r="AC271" s="39" t="n">
        <f aca="false">IF($P271="",0,IF($P271&lt;Hoje!$L$1,1,IF(AND($P271=Hoje!$L$1,Hoje!$L$2&gt;Semana!$M$3),1,0)))</f>
        <v>0</v>
      </c>
      <c r="AD271" s="39" t="n">
        <f aca="false">IF($F271="","",IF(COUNTA($I271:$K271)=0,0,1/COUNTA($I271:$K271)))</f>
        <v>0</v>
      </c>
      <c r="AE271" s="39" t="str">
        <f aca="false">IF($AH271=0,"",SUM($AH$4:$AH271))</f>
        <v/>
      </c>
      <c r="AF271" s="39" t="str">
        <f aca="false">IF($AI271=0,"",SUM($AI$4:$AI271))</f>
        <v/>
      </c>
      <c r="AG271" s="50" t="str">
        <f aca="false">IF($F271="","",$I271&amp;IF($J271="",""," · "&amp;$J271)&amp;IF($K271="",""," · "&amp;$K271))</f>
        <v/>
      </c>
      <c r="AH271" s="39" t="n">
        <f aca="false">IF(AND($F271&lt;&gt;"",$O271&lt;&gt;"",$O271&lt;=Hoje!$C$3,$P271&gt;=Hoje!$C$3,$R271&lt;&gt;"Cancelada"),1,0)</f>
        <v>0</v>
      </c>
      <c r="AI271" s="39" t="n">
        <f aca="false">IF(AND($F271&lt;&gt;"",$P271&lt;&gt;"",$P271&lt;Hoje!$C$3,$AB271=0,$R271&lt;&gt;"Cancelada"),1,0)</f>
        <v>0</v>
      </c>
      <c r="AJ271" s="50" t="str">
        <f aca="false">IF($F271="","",$D271&amp;"|"&amp;$E271&amp;"|"&amp;$L271)</f>
        <v>F-972|BAIXA DE PENDENCIAS|</v>
      </c>
      <c r="AK271" s="39" t="n">
        <f aca="false">IF($AJ271="","",COUNTIF($AJ$4:$AJ271,$AJ271))</f>
        <v>11</v>
      </c>
      <c r="AL271" s="39" t="n">
        <f aca="false">IF($AJ271="","",COUNTIF($AJ$4:$AJ$1004,$AJ271))</f>
        <v>11</v>
      </c>
      <c r="AM271" s="42"/>
      <c r="AN271" s="50" t="str">
        <f aca="false">IF($D271="","",IFERROR(T(VLOOKUP($D271,Listas!$B$5:$H$120,7,0)),""))</f>
        <v>Petro</v>
      </c>
      <c r="AO271" s="50" t="str">
        <f aca="false">IF(OR($F271="",$L271&lt;&gt;"",$R271="Cancelada",$AT271&lt;&gt;""),"",$AN271&amp;"|"&amp;$D271&amp;"|"&amp;IF($C271="","zzz",$C271)&amp;"|"&amp;TEXT(271,"0000"))</f>
        <v>Petro|F-972|007408|0271</v>
      </c>
      <c r="AP271" s="50" t="n">
        <f aca="false">IF($AO271="","",COUNTIF($AO$5:$AO$1004,"&lt;"&amp;$AO271)-(ROWS($AO$5:$AO$1004)-Hoje!$L$5)+1)</f>
        <v>98</v>
      </c>
      <c r="AQ271" s="50" t="n">
        <f aca="false">IF(AND($F271&lt;&gt;"",$D271=Frota!$C$3),1,0)</f>
        <v>0</v>
      </c>
      <c r="AR271" s="50" t="str">
        <f aca="false">IF($AQ271=0,"",SUM($AQ$4:$AQ271))</f>
        <v/>
      </c>
      <c r="AS271" s="50" t="str">
        <f aca="false">IFERROR(INDEX(Hoje!$K$10:$K$29,MATCH(ROW(),Hoje!$J$10:$J$29,0)),"")</f>
        <v/>
      </c>
      <c r="AT271" s="50" t="str">
        <f aca="false">IF($Q271&lt;&gt;"",$Q271,$AS271)</f>
        <v/>
      </c>
    </row>
    <row r="272" customFormat="false" ht="16.5" hidden="false" customHeight="true" outlineLevel="0" collapsed="false">
      <c r="A272" s="39" t="n">
        <f aca="false">IF($F272="","",ROW())</f>
        <v>272</v>
      </c>
      <c r="B272" s="40" t="str">
        <f aca="false">IF($F272="",IF($D272="","","Falta a atividade"),IF($R272="Cancelada","Cancelada",IF($AB272=1,IF(N($Z272)&gt;0,"Concluída com atraso","Concluída"),IF($R272="Em programação","Em programação",IF($O272="",IF($M272="","Na carteira","Falta a semana"),IF($AC272=1,"VENCIDA",IF($O272&gt;Hoje!$L$1,"Programada",IF($P272&gt;Hoje!$L$1,"Em execução","Fecha hoje"))))))))</f>
        <v>Concluída</v>
      </c>
      <c r="C272" s="41" t="s">
        <v>673</v>
      </c>
      <c r="D272" s="42" t="s">
        <v>461</v>
      </c>
      <c r="E272" s="42" t="s">
        <v>674</v>
      </c>
      <c r="F272" s="42" t="s">
        <v>675</v>
      </c>
      <c r="G272" s="43" t="s">
        <v>135</v>
      </c>
      <c r="H272" s="43" t="s">
        <v>81</v>
      </c>
      <c r="I272" s="44" t="s">
        <v>107</v>
      </c>
      <c r="J272" s="44"/>
      <c r="K272" s="44"/>
      <c r="L272" s="45" t="n">
        <v>36</v>
      </c>
      <c r="M272" s="46" t="s">
        <v>142</v>
      </c>
      <c r="N272" s="45" t="n">
        <v>5</v>
      </c>
      <c r="O272" s="47" t="n">
        <f aca="false">IF(OR($L272="",$M272=""),"",(DATE(Semana!$J$3,1,4)-WEEKDAY(DATE(Semana!$J$3,1,4),3))+($L272-1)*7+MATCH($M272,Listas!$F$5:$F$11,0)-1)</f>
        <v>46269</v>
      </c>
      <c r="P272" s="47" t="n">
        <f aca="false">IF(OR($F272="",$O272=""),"",$O272+MAX(0,ROUNDUP($AK272*MAX(1,IF($N272="",1,$N272))/MAX(1,$AL272),0)-1))</f>
        <v>46271</v>
      </c>
      <c r="Q272" s="48" t="n">
        <v>46269</v>
      </c>
      <c r="R272" s="43" t="s">
        <v>85</v>
      </c>
      <c r="S272" s="49"/>
      <c r="T272" s="42"/>
      <c r="U272" s="42"/>
      <c r="V272" s="39" t="str">
        <f aca="false">IF($F272="","",IF(ISNUMBER(SEARCH("(externo)",$I272&amp;$J272&amp;$K272)),"Terceirizada","Interna"))</f>
        <v>Interna</v>
      </c>
      <c r="W272" s="47" t="n">
        <f aca="false">IF($O272="","",IF($S272="",$O272,(DATE(Semana!$J$3,1,4)-WEEKDAY(DATE(Semana!$J$3,1,4),3))+($S272-1)*7+IF($M272="",0,MATCH($M272,Listas!$F$5:$F$11,0)-1)))</f>
        <v>46269</v>
      </c>
      <c r="X272" s="39" t="n">
        <f aca="false">IF($F272="","",IF(OR($AT272="",$O272=""),0,IF($AT272&lt;=$O272,1,0)))</f>
        <v>1</v>
      </c>
      <c r="Y272" s="39" t="n">
        <f aca="false">IF($F272="","",IF(OR($AT272="",$W272=""),0,IF($AT272&lt;=$W272,1,0)))</f>
        <v>1</v>
      </c>
      <c r="Z272" s="39" t="n">
        <f aca="false">IF(OR($AT272="",$O272=""),"",MAX(0,$AT272-$O272))</f>
        <v>0</v>
      </c>
      <c r="AA272" s="39" t="n">
        <f aca="false">IF($F272="","",IF(AND($S272&lt;&gt;"",$L272&lt;&gt;"",$S272&lt;&gt;$L272),1,0))</f>
        <v>0</v>
      </c>
      <c r="AB272" s="39" t="n">
        <f aca="false">IF($F272="","",IF($R272="Cancelada",0,IF(OR($AT272&lt;&gt;"",$R272="Concluída"),1,0)))</f>
        <v>1</v>
      </c>
      <c r="AC272" s="39" t="n">
        <f aca="false">IF($P272="",0,IF($P272&lt;Hoje!$L$1,1,IF(AND($P272=Hoje!$L$1,Hoje!$L$2&gt;Semana!$M$3),1,0)))</f>
        <v>1</v>
      </c>
      <c r="AD272" s="39" t="n">
        <f aca="false">IF($F272="","",IF(COUNTA($I272:$K272)=0,0,1/COUNTA($I272:$K272)))</f>
        <v>1</v>
      </c>
      <c r="AE272" s="39" t="str">
        <f aca="false">IF($AH272=0,"",SUM($AH$4:$AH272))</f>
        <v/>
      </c>
      <c r="AF272" s="39" t="str">
        <f aca="false">IF($AI272=0,"",SUM($AI$4:$AI272))</f>
        <v/>
      </c>
      <c r="AG272" s="50" t="str">
        <f aca="false">IF($F272="","",$I272&amp;IF($J272="",""," · "&amp;$J272)&amp;IF($K272="",""," · "&amp;$K272))</f>
        <v>Gabriel</v>
      </c>
      <c r="AH272" s="39" t="n">
        <f aca="false">IF(AND($F272&lt;&gt;"",$O272&lt;&gt;"",$O272&lt;=Hoje!$C$3,$P272&gt;=Hoje!$C$3,$R272&lt;&gt;"Cancelada"),1,0)</f>
        <v>0</v>
      </c>
      <c r="AI272" s="39" t="n">
        <f aca="false">IF(AND($F272&lt;&gt;"",$P272&lt;&gt;"",$P272&lt;Hoje!$C$3,$AB272=0,$R272&lt;&gt;"Cancelada"),1,0)</f>
        <v>0</v>
      </c>
      <c r="AJ272" s="50" t="str">
        <f aca="false">IF($F272="","",$D272&amp;"|"&amp;$E272&amp;"|"&amp;$L272)</f>
        <v>F-814|Programação 04/09|36</v>
      </c>
      <c r="AK272" s="39" t="n">
        <f aca="false">IF($AJ272="","",COUNTIF($AJ$4:$AJ272,$AJ272))</f>
        <v>1</v>
      </c>
      <c r="AL272" s="39" t="n">
        <f aca="false">IF($AJ272="","",COUNTIF($AJ$4:$AJ$1004,$AJ272))</f>
        <v>2</v>
      </c>
      <c r="AM272" s="42"/>
      <c r="AN272" s="50" t="str">
        <f aca="false">IF($D272="","",IFERROR(T(VLOOKUP($D272,Listas!$B$5:$H$120,7,0)),""))</f>
        <v/>
      </c>
      <c r="AO272" s="50" t="str">
        <f aca="false">IF(OR($F272="",$L272&lt;&gt;"",$R272="Cancelada",$AT272&lt;&gt;""),"",$AN272&amp;"|"&amp;$D272&amp;"|"&amp;IF($C272="","zzz",$C272)&amp;"|"&amp;TEXT(272,"0000"))</f>
        <v/>
      </c>
      <c r="AP272" s="50" t="str">
        <f aca="false">IF($AO272="","",COUNTIF($AO$5:$AO$1004,"&lt;"&amp;$AO272)-(ROWS($AO$5:$AO$1004)-Hoje!$L$5)+1)</f>
        <v/>
      </c>
      <c r="AQ272" s="50" t="n">
        <f aca="false">IF(AND($F272&lt;&gt;"",$D272=Frota!$C$3),1,0)</f>
        <v>0</v>
      </c>
      <c r="AR272" s="50" t="str">
        <f aca="false">IF($AQ272=0,"",SUM($AQ$4:$AQ272))</f>
        <v/>
      </c>
      <c r="AS272" s="50" t="str">
        <f aca="false">IFERROR(INDEX(Hoje!$K$10:$K$29,MATCH(ROW(),Hoje!$J$10:$J$29,0)),"")</f>
        <v/>
      </c>
      <c r="AT272" s="47" t="n">
        <f aca="false">IF($Q272&lt;&gt;"",$Q272,$AS272)</f>
        <v>46269</v>
      </c>
    </row>
    <row r="273" customFormat="false" ht="16.5" hidden="false" customHeight="true" outlineLevel="0" collapsed="false">
      <c r="A273" s="39" t="n">
        <f aca="false">IF($F273="","",ROW())</f>
        <v>273</v>
      </c>
      <c r="B273" s="40" t="str">
        <f aca="false">IF($F273="",IF($D273="","","Falta a atividade"),IF($R273="Cancelada","Cancelada",IF($AB273=1,IF(N($Z273)&gt;0,"Concluída com atraso","Concluída"),IF($R273="Em programação","Em programação",IF($O273="",IF($M273="","Na carteira","Falta a semana"),IF($AC273=1,"VENCIDA",IF($O273&gt;Hoje!$L$1,"Programada",IF($P273&gt;Hoje!$L$1,"Em execução","Fecha hoje"))))))))</f>
        <v>Concluída</v>
      </c>
      <c r="C273" s="41" t="s">
        <v>676</v>
      </c>
      <c r="D273" s="42" t="s">
        <v>281</v>
      </c>
      <c r="E273" s="42" t="s">
        <v>674</v>
      </c>
      <c r="F273" s="42" t="s">
        <v>675</v>
      </c>
      <c r="G273" s="43" t="s">
        <v>135</v>
      </c>
      <c r="H273" s="43" t="s">
        <v>81</v>
      </c>
      <c r="I273" s="44" t="s">
        <v>107</v>
      </c>
      <c r="J273" s="44"/>
      <c r="K273" s="44"/>
      <c r="L273" s="45" t="n">
        <v>36</v>
      </c>
      <c r="M273" s="46" t="s">
        <v>142</v>
      </c>
      <c r="N273" s="45" t="n">
        <v>1</v>
      </c>
      <c r="O273" s="47" t="n">
        <f aca="false">IF(OR($L273="",$M273=""),"",(DATE(Semana!$J$3,1,4)-WEEKDAY(DATE(Semana!$J$3,1,4),3))+($L273-1)*7+MATCH($M273,Listas!$F$5:$F$11,0)-1)</f>
        <v>46269</v>
      </c>
      <c r="P273" s="47" t="n">
        <f aca="false">IF(OR($F273="",$O273=""),"",$O273+MAX(0,ROUNDUP($AK273*MAX(1,IF($N273="",1,$N273))/MAX(1,$AL273),0)-1))</f>
        <v>46269</v>
      </c>
      <c r="Q273" s="48" t="n">
        <v>46269</v>
      </c>
      <c r="R273" s="43" t="s">
        <v>85</v>
      </c>
      <c r="S273" s="49"/>
      <c r="T273" s="42"/>
      <c r="U273" s="42"/>
      <c r="V273" s="39" t="str">
        <f aca="false">IF($F273="","",IF(ISNUMBER(SEARCH("(externo)",$I273&amp;$J273&amp;$K273)),"Terceirizada","Interna"))</f>
        <v>Interna</v>
      </c>
      <c r="W273" s="47" t="n">
        <f aca="false">IF($O273="","",IF($S273="",$O273,(DATE(Semana!$J$3,1,4)-WEEKDAY(DATE(Semana!$J$3,1,4),3))+($S273-1)*7+IF($M273="",0,MATCH($M273,Listas!$F$5:$F$11,0)-1)))</f>
        <v>46269</v>
      </c>
      <c r="X273" s="39" t="n">
        <f aca="false">IF($F273="","",IF(OR($AT273="",$O273=""),0,IF($AT273&lt;=$O273,1,0)))</f>
        <v>1</v>
      </c>
      <c r="Y273" s="39" t="n">
        <f aca="false">IF($F273="","",IF(OR($AT273="",$W273=""),0,IF($AT273&lt;=$W273,1,0)))</f>
        <v>1</v>
      </c>
      <c r="Z273" s="39" t="n">
        <f aca="false">IF(OR($AT273="",$O273=""),"",MAX(0,$AT273-$O273))</f>
        <v>0</v>
      </c>
      <c r="AA273" s="39" t="n">
        <f aca="false">IF($F273="","",IF(AND($S273&lt;&gt;"",$L273&lt;&gt;"",$S273&lt;&gt;$L273),1,0))</f>
        <v>0</v>
      </c>
      <c r="AB273" s="39" t="n">
        <f aca="false">IF($F273="","",IF($R273="Cancelada",0,IF(OR($AT273&lt;&gt;"",$R273="Concluída"),1,0)))</f>
        <v>1</v>
      </c>
      <c r="AC273" s="39" t="n">
        <f aca="false">IF($P273="",0,IF($P273&lt;Hoje!$L$1,1,IF(AND($P273=Hoje!$L$1,Hoje!$L$2&gt;Semana!$M$3),1,0)))</f>
        <v>1</v>
      </c>
      <c r="AD273" s="39" t="n">
        <f aca="false">IF($F273="","",IF(COUNTA($I273:$K273)=0,0,1/COUNTA($I273:$K273)))</f>
        <v>1</v>
      </c>
      <c r="AE273" s="39" t="str">
        <f aca="false">IF($AH273=0,"",SUM($AH$4:$AH273))</f>
        <v/>
      </c>
      <c r="AF273" s="39" t="str">
        <f aca="false">IF($AI273=0,"",SUM($AI$4:$AI273))</f>
        <v/>
      </c>
      <c r="AG273" s="50" t="str">
        <f aca="false">IF($F273="","",$I273&amp;IF($J273="",""," · "&amp;$J273)&amp;IF($K273="",""," · "&amp;$K273))</f>
        <v>Gabriel</v>
      </c>
      <c r="AH273" s="39" t="n">
        <f aca="false">IF(AND($F273&lt;&gt;"",$O273&lt;&gt;"",$O273&lt;=Hoje!$C$3,$P273&gt;=Hoje!$C$3,$R273&lt;&gt;"Cancelada"),1,0)</f>
        <v>0</v>
      </c>
      <c r="AI273" s="39" t="n">
        <f aca="false">IF(AND($F273&lt;&gt;"",$P273&lt;&gt;"",$P273&lt;Hoje!$C$3,$AB273=0,$R273&lt;&gt;"Cancelada"),1,0)</f>
        <v>0</v>
      </c>
      <c r="AJ273" s="50" t="str">
        <f aca="false">IF($F273="","",$D273&amp;"|"&amp;$E273&amp;"|"&amp;$L273)</f>
        <v>F-815|Programação 04/09|36</v>
      </c>
      <c r="AK273" s="39" t="n">
        <f aca="false">IF($AJ273="","",COUNTIF($AJ$4:$AJ273,$AJ273))</f>
        <v>1</v>
      </c>
      <c r="AL273" s="39" t="n">
        <f aca="false">IF($AJ273="","",COUNTIF($AJ$4:$AJ$1004,$AJ273))</f>
        <v>1</v>
      </c>
      <c r="AM273" s="42"/>
      <c r="AN273" s="50" t="str">
        <f aca="false">IF($D273="","",IFERROR(T(VLOOKUP($D273,Listas!$B$5:$H$120,7,0)),""))</f>
        <v/>
      </c>
      <c r="AO273" s="50" t="str">
        <f aca="false">IF(OR($F273="",$L273&lt;&gt;"",$R273="Cancelada",$AT273&lt;&gt;""),"",$AN273&amp;"|"&amp;$D273&amp;"|"&amp;IF($C273="","zzz",$C273)&amp;"|"&amp;TEXT(273,"0000"))</f>
        <v/>
      </c>
      <c r="AP273" s="50" t="str">
        <f aca="false">IF($AO273="","",COUNTIF($AO$5:$AO$1004,"&lt;"&amp;$AO273)-(ROWS($AO$5:$AO$1004)-Hoje!$L$5)+1)</f>
        <v/>
      </c>
      <c r="AQ273" s="50" t="n">
        <f aca="false">IF(AND($F273&lt;&gt;"",$D273=Frota!$C$3),1,0)</f>
        <v>0</v>
      </c>
      <c r="AR273" s="50" t="str">
        <f aca="false">IF($AQ273=0,"",SUM($AQ$4:$AQ273))</f>
        <v/>
      </c>
      <c r="AS273" s="50" t="str">
        <f aca="false">IFERROR(INDEX(Hoje!$K$10:$K$29,MATCH(ROW(),Hoje!$J$10:$J$29,0)),"")</f>
        <v/>
      </c>
      <c r="AT273" s="47" t="n">
        <f aca="false">IF($Q273&lt;&gt;"",$Q273,$AS273)</f>
        <v>46269</v>
      </c>
    </row>
    <row r="274" customFormat="false" ht="16.5" hidden="false" customHeight="true" outlineLevel="0" collapsed="false">
      <c r="A274" s="39" t="n">
        <f aca="false">IF($F274="","",ROW())</f>
        <v>274</v>
      </c>
      <c r="B274" s="40" t="str">
        <f aca="false">IF($F274="",IF($D274="","","Falta a atividade"),IF($R274="Cancelada","Cancelada",IF($AB274=1,IF(N($Z274)&gt;0,"Concluída com atraso","Concluída"),IF($R274="Em programação","Em programação",IF($O274="",IF($M274="","Na carteira","Falta a semana"),IF($AC274=1,"VENCIDA",IF($O274&gt;Hoje!$L$1,"Programada",IF($P274&gt;Hoje!$L$1,"Em execução","Fecha hoje"))))))))</f>
        <v>Concluída</v>
      </c>
      <c r="C274" s="41" t="s">
        <v>677</v>
      </c>
      <c r="D274" s="42" t="s">
        <v>134</v>
      </c>
      <c r="E274" s="42" t="s">
        <v>674</v>
      </c>
      <c r="F274" s="42" t="s">
        <v>675</v>
      </c>
      <c r="G274" s="43" t="s">
        <v>135</v>
      </c>
      <c r="H274" s="43" t="s">
        <v>81</v>
      </c>
      <c r="I274" s="44" t="s">
        <v>107</v>
      </c>
      <c r="J274" s="44"/>
      <c r="K274" s="44"/>
      <c r="L274" s="45" t="n">
        <v>36</v>
      </c>
      <c r="M274" s="46" t="s">
        <v>142</v>
      </c>
      <c r="N274" s="45" t="n">
        <v>1</v>
      </c>
      <c r="O274" s="47" t="n">
        <f aca="false">IF(OR($L274="",$M274=""),"",(DATE(Semana!$J$3,1,4)-WEEKDAY(DATE(Semana!$J$3,1,4),3))+($L274-1)*7+MATCH($M274,Listas!$F$5:$F$11,0)-1)</f>
        <v>46269</v>
      </c>
      <c r="P274" s="47" t="n">
        <f aca="false">IF(OR($F274="",$O274=""),"",$O274+MAX(0,ROUNDUP($AK274*MAX(1,IF($N274="",1,$N274))/MAX(1,$AL274),0)-1))</f>
        <v>46269</v>
      </c>
      <c r="Q274" s="48" t="n">
        <v>46269</v>
      </c>
      <c r="R274" s="43" t="s">
        <v>85</v>
      </c>
      <c r="S274" s="49"/>
      <c r="T274" s="42"/>
      <c r="U274" s="42"/>
      <c r="V274" s="39" t="str">
        <f aca="false">IF($F274="","",IF(ISNUMBER(SEARCH("(externo)",$I274&amp;$J274&amp;$K274)),"Terceirizada","Interna"))</f>
        <v>Interna</v>
      </c>
      <c r="W274" s="47" t="n">
        <f aca="false">IF($O274="","",IF($S274="",$O274,(DATE(Semana!$J$3,1,4)-WEEKDAY(DATE(Semana!$J$3,1,4),3))+($S274-1)*7+IF($M274="",0,MATCH($M274,Listas!$F$5:$F$11,0)-1)))</f>
        <v>46269</v>
      </c>
      <c r="X274" s="39" t="n">
        <f aca="false">IF($F274="","",IF(OR($AT274="",$O274=""),0,IF($AT274&lt;=$O274,1,0)))</f>
        <v>1</v>
      </c>
      <c r="Y274" s="39" t="n">
        <f aca="false">IF($F274="","",IF(OR($AT274="",$W274=""),0,IF($AT274&lt;=$W274,1,0)))</f>
        <v>1</v>
      </c>
      <c r="Z274" s="39" t="n">
        <f aca="false">IF(OR($AT274="",$O274=""),"",MAX(0,$AT274-$O274))</f>
        <v>0</v>
      </c>
      <c r="AA274" s="39" t="n">
        <f aca="false">IF($F274="","",IF(AND($S274&lt;&gt;"",$L274&lt;&gt;"",$S274&lt;&gt;$L274),1,0))</f>
        <v>0</v>
      </c>
      <c r="AB274" s="39" t="n">
        <f aca="false">IF($F274="","",IF($R274="Cancelada",0,IF(OR($AT274&lt;&gt;"",$R274="Concluída"),1,0)))</f>
        <v>1</v>
      </c>
      <c r="AC274" s="39" t="n">
        <f aca="false">IF($P274="",0,IF($P274&lt;Hoje!$L$1,1,IF(AND($P274=Hoje!$L$1,Hoje!$L$2&gt;Semana!$M$3),1,0)))</f>
        <v>1</v>
      </c>
      <c r="AD274" s="39" t="n">
        <f aca="false">IF($F274="","",IF(COUNTA($I274:$K274)=0,0,1/COUNTA($I274:$K274)))</f>
        <v>1</v>
      </c>
      <c r="AE274" s="39" t="str">
        <f aca="false">IF($AH274=0,"",SUM($AH$4:$AH274))</f>
        <v/>
      </c>
      <c r="AF274" s="39" t="str">
        <f aca="false">IF($AI274=0,"",SUM($AI$4:$AI274))</f>
        <v/>
      </c>
      <c r="AG274" s="50" t="str">
        <f aca="false">IF($F274="","",$I274&amp;IF($J274="",""," · "&amp;$J274)&amp;IF($K274="",""," · "&amp;$K274))</f>
        <v>Gabriel</v>
      </c>
      <c r="AH274" s="39" t="n">
        <f aca="false">IF(AND($F274&lt;&gt;"",$O274&lt;&gt;"",$O274&lt;=Hoje!$C$3,$P274&gt;=Hoje!$C$3,$R274&lt;&gt;"Cancelada"),1,0)</f>
        <v>0</v>
      </c>
      <c r="AI274" s="39" t="n">
        <f aca="false">IF(AND($F274&lt;&gt;"",$P274&lt;&gt;"",$P274&lt;Hoje!$C$3,$AB274=0,$R274&lt;&gt;"Cancelada"),1,0)</f>
        <v>0</v>
      </c>
      <c r="AJ274" s="50" t="str">
        <f aca="false">IF($F274="","",$D274&amp;"|"&amp;$E274&amp;"|"&amp;$L274)</f>
        <v>F-331|Programação 04/09|36</v>
      </c>
      <c r="AK274" s="39" t="n">
        <f aca="false">IF($AJ274="","",COUNTIF($AJ$4:$AJ274,$AJ274))</f>
        <v>1</v>
      </c>
      <c r="AL274" s="39" t="n">
        <f aca="false">IF($AJ274="","",COUNTIF($AJ$4:$AJ$1004,$AJ274))</f>
        <v>1</v>
      </c>
      <c r="AM274" s="42"/>
      <c r="AN274" s="50" t="str">
        <f aca="false">IF($D274="","",IFERROR(T(VLOOKUP($D274,Listas!$B$5:$H$120,7,0)),""))</f>
        <v/>
      </c>
      <c r="AO274" s="50" t="str">
        <f aca="false">IF(OR($F274="",$L274&lt;&gt;"",$R274="Cancelada",$AT274&lt;&gt;""),"",$AN274&amp;"|"&amp;$D274&amp;"|"&amp;IF($C274="","zzz",$C274)&amp;"|"&amp;TEXT(274,"0000"))</f>
        <v/>
      </c>
      <c r="AP274" s="50" t="str">
        <f aca="false">IF($AO274="","",COUNTIF($AO$5:$AO$1004,"&lt;"&amp;$AO274)-(ROWS($AO$5:$AO$1004)-Hoje!$L$5)+1)</f>
        <v/>
      </c>
      <c r="AQ274" s="50" t="n">
        <f aca="false">IF(AND($F274&lt;&gt;"",$D274=Frota!$C$3),1,0)</f>
        <v>0</v>
      </c>
      <c r="AR274" s="50" t="str">
        <f aca="false">IF($AQ274=0,"",SUM($AQ$4:$AQ274))</f>
        <v/>
      </c>
      <c r="AS274" s="50" t="str">
        <f aca="false">IFERROR(INDEX(Hoje!$K$10:$K$29,MATCH(ROW(),Hoje!$J$10:$J$29,0)),"")</f>
        <v/>
      </c>
      <c r="AT274" s="47" t="n">
        <f aca="false">IF($Q274&lt;&gt;"",$Q274,$AS274)</f>
        <v>46269</v>
      </c>
    </row>
    <row r="275" customFormat="false" ht="16.5" hidden="false" customHeight="true" outlineLevel="0" collapsed="false">
      <c r="A275" s="39" t="n">
        <f aca="false">IF($F275="","",ROW())</f>
        <v>275</v>
      </c>
      <c r="B275" s="40" t="str">
        <f aca="false">IF($F275="",IF($D275="","","Falta a atividade"),IF($R275="Cancelada","Cancelada",IF($AB275=1,IF(N($Z275)&gt;0,"Concluída com atraso","Concluída"),IF($R275="Em programação","Em programação",IF($O275="",IF($M275="","Na carteira","Falta a semana"),IF($AC275=1,"VENCIDA",IF($O275&gt;Hoje!$L$1,"Programada",IF($P275&gt;Hoje!$L$1,"Em execução","Fecha hoje"))))))))</f>
        <v>Concluída</v>
      </c>
      <c r="C275" s="41" t="s">
        <v>678</v>
      </c>
      <c r="D275" s="42" t="s">
        <v>177</v>
      </c>
      <c r="E275" s="42" t="s">
        <v>674</v>
      </c>
      <c r="F275" s="42" t="s">
        <v>675</v>
      </c>
      <c r="G275" s="43" t="s">
        <v>135</v>
      </c>
      <c r="H275" s="43" t="s">
        <v>81</v>
      </c>
      <c r="I275" s="44" t="s">
        <v>107</v>
      </c>
      <c r="J275" s="44"/>
      <c r="K275" s="44"/>
      <c r="L275" s="45" t="n">
        <v>36</v>
      </c>
      <c r="M275" s="46" t="s">
        <v>142</v>
      </c>
      <c r="N275" s="45" t="n">
        <v>1</v>
      </c>
      <c r="O275" s="47" t="n">
        <f aca="false">IF(OR($L275="",$M275=""),"",(DATE(Semana!$J$3,1,4)-WEEKDAY(DATE(Semana!$J$3,1,4),3))+($L275-1)*7+MATCH($M275,Listas!$F$5:$F$11,0)-1)</f>
        <v>46269</v>
      </c>
      <c r="P275" s="47" t="n">
        <f aca="false">IF(OR($F275="",$O275=""),"",$O275+MAX(0,ROUNDUP($AK275*MAX(1,IF($N275="",1,$N275))/MAX(1,$AL275),0)-1))</f>
        <v>46269</v>
      </c>
      <c r="Q275" s="48" t="n">
        <v>46269</v>
      </c>
      <c r="R275" s="43" t="s">
        <v>85</v>
      </c>
      <c r="S275" s="49"/>
      <c r="T275" s="42"/>
      <c r="U275" s="42"/>
      <c r="V275" s="39" t="str">
        <f aca="false">IF($F275="","",IF(ISNUMBER(SEARCH("(externo)",$I275&amp;$J275&amp;$K275)),"Terceirizada","Interna"))</f>
        <v>Interna</v>
      </c>
      <c r="W275" s="47" t="n">
        <f aca="false">IF($O275="","",IF($S275="",$O275,(DATE(Semana!$J$3,1,4)-WEEKDAY(DATE(Semana!$J$3,1,4),3))+($S275-1)*7+IF($M275="",0,MATCH($M275,Listas!$F$5:$F$11,0)-1)))</f>
        <v>46269</v>
      </c>
      <c r="X275" s="39" t="n">
        <f aca="false">IF($F275="","",IF(OR($AT275="",$O275=""),0,IF($AT275&lt;=$O275,1,0)))</f>
        <v>1</v>
      </c>
      <c r="Y275" s="39" t="n">
        <f aca="false">IF($F275="","",IF(OR($AT275="",$W275=""),0,IF($AT275&lt;=$W275,1,0)))</f>
        <v>1</v>
      </c>
      <c r="Z275" s="39" t="n">
        <f aca="false">IF(OR($AT275="",$O275=""),"",MAX(0,$AT275-$O275))</f>
        <v>0</v>
      </c>
      <c r="AA275" s="39" t="n">
        <f aca="false">IF($F275="","",IF(AND($S275&lt;&gt;"",$L275&lt;&gt;"",$S275&lt;&gt;$L275),1,0))</f>
        <v>0</v>
      </c>
      <c r="AB275" s="39" t="n">
        <f aca="false">IF($F275="","",IF($R275="Cancelada",0,IF(OR($AT275&lt;&gt;"",$R275="Concluída"),1,0)))</f>
        <v>1</v>
      </c>
      <c r="AC275" s="39" t="n">
        <f aca="false">IF($P275="",0,IF($P275&lt;Hoje!$L$1,1,IF(AND($P275=Hoje!$L$1,Hoje!$L$2&gt;Semana!$M$3),1,0)))</f>
        <v>1</v>
      </c>
      <c r="AD275" s="39" t="n">
        <f aca="false">IF($F275="","",IF(COUNTA($I275:$K275)=0,0,1/COUNTA($I275:$K275)))</f>
        <v>1</v>
      </c>
      <c r="AE275" s="39" t="str">
        <f aca="false">IF($AH275=0,"",SUM($AH$4:$AH275))</f>
        <v/>
      </c>
      <c r="AF275" s="39" t="str">
        <f aca="false">IF($AI275=0,"",SUM($AI$4:$AI275))</f>
        <v/>
      </c>
      <c r="AG275" s="50" t="str">
        <f aca="false">IF($F275="","",$I275&amp;IF($J275="",""," · "&amp;$J275)&amp;IF($K275="",""," · "&amp;$K275))</f>
        <v>Gabriel</v>
      </c>
      <c r="AH275" s="39" t="n">
        <f aca="false">IF(AND($F275&lt;&gt;"",$O275&lt;&gt;"",$O275&lt;=Hoje!$C$3,$P275&gt;=Hoje!$C$3,$R275&lt;&gt;"Cancelada"),1,0)</f>
        <v>0</v>
      </c>
      <c r="AI275" s="39" t="n">
        <f aca="false">IF(AND($F275&lt;&gt;"",$P275&lt;&gt;"",$P275&lt;Hoje!$C$3,$AB275=0,$R275&lt;&gt;"Cancelada"),1,0)</f>
        <v>0</v>
      </c>
      <c r="AJ275" s="50" t="str">
        <f aca="false">IF($F275="","",$D275&amp;"|"&amp;$E275&amp;"|"&amp;$L275)</f>
        <v>F-617|Programação 04/09|36</v>
      </c>
      <c r="AK275" s="39" t="n">
        <f aca="false">IF($AJ275="","",COUNTIF($AJ$4:$AJ275,$AJ275))</f>
        <v>1</v>
      </c>
      <c r="AL275" s="39" t="n">
        <f aca="false">IF($AJ275="","",COUNTIF($AJ$4:$AJ$1004,$AJ275))</f>
        <v>2</v>
      </c>
      <c r="AM275" s="42"/>
      <c r="AN275" s="50" t="str">
        <f aca="false">IF($D275="","",IFERROR(T(VLOOKUP($D275,Listas!$B$5:$H$120,7,0)),""))</f>
        <v/>
      </c>
      <c r="AO275" s="50" t="str">
        <f aca="false">IF(OR($F275="",$L275&lt;&gt;"",$R275="Cancelada",$AT275&lt;&gt;""),"",$AN275&amp;"|"&amp;$D275&amp;"|"&amp;IF($C275="","zzz",$C275)&amp;"|"&amp;TEXT(275,"0000"))</f>
        <v/>
      </c>
      <c r="AP275" s="50" t="str">
        <f aca="false">IF($AO275="","",COUNTIF($AO$5:$AO$1004,"&lt;"&amp;$AO275)-(ROWS($AO$5:$AO$1004)-Hoje!$L$5)+1)</f>
        <v/>
      </c>
      <c r="AQ275" s="50" t="n">
        <f aca="false">IF(AND($F275&lt;&gt;"",$D275=Frota!$C$3),1,0)</f>
        <v>0</v>
      </c>
      <c r="AR275" s="50" t="str">
        <f aca="false">IF($AQ275=0,"",SUM($AQ$4:$AQ275))</f>
        <v/>
      </c>
      <c r="AS275" s="50" t="str">
        <f aca="false">IFERROR(INDEX(Hoje!$K$10:$K$29,MATCH(ROW(),Hoje!$J$10:$J$29,0)),"")</f>
        <v/>
      </c>
      <c r="AT275" s="47" t="n">
        <f aca="false">IF($Q275&lt;&gt;"",$Q275,$AS275)</f>
        <v>46269</v>
      </c>
    </row>
    <row r="276" customFormat="false" ht="16.5" hidden="false" customHeight="true" outlineLevel="0" collapsed="false">
      <c r="A276" s="39" t="n">
        <f aca="false">IF($F276="","",ROW())</f>
        <v>276</v>
      </c>
      <c r="B276" s="40" t="str">
        <f aca="false">IF($F276="",IF($D276="","","Falta a atividade"),IF($R276="Cancelada","Cancelada",IF($AB276=1,IF(N($Z276)&gt;0,"Concluída com atraso","Concluída"),IF($R276="Em programação","Em programação",IF($O276="",IF($M276="","Na carteira","Falta a semana"),IF($AC276=1,"VENCIDA",IF($O276&gt;Hoje!$L$1,"Programada",IF($P276&gt;Hoje!$L$1,"Em execução","Fecha hoje"))))))))</f>
        <v>Concluída</v>
      </c>
      <c r="C276" s="41" t="s">
        <v>679</v>
      </c>
      <c r="D276" s="42" t="s">
        <v>646</v>
      </c>
      <c r="E276" s="42" t="s">
        <v>674</v>
      </c>
      <c r="F276" s="42" t="s">
        <v>675</v>
      </c>
      <c r="G276" s="43" t="s">
        <v>135</v>
      </c>
      <c r="H276" s="43" t="s">
        <v>81</v>
      </c>
      <c r="I276" s="44" t="s">
        <v>107</v>
      </c>
      <c r="J276" s="44"/>
      <c r="K276" s="44"/>
      <c r="L276" s="45" t="n">
        <v>36</v>
      </c>
      <c r="M276" s="46" t="s">
        <v>142</v>
      </c>
      <c r="N276" s="45" t="n">
        <v>1</v>
      </c>
      <c r="O276" s="47" t="n">
        <f aca="false">IF(OR($L276="",$M276=""),"",(DATE(Semana!$J$3,1,4)-WEEKDAY(DATE(Semana!$J$3,1,4),3))+($L276-1)*7+MATCH($M276,Listas!$F$5:$F$11,0)-1)</f>
        <v>46269</v>
      </c>
      <c r="P276" s="47" t="n">
        <f aca="false">IF(OR($F276="",$O276=""),"",$O276+MAX(0,ROUNDUP($AK276*MAX(1,IF($N276="",1,$N276))/MAX(1,$AL276),0)-1))</f>
        <v>46269</v>
      </c>
      <c r="Q276" s="48" t="n">
        <v>46269</v>
      </c>
      <c r="R276" s="43" t="s">
        <v>85</v>
      </c>
      <c r="S276" s="49"/>
      <c r="T276" s="42"/>
      <c r="U276" s="42"/>
      <c r="V276" s="39" t="str">
        <f aca="false">IF($F276="","",IF(ISNUMBER(SEARCH("(externo)",$I276&amp;$J276&amp;$K276)),"Terceirizada","Interna"))</f>
        <v>Interna</v>
      </c>
      <c r="W276" s="47" t="n">
        <f aca="false">IF($O276="","",IF($S276="",$O276,(DATE(Semana!$J$3,1,4)-WEEKDAY(DATE(Semana!$J$3,1,4),3))+($S276-1)*7+IF($M276="",0,MATCH($M276,Listas!$F$5:$F$11,0)-1)))</f>
        <v>46269</v>
      </c>
      <c r="X276" s="39" t="n">
        <f aca="false">IF($F276="","",IF(OR($AT276="",$O276=""),0,IF($AT276&lt;=$O276,1,0)))</f>
        <v>1</v>
      </c>
      <c r="Y276" s="39" t="n">
        <f aca="false">IF($F276="","",IF(OR($AT276="",$W276=""),0,IF($AT276&lt;=$W276,1,0)))</f>
        <v>1</v>
      </c>
      <c r="Z276" s="39" t="n">
        <f aca="false">IF(OR($AT276="",$O276=""),"",MAX(0,$AT276-$O276))</f>
        <v>0</v>
      </c>
      <c r="AA276" s="39" t="n">
        <f aca="false">IF($F276="","",IF(AND($S276&lt;&gt;"",$L276&lt;&gt;"",$S276&lt;&gt;$L276),1,0))</f>
        <v>0</v>
      </c>
      <c r="AB276" s="39" t="n">
        <f aca="false">IF($F276="","",IF($R276="Cancelada",0,IF(OR($AT276&lt;&gt;"",$R276="Concluída"),1,0)))</f>
        <v>1</v>
      </c>
      <c r="AC276" s="39" t="n">
        <f aca="false">IF($P276="",0,IF($P276&lt;Hoje!$L$1,1,IF(AND($P276=Hoje!$L$1,Hoje!$L$2&gt;Semana!$M$3),1,0)))</f>
        <v>1</v>
      </c>
      <c r="AD276" s="39" t="n">
        <f aca="false">IF($F276="","",IF(COUNTA($I276:$K276)=0,0,1/COUNTA($I276:$K276)))</f>
        <v>1</v>
      </c>
      <c r="AE276" s="39" t="str">
        <f aca="false">IF($AH276=0,"",SUM($AH$4:$AH276))</f>
        <v/>
      </c>
      <c r="AF276" s="39" t="str">
        <f aca="false">IF($AI276=0,"",SUM($AI$4:$AI276))</f>
        <v/>
      </c>
      <c r="AG276" s="50" t="str">
        <f aca="false">IF($F276="","",$I276&amp;IF($J276="",""," · "&amp;$J276)&amp;IF($K276="",""," · "&amp;$K276))</f>
        <v>Gabriel</v>
      </c>
      <c r="AH276" s="39" t="n">
        <f aca="false">IF(AND($F276&lt;&gt;"",$O276&lt;&gt;"",$O276&lt;=Hoje!$C$3,$P276&gt;=Hoje!$C$3,$R276&lt;&gt;"Cancelada"),1,0)</f>
        <v>0</v>
      </c>
      <c r="AI276" s="39" t="n">
        <f aca="false">IF(AND($F276&lt;&gt;"",$P276&lt;&gt;"",$P276&lt;Hoje!$C$3,$AB276=0,$R276&lt;&gt;"Cancelada"),1,0)</f>
        <v>0</v>
      </c>
      <c r="AJ276" s="50" t="str">
        <f aca="false">IF($F276="","",$D276&amp;"|"&amp;$E276&amp;"|"&amp;$L276)</f>
        <v>F-618|Programação 04/09|36</v>
      </c>
      <c r="AK276" s="39" t="n">
        <f aca="false">IF($AJ276="","",COUNTIF($AJ$4:$AJ276,$AJ276))</f>
        <v>1</v>
      </c>
      <c r="AL276" s="39" t="n">
        <f aca="false">IF($AJ276="","",COUNTIF($AJ$4:$AJ$1004,$AJ276))</f>
        <v>3</v>
      </c>
      <c r="AM276" s="42"/>
      <c r="AN276" s="50" t="str">
        <f aca="false">IF($D276="","",IFERROR(T(VLOOKUP($D276,Listas!$B$5:$H$120,7,0)),""))</f>
        <v/>
      </c>
      <c r="AO276" s="50" t="str">
        <f aca="false">IF(OR($F276="",$L276&lt;&gt;"",$R276="Cancelada",$AT276&lt;&gt;""),"",$AN276&amp;"|"&amp;$D276&amp;"|"&amp;IF($C276="","zzz",$C276)&amp;"|"&amp;TEXT(276,"0000"))</f>
        <v/>
      </c>
      <c r="AP276" s="50" t="str">
        <f aca="false">IF($AO276="","",COUNTIF($AO$5:$AO$1004,"&lt;"&amp;$AO276)-(ROWS($AO$5:$AO$1004)-Hoje!$L$5)+1)</f>
        <v/>
      </c>
      <c r="AQ276" s="50" t="n">
        <f aca="false">IF(AND($F276&lt;&gt;"",$D276=Frota!$C$3),1,0)</f>
        <v>0</v>
      </c>
      <c r="AR276" s="50" t="str">
        <f aca="false">IF($AQ276=0,"",SUM($AQ$4:$AQ276))</f>
        <v/>
      </c>
      <c r="AS276" s="50" t="str">
        <f aca="false">IFERROR(INDEX(Hoje!$K$10:$K$29,MATCH(ROW(),Hoje!$J$10:$J$29,0)),"")</f>
        <v/>
      </c>
      <c r="AT276" s="47" t="n">
        <f aca="false">IF($Q276&lt;&gt;"",$Q276,$AS276)</f>
        <v>46269</v>
      </c>
    </row>
    <row r="277" customFormat="false" ht="16.5" hidden="false" customHeight="true" outlineLevel="0" collapsed="false">
      <c r="A277" s="39" t="n">
        <f aca="false">IF($F277="","",ROW())</f>
        <v>277</v>
      </c>
      <c r="B277" s="40" t="str">
        <f aca="false">IF($F277="",IF($D277="","","Falta a atividade"),IF($R277="Cancelada","Cancelada",IF($AB277=1,IF(N($Z277)&gt;0,"Concluída com atraso","Concluída"),IF($R277="Em programação","Em programação",IF($O277="",IF($M277="","Na carteira","Falta a semana"),IF($AC277=1,"VENCIDA",IF($O277&gt;Hoje!$L$1,"Programada",IF($P277&gt;Hoje!$L$1,"Em execução","Fecha hoje"))))))))</f>
        <v>Concluída</v>
      </c>
      <c r="C277" s="41" t="s">
        <v>680</v>
      </c>
      <c r="D277" s="42" t="s">
        <v>646</v>
      </c>
      <c r="E277" s="42" t="s">
        <v>674</v>
      </c>
      <c r="F277" s="42" t="s">
        <v>681</v>
      </c>
      <c r="G277" s="43" t="s">
        <v>80</v>
      </c>
      <c r="H277" s="43" t="s">
        <v>81</v>
      </c>
      <c r="I277" s="44" t="s">
        <v>638</v>
      </c>
      <c r="J277" s="44"/>
      <c r="K277" s="44"/>
      <c r="L277" s="45" t="n">
        <v>36</v>
      </c>
      <c r="M277" s="46" t="s">
        <v>142</v>
      </c>
      <c r="N277" s="45" t="n">
        <v>1</v>
      </c>
      <c r="O277" s="47" t="n">
        <f aca="false">IF(OR($L277="",$M277=""),"",(DATE(Semana!$J$3,1,4)-WEEKDAY(DATE(Semana!$J$3,1,4),3))+($L277-1)*7+MATCH($M277,Listas!$F$5:$F$11,0)-1)</f>
        <v>46269</v>
      </c>
      <c r="P277" s="47" t="n">
        <f aca="false">IF(OR($F277="",$O277=""),"",$O277+MAX(0,ROUNDUP($AK277*MAX(1,IF($N277="",1,$N277))/MAX(1,$AL277),0)-1))</f>
        <v>46269</v>
      </c>
      <c r="Q277" s="48" t="n">
        <v>46269</v>
      </c>
      <c r="R277" s="43" t="s">
        <v>85</v>
      </c>
      <c r="S277" s="49"/>
      <c r="T277" s="42"/>
      <c r="U277" s="42" t="s">
        <v>682</v>
      </c>
      <c r="V277" s="39" t="str">
        <f aca="false">IF($F277="","",IF(ISNUMBER(SEARCH("(externo)",$I277&amp;$J277&amp;$K277)),"Terceirizada","Interna"))</f>
        <v>Interna</v>
      </c>
      <c r="W277" s="47" t="n">
        <f aca="false">IF($O277="","",IF($S277="",$O277,(DATE(Semana!$J$3,1,4)-WEEKDAY(DATE(Semana!$J$3,1,4),3))+($S277-1)*7+IF($M277="",0,MATCH($M277,Listas!$F$5:$F$11,0)-1)))</f>
        <v>46269</v>
      </c>
      <c r="X277" s="39" t="n">
        <f aca="false">IF($F277="","",IF(OR($AT277="",$O277=""),0,IF($AT277&lt;=$O277,1,0)))</f>
        <v>1</v>
      </c>
      <c r="Y277" s="39" t="n">
        <f aca="false">IF($F277="","",IF(OR($AT277="",$W277=""),0,IF($AT277&lt;=$W277,1,0)))</f>
        <v>1</v>
      </c>
      <c r="Z277" s="39" t="n">
        <f aca="false">IF(OR($AT277="",$O277=""),"",MAX(0,$AT277-$O277))</f>
        <v>0</v>
      </c>
      <c r="AA277" s="39" t="n">
        <f aca="false">IF($F277="","",IF(AND($S277&lt;&gt;"",$L277&lt;&gt;"",$S277&lt;&gt;$L277),1,0))</f>
        <v>0</v>
      </c>
      <c r="AB277" s="39" t="n">
        <f aca="false">IF($F277="","",IF($R277="Cancelada",0,IF(OR($AT277&lt;&gt;"",$R277="Concluída"),1,0)))</f>
        <v>1</v>
      </c>
      <c r="AC277" s="39" t="n">
        <f aca="false">IF($P277="",0,IF($P277&lt;Hoje!$L$1,1,IF(AND($P277=Hoje!$L$1,Hoje!$L$2&gt;Semana!$M$3),1,0)))</f>
        <v>1</v>
      </c>
      <c r="AD277" s="39" t="n">
        <f aca="false">IF($F277="","",IF(COUNTA($I277:$K277)=0,0,1/COUNTA($I277:$K277)))</f>
        <v>1</v>
      </c>
      <c r="AE277" s="39" t="str">
        <f aca="false">IF($AH277=0,"",SUM($AH$4:$AH277))</f>
        <v/>
      </c>
      <c r="AF277" s="39" t="str">
        <f aca="false">IF($AI277=0,"",SUM($AI$4:$AI277))</f>
        <v/>
      </c>
      <c r="AG277" s="50" t="str">
        <f aca="false">IF($F277="","",$I277&amp;IF($J277="",""," · "&amp;$J277)&amp;IF($K277="",""," · "&amp;$K277))</f>
        <v>Thawan</v>
      </c>
      <c r="AH277" s="39" t="n">
        <f aca="false">IF(AND($F277&lt;&gt;"",$O277&lt;&gt;"",$O277&lt;=Hoje!$C$3,$P277&gt;=Hoje!$C$3,$R277&lt;&gt;"Cancelada"),1,0)</f>
        <v>0</v>
      </c>
      <c r="AI277" s="39" t="n">
        <f aca="false">IF(AND($F277&lt;&gt;"",$P277&lt;&gt;"",$P277&lt;Hoje!$C$3,$AB277=0,$R277&lt;&gt;"Cancelada"),1,0)</f>
        <v>0</v>
      </c>
      <c r="AJ277" s="50" t="str">
        <f aca="false">IF($F277="","",$D277&amp;"|"&amp;$E277&amp;"|"&amp;$L277)</f>
        <v>F-618|Programação 04/09|36</v>
      </c>
      <c r="AK277" s="39" t="n">
        <f aca="false">IF($AJ277="","",COUNTIF($AJ$4:$AJ277,$AJ277))</f>
        <v>2</v>
      </c>
      <c r="AL277" s="39" t="n">
        <f aca="false">IF($AJ277="","",COUNTIF($AJ$4:$AJ$1004,$AJ277))</f>
        <v>3</v>
      </c>
      <c r="AM277" s="42"/>
      <c r="AN277" s="50" t="str">
        <f aca="false">IF($D277="","",IFERROR(T(VLOOKUP($D277,Listas!$B$5:$H$120,7,0)),""))</f>
        <v/>
      </c>
      <c r="AO277" s="50" t="str">
        <f aca="false">IF(OR($F277="",$L277&lt;&gt;"",$R277="Cancelada",$AT277&lt;&gt;""),"",$AN277&amp;"|"&amp;$D277&amp;"|"&amp;IF($C277="","zzz",$C277)&amp;"|"&amp;TEXT(277,"0000"))</f>
        <v/>
      </c>
      <c r="AP277" s="50" t="str">
        <f aca="false">IF($AO277="","",COUNTIF($AO$5:$AO$1004,"&lt;"&amp;$AO277)-(ROWS($AO$5:$AO$1004)-Hoje!$L$5)+1)</f>
        <v/>
      </c>
      <c r="AQ277" s="50" t="n">
        <f aca="false">IF(AND($F277&lt;&gt;"",$D277=Frota!$C$3),1,0)</f>
        <v>0</v>
      </c>
      <c r="AR277" s="50" t="str">
        <f aca="false">IF($AQ277=0,"",SUM($AQ$4:$AQ277))</f>
        <v/>
      </c>
      <c r="AS277" s="50" t="str">
        <f aca="false">IFERROR(INDEX(Hoje!$K$10:$K$29,MATCH(ROW(),Hoje!$J$10:$J$29,0)),"")</f>
        <v/>
      </c>
      <c r="AT277" s="47" t="n">
        <f aca="false">IF($Q277&lt;&gt;"",$Q277,$AS277)</f>
        <v>46269</v>
      </c>
    </row>
    <row r="278" customFormat="false" ht="16.5" hidden="false" customHeight="true" outlineLevel="0" collapsed="false">
      <c r="A278" s="39" t="n">
        <f aca="false">IF($F278="","",ROW())</f>
        <v>278</v>
      </c>
      <c r="B278" s="40" t="str">
        <f aca="false">IF($F278="",IF($D278="","","Falta a atividade"),IF($R278="Cancelada","Cancelada",IF($AB278=1,IF(N($Z278)&gt;0,"Concluída com atraso","Concluída"),IF($R278="Em programação","Em programação",IF($O278="",IF($M278="","Na carteira","Falta a semana"),IF($AC278=1,"VENCIDA",IF($O278&gt;Hoje!$L$1,"Programada",IF($P278&gt;Hoje!$L$1,"Em execução","Fecha hoje"))))))))</f>
        <v>Concluída</v>
      </c>
      <c r="C278" s="41" t="s">
        <v>683</v>
      </c>
      <c r="D278" s="42" t="s">
        <v>684</v>
      </c>
      <c r="E278" s="42" t="s">
        <v>674</v>
      </c>
      <c r="F278" s="42" t="s">
        <v>685</v>
      </c>
      <c r="G278" s="43" t="s">
        <v>80</v>
      </c>
      <c r="H278" s="43" t="s">
        <v>81</v>
      </c>
      <c r="I278" s="44" t="s">
        <v>638</v>
      </c>
      <c r="J278" s="44"/>
      <c r="K278" s="44"/>
      <c r="L278" s="45" t="n">
        <v>36</v>
      </c>
      <c r="M278" s="46" t="s">
        <v>142</v>
      </c>
      <c r="N278" s="45" t="n">
        <v>1</v>
      </c>
      <c r="O278" s="47" t="n">
        <f aca="false">IF(OR($L278="",$M278=""),"",(DATE(Semana!$J$3,1,4)-WEEKDAY(DATE(Semana!$J$3,1,4),3))+($L278-1)*7+MATCH($M278,Listas!$F$5:$F$11,0)-1)</f>
        <v>46269</v>
      </c>
      <c r="P278" s="47" t="n">
        <f aca="false">IF(OR($F278="",$O278=""),"",$O278+MAX(0,ROUNDUP($AK278*MAX(1,IF($N278="",1,$N278))/MAX(1,$AL278),0)-1))</f>
        <v>46269</v>
      </c>
      <c r="Q278" s="48" t="n">
        <v>46269</v>
      </c>
      <c r="R278" s="43" t="s">
        <v>85</v>
      </c>
      <c r="S278" s="49"/>
      <c r="T278" s="42"/>
      <c r="U278" s="42" t="s">
        <v>686</v>
      </c>
      <c r="V278" s="39" t="str">
        <f aca="false">IF($F278="","",IF(ISNUMBER(SEARCH("(externo)",$I278&amp;$J278&amp;$K278)),"Terceirizada","Interna"))</f>
        <v>Interna</v>
      </c>
      <c r="W278" s="47" t="n">
        <f aca="false">IF($O278="","",IF($S278="",$O278,(DATE(Semana!$J$3,1,4)-WEEKDAY(DATE(Semana!$J$3,1,4),3))+($S278-1)*7+IF($M278="",0,MATCH($M278,Listas!$F$5:$F$11,0)-1)))</f>
        <v>46269</v>
      </c>
      <c r="X278" s="39" t="n">
        <f aca="false">IF($F278="","",IF(OR($AT278="",$O278=""),0,IF($AT278&lt;=$O278,1,0)))</f>
        <v>1</v>
      </c>
      <c r="Y278" s="39" t="n">
        <f aca="false">IF($F278="","",IF(OR($AT278="",$W278=""),0,IF($AT278&lt;=$W278,1,0)))</f>
        <v>1</v>
      </c>
      <c r="Z278" s="39" t="n">
        <f aca="false">IF(OR($AT278="",$O278=""),"",MAX(0,$AT278-$O278))</f>
        <v>0</v>
      </c>
      <c r="AA278" s="39" t="n">
        <f aca="false">IF($F278="","",IF(AND($S278&lt;&gt;"",$L278&lt;&gt;"",$S278&lt;&gt;$L278),1,0))</f>
        <v>0</v>
      </c>
      <c r="AB278" s="39" t="n">
        <f aca="false">IF($F278="","",IF($R278="Cancelada",0,IF(OR($AT278&lt;&gt;"",$R278="Concluída"),1,0)))</f>
        <v>1</v>
      </c>
      <c r="AC278" s="39" t="n">
        <f aca="false">IF($P278="",0,IF($P278&lt;Hoje!$L$1,1,IF(AND($P278=Hoje!$L$1,Hoje!$L$2&gt;Semana!$M$3),1,0)))</f>
        <v>1</v>
      </c>
      <c r="AD278" s="39" t="n">
        <f aca="false">IF($F278="","",IF(COUNTA($I278:$K278)=0,0,1/COUNTA($I278:$K278)))</f>
        <v>1</v>
      </c>
      <c r="AE278" s="39" t="str">
        <f aca="false">IF($AH278=0,"",SUM($AH$4:$AH278))</f>
        <v/>
      </c>
      <c r="AF278" s="39" t="str">
        <f aca="false">IF($AI278=0,"",SUM($AI$4:$AI278))</f>
        <v/>
      </c>
      <c r="AG278" s="50" t="str">
        <f aca="false">IF($F278="","",$I278&amp;IF($J278="",""," · "&amp;$J278)&amp;IF($K278="",""," · "&amp;$K278))</f>
        <v>Thawan</v>
      </c>
      <c r="AH278" s="39" t="n">
        <f aca="false">IF(AND($F278&lt;&gt;"",$O278&lt;&gt;"",$O278&lt;=Hoje!$C$3,$P278&gt;=Hoje!$C$3,$R278&lt;&gt;"Cancelada"),1,0)</f>
        <v>0</v>
      </c>
      <c r="AI278" s="39" t="n">
        <f aca="false">IF(AND($F278&lt;&gt;"",$P278&lt;&gt;"",$P278&lt;Hoje!$C$3,$AB278=0,$R278&lt;&gt;"Cancelada"),1,0)</f>
        <v>0</v>
      </c>
      <c r="AJ278" s="50" t="str">
        <f aca="false">IF($F278="","",$D278&amp;"|"&amp;$E278&amp;"|"&amp;$L278)</f>
        <v>F-332|Programação 04/09|36</v>
      </c>
      <c r="AK278" s="39" t="n">
        <f aca="false">IF($AJ278="","",COUNTIF($AJ$4:$AJ278,$AJ278))</f>
        <v>1</v>
      </c>
      <c r="AL278" s="39" t="n">
        <f aca="false">IF($AJ278="","",COUNTIF($AJ$4:$AJ$1004,$AJ278))</f>
        <v>1</v>
      </c>
      <c r="AM278" s="42"/>
      <c r="AN278" s="50" t="str">
        <f aca="false">IF($D278="","",IFERROR(T(VLOOKUP($D278,Listas!$B$5:$H$120,7,0)),""))</f>
        <v/>
      </c>
      <c r="AO278" s="50" t="str">
        <f aca="false">IF(OR($F278="",$L278&lt;&gt;"",$R278="Cancelada",$AT278&lt;&gt;""),"",$AN278&amp;"|"&amp;$D278&amp;"|"&amp;IF($C278="","zzz",$C278)&amp;"|"&amp;TEXT(278,"0000"))</f>
        <v/>
      </c>
      <c r="AP278" s="50" t="str">
        <f aca="false">IF($AO278="","",COUNTIF($AO$5:$AO$1004,"&lt;"&amp;$AO278)-(ROWS($AO$5:$AO$1004)-Hoje!$L$5)+1)</f>
        <v/>
      </c>
      <c r="AQ278" s="50" t="n">
        <f aca="false">IF(AND($F278&lt;&gt;"",$D278=Frota!$C$3),1,0)</f>
        <v>0</v>
      </c>
      <c r="AR278" s="50" t="str">
        <f aca="false">IF($AQ278=0,"",SUM($AQ$4:$AQ278))</f>
        <v/>
      </c>
      <c r="AS278" s="50" t="str">
        <f aca="false">IFERROR(INDEX(Hoje!$K$10:$K$29,MATCH(ROW(),Hoje!$J$10:$J$29,0)),"")</f>
        <v/>
      </c>
      <c r="AT278" s="47" t="n">
        <f aca="false">IF($Q278&lt;&gt;"",$Q278,$AS278)</f>
        <v>46269</v>
      </c>
    </row>
    <row r="279" customFormat="false" ht="16.5" hidden="false" customHeight="true" outlineLevel="0" collapsed="false">
      <c r="A279" s="39" t="n">
        <f aca="false">IF($F279="","",ROW())</f>
        <v>279</v>
      </c>
      <c r="B279" s="40" t="str">
        <f aca="false">IF($F279="",IF($D279="","","Falta a atividade"),IF($R279="Cancelada","Cancelada",IF($AB279=1,IF(N($Z279)&gt;0,"Concluída com atraso","Concluída"),IF($R279="Em programação","Em programação",IF($O279="",IF($M279="","Na carteira","Falta a semana"),IF($AC279=1,"VENCIDA",IF($O279&gt;Hoje!$L$1,"Programada",IF($P279&gt;Hoje!$L$1,"Em execução","Fecha hoje"))))))))</f>
        <v>Concluída</v>
      </c>
      <c r="C279" s="41"/>
      <c r="D279" s="42" t="s">
        <v>646</v>
      </c>
      <c r="E279" s="42" t="s">
        <v>674</v>
      </c>
      <c r="F279" s="42" t="s">
        <v>687</v>
      </c>
      <c r="G279" s="43" t="s">
        <v>80</v>
      </c>
      <c r="H279" s="43" t="s">
        <v>81</v>
      </c>
      <c r="I279" s="44" t="s">
        <v>88</v>
      </c>
      <c r="J279" s="44"/>
      <c r="K279" s="44"/>
      <c r="L279" s="45" t="n">
        <v>36</v>
      </c>
      <c r="M279" s="46" t="s">
        <v>142</v>
      </c>
      <c r="N279" s="45" t="n">
        <v>1</v>
      </c>
      <c r="O279" s="47" t="n">
        <f aca="false">IF(OR($L279="",$M279=""),"",(DATE(Semana!$J$3,1,4)-WEEKDAY(DATE(Semana!$J$3,1,4),3))+($L279-1)*7+MATCH($M279,Listas!$F$5:$F$11,0)-1)</f>
        <v>46269</v>
      </c>
      <c r="P279" s="47" t="n">
        <f aca="false">IF(OR($F279="",$O279=""),"",$O279+MAX(0,ROUNDUP($AK279*MAX(1,IF($N279="",1,$N279))/MAX(1,$AL279),0)-1))</f>
        <v>46269</v>
      </c>
      <c r="Q279" s="48" t="n">
        <v>46269</v>
      </c>
      <c r="R279" s="43" t="s">
        <v>85</v>
      </c>
      <c r="S279" s="49"/>
      <c r="T279" s="42"/>
      <c r="U279" s="42"/>
      <c r="V279" s="39" t="str">
        <f aca="false">IF($F279="","",IF(ISNUMBER(SEARCH("(externo)",$I279&amp;$J279&amp;$K279)),"Terceirizada","Interna"))</f>
        <v>Interna</v>
      </c>
      <c r="W279" s="47" t="n">
        <f aca="false">IF($O279="","",IF($S279="",$O279,(DATE(Semana!$J$3,1,4)-WEEKDAY(DATE(Semana!$J$3,1,4),3))+($S279-1)*7+IF($M279="",0,MATCH($M279,Listas!$F$5:$F$11,0)-1)))</f>
        <v>46269</v>
      </c>
      <c r="X279" s="39" t="n">
        <f aca="false">IF($F279="","",IF(OR($AT279="",$O279=""),0,IF($AT279&lt;=$O279,1,0)))</f>
        <v>1</v>
      </c>
      <c r="Y279" s="39" t="n">
        <f aca="false">IF($F279="","",IF(OR($AT279="",$W279=""),0,IF($AT279&lt;=$W279,1,0)))</f>
        <v>1</v>
      </c>
      <c r="Z279" s="39" t="n">
        <f aca="false">IF(OR($AT279="",$O279=""),"",MAX(0,$AT279-$O279))</f>
        <v>0</v>
      </c>
      <c r="AA279" s="39" t="n">
        <f aca="false">IF($F279="","",IF(AND($S279&lt;&gt;"",$L279&lt;&gt;"",$S279&lt;&gt;$L279),1,0))</f>
        <v>0</v>
      </c>
      <c r="AB279" s="39" t="n">
        <f aca="false">IF($F279="","",IF($R279="Cancelada",0,IF(OR($AT279&lt;&gt;"",$R279="Concluída"),1,0)))</f>
        <v>1</v>
      </c>
      <c r="AC279" s="39" t="n">
        <f aca="false">IF($P279="",0,IF($P279&lt;Hoje!$L$1,1,IF(AND($P279=Hoje!$L$1,Hoje!$L$2&gt;Semana!$M$3),1,0)))</f>
        <v>1</v>
      </c>
      <c r="AD279" s="39" t="n">
        <f aca="false">IF($F279="","",IF(COUNTA($I279:$K279)=0,0,1/COUNTA($I279:$K279)))</f>
        <v>1</v>
      </c>
      <c r="AE279" s="39" t="str">
        <f aca="false">IF($AH279=0,"",SUM($AH$4:$AH279))</f>
        <v/>
      </c>
      <c r="AF279" s="39" t="str">
        <f aca="false">IF($AI279=0,"",SUM($AI$4:$AI279))</f>
        <v/>
      </c>
      <c r="AG279" s="50" t="str">
        <f aca="false">IF($F279="","",$I279&amp;IF($J279="",""," · "&amp;$J279)&amp;IF($K279="",""," · "&amp;$K279))</f>
        <v>Júnior</v>
      </c>
      <c r="AH279" s="39" t="n">
        <f aca="false">IF(AND($F279&lt;&gt;"",$O279&lt;&gt;"",$O279&lt;=Hoje!$C$3,$P279&gt;=Hoje!$C$3,$R279&lt;&gt;"Cancelada"),1,0)</f>
        <v>0</v>
      </c>
      <c r="AI279" s="39" t="n">
        <f aca="false">IF(AND($F279&lt;&gt;"",$P279&lt;&gt;"",$P279&lt;Hoje!$C$3,$AB279=0,$R279&lt;&gt;"Cancelada"),1,0)</f>
        <v>0</v>
      </c>
      <c r="AJ279" s="50" t="str">
        <f aca="false">IF($F279="","",$D279&amp;"|"&amp;$E279&amp;"|"&amp;$L279)</f>
        <v>F-618|Programação 04/09|36</v>
      </c>
      <c r="AK279" s="39" t="n">
        <f aca="false">IF($AJ279="","",COUNTIF($AJ$4:$AJ279,$AJ279))</f>
        <v>3</v>
      </c>
      <c r="AL279" s="39" t="n">
        <f aca="false">IF($AJ279="","",COUNTIF($AJ$4:$AJ$1004,$AJ279))</f>
        <v>3</v>
      </c>
      <c r="AM279" s="42"/>
      <c r="AN279" s="50" t="str">
        <f aca="false">IF($D279="","",IFERROR(T(VLOOKUP($D279,Listas!$B$5:$H$120,7,0)),""))</f>
        <v/>
      </c>
      <c r="AO279" s="50" t="str">
        <f aca="false">IF(OR($F279="",$L279&lt;&gt;"",$R279="Cancelada",$AT279&lt;&gt;""),"",$AN279&amp;"|"&amp;$D279&amp;"|"&amp;IF($C279="","zzz",$C279)&amp;"|"&amp;TEXT(279,"0000"))</f>
        <v/>
      </c>
      <c r="AP279" s="50" t="str">
        <f aca="false">IF($AO279="","",COUNTIF($AO$5:$AO$1004,"&lt;"&amp;$AO279)-(ROWS($AO$5:$AO$1004)-Hoje!$L$5)+1)</f>
        <v/>
      </c>
      <c r="AQ279" s="50" t="n">
        <f aca="false">IF(AND($F279&lt;&gt;"",$D279=Frota!$C$3),1,0)</f>
        <v>0</v>
      </c>
      <c r="AR279" s="50" t="str">
        <f aca="false">IF($AQ279=0,"",SUM($AQ$4:$AQ279))</f>
        <v/>
      </c>
      <c r="AS279" s="50" t="str">
        <f aca="false">IFERROR(INDEX(Hoje!$K$10:$K$29,MATCH(ROW(),Hoje!$J$10:$J$29,0)),"")</f>
        <v/>
      </c>
      <c r="AT279" s="47" t="n">
        <f aca="false">IF($Q279&lt;&gt;"",$Q279,$AS279)</f>
        <v>46269</v>
      </c>
    </row>
    <row r="280" customFormat="false" ht="16.5" hidden="false" customHeight="true" outlineLevel="0" collapsed="false">
      <c r="A280" s="39" t="n">
        <f aca="false">IF($F280="","",ROW())</f>
        <v>280</v>
      </c>
      <c r="B280" s="40" t="str">
        <f aca="false">IF($F280="",IF($D280="","","Falta a atividade"),IF($R280="Cancelada","Cancelada",IF($AB280=1,IF(N($Z280)&gt;0,"Concluída com atraso","Concluída"),IF($R280="Em programação","Em programação",IF($O280="",IF($M280="","Na carteira","Falta a semana"),IF($AC280=1,"VENCIDA",IF($O280&gt;Hoje!$L$1,"Programada",IF($P280&gt;Hoje!$L$1,"Em execução","Fecha hoje"))))))))</f>
        <v>Concluída</v>
      </c>
      <c r="C280" s="41" t="s">
        <v>688</v>
      </c>
      <c r="D280" s="42" t="s">
        <v>177</v>
      </c>
      <c r="E280" s="42" t="s">
        <v>674</v>
      </c>
      <c r="F280" s="42" t="s">
        <v>689</v>
      </c>
      <c r="G280" s="43" t="s">
        <v>80</v>
      </c>
      <c r="H280" s="43" t="s">
        <v>81</v>
      </c>
      <c r="I280" s="44" t="s">
        <v>88</v>
      </c>
      <c r="J280" s="44"/>
      <c r="K280" s="44"/>
      <c r="L280" s="45" t="n">
        <v>36</v>
      </c>
      <c r="M280" s="46" t="s">
        <v>142</v>
      </c>
      <c r="N280" s="45" t="n">
        <v>1</v>
      </c>
      <c r="O280" s="47" t="n">
        <f aca="false">IF(OR($L280="",$M280=""),"",(DATE(Semana!$J$3,1,4)-WEEKDAY(DATE(Semana!$J$3,1,4),3))+($L280-1)*7+MATCH($M280,Listas!$F$5:$F$11,0)-1)</f>
        <v>46269</v>
      </c>
      <c r="P280" s="47" t="n">
        <f aca="false">IF(OR($F280="",$O280=""),"",$O280+MAX(0,ROUNDUP($AK280*MAX(1,IF($N280="",1,$N280))/MAX(1,$AL280),0)-1))</f>
        <v>46269</v>
      </c>
      <c r="Q280" s="48" t="n">
        <v>46269</v>
      </c>
      <c r="R280" s="43" t="s">
        <v>85</v>
      </c>
      <c r="S280" s="49"/>
      <c r="T280" s="42"/>
      <c r="U280" s="42"/>
      <c r="V280" s="39" t="str">
        <f aca="false">IF($F280="","",IF(ISNUMBER(SEARCH("(externo)",$I280&amp;$J280&amp;$K280)),"Terceirizada","Interna"))</f>
        <v>Interna</v>
      </c>
      <c r="W280" s="47" t="n">
        <f aca="false">IF($O280="","",IF($S280="",$O280,(DATE(Semana!$J$3,1,4)-WEEKDAY(DATE(Semana!$J$3,1,4),3))+($S280-1)*7+IF($M280="",0,MATCH($M280,Listas!$F$5:$F$11,0)-1)))</f>
        <v>46269</v>
      </c>
      <c r="X280" s="39" t="n">
        <f aca="false">IF($F280="","",IF(OR($AT280="",$O280=""),0,IF($AT280&lt;=$O280,1,0)))</f>
        <v>1</v>
      </c>
      <c r="Y280" s="39" t="n">
        <f aca="false">IF($F280="","",IF(OR($AT280="",$W280=""),0,IF($AT280&lt;=$W280,1,0)))</f>
        <v>1</v>
      </c>
      <c r="Z280" s="39" t="n">
        <f aca="false">IF(OR($AT280="",$O280=""),"",MAX(0,$AT280-$O280))</f>
        <v>0</v>
      </c>
      <c r="AA280" s="39" t="n">
        <f aca="false">IF($F280="","",IF(AND($S280&lt;&gt;"",$L280&lt;&gt;"",$S280&lt;&gt;$L280),1,0))</f>
        <v>0</v>
      </c>
      <c r="AB280" s="39" t="n">
        <f aca="false">IF($F280="","",IF($R280="Cancelada",0,IF(OR($AT280&lt;&gt;"",$R280="Concluída"),1,0)))</f>
        <v>1</v>
      </c>
      <c r="AC280" s="39" t="n">
        <f aca="false">IF($P280="",0,IF($P280&lt;Hoje!$L$1,1,IF(AND($P280=Hoje!$L$1,Hoje!$L$2&gt;Semana!$M$3),1,0)))</f>
        <v>1</v>
      </c>
      <c r="AD280" s="39" t="n">
        <f aca="false">IF($F280="","",IF(COUNTA($I280:$K280)=0,0,1/COUNTA($I280:$K280)))</f>
        <v>1</v>
      </c>
      <c r="AE280" s="39" t="str">
        <f aca="false">IF($AH280=0,"",SUM($AH$4:$AH280))</f>
        <v/>
      </c>
      <c r="AF280" s="39" t="str">
        <f aca="false">IF($AI280=0,"",SUM($AI$4:$AI280))</f>
        <v/>
      </c>
      <c r="AG280" s="50" t="str">
        <f aca="false">IF($F280="","",$I280&amp;IF($J280="",""," · "&amp;$J280)&amp;IF($K280="",""," · "&amp;$K280))</f>
        <v>Júnior</v>
      </c>
      <c r="AH280" s="39" t="n">
        <f aca="false">IF(AND($F280&lt;&gt;"",$O280&lt;&gt;"",$O280&lt;=Hoje!$C$3,$P280&gt;=Hoje!$C$3,$R280&lt;&gt;"Cancelada"),1,0)</f>
        <v>0</v>
      </c>
      <c r="AI280" s="39" t="n">
        <f aca="false">IF(AND($F280&lt;&gt;"",$P280&lt;&gt;"",$P280&lt;Hoje!$C$3,$AB280=0,$R280&lt;&gt;"Cancelada"),1,0)</f>
        <v>0</v>
      </c>
      <c r="AJ280" s="50" t="str">
        <f aca="false">IF($F280="","",$D280&amp;"|"&amp;$E280&amp;"|"&amp;$L280)</f>
        <v>F-617|Programação 04/09|36</v>
      </c>
      <c r="AK280" s="39" t="n">
        <f aca="false">IF($AJ280="","",COUNTIF($AJ$4:$AJ280,$AJ280))</f>
        <v>2</v>
      </c>
      <c r="AL280" s="39" t="n">
        <f aca="false">IF($AJ280="","",COUNTIF($AJ$4:$AJ$1004,$AJ280))</f>
        <v>2</v>
      </c>
      <c r="AM280" s="42"/>
      <c r="AN280" s="50" t="str">
        <f aca="false">IF($D280="","",IFERROR(T(VLOOKUP($D280,Listas!$B$5:$H$120,7,0)),""))</f>
        <v/>
      </c>
      <c r="AO280" s="50" t="str">
        <f aca="false">IF(OR($F280="",$L280&lt;&gt;"",$R280="Cancelada",$AT280&lt;&gt;""),"",$AN280&amp;"|"&amp;$D280&amp;"|"&amp;IF($C280="","zzz",$C280)&amp;"|"&amp;TEXT(280,"0000"))</f>
        <v/>
      </c>
      <c r="AP280" s="50" t="str">
        <f aca="false">IF($AO280="","",COUNTIF($AO$5:$AO$1004,"&lt;"&amp;$AO280)-(ROWS($AO$5:$AO$1004)-Hoje!$L$5)+1)</f>
        <v/>
      </c>
      <c r="AQ280" s="50" t="n">
        <f aca="false">IF(AND($F280&lt;&gt;"",$D280=Frota!$C$3),1,0)</f>
        <v>0</v>
      </c>
      <c r="AR280" s="50" t="str">
        <f aca="false">IF($AQ280=0,"",SUM($AQ$4:$AQ280))</f>
        <v/>
      </c>
      <c r="AS280" s="50" t="str">
        <f aca="false">IFERROR(INDEX(Hoje!$K$10:$K$29,MATCH(ROW(),Hoje!$J$10:$J$29,0)),"")</f>
        <v/>
      </c>
      <c r="AT280" s="47" t="n">
        <f aca="false">IF($Q280&lt;&gt;"",$Q280,$AS280)</f>
        <v>46269</v>
      </c>
    </row>
    <row r="281" customFormat="false" ht="16.5" hidden="false" customHeight="true" outlineLevel="0" collapsed="false">
      <c r="A281" s="39" t="n">
        <f aca="false">IF($F281="","",ROW())</f>
        <v>281</v>
      </c>
      <c r="B281" s="40" t="str">
        <f aca="false">IF($F281="",IF($D281="","","Falta a atividade"),IF($R281="Cancelada","Cancelada",IF($AB281=1,IF(N($Z281)&gt;0,"Concluída com atraso","Concluída"),IF($R281="Em programação","Em programação",IF($O281="",IF($M281="","Na carteira","Falta a semana"),IF($AC281=1,"VENCIDA",IF($O281&gt;Hoje!$L$1,"Programada",IF($P281&gt;Hoje!$L$1,"Em execução","Fecha hoje"))))))))</f>
        <v>Concluída</v>
      </c>
      <c r="C281" s="41" t="s">
        <v>690</v>
      </c>
      <c r="D281" s="42" t="s">
        <v>448</v>
      </c>
      <c r="E281" s="42" t="s">
        <v>674</v>
      </c>
      <c r="F281" s="42" t="s">
        <v>691</v>
      </c>
      <c r="G281" s="43" t="s">
        <v>80</v>
      </c>
      <c r="H281" s="43" t="s">
        <v>81</v>
      </c>
      <c r="I281" s="44" t="s">
        <v>83</v>
      </c>
      <c r="J281" s="44" t="s">
        <v>82</v>
      </c>
      <c r="K281" s="44"/>
      <c r="L281" s="45" t="n">
        <v>36</v>
      </c>
      <c r="M281" s="46" t="s">
        <v>142</v>
      </c>
      <c r="N281" s="45" t="n">
        <v>1</v>
      </c>
      <c r="O281" s="47" t="n">
        <f aca="false">IF(OR($L281="",$M281=""),"",(DATE(Semana!$J$3,1,4)-WEEKDAY(DATE(Semana!$J$3,1,4),3))+($L281-1)*7+MATCH($M281,Listas!$F$5:$F$11,0)-1)</f>
        <v>46269</v>
      </c>
      <c r="P281" s="47" t="n">
        <f aca="false">IF(OR($F281="",$O281=""),"",$O281+MAX(0,ROUNDUP($AK281*MAX(1,IF($N281="",1,$N281))/MAX(1,$AL281),0)-1))</f>
        <v>46269</v>
      </c>
      <c r="Q281" s="48" t="n">
        <v>46269</v>
      </c>
      <c r="R281" s="43" t="s">
        <v>85</v>
      </c>
      <c r="S281" s="49"/>
      <c r="T281" s="42"/>
      <c r="U281" s="42"/>
      <c r="V281" s="39" t="str">
        <f aca="false">IF($F281="","",IF(ISNUMBER(SEARCH("(externo)",$I281&amp;$J281&amp;$K281)),"Terceirizada","Interna"))</f>
        <v>Interna</v>
      </c>
      <c r="W281" s="47" t="n">
        <f aca="false">IF($O281="","",IF($S281="",$O281,(DATE(Semana!$J$3,1,4)-WEEKDAY(DATE(Semana!$J$3,1,4),3))+($S281-1)*7+IF($M281="",0,MATCH($M281,Listas!$F$5:$F$11,0)-1)))</f>
        <v>46269</v>
      </c>
      <c r="X281" s="39" t="n">
        <f aca="false">IF($F281="","",IF(OR($AT281="",$O281=""),0,IF($AT281&lt;=$O281,1,0)))</f>
        <v>1</v>
      </c>
      <c r="Y281" s="39" t="n">
        <f aca="false">IF($F281="","",IF(OR($AT281="",$W281=""),0,IF($AT281&lt;=$W281,1,0)))</f>
        <v>1</v>
      </c>
      <c r="Z281" s="39" t="n">
        <f aca="false">IF(OR($AT281="",$O281=""),"",MAX(0,$AT281-$O281))</f>
        <v>0</v>
      </c>
      <c r="AA281" s="39" t="n">
        <f aca="false">IF($F281="","",IF(AND($S281&lt;&gt;"",$L281&lt;&gt;"",$S281&lt;&gt;$L281),1,0))</f>
        <v>0</v>
      </c>
      <c r="AB281" s="39" t="n">
        <f aca="false">IF($F281="","",IF($R281="Cancelada",0,IF(OR($AT281&lt;&gt;"",$R281="Concluída"),1,0)))</f>
        <v>1</v>
      </c>
      <c r="AC281" s="39" t="n">
        <f aca="false">IF($P281="",0,IF($P281&lt;Hoje!$L$1,1,IF(AND($P281=Hoje!$L$1,Hoje!$L$2&gt;Semana!$M$3),1,0)))</f>
        <v>1</v>
      </c>
      <c r="AD281" s="39" t="n">
        <f aca="false">IF($F281="","",IF(COUNTA($I281:$K281)=0,0,1/COUNTA($I281:$K281)))</f>
        <v>0.5</v>
      </c>
      <c r="AE281" s="39" t="str">
        <f aca="false">IF($AH281=0,"",SUM($AH$4:$AH281))</f>
        <v/>
      </c>
      <c r="AF281" s="39" t="str">
        <f aca="false">IF($AI281=0,"",SUM($AI$4:$AI281))</f>
        <v/>
      </c>
      <c r="AG281" s="50" t="str">
        <f aca="false">IF($F281="","",$I281&amp;IF($J281="",""," · "&amp;$J281)&amp;IF($K281="",""," · "&amp;$K281))</f>
        <v>Luiz Paulo · Airton</v>
      </c>
      <c r="AH281" s="39" t="n">
        <f aca="false">IF(AND($F281&lt;&gt;"",$O281&lt;&gt;"",$O281&lt;=Hoje!$C$3,$P281&gt;=Hoje!$C$3,$R281&lt;&gt;"Cancelada"),1,0)</f>
        <v>0</v>
      </c>
      <c r="AI281" s="39" t="n">
        <f aca="false">IF(AND($F281&lt;&gt;"",$P281&lt;&gt;"",$P281&lt;Hoje!$C$3,$AB281=0,$R281&lt;&gt;"Cancelada"),1,0)</f>
        <v>0</v>
      </c>
      <c r="AJ281" s="50" t="str">
        <f aca="false">IF($F281="","",$D281&amp;"|"&amp;$E281&amp;"|"&amp;$L281)</f>
        <v>F-1064|Programação 04/09|36</v>
      </c>
      <c r="AK281" s="39" t="n">
        <f aca="false">IF($AJ281="","",COUNTIF($AJ$4:$AJ281,$AJ281))</f>
        <v>1</v>
      </c>
      <c r="AL281" s="39" t="n">
        <f aca="false">IF($AJ281="","",COUNTIF($AJ$4:$AJ$1004,$AJ281))</f>
        <v>2</v>
      </c>
      <c r="AM281" s="42"/>
      <c r="AN281" s="50" t="str">
        <f aca="false">IF($D281="","",IFERROR(T(VLOOKUP($D281,Listas!$B$5:$H$120,7,0)),""))</f>
        <v/>
      </c>
      <c r="AO281" s="50" t="str">
        <f aca="false">IF(OR($F281="",$L281&lt;&gt;"",$R281="Cancelada",$AT281&lt;&gt;""),"",$AN281&amp;"|"&amp;$D281&amp;"|"&amp;IF($C281="","zzz",$C281)&amp;"|"&amp;TEXT(281,"0000"))</f>
        <v/>
      </c>
      <c r="AP281" s="50" t="str">
        <f aca="false">IF($AO281="","",COUNTIF($AO$5:$AO$1004,"&lt;"&amp;$AO281)-(ROWS($AO$5:$AO$1004)-Hoje!$L$5)+1)</f>
        <v/>
      </c>
      <c r="AQ281" s="50" t="n">
        <f aca="false">IF(AND($F281&lt;&gt;"",$D281=Frota!$C$3),1,0)</f>
        <v>0</v>
      </c>
      <c r="AR281" s="50" t="str">
        <f aca="false">IF($AQ281=0,"",SUM($AQ$4:$AQ281))</f>
        <v/>
      </c>
      <c r="AS281" s="50" t="str">
        <f aca="false">IFERROR(INDEX(Hoje!$K$10:$K$29,MATCH(ROW(),Hoje!$J$10:$J$29,0)),"")</f>
        <v/>
      </c>
      <c r="AT281" s="47" t="n">
        <f aca="false">IF($Q281&lt;&gt;"",$Q281,$AS281)</f>
        <v>46269</v>
      </c>
    </row>
    <row r="282" customFormat="false" ht="16.5" hidden="false" customHeight="true" outlineLevel="0" collapsed="false">
      <c r="A282" s="39" t="n">
        <f aca="false">IF($F282="","",ROW())</f>
        <v>282</v>
      </c>
      <c r="B282" s="40" t="str">
        <f aca="false">IF($F282="",IF($D282="","","Falta a atividade"),IF($R282="Cancelada","Cancelada",IF($AB282=1,IF(N($Z282)&gt;0,"Concluída com atraso","Concluída"),IF($R282="Em programação","Em programação",IF($O282="",IF($M282="","Na carteira","Falta a semana"),IF($AC282=1,"VENCIDA",IF($O282&gt;Hoje!$L$1,"Programada",IF($P282&gt;Hoje!$L$1,"Em execução","Fecha hoje"))))))))</f>
        <v>Concluída</v>
      </c>
      <c r="C282" s="41" t="s">
        <v>690</v>
      </c>
      <c r="D282" s="42" t="s">
        <v>448</v>
      </c>
      <c r="E282" s="42" t="s">
        <v>674</v>
      </c>
      <c r="F282" s="42" t="s">
        <v>692</v>
      </c>
      <c r="G282" s="43" t="s">
        <v>80</v>
      </c>
      <c r="H282" s="43" t="s">
        <v>81</v>
      </c>
      <c r="I282" s="44" t="s">
        <v>83</v>
      </c>
      <c r="J282" s="44" t="s">
        <v>82</v>
      </c>
      <c r="K282" s="44"/>
      <c r="L282" s="45" t="n">
        <v>36</v>
      </c>
      <c r="M282" s="46" t="s">
        <v>142</v>
      </c>
      <c r="N282" s="45" t="n">
        <v>1</v>
      </c>
      <c r="O282" s="47" t="n">
        <f aca="false">IF(OR($L282="",$M282=""),"",(DATE(Semana!$J$3,1,4)-WEEKDAY(DATE(Semana!$J$3,1,4),3))+($L282-1)*7+MATCH($M282,Listas!$F$5:$F$11,0)-1)</f>
        <v>46269</v>
      </c>
      <c r="P282" s="47" t="n">
        <f aca="false">IF(OR($F282="",$O282=""),"",$O282+MAX(0,ROUNDUP($AK282*MAX(1,IF($N282="",1,$N282))/MAX(1,$AL282),0)-1))</f>
        <v>46269</v>
      </c>
      <c r="Q282" s="48" t="n">
        <v>46269</v>
      </c>
      <c r="R282" s="43" t="s">
        <v>85</v>
      </c>
      <c r="S282" s="49"/>
      <c r="T282" s="42"/>
      <c r="U282" s="42"/>
      <c r="V282" s="39" t="str">
        <f aca="false">IF($F282="","",IF(ISNUMBER(SEARCH("(externo)",$I282&amp;$J282&amp;$K282)),"Terceirizada","Interna"))</f>
        <v>Interna</v>
      </c>
      <c r="W282" s="47" t="n">
        <f aca="false">IF($O282="","",IF($S282="",$O282,(DATE(Semana!$J$3,1,4)-WEEKDAY(DATE(Semana!$J$3,1,4),3))+($S282-1)*7+IF($M282="",0,MATCH($M282,Listas!$F$5:$F$11,0)-1)))</f>
        <v>46269</v>
      </c>
      <c r="X282" s="39" t="n">
        <f aca="false">IF($F282="","",IF(OR($AT282="",$O282=""),0,IF($AT282&lt;=$O282,1,0)))</f>
        <v>1</v>
      </c>
      <c r="Y282" s="39" t="n">
        <f aca="false">IF($F282="","",IF(OR($AT282="",$W282=""),0,IF($AT282&lt;=$W282,1,0)))</f>
        <v>1</v>
      </c>
      <c r="Z282" s="39" t="n">
        <f aca="false">IF(OR($AT282="",$O282=""),"",MAX(0,$AT282-$O282))</f>
        <v>0</v>
      </c>
      <c r="AA282" s="39" t="n">
        <f aca="false">IF($F282="","",IF(AND($S282&lt;&gt;"",$L282&lt;&gt;"",$S282&lt;&gt;$L282),1,0))</f>
        <v>0</v>
      </c>
      <c r="AB282" s="39" t="n">
        <f aca="false">IF($F282="","",IF($R282="Cancelada",0,IF(OR($AT282&lt;&gt;"",$R282="Concluída"),1,0)))</f>
        <v>1</v>
      </c>
      <c r="AC282" s="39" t="n">
        <f aca="false">IF($P282="",0,IF($P282&lt;Hoje!$L$1,1,IF(AND($P282=Hoje!$L$1,Hoje!$L$2&gt;Semana!$M$3),1,0)))</f>
        <v>1</v>
      </c>
      <c r="AD282" s="39" t="n">
        <f aca="false">IF($F282="","",IF(COUNTA($I282:$K282)=0,0,1/COUNTA($I282:$K282)))</f>
        <v>0.5</v>
      </c>
      <c r="AE282" s="39" t="str">
        <f aca="false">IF($AH282=0,"",SUM($AH$4:$AH282))</f>
        <v/>
      </c>
      <c r="AF282" s="39" t="str">
        <f aca="false">IF($AI282=0,"",SUM($AI$4:$AI282))</f>
        <v/>
      </c>
      <c r="AG282" s="50" t="str">
        <f aca="false">IF($F282="","",$I282&amp;IF($J282="",""," · "&amp;$J282)&amp;IF($K282="",""," · "&amp;$K282))</f>
        <v>Luiz Paulo · Airton</v>
      </c>
      <c r="AH282" s="39" t="n">
        <f aca="false">IF(AND($F282&lt;&gt;"",$O282&lt;&gt;"",$O282&lt;=Hoje!$C$3,$P282&gt;=Hoje!$C$3,$R282&lt;&gt;"Cancelada"),1,0)</f>
        <v>0</v>
      </c>
      <c r="AI282" s="39" t="n">
        <f aca="false">IF(AND($F282&lt;&gt;"",$P282&lt;&gt;"",$P282&lt;Hoje!$C$3,$AB282=0,$R282&lt;&gt;"Cancelada"),1,0)</f>
        <v>0</v>
      </c>
      <c r="AJ282" s="50" t="str">
        <f aca="false">IF($F282="","",$D282&amp;"|"&amp;$E282&amp;"|"&amp;$L282)</f>
        <v>F-1064|Programação 04/09|36</v>
      </c>
      <c r="AK282" s="39" t="n">
        <f aca="false">IF($AJ282="","",COUNTIF($AJ$4:$AJ282,$AJ282))</f>
        <v>2</v>
      </c>
      <c r="AL282" s="39" t="n">
        <f aca="false">IF($AJ282="","",COUNTIF($AJ$4:$AJ$1004,$AJ282))</f>
        <v>2</v>
      </c>
      <c r="AM282" s="42"/>
      <c r="AN282" s="50" t="str">
        <f aca="false">IF($D282="","",IFERROR(T(VLOOKUP($D282,Listas!$B$5:$H$120,7,0)),""))</f>
        <v/>
      </c>
      <c r="AO282" s="50" t="str">
        <f aca="false">IF(OR($F282="",$L282&lt;&gt;"",$R282="Cancelada",$AT282&lt;&gt;""),"",$AN282&amp;"|"&amp;$D282&amp;"|"&amp;IF($C282="","zzz",$C282)&amp;"|"&amp;TEXT(282,"0000"))</f>
        <v/>
      </c>
      <c r="AP282" s="50" t="str">
        <f aca="false">IF($AO282="","",COUNTIF($AO$5:$AO$1004,"&lt;"&amp;$AO282)-(ROWS($AO$5:$AO$1004)-Hoje!$L$5)+1)</f>
        <v/>
      </c>
      <c r="AQ282" s="50" t="n">
        <f aca="false">IF(AND($F282&lt;&gt;"",$D282=Frota!$C$3),1,0)</f>
        <v>0</v>
      </c>
      <c r="AR282" s="50" t="str">
        <f aca="false">IF($AQ282=0,"",SUM($AQ$4:$AQ282))</f>
        <v/>
      </c>
      <c r="AS282" s="50" t="str">
        <f aca="false">IFERROR(INDEX(Hoje!$K$10:$K$29,MATCH(ROW(),Hoje!$J$10:$J$29,0)),"")</f>
        <v/>
      </c>
      <c r="AT282" s="47" t="n">
        <f aca="false">IF($Q282&lt;&gt;"",$Q282,$AS282)</f>
        <v>46269</v>
      </c>
    </row>
    <row r="283" customFormat="false" ht="16.5" hidden="false" customHeight="true" outlineLevel="0" collapsed="false">
      <c r="A283" s="39" t="n">
        <f aca="false">IF($F283="","",ROW())</f>
        <v>283</v>
      </c>
      <c r="B283" s="40" t="str">
        <f aca="false">IF($F283="",IF($D283="","","Falta a atividade"),IF($R283="Cancelada","Cancelada",IF($AB283=1,IF(N($Z283)&gt;0,"Concluída com atraso","Concluída"),IF($R283="Em programação","Em programação",IF($O283="",IF($M283="","Na carteira","Falta a semana"),IF($AC283=1,"VENCIDA",IF($O283&gt;Hoje!$L$1,"Programada",IF($P283&gt;Hoje!$L$1,"Em execução","Fecha hoje"))))))))</f>
        <v>Concluída</v>
      </c>
      <c r="C283" s="41"/>
      <c r="D283" s="42" t="s">
        <v>461</v>
      </c>
      <c r="E283" s="42" t="s">
        <v>674</v>
      </c>
      <c r="F283" s="42" t="s">
        <v>693</v>
      </c>
      <c r="G283" s="43" t="s">
        <v>80</v>
      </c>
      <c r="H283" s="43" t="s">
        <v>81</v>
      </c>
      <c r="I283" s="44" t="s">
        <v>88</v>
      </c>
      <c r="J283" s="44"/>
      <c r="K283" s="44"/>
      <c r="L283" s="45" t="n">
        <v>36</v>
      </c>
      <c r="M283" s="46" t="s">
        <v>142</v>
      </c>
      <c r="N283" s="45" t="n">
        <v>5</v>
      </c>
      <c r="O283" s="47" t="n">
        <f aca="false">IF(OR($L283="",$M283=""),"",(DATE(Semana!$J$3,1,4)-WEEKDAY(DATE(Semana!$J$3,1,4),3))+($L283-1)*7+MATCH($M283,Listas!$F$5:$F$11,0)-1)</f>
        <v>46269</v>
      </c>
      <c r="P283" s="47" t="n">
        <f aca="false">IF(OR($F283="",$O283=""),"",$O283+MAX(0,ROUNDUP($AK283*MAX(1,IF($N283="",1,$N283))/MAX(1,$AL283),0)-1))</f>
        <v>46273</v>
      </c>
      <c r="Q283" s="48" t="n">
        <v>46269</v>
      </c>
      <c r="R283" s="43" t="s">
        <v>85</v>
      </c>
      <c r="S283" s="49"/>
      <c r="T283" s="42" t="s">
        <v>114</v>
      </c>
      <c r="U283" s="42"/>
      <c r="V283" s="39" t="str">
        <f aca="false">IF($F283="","",IF(ISNUMBER(SEARCH("(externo)",$I283&amp;$J283&amp;$K283)),"Terceirizada","Interna"))</f>
        <v>Interna</v>
      </c>
      <c r="W283" s="47" t="n">
        <f aca="false">IF($O283="","",IF($S283="",$O283,(DATE(Semana!$J$3,1,4)-WEEKDAY(DATE(Semana!$J$3,1,4),3))+($S283-1)*7+IF($M283="",0,MATCH($M283,Listas!$F$5:$F$11,0)-1)))</f>
        <v>46269</v>
      </c>
      <c r="X283" s="39" t="n">
        <f aca="false">IF($F283="","",IF(OR($AT283="",$O283=""),0,IF($AT283&lt;=$O283,1,0)))</f>
        <v>1</v>
      </c>
      <c r="Y283" s="39" t="n">
        <f aca="false">IF($F283="","",IF(OR($AT283="",$W283=""),0,IF($AT283&lt;=$W283,1,0)))</f>
        <v>1</v>
      </c>
      <c r="Z283" s="39" t="n">
        <f aca="false">IF(OR($AT283="",$O283=""),"",MAX(0,$AT283-$O283))</f>
        <v>0</v>
      </c>
      <c r="AA283" s="39" t="n">
        <f aca="false">IF($F283="","",IF(AND($S283&lt;&gt;"",$L283&lt;&gt;"",$S283&lt;&gt;$L283),1,0))</f>
        <v>0</v>
      </c>
      <c r="AB283" s="39" t="n">
        <f aca="false">IF($F283="","",IF($R283="Cancelada",0,IF(OR($AT283&lt;&gt;"",$R283="Concluída"),1,0)))</f>
        <v>1</v>
      </c>
      <c r="AC283" s="39" t="n">
        <f aca="false">IF($P283="",0,IF($P283&lt;Hoje!$L$1,1,IF(AND($P283=Hoje!$L$1,Hoje!$L$2&gt;Semana!$M$3),1,0)))</f>
        <v>1</v>
      </c>
      <c r="AD283" s="39" t="n">
        <f aca="false">IF($F283="","",IF(COUNTA($I283:$K283)=0,0,1/COUNTA($I283:$K283)))</f>
        <v>1</v>
      </c>
      <c r="AE283" s="39" t="str">
        <f aca="false">IF($AH283=0,"",SUM($AH$4:$AH283))</f>
        <v/>
      </c>
      <c r="AF283" s="39" t="str">
        <f aca="false">IF($AI283=0,"",SUM($AI$4:$AI283))</f>
        <v/>
      </c>
      <c r="AG283" s="50" t="str">
        <f aca="false">IF($F283="","",$I283&amp;IF($J283="",""," · "&amp;$J283)&amp;IF($K283="",""," · "&amp;$K283))</f>
        <v>Júnior</v>
      </c>
      <c r="AH283" s="39" t="n">
        <f aca="false">IF(AND($F283&lt;&gt;"",$O283&lt;&gt;"",$O283&lt;=Hoje!$C$3,$P283&gt;=Hoje!$C$3,$R283&lt;&gt;"Cancelada"),1,0)</f>
        <v>0</v>
      </c>
      <c r="AI283" s="39" t="n">
        <f aca="false">IF(AND($F283&lt;&gt;"",$P283&lt;&gt;"",$P283&lt;Hoje!$C$3,$AB283=0,$R283&lt;&gt;"Cancelada"),1,0)</f>
        <v>0</v>
      </c>
      <c r="AJ283" s="50" t="str">
        <f aca="false">IF($F283="","",$D283&amp;"|"&amp;$E283&amp;"|"&amp;$L283)</f>
        <v>F-814|Programação 04/09|36</v>
      </c>
      <c r="AK283" s="39" t="n">
        <f aca="false">IF($AJ283="","",COUNTIF($AJ$4:$AJ283,$AJ283))</f>
        <v>2</v>
      </c>
      <c r="AL283" s="39" t="n">
        <f aca="false">IF($AJ283="","",COUNTIF($AJ$4:$AJ$1004,$AJ283))</f>
        <v>2</v>
      </c>
      <c r="AM283" s="42"/>
      <c r="AN283" s="50" t="str">
        <f aca="false">IF($D283="","",IFERROR(T(VLOOKUP($D283,Listas!$B$5:$H$120,7,0)),""))</f>
        <v/>
      </c>
      <c r="AO283" s="50" t="str">
        <f aca="false">IF(OR($F283="",$L283&lt;&gt;"",$R283="Cancelada",$AT283&lt;&gt;""),"",$AN283&amp;"|"&amp;$D283&amp;"|"&amp;IF($C283="","zzz",$C283)&amp;"|"&amp;TEXT(283,"0000"))</f>
        <v/>
      </c>
      <c r="AP283" s="50" t="str">
        <f aca="false">IF($AO283="","",COUNTIF($AO$5:$AO$1004,"&lt;"&amp;$AO283)-(ROWS($AO$5:$AO$1004)-Hoje!$L$5)+1)</f>
        <v/>
      </c>
      <c r="AQ283" s="50" t="n">
        <f aca="false">IF(AND($F283&lt;&gt;"",$D283=Frota!$C$3),1,0)</f>
        <v>0</v>
      </c>
      <c r="AR283" s="50" t="str">
        <f aca="false">IF($AQ283=0,"",SUM($AQ$4:$AQ283))</f>
        <v/>
      </c>
      <c r="AS283" s="50" t="str">
        <f aca="false">IFERROR(INDEX(Hoje!$K$10:$K$29,MATCH(ROW(),Hoje!$J$10:$J$29,0)),"")</f>
        <v/>
      </c>
      <c r="AT283" s="47" t="n">
        <f aca="false">IF($Q283&lt;&gt;"",$Q283,$AS283)</f>
        <v>46269</v>
      </c>
    </row>
    <row r="284" customFormat="false" ht="16.5" hidden="false" customHeight="true" outlineLevel="0" collapsed="false">
      <c r="A284" s="39" t="n">
        <f aca="false">IF($F284="","",ROW())</f>
        <v>284</v>
      </c>
      <c r="B284" s="40" t="str">
        <f aca="false">IF($F284="",IF($D284="","","Falta a atividade"),IF($R284="Cancelada","Cancelada",IF($AB284=1,IF(N($Z284)&gt;0,"Concluída com atraso","Concluída"),IF($R284="Em programação","Em programação",IF($O284="",IF($M284="","Na carteira","Falta a semana"),IF($AC284=1,"VENCIDA",IF($O284&gt;Hoje!$L$1,"Programada",IF($P284&gt;Hoje!$L$1,"Em execução","Fecha hoje"))))))))</f>
        <v>Concluída</v>
      </c>
      <c r="C284" s="41"/>
      <c r="D284" s="42" t="s">
        <v>281</v>
      </c>
      <c r="E284" s="42" t="s">
        <v>694</v>
      </c>
      <c r="F284" s="42" t="s">
        <v>695</v>
      </c>
      <c r="G284" s="43" t="s">
        <v>80</v>
      </c>
      <c r="H284" s="43" t="s">
        <v>100</v>
      </c>
      <c r="I284" s="44" t="s">
        <v>283</v>
      </c>
      <c r="J284" s="44" t="s">
        <v>106</v>
      </c>
      <c r="K284" s="44"/>
      <c r="L284" s="45" t="n">
        <v>37</v>
      </c>
      <c r="M284" s="46" t="s">
        <v>131</v>
      </c>
      <c r="N284" s="45" t="n">
        <v>4</v>
      </c>
      <c r="O284" s="47" t="n">
        <f aca="false">IF(OR($L284="",$M284=""),"",(DATE(Semana!$J$3,1,4)-WEEKDAY(DATE(Semana!$J$3,1,4),3))+($L284-1)*7+MATCH($M284,Listas!$F$5:$F$11,0)-1)</f>
        <v>46273</v>
      </c>
      <c r="P284" s="47" t="n">
        <f aca="false">IF(OR($F284="",$O284=""),"",$O284+MAX(0,ROUNDUP($AK284*MAX(1,IF($N284="",1,$N284))/MAX(1,$AL284),0)-1))</f>
        <v>46276</v>
      </c>
      <c r="Q284" s="48" t="n">
        <v>46273</v>
      </c>
      <c r="R284" s="43" t="s">
        <v>85</v>
      </c>
      <c r="S284" s="49"/>
      <c r="T284" s="42"/>
      <c r="U284" s="42" t="s">
        <v>696</v>
      </c>
      <c r="V284" s="39" t="str">
        <f aca="false">IF($F284="","",IF(ISNUMBER(SEARCH("(externo)",$I284&amp;$J284&amp;$K284)),"Terceirizada","Interna"))</f>
        <v>Interna</v>
      </c>
      <c r="W284" s="47" t="n">
        <f aca="false">IF($O284="","",IF($S284="",$O284,(DATE(Semana!$J$3,1,4)-WEEKDAY(DATE(Semana!$J$3,1,4),3))+($S284-1)*7+IF($M284="",0,MATCH($M284,Listas!$F$5:$F$11,0)-1)))</f>
        <v>46273</v>
      </c>
      <c r="X284" s="39" t="n">
        <f aca="false">IF($F284="","",IF(OR($AT284="",$O284=""),0,IF($AT284&lt;=$O284,1,0)))</f>
        <v>1</v>
      </c>
      <c r="Y284" s="39" t="n">
        <f aca="false">IF($F284="","",IF(OR($AT284="",$W284=""),0,IF($AT284&lt;=$W284,1,0)))</f>
        <v>1</v>
      </c>
      <c r="Z284" s="39" t="n">
        <f aca="false">IF(OR($AT284="",$O284=""),"",MAX(0,$AT284-$O284))</f>
        <v>0</v>
      </c>
      <c r="AA284" s="39" t="n">
        <f aca="false">IF($F284="","",IF(AND($S284&lt;&gt;"",$L284&lt;&gt;"",$S284&lt;&gt;$L284),1,0))</f>
        <v>0</v>
      </c>
      <c r="AB284" s="39" t="n">
        <f aca="false">IF($F284="","",IF($R284="Cancelada",0,IF(OR($AT284&lt;&gt;"",$R284="Concluída"),1,0)))</f>
        <v>1</v>
      </c>
      <c r="AC284" s="39" t="n">
        <f aca="false">IF($P284="",0,IF($P284&lt;Hoje!$L$1,1,IF(AND($P284=Hoje!$L$1,Hoje!$L$2&gt;Semana!$M$3),1,0)))</f>
        <v>0</v>
      </c>
      <c r="AD284" s="39" t="n">
        <f aca="false">IF($F284="","",IF(COUNTA($I284:$K284)=0,0,1/COUNTA($I284:$K284)))</f>
        <v>0.5</v>
      </c>
      <c r="AE284" s="39" t="n">
        <f aca="false">IF($AH284=0,"",SUM($AH$4:$AH284))</f>
        <v>7</v>
      </c>
      <c r="AF284" s="39" t="str">
        <f aca="false">IF($AI284=0,"",SUM($AI$4:$AI284))</f>
        <v/>
      </c>
      <c r="AG284" s="50" t="str">
        <f aca="false">IF($F284="","",$I284&amp;IF($J284="",""," · "&amp;$J284)&amp;IF($K284="",""," · "&amp;$K284))</f>
        <v>Heliton · Adilton</v>
      </c>
      <c r="AH284" s="39" t="n">
        <f aca="false">IF(AND($F284&lt;&gt;"",$O284&lt;&gt;"",$O284&lt;=Hoje!$C$3,$P284&gt;=Hoje!$C$3,$R284&lt;&gt;"Cancelada"),1,0)</f>
        <v>1</v>
      </c>
      <c r="AI284" s="39" t="n">
        <f aca="false">IF(AND($F284&lt;&gt;"",$P284&lt;&gt;"",$P284&lt;Hoje!$C$3,$AB284=0,$R284&lt;&gt;"Cancelada"),1,0)</f>
        <v>0</v>
      </c>
      <c r="AJ284" s="50" t="str">
        <f aca="false">IF($F284="","",$D284&amp;"|"&amp;$E284&amp;"|"&amp;$L284)</f>
        <v>F-815|Programação 08/09|37</v>
      </c>
      <c r="AK284" s="39" t="n">
        <f aca="false">IF($AJ284="","",COUNTIF($AJ$4:$AJ284,$AJ284))</f>
        <v>1</v>
      </c>
      <c r="AL284" s="39" t="n">
        <f aca="false">IF($AJ284="","",COUNTIF($AJ$4:$AJ$1004,$AJ284))</f>
        <v>1</v>
      </c>
      <c r="AM284" s="42"/>
      <c r="AN284" s="50" t="str">
        <f aca="false">IF($D284="","",IFERROR(T(VLOOKUP($D284,Listas!$B$5:$H$120,7,0)),""))</f>
        <v/>
      </c>
      <c r="AO284" s="50" t="str">
        <f aca="false">IF(OR($F284="",$L284&lt;&gt;"",$R284="Cancelada",$AT284&lt;&gt;""),"",$AN284&amp;"|"&amp;$D284&amp;"|"&amp;IF($C284="","zzz",$C284)&amp;"|"&amp;TEXT(284,"0000"))</f>
        <v/>
      </c>
      <c r="AP284" s="50" t="str">
        <f aca="false">IF($AO284="","",COUNTIF($AO$5:$AO$1004,"&lt;"&amp;$AO284)-(ROWS($AO$5:$AO$1004)-Hoje!$L$5)+1)</f>
        <v/>
      </c>
      <c r="AQ284" s="50" t="n">
        <f aca="false">IF(AND($F284&lt;&gt;"",$D284=Frota!$C$3),1,0)</f>
        <v>0</v>
      </c>
      <c r="AR284" s="50" t="str">
        <f aca="false">IF($AQ284=0,"",SUM($AQ$4:$AQ284))</f>
        <v/>
      </c>
      <c r="AS284" s="50" t="str">
        <f aca="false">IFERROR(INDEX(Hoje!$K$10:$K$29,MATCH(ROW(),Hoje!$J$10:$J$29,0)),"")</f>
        <v/>
      </c>
      <c r="AT284" s="47" t="n">
        <f aca="false">IF($Q284&lt;&gt;"",$Q284,$AS284)</f>
        <v>46273</v>
      </c>
    </row>
    <row r="285" customFormat="false" ht="16.5" hidden="false" customHeight="true" outlineLevel="0" collapsed="false">
      <c r="A285" s="39" t="n">
        <f aca="false">IF($F285="","",ROW())</f>
        <v>285</v>
      </c>
      <c r="B285" s="40" t="str">
        <f aca="false">IF($F285="",IF($D285="","","Falta a atividade"),IF($R285="Cancelada","Cancelada",IF($AB285=1,IF(N($Z285)&gt;0,"Concluída com atraso","Concluída"),IF($R285="Em programação","Em programação",IF($O285="",IF($M285="","Na carteira","Falta a semana"),IF($AC285=1,"VENCIDA",IF($O285&gt;Hoje!$L$1,"Programada",IF($P285&gt;Hoje!$L$1,"Em execução","Fecha hoje"))))))))</f>
        <v>Concluída</v>
      </c>
      <c r="C285" s="41"/>
      <c r="D285" s="42" t="s">
        <v>450</v>
      </c>
      <c r="E285" s="42" t="s">
        <v>694</v>
      </c>
      <c r="F285" s="42" t="s">
        <v>675</v>
      </c>
      <c r="G285" s="43" t="s">
        <v>80</v>
      </c>
      <c r="H285" s="43" t="s">
        <v>100</v>
      </c>
      <c r="I285" s="44" t="s">
        <v>107</v>
      </c>
      <c r="J285" s="44" t="s">
        <v>88</v>
      </c>
      <c r="K285" s="44"/>
      <c r="L285" s="45" t="n">
        <v>37</v>
      </c>
      <c r="M285" s="46" t="s">
        <v>131</v>
      </c>
      <c r="N285" s="45" t="n">
        <v>4</v>
      </c>
      <c r="O285" s="47" t="n">
        <f aca="false">IF(OR($L285="",$M285=""),"",(DATE(Semana!$J$3,1,4)-WEEKDAY(DATE(Semana!$J$3,1,4),3))+($L285-1)*7+MATCH($M285,Listas!$F$5:$F$11,0)-1)</f>
        <v>46273</v>
      </c>
      <c r="P285" s="47" t="n">
        <f aca="false">IF(OR($F285="",$O285=""),"",$O285+MAX(0,ROUNDUP($AK285*MAX(1,IF($N285="",1,$N285))/MAX(1,$AL285),0)-1))</f>
        <v>46273</v>
      </c>
      <c r="Q285" s="48" t="n">
        <v>46273</v>
      </c>
      <c r="R285" s="43" t="s">
        <v>85</v>
      </c>
      <c r="S285" s="49"/>
      <c r="T285" s="42"/>
      <c r="U285" s="42"/>
      <c r="V285" s="39" t="str">
        <f aca="false">IF($F285="","",IF(ISNUMBER(SEARCH("(externo)",$I285&amp;$J285&amp;$K285)),"Terceirizada","Interna"))</f>
        <v>Interna</v>
      </c>
      <c r="W285" s="47" t="n">
        <f aca="false">IF($O285="","",IF($S285="",$O285,(DATE(Semana!$J$3,1,4)-WEEKDAY(DATE(Semana!$J$3,1,4),3))+($S285-1)*7+IF($M285="",0,MATCH($M285,Listas!$F$5:$F$11,0)-1)))</f>
        <v>46273</v>
      </c>
      <c r="X285" s="39" t="n">
        <f aca="false">IF($F285="","",IF(OR($AT285="",$O285=""),0,IF($AT285&lt;=$O285,1,0)))</f>
        <v>1</v>
      </c>
      <c r="Y285" s="39" t="n">
        <f aca="false">IF($F285="","",IF(OR($AT285="",$W285=""),0,IF($AT285&lt;=$W285,1,0)))</f>
        <v>1</v>
      </c>
      <c r="Z285" s="39" t="n">
        <f aca="false">IF(OR($AT285="",$O285=""),"",MAX(0,$AT285-$O285))</f>
        <v>0</v>
      </c>
      <c r="AA285" s="39" t="n">
        <f aca="false">IF($F285="","",IF(AND($S285&lt;&gt;"",$L285&lt;&gt;"",$S285&lt;&gt;$L285),1,0))</f>
        <v>0</v>
      </c>
      <c r="AB285" s="39" t="n">
        <f aca="false">IF($F285="","",IF($R285="Cancelada",0,IF(OR($AT285&lt;&gt;"",$R285="Concluída"),1,0)))</f>
        <v>1</v>
      </c>
      <c r="AC285" s="39" t="n">
        <f aca="false">IF($P285="",0,IF($P285&lt;Hoje!$L$1,1,IF(AND($P285=Hoje!$L$1,Hoje!$L$2&gt;Semana!$M$3),1,0)))</f>
        <v>1</v>
      </c>
      <c r="AD285" s="39" t="n">
        <f aca="false">IF($F285="","",IF(COUNTA($I285:$K285)=0,0,1/COUNTA($I285:$K285)))</f>
        <v>0.5</v>
      </c>
      <c r="AE285" s="39" t="str">
        <f aca="false">IF($AH285=0,"",SUM($AH$4:$AH285))</f>
        <v/>
      </c>
      <c r="AF285" s="39" t="str">
        <f aca="false">IF($AI285=0,"",SUM($AI$4:$AI285))</f>
        <v/>
      </c>
      <c r="AG285" s="50" t="str">
        <f aca="false">IF($F285="","",$I285&amp;IF($J285="",""," · "&amp;$J285)&amp;IF($K285="",""," · "&amp;$K285))</f>
        <v>Gabriel · Júnior</v>
      </c>
      <c r="AH285" s="39" t="n">
        <f aca="false">IF(AND($F285&lt;&gt;"",$O285&lt;&gt;"",$O285&lt;=Hoje!$C$3,$P285&gt;=Hoje!$C$3,$R285&lt;&gt;"Cancelada"),1,0)</f>
        <v>0</v>
      </c>
      <c r="AI285" s="39" t="n">
        <f aca="false">IF(AND($F285&lt;&gt;"",$P285&lt;&gt;"",$P285&lt;Hoje!$C$3,$AB285=0,$R285&lt;&gt;"Cancelada"),1,0)</f>
        <v>0</v>
      </c>
      <c r="AJ285" s="50" t="str">
        <f aca="false">IF($F285="","",$D285&amp;"|"&amp;$E285&amp;"|"&amp;$L285)</f>
        <v>F-1065|Programação 08/09|37</v>
      </c>
      <c r="AK285" s="39" t="n">
        <f aca="false">IF($AJ285="","",COUNTIF($AJ$4:$AJ285,$AJ285))</f>
        <v>1</v>
      </c>
      <c r="AL285" s="39" t="n">
        <f aca="false">IF($AJ285="","",COUNTIF($AJ$4:$AJ$1004,$AJ285))</f>
        <v>4</v>
      </c>
      <c r="AM285" s="42"/>
      <c r="AN285" s="50" t="str">
        <f aca="false">IF($D285="","",IFERROR(T(VLOOKUP($D285,Listas!$B$5:$H$120,7,0)),""))</f>
        <v/>
      </c>
      <c r="AO285" s="50" t="str">
        <f aca="false">IF(OR($F285="",$L285&lt;&gt;"",$R285="Cancelada",$AT285&lt;&gt;""),"",$AN285&amp;"|"&amp;$D285&amp;"|"&amp;IF($C285="","zzz",$C285)&amp;"|"&amp;TEXT(285,"0000"))</f>
        <v/>
      </c>
      <c r="AP285" s="50" t="str">
        <f aca="false">IF($AO285="","",COUNTIF($AO$5:$AO$1004,"&lt;"&amp;$AO285)-(ROWS($AO$5:$AO$1004)-Hoje!$L$5)+1)</f>
        <v/>
      </c>
      <c r="AQ285" s="50" t="n">
        <f aca="false">IF(AND($F285&lt;&gt;"",$D285=Frota!$C$3),1,0)</f>
        <v>0</v>
      </c>
      <c r="AR285" s="50" t="str">
        <f aca="false">IF($AQ285=0,"",SUM($AQ$4:$AQ285))</f>
        <v/>
      </c>
      <c r="AS285" s="50" t="str">
        <f aca="false">IFERROR(INDEX(Hoje!$K$10:$K$29,MATCH(ROW(),Hoje!$J$10:$J$29,0)),"")</f>
        <v/>
      </c>
      <c r="AT285" s="47" t="n">
        <f aca="false">IF($Q285&lt;&gt;"",$Q285,$AS285)</f>
        <v>46273</v>
      </c>
    </row>
    <row r="286" customFormat="false" ht="16.5" hidden="false" customHeight="true" outlineLevel="0" collapsed="false">
      <c r="A286" s="39" t="n">
        <f aca="false">IF($F286="","",ROW())</f>
        <v>286</v>
      </c>
      <c r="B286" s="40" t="str">
        <f aca="false">IF($F286="",IF($D286="","","Falta a atividade"),IF($R286="Cancelada","Cancelada",IF($AB286=1,IF(N($Z286)&gt;0,"Concluída com atraso","Concluída"),IF($R286="Em programação","Em programação",IF($O286="",IF($M286="","Na carteira","Falta a semana"),IF($AC286=1,"VENCIDA",IF($O286&gt;Hoje!$L$1,"Programada",IF($P286&gt;Hoje!$L$1,"Em execução","Fecha hoje"))))))))</f>
        <v>Concluída</v>
      </c>
      <c r="C286" s="41"/>
      <c r="D286" s="42" t="s">
        <v>134</v>
      </c>
      <c r="E286" s="42" t="s">
        <v>694</v>
      </c>
      <c r="F286" s="42" t="s">
        <v>697</v>
      </c>
      <c r="G286" s="43" t="s">
        <v>80</v>
      </c>
      <c r="H286" s="43" t="s">
        <v>100</v>
      </c>
      <c r="I286" s="44" t="s">
        <v>107</v>
      </c>
      <c r="J286" s="44"/>
      <c r="K286" s="44"/>
      <c r="L286" s="45" t="n">
        <v>37</v>
      </c>
      <c r="M286" s="46" t="s">
        <v>131</v>
      </c>
      <c r="N286" s="45" t="n">
        <v>3</v>
      </c>
      <c r="O286" s="47" t="n">
        <f aca="false">IF(OR($L286="",$M286=""),"",(DATE(Semana!$J$3,1,4)-WEEKDAY(DATE(Semana!$J$3,1,4),3))+($L286-1)*7+MATCH($M286,Listas!$F$5:$F$11,0)-1)</f>
        <v>46273</v>
      </c>
      <c r="P286" s="47" t="n">
        <f aca="false">IF(OR($F286="",$O286=""),"",$O286+MAX(0,ROUNDUP($AK286*MAX(1,IF($N286="",1,$N286))/MAX(1,$AL286),0)-1))</f>
        <v>46274</v>
      </c>
      <c r="Q286" s="48" t="n">
        <v>46273</v>
      </c>
      <c r="R286" s="43" t="s">
        <v>85</v>
      </c>
      <c r="S286" s="49"/>
      <c r="T286" s="42"/>
      <c r="U286" s="42" t="s">
        <v>698</v>
      </c>
      <c r="V286" s="39" t="str">
        <f aca="false">IF($F286="","",IF(ISNUMBER(SEARCH("(externo)",$I286&amp;$J286&amp;$K286)),"Terceirizada","Interna"))</f>
        <v>Interna</v>
      </c>
      <c r="W286" s="47" t="n">
        <f aca="false">IF($O286="","",IF($S286="",$O286,(DATE(Semana!$J$3,1,4)-WEEKDAY(DATE(Semana!$J$3,1,4),3))+($S286-1)*7+IF($M286="",0,MATCH($M286,Listas!$F$5:$F$11,0)-1)))</f>
        <v>46273</v>
      </c>
      <c r="X286" s="39" t="n">
        <f aca="false">IF($F286="","",IF(OR($AT286="",$O286=""),0,IF($AT286&lt;=$O286,1,0)))</f>
        <v>1</v>
      </c>
      <c r="Y286" s="39" t="n">
        <f aca="false">IF($F286="","",IF(OR($AT286="",$W286=""),0,IF($AT286&lt;=$W286,1,0)))</f>
        <v>1</v>
      </c>
      <c r="Z286" s="39" t="n">
        <f aca="false">IF(OR($AT286="",$O286=""),"",MAX(0,$AT286-$O286))</f>
        <v>0</v>
      </c>
      <c r="AA286" s="39" t="n">
        <f aca="false">IF($F286="","",IF(AND($S286&lt;&gt;"",$L286&lt;&gt;"",$S286&lt;&gt;$L286),1,0))</f>
        <v>0</v>
      </c>
      <c r="AB286" s="39" t="n">
        <f aca="false">IF($F286="","",IF($R286="Cancelada",0,IF(OR($AT286&lt;&gt;"",$R286="Concluída"),1,0)))</f>
        <v>1</v>
      </c>
      <c r="AC286" s="39" t="n">
        <f aca="false">IF($P286="",0,IF($P286&lt;Hoje!$L$1,1,IF(AND($P286=Hoje!$L$1,Hoje!$L$2&gt;Semana!$M$3),1,0)))</f>
        <v>0</v>
      </c>
      <c r="AD286" s="39" t="n">
        <f aca="false">IF($F286="","",IF(COUNTA($I286:$K286)=0,0,1/COUNTA($I286:$K286)))</f>
        <v>1</v>
      </c>
      <c r="AE286" s="39" t="n">
        <f aca="false">IF($AH286=0,"",SUM($AH$4:$AH286))</f>
        <v>8</v>
      </c>
      <c r="AF286" s="39" t="str">
        <f aca="false">IF($AI286=0,"",SUM($AI$4:$AI286))</f>
        <v/>
      </c>
      <c r="AG286" s="50" t="str">
        <f aca="false">IF($F286="","",$I286&amp;IF($J286="",""," · "&amp;$J286)&amp;IF($K286="",""," · "&amp;$K286))</f>
        <v>Gabriel</v>
      </c>
      <c r="AH286" s="39" t="n">
        <f aca="false">IF(AND($F286&lt;&gt;"",$O286&lt;&gt;"",$O286&lt;=Hoje!$C$3,$P286&gt;=Hoje!$C$3,$R286&lt;&gt;"Cancelada"),1,0)</f>
        <v>1</v>
      </c>
      <c r="AI286" s="39" t="n">
        <f aca="false">IF(AND($F286&lt;&gt;"",$P286&lt;&gt;"",$P286&lt;Hoje!$C$3,$AB286=0,$R286&lt;&gt;"Cancelada"),1,0)</f>
        <v>0</v>
      </c>
      <c r="AJ286" s="50" t="str">
        <f aca="false">IF($F286="","",$D286&amp;"|"&amp;$E286&amp;"|"&amp;$L286)</f>
        <v>F-331|Programação 08/09|37</v>
      </c>
      <c r="AK286" s="39" t="n">
        <f aca="false">IF($AJ286="","",COUNTIF($AJ$4:$AJ286,$AJ286))</f>
        <v>1</v>
      </c>
      <c r="AL286" s="39" t="n">
        <f aca="false">IF($AJ286="","",COUNTIF($AJ$4:$AJ$1004,$AJ286))</f>
        <v>2</v>
      </c>
      <c r="AM286" s="42"/>
      <c r="AN286" s="50" t="str">
        <f aca="false">IF($D286="","",IFERROR(T(VLOOKUP($D286,Listas!$B$5:$H$120,7,0)),""))</f>
        <v/>
      </c>
      <c r="AO286" s="50" t="str">
        <f aca="false">IF(OR($F286="",$L286&lt;&gt;"",$R286="Cancelada",$AT286&lt;&gt;""),"",$AN286&amp;"|"&amp;$D286&amp;"|"&amp;IF($C286="","zzz",$C286)&amp;"|"&amp;TEXT(286,"0000"))</f>
        <v/>
      </c>
      <c r="AP286" s="50" t="str">
        <f aca="false">IF($AO286="","",COUNTIF($AO$5:$AO$1004,"&lt;"&amp;$AO286)-(ROWS($AO$5:$AO$1004)-Hoje!$L$5)+1)</f>
        <v/>
      </c>
      <c r="AQ286" s="50" t="n">
        <f aca="false">IF(AND($F286&lt;&gt;"",$D286=Frota!$C$3),1,0)</f>
        <v>0</v>
      </c>
      <c r="AR286" s="50" t="str">
        <f aca="false">IF($AQ286=0,"",SUM($AQ$4:$AQ286))</f>
        <v/>
      </c>
      <c r="AS286" s="50" t="str">
        <f aca="false">IFERROR(INDEX(Hoje!$K$10:$K$29,MATCH(ROW(),Hoje!$J$10:$J$29,0)),"")</f>
        <v/>
      </c>
      <c r="AT286" s="47" t="n">
        <f aca="false">IF($Q286&lt;&gt;"",$Q286,$AS286)</f>
        <v>46273</v>
      </c>
    </row>
    <row r="287" customFormat="false" ht="16.5" hidden="false" customHeight="true" outlineLevel="0" collapsed="false">
      <c r="A287" s="39" t="n">
        <f aca="false">IF($F287="","",ROW())</f>
        <v>287</v>
      </c>
      <c r="B287" s="40" t="str">
        <f aca="false">IF($F287="",IF($D287="","","Falta a atividade"),IF($R287="Cancelada","Cancelada",IF($AB287=1,IF(N($Z287)&gt;0,"Concluída com atraso","Concluída"),IF($R287="Em programação","Em programação",IF($O287="",IF($M287="","Na carteira","Falta a semana"),IF($AC287=1,"VENCIDA",IF($O287&gt;Hoje!$L$1,"Programada",IF($P287&gt;Hoje!$L$1,"Em execução","Fecha hoje"))))))))</f>
        <v>Concluída</v>
      </c>
      <c r="C287" s="41"/>
      <c r="D287" s="42" t="s">
        <v>134</v>
      </c>
      <c r="E287" s="42" t="s">
        <v>694</v>
      </c>
      <c r="F287" s="42" t="s">
        <v>699</v>
      </c>
      <c r="G287" s="43" t="s">
        <v>80</v>
      </c>
      <c r="H287" s="43" t="s">
        <v>100</v>
      </c>
      <c r="I287" s="44" t="s">
        <v>107</v>
      </c>
      <c r="J287" s="44"/>
      <c r="K287" s="44"/>
      <c r="L287" s="45" t="n">
        <v>37</v>
      </c>
      <c r="M287" s="46" t="s">
        <v>131</v>
      </c>
      <c r="N287" s="45" t="n">
        <v>3</v>
      </c>
      <c r="O287" s="47" t="n">
        <f aca="false">IF(OR($L287="",$M287=""),"",(DATE(Semana!$J$3,1,4)-WEEKDAY(DATE(Semana!$J$3,1,4),3))+($L287-1)*7+MATCH($M287,Listas!$F$5:$F$11,0)-1)</f>
        <v>46273</v>
      </c>
      <c r="P287" s="47" t="n">
        <f aca="false">IF(OR($F287="",$O287=""),"",$O287+MAX(0,ROUNDUP($AK287*MAX(1,IF($N287="",1,$N287))/MAX(1,$AL287),0)-1))</f>
        <v>46275</v>
      </c>
      <c r="Q287" s="48" t="n">
        <v>46273</v>
      </c>
      <c r="R287" s="43" t="s">
        <v>85</v>
      </c>
      <c r="S287" s="49"/>
      <c r="T287" s="42"/>
      <c r="U287" s="42" t="s">
        <v>700</v>
      </c>
      <c r="V287" s="39" t="str">
        <f aca="false">IF($F287="","",IF(ISNUMBER(SEARCH("(externo)",$I287&amp;$J287&amp;$K287)),"Terceirizada","Interna"))</f>
        <v>Interna</v>
      </c>
      <c r="W287" s="47" t="n">
        <f aca="false">IF($O287="","",IF($S287="",$O287,(DATE(Semana!$J$3,1,4)-WEEKDAY(DATE(Semana!$J$3,1,4),3))+($S287-1)*7+IF($M287="",0,MATCH($M287,Listas!$F$5:$F$11,0)-1)))</f>
        <v>46273</v>
      </c>
      <c r="X287" s="39" t="n">
        <f aca="false">IF($F287="","",IF(OR($AT287="",$O287=""),0,IF($AT287&lt;=$O287,1,0)))</f>
        <v>1</v>
      </c>
      <c r="Y287" s="39" t="n">
        <f aca="false">IF($F287="","",IF(OR($AT287="",$W287=""),0,IF($AT287&lt;=$W287,1,0)))</f>
        <v>1</v>
      </c>
      <c r="Z287" s="39" t="n">
        <f aca="false">IF(OR($AT287="",$O287=""),"",MAX(0,$AT287-$O287))</f>
        <v>0</v>
      </c>
      <c r="AA287" s="39" t="n">
        <f aca="false">IF($F287="","",IF(AND($S287&lt;&gt;"",$L287&lt;&gt;"",$S287&lt;&gt;$L287),1,0))</f>
        <v>0</v>
      </c>
      <c r="AB287" s="39" t="n">
        <f aca="false">IF($F287="","",IF($R287="Cancelada",0,IF(OR($AT287&lt;&gt;"",$R287="Concluída"),1,0)))</f>
        <v>1</v>
      </c>
      <c r="AC287" s="39" t="n">
        <f aca="false">IF($P287="",0,IF($P287&lt;Hoje!$L$1,1,IF(AND($P287=Hoje!$L$1,Hoje!$L$2&gt;Semana!$M$3),1,0)))</f>
        <v>0</v>
      </c>
      <c r="AD287" s="39" t="n">
        <f aca="false">IF($F287="","",IF(COUNTA($I287:$K287)=0,0,1/COUNTA($I287:$K287)))</f>
        <v>1</v>
      </c>
      <c r="AE287" s="39" t="n">
        <f aca="false">IF($AH287=0,"",SUM($AH$4:$AH287))</f>
        <v>9</v>
      </c>
      <c r="AF287" s="39" t="str">
        <f aca="false">IF($AI287=0,"",SUM($AI$4:$AI287))</f>
        <v/>
      </c>
      <c r="AG287" s="50" t="str">
        <f aca="false">IF($F287="","",$I287&amp;IF($J287="",""," · "&amp;$J287)&amp;IF($K287="",""," · "&amp;$K287))</f>
        <v>Gabriel</v>
      </c>
      <c r="AH287" s="39" t="n">
        <f aca="false">IF(AND($F287&lt;&gt;"",$O287&lt;&gt;"",$O287&lt;=Hoje!$C$3,$P287&gt;=Hoje!$C$3,$R287&lt;&gt;"Cancelada"),1,0)</f>
        <v>1</v>
      </c>
      <c r="AI287" s="39" t="n">
        <f aca="false">IF(AND($F287&lt;&gt;"",$P287&lt;&gt;"",$P287&lt;Hoje!$C$3,$AB287=0,$R287&lt;&gt;"Cancelada"),1,0)</f>
        <v>0</v>
      </c>
      <c r="AJ287" s="50" t="str">
        <f aca="false">IF($F287="","",$D287&amp;"|"&amp;$E287&amp;"|"&amp;$L287)</f>
        <v>F-331|Programação 08/09|37</v>
      </c>
      <c r="AK287" s="39" t="n">
        <f aca="false">IF($AJ287="","",COUNTIF($AJ$4:$AJ287,$AJ287))</f>
        <v>2</v>
      </c>
      <c r="AL287" s="39" t="n">
        <f aca="false">IF($AJ287="","",COUNTIF($AJ$4:$AJ$1004,$AJ287))</f>
        <v>2</v>
      </c>
      <c r="AM287" s="42"/>
      <c r="AN287" s="50" t="str">
        <f aca="false">IF($D287="","",IFERROR(T(VLOOKUP($D287,Listas!$B$5:$H$120,7,0)),""))</f>
        <v/>
      </c>
      <c r="AO287" s="50" t="str">
        <f aca="false">IF(OR($F287="",$L287&lt;&gt;"",$R287="Cancelada",$AT287&lt;&gt;""),"",$AN287&amp;"|"&amp;$D287&amp;"|"&amp;IF($C287="","zzz",$C287)&amp;"|"&amp;TEXT(287,"0000"))</f>
        <v/>
      </c>
      <c r="AP287" s="50" t="str">
        <f aca="false">IF($AO287="","",COUNTIF($AO$5:$AO$1004,"&lt;"&amp;$AO287)-(ROWS($AO$5:$AO$1004)-Hoje!$L$5)+1)</f>
        <v/>
      </c>
      <c r="AQ287" s="50" t="n">
        <f aca="false">IF(AND($F287&lt;&gt;"",$D287=Frota!$C$3),1,0)</f>
        <v>0</v>
      </c>
      <c r="AR287" s="50" t="str">
        <f aca="false">IF($AQ287=0,"",SUM($AQ$4:$AQ287))</f>
        <v/>
      </c>
      <c r="AS287" s="50" t="str">
        <f aca="false">IFERROR(INDEX(Hoje!$K$10:$K$29,MATCH(ROW(),Hoje!$J$10:$J$29,0)),"")</f>
        <v/>
      </c>
      <c r="AT287" s="47" t="n">
        <f aca="false">IF($Q287&lt;&gt;"",$Q287,$AS287)</f>
        <v>46273</v>
      </c>
    </row>
    <row r="288" customFormat="false" ht="16.5" hidden="false" customHeight="true" outlineLevel="0" collapsed="false">
      <c r="A288" s="39" t="n">
        <f aca="false">IF($F288="","",ROW())</f>
        <v>288</v>
      </c>
      <c r="B288" s="40" t="str">
        <f aca="false">IF($F288="",IF($D288="","","Falta a atividade"),IF($R288="Cancelada","Cancelada",IF($AB288=1,IF(N($Z288)&gt;0,"Concluída com atraso","Concluída"),IF($R288="Em programação","Em programação",IF($O288="",IF($M288="","Na carteira","Falta a semana"),IF($AC288=1,"VENCIDA",IF($O288&gt;Hoje!$L$1,"Programada",IF($P288&gt;Hoje!$L$1,"Em execução","Fecha hoje"))))))))</f>
        <v>VENCIDA</v>
      </c>
      <c r="C288" s="41"/>
      <c r="D288" s="42" t="s">
        <v>448</v>
      </c>
      <c r="E288" s="42" t="s">
        <v>694</v>
      </c>
      <c r="F288" s="42" t="s">
        <v>701</v>
      </c>
      <c r="G288" s="43" t="s">
        <v>594</v>
      </c>
      <c r="H288" s="43" t="s">
        <v>100</v>
      </c>
      <c r="I288" s="44" t="s">
        <v>107</v>
      </c>
      <c r="J288" s="44" t="s">
        <v>88</v>
      </c>
      <c r="K288" s="44"/>
      <c r="L288" s="45" t="n">
        <v>37</v>
      </c>
      <c r="M288" s="46" t="s">
        <v>131</v>
      </c>
      <c r="N288" s="45" t="n">
        <v>4</v>
      </c>
      <c r="O288" s="47" t="n">
        <f aca="false">IF(OR($L288="",$M288=""),"",(DATE(Semana!$J$3,1,4)-WEEKDAY(DATE(Semana!$J$3,1,4),3))+($L288-1)*7+MATCH($M288,Listas!$F$5:$F$11,0)-1)</f>
        <v>46273</v>
      </c>
      <c r="P288" s="47" t="n">
        <f aca="false">IF(OR($F288="",$O288=""),"",$O288+MAX(0,ROUNDUP($AK288*MAX(1,IF($N288="",1,$N288))/MAX(1,$AL288),0)-1))</f>
        <v>46273</v>
      </c>
      <c r="Q288" s="48"/>
      <c r="R288" s="43"/>
      <c r="S288" s="49"/>
      <c r="T288" s="42" t="s">
        <v>114</v>
      </c>
      <c r="U288" s="42" t="s">
        <v>702</v>
      </c>
      <c r="V288" s="39" t="str">
        <f aca="false">IF($F288="","",IF(ISNUMBER(SEARCH("(externo)",$I288&amp;$J288&amp;$K288)),"Terceirizada","Interna"))</f>
        <v>Interna</v>
      </c>
      <c r="W288" s="47" t="n">
        <f aca="false">IF($O288="","",IF($S288="",$O288,(DATE(Semana!$J$3,1,4)-WEEKDAY(DATE(Semana!$J$3,1,4),3))+($S288-1)*7+IF($M288="",0,MATCH($M288,Listas!$F$5:$F$11,0)-1)))</f>
        <v>46273</v>
      </c>
      <c r="X288" s="39" t="n">
        <f aca="false">IF($F288="","",IF(OR($AT288="",$O288=""),0,IF($AT288&lt;=$O288,1,0)))</f>
        <v>0</v>
      </c>
      <c r="Y288" s="39" t="n">
        <f aca="false">IF($F288="","",IF(OR($AT288="",$W288=""),0,IF($AT288&lt;=$W288,1,0)))</f>
        <v>0</v>
      </c>
      <c r="Z288" s="39" t="str">
        <f aca="false">IF(OR($AT288="",$O288=""),"",MAX(0,$AT288-$O288))</f>
        <v/>
      </c>
      <c r="AA288" s="39" t="n">
        <f aca="false">IF($F288="","",IF(AND($S288&lt;&gt;"",$L288&lt;&gt;"",$S288&lt;&gt;$L288),1,0))</f>
        <v>0</v>
      </c>
      <c r="AB288" s="39" t="n">
        <f aca="false">IF($F288="","",IF($R288="Cancelada",0,IF(OR($AT288&lt;&gt;"",$R288="Concluída"),1,0)))</f>
        <v>0</v>
      </c>
      <c r="AC288" s="39" t="n">
        <f aca="false">IF($P288="",0,IF($P288&lt;Hoje!$L$1,1,IF(AND($P288=Hoje!$L$1,Hoje!$L$2&gt;Semana!$M$3),1,0)))</f>
        <v>1</v>
      </c>
      <c r="AD288" s="39" t="n">
        <f aca="false">IF($F288="","",IF(COUNTA($I288:$K288)=0,0,1/COUNTA($I288:$K288)))</f>
        <v>0.5</v>
      </c>
      <c r="AE288" s="39" t="str">
        <f aca="false">IF($AH288=0,"",SUM($AH$4:$AH288))</f>
        <v/>
      </c>
      <c r="AF288" s="39" t="n">
        <f aca="false">IF($AI288=0,"",SUM($AI$4:$AI288))</f>
        <v>1</v>
      </c>
      <c r="AG288" s="50" t="str">
        <f aca="false">IF($F288="","",$I288&amp;IF($J288="",""," · "&amp;$J288)&amp;IF($K288="",""," · "&amp;$K288))</f>
        <v>Gabriel · Júnior</v>
      </c>
      <c r="AH288" s="39" t="n">
        <f aca="false">IF(AND($F288&lt;&gt;"",$O288&lt;&gt;"",$O288&lt;=Hoje!$C$3,$P288&gt;=Hoje!$C$3,$R288&lt;&gt;"Cancelada"),1,0)</f>
        <v>0</v>
      </c>
      <c r="AI288" s="39" t="n">
        <f aca="false">IF(AND($F288&lt;&gt;"",$P288&lt;&gt;"",$P288&lt;Hoje!$C$3,$AB288=0,$R288&lt;&gt;"Cancelada"),1,0)</f>
        <v>1</v>
      </c>
      <c r="AJ288" s="50" t="str">
        <f aca="false">IF($F288="","",$D288&amp;"|"&amp;$E288&amp;"|"&amp;$L288)</f>
        <v>F-1064|Programação 08/09|37</v>
      </c>
      <c r="AK288" s="39" t="n">
        <f aca="false">IF($AJ288="","",COUNTIF($AJ$4:$AJ288,$AJ288))</f>
        <v>1</v>
      </c>
      <c r="AL288" s="39" t="n">
        <f aca="false">IF($AJ288="","",COUNTIF($AJ$4:$AJ$1004,$AJ288))</f>
        <v>6</v>
      </c>
      <c r="AM288" s="42"/>
      <c r="AN288" s="50" t="str">
        <f aca="false">IF($D288="","",IFERROR(T(VLOOKUP($D288,Listas!$B$5:$H$120,7,0)),""))</f>
        <v/>
      </c>
      <c r="AO288" s="50" t="str">
        <f aca="false">IF(OR($F288="",$L288&lt;&gt;"",$R288="Cancelada",$AT288&lt;&gt;""),"",$AN288&amp;"|"&amp;$D288&amp;"|"&amp;IF($C288="","zzz",$C288)&amp;"|"&amp;TEXT(288,"0000"))</f>
        <v/>
      </c>
      <c r="AP288" s="50" t="str">
        <f aca="false">IF($AO288="","",COUNTIF($AO$5:$AO$1004,"&lt;"&amp;$AO288)-(ROWS($AO$5:$AO$1004)-Hoje!$L$5)+1)</f>
        <v/>
      </c>
      <c r="AQ288" s="50" t="n">
        <f aca="false">IF(AND($F288&lt;&gt;"",$D288=Frota!$C$3),1,0)</f>
        <v>0</v>
      </c>
      <c r="AR288" s="50" t="str">
        <f aca="false">IF($AQ288=0,"",SUM($AQ$4:$AQ288))</f>
        <v/>
      </c>
      <c r="AS288" s="50" t="str">
        <f aca="false">IFERROR(INDEX(Hoje!$K$10:$K$29,MATCH(ROW(),Hoje!$J$10:$J$29,0)),"")</f>
        <v/>
      </c>
      <c r="AT288" s="50" t="str">
        <f aca="false">IF($Q288&lt;&gt;"",$Q288,$AS288)</f>
        <v/>
      </c>
    </row>
    <row r="289" customFormat="false" ht="16.5" hidden="false" customHeight="true" outlineLevel="0" collapsed="false">
      <c r="A289" s="39" t="n">
        <f aca="false">IF($F289="","",ROW())</f>
        <v>289</v>
      </c>
      <c r="B289" s="40" t="str">
        <f aca="false">IF($F289="",IF($D289="","","Falta a atividade"),IF($R289="Cancelada","Cancelada",IF($AB289=1,IF(N($Z289)&gt;0,"Concluída com atraso","Concluída"),IF($R289="Em programação","Em programação",IF($O289="",IF($M289="","Na carteira","Falta a semana"),IF($AC289=1,"VENCIDA",IF($O289&gt;Hoje!$L$1,"Programada",IF($P289&gt;Hoje!$L$1,"Em execução","Fecha hoje"))))))))</f>
        <v>Concluída</v>
      </c>
      <c r="C289" s="41"/>
      <c r="D289" s="42" t="s">
        <v>448</v>
      </c>
      <c r="E289" s="42" t="s">
        <v>694</v>
      </c>
      <c r="F289" s="42" t="s">
        <v>703</v>
      </c>
      <c r="G289" s="43" t="s">
        <v>594</v>
      </c>
      <c r="H289" s="43" t="s">
        <v>100</v>
      </c>
      <c r="I289" s="44" t="s">
        <v>107</v>
      </c>
      <c r="J289" s="44" t="s">
        <v>88</v>
      </c>
      <c r="K289" s="44"/>
      <c r="L289" s="45" t="n">
        <v>37</v>
      </c>
      <c r="M289" s="46" t="s">
        <v>131</v>
      </c>
      <c r="N289" s="45" t="n">
        <v>4</v>
      </c>
      <c r="O289" s="47" t="n">
        <f aca="false">IF(OR($L289="",$M289=""),"",(DATE(Semana!$J$3,1,4)-WEEKDAY(DATE(Semana!$J$3,1,4),3))+($L289-1)*7+MATCH($M289,Listas!$F$5:$F$11,0)-1)</f>
        <v>46273</v>
      </c>
      <c r="P289" s="47" t="n">
        <f aca="false">IF(OR($F289="",$O289=""),"",$O289+MAX(0,ROUNDUP($AK289*MAX(1,IF($N289="",1,$N289))/MAX(1,$AL289),0)-1))</f>
        <v>46274</v>
      </c>
      <c r="Q289" s="48" t="n">
        <v>46273</v>
      </c>
      <c r="R289" s="43" t="s">
        <v>85</v>
      </c>
      <c r="S289" s="49"/>
      <c r="T289" s="42"/>
      <c r="U289" s="42" t="s">
        <v>704</v>
      </c>
      <c r="V289" s="39" t="str">
        <f aca="false">IF($F289="","",IF(ISNUMBER(SEARCH("(externo)",$I289&amp;$J289&amp;$K289)),"Terceirizada","Interna"))</f>
        <v>Interna</v>
      </c>
      <c r="W289" s="47" t="n">
        <f aca="false">IF($O289="","",IF($S289="",$O289,(DATE(Semana!$J$3,1,4)-WEEKDAY(DATE(Semana!$J$3,1,4),3))+($S289-1)*7+IF($M289="",0,MATCH($M289,Listas!$F$5:$F$11,0)-1)))</f>
        <v>46273</v>
      </c>
      <c r="X289" s="39" t="n">
        <f aca="false">IF($F289="","",IF(OR($AT289="",$O289=""),0,IF($AT289&lt;=$O289,1,0)))</f>
        <v>1</v>
      </c>
      <c r="Y289" s="39" t="n">
        <f aca="false">IF($F289="","",IF(OR($AT289="",$W289=""),0,IF($AT289&lt;=$W289,1,0)))</f>
        <v>1</v>
      </c>
      <c r="Z289" s="39" t="n">
        <f aca="false">IF(OR($AT289="",$O289=""),"",MAX(0,$AT289-$O289))</f>
        <v>0</v>
      </c>
      <c r="AA289" s="39" t="n">
        <f aca="false">IF($F289="","",IF(AND($S289&lt;&gt;"",$L289&lt;&gt;"",$S289&lt;&gt;$L289),1,0))</f>
        <v>0</v>
      </c>
      <c r="AB289" s="39" t="n">
        <f aca="false">IF($F289="","",IF($R289="Cancelada",0,IF(OR($AT289&lt;&gt;"",$R289="Concluída"),1,0)))</f>
        <v>1</v>
      </c>
      <c r="AC289" s="39" t="n">
        <f aca="false">IF($P289="",0,IF($P289&lt;Hoje!$L$1,1,IF(AND($P289=Hoje!$L$1,Hoje!$L$2&gt;Semana!$M$3),1,0)))</f>
        <v>0</v>
      </c>
      <c r="AD289" s="39" t="n">
        <f aca="false">IF($F289="","",IF(COUNTA($I289:$K289)=0,0,1/COUNTA($I289:$K289)))</f>
        <v>0.5</v>
      </c>
      <c r="AE289" s="39" t="n">
        <f aca="false">IF($AH289=0,"",SUM($AH$4:$AH289))</f>
        <v>10</v>
      </c>
      <c r="AF289" s="39" t="str">
        <f aca="false">IF($AI289=0,"",SUM($AI$4:$AI289))</f>
        <v/>
      </c>
      <c r="AG289" s="50" t="str">
        <f aca="false">IF($F289="","",$I289&amp;IF($J289="",""," · "&amp;$J289)&amp;IF($K289="",""," · "&amp;$K289))</f>
        <v>Gabriel · Júnior</v>
      </c>
      <c r="AH289" s="39" t="n">
        <f aca="false">IF(AND($F289&lt;&gt;"",$O289&lt;&gt;"",$O289&lt;=Hoje!$C$3,$P289&gt;=Hoje!$C$3,$R289&lt;&gt;"Cancelada"),1,0)</f>
        <v>1</v>
      </c>
      <c r="AI289" s="39" t="n">
        <f aca="false">IF(AND($F289&lt;&gt;"",$P289&lt;&gt;"",$P289&lt;Hoje!$C$3,$AB289=0,$R289&lt;&gt;"Cancelada"),1,0)</f>
        <v>0</v>
      </c>
      <c r="AJ289" s="50" t="str">
        <f aca="false">IF($F289="","",$D289&amp;"|"&amp;$E289&amp;"|"&amp;$L289)</f>
        <v>F-1064|Programação 08/09|37</v>
      </c>
      <c r="AK289" s="39" t="n">
        <f aca="false">IF($AJ289="","",COUNTIF($AJ$4:$AJ289,$AJ289))</f>
        <v>2</v>
      </c>
      <c r="AL289" s="39" t="n">
        <f aca="false">IF($AJ289="","",COUNTIF($AJ$4:$AJ$1004,$AJ289))</f>
        <v>6</v>
      </c>
      <c r="AM289" s="42"/>
      <c r="AN289" s="50" t="str">
        <f aca="false">IF($D289="","",IFERROR(T(VLOOKUP($D289,Listas!$B$5:$H$120,7,0)),""))</f>
        <v/>
      </c>
      <c r="AO289" s="50" t="str">
        <f aca="false">IF(OR($F289="",$L289&lt;&gt;"",$R289="Cancelada",$AT289&lt;&gt;""),"",$AN289&amp;"|"&amp;$D289&amp;"|"&amp;IF($C289="","zzz",$C289)&amp;"|"&amp;TEXT(289,"0000"))</f>
        <v/>
      </c>
      <c r="AP289" s="50" t="str">
        <f aca="false">IF($AO289="","",COUNTIF($AO$5:$AO$1004,"&lt;"&amp;$AO289)-(ROWS($AO$5:$AO$1004)-Hoje!$L$5)+1)</f>
        <v/>
      </c>
      <c r="AQ289" s="50" t="n">
        <f aca="false">IF(AND($F289&lt;&gt;"",$D289=Frota!$C$3),1,0)</f>
        <v>0</v>
      </c>
      <c r="AR289" s="50" t="str">
        <f aca="false">IF($AQ289=0,"",SUM($AQ$4:$AQ289))</f>
        <v/>
      </c>
      <c r="AS289" s="50" t="str">
        <f aca="false">IFERROR(INDEX(Hoje!$K$10:$K$29,MATCH(ROW(),Hoje!$J$10:$J$29,0)),"")</f>
        <v/>
      </c>
      <c r="AT289" s="47" t="n">
        <f aca="false">IF($Q289&lt;&gt;"",$Q289,$AS289)</f>
        <v>46273</v>
      </c>
    </row>
    <row r="290" customFormat="false" ht="16.5" hidden="false" customHeight="true" outlineLevel="0" collapsed="false">
      <c r="A290" s="39" t="n">
        <f aca="false">IF($F290="","",ROW())</f>
        <v>290</v>
      </c>
      <c r="B290" s="40" t="str">
        <f aca="false">IF($F290="",IF($D290="","","Falta a atividade"),IF($R290="Cancelada","Cancelada",IF($AB290=1,IF(N($Z290)&gt;0,"Concluída com atraso","Concluída"),IF($R290="Em programação","Em programação",IF($O290="",IF($M290="","Na carteira","Falta a semana"),IF($AC290=1,"VENCIDA",IF($O290&gt;Hoje!$L$1,"Programada",IF($P290&gt;Hoje!$L$1,"Em execução","Fecha hoje"))))))))</f>
        <v>Concluída</v>
      </c>
      <c r="C290" s="41"/>
      <c r="D290" s="42" t="s">
        <v>448</v>
      </c>
      <c r="E290" s="42" t="s">
        <v>694</v>
      </c>
      <c r="F290" s="42" t="s">
        <v>705</v>
      </c>
      <c r="G290" s="43" t="s">
        <v>594</v>
      </c>
      <c r="H290" s="43" t="s">
        <v>100</v>
      </c>
      <c r="I290" s="44" t="s">
        <v>107</v>
      </c>
      <c r="J290" s="44" t="s">
        <v>88</v>
      </c>
      <c r="K290" s="44"/>
      <c r="L290" s="45" t="n">
        <v>37</v>
      </c>
      <c r="M290" s="46" t="s">
        <v>131</v>
      </c>
      <c r="N290" s="45" t="n">
        <v>4</v>
      </c>
      <c r="O290" s="47" t="n">
        <f aca="false">IF(OR($L290="",$M290=""),"",(DATE(Semana!$J$3,1,4)-WEEKDAY(DATE(Semana!$J$3,1,4),3))+($L290-1)*7+MATCH($M290,Listas!$F$5:$F$11,0)-1)</f>
        <v>46273</v>
      </c>
      <c r="P290" s="47" t="n">
        <f aca="false">IF(OR($F290="",$O290=""),"",$O290+MAX(0,ROUNDUP($AK290*MAX(1,IF($N290="",1,$N290))/MAX(1,$AL290),0)-1))</f>
        <v>46274</v>
      </c>
      <c r="Q290" s="48" t="n">
        <v>46273</v>
      </c>
      <c r="R290" s="43" t="s">
        <v>85</v>
      </c>
      <c r="S290" s="49"/>
      <c r="T290" s="42"/>
      <c r="U290" s="42"/>
      <c r="V290" s="39" t="str">
        <f aca="false">IF($F290="","",IF(ISNUMBER(SEARCH("(externo)",$I290&amp;$J290&amp;$K290)),"Terceirizada","Interna"))</f>
        <v>Interna</v>
      </c>
      <c r="W290" s="47" t="n">
        <f aca="false">IF($O290="","",IF($S290="",$O290,(DATE(Semana!$J$3,1,4)-WEEKDAY(DATE(Semana!$J$3,1,4),3))+($S290-1)*7+IF($M290="",0,MATCH($M290,Listas!$F$5:$F$11,0)-1)))</f>
        <v>46273</v>
      </c>
      <c r="X290" s="39" t="n">
        <f aca="false">IF($F290="","",IF(OR($AT290="",$O290=""),0,IF($AT290&lt;=$O290,1,0)))</f>
        <v>1</v>
      </c>
      <c r="Y290" s="39" t="n">
        <f aca="false">IF($F290="","",IF(OR($AT290="",$W290=""),0,IF($AT290&lt;=$W290,1,0)))</f>
        <v>1</v>
      </c>
      <c r="Z290" s="39" t="n">
        <f aca="false">IF(OR($AT290="",$O290=""),"",MAX(0,$AT290-$O290))</f>
        <v>0</v>
      </c>
      <c r="AA290" s="39" t="n">
        <f aca="false">IF($F290="","",IF(AND($S290&lt;&gt;"",$L290&lt;&gt;"",$S290&lt;&gt;$L290),1,0))</f>
        <v>0</v>
      </c>
      <c r="AB290" s="39" t="n">
        <f aca="false">IF($F290="","",IF($R290="Cancelada",0,IF(OR($AT290&lt;&gt;"",$R290="Concluída"),1,0)))</f>
        <v>1</v>
      </c>
      <c r="AC290" s="39" t="n">
        <f aca="false">IF($P290="",0,IF($P290&lt;Hoje!$L$1,1,IF(AND($P290=Hoje!$L$1,Hoje!$L$2&gt;Semana!$M$3),1,0)))</f>
        <v>0</v>
      </c>
      <c r="AD290" s="39" t="n">
        <f aca="false">IF($F290="","",IF(COUNTA($I290:$K290)=0,0,1/COUNTA($I290:$K290)))</f>
        <v>0.5</v>
      </c>
      <c r="AE290" s="39" t="n">
        <f aca="false">IF($AH290=0,"",SUM($AH$4:$AH290))</f>
        <v>11</v>
      </c>
      <c r="AF290" s="39" t="str">
        <f aca="false">IF($AI290=0,"",SUM($AI$4:$AI290))</f>
        <v/>
      </c>
      <c r="AG290" s="50" t="str">
        <f aca="false">IF($F290="","",$I290&amp;IF($J290="",""," · "&amp;$J290)&amp;IF($K290="",""," · "&amp;$K290))</f>
        <v>Gabriel · Júnior</v>
      </c>
      <c r="AH290" s="39" t="n">
        <f aca="false">IF(AND($F290&lt;&gt;"",$O290&lt;&gt;"",$O290&lt;=Hoje!$C$3,$P290&gt;=Hoje!$C$3,$R290&lt;&gt;"Cancelada"),1,0)</f>
        <v>1</v>
      </c>
      <c r="AI290" s="39" t="n">
        <f aca="false">IF(AND($F290&lt;&gt;"",$P290&lt;&gt;"",$P290&lt;Hoje!$C$3,$AB290=0,$R290&lt;&gt;"Cancelada"),1,0)</f>
        <v>0</v>
      </c>
      <c r="AJ290" s="50" t="str">
        <f aca="false">IF($F290="","",$D290&amp;"|"&amp;$E290&amp;"|"&amp;$L290)</f>
        <v>F-1064|Programação 08/09|37</v>
      </c>
      <c r="AK290" s="39" t="n">
        <f aca="false">IF($AJ290="","",COUNTIF($AJ$4:$AJ290,$AJ290))</f>
        <v>3</v>
      </c>
      <c r="AL290" s="39" t="n">
        <f aca="false">IF($AJ290="","",COUNTIF($AJ$4:$AJ$1004,$AJ290))</f>
        <v>6</v>
      </c>
      <c r="AM290" s="42"/>
      <c r="AN290" s="50" t="str">
        <f aca="false">IF($D290="","",IFERROR(T(VLOOKUP($D290,Listas!$B$5:$H$120,7,0)),""))</f>
        <v/>
      </c>
      <c r="AO290" s="50" t="str">
        <f aca="false">IF(OR($F290="",$L290&lt;&gt;"",$R290="Cancelada",$AT290&lt;&gt;""),"",$AN290&amp;"|"&amp;$D290&amp;"|"&amp;IF($C290="","zzz",$C290)&amp;"|"&amp;TEXT(290,"0000"))</f>
        <v/>
      </c>
      <c r="AP290" s="50" t="str">
        <f aca="false">IF($AO290="","",COUNTIF($AO$5:$AO$1004,"&lt;"&amp;$AO290)-(ROWS($AO$5:$AO$1004)-Hoje!$L$5)+1)</f>
        <v/>
      </c>
      <c r="AQ290" s="50" t="n">
        <f aca="false">IF(AND($F290&lt;&gt;"",$D290=Frota!$C$3),1,0)</f>
        <v>0</v>
      </c>
      <c r="AR290" s="50" t="str">
        <f aca="false">IF($AQ290=0,"",SUM($AQ$4:$AQ290))</f>
        <v/>
      </c>
      <c r="AS290" s="50" t="str">
        <f aca="false">IFERROR(INDEX(Hoje!$K$10:$K$29,MATCH(ROW(),Hoje!$J$10:$J$29,0)),"")</f>
        <v/>
      </c>
      <c r="AT290" s="47" t="n">
        <f aca="false">IF($Q290&lt;&gt;"",$Q290,$AS290)</f>
        <v>46273</v>
      </c>
    </row>
    <row r="291" customFormat="false" ht="16.5" hidden="false" customHeight="true" outlineLevel="0" collapsed="false">
      <c r="A291" s="39" t="n">
        <f aca="false">IF($F291="","",ROW())</f>
        <v>291</v>
      </c>
      <c r="B291" s="40" t="str">
        <f aca="false">IF($F291="",IF($D291="","","Falta a atividade"),IF($R291="Cancelada","Cancelada",IF($AB291=1,IF(N($Z291)&gt;0,"Concluída com atraso","Concluída"),IF($R291="Em programação","Em programação",IF($O291="",IF($M291="","Na carteira","Falta a semana"),IF($AC291=1,"VENCIDA",IF($O291&gt;Hoje!$L$1,"Programada",IF($P291&gt;Hoje!$L$1,"Em execução","Fecha hoje"))))))))</f>
        <v>Concluída</v>
      </c>
      <c r="C291" s="41"/>
      <c r="D291" s="42" t="s">
        <v>448</v>
      </c>
      <c r="E291" s="42" t="s">
        <v>694</v>
      </c>
      <c r="F291" s="42" t="s">
        <v>706</v>
      </c>
      <c r="G291" s="43" t="s">
        <v>594</v>
      </c>
      <c r="H291" s="43" t="s">
        <v>100</v>
      </c>
      <c r="I291" s="44" t="s">
        <v>83</v>
      </c>
      <c r="J291" s="44"/>
      <c r="K291" s="44"/>
      <c r="L291" s="45" t="n">
        <v>37</v>
      </c>
      <c r="M291" s="46" t="s">
        <v>84</v>
      </c>
      <c r="N291" s="45" t="n">
        <v>4</v>
      </c>
      <c r="O291" s="47" t="n">
        <f aca="false">IF(OR($L291="",$M291=""),"",(DATE(Semana!$J$3,1,4)-WEEKDAY(DATE(Semana!$J$3,1,4),3))+($L291-1)*7+MATCH($M291,Listas!$F$5:$F$11,0)-1)</f>
        <v>46274</v>
      </c>
      <c r="P291" s="47" t="n">
        <f aca="false">IF(OR($F291="",$O291=""),"",$O291+MAX(0,ROUNDUP($AK291*MAX(1,IF($N291="",1,$N291))/MAX(1,$AL291),0)-1))</f>
        <v>46276</v>
      </c>
      <c r="Q291" s="48" t="n">
        <v>46274</v>
      </c>
      <c r="R291" s="43"/>
      <c r="S291" s="49"/>
      <c r="T291" s="42" t="s">
        <v>707</v>
      </c>
      <c r="U291" s="42"/>
      <c r="V291" s="39" t="str">
        <f aca="false">IF($F291="","",IF(ISNUMBER(SEARCH("(externo)",$I291&amp;$J291&amp;$K291)),"Terceirizada","Interna"))</f>
        <v>Interna</v>
      </c>
      <c r="W291" s="47" t="n">
        <f aca="false">IF($O291="","",IF($S291="",$O291,(DATE(Semana!$J$3,1,4)-WEEKDAY(DATE(Semana!$J$3,1,4),3))+($S291-1)*7+IF($M291="",0,MATCH($M291,Listas!$F$5:$F$11,0)-1)))</f>
        <v>46274</v>
      </c>
      <c r="X291" s="39" t="n">
        <f aca="false">IF($F291="","",IF(OR($AT291="",$O291=""),0,IF($AT291&lt;=$O291,1,0)))</f>
        <v>1</v>
      </c>
      <c r="Y291" s="39" t="n">
        <f aca="false">IF($F291="","",IF(OR($AT291="",$W291=""),0,IF($AT291&lt;=$W291,1,0)))</f>
        <v>1</v>
      </c>
      <c r="Z291" s="39" t="n">
        <f aca="false">IF(OR($AT291="",$O291=""),"",MAX(0,$AT291-$O291))</f>
        <v>0</v>
      </c>
      <c r="AA291" s="39" t="n">
        <f aca="false">IF($F291="","",IF(AND($S291&lt;&gt;"",$L291&lt;&gt;"",$S291&lt;&gt;$L291),1,0))</f>
        <v>0</v>
      </c>
      <c r="AB291" s="39" t="n">
        <f aca="false">IF($F291="","",IF($R291="Cancelada",0,IF(OR($AT291&lt;&gt;"",$R291="Concluída"),1,0)))</f>
        <v>1</v>
      </c>
      <c r="AC291" s="39" t="n">
        <f aca="false">IF($P291="",0,IF($P291&lt;Hoje!$L$1,1,IF(AND($P291=Hoje!$L$1,Hoje!$L$2&gt;Semana!$M$3),1,0)))</f>
        <v>0</v>
      </c>
      <c r="AD291" s="39" t="n">
        <f aca="false">IF($F291="","",IF(COUNTA($I291:$K291)=0,0,1/COUNTA($I291:$K291)))</f>
        <v>1</v>
      </c>
      <c r="AE291" s="39" t="n">
        <f aca="false">IF($AH291=0,"",SUM($AH$4:$AH291))</f>
        <v>12</v>
      </c>
      <c r="AF291" s="39" t="str">
        <f aca="false">IF($AI291=0,"",SUM($AI$4:$AI291))</f>
        <v/>
      </c>
      <c r="AG291" s="50" t="str">
        <f aca="false">IF($F291="","",$I291&amp;IF($J291="",""," · "&amp;$J291)&amp;IF($K291="",""," · "&amp;$K291))</f>
        <v>Luiz Paulo</v>
      </c>
      <c r="AH291" s="39" t="n">
        <f aca="false">IF(AND($F291&lt;&gt;"",$O291&lt;&gt;"",$O291&lt;=Hoje!$C$3,$P291&gt;=Hoje!$C$3,$R291&lt;&gt;"Cancelada"),1,0)</f>
        <v>1</v>
      </c>
      <c r="AI291" s="39" t="n">
        <f aca="false">IF(AND($F291&lt;&gt;"",$P291&lt;&gt;"",$P291&lt;Hoje!$C$3,$AB291=0,$R291&lt;&gt;"Cancelada"),1,0)</f>
        <v>0</v>
      </c>
      <c r="AJ291" s="50" t="str">
        <f aca="false">IF($F291="","",$D291&amp;"|"&amp;$E291&amp;"|"&amp;$L291)</f>
        <v>F-1064|Programação 08/09|37</v>
      </c>
      <c r="AK291" s="39" t="n">
        <f aca="false">IF($AJ291="","",COUNTIF($AJ$4:$AJ291,$AJ291))</f>
        <v>4</v>
      </c>
      <c r="AL291" s="39" t="n">
        <f aca="false">IF($AJ291="","",COUNTIF($AJ$4:$AJ$1004,$AJ291))</f>
        <v>6</v>
      </c>
      <c r="AM291" s="42"/>
      <c r="AN291" s="50" t="str">
        <f aca="false">IF($D291="","",IFERROR(T(VLOOKUP($D291,Listas!$B$5:$H$120,7,0)),""))</f>
        <v/>
      </c>
      <c r="AO291" s="50" t="str">
        <f aca="false">IF(OR($F291="",$L291&lt;&gt;"",$R291="Cancelada",$AT291&lt;&gt;""),"",$AN291&amp;"|"&amp;$D291&amp;"|"&amp;IF($C291="","zzz",$C291)&amp;"|"&amp;TEXT(291,"0000"))</f>
        <v/>
      </c>
      <c r="AP291" s="50" t="str">
        <f aca="false">IF($AO291="","",COUNTIF($AO$5:$AO$1004,"&lt;"&amp;$AO291)-(ROWS($AO$5:$AO$1004)-Hoje!$L$5)+1)</f>
        <v/>
      </c>
      <c r="AQ291" s="50" t="n">
        <f aca="false">IF(AND($F291&lt;&gt;"",$D291=Frota!$C$3),1,0)</f>
        <v>0</v>
      </c>
      <c r="AR291" s="50" t="str">
        <f aca="false">IF($AQ291=0,"",SUM($AQ$4:$AQ291))</f>
        <v/>
      </c>
      <c r="AS291" s="50" t="str">
        <f aca="false">IFERROR(INDEX(Hoje!$K$10:$K$29,MATCH(ROW(),Hoje!$J$10:$J$29,0)),"")</f>
        <v/>
      </c>
      <c r="AT291" s="47" t="n">
        <f aca="false">IF($Q291&lt;&gt;"",$Q291,$AS291)</f>
        <v>46274</v>
      </c>
    </row>
    <row r="292" customFormat="false" ht="16.5" hidden="false" customHeight="true" outlineLevel="0" collapsed="false">
      <c r="A292" s="39" t="n">
        <f aca="false">IF($F292="","",ROW())</f>
        <v>292</v>
      </c>
      <c r="B292" s="40" t="str">
        <f aca="false">IF($F292="",IF($D292="","","Falta a atividade"),IF($R292="Cancelada","Cancelada",IF($AB292=1,IF(N($Z292)&gt;0,"Concluída com atraso","Concluída"),IF($R292="Em programação","Em programação",IF($O292="",IF($M292="","Na carteira","Falta a semana"),IF($AC292=1,"VENCIDA",IF($O292&gt;Hoje!$L$1,"Programada",IF($P292&gt;Hoje!$L$1,"Em execução","Fecha hoje"))))))))</f>
        <v>Em execução</v>
      </c>
      <c r="C292" s="41"/>
      <c r="D292" s="42" t="s">
        <v>448</v>
      </c>
      <c r="E292" s="42" t="s">
        <v>694</v>
      </c>
      <c r="F292" s="42" t="s">
        <v>708</v>
      </c>
      <c r="G292" s="43" t="s">
        <v>594</v>
      </c>
      <c r="H292" s="43" t="s">
        <v>100</v>
      </c>
      <c r="I292" s="44" t="s">
        <v>107</v>
      </c>
      <c r="J292" s="44" t="s">
        <v>88</v>
      </c>
      <c r="K292" s="44"/>
      <c r="L292" s="45" t="n">
        <v>37</v>
      </c>
      <c r="M292" s="46" t="s">
        <v>131</v>
      </c>
      <c r="N292" s="45" t="n">
        <v>4</v>
      </c>
      <c r="O292" s="47" t="n">
        <f aca="false">IF(OR($L292="",$M292=""),"",(DATE(Semana!$J$3,1,4)-WEEKDAY(DATE(Semana!$J$3,1,4),3))+($L292-1)*7+MATCH($M292,Listas!$F$5:$F$11,0)-1)</f>
        <v>46273</v>
      </c>
      <c r="P292" s="47" t="n">
        <f aca="false">IF(OR($F292="",$O292=""),"",$O292+MAX(0,ROUNDUP($AK292*MAX(1,IF($N292="",1,$N292))/MAX(1,$AL292),0)-1))</f>
        <v>46276</v>
      </c>
      <c r="Q292" s="48"/>
      <c r="R292" s="43"/>
      <c r="S292" s="49"/>
      <c r="T292" s="42"/>
      <c r="U292" s="42" t="s">
        <v>709</v>
      </c>
      <c r="V292" s="39" t="str">
        <f aca="false">IF($F292="","",IF(ISNUMBER(SEARCH("(externo)",$I292&amp;$J292&amp;$K292)),"Terceirizada","Interna"))</f>
        <v>Interna</v>
      </c>
      <c r="W292" s="47" t="n">
        <f aca="false">IF($O292="","",IF($S292="",$O292,(DATE(Semana!$J$3,1,4)-WEEKDAY(DATE(Semana!$J$3,1,4),3))+($S292-1)*7+IF($M292="",0,MATCH($M292,Listas!$F$5:$F$11,0)-1)))</f>
        <v>46273</v>
      </c>
      <c r="X292" s="39" t="n">
        <f aca="false">IF($F292="","",IF(OR($AT292="",$O292=""),0,IF($AT292&lt;=$O292,1,0)))</f>
        <v>0</v>
      </c>
      <c r="Y292" s="39" t="n">
        <f aca="false">IF($F292="","",IF(OR($AT292="",$W292=""),0,IF($AT292&lt;=$W292,1,0)))</f>
        <v>0</v>
      </c>
      <c r="Z292" s="39" t="str">
        <f aca="false">IF(OR($AT292="",$O292=""),"",MAX(0,$AT292-$O292))</f>
        <v/>
      </c>
      <c r="AA292" s="39" t="n">
        <f aca="false">IF($F292="","",IF(AND($S292&lt;&gt;"",$L292&lt;&gt;"",$S292&lt;&gt;$L292),1,0))</f>
        <v>0</v>
      </c>
      <c r="AB292" s="39" t="n">
        <f aca="false">IF($F292="","",IF($R292="Cancelada",0,IF(OR($AT292&lt;&gt;"",$R292="Concluída"),1,0)))</f>
        <v>0</v>
      </c>
      <c r="AC292" s="39" t="n">
        <f aca="false">IF($P292="",0,IF($P292&lt;Hoje!$L$1,1,IF(AND($P292=Hoje!$L$1,Hoje!$L$2&gt;Semana!$M$3),1,0)))</f>
        <v>0</v>
      </c>
      <c r="AD292" s="39" t="n">
        <f aca="false">IF($F292="","",IF(COUNTA($I292:$K292)=0,0,1/COUNTA($I292:$K292)))</f>
        <v>0.5</v>
      </c>
      <c r="AE292" s="39" t="n">
        <f aca="false">IF($AH292=0,"",SUM($AH$4:$AH292))</f>
        <v>13</v>
      </c>
      <c r="AF292" s="39" t="str">
        <f aca="false">IF($AI292=0,"",SUM($AI$4:$AI292))</f>
        <v/>
      </c>
      <c r="AG292" s="50" t="str">
        <f aca="false">IF($F292="","",$I292&amp;IF($J292="",""," · "&amp;$J292)&amp;IF($K292="",""," · "&amp;$K292))</f>
        <v>Gabriel · Júnior</v>
      </c>
      <c r="AH292" s="39" t="n">
        <f aca="false">IF(AND($F292&lt;&gt;"",$O292&lt;&gt;"",$O292&lt;=Hoje!$C$3,$P292&gt;=Hoje!$C$3,$R292&lt;&gt;"Cancelada"),1,0)</f>
        <v>1</v>
      </c>
      <c r="AI292" s="39" t="n">
        <f aca="false">IF(AND($F292&lt;&gt;"",$P292&lt;&gt;"",$P292&lt;Hoje!$C$3,$AB292=0,$R292&lt;&gt;"Cancelada"),1,0)</f>
        <v>0</v>
      </c>
      <c r="AJ292" s="50" t="str">
        <f aca="false">IF($F292="","",$D292&amp;"|"&amp;$E292&amp;"|"&amp;$L292)</f>
        <v>F-1064|Programação 08/09|37</v>
      </c>
      <c r="AK292" s="39" t="n">
        <f aca="false">IF($AJ292="","",COUNTIF($AJ$4:$AJ292,$AJ292))</f>
        <v>5</v>
      </c>
      <c r="AL292" s="39" t="n">
        <f aca="false">IF($AJ292="","",COUNTIF($AJ$4:$AJ$1004,$AJ292))</f>
        <v>6</v>
      </c>
      <c r="AM292" s="42"/>
      <c r="AN292" s="50" t="str">
        <f aca="false">IF($D292="","",IFERROR(T(VLOOKUP($D292,Listas!$B$5:$H$120,7,0)),""))</f>
        <v/>
      </c>
      <c r="AO292" s="50" t="str">
        <f aca="false">IF(OR($F292="",$L292&lt;&gt;"",$R292="Cancelada",$AT292&lt;&gt;""),"",$AN292&amp;"|"&amp;$D292&amp;"|"&amp;IF($C292="","zzz",$C292)&amp;"|"&amp;TEXT(292,"0000"))</f>
        <v/>
      </c>
      <c r="AP292" s="50" t="str">
        <f aca="false">IF($AO292="","",COUNTIF($AO$5:$AO$1004,"&lt;"&amp;$AO292)-(ROWS($AO$5:$AO$1004)-Hoje!$L$5)+1)</f>
        <v/>
      </c>
      <c r="AQ292" s="50" t="n">
        <f aca="false">IF(AND($F292&lt;&gt;"",$D292=Frota!$C$3),1,0)</f>
        <v>0</v>
      </c>
      <c r="AR292" s="50" t="str">
        <f aca="false">IF($AQ292=0,"",SUM($AQ$4:$AQ292))</f>
        <v/>
      </c>
      <c r="AS292" s="50" t="str">
        <f aca="false">IFERROR(INDEX(Hoje!$K$10:$K$29,MATCH(ROW(),Hoje!$J$10:$J$29,0)),"")</f>
        <v/>
      </c>
      <c r="AT292" s="50" t="str">
        <f aca="false">IF($Q292&lt;&gt;"",$Q292,$AS292)</f>
        <v/>
      </c>
    </row>
    <row r="293" customFormat="false" ht="16.5" hidden="false" customHeight="true" outlineLevel="0" collapsed="false">
      <c r="A293" s="39" t="n">
        <f aca="false">IF($F293="","",ROW())</f>
        <v>293</v>
      </c>
      <c r="B293" s="40" t="str">
        <f aca="false">IF($F293="",IF($D293="","","Falta a atividade"),IF($R293="Cancelada","Cancelada",IF($AB293=1,IF(N($Z293)&gt;0,"Concluída com atraso","Concluída"),IF($R293="Em programação","Em programação",IF($O293="",IF($M293="","Na carteira","Falta a semana"),IF($AC293=1,"VENCIDA",IF($O293&gt;Hoje!$L$1,"Programada",IF($P293&gt;Hoje!$L$1,"Em execução","Fecha hoje"))))))))</f>
        <v>Em execução</v>
      </c>
      <c r="C293" s="41"/>
      <c r="D293" s="42" t="s">
        <v>448</v>
      </c>
      <c r="E293" s="42" t="s">
        <v>694</v>
      </c>
      <c r="F293" s="42" t="s">
        <v>710</v>
      </c>
      <c r="G293" s="43" t="s">
        <v>594</v>
      </c>
      <c r="H293" s="43" t="s">
        <v>100</v>
      </c>
      <c r="I293" s="44" t="s">
        <v>107</v>
      </c>
      <c r="J293" s="44" t="s">
        <v>88</v>
      </c>
      <c r="K293" s="44"/>
      <c r="L293" s="45" t="n">
        <v>37</v>
      </c>
      <c r="M293" s="46" t="s">
        <v>131</v>
      </c>
      <c r="N293" s="45" t="n">
        <v>4</v>
      </c>
      <c r="O293" s="47" t="n">
        <f aca="false">IF(OR($L293="",$M293=""),"",(DATE(Semana!$J$3,1,4)-WEEKDAY(DATE(Semana!$J$3,1,4),3))+($L293-1)*7+MATCH($M293,Listas!$F$5:$F$11,0)-1)</f>
        <v>46273</v>
      </c>
      <c r="P293" s="47" t="n">
        <f aca="false">IF(OR($F293="",$O293=""),"",$O293+MAX(0,ROUNDUP($AK293*MAX(1,IF($N293="",1,$N293))/MAX(1,$AL293),0)-1))</f>
        <v>46276</v>
      </c>
      <c r="Q293" s="48"/>
      <c r="R293" s="43"/>
      <c r="S293" s="49"/>
      <c r="T293" s="42"/>
      <c r="U293" s="42"/>
      <c r="V293" s="39" t="str">
        <f aca="false">IF($F293="","",IF(ISNUMBER(SEARCH("(externo)",$I293&amp;$J293&amp;$K293)),"Terceirizada","Interna"))</f>
        <v>Interna</v>
      </c>
      <c r="W293" s="47" t="n">
        <f aca="false">IF($O293="","",IF($S293="",$O293,(DATE(Semana!$J$3,1,4)-WEEKDAY(DATE(Semana!$J$3,1,4),3))+($S293-1)*7+IF($M293="",0,MATCH($M293,Listas!$F$5:$F$11,0)-1)))</f>
        <v>46273</v>
      </c>
      <c r="X293" s="39" t="n">
        <f aca="false">IF($F293="","",IF(OR($AT293="",$O293=""),0,IF($AT293&lt;=$O293,1,0)))</f>
        <v>0</v>
      </c>
      <c r="Y293" s="39" t="n">
        <f aca="false">IF($F293="","",IF(OR($AT293="",$W293=""),0,IF($AT293&lt;=$W293,1,0)))</f>
        <v>0</v>
      </c>
      <c r="Z293" s="39" t="str">
        <f aca="false">IF(OR($AT293="",$O293=""),"",MAX(0,$AT293-$O293))</f>
        <v/>
      </c>
      <c r="AA293" s="39" t="n">
        <f aca="false">IF($F293="","",IF(AND($S293&lt;&gt;"",$L293&lt;&gt;"",$S293&lt;&gt;$L293),1,0))</f>
        <v>0</v>
      </c>
      <c r="AB293" s="39" t="n">
        <f aca="false">IF($F293="","",IF($R293="Cancelada",0,IF(OR($AT293&lt;&gt;"",$R293="Concluída"),1,0)))</f>
        <v>0</v>
      </c>
      <c r="AC293" s="39" t="n">
        <f aca="false">IF($P293="",0,IF($P293&lt;Hoje!$L$1,1,IF(AND($P293=Hoje!$L$1,Hoje!$L$2&gt;Semana!$M$3),1,0)))</f>
        <v>0</v>
      </c>
      <c r="AD293" s="39" t="n">
        <f aca="false">IF($F293="","",IF(COUNTA($I293:$K293)=0,0,1/COUNTA($I293:$K293)))</f>
        <v>0.5</v>
      </c>
      <c r="AE293" s="39" t="n">
        <f aca="false">IF($AH293=0,"",SUM($AH$4:$AH293))</f>
        <v>14</v>
      </c>
      <c r="AF293" s="39" t="str">
        <f aca="false">IF($AI293=0,"",SUM($AI$4:$AI293))</f>
        <v/>
      </c>
      <c r="AG293" s="50" t="str">
        <f aca="false">IF($F293="","",$I293&amp;IF($J293="",""," · "&amp;$J293)&amp;IF($K293="",""," · "&amp;$K293))</f>
        <v>Gabriel · Júnior</v>
      </c>
      <c r="AH293" s="39" t="n">
        <f aca="false">IF(AND($F293&lt;&gt;"",$O293&lt;&gt;"",$O293&lt;=Hoje!$C$3,$P293&gt;=Hoje!$C$3,$R293&lt;&gt;"Cancelada"),1,0)</f>
        <v>1</v>
      </c>
      <c r="AI293" s="39" t="n">
        <f aca="false">IF(AND($F293&lt;&gt;"",$P293&lt;&gt;"",$P293&lt;Hoje!$C$3,$AB293=0,$R293&lt;&gt;"Cancelada"),1,0)</f>
        <v>0</v>
      </c>
      <c r="AJ293" s="50" t="str">
        <f aca="false">IF($F293="","",$D293&amp;"|"&amp;$E293&amp;"|"&amp;$L293)</f>
        <v>F-1064|Programação 08/09|37</v>
      </c>
      <c r="AK293" s="39" t="n">
        <f aca="false">IF($AJ293="","",COUNTIF($AJ$4:$AJ293,$AJ293))</f>
        <v>6</v>
      </c>
      <c r="AL293" s="39" t="n">
        <f aca="false">IF($AJ293="","",COUNTIF($AJ$4:$AJ$1004,$AJ293))</f>
        <v>6</v>
      </c>
      <c r="AM293" s="42"/>
      <c r="AN293" s="50" t="str">
        <f aca="false">IF($D293="","",IFERROR(T(VLOOKUP($D293,Listas!$B$5:$H$120,7,0)),""))</f>
        <v/>
      </c>
      <c r="AO293" s="50" t="str">
        <f aca="false">IF(OR($F293="",$L293&lt;&gt;"",$R293="Cancelada",$AT293&lt;&gt;""),"",$AN293&amp;"|"&amp;$D293&amp;"|"&amp;IF($C293="","zzz",$C293)&amp;"|"&amp;TEXT(293,"0000"))</f>
        <v/>
      </c>
      <c r="AP293" s="50" t="str">
        <f aca="false">IF($AO293="","",COUNTIF($AO$5:$AO$1004,"&lt;"&amp;$AO293)-(ROWS($AO$5:$AO$1004)-Hoje!$L$5)+1)</f>
        <v/>
      </c>
      <c r="AQ293" s="50" t="n">
        <f aca="false">IF(AND($F293&lt;&gt;"",$D293=Frota!$C$3),1,0)</f>
        <v>0</v>
      </c>
      <c r="AR293" s="50" t="str">
        <f aca="false">IF($AQ293=0,"",SUM($AQ$4:$AQ293))</f>
        <v/>
      </c>
      <c r="AS293" s="50" t="str">
        <f aca="false">IFERROR(INDEX(Hoje!$K$10:$K$29,MATCH(ROW(),Hoje!$J$10:$J$29,0)),"")</f>
        <v/>
      </c>
      <c r="AT293" s="50" t="str">
        <f aca="false">IF($Q293&lt;&gt;"",$Q293,$AS293)</f>
        <v/>
      </c>
    </row>
    <row r="294" customFormat="false" ht="16.5" hidden="false" customHeight="true" outlineLevel="0" collapsed="false">
      <c r="A294" s="39" t="n">
        <f aca="false">IF($F294="","",ROW())</f>
        <v>294</v>
      </c>
      <c r="B294" s="40" t="str">
        <f aca="false">IF($F294="",IF($D294="","","Falta a atividade"),IF($R294="Cancelada","Cancelada",IF($AB294=1,IF(N($Z294)&gt;0,"Concluída com atraso","Concluída"),IF($R294="Em programação","Em programação",IF($O294="",IF($M294="","Na carteira","Falta a semana"),IF($AC294=1,"VENCIDA",IF($O294&gt;Hoje!$L$1,"Programada",IF($P294&gt;Hoje!$L$1,"Em execução","Fecha hoje"))))))))</f>
        <v>Concluída com atraso</v>
      </c>
      <c r="C294" s="41"/>
      <c r="D294" s="42" t="s">
        <v>450</v>
      </c>
      <c r="E294" s="42" t="s">
        <v>694</v>
      </c>
      <c r="F294" s="42" t="s">
        <v>711</v>
      </c>
      <c r="G294" s="43" t="s">
        <v>594</v>
      </c>
      <c r="H294" s="43" t="s">
        <v>100</v>
      </c>
      <c r="I294" s="44" t="s">
        <v>107</v>
      </c>
      <c r="J294" s="44" t="s">
        <v>88</v>
      </c>
      <c r="K294" s="44"/>
      <c r="L294" s="45" t="n">
        <v>37</v>
      </c>
      <c r="M294" s="46" t="s">
        <v>131</v>
      </c>
      <c r="N294" s="45" t="n">
        <v>4</v>
      </c>
      <c r="O294" s="47" t="n">
        <f aca="false">IF(OR($L294="",$M294=""),"",(DATE(Semana!$J$3,1,4)-WEEKDAY(DATE(Semana!$J$3,1,4),3))+($L294-1)*7+MATCH($M294,Listas!$F$5:$F$11,0)-1)</f>
        <v>46273</v>
      </c>
      <c r="P294" s="47" t="n">
        <f aca="false">IF(OR($F294="",$O294=""),"",$O294+MAX(0,ROUNDUP($AK294*MAX(1,IF($N294="",1,$N294))/MAX(1,$AL294),0)-1))</f>
        <v>46274</v>
      </c>
      <c r="Q294" s="48" t="n">
        <v>46274</v>
      </c>
      <c r="R294" s="43"/>
      <c r="S294" s="49"/>
      <c r="T294" s="42"/>
      <c r="U294" s="42" t="s">
        <v>712</v>
      </c>
      <c r="V294" s="39" t="str">
        <f aca="false">IF($F294="","",IF(ISNUMBER(SEARCH("(externo)",$I294&amp;$J294&amp;$K294)),"Terceirizada","Interna"))</f>
        <v>Interna</v>
      </c>
      <c r="W294" s="47" t="n">
        <f aca="false">IF($O294="","",IF($S294="",$O294,(DATE(Semana!$J$3,1,4)-WEEKDAY(DATE(Semana!$J$3,1,4),3))+($S294-1)*7+IF($M294="",0,MATCH($M294,Listas!$F$5:$F$11,0)-1)))</f>
        <v>46273</v>
      </c>
      <c r="X294" s="39" t="n">
        <f aca="false">IF($F294="","",IF(OR($AT294="",$O294=""),0,IF($AT294&lt;=$O294,1,0)))</f>
        <v>0</v>
      </c>
      <c r="Y294" s="39" t="n">
        <f aca="false">IF($F294="","",IF(OR($AT294="",$W294=""),0,IF($AT294&lt;=$W294,1,0)))</f>
        <v>0</v>
      </c>
      <c r="Z294" s="39" t="n">
        <f aca="false">IF(OR($AT294="",$O294=""),"",MAX(0,$AT294-$O294))</f>
        <v>1</v>
      </c>
      <c r="AA294" s="39" t="n">
        <f aca="false">IF($F294="","",IF(AND($S294&lt;&gt;"",$L294&lt;&gt;"",$S294&lt;&gt;$L294),1,0))</f>
        <v>0</v>
      </c>
      <c r="AB294" s="39" t="n">
        <f aca="false">IF($F294="","",IF($R294="Cancelada",0,IF(OR($AT294&lt;&gt;"",$R294="Concluída"),1,0)))</f>
        <v>1</v>
      </c>
      <c r="AC294" s="39" t="n">
        <f aca="false">IF($P294="",0,IF($P294&lt;Hoje!$L$1,1,IF(AND($P294=Hoje!$L$1,Hoje!$L$2&gt;Semana!$M$3),1,0)))</f>
        <v>0</v>
      </c>
      <c r="AD294" s="39" t="n">
        <f aca="false">IF($F294="","",IF(COUNTA($I294:$K294)=0,0,1/COUNTA($I294:$K294)))</f>
        <v>0.5</v>
      </c>
      <c r="AE294" s="39" t="n">
        <f aca="false">IF($AH294=0,"",SUM($AH$4:$AH294))</f>
        <v>15</v>
      </c>
      <c r="AF294" s="39" t="str">
        <f aca="false">IF($AI294=0,"",SUM($AI$4:$AI294))</f>
        <v/>
      </c>
      <c r="AG294" s="50" t="str">
        <f aca="false">IF($F294="","",$I294&amp;IF($J294="",""," · "&amp;$J294)&amp;IF($K294="",""," · "&amp;$K294))</f>
        <v>Gabriel · Júnior</v>
      </c>
      <c r="AH294" s="39" t="n">
        <f aca="false">IF(AND($F294&lt;&gt;"",$O294&lt;&gt;"",$O294&lt;=Hoje!$C$3,$P294&gt;=Hoje!$C$3,$R294&lt;&gt;"Cancelada"),1,0)</f>
        <v>1</v>
      </c>
      <c r="AI294" s="39" t="n">
        <f aca="false">IF(AND($F294&lt;&gt;"",$P294&lt;&gt;"",$P294&lt;Hoje!$C$3,$AB294=0,$R294&lt;&gt;"Cancelada"),1,0)</f>
        <v>0</v>
      </c>
      <c r="AJ294" s="50" t="str">
        <f aca="false">IF($F294="","",$D294&amp;"|"&amp;$E294&amp;"|"&amp;$L294)</f>
        <v>F-1065|Programação 08/09|37</v>
      </c>
      <c r="AK294" s="39" t="n">
        <f aca="false">IF($AJ294="","",COUNTIF($AJ$4:$AJ294,$AJ294))</f>
        <v>2</v>
      </c>
      <c r="AL294" s="39" t="n">
        <f aca="false">IF($AJ294="","",COUNTIF($AJ$4:$AJ$1004,$AJ294))</f>
        <v>4</v>
      </c>
      <c r="AM294" s="42"/>
      <c r="AN294" s="50" t="str">
        <f aca="false">IF($D294="","",IFERROR(T(VLOOKUP($D294,Listas!$B$5:$H$120,7,0)),""))</f>
        <v/>
      </c>
      <c r="AO294" s="50" t="str">
        <f aca="false">IF(OR($F294="",$L294&lt;&gt;"",$R294="Cancelada",$AT294&lt;&gt;""),"",$AN294&amp;"|"&amp;$D294&amp;"|"&amp;IF($C294="","zzz",$C294)&amp;"|"&amp;TEXT(294,"0000"))</f>
        <v/>
      </c>
      <c r="AP294" s="50" t="str">
        <f aca="false">IF($AO294="","",COUNTIF($AO$5:$AO$1004,"&lt;"&amp;$AO294)-(ROWS($AO$5:$AO$1004)-Hoje!$L$5)+1)</f>
        <v/>
      </c>
      <c r="AQ294" s="50" t="n">
        <f aca="false">IF(AND($F294&lt;&gt;"",$D294=Frota!$C$3),1,0)</f>
        <v>0</v>
      </c>
      <c r="AR294" s="50" t="str">
        <f aca="false">IF($AQ294=0,"",SUM($AQ$4:$AQ294))</f>
        <v/>
      </c>
      <c r="AS294" s="50" t="str">
        <f aca="false">IFERROR(INDEX(Hoje!$K$10:$K$29,MATCH(ROW(),Hoje!$J$10:$J$29,0)),"")</f>
        <v/>
      </c>
      <c r="AT294" s="47" t="n">
        <f aca="false">IF($Q294&lt;&gt;"",$Q294,$AS294)</f>
        <v>46274</v>
      </c>
    </row>
    <row r="295" customFormat="false" ht="16.5" hidden="false" customHeight="true" outlineLevel="0" collapsed="false">
      <c r="A295" s="39" t="n">
        <f aca="false">IF($F295="","",ROW())</f>
        <v>295</v>
      </c>
      <c r="B295" s="40" t="str">
        <f aca="false">IF($F295="",IF($D295="","","Falta a atividade"),IF($R295="Cancelada","Cancelada",IF($AB295=1,IF(N($Z295)&gt;0,"Concluída com atraso","Concluída"),IF($R295="Em programação","Em programação",IF($O295="",IF($M295="","Na carteira","Falta a semana"),IF($AC295=1,"VENCIDA",IF($O295&gt;Hoje!$L$1,"Programada",IF($P295&gt;Hoje!$L$1,"Em execução","Fecha hoje"))))))))</f>
        <v>Concluída</v>
      </c>
      <c r="C295" s="41"/>
      <c r="D295" s="42" t="s">
        <v>450</v>
      </c>
      <c r="E295" s="42" t="s">
        <v>694</v>
      </c>
      <c r="F295" s="42" t="s">
        <v>705</v>
      </c>
      <c r="G295" s="43" t="s">
        <v>594</v>
      </c>
      <c r="H295" s="43" t="s">
        <v>100</v>
      </c>
      <c r="I295" s="44" t="s">
        <v>107</v>
      </c>
      <c r="J295" s="44" t="s">
        <v>88</v>
      </c>
      <c r="K295" s="44"/>
      <c r="L295" s="45" t="n">
        <v>37</v>
      </c>
      <c r="M295" s="46" t="s">
        <v>131</v>
      </c>
      <c r="N295" s="45" t="n">
        <v>4</v>
      </c>
      <c r="O295" s="47" t="n">
        <f aca="false">IF(OR($L295="",$M295=""),"",(DATE(Semana!$J$3,1,4)-WEEKDAY(DATE(Semana!$J$3,1,4),3))+($L295-1)*7+MATCH($M295,Listas!$F$5:$F$11,0)-1)</f>
        <v>46273</v>
      </c>
      <c r="P295" s="47" t="n">
        <f aca="false">IF(OR($F295="",$O295=""),"",$O295+MAX(0,ROUNDUP($AK295*MAX(1,IF($N295="",1,$N295))/MAX(1,$AL295),0)-1))</f>
        <v>46275</v>
      </c>
      <c r="Q295" s="48" t="n">
        <v>46273</v>
      </c>
      <c r="R295" s="43" t="s">
        <v>85</v>
      </c>
      <c r="S295" s="49"/>
      <c r="T295" s="42"/>
      <c r="U295" s="42" t="s">
        <v>712</v>
      </c>
      <c r="V295" s="39" t="str">
        <f aca="false">IF($F295="","",IF(ISNUMBER(SEARCH("(externo)",$I295&amp;$J295&amp;$K295)),"Terceirizada","Interna"))</f>
        <v>Interna</v>
      </c>
      <c r="W295" s="47" t="n">
        <f aca="false">IF($O295="","",IF($S295="",$O295,(DATE(Semana!$J$3,1,4)-WEEKDAY(DATE(Semana!$J$3,1,4),3))+($S295-1)*7+IF($M295="",0,MATCH($M295,Listas!$F$5:$F$11,0)-1)))</f>
        <v>46273</v>
      </c>
      <c r="X295" s="39" t="n">
        <f aca="false">IF($F295="","",IF(OR($AT295="",$O295=""),0,IF($AT295&lt;=$O295,1,0)))</f>
        <v>1</v>
      </c>
      <c r="Y295" s="39" t="n">
        <f aca="false">IF($F295="","",IF(OR($AT295="",$W295=""),0,IF($AT295&lt;=$W295,1,0)))</f>
        <v>1</v>
      </c>
      <c r="Z295" s="39" t="n">
        <f aca="false">IF(OR($AT295="",$O295=""),"",MAX(0,$AT295-$O295))</f>
        <v>0</v>
      </c>
      <c r="AA295" s="39" t="n">
        <f aca="false">IF($F295="","",IF(AND($S295&lt;&gt;"",$L295&lt;&gt;"",$S295&lt;&gt;$L295),1,0))</f>
        <v>0</v>
      </c>
      <c r="AB295" s="39" t="n">
        <f aca="false">IF($F295="","",IF($R295="Cancelada",0,IF(OR($AT295&lt;&gt;"",$R295="Concluída"),1,0)))</f>
        <v>1</v>
      </c>
      <c r="AC295" s="39" t="n">
        <f aca="false">IF($P295="",0,IF($P295&lt;Hoje!$L$1,1,IF(AND($P295=Hoje!$L$1,Hoje!$L$2&gt;Semana!$M$3),1,0)))</f>
        <v>0</v>
      </c>
      <c r="AD295" s="39" t="n">
        <f aca="false">IF($F295="","",IF(COUNTA($I295:$K295)=0,0,1/COUNTA($I295:$K295)))</f>
        <v>0.5</v>
      </c>
      <c r="AE295" s="39" t="n">
        <f aca="false">IF($AH295=0,"",SUM($AH$4:$AH295))</f>
        <v>16</v>
      </c>
      <c r="AF295" s="39" t="str">
        <f aca="false">IF($AI295=0,"",SUM($AI$4:$AI295))</f>
        <v/>
      </c>
      <c r="AG295" s="50" t="str">
        <f aca="false">IF($F295="","",$I295&amp;IF($J295="",""," · "&amp;$J295)&amp;IF($K295="",""," · "&amp;$K295))</f>
        <v>Gabriel · Júnior</v>
      </c>
      <c r="AH295" s="39" t="n">
        <f aca="false">IF(AND($F295&lt;&gt;"",$O295&lt;&gt;"",$O295&lt;=Hoje!$C$3,$P295&gt;=Hoje!$C$3,$R295&lt;&gt;"Cancelada"),1,0)</f>
        <v>1</v>
      </c>
      <c r="AI295" s="39" t="n">
        <f aca="false">IF(AND($F295&lt;&gt;"",$P295&lt;&gt;"",$P295&lt;Hoje!$C$3,$AB295=0,$R295&lt;&gt;"Cancelada"),1,0)</f>
        <v>0</v>
      </c>
      <c r="AJ295" s="50" t="str">
        <f aca="false">IF($F295="","",$D295&amp;"|"&amp;$E295&amp;"|"&amp;$L295)</f>
        <v>F-1065|Programação 08/09|37</v>
      </c>
      <c r="AK295" s="39" t="n">
        <f aca="false">IF($AJ295="","",COUNTIF($AJ$4:$AJ295,$AJ295))</f>
        <v>3</v>
      </c>
      <c r="AL295" s="39" t="n">
        <f aca="false">IF($AJ295="","",COUNTIF($AJ$4:$AJ$1004,$AJ295))</f>
        <v>4</v>
      </c>
      <c r="AM295" s="42"/>
      <c r="AN295" s="50" t="str">
        <f aca="false">IF($D295="","",IFERROR(T(VLOOKUP($D295,Listas!$B$5:$H$120,7,0)),""))</f>
        <v/>
      </c>
      <c r="AO295" s="50" t="str">
        <f aca="false">IF(OR($F295="",$L295&lt;&gt;"",$R295="Cancelada",$AT295&lt;&gt;""),"",$AN295&amp;"|"&amp;$D295&amp;"|"&amp;IF($C295="","zzz",$C295)&amp;"|"&amp;TEXT(295,"0000"))</f>
        <v/>
      </c>
      <c r="AP295" s="50" t="str">
        <f aca="false">IF($AO295="","",COUNTIF($AO$5:$AO$1004,"&lt;"&amp;$AO295)-(ROWS($AO$5:$AO$1004)-Hoje!$L$5)+1)</f>
        <v/>
      </c>
      <c r="AQ295" s="50" t="n">
        <f aca="false">IF(AND($F295&lt;&gt;"",$D295=Frota!$C$3),1,0)</f>
        <v>0</v>
      </c>
      <c r="AR295" s="50" t="str">
        <f aca="false">IF($AQ295=0,"",SUM($AQ$4:$AQ295))</f>
        <v/>
      </c>
      <c r="AS295" s="50" t="str">
        <f aca="false">IFERROR(INDEX(Hoje!$K$10:$K$29,MATCH(ROW(),Hoje!$J$10:$J$29,0)),"")</f>
        <v/>
      </c>
      <c r="AT295" s="47" t="n">
        <f aca="false">IF($Q295&lt;&gt;"",$Q295,$AS295)</f>
        <v>46273</v>
      </c>
    </row>
    <row r="296" customFormat="false" ht="16.5" hidden="false" customHeight="true" outlineLevel="0" collapsed="false">
      <c r="A296" s="39" t="n">
        <f aca="false">IF($F296="","",ROW())</f>
        <v>296</v>
      </c>
      <c r="B296" s="40" t="str">
        <f aca="false">IF($F296="",IF($D296="","","Falta a atividade"),IF($R296="Cancelada","Cancelada",IF($AB296=1,IF(N($Z296)&gt;0,"Concluída com atraso","Concluída"),IF($R296="Em programação","Em programação",IF($O296="",IF($M296="","Na carteira","Falta a semana"),IF($AC296=1,"VENCIDA",IF($O296&gt;Hoje!$L$1,"Programada",IF($P296&gt;Hoje!$L$1,"Em execução","Fecha hoje"))))))))</f>
        <v>Concluída</v>
      </c>
      <c r="C296" s="41"/>
      <c r="D296" s="42" t="s">
        <v>450</v>
      </c>
      <c r="E296" s="42" t="s">
        <v>694</v>
      </c>
      <c r="F296" s="42" t="s">
        <v>706</v>
      </c>
      <c r="G296" s="43" t="s">
        <v>594</v>
      </c>
      <c r="H296" s="43" t="s">
        <v>100</v>
      </c>
      <c r="I296" s="44" t="s">
        <v>83</v>
      </c>
      <c r="J296" s="44"/>
      <c r="K296" s="44"/>
      <c r="L296" s="45" t="n">
        <v>37</v>
      </c>
      <c r="M296" s="46" t="s">
        <v>84</v>
      </c>
      <c r="N296" s="45" t="n">
        <v>4</v>
      </c>
      <c r="O296" s="47" t="n">
        <f aca="false">IF(OR($L296="",$M296=""),"",(DATE(Semana!$J$3,1,4)-WEEKDAY(DATE(Semana!$J$3,1,4),3))+($L296-1)*7+MATCH($M296,Listas!$F$5:$F$11,0)-1)</f>
        <v>46274</v>
      </c>
      <c r="P296" s="47" t="n">
        <f aca="false">IF(OR($F296="",$O296=""),"",$O296+MAX(0,ROUNDUP($AK296*MAX(1,IF($N296="",1,$N296))/MAX(1,$AL296),0)-1))</f>
        <v>46277</v>
      </c>
      <c r="Q296" s="48" t="n">
        <v>46274</v>
      </c>
      <c r="R296" s="43"/>
      <c r="S296" s="49"/>
      <c r="T296" s="42"/>
      <c r="U296" s="42"/>
      <c r="V296" s="39" t="str">
        <f aca="false">IF($F296="","",IF(ISNUMBER(SEARCH("(externo)",$I296&amp;$J296&amp;$K296)),"Terceirizada","Interna"))</f>
        <v>Interna</v>
      </c>
      <c r="W296" s="47" t="n">
        <f aca="false">IF($O296="","",IF($S296="",$O296,(DATE(Semana!$J$3,1,4)-WEEKDAY(DATE(Semana!$J$3,1,4),3))+($S296-1)*7+IF($M296="",0,MATCH($M296,Listas!$F$5:$F$11,0)-1)))</f>
        <v>46274</v>
      </c>
      <c r="X296" s="39" t="n">
        <f aca="false">IF($F296="","",IF(OR($AT296="",$O296=""),0,IF($AT296&lt;=$O296,1,0)))</f>
        <v>1</v>
      </c>
      <c r="Y296" s="39" t="n">
        <f aca="false">IF($F296="","",IF(OR($AT296="",$W296=""),0,IF($AT296&lt;=$W296,1,0)))</f>
        <v>1</v>
      </c>
      <c r="Z296" s="39" t="n">
        <f aca="false">IF(OR($AT296="",$O296=""),"",MAX(0,$AT296-$O296))</f>
        <v>0</v>
      </c>
      <c r="AA296" s="39" t="n">
        <f aca="false">IF($F296="","",IF(AND($S296&lt;&gt;"",$L296&lt;&gt;"",$S296&lt;&gt;$L296),1,0))</f>
        <v>0</v>
      </c>
      <c r="AB296" s="39" t="n">
        <f aca="false">IF($F296="","",IF($R296="Cancelada",0,IF(OR($AT296&lt;&gt;"",$R296="Concluída"),1,0)))</f>
        <v>1</v>
      </c>
      <c r="AC296" s="39" t="n">
        <f aca="false">IF($P296="",0,IF($P296&lt;Hoje!$L$1,1,IF(AND($P296=Hoje!$L$1,Hoje!$L$2&gt;Semana!$M$3),1,0)))</f>
        <v>0</v>
      </c>
      <c r="AD296" s="39" t="n">
        <f aca="false">IF($F296="","",IF(COUNTA($I296:$K296)=0,0,1/COUNTA($I296:$K296)))</f>
        <v>1</v>
      </c>
      <c r="AE296" s="39" t="n">
        <f aca="false">IF($AH296=0,"",SUM($AH$4:$AH296))</f>
        <v>17</v>
      </c>
      <c r="AF296" s="39" t="str">
        <f aca="false">IF($AI296=0,"",SUM($AI$4:$AI296))</f>
        <v/>
      </c>
      <c r="AG296" s="50" t="str">
        <f aca="false">IF($F296="","",$I296&amp;IF($J296="",""," · "&amp;$J296)&amp;IF($K296="",""," · "&amp;$K296))</f>
        <v>Luiz Paulo</v>
      </c>
      <c r="AH296" s="39" t="n">
        <f aca="false">IF(AND($F296&lt;&gt;"",$O296&lt;&gt;"",$O296&lt;=Hoje!$C$3,$P296&gt;=Hoje!$C$3,$R296&lt;&gt;"Cancelada"),1,0)</f>
        <v>1</v>
      </c>
      <c r="AI296" s="39" t="n">
        <f aca="false">IF(AND($F296&lt;&gt;"",$P296&lt;&gt;"",$P296&lt;Hoje!$C$3,$AB296=0,$R296&lt;&gt;"Cancelada"),1,0)</f>
        <v>0</v>
      </c>
      <c r="AJ296" s="50" t="str">
        <f aca="false">IF($F296="","",$D296&amp;"|"&amp;$E296&amp;"|"&amp;$L296)</f>
        <v>F-1065|Programação 08/09|37</v>
      </c>
      <c r="AK296" s="39" t="n">
        <f aca="false">IF($AJ296="","",COUNTIF($AJ$4:$AJ296,$AJ296))</f>
        <v>4</v>
      </c>
      <c r="AL296" s="39" t="n">
        <f aca="false">IF($AJ296="","",COUNTIF($AJ$4:$AJ$1004,$AJ296))</f>
        <v>4</v>
      </c>
      <c r="AM296" s="42"/>
      <c r="AN296" s="50" t="str">
        <f aca="false">IF($D296="","",IFERROR(T(VLOOKUP($D296,Listas!$B$5:$H$120,7,0)),""))</f>
        <v/>
      </c>
      <c r="AO296" s="50" t="str">
        <f aca="false">IF(OR($F296="",$L296&lt;&gt;"",$R296="Cancelada",$AT296&lt;&gt;""),"",$AN296&amp;"|"&amp;$D296&amp;"|"&amp;IF($C296="","zzz",$C296)&amp;"|"&amp;TEXT(296,"0000"))</f>
        <v/>
      </c>
      <c r="AP296" s="50" t="str">
        <f aca="false">IF($AO296="","",COUNTIF($AO$5:$AO$1004,"&lt;"&amp;$AO296)-(ROWS($AO$5:$AO$1004)-Hoje!$L$5)+1)</f>
        <v/>
      </c>
      <c r="AQ296" s="50" t="n">
        <f aca="false">IF(AND($F296&lt;&gt;"",$D296=Frota!$C$3),1,0)</f>
        <v>0</v>
      </c>
      <c r="AR296" s="50" t="str">
        <f aca="false">IF($AQ296=0,"",SUM($AQ$4:$AQ296))</f>
        <v/>
      </c>
      <c r="AS296" s="50" t="str">
        <f aca="false">IFERROR(INDEX(Hoje!$K$10:$K$29,MATCH(ROW(),Hoje!$J$10:$J$29,0)),"")</f>
        <v/>
      </c>
      <c r="AT296" s="47" t="n">
        <f aca="false">IF($Q296&lt;&gt;"",$Q296,$AS296)</f>
        <v>46274</v>
      </c>
    </row>
    <row r="297" customFormat="false" ht="16.5" hidden="false" customHeight="true" outlineLevel="0" collapsed="false">
      <c r="A297" s="39" t="n">
        <f aca="false">IF($F297="","",ROW())</f>
        <v>297</v>
      </c>
      <c r="B297" s="40" t="str">
        <f aca="false">IF($F297="",IF($D297="","","Falta a atividade"),IF($R297="Cancelada","Cancelada",IF($AB297=1,IF(N($Z297)&gt;0,"Concluída com atraso","Concluída"),IF($R297="Em programação","Em programação",IF($O297="",IF($M297="","Na carteira","Falta a semana"),IF($AC297=1,"VENCIDA",IF($O297&gt;Hoje!$L$1,"Programada",IF($P297&gt;Hoje!$L$1,"Em execução","Fecha hoje"))))))))</f>
        <v>Concluída</v>
      </c>
      <c r="C297" s="41"/>
      <c r="D297" s="42" t="s">
        <v>713</v>
      </c>
      <c r="E297" s="42" t="s">
        <v>694</v>
      </c>
      <c r="F297" s="42" t="s">
        <v>714</v>
      </c>
      <c r="G297" s="43" t="s">
        <v>594</v>
      </c>
      <c r="H297" s="43" t="s">
        <v>100</v>
      </c>
      <c r="I297" s="44" t="s">
        <v>107</v>
      </c>
      <c r="J297" s="44" t="s">
        <v>88</v>
      </c>
      <c r="K297" s="44"/>
      <c r="L297" s="45" t="n">
        <v>37</v>
      </c>
      <c r="M297" s="46" t="s">
        <v>131</v>
      </c>
      <c r="N297" s="45" t="n">
        <v>4</v>
      </c>
      <c r="O297" s="47" t="n">
        <f aca="false">IF(OR($L297="",$M297=""),"",(DATE(Semana!$J$3,1,4)-WEEKDAY(DATE(Semana!$J$3,1,4),3))+($L297-1)*7+MATCH($M297,Listas!$F$5:$F$11,0)-1)</f>
        <v>46273</v>
      </c>
      <c r="P297" s="47" t="n">
        <f aca="false">IF(OR($F297="",$O297=""),"",$O297+MAX(0,ROUNDUP($AK297*MAX(1,IF($N297="",1,$N297))/MAX(1,$AL297),0)-1))</f>
        <v>46274</v>
      </c>
      <c r="Q297" s="48" t="n">
        <v>46273</v>
      </c>
      <c r="R297" s="43" t="s">
        <v>85</v>
      </c>
      <c r="S297" s="49"/>
      <c r="T297" s="42"/>
      <c r="U297" s="42"/>
      <c r="V297" s="39" t="str">
        <f aca="false">IF($F297="","",IF(ISNUMBER(SEARCH("(externo)",$I297&amp;$J297&amp;$K297)),"Terceirizada","Interna"))</f>
        <v>Interna</v>
      </c>
      <c r="W297" s="47" t="n">
        <f aca="false">IF($O297="","",IF($S297="",$O297,(DATE(Semana!$J$3,1,4)-WEEKDAY(DATE(Semana!$J$3,1,4),3))+($S297-1)*7+IF($M297="",0,MATCH($M297,Listas!$F$5:$F$11,0)-1)))</f>
        <v>46273</v>
      </c>
      <c r="X297" s="39" t="n">
        <f aca="false">IF($F297="","",IF(OR($AT297="",$O297=""),0,IF($AT297&lt;=$O297,1,0)))</f>
        <v>1</v>
      </c>
      <c r="Y297" s="39" t="n">
        <f aca="false">IF($F297="","",IF(OR($AT297="",$W297=""),0,IF($AT297&lt;=$W297,1,0)))</f>
        <v>1</v>
      </c>
      <c r="Z297" s="39" t="n">
        <f aca="false">IF(OR($AT297="",$O297=""),"",MAX(0,$AT297-$O297))</f>
        <v>0</v>
      </c>
      <c r="AA297" s="39" t="n">
        <f aca="false">IF($F297="","",IF(AND($S297&lt;&gt;"",$L297&lt;&gt;"",$S297&lt;&gt;$L297),1,0))</f>
        <v>0</v>
      </c>
      <c r="AB297" s="39" t="n">
        <f aca="false">IF($F297="","",IF($R297="Cancelada",0,IF(OR($AT297&lt;&gt;"",$R297="Concluída"),1,0)))</f>
        <v>1</v>
      </c>
      <c r="AC297" s="39" t="n">
        <f aca="false">IF($P297="",0,IF($P297&lt;Hoje!$L$1,1,IF(AND($P297=Hoje!$L$1,Hoje!$L$2&gt;Semana!$M$3),1,0)))</f>
        <v>0</v>
      </c>
      <c r="AD297" s="39" t="n">
        <f aca="false">IF($F297="","",IF(COUNTA($I297:$K297)=0,0,1/COUNTA($I297:$K297)))</f>
        <v>0.5</v>
      </c>
      <c r="AE297" s="39" t="n">
        <f aca="false">IF($AH297=0,"",SUM($AH$4:$AH297))</f>
        <v>18</v>
      </c>
      <c r="AF297" s="39" t="str">
        <f aca="false">IF($AI297=0,"",SUM($AI$4:$AI297))</f>
        <v/>
      </c>
      <c r="AG297" s="50" t="str">
        <f aca="false">IF($F297="","",$I297&amp;IF($J297="",""," · "&amp;$J297)&amp;IF($K297="",""," · "&amp;$K297))</f>
        <v>Gabriel · Júnior</v>
      </c>
      <c r="AH297" s="39" t="n">
        <f aca="false">IF(AND($F297&lt;&gt;"",$O297&lt;&gt;"",$O297&lt;=Hoje!$C$3,$P297&gt;=Hoje!$C$3,$R297&lt;&gt;"Cancelada"),1,0)</f>
        <v>1</v>
      </c>
      <c r="AI297" s="39" t="n">
        <f aca="false">IF(AND($F297&lt;&gt;"",$P297&lt;&gt;"",$P297&lt;Hoje!$C$3,$AB297=0,$R297&lt;&gt;"Cancelada"),1,0)</f>
        <v>0</v>
      </c>
      <c r="AJ297" s="50" t="str">
        <f aca="false">IF($F297="","",$D297&amp;"|"&amp;$E297&amp;"|"&amp;$L297)</f>
        <v>F-1063|Programação 08/09|37</v>
      </c>
      <c r="AK297" s="39" t="n">
        <f aca="false">IF($AJ297="","",COUNTIF($AJ$4:$AJ297,$AJ297))</f>
        <v>1</v>
      </c>
      <c r="AL297" s="39" t="n">
        <f aca="false">IF($AJ297="","",COUNTIF($AJ$4:$AJ$1004,$AJ297))</f>
        <v>2</v>
      </c>
      <c r="AM297" s="42"/>
      <c r="AN297" s="50" t="str">
        <f aca="false">IF($D297="","",IFERROR(T(VLOOKUP($D297,Listas!$B$5:$H$120,7,0)),""))</f>
        <v/>
      </c>
      <c r="AO297" s="50" t="str">
        <f aca="false">IF(OR($F297="",$L297&lt;&gt;"",$R297="Cancelada",$AT297&lt;&gt;""),"",$AN297&amp;"|"&amp;$D297&amp;"|"&amp;IF($C297="","zzz",$C297)&amp;"|"&amp;TEXT(297,"0000"))</f>
        <v/>
      </c>
      <c r="AP297" s="50" t="str">
        <f aca="false">IF($AO297="","",COUNTIF($AO$5:$AO$1004,"&lt;"&amp;$AO297)-(ROWS($AO$5:$AO$1004)-Hoje!$L$5)+1)</f>
        <v/>
      </c>
      <c r="AQ297" s="50" t="n">
        <f aca="false">IF(AND($F297&lt;&gt;"",$D297=Frota!$C$3),1,0)</f>
        <v>0</v>
      </c>
      <c r="AR297" s="50" t="str">
        <f aca="false">IF($AQ297=0,"",SUM($AQ$4:$AQ297))</f>
        <v/>
      </c>
      <c r="AS297" s="50" t="str">
        <f aca="false">IFERROR(INDEX(Hoje!$K$10:$K$29,MATCH(ROW(),Hoje!$J$10:$J$29,0)),"")</f>
        <v/>
      </c>
      <c r="AT297" s="47" t="n">
        <f aca="false">IF($Q297&lt;&gt;"",$Q297,$AS297)</f>
        <v>46273</v>
      </c>
    </row>
    <row r="298" customFormat="false" ht="16.5" hidden="false" customHeight="true" outlineLevel="0" collapsed="false">
      <c r="A298" s="39" t="n">
        <f aca="false">IF($F298="","",ROW())</f>
        <v>298</v>
      </c>
      <c r="B298" s="40" t="str">
        <f aca="false">IF($F298="",IF($D298="","","Falta a atividade"),IF($R298="Cancelada","Cancelada",IF($AB298=1,IF(N($Z298)&gt;0,"Concluída com atraso","Concluída"),IF($R298="Em programação","Em programação",IF($O298="",IF($M298="","Na carteira","Falta a semana"),IF($AC298=1,"VENCIDA",IF($O298&gt;Hoje!$L$1,"Programada",IF($P298&gt;Hoje!$L$1,"Em execução","Fecha hoje"))))))))</f>
        <v>Concluída</v>
      </c>
      <c r="C298" s="41"/>
      <c r="D298" s="42" t="s">
        <v>713</v>
      </c>
      <c r="E298" s="42" t="s">
        <v>694</v>
      </c>
      <c r="F298" s="42" t="s">
        <v>715</v>
      </c>
      <c r="G298" s="43" t="s">
        <v>594</v>
      </c>
      <c r="H298" s="43" t="s">
        <v>100</v>
      </c>
      <c r="I298" s="44" t="s">
        <v>107</v>
      </c>
      <c r="J298" s="44" t="s">
        <v>88</v>
      </c>
      <c r="K298" s="44"/>
      <c r="L298" s="45" t="n">
        <v>37</v>
      </c>
      <c r="M298" s="46" t="s">
        <v>131</v>
      </c>
      <c r="N298" s="45" t="n">
        <v>4</v>
      </c>
      <c r="O298" s="47" t="n">
        <f aca="false">IF(OR($L298="",$M298=""),"",(DATE(Semana!$J$3,1,4)-WEEKDAY(DATE(Semana!$J$3,1,4),3))+($L298-1)*7+MATCH($M298,Listas!$F$5:$F$11,0)-1)</f>
        <v>46273</v>
      </c>
      <c r="P298" s="47" t="n">
        <f aca="false">IF(OR($F298="",$O298=""),"",$O298+MAX(0,ROUNDUP($AK298*MAX(1,IF($N298="",1,$N298))/MAX(1,$AL298),0)-1))</f>
        <v>46276</v>
      </c>
      <c r="Q298" s="48" t="n">
        <v>46273</v>
      </c>
      <c r="R298" s="43" t="s">
        <v>85</v>
      </c>
      <c r="S298" s="49"/>
      <c r="T298" s="42"/>
      <c r="U298" s="42"/>
      <c r="V298" s="39" t="str">
        <f aca="false">IF($F298="","",IF(ISNUMBER(SEARCH("(externo)",$I298&amp;$J298&amp;$K298)),"Terceirizada","Interna"))</f>
        <v>Interna</v>
      </c>
      <c r="W298" s="47" t="n">
        <f aca="false">IF($O298="","",IF($S298="",$O298,(DATE(Semana!$J$3,1,4)-WEEKDAY(DATE(Semana!$J$3,1,4),3))+($S298-1)*7+IF($M298="",0,MATCH($M298,Listas!$F$5:$F$11,0)-1)))</f>
        <v>46273</v>
      </c>
      <c r="X298" s="39" t="n">
        <f aca="false">IF($F298="","",IF(OR($AT298="",$O298=""),0,IF($AT298&lt;=$O298,1,0)))</f>
        <v>1</v>
      </c>
      <c r="Y298" s="39" t="n">
        <f aca="false">IF($F298="","",IF(OR($AT298="",$W298=""),0,IF($AT298&lt;=$W298,1,0)))</f>
        <v>1</v>
      </c>
      <c r="Z298" s="39" t="n">
        <f aca="false">IF(OR($AT298="",$O298=""),"",MAX(0,$AT298-$O298))</f>
        <v>0</v>
      </c>
      <c r="AA298" s="39" t="n">
        <f aca="false">IF($F298="","",IF(AND($S298&lt;&gt;"",$L298&lt;&gt;"",$S298&lt;&gt;$L298),1,0))</f>
        <v>0</v>
      </c>
      <c r="AB298" s="39" t="n">
        <f aca="false">IF($F298="","",IF($R298="Cancelada",0,IF(OR($AT298&lt;&gt;"",$R298="Concluída"),1,0)))</f>
        <v>1</v>
      </c>
      <c r="AC298" s="39" t="n">
        <f aca="false">IF($P298="",0,IF($P298&lt;Hoje!$L$1,1,IF(AND($P298=Hoje!$L$1,Hoje!$L$2&gt;Semana!$M$3),1,0)))</f>
        <v>0</v>
      </c>
      <c r="AD298" s="39" t="n">
        <f aca="false">IF($F298="","",IF(COUNTA($I298:$K298)=0,0,1/COUNTA($I298:$K298)))</f>
        <v>0.5</v>
      </c>
      <c r="AE298" s="39" t="n">
        <f aca="false">IF($AH298=0,"",SUM($AH$4:$AH298))</f>
        <v>19</v>
      </c>
      <c r="AF298" s="39" t="str">
        <f aca="false">IF($AI298=0,"",SUM($AI$4:$AI298))</f>
        <v/>
      </c>
      <c r="AG298" s="50" t="str">
        <f aca="false">IF($F298="","",$I298&amp;IF($J298="",""," · "&amp;$J298)&amp;IF($K298="",""," · "&amp;$K298))</f>
        <v>Gabriel · Júnior</v>
      </c>
      <c r="AH298" s="39" t="n">
        <f aca="false">IF(AND($F298&lt;&gt;"",$O298&lt;&gt;"",$O298&lt;=Hoje!$C$3,$P298&gt;=Hoje!$C$3,$R298&lt;&gt;"Cancelada"),1,0)</f>
        <v>1</v>
      </c>
      <c r="AI298" s="39" t="n">
        <f aca="false">IF(AND($F298&lt;&gt;"",$P298&lt;&gt;"",$P298&lt;Hoje!$C$3,$AB298=0,$R298&lt;&gt;"Cancelada"),1,0)</f>
        <v>0</v>
      </c>
      <c r="AJ298" s="50" t="str">
        <f aca="false">IF($F298="","",$D298&amp;"|"&amp;$E298&amp;"|"&amp;$L298)</f>
        <v>F-1063|Programação 08/09|37</v>
      </c>
      <c r="AK298" s="39" t="n">
        <f aca="false">IF($AJ298="","",COUNTIF($AJ$4:$AJ298,$AJ298))</f>
        <v>2</v>
      </c>
      <c r="AL298" s="39" t="n">
        <f aca="false">IF($AJ298="","",COUNTIF($AJ$4:$AJ$1004,$AJ298))</f>
        <v>2</v>
      </c>
      <c r="AM298" s="42"/>
      <c r="AN298" s="50" t="str">
        <f aca="false">IF($D298="","",IFERROR(T(VLOOKUP($D298,Listas!$B$5:$H$120,7,0)),""))</f>
        <v/>
      </c>
      <c r="AO298" s="50" t="str">
        <f aca="false">IF(OR($F298="",$L298&lt;&gt;"",$R298="Cancelada",$AT298&lt;&gt;""),"",$AN298&amp;"|"&amp;$D298&amp;"|"&amp;IF($C298="","zzz",$C298)&amp;"|"&amp;TEXT(298,"0000"))</f>
        <v/>
      </c>
      <c r="AP298" s="50" t="str">
        <f aca="false">IF($AO298="","",COUNTIF($AO$5:$AO$1004,"&lt;"&amp;$AO298)-(ROWS($AO$5:$AO$1004)-Hoje!$L$5)+1)</f>
        <v/>
      </c>
      <c r="AQ298" s="50" t="n">
        <f aca="false">IF(AND($F298&lt;&gt;"",$D298=Frota!$C$3),1,0)</f>
        <v>0</v>
      </c>
      <c r="AR298" s="50" t="str">
        <f aca="false">IF($AQ298=0,"",SUM($AQ$4:$AQ298))</f>
        <v/>
      </c>
      <c r="AS298" s="50" t="str">
        <f aca="false">IFERROR(INDEX(Hoje!$K$10:$K$29,MATCH(ROW(),Hoje!$J$10:$J$29,0)),"")</f>
        <v/>
      </c>
      <c r="AT298" s="47" t="n">
        <f aca="false">IF($Q298&lt;&gt;"",$Q298,$AS298)</f>
        <v>46273</v>
      </c>
    </row>
    <row r="299" customFormat="false" ht="16.5" hidden="false" customHeight="true" outlineLevel="0" collapsed="false">
      <c r="A299" s="39" t="n">
        <f aca="false">IF($F299="","",ROW())</f>
        <v>299</v>
      </c>
      <c r="B299" s="40" t="str">
        <f aca="false">IF($F299="",IF($D299="","","Falta a atividade"),IF($R299="Cancelada","Cancelada",IF($AB299=1,IF(N($Z299)&gt;0,"Concluída com atraso","Concluída"),IF($R299="Em programação","Em programação",IF($O299="",IF($M299="","Na carteira","Falta a semana"),IF($AC299=1,"VENCIDA",IF($O299&gt;Hoje!$L$1,"Programada",IF($P299&gt;Hoje!$L$1,"Em execução","Fecha hoje"))))))))</f>
        <v>Concluída</v>
      </c>
      <c r="C299" s="41"/>
      <c r="D299" s="42" t="s">
        <v>716</v>
      </c>
      <c r="E299" s="42" t="s">
        <v>694</v>
      </c>
      <c r="F299" s="42" t="s">
        <v>703</v>
      </c>
      <c r="G299" s="43" t="s">
        <v>594</v>
      </c>
      <c r="H299" s="43" t="s">
        <v>100</v>
      </c>
      <c r="I299" s="44" t="s">
        <v>107</v>
      </c>
      <c r="J299" s="44" t="s">
        <v>88</v>
      </c>
      <c r="K299" s="44"/>
      <c r="L299" s="45" t="n">
        <v>37</v>
      </c>
      <c r="M299" s="46" t="s">
        <v>131</v>
      </c>
      <c r="N299" s="45" t="n">
        <v>3</v>
      </c>
      <c r="O299" s="47" t="n">
        <f aca="false">IF(OR($L299="",$M299=""),"",(DATE(Semana!$J$3,1,4)-WEEKDAY(DATE(Semana!$J$3,1,4),3))+($L299-1)*7+MATCH($M299,Listas!$F$5:$F$11,0)-1)</f>
        <v>46273</v>
      </c>
      <c r="P299" s="47" t="n">
        <f aca="false">IF(OR($F299="",$O299=""),"",$O299+MAX(0,ROUNDUP($AK299*MAX(1,IF($N299="",1,$N299))/MAX(1,$AL299),0)-1))</f>
        <v>46273</v>
      </c>
      <c r="Q299" s="48" t="n">
        <v>46273</v>
      </c>
      <c r="R299" s="43"/>
      <c r="S299" s="49"/>
      <c r="T299" s="42"/>
      <c r="U299" s="42" t="s">
        <v>717</v>
      </c>
      <c r="V299" s="39" t="str">
        <f aca="false">IF($F299="","",IF(ISNUMBER(SEARCH("(externo)",$I299&amp;$J299&amp;$K299)),"Terceirizada","Interna"))</f>
        <v>Interna</v>
      </c>
      <c r="W299" s="47" t="n">
        <f aca="false">IF($O299="","",IF($S299="",$O299,(DATE(Semana!$J$3,1,4)-WEEKDAY(DATE(Semana!$J$3,1,4),3))+($S299-1)*7+IF($M299="",0,MATCH($M299,Listas!$F$5:$F$11,0)-1)))</f>
        <v>46273</v>
      </c>
      <c r="X299" s="39" t="n">
        <f aca="false">IF($F299="","",IF(OR($AT299="",$O299=""),0,IF($AT299&lt;=$O299,1,0)))</f>
        <v>1</v>
      </c>
      <c r="Y299" s="39" t="n">
        <f aca="false">IF($F299="","",IF(OR($AT299="",$W299=""),0,IF($AT299&lt;=$W299,1,0)))</f>
        <v>1</v>
      </c>
      <c r="Z299" s="39" t="n">
        <f aca="false">IF(OR($AT299="",$O299=""),"",MAX(0,$AT299-$O299))</f>
        <v>0</v>
      </c>
      <c r="AA299" s="39" t="n">
        <f aca="false">IF($F299="","",IF(AND($S299&lt;&gt;"",$L299&lt;&gt;"",$S299&lt;&gt;$L299),1,0))</f>
        <v>0</v>
      </c>
      <c r="AB299" s="39" t="n">
        <f aca="false">IF($F299="","",IF($R299="Cancelada",0,IF(OR($AT299&lt;&gt;"",$R299="Concluída"),1,0)))</f>
        <v>1</v>
      </c>
      <c r="AC299" s="39" t="n">
        <f aca="false">IF($P299="",0,IF($P299&lt;Hoje!$L$1,1,IF(AND($P299=Hoje!$L$1,Hoje!$L$2&gt;Semana!$M$3),1,0)))</f>
        <v>1</v>
      </c>
      <c r="AD299" s="39" t="n">
        <f aca="false">IF($F299="","",IF(COUNTA($I299:$K299)=0,0,1/COUNTA($I299:$K299)))</f>
        <v>0.5</v>
      </c>
      <c r="AE299" s="39" t="str">
        <f aca="false">IF($AH299=0,"",SUM($AH$4:$AH299))</f>
        <v/>
      </c>
      <c r="AF299" s="39" t="str">
        <f aca="false">IF($AI299=0,"",SUM($AI$4:$AI299))</f>
        <v/>
      </c>
      <c r="AG299" s="50" t="str">
        <f aca="false">IF($F299="","",$I299&amp;IF($J299="",""," · "&amp;$J299)&amp;IF($K299="",""," · "&amp;$K299))</f>
        <v>Gabriel · Júnior</v>
      </c>
      <c r="AH299" s="39" t="n">
        <f aca="false">IF(AND($F299&lt;&gt;"",$O299&lt;&gt;"",$O299&lt;=Hoje!$C$3,$P299&gt;=Hoje!$C$3,$R299&lt;&gt;"Cancelada"),1,0)</f>
        <v>0</v>
      </c>
      <c r="AI299" s="39" t="n">
        <f aca="false">IF(AND($F299&lt;&gt;"",$P299&lt;&gt;"",$P299&lt;Hoje!$C$3,$AB299=0,$R299&lt;&gt;"Cancelada"),1,0)</f>
        <v>0</v>
      </c>
      <c r="AJ299" s="50" t="str">
        <f aca="false">IF($F299="","",$D299&amp;"|"&amp;$E299&amp;"|"&amp;$L299)</f>
        <v>F-1062|Programação 08/09|37</v>
      </c>
      <c r="AK299" s="39" t="n">
        <f aca="false">IF($AJ299="","",COUNTIF($AJ$4:$AJ299,$AJ299))</f>
        <v>1</v>
      </c>
      <c r="AL299" s="39" t="n">
        <f aca="false">IF($AJ299="","",COUNTIF($AJ$4:$AJ$1004,$AJ299))</f>
        <v>5</v>
      </c>
      <c r="AM299" s="42"/>
      <c r="AN299" s="50" t="str">
        <f aca="false">IF($D299="","",IFERROR(T(VLOOKUP($D299,Listas!$B$5:$H$120,7,0)),""))</f>
        <v/>
      </c>
      <c r="AO299" s="50" t="str">
        <f aca="false">IF(OR($F299="",$L299&lt;&gt;"",$R299="Cancelada",$AT299&lt;&gt;""),"",$AN299&amp;"|"&amp;$D299&amp;"|"&amp;IF($C299="","zzz",$C299)&amp;"|"&amp;TEXT(299,"0000"))</f>
        <v/>
      </c>
      <c r="AP299" s="50" t="str">
        <f aca="false">IF($AO299="","",COUNTIF($AO$5:$AO$1004,"&lt;"&amp;$AO299)-(ROWS($AO$5:$AO$1004)-Hoje!$L$5)+1)</f>
        <v/>
      </c>
      <c r="AQ299" s="50" t="n">
        <f aca="false">IF(AND($F299&lt;&gt;"",$D299=Frota!$C$3),1,0)</f>
        <v>0</v>
      </c>
      <c r="AR299" s="50" t="str">
        <f aca="false">IF($AQ299=0,"",SUM($AQ$4:$AQ299))</f>
        <v/>
      </c>
      <c r="AS299" s="50" t="str">
        <f aca="false">IFERROR(INDEX(Hoje!$K$10:$K$29,MATCH(ROW(),Hoje!$J$10:$J$29,0)),"")</f>
        <v/>
      </c>
      <c r="AT299" s="47" t="n">
        <f aca="false">IF($Q299&lt;&gt;"",$Q299,$AS299)</f>
        <v>46273</v>
      </c>
    </row>
    <row r="300" customFormat="false" ht="16.5" hidden="false" customHeight="true" outlineLevel="0" collapsed="false">
      <c r="A300" s="39" t="n">
        <f aca="false">IF($F300="","",ROW())</f>
        <v>300</v>
      </c>
      <c r="B300" s="40" t="str">
        <f aca="false">IF($F300="",IF($D300="","","Falta a atividade"),IF($R300="Cancelada","Cancelada",IF($AB300=1,IF(N($Z300)&gt;0,"Concluída com atraso","Concluída"),IF($R300="Em programação","Em programação",IF($O300="",IF($M300="","Na carteira","Falta a semana"),IF($AC300=1,"VENCIDA",IF($O300&gt;Hoje!$L$1,"Programada",IF($P300&gt;Hoje!$L$1,"Em execução","Fecha hoje"))))))))</f>
        <v>Concluída</v>
      </c>
      <c r="C300" s="41"/>
      <c r="D300" s="42" t="s">
        <v>716</v>
      </c>
      <c r="E300" s="42" t="s">
        <v>694</v>
      </c>
      <c r="F300" s="42" t="s">
        <v>718</v>
      </c>
      <c r="G300" s="43" t="s">
        <v>594</v>
      </c>
      <c r="H300" s="43" t="s">
        <v>100</v>
      </c>
      <c r="I300" s="44" t="s">
        <v>107</v>
      </c>
      <c r="J300" s="44" t="s">
        <v>88</v>
      </c>
      <c r="K300" s="44"/>
      <c r="L300" s="45" t="n">
        <v>37</v>
      </c>
      <c r="M300" s="46" t="s">
        <v>131</v>
      </c>
      <c r="N300" s="45" t="n">
        <v>3</v>
      </c>
      <c r="O300" s="47" t="n">
        <f aca="false">IF(OR($L300="",$M300=""),"",(DATE(Semana!$J$3,1,4)-WEEKDAY(DATE(Semana!$J$3,1,4),3))+($L300-1)*7+MATCH($M300,Listas!$F$5:$F$11,0)-1)</f>
        <v>46273</v>
      </c>
      <c r="P300" s="47" t="n">
        <f aca="false">IF(OR($F300="",$O300=""),"",$O300+MAX(0,ROUNDUP($AK300*MAX(1,IF($N300="",1,$N300))/MAX(1,$AL300),0)-1))</f>
        <v>46274</v>
      </c>
      <c r="Q300" s="48" t="n">
        <v>46273</v>
      </c>
      <c r="R300" s="43"/>
      <c r="S300" s="49"/>
      <c r="T300" s="42"/>
      <c r="U300" s="42"/>
      <c r="V300" s="39" t="str">
        <f aca="false">IF($F300="","",IF(ISNUMBER(SEARCH("(externo)",$I300&amp;$J300&amp;$K300)),"Terceirizada","Interna"))</f>
        <v>Interna</v>
      </c>
      <c r="W300" s="47" t="n">
        <f aca="false">IF($O300="","",IF($S300="",$O300,(DATE(Semana!$J$3,1,4)-WEEKDAY(DATE(Semana!$J$3,1,4),3))+($S300-1)*7+IF($M300="",0,MATCH($M300,Listas!$F$5:$F$11,0)-1)))</f>
        <v>46273</v>
      </c>
      <c r="X300" s="39" t="n">
        <f aca="false">IF($F300="","",IF(OR($AT300="",$O300=""),0,IF($AT300&lt;=$O300,1,0)))</f>
        <v>1</v>
      </c>
      <c r="Y300" s="39" t="n">
        <f aca="false">IF($F300="","",IF(OR($AT300="",$W300=""),0,IF($AT300&lt;=$W300,1,0)))</f>
        <v>1</v>
      </c>
      <c r="Z300" s="39" t="n">
        <f aca="false">IF(OR($AT300="",$O300=""),"",MAX(0,$AT300-$O300))</f>
        <v>0</v>
      </c>
      <c r="AA300" s="39" t="n">
        <f aca="false">IF($F300="","",IF(AND($S300&lt;&gt;"",$L300&lt;&gt;"",$S300&lt;&gt;$L300),1,0))</f>
        <v>0</v>
      </c>
      <c r="AB300" s="39" t="n">
        <f aca="false">IF($F300="","",IF($R300="Cancelada",0,IF(OR($AT300&lt;&gt;"",$R300="Concluída"),1,0)))</f>
        <v>1</v>
      </c>
      <c r="AC300" s="39" t="n">
        <f aca="false">IF($P300="",0,IF($P300&lt;Hoje!$L$1,1,IF(AND($P300=Hoje!$L$1,Hoje!$L$2&gt;Semana!$M$3),1,0)))</f>
        <v>0</v>
      </c>
      <c r="AD300" s="39" t="n">
        <f aca="false">IF($F300="","",IF(COUNTA($I300:$K300)=0,0,1/COUNTA($I300:$K300)))</f>
        <v>0.5</v>
      </c>
      <c r="AE300" s="39" t="n">
        <f aca="false">IF($AH300=0,"",SUM($AH$4:$AH300))</f>
        <v>20</v>
      </c>
      <c r="AF300" s="39" t="str">
        <f aca="false">IF($AI300=0,"",SUM($AI$4:$AI300))</f>
        <v/>
      </c>
      <c r="AG300" s="50" t="str">
        <f aca="false">IF($F300="","",$I300&amp;IF($J300="",""," · "&amp;$J300)&amp;IF($K300="",""," · "&amp;$K300))</f>
        <v>Gabriel · Júnior</v>
      </c>
      <c r="AH300" s="39" t="n">
        <f aca="false">IF(AND($F300&lt;&gt;"",$O300&lt;&gt;"",$O300&lt;=Hoje!$C$3,$P300&gt;=Hoje!$C$3,$R300&lt;&gt;"Cancelada"),1,0)</f>
        <v>1</v>
      </c>
      <c r="AI300" s="39" t="n">
        <f aca="false">IF(AND($F300&lt;&gt;"",$P300&lt;&gt;"",$P300&lt;Hoje!$C$3,$AB300=0,$R300&lt;&gt;"Cancelada"),1,0)</f>
        <v>0</v>
      </c>
      <c r="AJ300" s="50" t="str">
        <f aca="false">IF($F300="","",$D300&amp;"|"&amp;$E300&amp;"|"&amp;$L300)</f>
        <v>F-1062|Programação 08/09|37</v>
      </c>
      <c r="AK300" s="39" t="n">
        <f aca="false">IF($AJ300="","",COUNTIF($AJ$4:$AJ300,$AJ300))</f>
        <v>2</v>
      </c>
      <c r="AL300" s="39" t="n">
        <f aca="false">IF($AJ300="","",COUNTIF($AJ$4:$AJ$1004,$AJ300))</f>
        <v>5</v>
      </c>
      <c r="AM300" s="42"/>
      <c r="AN300" s="50" t="str">
        <f aca="false">IF($D300="","",IFERROR(T(VLOOKUP($D300,Listas!$B$5:$H$120,7,0)),""))</f>
        <v/>
      </c>
      <c r="AO300" s="50" t="str">
        <f aca="false">IF(OR($F300="",$L300&lt;&gt;"",$R300="Cancelada",$AT300&lt;&gt;""),"",$AN300&amp;"|"&amp;$D300&amp;"|"&amp;IF($C300="","zzz",$C300)&amp;"|"&amp;TEXT(300,"0000"))</f>
        <v/>
      </c>
      <c r="AP300" s="50" t="str">
        <f aca="false">IF($AO300="","",COUNTIF($AO$5:$AO$1004,"&lt;"&amp;$AO300)-(ROWS($AO$5:$AO$1004)-Hoje!$L$5)+1)</f>
        <v/>
      </c>
      <c r="AQ300" s="50" t="n">
        <f aca="false">IF(AND($F300&lt;&gt;"",$D300=Frota!$C$3),1,0)</f>
        <v>0</v>
      </c>
      <c r="AR300" s="50" t="str">
        <f aca="false">IF($AQ300=0,"",SUM($AQ$4:$AQ300))</f>
        <v/>
      </c>
      <c r="AS300" s="50" t="str">
        <f aca="false">IFERROR(INDEX(Hoje!$K$10:$K$29,MATCH(ROW(),Hoje!$J$10:$J$29,0)),"")</f>
        <v/>
      </c>
      <c r="AT300" s="47" t="n">
        <f aca="false">IF($Q300&lt;&gt;"",$Q300,$AS300)</f>
        <v>46273</v>
      </c>
    </row>
    <row r="301" customFormat="false" ht="16.5" hidden="false" customHeight="true" outlineLevel="0" collapsed="false">
      <c r="A301" s="39" t="n">
        <f aca="false">IF($F301="","",ROW())</f>
        <v>301</v>
      </c>
      <c r="B301" s="40" t="str">
        <f aca="false">IF($F301="",IF($D301="","","Falta a atividade"),IF($R301="Cancelada","Cancelada",IF($AB301=1,IF(N($Z301)&gt;0,"Concluída com atraso","Concluída"),IF($R301="Em programação","Em programação",IF($O301="",IF($M301="","Na carteira","Falta a semana"),IF($AC301=1,"VENCIDA",IF($O301&gt;Hoje!$L$1,"Programada",IF($P301&gt;Hoje!$L$1,"Em execução","Fecha hoje"))))))))</f>
        <v>Concluída</v>
      </c>
      <c r="C301" s="41"/>
      <c r="D301" s="42" t="s">
        <v>716</v>
      </c>
      <c r="E301" s="42" t="s">
        <v>694</v>
      </c>
      <c r="F301" s="42" t="s">
        <v>719</v>
      </c>
      <c r="G301" s="43" t="s">
        <v>594</v>
      </c>
      <c r="H301" s="43" t="s">
        <v>100</v>
      </c>
      <c r="I301" s="44" t="s">
        <v>107</v>
      </c>
      <c r="J301" s="44" t="s">
        <v>88</v>
      </c>
      <c r="K301" s="44"/>
      <c r="L301" s="45" t="n">
        <v>37</v>
      </c>
      <c r="M301" s="46" t="s">
        <v>131</v>
      </c>
      <c r="N301" s="45" t="n">
        <v>3</v>
      </c>
      <c r="O301" s="47" t="n">
        <f aca="false">IF(OR($L301="",$M301=""),"",(DATE(Semana!$J$3,1,4)-WEEKDAY(DATE(Semana!$J$3,1,4),3))+($L301-1)*7+MATCH($M301,Listas!$F$5:$F$11,0)-1)</f>
        <v>46273</v>
      </c>
      <c r="P301" s="47" t="n">
        <f aca="false">IF(OR($F301="",$O301=""),"",$O301+MAX(0,ROUNDUP($AK301*MAX(1,IF($N301="",1,$N301))/MAX(1,$AL301),0)-1))</f>
        <v>46274</v>
      </c>
      <c r="Q301" s="48" t="n">
        <v>46273</v>
      </c>
      <c r="R301" s="43"/>
      <c r="S301" s="49"/>
      <c r="T301" s="42"/>
      <c r="U301" s="42"/>
      <c r="V301" s="39" t="str">
        <f aca="false">IF($F301="","",IF(ISNUMBER(SEARCH("(externo)",$I301&amp;$J301&amp;$K301)),"Terceirizada","Interna"))</f>
        <v>Interna</v>
      </c>
      <c r="W301" s="47" t="n">
        <f aca="false">IF($O301="","",IF($S301="",$O301,(DATE(Semana!$J$3,1,4)-WEEKDAY(DATE(Semana!$J$3,1,4),3))+($S301-1)*7+IF($M301="",0,MATCH($M301,Listas!$F$5:$F$11,0)-1)))</f>
        <v>46273</v>
      </c>
      <c r="X301" s="39" t="n">
        <f aca="false">IF($F301="","",IF(OR($AT301="",$O301=""),0,IF($AT301&lt;=$O301,1,0)))</f>
        <v>1</v>
      </c>
      <c r="Y301" s="39" t="n">
        <f aca="false">IF($F301="","",IF(OR($AT301="",$W301=""),0,IF($AT301&lt;=$W301,1,0)))</f>
        <v>1</v>
      </c>
      <c r="Z301" s="39" t="n">
        <f aca="false">IF(OR($AT301="",$O301=""),"",MAX(0,$AT301-$O301))</f>
        <v>0</v>
      </c>
      <c r="AA301" s="39" t="n">
        <f aca="false">IF($F301="","",IF(AND($S301&lt;&gt;"",$L301&lt;&gt;"",$S301&lt;&gt;$L301),1,0))</f>
        <v>0</v>
      </c>
      <c r="AB301" s="39" t="n">
        <f aca="false">IF($F301="","",IF($R301="Cancelada",0,IF(OR($AT301&lt;&gt;"",$R301="Concluída"),1,0)))</f>
        <v>1</v>
      </c>
      <c r="AC301" s="39" t="n">
        <f aca="false">IF($P301="",0,IF($P301&lt;Hoje!$L$1,1,IF(AND($P301=Hoje!$L$1,Hoje!$L$2&gt;Semana!$M$3),1,0)))</f>
        <v>0</v>
      </c>
      <c r="AD301" s="39" t="n">
        <f aca="false">IF($F301="","",IF(COUNTA($I301:$K301)=0,0,1/COUNTA($I301:$K301)))</f>
        <v>0.5</v>
      </c>
      <c r="AE301" s="39" t="n">
        <f aca="false">IF($AH301=0,"",SUM($AH$4:$AH301))</f>
        <v>21</v>
      </c>
      <c r="AF301" s="39" t="str">
        <f aca="false">IF($AI301=0,"",SUM($AI$4:$AI301))</f>
        <v/>
      </c>
      <c r="AG301" s="50" t="str">
        <f aca="false">IF($F301="","",$I301&amp;IF($J301="",""," · "&amp;$J301)&amp;IF($K301="",""," · "&amp;$K301))</f>
        <v>Gabriel · Júnior</v>
      </c>
      <c r="AH301" s="39" t="n">
        <f aca="false">IF(AND($F301&lt;&gt;"",$O301&lt;&gt;"",$O301&lt;=Hoje!$C$3,$P301&gt;=Hoje!$C$3,$R301&lt;&gt;"Cancelada"),1,0)</f>
        <v>1</v>
      </c>
      <c r="AI301" s="39" t="n">
        <f aca="false">IF(AND($F301&lt;&gt;"",$P301&lt;&gt;"",$P301&lt;Hoje!$C$3,$AB301=0,$R301&lt;&gt;"Cancelada"),1,0)</f>
        <v>0</v>
      </c>
      <c r="AJ301" s="50" t="str">
        <f aca="false">IF($F301="","",$D301&amp;"|"&amp;$E301&amp;"|"&amp;$L301)</f>
        <v>F-1062|Programação 08/09|37</v>
      </c>
      <c r="AK301" s="39" t="n">
        <f aca="false">IF($AJ301="","",COUNTIF($AJ$4:$AJ301,$AJ301))</f>
        <v>3</v>
      </c>
      <c r="AL301" s="39" t="n">
        <f aca="false">IF($AJ301="","",COUNTIF($AJ$4:$AJ$1004,$AJ301))</f>
        <v>5</v>
      </c>
      <c r="AM301" s="42"/>
      <c r="AN301" s="50" t="str">
        <f aca="false">IF($D301="","",IFERROR(T(VLOOKUP($D301,Listas!$B$5:$H$120,7,0)),""))</f>
        <v/>
      </c>
      <c r="AO301" s="50" t="str">
        <f aca="false">IF(OR($F301="",$L301&lt;&gt;"",$R301="Cancelada",$AT301&lt;&gt;""),"",$AN301&amp;"|"&amp;$D301&amp;"|"&amp;IF($C301="","zzz",$C301)&amp;"|"&amp;TEXT(301,"0000"))</f>
        <v/>
      </c>
      <c r="AP301" s="50" t="str">
        <f aca="false">IF($AO301="","",COUNTIF($AO$5:$AO$1004,"&lt;"&amp;$AO301)-(ROWS($AO$5:$AO$1004)-Hoje!$L$5)+1)</f>
        <v/>
      </c>
      <c r="AQ301" s="50" t="n">
        <f aca="false">IF(AND($F301&lt;&gt;"",$D301=Frota!$C$3),1,0)</f>
        <v>0</v>
      </c>
      <c r="AR301" s="50" t="str">
        <f aca="false">IF($AQ301=0,"",SUM($AQ$4:$AQ301))</f>
        <v/>
      </c>
      <c r="AS301" s="50" t="str">
        <f aca="false">IFERROR(INDEX(Hoje!$K$10:$K$29,MATCH(ROW(),Hoje!$J$10:$J$29,0)),"")</f>
        <v/>
      </c>
      <c r="AT301" s="47" t="n">
        <f aca="false">IF($Q301&lt;&gt;"",$Q301,$AS301)</f>
        <v>46273</v>
      </c>
    </row>
    <row r="302" customFormat="false" ht="16.5" hidden="false" customHeight="true" outlineLevel="0" collapsed="false">
      <c r="A302" s="39" t="n">
        <f aca="false">IF($F302="","",ROW())</f>
        <v>302</v>
      </c>
      <c r="B302" s="40" t="str">
        <f aca="false">IF($F302="",IF($D302="","","Falta a atividade"),IF($R302="Cancelada","Cancelada",IF($AB302=1,IF(N($Z302)&gt;0,"Concluída com atraso","Concluída"),IF($R302="Em programação","Em programação",IF($O302="",IF($M302="","Na carteira","Falta a semana"),IF($AC302=1,"VENCIDA",IF($O302&gt;Hoje!$L$1,"Programada",IF($P302&gt;Hoje!$L$1,"Em execução","Fecha hoje"))))))))</f>
        <v>Cancelada</v>
      </c>
      <c r="C302" s="41"/>
      <c r="D302" s="42" t="s">
        <v>716</v>
      </c>
      <c r="E302" s="42" t="s">
        <v>694</v>
      </c>
      <c r="F302" s="42" t="s">
        <v>720</v>
      </c>
      <c r="G302" s="43" t="s">
        <v>594</v>
      </c>
      <c r="H302" s="43" t="s">
        <v>100</v>
      </c>
      <c r="I302" s="44" t="s">
        <v>107</v>
      </c>
      <c r="J302" s="44" t="s">
        <v>88</v>
      </c>
      <c r="K302" s="44"/>
      <c r="L302" s="45" t="n">
        <v>37</v>
      </c>
      <c r="M302" s="46" t="s">
        <v>131</v>
      </c>
      <c r="N302" s="45" t="n">
        <v>3</v>
      </c>
      <c r="O302" s="47" t="n">
        <f aca="false">IF(OR($L302="",$M302=""),"",(DATE(Semana!$J$3,1,4)-WEEKDAY(DATE(Semana!$J$3,1,4),3))+($L302-1)*7+MATCH($M302,Listas!$F$5:$F$11,0)-1)</f>
        <v>46273</v>
      </c>
      <c r="P302" s="47" t="n">
        <f aca="false">IF(OR($F302="",$O302=""),"",$O302+MAX(0,ROUNDUP($AK302*MAX(1,IF($N302="",1,$N302))/MAX(1,$AL302),0)-1))</f>
        <v>46275</v>
      </c>
      <c r="Q302" s="48"/>
      <c r="R302" s="43" t="s">
        <v>191</v>
      </c>
      <c r="S302" s="49"/>
      <c r="T302" s="42"/>
      <c r="U302" s="42" t="s">
        <v>721</v>
      </c>
      <c r="V302" s="39" t="str">
        <f aca="false">IF($F302="","",IF(ISNUMBER(SEARCH("(externo)",$I302&amp;$J302&amp;$K302)),"Terceirizada","Interna"))</f>
        <v>Interna</v>
      </c>
      <c r="W302" s="47" t="n">
        <f aca="false">IF($O302="","",IF($S302="",$O302,(DATE(Semana!$J$3,1,4)-WEEKDAY(DATE(Semana!$J$3,1,4),3))+($S302-1)*7+IF($M302="",0,MATCH($M302,Listas!$F$5:$F$11,0)-1)))</f>
        <v>46273</v>
      </c>
      <c r="X302" s="39" t="n">
        <f aca="false">IF($F302="","",IF(OR($AT302="",$O302=""),0,IF($AT302&lt;=$O302,1,0)))</f>
        <v>0</v>
      </c>
      <c r="Y302" s="39" t="n">
        <f aca="false">IF($F302="","",IF(OR($AT302="",$W302=""),0,IF($AT302&lt;=$W302,1,0)))</f>
        <v>0</v>
      </c>
      <c r="Z302" s="39" t="str">
        <f aca="false">IF(OR($AT302="",$O302=""),"",MAX(0,$AT302-$O302))</f>
        <v/>
      </c>
      <c r="AA302" s="39" t="n">
        <f aca="false">IF($F302="","",IF(AND($S302&lt;&gt;"",$L302&lt;&gt;"",$S302&lt;&gt;$L302),1,0))</f>
        <v>0</v>
      </c>
      <c r="AB302" s="39" t="n">
        <f aca="false">IF($F302="","",IF($R302="Cancelada",0,IF(OR($AT302&lt;&gt;"",$R302="Concluída"),1,0)))</f>
        <v>0</v>
      </c>
      <c r="AC302" s="39" t="n">
        <f aca="false">IF($P302="",0,IF($P302&lt;Hoje!$L$1,1,IF(AND($P302=Hoje!$L$1,Hoje!$L$2&gt;Semana!$M$3),1,0)))</f>
        <v>0</v>
      </c>
      <c r="AD302" s="39" t="n">
        <f aca="false">IF($F302="","",IF(COUNTA($I302:$K302)=0,0,1/COUNTA($I302:$K302)))</f>
        <v>0.5</v>
      </c>
      <c r="AE302" s="39" t="str">
        <f aca="false">IF($AH302=0,"",SUM($AH$4:$AH302))</f>
        <v/>
      </c>
      <c r="AF302" s="39" t="str">
        <f aca="false">IF($AI302=0,"",SUM($AI$4:$AI302))</f>
        <v/>
      </c>
      <c r="AG302" s="50" t="str">
        <f aca="false">IF($F302="","",$I302&amp;IF($J302="",""," · "&amp;$J302)&amp;IF($K302="",""," · "&amp;$K302))</f>
        <v>Gabriel · Júnior</v>
      </c>
      <c r="AH302" s="39" t="n">
        <f aca="false">IF(AND($F302&lt;&gt;"",$O302&lt;&gt;"",$O302&lt;=Hoje!$C$3,$P302&gt;=Hoje!$C$3,$R302&lt;&gt;"Cancelada"),1,0)</f>
        <v>0</v>
      </c>
      <c r="AI302" s="39" t="n">
        <f aca="false">IF(AND($F302&lt;&gt;"",$P302&lt;&gt;"",$P302&lt;Hoje!$C$3,$AB302=0,$R302&lt;&gt;"Cancelada"),1,0)</f>
        <v>0</v>
      </c>
      <c r="AJ302" s="50" t="str">
        <f aca="false">IF($F302="","",$D302&amp;"|"&amp;$E302&amp;"|"&amp;$L302)</f>
        <v>F-1062|Programação 08/09|37</v>
      </c>
      <c r="AK302" s="39" t="n">
        <f aca="false">IF($AJ302="","",COUNTIF($AJ$4:$AJ302,$AJ302))</f>
        <v>4</v>
      </c>
      <c r="AL302" s="39" t="n">
        <f aca="false">IF($AJ302="","",COUNTIF($AJ$4:$AJ$1004,$AJ302))</f>
        <v>5</v>
      </c>
      <c r="AM302" s="42"/>
      <c r="AN302" s="50" t="str">
        <f aca="false">IF($D302="","",IFERROR(T(VLOOKUP($D302,Listas!$B$5:$H$120,7,0)),""))</f>
        <v/>
      </c>
      <c r="AO302" s="50" t="str">
        <f aca="false">IF(OR($F302="",$L302&lt;&gt;"",$R302="Cancelada",$AT302&lt;&gt;""),"",$AN302&amp;"|"&amp;$D302&amp;"|"&amp;IF($C302="","zzz",$C302)&amp;"|"&amp;TEXT(302,"0000"))</f>
        <v/>
      </c>
      <c r="AP302" s="50" t="str">
        <f aca="false">IF($AO302="","",COUNTIF($AO$5:$AO$1004,"&lt;"&amp;$AO302)-(ROWS($AO$5:$AO$1004)-Hoje!$L$5)+1)</f>
        <v/>
      </c>
      <c r="AQ302" s="50" t="n">
        <f aca="false">IF(AND($F302&lt;&gt;"",$D302=Frota!$C$3),1,0)</f>
        <v>0</v>
      </c>
      <c r="AR302" s="50" t="str">
        <f aca="false">IF($AQ302=0,"",SUM($AQ$4:$AQ302))</f>
        <v/>
      </c>
      <c r="AS302" s="50" t="str">
        <f aca="false">IFERROR(INDEX(Hoje!$K$10:$K$29,MATCH(ROW(),Hoje!$J$10:$J$29,0)),"")</f>
        <v/>
      </c>
      <c r="AT302" s="50" t="str">
        <f aca="false">IF($Q302&lt;&gt;"",$Q302,$AS302)</f>
        <v/>
      </c>
    </row>
    <row r="303" customFormat="false" ht="16.5" hidden="false" customHeight="true" outlineLevel="0" collapsed="false">
      <c r="A303" s="39" t="n">
        <f aca="false">IF($F303="","",ROW())</f>
        <v>303</v>
      </c>
      <c r="B303" s="40" t="str">
        <f aca="false">IF($F303="",IF($D303="","","Falta a atividade"),IF($R303="Cancelada","Cancelada",IF($AB303=1,IF(N($Z303)&gt;0,"Concluída com atraso","Concluída"),IF($R303="Em programação","Em programação",IF($O303="",IF($M303="","Na carteira","Falta a semana"),IF($AC303=1,"VENCIDA",IF($O303&gt;Hoje!$L$1,"Programada",IF($P303&gt;Hoje!$L$1,"Em execução","Fecha hoje"))))))))</f>
        <v>Concluída</v>
      </c>
      <c r="C303" s="41"/>
      <c r="D303" s="42" t="s">
        <v>716</v>
      </c>
      <c r="E303" s="42" t="s">
        <v>694</v>
      </c>
      <c r="F303" s="42" t="s">
        <v>722</v>
      </c>
      <c r="G303" s="43" t="s">
        <v>594</v>
      </c>
      <c r="H303" s="43" t="s">
        <v>100</v>
      </c>
      <c r="I303" s="44" t="s">
        <v>107</v>
      </c>
      <c r="J303" s="44" t="s">
        <v>88</v>
      </c>
      <c r="K303" s="44"/>
      <c r="L303" s="45" t="n">
        <v>37</v>
      </c>
      <c r="M303" s="46" t="s">
        <v>131</v>
      </c>
      <c r="N303" s="45" t="n">
        <v>3</v>
      </c>
      <c r="O303" s="47" t="n">
        <f aca="false">IF(OR($L303="",$M303=""),"",(DATE(Semana!$J$3,1,4)-WEEKDAY(DATE(Semana!$J$3,1,4),3))+($L303-1)*7+MATCH($M303,Listas!$F$5:$F$11,0)-1)</f>
        <v>46273</v>
      </c>
      <c r="P303" s="47" t="n">
        <f aca="false">IF(OR($F303="",$O303=""),"",$O303+MAX(0,ROUNDUP($AK303*MAX(1,IF($N303="",1,$N303))/MAX(1,$AL303),0)-1))</f>
        <v>46275</v>
      </c>
      <c r="Q303" s="48" t="n">
        <v>46273</v>
      </c>
      <c r="R303" s="43"/>
      <c r="S303" s="49"/>
      <c r="T303" s="42"/>
      <c r="U303" s="42"/>
      <c r="V303" s="39" t="str">
        <f aca="false">IF($F303="","",IF(ISNUMBER(SEARCH("(externo)",$I303&amp;$J303&amp;$K303)),"Terceirizada","Interna"))</f>
        <v>Interna</v>
      </c>
      <c r="W303" s="47" t="n">
        <f aca="false">IF($O303="","",IF($S303="",$O303,(DATE(Semana!$J$3,1,4)-WEEKDAY(DATE(Semana!$J$3,1,4),3))+($S303-1)*7+IF($M303="",0,MATCH($M303,Listas!$F$5:$F$11,0)-1)))</f>
        <v>46273</v>
      </c>
      <c r="X303" s="39" t="n">
        <f aca="false">IF($F303="","",IF(OR($AT303="",$O303=""),0,IF($AT303&lt;=$O303,1,0)))</f>
        <v>1</v>
      </c>
      <c r="Y303" s="39" t="n">
        <f aca="false">IF($F303="","",IF(OR($AT303="",$W303=""),0,IF($AT303&lt;=$W303,1,0)))</f>
        <v>1</v>
      </c>
      <c r="Z303" s="39" t="n">
        <f aca="false">IF(OR($AT303="",$O303=""),"",MAX(0,$AT303-$O303))</f>
        <v>0</v>
      </c>
      <c r="AA303" s="39" t="n">
        <f aca="false">IF($F303="","",IF(AND($S303&lt;&gt;"",$L303&lt;&gt;"",$S303&lt;&gt;$L303),1,0))</f>
        <v>0</v>
      </c>
      <c r="AB303" s="39" t="n">
        <f aca="false">IF($F303="","",IF($R303="Cancelada",0,IF(OR($AT303&lt;&gt;"",$R303="Concluída"),1,0)))</f>
        <v>1</v>
      </c>
      <c r="AC303" s="39" t="n">
        <f aca="false">IF($P303="",0,IF($P303&lt;Hoje!$L$1,1,IF(AND($P303=Hoje!$L$1,Hoje!$L$2&gt;Semana!$M$3),1,0)))</f>
        <v>0</v>
      </c>
      <c r="AD303" s="39" t="n">
        <f aca="false">IF($F303="","",IF(COUNTA($I303:$K303)=0,0,1/COUNTA($I303:$K303)))</f>
        <v>0.5</v>
      </c>
      <c r="AE303" s="39" t="n">
        <f aca="false">IF($AH303=0,"",SUM($AH$4:$AH303))</f>
        <v>22</v>
      </c>
      <c r="AF303" s="39" t="str">
        <f aca="false">IF($AI303=0,"",SUM($AI$4:$AI303))</f>
        <v/>
      </c>
      <c r="AG303" s="50" t="str">
        <f aca="false">IF($F303="","",$I303&amp;IF($J303="",""," · "&amp;$J303)&amp;IF($K303="",""," · "&amp;$K303))</f>
        <v>Gabriel · Júnior</v>
      </c>
      <c r="AH303" s="39" t="n">
        <f aca="false">IF(AND($F303&lt;&gt;"",$O303&lt;&gt;"",$O303&lt;=Hoje!$C$3,$P303&gt;=Hoje!$C$3,$R303&lt;&gt;"Cancelada"),1,0)</f>
        <v>1</v>
      </c>
      <c r="AI303" s="39" t="n">
        <f aca="false">IF(AND($F303&lt;&gt;"",$P303&lt;&gt;"",$P303&lt;Hoje!$C$3,$AB303=0,$R303&lt;&gt;"Cancelada"),1,0)</f>
        <v>0</v>
      </c>
      <c r="AJ303" s="50" t="str">
        <f aca="false">IF($F303="","",$D303&amp;"|"&amp;$E303&amp;"|"&amp;$L303)</f>
        <v>F-1062|Programação 08/09|37</v>
      </c>
      <c r="AK303" s="39" t="n">
        <f aca="false">IF($AJ303="","",COUNTIF($AJ$4:$AJ303,$AJ303))</f>
        <v>5</v>
      </c>
      <c r="AL303" s="39" t="n">
        <f aca="false">IF($AJ303="","",COUNTIF($AJ$4:$AJ$1004,$AJ303))</f>
        <v>5</v>
      </c>
      <c r="AM303" s="42"/>
      <c r="AN303" s="50" t="str">
        <f aca="false">IF($D303="","",IFERROR(T(VLOOKUP($D303,Listas!$B$5:$H$120,7,0)),""))</f>
        <v/>
      </c>
      <c r="AO303" s="50" t="str">
        <f aca="false">IF(OR($F303="",$L303&lt;&gt;"",$R303="Cancelada",$AT303&lt;&gt;""),"",$AN303&amp;"|"&amp;$D303&amp;"|"&amp;IF($C303="","zzz",$C303)&amp;"|"&amp;TEXT(303,"0000"))</f>
        <v/>
      </c>
      <c r="AP303" s="50" t="str">
        <f aca="false">IF($AO303="","",COUNTIF($AO$5:$AO$1004,"&lt;"&amp;$AO303)-(ROWS($AO$5:$AO$1004)-Hoje!$L$5)+1)</f>
        <v/>
      </c>
      <c r="AQ303" s="50" t="n">
        <f aca="false">IF(AND($F303&lt;&gt;"",$D303=Frota!$C$3),1,0)</f>
        <v>0</v>
      </c>
      <c r="AR303" s="50" t="str">
        <f aca="false">IF($AQ303=0,"",SUM($AQ$4:$AQ303))</f>
        <v/>
      </c>
      <c r="AS303" s="50" t="str">
        <f aca="false">IFERROR(INDEX(Hoje!$K$10:$K$29,MATCH(ROW(),Hoje!$J$10:$J$29,0)),"")</f>
        <v/>
      </c>
      <c r="AT303" s="47" t="n">
        <f aca="false">IF($Q303&lt;&gt;"",$Q303,$AS303)</f>
        <v>46273</v>
      </c>
    </row>
    <row r="304" customFormat="false" ht="16.5" hidden="false" customHeight="true" outlineLevel="0" collapsed="false">
      <c r="A304" s="39" t="n">
        <f aca="false">IF($F304="","",ROW())</f>
        <v>304</v>
      </c>
      <c r="B304" s="40" t="str">
        <f aca="false">IF($F304="",IF($D304="","","Falta a atividade"),IF($R304="Cancelada","Cancelada",IF($AB304=1,IF(N($Z304)&gt;0,"Concluída com atraso","Concluída"),IF($R304="Em programação","Em programação",IF($O304="",IF($M304="","Na carteira","Falta a semana"),IF($AC304=1,"VENCIDA",IF($O304&gt;Hoje!$L$1,"Programada",IF($P304&gt;Hoje!$L$1,"Em execução","Fecha hoje"))))))))</f>
        <v>Na carteira</v>
      </c>
      <c r="C304" s="41" t="s">
        <v>723</v>
      </c>
      <c r="D304" s="42" t="s">
        <v>652</v>
      </c>
      <c r="E304" s="42" t="s">
        <v>724</v>
      </c>
      <c r="F304" s="42" t="s">
        <v>725</v>
      </c>
      <c r="G304" s="43" t="s">
        <v>80</v>
      </c>
      <c r="H304" s="43" t="s">
        <v>100</v>
      </c>
      <c r="I304" s="44"/>
      <c r="J304" s="44"/>
      <c r="K304" s="44"/>
      <c r="L304" s="45"/>
      <c r="M304" s="46"/>
      <c r="N304" s="45"/>
      <c r="O304" s="47" t="str">
        <f aca="false">IF(OR($L304="",$M304=""),"",(DATE(Semana!$J$3,1,4)-WEEKDAY(DATE(Semana!$J$3,1,4),3))+($L304-1)*7+MATCH($M304,Listas!$F$5:$F$11,0)-1)</f>
        <v/>
      </c>
      <c r="P304" s="47" t="str">
        <f aca="false">IF(OR($F304="",$O304=""),"",$O304+MAX(0,ROUNDUP($AK304*MAX(1,IF($N304="",1,$N304))/MAX(1,$AL304),0)-1))</f>
        <v/>
      </c>
      <c r="Q304" s="48"/>
      <c r="R304" s="43"/>
      <c r="S304" s="49"/>
      <c r="T304" s="42"/>
      <c r="U304" s="42"/>
      <c r="V304" s="39" t="str">
        <f aca="false">IF($F304="","",IF(ISNUMBER(SEARCH("(externo)",$I304&amp;$J304&amp;$K304)),"Terceirizada","Interna"))</f>
        <v>Interna</v>
      </c>
      <c r="W304" s="47" t="str">
        <f aca="false">IF($O304="","",IF($S304="",$O304,(DATE(Semana!$J$3,1,4)-WEEKDAY(DATE(Semana!$J$3,1,4),3))+($S304-1)*7+IF($M304="",0,MATCH($M304,Listas!$F$5:$F$11,0)-1)))</f>
        <v/>
      </c>
      <c r="X304" s="39" t="n">
        <f aca="false">IF($F304="","",IF(OR($AT304="",$O304=""),0,IF($AT304&lt;=$O304,1,0)))</f>
        <v>0</v>
      </c>
      <c r="Y304" s="39" t="n">
        <f aca="false">IF($F304="","",IF(OR($AT304="",$W304=""),0,IF($AT304&lt;=$W304,1,0)))</f>
        <v>0</v>
      </c>
      <c r="Z304" s="39" t="str">
        <f aca="false">IF(OR($AT304="",$O304=""),"",MAX(0,$AT304-$O304))</f>
        <v/>
      </c>
      <c r="AA304" s="39" t="n">
        <f aca="false">IF($F304="","",IF(AND($S304&lt;&gt;"",$L304&lt;&gt;"",$S304&lt;&gt;$L304),1,0))</f>
        <v>0</v>
      </c>
      <c r="AB304" s="39" t="n">
        <f aca="false">IF($F304="","",IF($R304="Cancelada",0,IF(OR($AT304&lt;&gt;"",$R304="Concluída"),1,0)))</f>
        <v>0</v>
      </c>
      <c r="AC304" s="39" t="n">
        <f aca="false">IF($P304="",0,IF($P304&lt;Hoje!$L$1,1,IF(AND($P304=Hoje!$L$1,Hoje!$L$2&gt;Semana!$M$3),1,0)))</f>
        <v>0</v>
      </c>
      <c r="AD304" s="39" t="n">
        <f aca="false">IF($F304="","",IF(COUNTA($I304:$K304)=0,0,1/COUNTA($I304:$K304)))</f>
        <v>0</v>
      </c>
      <c r="AE304" s="39" t="str">
        <f aca="false">IF($AH304=0,"",SUM($AH$4:$AH304))</f>
        <v/>
      </c>
      <c r="AF304" s="39" t="str">
        <f aca="false">IF($AI304=0,"",SUM($AI$4:$AI304))</f>
        <v/>
      </c>
      <c r="AG304" s="50" t="str">
        <f aca="false">IF($F304="","",$I304&amp;IF($J304="",""," · "&amp;$J304)&amp;IF($K304="",""," · "&amp;$K304))</f>
        <v/>
      </c>
      <c r="AH304" s="39" t="n">
        <f aca="false">IF(AND($F304&lt;&gt;"",$O304&lt;&gt;"",$O304&lt;=Hoje!$C$3,$P304&gt;=Hoje!$C$3,$R304&lt;&gt;"Cancelada"),1,0)</f>
        <v>0</v>
      </c>
      <c r="AI304" s="39" t="n">
        <f aca="false">IF(AND($F304&lt;&gt;"",$P304&lt;&gt;"",$P304&lt;Hoje!$C$3,$AB304=0,$R304&lt;&gt;"Cancelada"),1,0)</f>
        <v>0</v>
      </c>
      <c r="AJ304" s="50" t="str">
        <f aca="false">IF($F304="","",$D304&amp;"|"&amp;$E304&amp;"|"&amp;$L304)</f>
        <v>F-972|Programação 09/09|</v>
      </c>
      <c r="AK304" s="39" t="n">
        <f aca="false">IF($AJ304="","",COUNTIF($AJ$4:$AJ304,$AJ304))</f>
        <v>1</v>
      </c>
      <c r="AL304" s="39" t="n">
        <f aca="false">IF($AJ304="","",COUNTIF($AJ$4:$AJ$1004,$AJ304))</f>
        <v>22</v>
      </c>
      <c r="AM304" s="42"/>
      <c r="AN304" s="50" t="str">
        <f aca="false">IF($D304="","",IFERROR(T(VLOOKUP($D304,Listas!$B$5:$H$120,7,0)),""))</f>
        <v>Petro</v>
      </c>
      <c r="AO304" s="50" t="str">
        <f aca="false">IF(OR($F304="",$L304&lt;&gt;"",$R304="Cancelada",$AT304&lt;&gt;""),"",$AN304&amp;"|"&amp;$D304&amp;"|"&amp;IF($C304="","zzz",$C304)&amp;"|"&amp;TEXT(304,"0000"))</f>
        <v>Petro|F-972|007440|0304</v>
      </c>
      <c r="AP304" s="50" t="n">
        <f aca="false">IF($AO304="","",COUNTIF($AO$5:$AO$1004,"&lt;"&amp;$AO304)-(ROWS($AO$5:$AO$1004)-Hoje!$L$5)+1)</f>
        <v>99</v>
      </c>
      <c r="AQ304" s="50" t="n">
        <f aca="false">IF(AND($F304&lt;&gt;"",$D304=Frota!$C$3),1,0)</f>
        <v>0</v>
      </c>
      <c r="AR304" s="50" t="str">
        <f aca="false">IF($AQ304=0,"",SUM($AQ$4:$AQ304))</f>
        <v/>
      </c>
      <c r="AS304" s="50" t="str">
        <f aca="false">IFERROR(INDEX(Hoje!$K$10:$K$29,MATCH(ROW(),Hoje!$J$10:$J$29,0)),"")</f>
        <v/>
      </c>
      <c r="AT304" s="50" t="str">
        <f aca="false">IF($Q304&lt;&gt;"",$Q304,$AS304)</f>
        <v/>
      </c>
    </row>
    <row r="305" customFormat="false" ht="16.5" hidden="false" customHeight="true" outlineLevel="0" collapsed="false">
      <c r="A305" s="39" t="n">
        <f aca="false">IF($F305="","",ROW())</f>
        <v>305</v>
      </c>
      <c r="B305" s="40" t="str">
        <f aca="false">IF($F305="",IF($D305="","","Falta a atividade"),IF($R305="Cancelada","Cancelada",IF($AB305=1,IF(N($Z305)&gt;0,"Concluída com atraso","Concluída"),IF($R305="Em programação","Em programação",IF($O305="",IF($M305="","Na carteira","Falta a semana"),IF($AC305=1,"VENCIDA",IF($O305&gt;Hoje!$L$1,"Programada",IF($P305&gt;Hoje!$L$1,"Em execução","Fecha hoje"))))))))</f>
        <v>Na carteira</v>
      </c>
      <c r="C305" s="41" t="s">
        <v>726</v>
      </c>
      <c r="D305" s="42" t="s">
        <v>652</v>
      </c>
      <c r="E305" s="42" t="s">
        <v>724</v>
      </c>
      <c r="F305" s="42" t="s">
        <v>727</v>
      </c>
      <c r="G305" s="43" t="s">
        <v>80</v>
      </c>
      <c r="H305" s="43" t="s">
        <v>100</v>
      </c>
      <c r="I305" s="44"/>
      <c r="J305" s="44"/>
      <c r="K305" s="44"/>
      <c r="L305" s="45"/>
      <c r="M305" s="46"/>
      <c r="N305" s="45"/>
      <c r="O305" s="47" t="str">
        <f aca="false">IF(OR($L305="",$M305=""),"",(DATE(Semana!$J$3,1,4)-WEEKDAY(DATE(Semana!$J$3,1,4),3))+($L305-1)*7+MATCH($M305,Listas!$F$5:$F$11,0)-1)</f>
        <v/>
      </c>
      <c r="P305" s="47" t="str">
        <f aca="false">IF(OR($F305="",$O305=""),"",$O305+MAX(0,ROUNDUP($AK305*MAX(1,IF($N305="",1,$N305))/MAX(1,$AL305),0)-1))</f>
        <v/>
      </c>
      <c r="Q305" s="48"/>
      <c r="R305" s="43"/>
      <c r="S305" s="49"/>
      <c r="T305" s="42"/>
      <c r="U305" s="42" t="s">
        <v>728</v>
      </c>
      <c r="V305" s="39" t="str">
        <f aca="false">IF($F305="","",IF(ISNUMBER(SEARCH("(externo)",$I305&amp;$J305&amp;$K305)),"Terceirizada","Interna"))</f>
        <v>Interna</v>
      </c>
      <c r="W305" s="47" t="str">
        <f aca="false">IF($O305="","",IF($S305="",$O305,(DATE(Semana!$J$3,1,4)-WEEKDAY(DATE(Semana!$J$3,1,4),3))+($S305-1)*7+IF($M305="",0,MATCH($M305,Listas!$F$5:$F$11,0)-1)))</f>
        <v/>
      </c>
      <c r="X305" s="39" t="n">
        <f aca="false">IF($F305="","",IF(OR($AT305="",$O305=""),0,IF($AT305&lt;=$O305,1,0)))</f>
        <v>0</v>
      </c>
      <c r="Y305" s="39" t="n">
        <f aca="false">IF($F305="","",IF(OR($AT305="",$W305=""),0,IF($AT305&lt;=$W305,1,0)))</f>
        <v>0</v>
      </c>
      <c r="Z305" s="39" t="str">
        <f aca="false">IF(OR($AT305="",$O305=""),"",MAX(0,$AT305-$O305))</f>
        <v/>
      </c>
      <c r="AA305" s="39" t="n">
        <f aca="false">IF($F305="","",IF(AND($S305&lt;&gt;"",$L305&lt;&gt;"",$S305&lt;&gt;$L305),1,0))</f>
        <v>0</v>
      </c>
      <c r="AB305" s="39" t="n">
        <f aca="false">IF($F305="","",IF($R305="Cancelada",0,IF(OR($AT305&lt;&gt;"",$R305="Concluída"),1,0)))</f>
        <v>0</v>
      </c>
      <c r="AC305" s="39" t="n">
        <f aca="false">IF($P305="",0,IF($P305&lt;Hoje!$L$1,1,IF(AND($P305=Hoje!$L$1,Hoje!$L$2&gt;Semana!$M$3),1,0)))</f>
        <v>0</v>
      </c>
      <c r="AD305" s="39" t="n">
        <f aca="false">IF($F305="","",IF(COUNTA($I305:$K305)=0,0,1/COUNTA($I305:$K305)))</f>
        <v>0</v>
      </c>
      <c r="AE305" s="39" t="str">
        <f aca="false">IF($AH305=0,"",SUM($AH$4:$AH305))</f>
        <v/>
      </c>
      <c r="AF305" s="39" t="str">
        <f aca="false">IF($AI305=0,"",SUM($AI$4:$AI305))</f>
        <v/>
      </c>
      <c r="AG305" s="50" t="str">
        <f aca="false">IF($F305="","",$I305&amp;IF($J305="",""," · "&amp;$J305)&amp;IF($K305="",""," · "&amp;$K305))</f>
        <v/>
      </c>
      <c r="AH305" s="39" t="n">
        <f aca="false">IF(AND($F305&lt;&gt;"",$O305&lt;&gt;"",$O305&lt;=Hoje!$C$3,$P305&gt;=Hoje!$C$3,$R305&lt;&gt;"Cancelada"),1,0)</f>
        <v>0</v>
      </c>
      <c r="AI305" s="39" t="n">
        <f aca="false">IF(AND($F305&lt;&gt;"",$P305&lt;&gt;"",$P305&lt;Hoje!$C$3,$AB305=0,$R305&lt;&gt;"Cancelada"),1,0)</f>
        <v>0</v>
      </c>
      <c r="AJ305" s="50" t="str">
        <f aca="false">IF($F305="","",$D305&amp;"|"&amp;$E305&amp;"|"&amp;$L305)</f>
        <v>F-972|Programação 09/09|</v>
      </c>
      <c r="AK305" s="39" t="n">
        <f aca="false">IF($AJ305="","",COUNTIF($AJ$4:$AJ305,$AJ305))</f>
        <v>2</v>
      </c>
      <c r="AL305" s="39" t="n">
        <f aca="false">IF($AJ305="","",COUNTIF($AJ$4:$AJ$1004,$AJ305))</f>
        <v>22</v>
      </c>
      <c r="AM305" s="42"/>
      <c r="AN305" s="50" t="str">
        <f aca="false">IF($D305="","",IFERROR(T(VLOOKUP($D305,Listas!$B$5:$H$120,7,0)),""))</f>
        <v>Petro</v>
      </c>
      <c r="AO305" s="50" t="str">
        <f aca="false">IF(OR($F305="",$L305&lt;&gt;"",$R305="Cancelada",$AT305&lt;&gt;""),"",$AN305&amp;"|"&amp;$D305&amp;"|"&amp;IF($C305="","zzz",$C305)&amp;"|"&amp;TEXT(305,"0000"))</f>
        <v>Petro|F-972|007441|0305</v>
      </c>
      <c r="AP305" s="50" t="n">
        <f aca="false">IF($AO305="","",COUNTIF($AO$5:$AO$1004,"&lt;"&amp;$AO305)-(ROWS($AO$5:$AO$1004)-Hoje!$L$5)+1)</f>
        <v>100</v>
      </c>
      <c r="AQ305" s="50" t="n">
        <f aca="false">IF(AND($F305&lt;&gt;"",$D305=Frota!$C$3),1,0)</f>
        <v>0</v>
      </c>
      <c r="AR305" s="50" t="str">
        <f aca="false">IF($AQ305=0,"",SUM($AQ$4:$AQ305))</f>
        <v/>
      </c>
      <c r="AS305" s="50" t="str">
        <f aca="false">IFERROR(INDEX(Hoje!$K$10:$K$29,MATCH(ROW(),Hoje!$J$10:$J$29,0)),"")</f>
        <v/>
      </c>
      <c r="AT305" s="50" t="str">
        <f aca="false">IF($Q305&lt;&gt;"",$Q305,$AS305)</f>
        <v/>
      </c>
    </row>
    <row r="306" customFormat="false" ht="16.5" hidden="false" customHeight="true" outlineLevel="0" collapsed="false">
      <c r="A306" s="39" t="n">
        <f aca="false">IF($F306="","",ROW())</f>
        <v>306</v>
      </c>
      <c r="B306" s="40" t="str">
        <f aca="false">IF($F306="",IF($D306="","","Falta a atividade"),IF($R306="Cancelada","Cancelada",IF($AB306=1,IF(N($Z306)&gt;0,"Concluída com atraso","Concluída"),IF($R306="Em programação","Em programação",IF($O306="",IF($M306="","Na carteira","Falta a semana"),IF($AC306=1,"VENCIDA",IF($O306&gt;Hoje!$L$1,"Programada",IF($P306&gt;Hoje!$L$1,"Em execução","Fecha hoje"))))))))</f>
        <v>Na carteira</v>
      </c>
      <c r="C306" s="41" t="s">
        <v>729</v>
      </c>
      <c r="D306" s="42" t="s">
        <v>652</v>
      </c>
      <c r="E306" s="42" t="s">
        <v>724</v>
      </c>
      <c r="F306" s="42" t="s">
        <v>730</v>
      </c>
      <c r="G306" s="43" t="s">
        <v>80</v>
      </c>
      <c r="H306" s="43" t="s">
        <v>100</v>
      </c>
      <c r="I306" s="44"/>
      <c r="J306" s="44"/>
      <c r="K306" s="44"/>
      <c r="L306" s="45"/>
      <c r="M306" s="46"/>
      <c r="N306" s="45"/>
      <c r="O306" s="47" t="str">
        <f aca="false">IF(OR($L306="",$M306=""),"",(DATE(Semana!$J$3,1,4)-WEEKDAY(DATE(Semana!$J$3,1,4),3))+($L306-1)*7+MATCH($M306,Listas!$F$5:$F$11,0)-1)</f>
        <v/>
      </c>
      <c r="P306" s="47" t="str">
        <f aca="false">IF(OR($F306="",$O306=""),"",$O306+MAX(0,ROUNDUP($AK306*MAX(1,IF($N306="",1,$N306))/MAX(1,$AL306),0)-1))</f>
        <v/>
      </c>
      <c r="Q306" s="48"/>
      <c r="R306" s="43"/>
      <c r="S306" s="49"/>
      <c r="T306" s="42"/>
      <c r="U306" s="42" t="s">
        <v>731</v>
      </c>
      <c r="V306" s="39" t="str">
        <f aca="false">IF($F306="","",IF(ISNUMBER(SEARCH("(externo)",$I306&amp;$J306&amp;$K306)),"Terceirizada","Interna"))</f>
        <v>Interna</v>
      </c>
      <c r="W306" s="47" t="str">
        <f aca="false">IF($O306="","",IF($S306="",$O306,(DATE(Semana!$J$3,1,4)-WEEKDAY(DATE(Semana!$J$3,1,4),3))+($S306-1)*7+IF($M306="",0,MATCH($M306,Listas!$F$5:$F$11,0)-1)))</f>
        <v/>
      </c>
      <c r="X306" s="39" t="n">
        <f aca="false">IF($F306="","",IF(OR($AT306="",$O306=""),0,IF($AT306&lt;=$O306,1,0)))</f>
        <v>0</v>
      </c>
      <c r="Y306" s="39" t="n">
        <f aca="false">IF($F306="","",IF(OR($AT306="",$W306=""),0,IF($AT306&lt;=$W306,1,0)))</f>
        <v>0</v>
      </c>
      <c r="Z306" s="39" t="str">
        <f aca="false">IF(OR($AT306="",$O306=""),"",MAX(0,$AT306-$O306))</f>
        <v/>
      </c>
      <c r="AA306" s="39" t="n">
        <f aca="false">IF($F306="","",IF(AND($S306&lt;&gt;"",$L306&lt;&gt;"",$S306&lt;&gt;$L306),1,0))</f>
        <v>0</v>
      </c>
      <c r="AB306" s="39" t="n">
        <f aca="false">IF($F306="","",IF($R306="Cancelada",0,IF(OR($AT306&lt;&gt;"",$R306="Concluída"),1,0)))</f>
        <v>0</v>
      </c>
      <c r="AC306" s="39" t="n">
        <f aca="false">IF($P306="",0,IF($P306&lt;Hoje!$L$1,1,IF(AND($P306=Hoje!$L$1,Hoje!$L$2&gt;Semana!$M$3),1,0)))</f>
        <v>0</v>
      </c>
      <c r="AD306" s="39" t="n">
        <f aca="false">IF($F306="","",IF(COUNTA($I306:$K306)=0,0,1/COUNTA($I306:$K306)))</f>
        <v>0</v>
      </c>
      <c r="AE306" s="39" t="str">
        <f aca="false">IF($AH306=0,"",SUM($AH$4:$AH306))</f>
        <v/>
      </c>
      <c r="AF306" s="39" t="str">
        <f aca="false">IF($AI306=0,"",SUM($AI$4:$AI306))</f>
        <v/>
      </c>
      <c r="AG306" s="50" t="str">
        <f aca="false">IF($F306="","",$I306&amp;IF($J306="",""," · "&amp;$J306)&amp;IF($K306="",""," · "&amp;$K306))</f>
        <v/>
      </c>
      <c r="AH306" s="39" t="n">
        <f aca="false">IF(AND($F306&lt;&gt;"",$O306&lt;&gt;"",$O306&lt;=Hoje!$C$3,$P306&gt;=Hoje!$C$3,$R306&lt;&gt;"Cancelada"),1,0)</f>
        <v>0</v>
      </c>
      <c r="AI306" s="39" t="n">
        <f aca="false">IF(AND($F306&lt;&gt;"",$P306&lt;&gt;"",$P306&lt;Hoje!$C$3,$AB306=0,$R306&lt;&gt;"Cancelada"),1,0)</f>
        <v>0</v>
      </c>
      <c r="AJ306" s="50" t="str">
        <f aca="false">IF($F306="","",$D306&amp;"|"&amp;$E306&amp;"|"&amp;$L306)</f>
        <v>F-972|Programação 09/09|</v>
      </c>
      <c r="AK306" s="39" t="n">
        <f aca="false">IF($AJ306="","",COUNTIF($AJ$4:$AJ306,$AJ306))</f>
        <v>3</v>
      </c>
      <c r="AL306" s="39" t="n">
        <f aca="false">IF($AJ306="","",COUNTIF($AJ$4:$AJ$1004,$AJ306))</f>
        <v>22</v>
      </c>
      <c r="AM306" s="42"/>
      <c r="AN306" s="50" t="str">
        <f aca="false">IF($D306="","",IFERROR(T(VLOOKUP($D306,Listas!$B$5:$H$120,7,0)),""))</f>
        <v>Petro</v>
      </c>
      <c r="AO306" s="50" t="str">
        <f aca="false">IF(OR($F306="",$L306&lt;&gt;"",$R306="Cancelada",$AT306&lt;&gt;""),"",$AN306&amp;"|"&amp;$D306&amp;"|"&amp;IF($C306="","zzz",$C306)&amp;"|"&amp;TEXT(306,"0000"))</f>
        <v>Petro|F-972|007442|0306</v>
      </c>
      <c r="AP306" s="50" t="n">
        <f aca="false">IF($AO306="","",COUNTIF($AO$5:$AO$1004,"&lt;"&amp;$AO306)-(ROWS($AO$5:$AO$1004)-Hoje!$L$5)+1)</f>
        <v>101</v>
      </c>
      <c r="AQ306" s="50" t="n">
        <f aca="false">IF(AND($F306&lt;&gt;"",$D306=Frota!$C$3),1,0)</f>
        <v>0</v>
      </c>
      <c r="AR306" s="50" t="str">
        <f aca="false">IF($AQ306=0,"",SUM($AQ$4:$AQ306))</f>
        <v/>
      </c>
      <c r="AS306" s="50" t="str">
        <f aca="false">IFERROR(INDEX(Hoje!$K$10:$K$29,MATCH(ROW(),Hoje!$J$10:$J$29,0)),"")</f>
        <v/>
      </c>
      <c r="AT306" s="50" t="str">
        <f aca="false">IF($Q306&lt;&gt;"",$Q306,$AS306)</f>
        <v/>
      </c>
    </row>
    <row r="307" customFormat="false" ht="16.5" hidden="false" customHeight="true" outlineLevel="0" collapsed="false">
      <c r="A307" s="39" t="n">
        <f aca="false">IF($F307="","",ROW())</f>
        <v>307</v>
      </c>
      <c r="B307" s="40" t="str">
        <f aca="false">IF($F307="",IF($D307="","","Falta a atividade"),IF($R307="Cancelada","Cancelada",IF($AB307=1,IF(N($Z307)&gt;0,"Concluída com atraso","Concluída"),IF($R307="Em programação","Em programação",IF($O307="",IF($M307="","Na carteira","Falta a semana"),IF($AC307=1,"VENCIDA",IF($O307&gt;Hoje!$L$1,"Programada",IF($P307&gt;Hoje!$L$1,"Em execução","Fecha hoje"))))))))</f>
        <v>Na carteira</v>
      </c>
      <c r="C307" s="41" t="s">
        <v>732</v>
      </c>
      <c r="D307" s="42" t="s">
        <v>652</v>
      </c>
      <c r="E307" s="42" t="s">
        <v>724</v>
      </c>
      <c r="F307" s="42" t="s">
        <v>733</v>
      </c>
      <c r="G307" s="43" t="s">
        <v>80</v>
      </c>
      <c r="H307" s="43" t="s">
        <v>100</v>
      </c>
      <c r="I307" s="44"/>
      <c r="J307" s="44"/>
      <c r="K307" s="44"/>
      <c r="L307" s="45"/>
      <c r="M307" s="46"/>
      <c r="N307" s="45"/>
      <c r="O307" s="47" t="str">
        <f aca="false">IF(OR($L307="",$M307=""),"",(DATE(Semana!$J$3,1,4)-WEEKDAY(DATE(Semana!$J$3,1,4),3))+($L307-1)*7+MATCH($M307,Listas!$F$5:$F$11,0)-1)</f>
        <v/>
      </c>
      <c r="P307" s="47" t="str">
        <f aca="false">IF(OR($F307="",$O307=""),"",$O307+MAX(0,ROUNDUP($AK307*MAX(1,IF($N307="",1,$N307))/MAX(1,$AL307),0)-1))</f>
        <v/>
      </c>
      <c r="Q307" s="48"/>
      <c r="R307" s="43"/>
      <c r="S307" s="49"/>
      <c r="T307" s="42"/>
      <c r="U307" s="42" t="s">
        <v>734</v>
      </c>
      <c r="V307" s="39" t="str">
        <f aca="false">IF($F307="","",IF(ISNUMBER(SEARCH("(externo)",$I307&amp;$J307&amp;$K307)),"Terceirizada","Interna"))</f>
        <v>Interna</v>
      </c>
      <c r="W307" s="47" t="str">
        <f aca="false">IF($O307="","",IF($S307="",$O307,(DATE(Semana!$J$3,1,4)-WEEKDAY(DATE(Semana!$J$3,1,4),3))+($S307-1)*7+IF($M307="",0,MATCH($M307,Listas!$F$5:$F$11,0)-1)))</f>
        <v/>
      </c>
      <c r="X307" s="39" t="n">
        <f aca="false">IF($F307="","",IF(OR($AT307="",$O307=""),0,IF($AT307&lt;=$O307,1,0)))</f>
        <v>0</v>
      </c>
      <c r="Y307" s="39" t="n">
        <f aca="false">IF($F307="","",IF(OR($AT307="",$W307=""),0,IF($AT307&lt;=$W307,1,0)))</f>
        <v>0</v>
      </c>
      <c r="Z307" s="39" t="str">
        <f aca="false">IF(OR($AT307="",$O307=""),"",MAX(0,$AT307-$O307))</f>
        <v/>
      </c>
      <c r="AA307" s="39" t="n">
        <f aca="false">IF($F307="","",IF(AND($S307&lt;&gt;"",$L307&lt;&gt;"",$S307&lt;&gt;$L307),1,0))</f>
        <v>0</v>
      </c>
      <c r="AB307" s="39" t="n">
        <f aca="false">IF($F307="","",IF($R307="Cancelada",0,IF(OR($AT307&lt;&gt;"",$R307="Concluída"),1,0)))</f>
        <v>0</v>
      </c>
      <c r="AC307" s="39" t="n">
        <f aca="false">IF($P307="",0,IF($P307&lt;Hoje!$L$1,1,IF(AND($P307=Hoje!$L$1,Hoje!$L$2&gt;Semana!$M$3),1,0)))</f>
        <v>0</v>
      </c>
      <c r="AD307" s="39" t="n">
        <f aca="false">IF($F307="","",IF(COUNTA($I307:$K307)=0,0,1/COUNTA($I307:$K307)))</f>
        <v>0</v>
      </c>
      <c r="AE307" s="39" t="str">
        <f aca="false">IF($AH307=0,"",SUM($AH$4:$AH307))</f>
        <v/>
      </c>
      <c r="AF307" s="39" t="str">
        <f aca="false">IF($AI307=0,"",SUM($AI$4:$AI307))</f>
        <v/>
      </c>
      <c r="AG307" s="50" t="str">
        <f aca="false">IF($F307="","",$I307&amp;IF($J307="",""," · "&amp;$J307)&amp;IF($K307="",""," · "&amp;$K307))</f>
        <v/>
      </c>
      <c r="AH307" s="39" t="n">
        <f aca="false">IF(AND($F307&lt;&gt;"",$O307&lt;&gt;"",$O307&lt;=Hoje!$C$3,$P307&gt;=Hoje!$C$3,$R307&lt;&gt;"Cancelada"),1,0)</f>
        <v>0</v>
      </c>
      <c r="AI307" s="39" t="n">
        <f aca="false">IF(AND($F307&lt;&gt;"",$P307&lt;&gt;"",$P307&lt;Hoje!$C$3,$AB307=0,$R307&lt;&gt;"Cancelada"),1,0)</f>
        <v>0</v>
      </c>
      <c r="AJ307" s="50" t="str">
        <f aca="false">IF($F307="","",$D307&amp;"|"&amp;$E307&amp;"|"&amp;$L307)</f>
        <v>F-972|Programação 09/09|</v>
      </c>
      <c r="AK307" s="39" t="n">
        <f aca="false">IF($AJ307="","",COUNTIF($AJ$4:$AJ307,$AJ307))</f>
        <v>4</v>
      </c>
      <c r="AL307" s="39" t="n">
        <f aca="false">IF($AJ307="","",COUNTIF($AJ$4:$AJ$1004,$AJ307))</f>
        <v>22</v>
      </c>
      <c r="AM307" s="42"/>
      <c r="AN307" s="50" t="str">
        <f aca="false">IF($D307="","",IFERROR(T(VLOOKUP($D307,Listas!$B$5:$H$120,7,0)),""))</f>
        <v>Petro</v>
      </c>
      <c r="AO307" s="50" t="str">
        <f aca="false">IF(OR($F307="",$L307&lt;&gt;"",$R307="Cancelada",$AT307&lt;&gt;""),"",$AN307&amp;"|"&amp;$D307&amp;"|"&amp;IF($C307="","zzz",$C307)&amp;"|"&amp;TEXT(307,"0000"))</f>
        <v>Petro|F-972|007443|0307</v>
      </c>
      <c r="AP307" s="50" t="n">
        <f aca="false">IF($AO307="","",COUNTIF($AO$5:$AO$1004,"&lt;"&amp;$AO307)-(ROWS($AO$5:$AO$1004)-Hoje!$L$5)+1)</f>
        <v>102</v>
      </c>
      <c r="AQ307" s="50" t="n">
        <f aca="false">IF(AND($F307&lt;&gt;"",$D307=Frota!$C$3),1,0)</f>
        <v>0</v>
      </c>
      <c r="AR307" s="50" t="str">
        <f aca="false">IF($AQ307=0,"",SUM($AQ$4:$AQ307))</f>
        <v/>
      </c>
      <c r="AS307" s="50" t="str">
        <f aca="false">IFERROR(INDEX(Hoje!$K$10:$K$29,MATCH(ROW(),Hoje!$J$10:$J$29,0)),"")</f>
        <v/>
      </c>
      <c r="AT307" s="50" t="str">
        <f aca="false">IF($Q307&lt;&gt;"",$Q307,$AS307)</f>
        <v/>
      </c>
    </row>
    <row r="308" customFormat="false" ht="16.5" hidden="false" customHeight="true" outlineLevel="0" collapsed="false">
      <c r="A308" s="39" t="n">
        <f aca="false">IF($F308="","",ROW())</f>
        <v>308</v>
      </c>
      <c r="B308" s="40" t="str">
        <f aca="false">IF($F308="",IF($D308="","","Falta a atividade"),IF($R308="Cancelada","Cancelada",IF($AB308=1,IF(N($Z308)&gt;0,"Concluída com atraso","Concluída"),IF($R308="Em programação","Em programação",IF($O308="",IF($M308="","Na carteira","Falta a semana"),IF($AC308=1,"VENCIDA",IF($O308&gt;Hoje!$L$1,"Programada",IF($P308&gt;Hoje!$L$1,"Em execução","Fecha hoje"))))))))</f>
        <v>Na carteira</v>
      </c>
      <c r="C308" s="41" t="s">
        <v>735</v>
      </c>
      <c r="D308" s="42" t="s">
        <v>652</v>
      </c>
      <c r="E308" s="42" t="s">
        <v>724</v>
      </c>
      <c r="F308" s="42" t="s">
        <v>414</v>
      </c>
      <c r="G308" s="43" t="s">
        <v>80</v>
      </c>
      <c r="H308" s="43" t="s">
        <v>100</v>
      </c>
      <c r="I308" s="44"/>
      <c r="J308" s="44"/>
      <c r="K308" s="44"/>
      <c r="L308" s="45"/>
      <c r="M308" s="46"/>
      <c r="N308" s="45"/>
      <c r="O308" s="47" t="str">
        <f aca="false">IF(OR($L308="",$M308=""),"",(DATE(Semana!$J$3,1,4)-WEEKDAY(DATE(Semana!$J$3,1,4),3))+($L308-1)*7+MATCH($M308,Listas!$F$5:$F$11,0)-1)</f>
        <v/>
      </c>
      <c r="P308" s="47" t="str">
        <f aca="false">IF(OR($F308="",$O308=""),"",$O308+MAX(0,ROUNDUP($AK308*MAX(1,IF($N308="",1,$N308))/MAX(1,$AL308),0)-1))</f>
        <v/>
      </c>
      <c r="Q308" s="48"/>
      <c r="R308" s="43"/>
      <c r="S308" s="49"/>
      <c r="T308" s="42"/>
      <c r="U308" s="42" t="s">
        <v>736</v>
      </c>
      <c r="V308" s="39" t="str">
        <f aca="false">IF($F308="","",IF(ISNUMBER(SEARCH("(externo)",$I308&amp;$J308&amp;$K308)),"Terceirizada","Interna"))</f>
        <v>Interna</v>
      </c>
      <c r="W308" s="47" t="str">
        <f aca="false">IF($O308="","",IF($S308="",$O308,(DATE(Semana!$J$3,1,4)-WEEKDAY(DATE(Semana!$J$3,1,4),3))+($S308-1)*7+IF($M308="",0,MATCH($M308,Listas!$F$5:$F$11,0)-1)))</f>
        <v/>
      </c>
      <c r="X308" s="39" t="n">
        <f aca="false">IF($F308="","",IF(OR($AT308="",$O308=""),0,IF($AT308&lt;=$O308,1,0)))</f>
        <v>0</v>
      </c>
      <c r="Y308" s="39" t="n">
        <f aca="false">IF($F308="","",IF(OR($AT308="",$W308=""),0,IF($AT308&lt;=$W308,1,0)))</f>
        <v>0</v>
      </c>
      <c r="Z308" s="39" t="str">
        <f aca="false">IF(OR($AT308="",$O308=""),"",MAX(0,$AT308-$O308))</f>
        <v/>
      </c>
      <c r="AA308" s="39" t="n">
        <f aca="false">IF($F308="","",IF(AND($S308&lt;&gt;"",$L308&lt;&gt;"",$S308&lt;&gt;$L308),1,0))</f>
        <v>0</v>
      </c>
      <c r="AB308" s="39" t="n">
        <f aca="false">IF($F308="","",IF($R308="Cancelada",0,IF(OR($AT308&lt;&gt;"",$R308="Concluída"),1,0)))</f>
        <v>0</v>
      </c>
      <c r="AC308" s="39" t="n">
        <f aca="false">IF($P308="",0,IF($P308&lt;Hoje!$L$1,1,IF(AND($P308=Hoje!$L$1,Hoje!$L$2&gt;Semana!$M$3),1,0)))</f>
        <v>0</v>
      </c>
      <c r="AD308" s="39" t="n">
        <f aca="false">IF($F308="","",IF(COUNTA($I308:$K308)=0,0,1/COUNTA($I308:$K308)))</f>
        <v>0</v>
      </c>
      <c r="AE308" s="39" t="str">
        <f aca="false">IF($AH308=0,"",SUM($AH$4:$AH308))</f>
        <v/>
      </c>
      <c r="AF308" s="39" t="str">
        <f aca="false">IF($AI308=0,"",SUM($AI$4:$AI308))</f>
        <v/>
      </c>
      <c r="AG308" s="50" t="str">
        <f aca="false">IF($F308="","",$I308&amp;IF($J308="",""," · "&amp;$J308)&amp;IF($K308="",""," · "&amp;$K308))</f>
        <v/>
      </c>
      <c r="AH308" s="39" t="n">
        <f aca="false">IF(AND($F308&lt;&gt;"",$O308&lt;&gt;"",$O308&lt;=Hoje!$C$3,$P308&gt;=Hoje!$C$3,$R308&lt;&gt;"Cancelada"),1,0)</f>
        <v>0</v>
      </c>
      <c r="AI308" s="39" t="n">
        <f aca="false">IF(AND($F308&lt;&gt;"",$P308&lt;&gt;"",$P308&lt;Hoje!$C$3,$AB308=0,$R308&lt;&gt;"Cancelada"),1,0)</f>
        <v>0</v>
      </c>
      <c r="AJ308" s="50" t="str">
        <f aca="false">IF($F308="","",$D308&amp;"|"&amp;$E308&amp;"|"&amp;$L308)</f>
        <v>F-972|Programação 09/09|</v>
      </c>
      <c r="AK308" s="39" t="n">
        <f aca="false">IF($AJ308="","",COUNTIF($AJ$4:$AJ308,$AJ308))</f>
        <v>5</v>
      </c>
      <c r="AL308" s="39" t="n">
        <f aca="false">IF($AJ308="","",COUNTIF($AJ$4:$AJ$1004,$AJ308))</f>
        <v>22</v>
      </c>
      <c r="AM308" s="42"/>
      <c r="AN308" s="50" t="str">
        <f aca="false">IF($D308="","",IFERROR(T(VLOOKUP($D308,Listas!$B$5:$H$120,7,0)),""))</f>
        <v>Petro</v>
      </c>
      <c r="AO308" s="50" t="str">
        <f aca="false">IF(OR($F308="",$L308&lt;&gt;"",$R308="Cancelada",$AT308&lt;&gt;""),"",$AN308&amp;"|"&amp;$D308&amp;"|"&amp;IF($C308="","zzz",$C308)&amp;"|"&amp;TEXT(308,"0000"))</f>
        <v>Petro|F-972|007444|0308</v>
      </c>
      <c r="AP308" s="50" t="n">
        <f aca="false">IF($AO308="","",COUNTIF($AO$5:$AO$1004,"&lt;"&amp;$AO308)-(ROWS($AO$5:$AO$1004)-Hoje!$L$5)+1)</f>
        <v>103</v>
      </c>
      <c r="AQ308" s="50" t="n">
        <f aca="false">IF(AND($F308&lt;&gt;"",$D308=Frota!$C$3),1,0)</f>
        <v>0</v>
      </c>
      <c r="AR308" s="50" t="str">
        <f aca="false">IF($AQ308=0,"",SUM($AQ$4:$AQ308))</f>
        <v/>
      </c>
      <c r="AS308" s="50" t="str">
        <f aca="false">IFERROR(INDEX(Hoje!$K$10:$K$29,MATCH(ROW(),Hoje!$J$10:$J$29,0)),"")</f>
        <v/>
      </c>
      <c r="AT308" s="50" t="str">
        <f aca="false">IF($Q308&lt;&gt;"",$Q308,$AS308)</f>
        <v/>
      </c>
    </row>
    <row r="309" customFormat="false" ht="16.5" hidden="false" customHeight="true" outlineLevel="0" collapsed="false">
      <c r="A309" s="39" t="n">
        <f aca="false">IF($F309="","",ROW())</f>
        <v>309</v>
      </c>
      <c r="B309" s="40" t="str">
        <f aca="false">IF($F309="",IF($D309="","","Falta a atividade"),IF($R309="Cancelada","Cancelada",IF($AB309=1,IF(N($Z309)&gt;0,"Concluída com atraso","Concluída"),IF($R309="Em programação","Em programação",IF($O309="",IF($M309="","Na carteira","Falta a semana"),IF($AC309=1,"VENCIDA",IF($O309&gt;Hoje!$L$1,"Programada",IF($P309&gt;Hoje!$L$1,"Em execução","Fecha hoje"))))))))</f>
        <v>Na carteira</v>
      </c>
      <c r="C309" s="41" t="s">
        <v>737</v>
      </c>
      <c r="D309" s="42" t="s">
        <v>652</v>
      </c>
      <c r="E309" s="42" t="s">
        <v>724</v>
      </c>
      <c r="F309" s="42" t="s">
        <v>738</v>
      </c>
      <c r="G309" s="43" t="s">
        <v>80</v>
      </c>
      <c r="H309" s="43" t="s">
        <v>100</v>
      </c>
      <c r="I309" s="44"/>
      <c r="J309" s="44"/>
      <c r="K309" s="44"/>
      <c r="L309" s="45"/>
      <c r="M309" s="46"/>
      <c r="N309" s="45"/>
      <c r="O309" s="47" t="str">
        <f aca="false">IF(OR($L309="",$M309=""),"",(DATE(Semana!$J$3,1,4)-WEEKDAY(DATE(Semana!$J$3,1,4),3))+($L309-1)*7+MATCH($M309,Listas!$F$5:$F$11,0)-1)</f>
        <v/>
      </c>
      <c r="P309" s="47" t="str">
        <f aca="false">IF(OR($F309="",$O309=""),"",$O309+MAX(0,ROUNDUP($AK309*MAX(1,IF($N309="",1,$N309))/MAX(1,$AL309),0)-1))</f>
        <v/>
      </c>
      <c r="Q309" s="48"/>
      <c r="R309" s="43"/>
      <c r="S309" s="49"/>
      <c r="T309" s="42"/>
      <c r="U309" s="42" t="s">
        <v>739</v>
      </c>
      <c r="V309" s="39" t="str">
        <f aca="false">IF($F309="","",IF(ISNUMBER(SEARCH("(externo)",$I309&amp;$J309&amp;$K309)),"Terceirizada","Interna"))</f>
        <v>Interna</v>
      </c>
      <c r="W309" s="47" t="str">
        <f aca="false">IF($O309="","",IF($S309="",$O309,(DATE(Semana!$J$3,1,4)-WEEKDAY(DATE(Semana!$J$3,1,4),3))+($S309-1)*7+IF($M309="",0,MATCH($M309,Listas!$F$5:$F$11,0)-1)))</f>
        <v/>
      </c>
      <c r="X309" s="39" t="n">
        <f aca="false">IF($F309="","",IF(OR($AT309="",$O309=""),0,IF($AT309&lt;=$O309,1,0)))</f>
        <v>0</v>
      </c>
      <c r="Y309" s="39" t="n">
        <f aca="false">IF($F309="","",IF(OR($AT309="",$W309=""),0,IF($AT309&lt;=$W309,1,0)))</f>
        <v>0</v>
      </c>
      <c r="Z309" s="39" t="str">
        <f aca="false">IF(OR($AT309="",$O309=""),"",MAX(0,$AT309-$O309))</f>
        <v/>
      </c>
      <c r="AA309" s="39" t="n">
        <f aca="false">IF($F309="","",IF(AND($S309&lt;&gt;"",$L309&lt;&gt;"",$S309&lt;&gt;$L309),1,0))</f>
        <v>0</v>
      </c>
      <c r="AB309" s="39" t="n">
        <f aca="false">IF($F309="","",IF($R309="Cancelada",0,IF(OR($AT309&lt;&gt;"",$R309="Concluída"),1,0)))</f>
        <v>0</v>
      </c>
      <c r="AC309" s="39" t="n">
        <f aca="false">IF($P309="",0,IF($P309&lt;Hoje!$L$1,1,IF(AND($P309=Hoje!$L$1,Hoje!$L$2&gt;Semana!$M$3),1,0)))</f>
        <v>0</v>
      </c>
      <c r="AD309" s="39" t="n">
        <f aca="false">IF($F309="","",IF(COUNTA($I309:$K309)=0,0,1/COUNTA($I309:$K309)))</f>
        <v>0</v>
      </c>
      <c r="AE309" s="39" t="str">
        <f aca="false">IF($AH309=0,"",SUM($AH$4:$AH309))</f>
        <v/>
      </c>
      <c r="AF309" s="39" t="str">
        <f aca="false">IF($AI309=0,"",SUM($AI$4:$AI309))</f>
        <v/>
      </c>
      <c r="AG309" s="50" t="str">
        <f aca="false">IF($F309="","",$I309&amp;IF($J309="",""," · "&amp;$J309)&amp;IF($K309="",""," · "&amp;$K309))</f>
        <v/>
      </c>
      <c r="AH309" s="39" t="n">
        <f aca="false">IF(AND($F309&lt;&gt;"",$O309&lt;&gt;"",$O309&lt;=Hoje!$C$3,$P309&gt;=Hoje!$C$3,$R309&lt;&gt;"Cancelada"),1,0)</f>
        <v>0</v>
      </c>
      <c r="AI309" s="39" t="n">
        <f aca="false">IF(AND($F309&lt;&gt;"",$P309&lt;&gt;"",$P309&lt;Hoje!$C$3,$AB309=0,$R309&lt;&gt;"Cancelada"),1,0)</f>
        <v>0</v>
      </c>
      <c r="AJ309" s="50" t="str">
        <f aca="false">IF($F309="","",$D309&amp;"|"&amp;$E309&amp;"|"&amp;$L309)</f>
        <v>F-972|Programação 09/09|</v>
      </c>
      <c r="AK309" s="39" t="n">
        <f aca="false">IF($AJ309="","",COUNTIF($AJ$4:$AJ309,$AJ309))</f>
        <v>6</v>
      </c>
      <c r="AL309" s="39" t="n">
        <f aca="false">IF($AJ309="","",COUNTIF($AJ$4:$AJ$1004,$AJ309))</f>
        <v>22</v>
      </c>
      <c r="AM309" s="42"/>
      <c r="AN309" s="50" t="str">
        <f aca="false">IF($D309="","",IFERROR(T(VLOOKUP($D309,Listas!$B$5:$H$120,7,0)),""))</f>
        <v>Petro</v>
      </c>
      <c r="AO309" s="50" t="str">
        <f aca="false">IF(OR($F309="",$L309&lt;&gt;"",$R309="Cancelada",$AT309&lt;&gt;""),"",$AN309&amp;"|"&amp;$D309&amp;"|"&amp;IF($C309="","zzz",$C309)&amp;"|"&amp;TEXT(309,"0000"))</f>
        <v>Petro|F-972|007445|0309</v>
      </c>
      <c r="AP309" s="50" t="n">
        <f aca="false">IF($AO309="","",COUNTIF($AO$5:$AO$1004,"&lt;"&amp;$AO309)-(ROWS($AO$5:$AO$1004)-Hoje!$L$5)+1)</f>
        <v>104</v>
      </c>
      <c r="AQ309" s="50" t="n">
        <f aca="false">IF(AND($F309&lt;&gt;"",$D309=Frota!$C$3),1,0)</f>
        <v>0</v>
      </c>
      <c r="AR309" s="50" t="str">
        <f aca="false">IF($AQ309=0,"",SUM($AQ$4:$AQ309))</f>
        <v/>
      </c>
      <c r="AS309" s="50" t="str">
        <f aca="false">IFERROR(INDEX(Hoje!$K$10:$K$29,MATCH(ROW(),Hoje!$J$10:$J$29,0)),"")</f>
        <v/>
      </c>
      <c r="AT309" s="50" t="str">
        <f aca="false">IF($Q309&lt;&gt;"",$Q309,$AS309)</f>
        <v/>
      </c>
    </row>
    <row r="310" customFormat="false" ht="16.5" hidden="false" customHeight="true" outlineLevel="0" collapsed="false">
      <c r="A310" s="39" t="n">
        <f aca="false">IF($F310="","",ROW())</f>
        <v>310</v>
      </c>
      <c r="B310" s="40" t="str">
        <f aca="false">IF($F310="",IF($D310="","","Falta a atividade"),IF($R310="Cancelada","Cancelada",IF($AB310=1,IF(N($Z310)&gt;0,"Concluída com atraso","Concluída"),IF($R310="Em programação","Em programação",IF($O310="",IF($M310="","Na carteira","Falta a semana"),IF($AC310=1,"VENCIDA",IF($O310&gt;Hoje!$L$1,"Programada",IF($P310&gt;Hoje!$L$1,"Em execução","Fecha hoje"))))))))</f>
        <v>Na carteira</v>
      </c>
      <c r="C310" s="41" t="s">
        <v>740</v>
      </c>
      <c r="D310" s="42" t="s">
        <v>652</v>
      </c>
      <c r="E310" s="42" t="s">
        <v>724</v>
      </c>
      <c r="F310" s="42" t="s">
        <v>741</v>
      </c>
      <c r="G310" s="43" t="s">
        <v>80</v>
      </c>
      <c r="H310" s="43" t="s">
        <v>100</v>
      </c>
      <c r="I310" s="44"/>
      <c r="J310" s="44"/>
      <c r="K310" s="44"/>
      <c r="L310" s="45"/>
      <c r="M310" s="46"/>
      <c r="N310" s="45"/>
      <c r="O310" s="47" t="str">
        <f aca="false">IF(OR($L310="",$M310=""),"",(DATE(Semana!$J$3,1,4)-WEEKDAY(DATE(Semana!$J$3,1,4),3))+($L310-1)*7+MATCH($M310,Listas!$F$5:$F$11,0)-1)</f>
        <v/>
      </c>
      <c r="P310" s="47" t="str">
        <f aca="false">IF(OR($F310="",$O310=""),"",$O310+MAX(0,ROUNDUP($AK310*MAX(1,IF($N310="",1,$N310))/MAX(1,$AL310),0)-1))</f>
        <v/>
      </c>
      <c r="Q310" s="48"/>
      <c r="R310" s="43"/>
      <c r="S310" s="49"/>
      <c r="T310" s="42"/>
      <c r="U310" s="42" t="s">
        <v>742</v>
      </c>
      <c r="V310" s="39" t="str">
        <f aca="false">IF($F310="","",IF(ISNUMBER(SEARCH("(externo)",$I310&amp;$J310&amp;$K310)),"Terceirizada","Interna"))</f>
        <v>Interna</v>
      </c>
      <c r="W310" s="47" t="str">
        <f aca="false">IF($O310="","",IF($S310="",$O310,(DATE(Semana!$J$3,1,4)-WEEKDAY(DATE(Semana!$J$3,1,4),3))+($S310-1)*7+IF($M310="",0,MATCH($M310,Listas!$F$5:$F$11,0)-1)))</f>
        <v/>
      </c>
      <c r="X310" s="39" t="n">
        <f aca="false">IF($F310="","",IF(OR($AT310="",$O310=""),0,IF($AT310&lt;=$O310,1,0)))</f>
        <v>0</v>
      </c>
      <c r="Y310" s="39" t="n">
        <f aca="false">IF($F310="","",IF(OR($AT310="",$W310=""),0,IF($AT310&lt;=$W310,1,0)))</f>
        <v>0</v>
      </c>
      <c r="Z310" s="39" t="str">
        <f aca="false">IF(OR($AT310="",$O310=""),"",MAX(0,$AT310-$O310))</f>
        <v/>
      </c>
      <c r="AA310" s="39" t="n">
        <f aca="false">IF($F310="","",IF(AND($S310&lt;&gt;"",$L310&lt;&gt;"",$S310&lt;&gt;$L310),1,0))</f>
        <v>0</v>
      </c>
      <c r="AB310" s="39" t="n">
        <f aca="false">IF($F310="","",IF($R310="Cancelada",0,IF(OR($AT310&lt;&gt;"",$R310="Concluída"),1,0)))</f>
        <v>0</v>
      </c>
      <c r="AC310" s="39" t="n">
        <f aca="false">IF($P310="",0,IF($P310&lt;Hoje!$L$1,1,IF(AND($P310=Hoje!$L$1,Hoje!$L$2&gt;Semana!$M$3),1,0)))</f>
        <v>0</v>
      </c>
      <c r="AD310" s="39" t="n">
        <f aca="false">IF($F310="","",IF(COUNTA($I310:$K310)=0,0,1/COUNTA($I310:$K310)))</f>
        <v>0</v>
      </c>
      <c r="AE310" s="39" t="str">
        <f aca="false">IF($AH310=0,"",SUM($AH$4:$AH310))</f>
        <v/>
      </c>
      <c r="AF310" s="39" t="str">
        <f aca="false">IF($AI310=0,"",SUM($AI$4:$AI310))</f>
        <v/>
      </c>
      <c r="AG310" s="50" t="str">
        <f aca="false">IF($F310="","",$I310&amp;IF($J310="",""," · "&amp;$J310)&amp;IF($K310="",""," · "&amp;$K310))</f>
        <v/>
      </c>
      <c r="AH310" s="39" t="n">
        <f aca="false">IF(AND($F310&lt;&gt;"",$O310&lt;&gt;"",$O310&lt;=Hoje!$C$3,$P310&gt;=Hoje!$C$3,$R310&lt;&gt;"Cancelada"),1,0)</f>
        <v>0</v>
      </c>
      <c r="AI310" s="39" t="n">
        <f aca="false">IF(AND($F310&lt;&gt;"",$P310&lt;&gt;"",$P310&lt;Hoje!$C$3,$AB310=0,$R310&lt;&gt;"Cancelada"),1,0)</f>
        <v>0</v>
      </c>
      <c r="AJ310" s="50" t="str">
        <f aca="false">IF($F310="","",$D310&amp;"|"&amp;$E310&amp;"|"&amp;$L310)</f>
        <v>F-972|Programação 09/09|</v>
      </c>
      <c r="AK310" s="39" t="n">
        <f aca="false">IF($AJ310="","",COUNTIF($AJ$4:$AJ310,$AJ310))</f>
        <v>7</v>
      </c>
      <c r="AL310" s="39" t="n">
        <f aca="false">IF($AJ310="","",COUNTIF($AJ$4:$AJ$1004,$AJ310))</f>
        <v>22</v>
      </c>
      <c r="AM310" s="42"/>
      <c r="AN310" s="50" t="str">
        <f aca="false">IF($D310="","",IFERROR(T(VLOOKUP($D310,Listas!$B$5:$H$120,7,0)),""))</f>
        <v>Petro</v>
      </c>
      <c r="AO310" s="50" t="str">
        <f aca="false">IF(OR($F310="",$L310&lt;&gt;"",$R310="Cancelada",$AT310&lt;&gt;""),"",$AN310&amp;"|"&amp;$D310&amp;"|"&amp;IF($C310="","zzz",$C310)&amp;"|"&amp;TEXT(310,"0000"))</f>
        <v>Petro|F-972|007446|0310</v>
      </c>
      <c r="AP310" s="50" t="n">
        <f aca="false">IF($AO310="","",COUNTIF($AO$5:$AO$1004,"&lt;"&amp;$AO310)-(ROWS($AO$5:$AO$1004)-Hoje!$L$5)+1)</f>
        <v>105</v>
      </c>
      <c r="AQ310" s="50" t="n">
        <f aca="false">IF(AND($F310&lt;&gt;"",$D310=Frota!$C$3),1,0)</f>
        <v>0</v>
      </c>
      <c r="AR310" s="50" t="str">
        <f aca="false">IF($AQ310=0,"",SUM($AQ$4:$AQ310))</f>
        <v/>
      </c>
      <c r="AS310" s="50" t="str">
        <f aca="false">IFERROR(INDEX(Hoje!$K$10:$K$29,MATCH(ROW(),Hoje!$J$10:$J$29,0)),"")</f>
        <v/>
      </c>
      <c r="AT310" s="50" t="str">
        <f aca="false">IF($Q310&lt;&gt;"",$Q310,$AS310)</f>
        <v/>
      </c>
    </row>
    <row r="311" customFormat="false" ht="16.5" hidden="false" customHeight="true" outlineLevel="0" collapsed="false">
      <c r="A311" s="39" t="n">
        <f aca="false">IF($F311="","",ROW())</f>
        <v>311</v>
      </c>
      <c r="B311" s="40" t="str">
        <f aca="false">IF($F311="",IF($D311="","","Falta a atividade"),IF($R311="Cancelada","Cancelada",IF($AB311=1,IF(N($Z311)&gt;0,"Concluída com atraso","Concluída"),IF($R311="Em programação","Em programação",IF($O311="",IF($M311="","Na carteira","Falta a semana"),IF($AC311=1,"VENCIDA",IF($O311&gt;Hoje!$L$1,"Programada",IF($P311&gt;Hoje!$L$1,"Em execução","Fecha hoje"))))))))</f>
        <v>Na carteira</v>
      </c>
      <c r="C311" s="41" t="s">
        <v>743</v>
      </c>
      <c r="D311" s="42" t="s">
        <v>652</v>
      </c>
      <c r="E311" s="42" t="s">
        <v>724</v>
      </c>
      <c r="F311" s="42" t="s">
        <v>744</v>
      </c>
      <c r="G311" s="43" t="s">
        <v>80</v>
      </c>
      <c r="H311" s="43" t="s">
        <v>100</v>
      </c>
      <c r="I311" s="44"/>
      <c r="J311" s="44"/>
      <c r="K311" s="44"/>
      <c r="L311" s="45"/>
      <c r="M311" s="46"/>
      <c r="N311" s="45"/>
      <c r="O311" s="47" t="str">
        <f aca="false">IF(OR($L311="",$M311=""),"",(DATE(Semana!$J$3,1,4)-WEEKDAY(DATE(Semana!$J$3,1,4),3))+($L311-1)*7+MATCH($M311,Listas!$F$5:$F$11,0)-1)</f>
        <v/>
      </c>
      <c r="P311" s="47" t="str">
        <f aca="false">IF(OR($F311="",$O311=""),"",$O311+MAX(0,ROUNDUP($AK311*MAX(1,IF($N311="",1,$N311))/MAX(1,$AL311),0)-1))</f>
        <v/>
      </c>
      <c r="Q311" s="48"/>
      <c r="R311" s="43"/>
      <c r="S311" s="49"/>
      <c r="T311" s="42"/>
      <c r="U311" s="42" t="s">
        <v>745</v>
      </c>
      <c r="V311" s="39" t="str">
        <f aca="false">IF($F311="","",IF(ISNUMBER(SEARCH("(externo)",$I311&amp;$J311&amp;$K311)),"Terceirizada","Interna"))</f>
        <v>Interna</v>
      </c>
      <c r="W311" s="47" t="str">
        <f aca="false">IF($O311="","",IF($S311="",$O311,(DATE(Semana!$J$3,1,4)-WEEKDAY(DATE(Semana!$J$3,1,4),3))+($S311-1)*7+IF($M311="",0,MATCH($M311,Listas!$F$5:$F$11,0)-1)))</f>
        <v/>
      </c>
      <c r="X311" s="39" t="n">
        <f aca="false">IF($F311="","",IF(OR($AT311="",$O311=""),0,IF($AT311&lt;=$O311,1,0)))</f>
        <v>0</v>
      </c>
      <c r="Y311" s="39" t="n">
        <f aca="false">IF($F311="","",IF(OR($AT311="",$W311=""),0,IF($AT311&lt;=$W311,1,0)))</f>
        <v>0</v>
      </c>
      <c r="Z311" s="39" t="str">
        <f aca="false">IF(OR($AT311="",$O311=""),"",MAX(0,$AT311-$O311))</f>
        <v/>
      </c>
      <c r="AA311" s="39" t="n">
        <f aca="false">IF($F311="","",IF(AND($S311&lt;&gt;"",$L311&lt;&gt;"",$S311&lt;&gt;$L311),1,0))</f>
        <v>0</v>
      </c>
      <c r="AB311" s="39" t="n">
        <f aca="false">IF($F311="","",IF($R311="Cancelada",0,IF(OR($AT311&lt;&gt;"",$R311="Concluída"),1,0)))</f>
        <v>0</v>
      </c>
      <c r="AC311" s="39" t="n">
        <f aca="false">IF($P311="",0,IF($P311&lt;Hoje!$L$1,1,IF(AND($P311=Hoje!$L$1,Hoje!$L$2&gt;Semana!$M$3),1,0)))</f>
        <v>0</v>
      </c>
      <c r="AD311" s="39" t="n">
        <f aca="false">IF($F311="","",IF(COUNTA($I311:$K311)=0,0,1/COUNTA($I311:$K311)))</f>
        <v>0</v>
      </c>
      <c r="AE311" s="39" t="str">
        <f aca="false">IF($AH311=0,"",SUM($AH$4:$AH311))</f>
        <v/>
      </c>
      <c r="AF311" s="39" t="str">
        <f aca="false">IF($AI311=0,"",SUM($AI$4:$AI311))</f>
        <v/>
      </c>
      <c r="AG311" s="50" t="str">
        <f aca="false">IF($F311="","",$I311&amp;IF($J311="",""," · "&amp;$J311)&amp;IF($K311="",""," · "&amp;$K311))</f>
        <v/>
      </c>
      <c r="AH311" s="39" t="n">
        <f aca="false">IF(AND($F311&lt;&gt;"",$O311&lt;&gt;"",$O311&lt;=Hoje!$C$3,$P311&gt;=Hoje!$C$3,$R311&lt;&gt;"Cancelada"),1,0)</f>
        <v>0</v>
      </c>
      <c r="AI311" s="39" t="n">
        <f aca="false">IF(AND($F311&lt;&gt;"",$P311&lt;&gt;"",$P311&lt;Hoje!$C$3,$AB311=0,$R311&lt;&gt;"Cancelada"),1,0)</f>
        <v>0</v>
      </c>
      <c r="AJ311" s="50" t="str">
        <f aca="false">IF($F311="","",$D311&amp;"|"&amp;$E311&amp;"|"&amp;$L311)</f>
        <v>F-972|Programação 09/09|</v>
      </c>
      <c r="AK311" s="39" t="n">
        <f aca="false">IF($AJ311="","",COUNTIF($AJ$4:$AJ311,$AJ311))</f>
        <v>8</v>
      </c>
      <c r="AL311" s="39" t="n">
        <f aca="false">IF($AJ311="","",COUNTIF($AJ$4:$AJ$1004,$AJ311))</f>
        <v>22</v>
      </c>
      <c r="AM311" s="42"/>
      <c r="AN311" s="50" t="str">
        <f aca="false">IF($D311="","",IFERROR(T(VLOOKUP($D311,Listas!$B$5:$H$120,7,0)),""))</f>
        <v>Petro</v>
      </c>
      <c r="AO311" s="50" t="str">
        <f aca="false">IF(OR($F311="",$L311&lt;&gt;"",$R311="Cancelada",$AT311&lt;&gt;""),"",$AN311&amp;"|"&amp;$D311&amp;"|"&amp;IF($C311="","zzz",$C311)&amp;"|"&amp;TEXT(311,"0000"))</f>
        <v>Petro|F-972|007447|0311</v>
      </c>
      <c r="AP311" s="50" t="n">
        <f aca="false">IF($AO311="","",COUNTIF($AO$5:$AO$1004,"&lt;"&amp;$AO311)-(ROWS($AO$5:$AO$1004)-Hoje!$L$5)+1)</f>
        <v>106</v>
      </c>
      <c r="AQ311" s="50" t="n">
        <f aca="false">IF(AND($F311&lt;&gt;"",$D311=Frota!$C$3),1,0)</f>
        <v>0</v>
      </c>
      <c r="AR311" s="50" t="str">
        <f aca="false">IF($AQ311=0,"",SUM($AQ$4:$AQ311))</f>
        <v/>
      </c>
      <c r="AS311" s="50" t="str">
        <f aca="false">IFERROR(INDEX(Hoje!$K$10:$K$29,MATCH(ROW(),Hoje!$J$10:$J$29,0)),"")</f>
        <v/>
      </c>
      <c r="AT311" s="50" t="str">
        <f aca="false">IF($Q311&lt;&gt;"",$Q311,$AS311)</f>
        <v/>
      </c>
    </row>
    <row r="312" customFormat="false" ht="16.5" hidden="false" customHeight="true" outlineLevel="0" collapsed="false">
      <c r="A312" s="39" t="n">
        <f aca="false">IF($F312="","",ROW())</f>
        <v>312</v>
      </c>
      <c r="B312" s="40" t="str">
        <f aca="false">IF($F312="",IF($D312="","","Falta a atividade"),IF($R312="Cancelada","Cancelada",IF($AB312=1,IF(N($Z312)&gt;0,"Concluída com atraso","Concluída"),IF($R312="Em programação","Em programação",IF($O312="",IF($M312="","Na carteira","Falta a semana"),IF($AC312=1,"VENCIDA",IF($O312&gt;Hoje!$L$1,"Programada",IF($P312&gt;Hoje!$L$1,"Em execução","Fecha hoje"))))))))</f>
        <v>Na carteira</v>
      </c>
      <c r="C312" s="41" t="s">
        <v>746</v>
      </c>
      <c r="D312" s="42" t="s">
        <v>652</v>
      </c>
      <c r="E312" s="42" t="s">
        <v>724</v>
      </c>
      <c r="F312" s="42" t="s">
        <v>747</v>
      </c>
      <c r="G312" s="43" t="s">
        <v>80</v>
      </c>
      <c r="H312" s="43" t="s">
        <v>100</v>
      </c>
      <c r="I312" s="44"/>
      <c r="J312" s="44"/>
      <c r="K312" s="44"/>
      <c r="L312" s="45"/>
      <c r="M312" s="46"/>
      <c r="N312" s="45"/>
      <c r="O312" s="47" t="str">
        <f aca="false">IF(OR($L312="",$M312=""),"",(DATE(Semana!$J$3,1,4)-WEEKDAY(DATE(Semana!$J$3,1,4),3))+($L312-1)*7+MATCH($M312,Listas!$F$5:$F$11,0)-1)</f>
        <v/>
      </c>
      <c r="P312" s="47" t="str">
        <f aca="false">IF(OR($F312="",$O312=""),"",$O312+MAX(0,ROUNDUP($AK312*MAX(1,IF($N312="",1,$N312))/MAX(1,$AL312),0)-1))</f>
        <v/>
      </c>
      <c r="Q312" s="48"/>
      <c r="R312" s="43"/>
      <c r="S312" s="49"/>
      <c r="T312" s="42"/>
      <c r="U312" s="42"/>
      <c r="V312" s="39" t="str">
        <f aca="false">IF($F312="","",IF(ISNUMBER(SEARCH("(externo)",$I312&amp;$J312&amp;$K312)),"Terceirizada","Interna"))</f>
        <v>Interna</v>
      </c>
      <c r="W312" s="47" t="str">
        <f aca="false">IF($O312="","",IF($S312="",$O312,(DATE(Semana!$J$3,1,4)-WEEKDAY(DATE(Semana!$J$3,1,4),3))+($S312-1)*7+IF($M312="",0,MATCH($M312,Listas!$F$5:$F$11,0)-1)))</f>
        <v/>
      </c>
      <c r="X312" s="39" t="n">
        <f aca="false">IF($F312="","",IF(OR($AT312="",$O312=""),0,IF($AT312&lt;=$O312,1,0)))</f>
        <v>0</v>
      </c>
      <c r="Y312" s="39" t="n">
        <f aca="false">IF($F312="","",IF(OR($AT312="",$W312=""),0,IF($AT312&lt;=$W312,1,0)))</f>
        <v>0</v>
      </c>
      <c r="Z312" s="39" t="str">
        <f aca="false">IF(OR($AT312="",$O312=""),"",MAX(0,$AT312-$O312))</f>
        <v/>
      </c>
      <c r="AA312" s="39" t="n">
        <f aca="false">IF($F312="","",IF(AND($S312&lt;&gt;"",$L312&lt;&gt;"",$S312&lt;&gt;$L312),1,0))</f>
        <v>0</v>
      </c>
      <c r="AB312" s="39" t="n">
        <f aca="false">IF($F312="","",IF($R312="Cancelada",0,IF(OR($AT312&lt;&gt;"",$R312="Concluída"),1,0)))</f>
        <v>0</v>
      </c>
      <c r="AC312" s="39" t="n">
        <f aca="false">IF($P312="",0,IF($P312&lt;Hoje!$L$1,1,IF(AND($P312=Hoje!$L$1,Hoje!$L$2&gt;Semana!$M$3),1,0)))</f>
        <v>0</v>
      </c>
      <c r="AD312" s="39" t="n">
        <f aca="false">IF($F312="","",IF(COUNTA($I312:$K312)=0,0,1/COUNTA($I312:$K312)))</f>
        <v>0</v>
      </c>
      <c r="AE312" s="39" t="str">
        <f aca="false">IF($AH312=0,"",SUM($AH$4:$AH312))</f>
        <v/>
      </c>
      <c r="AF312" s="39" t="str">
        <f aca="false">IF($AI312=0,"",SUM($AI$4:$AI312))</f>
        <v/>
      </c>
      <c r="AG312" s="50" t="str">
        <f aca="false">IF($F312="","",$I312&amp;IF($J312="",""," · "&amp;$J312)&amp;IF($K312="",""," · "&amp;$K312))</f>
        <v/>
      </c>
      <c r="AH312" s="39" t="n">
        <f aca="false">IF(AND($F312&lt;&gt;"",$O312&lt;&gt;"",$O312&lt;=Hoje!$C$3,$P312&gt;=Hoje!$C$3,$R312&lt;&gt;"Cancelada"),1,0)</f>
        <v>0</v>
      </c>
      <c r="AI312" s="39" t="n">
        <f aca="false">IF(AND($F312&lt;&gt;"",$P312&lt;&gt;"",$P312&lt;Hoje!$C$3,$AB312=0,$R312&lt;&gt;"Cancelada"),1,0)</f>
        <v>0</v>
      </c>
      <c r="AJ312" s="50" t="str">
        <f aca="false">IF($F312="","",$D312&amp;"|"&amp;$E312&amp;"|"&amp;$L312)</f>
        <v>F-972|Programação 09/09|</v>
      </c>
      <c r="AK312" s="39" t="n">
        <f aca="false">IF($AJ312="","",COUNTIF($AJ$4:$AJ312,$AJ312))</f>
        <v>9</v>
      </c>
      <c r="AL312" s="39" t="n">
        <f aca="false">IF($AJ312="","",COUNTIF($AJ$4:$AJ$1004,$AJ312))</f>
        <v>22</v>
      </c>
      <c r="AM312" s="42"/>
      <c r="AN312" s="50" t="str">
        <f aca="false">IF($D312="","",IFERROR(T(VLOOKUP($D312,Listas!$B$5:$H$120,7,0)),""))</f>
        <v>Petro</v>
      </c>
      <c r="AO312" s="50" t="str">
        <f aca="false">IF(OR($F312="",$L312&lt;&gt;"",$R312="Cancelada",$AT312&lt;&gt;""),"",$AN312&amp;"|"&amp;$D312&amp;"|"&amp;IF($C312="","zzz",$C312)&amp;"|"&amp;TEXT(312,"0000"))</f>
        <v>Petro|F-972|007448|0312</v>
      </c>
      <c r="AP312" s="50" t="n">
        <f aca="false">IF($AO312="","",COUNTIF($AO$5:$AO$1004,"&lt;"&amp;$AO312)-(ROWS($AO$5:$AO$1004)-Hoje!$L$5)+1)</f>
        <v>107</v>
      </c>
      <c r="AQ312" s="50" t="n">
        <f aca="false">IF(AND($F312&lt;&gt;"",$D312=Frota!$C$3),1,0)</f>
        <v>0</v>
      </c>
      <c r="AR312" s="50" t="str">
        <f aca="false">IF($AQ312=0,"",SUM($AQ$4:$AQ312))</f>
        <v/>
      </c>
      <c r="AS312" s="50" t="str">
        <f aca="false">IFERROR(INDEX(Hoje!$K$10:$K$29,MATCH(ROW(),Hoje!$J$10:$J$29,0)),"")</f>
        <v/>
      </c>
      <c r="AT312" s="50" t="str">
        <f aca="false">IF($Q312&lt;&gt;"",$Q312,$AS312)</f>
        <v/>
      </c>
    </row>
    <row r="313" customFormat="false" ht="16.5" hidden="false" customHeight="true" outlineLevel="0" collapsed="false">
      <c r="A313" s="39" t="n">
        <f aca="false">IF($F313="","",ROW())</f>
        <v>313</v>
      </c>
      <c r="B313" s="40" t="str">
        <f aca="false">IF($F313="",IF($D313="","","Falta a atividade"),IF($R313="Cancelada","Cancelada",IF($AB313=1,IF(N($Z313)&gt;0,"Concluída com atraso","Concluída"),IF($R313="Em programação","Em programação",IF($O313="",IF($M313="","Na carteira","Falta a semana"),IF($AC313=1,"VENCIDA",IF($O313&gt;Hoje!$L$1,"Programada",IF($P313&gt;Hoje!$L$1,"Em execução","Fecha hoje"))))))))</f>
        <v>Na carteira</v>
      </c>
      <c r="C313" s="41" t="s">
        <v>748</v>
      </c>
      <c r="D313" s="42" t="s">
        <v>652</v>
      </c>
      <c r="E313" s="42" t="s">
        <v>724</v>
      </c>
      <c r="F313" s="42" t="s">
        <v>749</v>
      </c>
      <c r="G313" s="43" t="s">
        <v>80</v>
      </c>
      <c r="H313" s="43" t="s">
        <v>100</v>
      </c>
      <c r="I313" s="44"/>
      <c r="J313" s="44"/>
      <c r="K313" s="44"/>
      <c r="L313" s="45"/>
      <c r="M313" s="46"/>
      <c r="N313" s="45"/>
      <c r="O313" s="47" t="str">
        <f aca="false">IF(OR($L313="",$M313=""),"",(DATE(Semana!$J$3,1,4)-WEEKDAY(DATE(Semana!$J$3,1,4),3))+($L313-1)*7+MATCH($M313,Listas!$F$5:$F$11,0)-1)</f>
        <v/>
      </c>
      <c r="P313" s="47" t="str">
        <f aca="false">IF(OR($F313="",$O313=""),"",$O313+MAX(0,ROUNDUP($AK313*MAX(1,IF($N313="",1,$N313))/MAX(1,$AL313),0)-1))</f>
        <v/>
      </c>
      <c r="Q313" s="48"/>
      <c r="R313" s="43"/>
      <c r="S313" s="49"/>
      <c r="T313" s="42"/>
      <c r="U313" s="42"/>
      <c r="V313" s="39" t="str">
        <f aca="false">IF($F313="","",IF(ISNUMBER(SEARCH("(externo)",$I313&amp;$J313&amp;$K313)),"Terceirizada","Interna"))</f>
        <v>Interna</v>
      </c>
      <c r="W313" s="47" t="str">
        <f aca="false">IF($O313="","",IF($S313="",$O313,(DATE(Semana!$J$3,1,4)-WEEKDAY(DATE(Semana!$J$3,1,4),3))+($S313-1)*7+IF($M313="",0,MATCH($M313,Listas!$F$5:$F$11,0)-1)))</f>
        <v/>
      </c>
      <c r="X313" s="39" t="n">
        <f aca="false">IF($F313="","",IF(OR($AT313="",$O313=""),0,IF($AT313&lt;=$O313,1,0)))</f>
        <v>0</v>
      </c>
      <c r="Y313" s="39" t="n">
        <f aca="false">IF($F313="","",IF(OR($AT313="",$W313=""),0,IF($AT313&lt;=$W313,1,0)))</f>
        <v>0</v>
      </c>
      <c r="Z313" s="39" t="str">
        <f aca="false">IF(OR($AT313="",$O313=""),"",MAX(0,$AT313-$O313))</f>
        <v/>
      </c>
      <c r="AA313" s="39" t="n">
        <f aca="false">IF($F313="","",IF(AND($S313&lt;&gt;"",$L313&lt;&gt;"",$S313&lt;&gt;$L313),1,0))</f>
        <v>0</v>
      </c>
      <c r="AB313" s="39" t="n">
        <f aca="false">IF($F313="","",IF($R313="Cancelada",0,IF(OR($AT313&lt;&gt;"",$R313="Concluída"),1,0)))</f>
        <v>0</v>
      </c>
      <c r="AC313" s="39" t="n">
        <f aca="false">IF($P313="",0,IF($P313&lt;Hoje!$L$1,1,IF(AND($P313=Hoje!$L$1,Hoje!$L$2&gt;Semana!$M$3),1,0)))</f>
        <v>0</v>
      </c>
      <c r="AD313" s="39" t="n">
        <f aca="false">IF($F313="","",IF(COUNTA($I313:$K313)=0,0,1/COUNTA($I313:$K313)))</f>
        <v>0</v>
      </c>
      <c r="AE313" s="39" t="str">
        <f aca="false">IF($AH313=0,"",SUM($AH$4:$AH313))</f>
        <v/>
      </c>
      <c r="AF313" s="39" t="str">
        <f aca="false">IF($AI313=0,"",SUM($AI$4:$AI313))</f>
        <v/>
      </c>
      <c r="AG313" s="50" t="str">
        <f aca="false">IF($F313="","",$I313&amp;IF($J313="",""," · "&amp;$J313)&amp;IF($K313="",""," · "&amp;$K313))</f>
        <v/>
      </c>
      <c r="AH313" s="39" t="n">
        <f aca="false">IF(AND($F313&lt;&gt;"",$O313&lt;&gt;"",$O313&lt;=Hoje!$C$3,$P313&gt;=Hoje!$C$3,$R313&lt;&gt;"Cancelada"),1,0)</f>
        <v>0</v>
      </c>
      <c r="AI313" s="39" t="n">
        <f aca="false">IF(AND($F313&lt;&gt;"",$P313&lt;&gt;"",$P313&lt;Hoje!$C$3,$AB313=0,$R313&lt;&gt;"Cancelada"),1,0)</f>
        <v>0</v>
      </c>
      <c r="AJ313" s="50" t="str">
        <f aca="false">IF($F313="","",$D313&amp;"|"&amp;$E313&amp;"|"&amp;$L313)</f>
        <v>F-972|Programação 09/09|</v>
      </c>
      <c r="AK313" s="39" t="n">
        <f aca="false">IF($AJ313="","",COUNTIF($AJ$4:$AJ313,$AJ313))</f>
        <v>10</v>
      </c>
      <c r="AL313" s="39" t="n">
        <f aca="false">IF($AJ313="","",COUNTIF($AJ$4:$AJ$1004,$AJ313))</f>
        <v>22</v>
      </c>
      <c r="AM313" s="42"/>
      <c r="AN313" s="50" t="str">
        <f aca="false">IF($D313="","",IFERROR(T(VLOOKUP($D313,Listas!$B$5:$H$120,7,0)),""))</f>
        <v>Petro</v>
      </c>
      <c r="AO313" s="50" t="str">
        <f aca="false">IF(OR($F313="",$L313&lt;&gt;"",$R313="Cancelada",$AT313&lt;&gt;""),"",$AN313&amp;"|"&amp;$D313&amp;"|"&amp;IF($C313="","zzz",$C313)&amp;"|"&amp;TEXT(313,"0000"))</f>
        <v>Petro|F-972|007449|0313</v>
      </c>
      <c r="AP313" s="50" t="n">
        <f aca="false">IF($AO313="","",COUNTIF($AO$5:$AO$1004,"&lt;"&amp;$AO313)-(ROWS($AO$5:$AO$1004)-Hoje!$L$5)+1)</f>
        <v>108</v>
      </c>
      <c r="AQ313" s="50" t="n">
        <f aca="false">IF(AND($F313&lt;&gt;"",$D313=Frota!$C$3),1,0)</f>
        <v>0</v>
      </c>
      <c r="AR313" s="50" t="str">
        <f aca="false">IF($AQ313=0,"",SUM($AQ$4:$AQ313))</f>
        <v/>
      </c>
      <c r="AS313" s="50" t="str">
        <f aca="false">IFERROR(INDEX(Hoje!$K$10:$K$29,MATCH(ROW(),Hoje!$J$10:$J$29,0)),"")</f>
        <v/>
      </c>
      <c r="AT313" s="50" t="str">
        <f aca="false">IF($Q313&lt;&gt;"",$Q313,$AS313)</f>
        <v/>
      </c>
    </row>
    <row r="314" customFormat="false" ht="16.5" hidden="false" customHeight="true" outlineLevel="0" collapsed="false">
      <c r="A314" s="39" t="n">
        <f aca="false">IF($F314="","",ROW())</f>
        <v>314</v>
      </c>
      <c r="B314" s="40" t="str">
        <f aca="false">IF($F314="",IF($D314="","","Falta a atividade"),IF($R314="Cancelada","Cancelada",IF($AB314=1,IF(N($Z314)&gt;0,"Concluída com atraso","Concluída"),IF($R314="Em programação","Em programação",IF($O314="",IF($M314="","Na carteira","Falta a semana"),IF($AC314=1,"VENCIDA",IF($O314&gt;Hoje!$L$1,"Programada",IF($P314&gt;Hoje!$L$1,"Em execução","Fecha hoje"))))))))</f>
        <v>Na carteira</v>
      </c>
      <c r="C314" s="41" t="s">
        <v>750</v>
      </c>
      <c r="D314" s="42" t="s">
        <v>652</v>
      </c>
      <c r="E314" s="42" t="s">
        <v>724</v>
      </c>
      <c r="F314" s="42" t="s">
        <v>751</v>
      </c>
      <c r="G314" s="43" t="s">
        <v>80</v>
      </c>
      <c r="H314" s="43" t="s">
        <v>100</v>
      </c>
      <c r="I314" s="44"/>
      <c r="J314" s="44"/>
      <c r="K314" s="44"/>
      <c r="L314" s="45"/>
      <c r="M314" s="46"/>
      <c r="N314" s="45"/>
      <c r="O314" s="47" t="str">
        <f aca="false">IF(OR($L314="",$M314=""),"",(DATE(Semana!$J$3,1,4)-WEEKDAY(DATE(Semana!$J$3,1,4),3))+($L314-1)*7+MATCH($M314,Listas!$F$5:$F$11,0)-1)</f>
        <v/>
      </c>
      <c r="P314" s="47" t="str">
        <f aca="false">IF(OR($F314="",$O314=""),"",$O314+MAX(0,ROUNDUP($AK314*MAX(1,IF($N314="",1,$N314))/MAX(1,$AL314),0)-1))</f>
        <v/>
      </c>
      <c r="Q314" s="48"/>
      <c r="R314" s="43"/>
      <c r="S314" s="49"/>
      <c r="T314" s="42"/>
      <c r="U314" s="42"/>
      <c r="V314" s="39" t="str">
        <f aca="false">IF($F314="","",IF(ISNUMBER(SEARCH("(externo)",$I314&amp;$J314&amp;$K314)),"Terceirizada","Interna"))</f>
        <v>Interna</v>
      </c>
      <c r="W314" s="47" t="str">
        <f aca="false">IF($O314="","",IF($S314="",$O314,(DATE(Semana!$J$3,1,4)-WEEKDAY(DATE(Semana!$J$3,1,4),3))+($S314-1)*7+IF($M314="",0,MATCH($M314,Listas!$F$5:$F$11,0)-1)))</f>
        <v/>
      </c>
      <c r="X314" s="39" t="n">
        <f aca="false">IF($F314="","",IF(OR($AT314="",$O314=""),0,IF($AT314&lt;=$O314,1,0)))</f>
        <v>0</v>
      </c>
      <c r="Y314" s="39" t="n">
        <f aca="false">IF($F314="","",IF(OR($AT314="",$W314=""),0,IF($AT314&lt;=$W314,1,0)))</f>
        <v>0</v>
      </c>
      <c r="Z314" s="39" t="str">
        <f aca="false">IF(OR($AT314="",$O314=""),"",MAX(0,$AT314-$O314))</f>
        <v/>
      </c>
      <c r="AA314" s="39" t="n">
        <f aca="false">IF($F314="","",IF(AND($S314&lt;&gt;"",$L314&lt;&gt;"",$S314&lt;&gt;$L314),1,0))</f>
        <v>0</v>
      </c>
      <c r="AB314" s="39" t="n">
        <f aca="false">IF($F314="","",IF($R314="Cancelada",0,IF(OR($AT314&lt;&gt;"",$R314="Concluída"),1,0)))</f>
        <v>0</v>
      </c>
      <c r="AC314" s="39" t="n">
        <f aca="false">IF($P314="",0,IF($P314&lt;Hoje!$L$1,1,IF(AND($P314=Hoje!$L$1,Hoje!$L$2&gt;Semana!$M$3),1,0)))</f>
        <v>0</v>
      </c>
      <c r="AD314" s="39" t="n">
        <f aca="false">IF($F314="","",IF(COUNTA($I314:$K314)=0,0,1/COUNTA($I314:$K314)))</f>
        <v>0</v>
      </c>
      <c r="AE314" s="39" t="str">
        <f aca="false">IF($AH314=0,"",SUM($AH$4:$AH314))</f>
        <v/>
      </c>
      <c r="AF314" s="39" t="str">
        <f aca="false">IF($AI314=0,"",SUM($AI$4:$AI314))</f>
        <v/>
      </c>
      <c r="AG314" s="50" t="str">
        <f aca="false">IF($F314="","",$I314&amp;IF($J314="",""," · "&amp;$J314)&amp;IF($K314="",""," · "&amp;$K314))</f>
        <v/>
      </c>
      <c r="AH314" s="39" t="n">
        <f aca="false">IF(AND($F314&lt;&gt;"",$O314&lt;&gt;"",$O314&lt;=Hoje!$C$3,$P314&gt;=Hoje!$C$3,$R314&lt;&gt;"Cancelada"),1,0)</f>
        <v>0</v>
      </c>
      <c r="AI314" s="39" t="n">
        <f aca="false">IF(AND($F314&lt;&gt;"",$P314&lt;&gt;"",$P314&lt;Hoje!$C$3,$AB314=0,$R314&lt;&gt;"Cancelada"),1,0)</f>
        <v>0</v>
      </c>
      <c r="AJ314" s="50" t="str">
        <f aca="false">IF($F314="","",$D314&amp;"|"&amp;$E314&amp;"|"&amp;$L314)</f>
        <v>F-972|Programação 09/09|</v>
      </c>
      <c r="AK314" s="39" t="n">
        <f aca="false">IF($AJ314="","",COUNTIF($AJ$4:$AJ314,$AJ314))</f>
        <v>11</v>
      </c>
      <c r="AL314" s="39" t="n">
        <f aca="false">IF($AJ314="","",COUNTIF($AJ$4:$AJ$1004,$AJ314))</f>
        <v>22</v>
      </c>
      <c r="AM314" s="42"/>
      <c r="AN314" s="50" t="str">
        <f aca="false">IF($D314="","",IFERROR(T(VLOOKUP($D314,Listas!$B$5:$H$120,7,0)),""))</f>
        <v>Petro</v>
      </c>
      <c r="AO314" s="50" t="str">
        <f aca="false">IF(OR($F314="",$L314&lt;&gt;"",$R314="Cancelada",$AT314&lt;&gt;""),"",$AN314&amp;"|"&amp;$D314&amp;"|"&amp;IF($C314="","zzz",$C314)&amp;"|"&amp;TEXT(314,"0000"))</f>
        <v>Petro|F-972|007450|0314</v>
      </c>
      <c r="AP314" s="50" t="n">
        <f aca="false">IF($AO314="","",COUNTIF($AO$5:$AO$1004,"&lt;"&amp;$AO314)-(ROWS($AO$5:$AO$1004)-Hoje!$L$5)+1)</f>
        <v>109</v>
      </c>
      <c r="AQ314" s="50" t="n">
        <f aca="false">IF(AND($F314&lt;&gt;"",$D314=Frota!$C$3),1,0)</f>
        <v>0</v>
      </c>
      <c r="AR314" s="50" t="str">
        <f aca="false">IF($AQ314=0,"",SUM($AQ$4:$AQ314))</f>
        <v/>
      </c>
      <c r="AS314" s="50" t="str">
        <f aca="false">IFERROR(INDEX(Hoje!$K$10:$K$29,MATCH(ROW(),Hoje!$J$10:$J$29,0)),"")</f>
        <v/>
      </c>
      <c r="AT314" s="50" t="str">
        <f aca="false">IF($Q314&lt;&gt;"",$Q314,$AS314)</f>
        <v/>
      </c>
    </row>
    <row r="315" customFormat="false" ht="16.5" hidden="false" customHeight="true" outlineLevel="0" collapsed="false">
      <c r="A315" s="39" t="n">
        <f aca="false">IF($F315="","",ROW())</f>
        <v>315</v>
      </c>
      <c r="B315" s="40" t="str">
        <f aca="false">IF($F315="",IF($D315="","","Falta a atividade"),IF($R315="Cancelada","Cancelada",IF($AB315=1,IF(N($Z315)&gt;0,"Concluída com atraso","Concluída"),IF($R315="Em programação","Em programação",IF($O315="",IF($M315="","Na carteira","Falta a semana"),IF($AC315=1,"VENCIDA",IF($O315&gt;Hoje!$L$1,"Programada",IF($P315&gt;Hoje!$L$1,"Em execução","Fecha hoje"))))))))</f>
        <v>Na carteira</v>
      </c>
      <c r="C315" s="41" t="s">
        <v>752</v>
      </c>
      <c r="D315" s="42" t="s">
        <v>652</v>
      </c>
      <c r="E315" s="42" t="s">
        <v>724</v>
      </c>
      <c r="F315" s="42" t="s">
        <v>753</v>
      </c>
      <c r="G315" s="43" t="s">
        <v>80</v>
      </c>
      <c r="H315" s="43" t="s">
        <v>100</v>
      </c>
      <c r="I315" s="44"/>
      <c r="J315" s="44"/>
      <c r="K315" s="44"/>
      <c r="L315" s="45"/>
      <c r="M315" s="46"/>
      <c r="N315" s="45"/>
      <c r="O315" s="47" t="str">
        <f aca="false">IF(OR($L315="",$M315=""),"",(DATE(Semana!$J$3,1,4)-WEEKDAY(DATE(Semana!$J$3,1,4),3))+($L315-1)*7+MATCH($M315,Listas!$F$5:$F$11,0)-1)</f>
        <v/>
      </c>
      <c r="P315" s="47" t="str">
        <f aca="false">IF(OR($F315="",$O315=""),"",$O315+MAX(0,ROUNDUP($AK315*MAX(1,IF($N315="",1,$N315))/MAX(1,$AL315),0)-1))</f>
        <v/>
      </c>
      <c r="Q315" s="48"/>
      <c r="R315" s="43"/>
      <c r="S315" s="49"/>
      <c r="T315" s="42"/>
      <c r="U315" s="42"/>
      <c r="V315" s="39" t="str">
        <f aca="false">IF($F315="","",IF(ISNUMBER(SEARCH("(externo)",$I315&amp;$J315&amp;$K315)),"Terceirizada","Interna"))</f>
        <v>Interna</v>
      </c>
      <c r="W315" s="47" t="str">
        <f aca="false">IF($O315="","",IF($S315="",$O315,(DATE(Semana!$J$3,1,4)-WEEKDAY(DATE(Semana!$J$3,1,4),3))+($S315-1)*7+IF($M315="",0,MATCH($M315,Listas!$F$5:$F$11,0)-1)))</f>
        <v/>
      </c>
      <c r="X315" s="39" t="n">
        <f aca="false">IF($F315="","",IF(OR($AT315="",$O315=""),0,IF($AT315&lt;=$O315,1,0)))</f>
        <v>0</v>
      </c>
      <c r="Y315" s="39" t="n">
        <f aca="false">IF($F315="","",IF(OR($AT315="",$W315=""),0,IF($AT315&lt;=$W315,1,0)))</f>
        <v>0</v>
      </c>
      <c r="Z315" s="39" t="str">
        <f aca="false">IF(OR($AT315="",$O315=""),"",MAX(0,$AT315-$O315))</f>
        <v/>
      </c>
      <c r="AA315" s="39" t="n">
        <f aca="false">IF($F315="","",IF(AND($S315&lt;&gt;"",$L315&lt;&gt;"",$S315&lt;&gt;$L315),1,0))</f>
        <v>0</v>
      </c>
      <c r="AB315" s="39" t="n">
        <f aca="false">IF($F315="","",IF($R315="Cancelada",0,IF(OR($AT315&lt;&gt;"",$R315="Concluída"),1,0)))</f>
        <v>0</v>
      </c>
      <c r="AC315" s="39" t="n">
        <f aca="false">IF($P315="",0,IF($P315&lt;Hoje!$L$1,1,IF(AND($P315=Hoje!$L$1,Hoje!$L$2&gt;Semana!$M$3),1,0)))</f>
        <v>0</v>
      </c>
      <c r="AD315" s="39" t="n">
        <f aca="false">IF($F315="","",IF(COUNTA($I315:$K315)=0,0,1/COUNTA($I315:$K315)))</f>
        <v>0</v>
      </c>
      <c r="AE315" s="39" t="str">
        <f aca="false">IF($AH315=0,"",SUM($AH$4:$AH315))</f>
        <v/>
      </c>
      <c r="AF315" s="39" t="str">
        <f aca="false">IF($AI315=0,"",SUM($AI$4:$AI315))</f>
        <v/>
      </c>
      <c r="AG315" s="50" t="str">
        <f aca="false">IF($F315="","",$I315&amp;IF($J315="",""," · "&amp;$J315)&amp;IF($K315="",""," · "&amp;$K315))</f>
        <v/>
      </c>
      <c r="AH315" s="39" t="n">
        <f aca="false">IF(AND($F315&lt;&gt;"",$O315&lt;&gt;"",$O315&lt;=Hoje!$C$3,$P315&gt;=Hoje!$C$3,$R315&lt;&gt;"Cancelada"),1,0)</f>
        <v>0</v>
      </c>
      <c r="AI315" s="39" t="n">
        <f aca="false">IF(AND($F315&lt;&gt;"",$P315&lt;&gt;"",$P315&lt;Hoje!$C$3,$AB315=0,$R315&lt;&gt;"Cancelada"),1,0)</f>
        <v>0</v>
      </c>
      <c r="AJ315" s="50" t="str">
        <f aca="false">IF($F315="","",$D315&amp;"|"&amp;$E315&amp;"|"&amp;$L315)</f>
        <v>F-972|Programação 09/09|</v>
      </c>
      <c r="AK315" s="39" t="n">
        <f aca="false">IF($AJ315="","",COUNTIF($AJ$4:$AJ315,$AJ315))</f>
        <v>12</v>
      </c>
      <c r="AL315" s="39" t="n">
        <f aca="false">IF($AJ315="","",COUNTIF($AJ$4:$AJ$1004,$AJ315))</f>
        <v>22</v>
      </c>
      <c r="AM315" s="42"/>
      <c r="AN315" s="50" t="str">
        <f aca="false">IF($D315="","",IFERROR(T(VLOOKUP($D315,Listas!$B$5:$H$120,7,0)),""))</f>
        <v>Petro</v>
      </c>
      <c r="AO315" s="50" t="str">
        <f aca="false">IF(OR($F315="",$L315&lt;&gt;"",$R315="Cancelada",$AT315&lt;&gt;""),"",$AN315&amp;"|"&amp;$D315&amp;"|"&amp;IF($C315="","zzz",$C315)&amp;"|"&amp;TEXT(315,"0000"))</f>
        <v>Petro|F-972|007451|0315</v>
      </c>
      <c r="AP315" s="50" t="n">
        <f aca="false">IF($AO315="","",COUNTIF($AO$5:$AO$1004,"&lt;"&amp;$AO315)-(ROWS($AO$5:$AO$1004)-Hoje!$L$5)+1)</f>
        <v>110</v>
      </c>
      <c r="AQ315" s="50" t="n">
        <f aca="false">IF(AND($F315&lt;&gt;"",$D315=Frota!$C$3),1,0)</f>
        <v>0</v>
      </c>
      <c r="AR315" s="50" t="str">
        <f aca="false">IF($AQ315=0,"",SUM($AQ$4:$AQ315))</f>
        <v/>
      </c>
      <c r="AS315" s="50" t="str">
        <f aca="false">IFERROR(INDEX(Hoje!$K$10:$K$29,MATCH(ROW(),Hoje!$J$10:$J$29,0)),"")</f>
        <v/>
      </c>
      <c r="AT315" s="50" t="str">
        <f aca="false">IF($Q315&lt;&gt;"",$Q315,$AS315)</f>
        <v/>
      </c>
    </row>
    <row r="316" customFormat="false" ht="16.5" hidden="false" customHeight="true" outlineLevel="0" collapsed="false">
      <c r="A316" s="39" t="n">
        <f aca="false">IF($F316="","",ROW())</f>
        <v>316</v>
      </c>
      <c r="B316" s="40" t="str">
        <f aca="false">IF($F316="",IF($D316="","","Falta a atividade"),IF($R316="Cancelada","Cancelada",IF($AB316=1,IF(N($Z316)&gt;0,"Concluída com atraso","Concluída"),IF($R316="Em programação","Em programação",IF($O316="",IF($M316="","Na carteira","Falta a semana"),IF($AC316=1,"VENCIDA",IF($O316&gt;Hoje!$L$1,"Programada",IF($P316&gt;Hoje!$L$1,"Em execução","Fecha hoje"))))))))</f>
        <v>Na carteira</v>
      </c>
      <c r="C316" s="41" t="s">
        <v>754</v>
      </c>
      <c r="D316" s="42" t="s">
        <v>652</v>
      </c>
      <c r="E316" s="42" t="s">
        <v>724</v>
      </c>
      <c r="F316" s="42" t="s">
        <v>755</v>
      </c>
      <c r="G316" s="43" t="s">
        <v>80</v>
      </c>
      <c r="H316" s="43" t="s">
        <v>100</v>
      </c>
      <c r="I316" s="44"/>
      <c r="J316" s="44"/>
      <c r="K316" s="44"/>
      <c r="L316" s="45"/>
      <c r="M316" s="46"/>
      <c r="N316" s="45"/>
      <c r="O316" s="47" t="str">
        <f aca="false">IF(OR($L316="",$M316=""),"",(DATE(Semana!$J$3,1,4)-WEEKDAY(DATE(Semana!$J$3,1,4),3))+($L316-1)*7+MATCH($M316,Listas!$F$5:$F$11,0)-1)</f>
        <v/>
      </c>
      <c r="P316" s="47" t="str">
        <f aca="false">IF(OR($F316="",$O316=""),"",$O316+MAX(0,ROUNDUP($AK316*MAX(1,IF($N316="",1,$N316))/MAX(1,$AL316),0)-1))</f>
        <v/>
      </c>
      <c r="Q316" s="48"/>
      <c r="R316" s="43"/>
      <c r="S316" s="49"/>
      <c r="T316" s="42"/>
      <c r="U316" s="42"/>
      <c r="V316" s="39" t="str">
        <f aca="false">IF($F316="","",IF(ISNUMBER(SEARCH("(externo)",$I316&amp;$J316&amp;$K316)),"Terceirizada","Interna"))</f>
        <v>Interna</v>
      </c>
      <c r="W316" s="47" t="str">
        <f aca="false">IF($O316="","",IF($S316="",$O316,(DATE(Semana!$J$3,1,4)-WEEKDAY(DATE(Semana!$J$3,1,4),3))+($S316-1)*7+IF($M316="",0,MATCH($M316,Listas!$F$5:$F$11,0)-1)))</f>
        <v/>
      </c>
      <c r="X316" s="39" t="n">
        <f aca="false">IF($F316="","",IF(OR($AT316="",$O316=""),0,IF($AT316&lt;=$O316,1,0)))</f>
        <v>0</v>
      </c>
      <c r="Y316" s="39" t="n">
        <f aca="false">IF($F316="","",IF(OR($AT316="",$W316=""),0,IF($AT316&lt;=$W316,1,0)))</f>
        <v>0</v>
      </c>
      <c r="Z316" s="39" t="str">
        <f aca="false">IF(OR($AT316="",$O316=""),"",MAX(0,$AT316-$O316))</f>
        <v/>
      </c>
      <c r="AA316" s="39" t="n">
        <f aca="false">IF($F316="","",IF(AND($S316&lt;&gt;"",$L316&lt;&gt;"",$S316&lt;&gt;$L316),1,0))</f>
        <v>0</v>
      </c>
      <c r="AB316" s="39" t="n">
        <f aca="false">IF($F316="","",IF($R316="Cancelada",0,IF(OR($AT316&lt;&gt;"",$R316="Concluída"),1,0)))</f>
        <v>0</v>
      </c>
      <c r="AC316" s="39" t="n">
        <f aca="false">IF($P316="",0,IF($P316&lt;Hoje!$L$1,1,IF(AND($P316=Hoje!$L$1,Hoje!$L$2&gt;Semana!$M$3),1,0)))</f>
        <v>0</v>
      </c>
      <c r="AD316" s="39" t="n">
        <f aca="false">IF($F316="","",IF(COUNTA($I316:$K316)=0,0,1/COUNTA($I316:$K316)))</f>
        <v>0</v>
      </c>
      <c r="AE316" s="39" t="str">
        <f aca="false">IF($AH316=0,"",SUM($AH$4:$AH316))</f>
        <v/>
      </c>
      <c r="AF316" s="39" t="str">
        <f aca="false">IF($AI316=0,"",SUM($AI$4:$AI316))</f>
        <v/>
      </c>
      <c r="AG316" s="50" t="str">
        <f aca="false">IF($F316="","",$I316&amp;IF($J316="",""," · "&amp;$J316)&amp;IF($K316="",""," · "&amp;$K316))</f>
        <v/>
      </c>
      <c r="AH316" s="39" t="n">
        <f aca="false">IF(AND($F316&lt;&gt;"",$O316&lt;&gt;"",$O316&lt;=Hoje!$C$3,$P316&gt;=Hoje!$C$3,$R316&lt;&gt;"Cancelada"),1,0)</f>
        <v>0</v>
      </c>
      <c r="AI316" s="39" t="n">
        <f aca="false">IF(AND($F316&lt;&gt;"",$P316&lt;&gt;"",$P316&lt;Hoje!$C$3,$AB316=0,$R316&lt;&gt;"Cancelada"),1,0)</f>
        <v>0</v>
      </c>
      <c r="AJ316" s="50" t="str">
        <f aca="false">IF($F316="","",$D316&amp;"|"&amp;$E316&amp;"|"&amp;$L316)</f>
        <v>F-972|Programação 09/09|</v>
      </c>
      <c r="AK316" s="39" t="n">
        <f aca="false">IF($AJ316="","",COUNTIF($AJ$4:$AJ316,$AJ316))</f>
        <v>13</v>
      </c>
      <c r="AL316" s="39" t="n">
        <f aca="false">IF($AJ316="","",COUNTIF($AJ$4:$AJ$1004,$AJ316))</f>
        <v>22</v>
      </c>
      <c r="AM316" s="42"/>
      <c r="AN316" s="50" t="str">
        <f aca="false">IF($D316="","",IFERROR(T(VLOOKUP($D316,Listas!$B$5:$H$120,7,0)),""))</f>
        <v>Petro</v>
      </c>
      <c r="AO316" s="50" t="str">
        <f aca="false">IF(OR($F316="",$L316&lt;&gt;"",$R316="Cancelada",$AT316&lt;&gt;""),"",$AN316&amp;"|"&amp;$D316&amp;"|"&amp;IF($C316="","zzz",$C316)&amp;"|"&amp;TEXT(316,"0000"))</f>
        <v>Petro|F-972|007452|0316</v>
      </c>
      <c r="AP316" s="50" t="n">
        <f aca="false">IF($AO316="","",COUNTIF($AO$5:$AO$1004,"&lt;"&amp;$AO316)-(ROWS($AO$5:$AO$1004)-Hoje!$L$5)+1)</f>
        <v>111</v>
      </c>
      <c r="AQ316" s="50" t="n">
        <f aca="false">IF(AND($F316&lt;&gt;"",$D316=Frota!$C$3),1,0)</f>
        <v>0</v>
      </c>
      <c r="AR316" s="50" t="str">
        <f aca="false">IF($AQ316=0,"",SUM($AQ$4:$AQ316))</f>
        <v/>
      </c>
      <c r="AS316" s="50" t="str">
        <f aca="false">IFERROR(INDEX(Hoje!$K$10:$K$29,MATCH(ROW(),Hoje!$J$10:$J$29,0)),"")</f>
        <v/>
      </c>
      <c r="AT316" s="50" t="str">
        <f aca="false">IF($Q316&lt;&gt;"",$Q316,$AS316)</f>
        <v/>
      </c>
    </row>
    <row r="317" customFormat="false" ht="16.5" hidden="false" customHeight="true" outlineLevel="0" collapsed="false">
      <c r="A317" s="39" t="n">
        <f aca="false">IF($F317="","",ROW())</f>
        <v>317</v>
      </c>
      <c r="B317" s="40" t="str">
        <f aca="false">IF($F317="",IF($D317="","","Falta a atividade"),IF($R317="Cancelada","Cancelada",IF($AB317=1,IF(N($Z317)&gt;0,"Concluída com atraso","Concluída"),IF($R317="Em programação","Em programação",IF($O317="",IF($M317="","Na carteira","Falta a semana"),IF($AC317=1,"VENCIDA",IF($O317&gt;Hoje!$L$1,"Programada",IF($P317&gt;Hoje!$L$1,"Em execução","Fecha hoje"))))))))</f>
        <v>Na carteira</v>
      </c>
      <c r="C317" s="41" t="s">
        <v>756</v>
      </c>
      <c r="D317" s="42" t="s">
        <v>652</v>
      </c>
      <c r="E317" s="42" t="s">
        <v>724</v>
      </c>
      <c r="F317" s="42" t="s">
        <v>757</v>
      </c>
      <c r="G317" s="43" t="s">
        <v>80</v>
      </c>
      <c r="H317" s="43" t="s">
        <v>100</v>
      </c>
      <c r="I317" s="44"/>
      <c r="J317" s="44"/>
      <c r="K317" s="44"/>
      <c r="L317" s="45"/>
      <c r="M317" s="46"/>
      <c r="N317" s="45"/>
      <c r="O317" s="47" t="str">
        <f aca="false">IF(OR($L317="",$M317=""),"",(DATE(Semana!$J$3,1,4)-WEEKDAY(DATE(Semana!$J$3,1,4),3))+($L317-1)*7+MATCH($M317,Listas!$F$5:$F$11,0)-1)</f>
        <v/>
      </c>
      <c r="P317" s="47" t="str">
        <f aca="false">IF(OR($F317="",$O317=""),"",$O317+MAX(0,ROUNDUP($AK317*MAX(1,IF($N317="",1,$N317))/MAX(1,$AL317),0)-1))</f>
        <v/>
      </c>
      <c r="Q317" s="48"/>
      <c r="R317" s="43"/>
      <c r="S317" s="49"/>
      <c r="T317" s="42"/>
      <c r="U317" s="42" t="s">
        <v>758</v>
      </c>
      <c r="V317" s="39" t="str">
        <f aca="false">IF($F317="","",IF(ISNUMBER(SEARCH("(externo)",$I317&amp;$J317&amp;$K317)),"Terceirizada","Interna"))</f>
        <v>Interna</v>
      </c>
      <c r="W317" s="47" t="str">
        <f aca="false">IF($O317="","",IF($S317="",$O317,(DATE(Semana!$J$3,1,4)-WEEKDAY(DATE(Semana!$J$3,1,4),3))+($S317-1)*7+IF($M317="",0,MATCH($M317,Listas!$F$5:$F$11,0)-1)))</f>
        <v/>
      </c>
      <c r="X317" s="39" t="n">
        <f aca="false">IF($F317="","",IF(OR($AT317="",$O317=""),0,IF($AT317&lt;=$O317,1,0)))</f>
        <v>0</v>
      </c>
      <c r="Y317" s="39" t="n">
        <f aca="false">IF($F317="","",IF(OR($AT317="",$W317=""),0,IF($AT317&lt;=$W317,1,0)))</f>
        <v>0</v>
      </c>
      <c r="Z317" s="39" t="str">
        <f aca="false">IF(OR($AT317="",$O317=""),"",MAX(0,$AT317-$O317))</f>
        <v/>
      </c>
      <c r="AA317" s="39" t="n">
        <f aca="false">IF($F317="","",IF(AND($S317&lt;&gt;"",$L317&lt;&gt;"",$S317&lt;&gt;$L317),1,0))</f>
        <v>0</v>
      </c>
      <c r="AB317" s="39" t="n">
        <f aca="false">IF($F317="","",IF($R317="Cancelada",0,IF(OR($AT317&lt;&gt;"",$R317="Concluída"),1,0)))</f>
        <v>0</v>
      </c>
      <c r="AC317" s="39" t="n">
        <f aca="false">IF($P317="",0,IF($P317&lt;Hoje!$L$1,1,IF(AND($P317=Hoje!$L$1,Hoje!$L$2&gt;Semana!$M$3),1,0)))</f>
        <v>0</v>
      </c>
      <c r="AD317" s="39" t="n">
        <f aca="false">IF($F317="","",IF(COUNTA($I317:$K317)=0,0,1/COUNTA($I317:$K317)))</f>
        <v>0</v>
      </c>
      <c r="AE317" s="39" t="str">
        <f aca="false">IF($AH317=0,"",SUM($AH$4:$AH317))</f>
        <v/>
      </c>
      <c r="AF317" s="39" t="str">
        <f aca="false">IF($AI317=0,"",SUM($AI$4:$AI317))</f>
        <v/>
      </c>
      <c r="AG317" s="50" t="str">
        <f aca="false">IF($F317="","",$I317&amp;IF($J317="",""," · "&amp;$J317)&amp;IF($K317="",""," · "&amp;$K317))</f>
        <v/>
      </c>
      <c r="AH317" s="39" t="n">
        <f aca="false">IF(AND($F317&lt;&gt;"",$O317&lt;&gt;"",$O317&lt;=Hoje!$C$3,$P317&gt;=Hoje!$C$3,$R317&lt;&gt;"Cancelada"),1,0)</f>
        <v>0</v>
      </c>
      <c r="AI317" s="39" t="n">
        <f aca="false">IF(AND($F317&lt;&gt;"",$P317&lt;&gt;"",$P317&lt;Hoje!$C$3,$AB317=0,$R317&lt;&gt;"Cancelada"),1,0)</f>
        <v>0</v>
      </c>
      <c r="AJ317" s="50" t="str">
        <f aca="false">IF($F317="","",$D317&amp;"|"&amp;$E317&amp;"|"&amp;$L317)</f>
        <v>F-972|Programação 09/09|</v>
      </c>
      <c r="AK317" s="39" t="n">
        <f aca="false">IF($AJ317="","",COUNTIF($AJ$4:$AJ317,$AJ317))</f>
        <v>14</v>
      </c>
      <c r="AL317" s="39" t="n">
        <f aca="false">IF($AJ317="","",COUNTIF($AJ$4:$AJ$1004,$AJ317))</f>
        <v>22</v>
      </c>
      <c r="AM317" s="42"/>
      <c r="AN317" s="50" t="str">
        <f aca="false">IF($D317="","",IFERROR(T(VLOOKUP($D317,Listas!$B$5:$H$120,7,0)),""))</f>
        <v>Petro</v>
      </c>
      <c r="AO317" s="50" t="str">
        <f aca="false">IF(OR($F317="",$L317&lt;&gt;"",$R317="Cancelada",$AT317&lt;&gt;""),"",$AN317&amp;"|"&amp;$D317&amp;"|"&amp;IF($C317="","zzz",$C317)&amp;"|"&amp;TEXT(317,"0000"))</f>
        <v>Petro|F-972|007453|0317</v>
      </c>
      <c r="AP317" s="50" t="n">
        <f aca="false">IF($AO317="","",COUNTIF($AO$5:$AO$1004,"&lt;"&amp;$AO317)-(ROWS($AO$5:$AO$1004)-Hoje!$L$5)+1)</f>
        <v>112</v>
      </c>
      <c r="AQ317" s="50" t="n">
        <f aca="false">IF(AND($F317&lt;&gt;"",$D317=Frota!$C$3),1,0)</f>
        <v>0</v>
      </c>
      <c r="AR317" s="50" t="str">
        <f aca="false">IF($AQ317=0,"",SUM($AQ$4:$AQ317))</f>
        <v/>
      </c>
      <c r="AS317" s="50" t="str">
        <f aca="false">IFERROR(INDEX(Hoje!$K$10:$K$29,MATCH(ROW(),Hoje!$J$10:$J$29,0)),"")</f>
        <v/>
      </c>
      <c r="AT317" s="50" t="str">
        <f aca="false">IF($Q317&lt;&gt;"",$Q317,$AS317)</f>
        <v/>
      </c>
    </row>
    <row r="318" customFormat="false" ht="16.5" hidden="false" customHeight="true" outlineLevel="0" collapsed="false">
      <c r="A318" s="39" t="n">
        <f aca="false">IF($F318="","",ROW())</f>
        <v>318</v>
      </c>
      <c r="B318" s="40" t="str">
        <f aca="false">IF($F318="",IF($D318="","","Falta a atividade"),IF($R318="Cancelada","Cancelada",IF($AB318=1,IF(N($Z318)&gt;0,"Concluída com atraso","Concluída"),IF($R318="Em programação","Em programação",IF($O318="",IF($M318="","Na carteira","Falta a semana"),IF($AC318=1,"VENCIDA",IF($O318&gt;Hoje!$L$1,"Programada",IF($P318&gt;Hoje!$L$1,"Em execução","Fecha hoje"))))))))</f>
        <v>Na carteira</v>
      </c>
      <c r="C318" s="41" t="s">
        <v>759</v>
      </c>
      <c r="D318" s="42" t="s">
        <v>652</v>
      </c>
      <c r="E318" s="42" t="s">
        <v>724</v>
      </c>
      <c r="F318" s="42" t="s">
        <v>760</v>
      </c>
      <c r="G318" s="43" t="s">
        <v>80</v>
      </c>
      <c r="H318" s="43" t="s">
        <v>100</v>
      </c>
      <c r="I318" s="44"/>
      <c r="J318" s="44"/>
      <c r="K318" s="44"/>
      <c r="L318" s="45"/>
      <c r="M318" s="46"/>
      <c r="N318" s="45"/>
      <c r="O318" s="47" t="str">
        <f aca="false">IF(OR($L318="",$M318=""),"",(DATE(Semana!$J$3,1,4)-WEEKDAY(DATE(Semana!$J$3,1,4),3))+($L318-1)*7+MATCH($M318,Listas!$F$5:$F$11,0)-1)</f>
        <v/>
      </c>
      <c r="P318" s="47" t="str">
        <f aca="false">IF(OR($F318="",$O318=""),"",$O318+MAX(0,ROUNDUP($AK318*MAX(1,IF($N318="",1,$N318))/MAX(1,$AL318),0)-1))</f>
        <v/>
      </c>
      <c r="Q318" s="48"/>
      <c r="R318" s="43"/>
      <c r="S318" s="49"/>
      <c r="T318" s="42"/>
      <c r="U318" s="42"/>
      <c r="V318" s="39" t="str">
        <f aca="false">IF($F318="","",IF(ISNUMBER(SEARCH("(externo)",$I318&amp;$J318&amp;$K318)),"Terceirizada","Interna"))</f>
        <v>Interna</v>
      </c>
      <c r="W318" s="47" t="str">
        <f aca="false">IF($O318="","",IF($S318="",$O318,(DATE(Semana!$J$3,1,4)-WEEKDAY(DATE(Semana!$J$3,1,4),3))+($S318-1)*7+IF($M318="",0,MATCH($M318,Listas!$F$5:$F$11,0)-1)))</f>
        <v/>
      </c>
      <c r="X318" s="39" t="n">
        <f aca="false">IF($F318="","",IF(OR($AT318="",$O318=""),0,IF($AT318&lt;=$O318,1,0)))</f>
        <v>0</v>
      </c>
      <c r="Y318" s="39" t="n">
        <f aca="false">IF($F318="","",IF(OR($AT318="",$W318=""),0,IF($AT318&lt;=$W318,1,0)))</f>
        <v>0</v>
      </c>
      <c r="Z318" s="39" t="str">
        <f aca="false">IF(OR($AT318="",$O318=""),"",MAX(0,$AT318-$O318))</f>
        <v/>
      </c>
      <c r="AA318" s="39" t="n">
        <f aca="false">IF($F318="","",IF(AND($S318&lt;&gt;"",$L318&lt;&gt;"",$S318&lt;&gt;$L318),1,0))</f>
        <v>0</v>
      </c>
      <c r="AB318" s="39" t="n">
        <f aca="false">IF($F318="","",IF($R318="Cancelada",0,IF(OR($AT318&lt;&gt;"",$R318="Concluída"),1,0)))</f>
        <v>0</v>
      </c>
      <c r="AC318" s="39" t="n">
        <f aca="false">IF($P318="",0,IF($P318&lt;Hoje!$L$1,1,IF(AND($P318=Hoje!$L$1,Hoje!$L$2&gt;Semana!$M$3),1,0)))</f>
        <v>0</v>
      </c>
      <c r="AD318" s="39" t="n">
        <f aca="false">IF($F318="","",IF(COUNTA($I318:$K318)=0,0,1/COUNTA($I318:$K318)))</f>
        <v>0</v>
      </c>
      <c r="AE318" s="39" t="str">
        <f aca="false">IF($AH318=0,"",SUM($AH$4:$AH318))</f>
        <v/>
      </c>
      <c r="AF318" s="39" t="str">
        <f aca="false">IF($AI318=0,"",SUM($AI$4:$AI318))</f>
        <v/>
      </c>
      <c r="AG318" s="50" t="str">
        <f aca="false">IF($F318="","",$I318&amp;IF($J318="",""," · "&amp;$J318)&amp;IF($K318="",""," · "&amp;$K318))</f>
        <v/>
      </c>
      <c r="AH318" s="39" t="n">
        <f aca="false">IF(AND($F318&lt;&gt;"",$O318&lt;&gt;"",$O318&lt;=Hoje!$C$3,$P318&gt;=Hoje!$C$3,$R318&lt;&gt;"Cancelada"),1,0)</f>
        <v>0</v>
      </c>
      <c r="AI318" s="39" t="n">
        <f aca="false">IF(AND($F318&lt;&gt;"",$P318&lt;&gt;"",$P318&lt;Hoje!$C$3,$AB318=0,$R318&lt;&gt;"Cancelada"),1,0)</f>
        <v>0</v>
      </c>
      <c r="AJ318" s="50" t="str">
        <f aca="false">IF($F318="","",$D318&amp;"|"&amp;$E318&amp;"|"&amp;$L318)</f>
        <v>F-972|Programação 09/09|</v>
      </c>
      <c r="AK318" s="39" t="n">
        <f aca="false">IF($AJ318="","",COUNTIF($AJ$4:$AJ318,$AJ318))</f>
        <v>15</v>
      </c>
      <c r="AL318" s="39" t="n">
        <f aca="false">IF($AJ318="","",COUNTIF($AJ$4:$AJ$1004,$AJ318))</f>
        <v>22</v>
      </c>
      <c r="AM318" s="42"/>
      <c r="AN318" s="50" t="str">
        <f aca="false">IF($D318="","",IFERROR(T(VLOOKUP($D318,Listas!$B$5:$H$120,7,0)),""))</f>
        <v>Petro</v>
      </c>
      <c r="AO318" s="50" t="str">
        <f aca="false">IF(OR($F318="",$L318&lt;&gt;"",$R318="Cancelada",$AT318&lt;&gt;""),"",$AN318&amp;"|"&amp;$D318&amp;"|"&amp;IF($C318="","zzz",$C318)&amp;"|"&amp;TEXT(318,"0000"))</f>
        <v>Petro|F-972|007454|0318</v>
      </c>
      <c r="AP318" s="50" t="n">
        <f aca="false">IF($AO318="","",COUNTIF($AO$5:$AO$1004,"&lt;"&amp;$AO318)-(ROWS($AO$5:$AO$1004)-Hoje!$L$5)+1)</f>
        <v>113</v>
      </c>
      <c r="AQ318" s="50" t="n">
        <f aca="false">IF(AND($F318&lt;&gt;"",$D318=Frota!$C$3),1,0)</f>
        <v>0</v>
      </c>
      <c r="AR318" s="50" t="str">
        <f aca="false">IF($AQ318=0,"",SUM($AQ$4:$AQ318))</f>
        <v/>
      </c>
      <c r="AS318" s="50" t="str">
        <f aca="false">IFERROR(INDEX(Hoje!$K$10:$K$29,MATCH(ROW(),Hoje!$J$10:$J$29,0)),"")</f>
        <v/>
      </c>
      <c r="AT318" s="50" t="str">
        <f aca="false">IF($Q318&lt;&gt;"",$Q318,$AS318)</f>
        <v/>
      </c>
    </row>
    <row r="319" customFormat="false" ht="16.5" hidden="false" customHeight="true" outlineLevel="0" collapsed="false">
      <c r="A319" s="39" t="n">
        <f aca="false">IF($F319="","",ROW())</f>
        <v>319</v>
      </c>
      <c r="B319" s="40" t="str">
        <f aca="false">IF($F319="",IF($D319="","","Falta a atividade"),IF($R319="Cancelada","Cancelada",IF($AB319=1,IF(N($Z319)&gt;0,"Concluída com atraso","Concluída"),IF($R319="Em programação","Em programação",IF($O319="",IF($M319="","Na carteira","Falta a semana"),IF($AC319=1,"VENCIDA",IF($O319&gt;Hoje!$L$1,"Programada",IF($P319&gt;Hoje!$L$1,"Em execução","Fecha hoje"))))))))</f>
        <v>Na carteira</v>
      </c>
      <c r="C319" s="41" t="s">
        <v>761</v>
      </c>
      <c r="D319" s="42" t="s">
        <v>652</v>
      </c>
      <c r="E319" s="42" t="s">
        <v>724</v>
      </c>
      <c r="F319" s="42" t="s">
        <v>762</v>
      </c>
      <c r="G319" s="43" t="s">
        <v>80</v>
      </c>
      <c r="H319" s="43" t="s">
        <v>100</v>
      </c>
      <c r="I319" s="44"/>
      <c r="J319" s="44"/>
      <c r="K319" s="44"/>
      <c r="L319" s="45"/>
      <c r="M319" s="46"/>
      <c r="N319" s="45"/>
      <c r="O319" s="47" t="str">
        <f aca="false">IF(OR($L319="",$M319=""),"",(DATE(Semana!$J$3,1,4)-WEEKDAY(DATE(Semana!$J$3,1,4),3))+($L319-1)*7+MATCH($M319,Listas!$F$5:$F$11,0)-1)</f>
        <v/>
      </c>
      <c r="P319" s="47" t="str">
        <f aca="false">IF(OR($F319="",$O319=""),"",$O319+MAX(0,ROUNDUP($AK319*MAX(1,IF($N319="",1,$N319))/MAX(1,$AL319),0)-1))</f>
        <v/>
      </c>
      <c r="Q319" s="48"/>
      <c r="R319" s="43"/>
      <c r="S319" s="49"/>
      <c r="T319" s="42"/>
      <c r="U319" s="42"/>
      <c r="V319" s="39" t="str">
        <f aca="false">IF($F319="","",IF(ISNUMBER(SEARCH("(externo)",$I319&amp;$J319&amp;$K319)),"Terceirizada","Interna"))</f>
        <v>Interna</v>
      </c>
      <c r="W319" s="47" t="str">
        <f aca="false">IF($O319="","",IF($S319="",$O319,(DATE(Semana!$J$3,1,4)-WEEKDAY(DATE(Semana!$J$3,1,4),3))+($S319-1)*7+IF($M319="",0,MATCH($M319,Listas!$F$5:$F$11,0)-1)))</f>
        <v/>
      </c>
      <c r="X319" s="39" t="n">
        <f aca="false">IF($F319="","",IF(OR($AT319="",$O319=""),0,IF($AT319&lt;=$O319,1,0)))</f>
        <v>0</v>
      </c>
      <c r="Y319" s="39" t="n">
        <f aca="false">IF($F319="","",IF(OR($AT319="",$W319=""),0,IF($AT319&lt;=$W319,1,0)))</f>
        <v>0</v>
      </c>
      <c r="Z319" s="39" t="str">
        <f aca="false">IF(OR($AT319="",$O319=""),"",MAX(0,$AT319-$O319))</f>
        <v/>
      </c>
      <c r="AA319" s="39" t="n">
        <f aca="false">IF($F319="","",IF(AND($S319&lt;&gt;"",$L319&lt;&gt;"",$S319&lt;&gt;$L319),1,0))</f>
        <v>0</v>
      </c>
      <c r="AB319" s="39" t="n">
        <f aca="false">IF($F319="","",IF($R319="Cancelada",0,IF(OR($AT319&lt;&gt;"",$R319="Concluída"),1,0)))</f>
        <v>0</v>
      </c>
      <c r="AC319" s="39" t="n">
        <f aca="false">IF($P319="",0,IF($P319&lt;Hoje!$L$1,1,IF(AND($P319=Hoje!$L$1,Hoje!$L$2&gt;Semana!$M$3),1,0)))</f>
        <v>0</v>
      </c>
      <c r="AD319" s="39" t="n">
        <f aca="false">IF($F319="","",IF(COUNTA($I319:$K319)=0,0,1/COUNTA($I319:$K319)))</f>
        <v>0</v>
      </c>
      <c r="AE319" s="39" t="str">
        <f aca="false">IF($AH319=0,"",SUM($AH$4:$AH319))</f>
        <v/>
      </c>
      <c r="AF319" s="39" t="str">
        <f aca="false">IF($AI319=0,"",SUM($AI$4:$AI319))</f>
        <v/>
      </c>
      <c r="AG319" s="50" t="str">
        <f aca="false">IF($F319="","",$I319&amp;IF($J319="",""," · "&amp;$J319)&amp;IF($K319="",""," · "&amp;$K319))</f>
        <v/>
      </c>
      <c r="AH319" s="39" t="n">
        <f aca="false">IF(AND($F319&lt;&gt;"",$O319&lt;&gt;"",$O319&lt;=Hoje!$C$3,$P319&gt;=Hoje!$C$3,$R319&lt;&gt;"Cancelada"),1,0)</f>
        <v>0</v>
      </c>
      <c r="AI319" s="39" t="n">
        <f aca="false">IF(AND($F319&lt;&gt;"",$P319&lt;&gt;"",$P319&lt;Hoje!$C$3,$AB319=0,$R319&lt;&gt;"Cancelada"),1,0)</f>
        <v>0</v>
      </c>
      <c r="AJ319" s="50" t="str">
        <f aca="false">IF($F319="","",$D319&amp;"|"&amp;$E319&amp;"|"&amp;$L319)</f>
        <v>F-972|Programação 09/09|</v>
      </c>
      <c r="AK319" s="39" t="n">
        <f aca="false">IF($AJ319="","",COUNTIF($AJ$4:$AJ319,$AJ319))</f>
        <v>16</v>
      </c>
      <c r="AL319" s="39" t="n">
        <f aca="false">IF($AJ319="","",COUNTIF($AJ$4:$AJ$1004,$AJ319))</f>
        <v>22</v>
      </c>
      <c r="AM319" s="42"/>
      <c r="AN319" s="50" t="str">
        <f aca="false">IF($D319="","",IFERROR(T(VLOOKUP($D319,Listas!$B$5:$H$120,7,0)),""))</f>
        <v>Petro</v>
      </c>
      <c r="AO319" s="50" t="str">
        <f aca="false">IF(OR($F319="",$L319&lt;&gt;"",$R319="Cancelada",$AT319&lt;&gt;""),"",$AN319&amp;"|"&amp;$D319&amp;"|"&amp;IF($C319="","zzz",$C319)&amp;"|"&amp;TEXT(319,"0000"))</f>
        <v>Petro|F-972|007455|0319</v>
      </c>
      <c r="AP319" s="50" t="n">
        <f aca="false">IF($AO319="","",COUNTIF($AO$5:$AO$1004,"&lt;"&amp;$AO319)-(ROWS($AO$5:$AO$1004)-Hoje!$L$5)+1)</f>
        <v>114</v>
      </c>
      <c r="AQ319" s="50" t="n">
        <f aca="false">IF(AND($F319&lt;&gt;"",$D319=Frota!$C$3),1,0)</f>
        <v>0</v>
      </c>
      <c r="AR319" s="50" t="str">
        <f aca="false">IF($AQ319=0,"",SUM($AQ$4:$AQ319))</f>
        <v/>
      </c>
      <c r="AS319" s="50" t="str">
        <f aca="false">IFERROR(INDEX(Hoje!$K$10:$K$29,MATCH(ROW(),Hoje!$J$10:$J$29,0)),"")</f>
        <v/>
      </c>
      <c r="AT319" s="50" t="str">
        <f aca="false">IF($Q319&lt;&gt;"",$Q319,$AS319)</f>
        <v/>
      </c>
    </row>
    <row r="320" customFormat="false" ht="16.5" hidden="false" customHeight="true" outlineLevel="0" collapsed="false">
      <c r="A320" s="39" t="n">
        <f aca="false">IF($F320="","",ROW())</f>
        <v>320</v>
      </c>
      <c r="B320" s="40" t="str">
        <f aca="false">IF($F320="",IF($D320="","","Falta a atividade"),IF($R320="Cancelada","Cancelada",IF($AB320=1,IF(N($Z320)&gt;0,"Concluída com atraso","Concluída"),IF($R320="Em programação","Em programação",IF($O320="",IF($M320="","Na carteira","Falta a semana"),IF($AC320=1,"VENCIDA",IF($O320&gt;Hoje!$L$1,"Programada",IF($P320&gt;Hoje!$L$1,"Em execução","Fecha hoje"))))))))</f>
        <v>Na carteira</v>
      </c>
      <c r="C320" s="41" t="s">
        <v>763</v>
      </c>
      <c r="D320" s="42" t="s">
        <v>652</v>
      </c>
      <c r="E320" s="42" t="s">
        <v>724</v>
      </c>
      <c r="F320" s="42" t="s">
        <v>764</v>
      </c>
      <c r="G320" s="43" t="s">
        <v>80</v>
      </c>
      <c r="H320" s="43" t="s">
        <v>100</v>
      </c>
      <c r="I320" s="44"/>
      <c r="J320" s="44"/>
      <c r="K320" s="44"/>
      <c r="L320" s="45"/>
      <c r="M320" s="46"/>
      <c r="N320" s="45"/>
      <c r="O320" s="47" t="str">
        <f aca="false">IF(OR($L320="",$M320=""),"",(DATE(Semana!$J$3,1,4)-WEEKDAY(DATE(Semana!$J$3,1,4),3))+($L320-1)*7+MATCH($M320,Listas!$F$5:$F$11,0)-1)</f>
        <v/>
      </c>
      <c r="P320" s="47" t="str">
        <f aca="false">IF(OR($F320="",$O320=""),"",$O320+MAX(0,ROUNDUP($AK320*MAX(1,IF($N320="",1,$N320))/MAX(1,$AL320),0)-1))</f>
        <v/>
      </c>
      <c r="Q320" s="48"/>
      <c r="R320" s="43"/>
      <c r="S320" s="49"/>
      <c r="T320" s="42"/>
      <c r="U320" s="42"/>
      <c r="V320" s="39" t="str">
        <f aca="false">IF($F320="","",IF(ISNUMBER(SEARCH("(externo)",$I320&amp;$J320&amp;$K320)),"Terceirizada","Interna"))</f>
        <v>Interna</v>
      </c>
      <c r="W320" s="47" t="str">
        <f aca="false">IF($O320="","",IF($S320="",$O320,(DATE(Semana!$J$3,1,4)-WEEKDAY(DATE(Semana!$J$3,1,4),3))+($S320-1)*7+IF($M320="",0,MATCH($M320,Listas!$F$5:$F$11,0)-1)))</f>
        <v/>
      </c>
      <c r="X320" s="39" t="n">
        <f aca="false">IF($F320="","",IF(OR($AT320="",$O320=""),0,IF($AT320&lt;=$O320,1,0)))</f>
        <v>0</v>
      </c>
      <c r="Y320" s="39" t="n">
        <f aca="false">IF($F320="","",IF(OR($AT320="",$W320=""),0,IF($AT320&lt;=$W320,1,0)))</f>
        <v>0</v>
      </c>
      <c r="Z320" s="39" t="str">
        <f aca="false">IF(OR($AT320="",$O320=""),"",MAX(0,$AT320-$O320))</f>
        <v/>
      </c>
      <c r="AA320" s="39" t="n">
        <f aca="false">IF($F320="","",IF(AND($S320&lt;&gt;"",$L320&lt;&gt;"",$S320&lt;&gt;$L320),1,0))</f>
        <v>0</v>
      </c>
      <c r="AB320" s="39" t="n">
        <f aca="false">IF($F320="","",IF($R320="Cancelada",0,IF(OR($AT320&lt;&gt;"",$R320="Concluída"),1,0)))</f>
        <v>0</v>
      </c>
      <c r="AC320" s="39" t="n">
        <f aca="false">IF($P320="",0,IF($P320&lt;Hoje!$L$1,1,IF(AND($P320=Hoje!$L$1,Hoje!$L$2&gt;Semana!$M$3),1,0)))</f>
        <v>0</v>
      </c>
      <c r="AD320" s="39" t="n">
        <f aca="false">IF($F320="","",IF(COUNTA($I320:$K320)=0,0,1/COUNTA($I320:$K320)))</f>
        <v>0</v>
      </c>
      <c r="AE320" s="39" t="str">
        <f aca="false">IF($AH320=0,"",SUM($AH$4:$AH320))</f>
        <v/>
      </c>
      <c r="AF320" s="39" t="str">
        <f aca="false">IF($AI320=0,"",SUM($AI$4:$AI320))</f>
        <v/>
      </c>
      <c r="AG320" s="50" t="str">
        <f aca="false">IF($F320="","",$I320&amp;IF($J320="",""," · "&amp;$J320)&amp;IF($K320="",""," · "&amp;$K320))</f>
        <v/>
      </c>
      <c r="AH320" s="39" t="n">
        <f aca="false">IF(AND($F320&lt;&gt;"",$O320&lt;&gt;"",$O320&lt;=Hoje!$C$3,$P320&gt;=Hoje!$C$3,$R320&lt;&gt;"Cancelada"),1,0)</f>
        <v>0</v>
      </c>
      <c r="AI320" s="39" t="n">
        <f aca="false">IF(AND($F320&lt;&gt;"",$P320&lt;&gt;"",$P320&lt;Hoje!$C$3,$AB320=0,$R320&lt;&gt;"Cancelada"),1,0)</f>
        <v>0</v>
      </c>
      <c r="AJ320" s="50" t="str">
        <f aca="false">IF($F320="","",$D320&amp;"|"&amp;$E320&amp;"|"&amp;$L320)</f>
        <v>F-972|Programação 09/09|</v>
      </c>
      <c r="AK320" s="39" t="n">
        <f aca="false">IF($AJ320="","",COUNTIF($AJ$4:$AJ320,$AJ320))</f>
        <v>17</v>
      </c>
      <c r="AL320" s="39" t="n">
        <f aca="false">IF($AJ320="","",COUNTIF($AJ$4:$AJ$1004,$AJ320))</f>
        <v>22</v>
      </c>
      <c r="AM320" s="42"/>
      <c r="AN320" s="50" t="str">
        <f aca="false">IF($D320="","",IFERROR(T(VLOOKUP($D320,Listas!$B$5:$H$120,7,0)),""))</f>
        <v>Petro</v>
      </c>
      <c r="AO320" s="50" t="str">
        <f aca="false">IF(OR($F320="",$L320&lt;&gt;"",$R320="Cancelada",$AT320&lt;&gt;""),"",$AN320&amp;"|"&amp;$D320&amp;"|"&amp;IF($C320="","zzz",$C320)&amp;"|"&amp;TEXT(320,"0000"))</f>
        <v>Petro|F-972|007456|0320</v>
      </c>
      <c r="AP320" s="50" t="n">
        <f aca="false">IF($AO320="","",COUNTIF($AO$5:$AO$1004,"&lt;"&amp;$AO320)-(ROWS($AO$5:$AO$1004)-Hoje!$L$5)+1)</f>
        <v>115</v>
      </c>
      <c r="AQ320" s="50" t="n">
        <f aca="false">IF(AND($F320&lt;&gt;"",$D320=Frota!$C$3),1,0)</f>
        <v>0</v>
      </c>
      <c r="AR320" s="50" t="str">
        <f aca="false">IF($AQ320=0,"",SUM($AQ$4:$AQ320))</f>
        <v/>
      </c>
      <c r="AS320" s="50" t="str">
        <f aca="false">IFERROR(INDEX(Hoje!$K$10:$K$29,MATCH(ROW(),Hoje!$J$10:$J$29,0)),"")</f>
        <v/>
      </c>
      <c r="AT320" s="50" t="str">
        <f aca="false">IF($Q320&lt;&gt;"",$Q320,$AS320)</f>
        <v/>
      </c>
    </row>
    <row r="321" customFormat="false" ht="16.5" hidden="false" customHeight="true" outlineLevel="0" collapsed="false">
      <c r="A321" s="39" t="n">
        <f aca="false">IF($F321="","",ROW())</f>
        <v>321</v>
      </c>
      <c r="B321" s="40" t="str">
        <f aca="false">IF($F321="",IF($D321="","","Falta a atividade"),IF($R321="Cancelada","Cancelada",IF($AB321=1,IF(N($Z321)&gt;0,"Concluída com atraso","Concluída"),IF($R321="Em programação","Em programação",IF($O321="",IF($M321="","Na carteira","Falta a semana"),IF($AC321=1,"VENCIDA",IF($O321&gt;Hoje!$L$1,"Programada",IF($P321&gt;Hoje!$L$1,"Em execução","Fecha hoje"))))))))</f>
        <v>Na carteira</v>
      </c>
      <c r="C321" s="41" t="s">
        <v>765</v>
      </c>
      <c r="D321" s="42" t="s">
        <v>652</v>
      </c>
      <c r="E321" s="42" t="s">
        <v>724</v>
      </c>
      <c r="F321" s="42" t="s">
        <v>766</v>
      </c>
      <c r="G321" s="43" t="s">
        <v>80</v>
      </c>
      <c r="H321" s="43" t="s">
        <v>100</v>
      </c>
      <c r="I321" s="44"/>
      <c r="J321" s="44"/>
      <c r="K321" s="44"/>
      <c r="L321" s="45"/>
      <c r="M321" s="46"/>
      <c r="N321" s="45"/>
      <c r="O321" s="47" t="str">
        <f aca="false">IF(OR($L321="",$M321=""),"",(DATE(Semana!$J$3,1,4)-WEEKDAY(DATE(Semana!$J$3,1,4),3))+($L321-1)*7+MATCH($M321,Listas!$F$5:$F$11,0)-1)</f>
        <v/>
      </c>
      <c r="P321" s="47" t="str">
        <f aca="false">IF(OR($F321="",$O321=""),"",$O321+MAX(0,ROUNDUP($AK321*MAX(1,IF($N321="",1,$N321))/MAX(1,$AL321),0)-1))</f>
        <v/>
      </c>
      <c r="Q321" s="48"/>
      <c r="R321" s="43"/>
      <c r="S321" s="49"/>
      <c r="T321" s="42"/>
      <c r="U321" s="42"/>
      <c r="V321" s="39" t="str">
        <f aca="false">IF($F321="","",IF(ISNUMBER(SEARCH("(externo)",$I321&amp;$J321&amp;$K321)),"Terceirizada","Interna"))</f>
        <v>Interna</v>
      </c>
      <c r="W321" s="47" t="str">
        <f aca="false">IF($O321="","",IF($S321="",$O321,(DATE(Semana!$J$3,1,4)-WEEKDAY(DATE(Semana!$J$3,1,4),3))+($S321-1)*7+IF($M321="",0,MATCH($M321,Listas!$F$5:$F$11,0)-1)))</f>
        <v/>
      </c>
      <c r="X321" s="39" t="n">
        <f aca="false">IF($F321="","",IF(OR($AT321="",$O321=""),0,IF($AT321&lt;=$O321,1,0)))</f>
        <v>0</v>
      </c>
      <c r="Y321" s="39" t="n">
        <f aca="false">IF($F321="","",IF(OR($AT321="",$W321=""),0,IF($AT321&lt;=$W321,1,0)))</f>
        <v>0</v>
      </c>
      <c r="Z321" s="39" t="str">
        <f aca="false">IF(OR($AT321="",$O321=""),"",MAX(0,$AT321-$O321))</f>
        <v/>
      </c>
      <c r="AA321" s="39" t="n">
        <f aca="false">IF($F321="","",IF(AND($S321&lt;&gt;"",$L321&lt;&gt;"",$S321&lt;&gt;$L321),1,0))</f>
        <v>0</v>
      </c>
      <c r="AB321" s="39" t="n">
        <f aca="false">IF($F321="","",IF($R321="Cancelada",0,IF(OR($AT321&lt;&gt;"",$R321="Concluída"),1,0)))</f>
        <v>0</v>
      </c>
      <c r="AC321" s="39" t="n">
        <f aca="false">IF($P321="",0,IF($P321&lt;Hoje!$L$1,1,IF(AND($P321=Hoje!$L$1,Hoje!$L$2&gt;Semana!$M$3),1,0)))</f>
        <v>0</v>
      </c>
      <c r="AD321" s="39" t="n">
        <f aca="false">IF($F321="","",IF(COUNTA($I321:$K321)=0,0,1/COUNTA($I321:$K321)))</f>
        <v>0</v>
      </c>
      <c r="AE321" s="39" t="str">
        <f aca="false">IF($AH321=0,"",SUM($AH$4:$AH321))</f>
        <v/>
      </c>
      <c r="AF321" s="39" t="str">
        <f aca="false">IF($AI321=0,"",SUM($AI$4:$AI321))</f>
        <v/>
      </c>
      <c r="AG321" s="50" t="str">
        <f aca="false">IF($F321="","",$I321&amp;IF($J321="",""," · "&amp;$J321)&amp;IF($K321="",""," · "&amp;$K321))</f>
        <v/>
      </c>
      <c r="AH321" s="39" t="n">
        <f aca="false">IF(AND($F321&lt;&gt;"",$O321&lt;&gt;"",$O321&lt;=Hoje!$C$3,$P321&gt;=Hoje!$C$3,$R321&lt;&gt;"Cancelada"),1,0)</f>
        <v>0</v>
      </c>
      <c r="AI321" s="39" t="n">
        <f aca="false">IF(AND($F321&lt;&gt;"",$P321&lt;&gt;"",$P321&lt;Hoje!$C$3,$AB321=0,$R321&lt;&gt;"Cancelada"),1,0)</f>
        <v>0</v>
      </c>
      <c r="AJ321" s="50" t="str">
        <f aca="false">IF($F321="","",$D321&amp;"|"&amp;$E321&amp;"|"&amp;$L321)</f>
        <v>F-972|Programação 09/09|</v>
      </c>
      <c r="AK321" s="39" t="n">
        <f aca="false">IF($AJ321="","",COUNTIF($AJ$4:$AJ321,$AJ321))</f>
        <v>18</v>
      </c>
      <c r="AL321" s="39" t="n">
        <f aca="false">IF($AJ321="","",COUNTIF($AJ$4:$AJ$1004,$AJ321))</f>
        <v>22</v>
      </c>
      <c r="AM321" s="42"/>
      <c r="AN321" s="50" t="str">
        <f aca="false">IF($D321="","",IFERROR(T(VLOOKUP($D321,Listas!$B$5:$H$120,7,0)),""))</f>
        <v>Petro</v>
      </c>
      <c r="AO321" s="50" t="str">
        <f aca="false">IF(OR($F321="",$L321&lt;&gt;"",$R321="Cancelada",$AT321&lt;&gt;""),"",$AN321&amp;"|"&amp;$D321&amp;"|"&amp;IF($C321="","zzz",$C321)&amp;"|"&amp;TEXT(321,"0000"))</f>
        <v>Petro|F-972|007457|0321</v>
      </c>
      <c r="AP321" s="50" t="n">
        <f aca="false">IF($AO321="","",COUNTIF($AO$5:$AO$1004,"&lt;"&amp;$AO321)-(ROWS($AO$5:$AO$1004)-Hoje!$L$5)+1)</f>
        <v>116</v>
      </c>
      <c r="AQ321" s="50" t="n">
        <f aca="false">IF(AND($F321&lt;&gt;"",$D321=Frota!$C$3),1,0)</f>
        <v>0</v>
      </c>
      <c r="AR321" s="50" t="str">
        <f aca="false">IF($AQ321=0,"",SUM($AQ$4:$AQ321))</f>
        <v/>
      </c>
      <c r="AS321" s="50" t="str">
        <f aca="false">IFERROR(INDEX(Hoje!$K$10:$K$29,MATCH(ROW(),Hoje!$J$10:$J$29,0)),"")</f>
        <v/>
      </c>
      <c r="AT321" s="50" t="str">
        <f aca="false">IF($Q321&lt;&gt;"",$Q321,$AS321)</f>
        <v/>
      </c>
    </row>
    <row r="322" customFormat="false" ht="16.5" hidden="false" customHeight="true" outlineLevel="0" collapsed="false">
      <c r="A322" s="39" t="n">
        <f aca="false">IF($F322="","",ROW())</f>
        <v>322</v>
      </c>
      <c r="B322" s="40" t="str">
        <f aca="false">IF($F322="",IF($D322="","","Falta a atividade"),IF($R322="Cancelada","Cancelada",IF($AB322=1,IF(N($Z322)&gt;0,"Concluída com atraso","Concluída"),IF($R322="Em programação","Em programação",IF($O322="",IF($M322="","Na carteira","Falta a semana"),IF($AC322=1,"VENCIDA",IF($O322&gt;Hoje!$L$1,"Programada",IF($P322&gt;Hoje!$L$1,"Em execução","Fecha hoje"))))))))</f>
        <v>Na carteira</v>
      </c>
      <c r="C322" s="41" t="s">
        <v>767</v>
      </c>
      <c r="D322" s="42" t="s">
        <v>652</v>
      </c>
      <c r="E322" s="42" t="s">
        <v>724</v>
      </c>
      <c r="F322" s="42" t="s">
        <v>768</v>
      </c>
      <c r="G322" s="43" t="s">
        <v>80</v>
      </c>
      <c r="H322" s="43" t="s">
        <v>100</v>
      </c>
      <c r="I322" s="44"/>
      <c r="J322" s="44"/>
      <c r="K322" s="44"/>
      <c r="L322" s="45"/>
      <c r="M322" s="46"/>
      <c r="N322" s="45"/>
      <c r="O322" s="47" t="str">
        <f aca="false">IF(OR($L322="",$M322=""),"",(DATE(Semana!$J$3,1,4)-WEEKDAY(DATE(Semana!$J$3,1,4),3))+($L322-1)*7+MATCH($M322,Listas!$F$5:$F$11,0)-1)</f>
        <v/>
      </c>
      <c r="P322" s="47" t="str">
        <f aca="false">IF(OR($F322="",$O322=""),"",$O322+MAX(0,ROUNDUP($AK322*MAX(1,IF($N322="",1,$N322))/MAX(1,$AL322),0)-1))</f>
        <v/>
      </c>
      <c r="Q322" s="48"/>
      <c r="R322" s="43"/>
      <c r="S322" s="49"/>
      <c r="T322" s="42"/>
      <c r="U322" s="42"/>
      <c r="V322" s="39" t="str">
        <f aca="false">IF($F322="","",IF(ISNUMBER(SEARCH("(externo)",$I322&amp;$J322&amp;$K322)),"Terceirizada","Interna"))</f>
        <v>Interna</v>
      </c>
      <c r="W322" s="47" t="str">
        <f aca="false">IF($O322="","",IF($S322="",$O322,(DATE(Semana!$J$3,1,4)-WEEKDAY(DATE(Semana!$J$3,1,4),3))+($S322-1)*7+IF($M322="",0,MATCH($M322,Listas!$F$5:$F$11,0)-1)))</f>
        <v/>
      </c>
      <c r="X322" s="39" t="n">
        <f aca="false">IF($F322="","",IF(OR($AT322="",$O322=""),0,IF($AT322&lt;=$O322,1,0)))</f>
        <v>0</v>
      </c>
      <c r="Y322" s="39" t="n">
        <f aca="false">IF($F322="","",IF(OR($AT322="",$W322=""),0,IF($AT322&lt;=$W322,1,0)))</f>
        <v>0</v>
      </c>
      <c r="Z322" s="39" t="str">
        <f aca="false">IF(OR($AT322="",$O322=""),"",MAX(0,$AT322-$O322))</f>
        <v/>
      </c>
      <c r="AA322" s="39" t="n">
        <f aca="false">IF($F322="","",IF(AND($S322&lt;&gt;"",$L322&lt;&gt;"",$S322&lt;&gt;$L322),1,0))</f>
        <v>0</v>
      </c>
      <c r="AB322" s="39" t="n">
        <f aca="false">IF($F322="","",IF($R322="Cancelada",0,IF(OR($AT322&lt;&gt;"",$R322="Concluída"),1,0)))</f>
        <v>0</v>
      </c>
      <c r="AC322" s="39" t="n">
        <f aca="false">IF($P322="",0,IF($P322&lt;Hoje!$L$1,1,IF(AND($P322=Hoje!$L$1,Hoje!$L$2&gt;Semana!$M$3),1,0)))</f>
        <v>0</v>
      </c>
      <c r="AD322" s="39" t="n">
        <f aca="false">IF($F322="","",IF(COUNTA($I322:$K322)=0,0,1/COUNTA($I322:$K322)))</f>
        <v>0</v>
      </c>
      <c r="AE322" s="39" t="str">
        <f aca="false">IF($AH322=0,"",SUM($AH$4:$AH322))</f>
        <v/>
      </c>
      <c r="AF322" s="39" t="str">
        <f aca="false">IF($AI322=0,"",SUM($AI$4:$AI322))</f>
        <v/>
      </c>
      <c r="AG322" s="50" t="str">
        <f aca="false">IF($F322="","",$I322&amp;IF($J322="",""," · "&amp;$J322)&amp;IF($K322="",""," · "&amp;$K322))</f>
        <v/>
      </c>
      <c r="AH322" s="39" t="n">
        <f aca="false">IF(AND($F322&lt;&gt;"",$O322&lt;&gt;"",$O322&lt;=Hoje!$C$3,$P322&gt;=Hoje!$C$3,$R322&lt;&gt;"Cancelada"),1,0)</f>
        <v>0</v>
      </c>
      <c r="AI322" s="39" t="n">
        <f aca="false">IF(AND($F322&lt;&gt;"",$P322&lt;&gt;"",$P322&lt;Hoje!$C$3,$AB322=0,$R322&lt;&gt;"Cancelada"),1,0)</f>
        <v>0</v>
      </c>
      <c r="AJ322" s="50" t="str">
        <f aca="false">IF($F322="","",$D322&amp;"|"&amp;$E322&amp;"|"&amp;$L322)</f>
        <v>F-972|Programação 09/09|</v>
      </c>
      <c r="AK322" s="39" t="n">
        <f aca="false">IF($AJ322="","",COUNTIF($AJ$4:$AJ322,$AJ322))</f>
        <v>19</v>
      </c>
      <c r="AL322" s="39" t="n">
        <f aca="false">IF($AJ322="","",COUNTIF($AJ$4:$AJ$1004,$AJ322))</f>
        <v>22</v>
      </c>
      <c r="AM322" s="42"/>
      <c r="AN322" s="50" t="str">
        <f aca="false">IF($D322="","",IFERROR(T(VLOOKUP($D322,Listas!$B$5:$H$120,7,0)),""))</f>
        <v>Petro</v>
      </c>
      <c r="AO322" s="50" t="str">
        <f aca="false">IF(OR($F322="",$L322&lt;&gt;"",$R322="Cancelada",$AT322&lt;&gt;""),"",$AN322&amp;"|"&amp;$D322&amp;"|"&amp;IF($C322="","zzz",$C322)&amp;"|"&amp;TEXT(322,"0000"))</f>
        <v>Petro|F-972|007458|0322</v>
      </c>
      <c r="AP322" s="50" t="n">
        <f aca="false">IF($AO322="","",COUNTIF($AO$5:$AO$1004,"&lt;"&amp;$AO322)-(ROWS($AO$5:$AO$1004)-Hoje!$L$5)+1)</f>
        <v>117</v>
      </c>
      <c r="AQ322" s="50" t="n">
        <f aca="false">IF(AND($F322&lt;&gt;"",$D322=Frota!$C$3),1,0)</f>
        <v>0</v>
      </c>
      <c r="AR322" s="50" t="str">
        <f aca="false">IF($AQ322=0,"",SUM($AQ$4:$AQ322))</f>
        <v/>
      </c>
      <c r="AS322" s="50" t="str">
        <f aca="false">IFERROR(INDEX(Hoje!$K$10:$K$29,MATCH(ROW(),Hoje!$J$10:$J$29,0)),"")</f>
        <v/>
      </c>
      <c r="AT322" s="50" t="str">
        <f aca="false">IF($Q322&lt;&gt;"",$Q322,$AS322)</f>
        <v/>
      </c>
    </row>
    <row r="323" customFormat="false" ht="16.5" hidden="false" customHeight="true" outlineLevel="0" collapsed="false">
      <c r="A323" s="39" t="n">
        <f aca="false">IF($F323="","",ROW())</f>
        <v>323</v>
      </c>
      <c r="B323" s="40" t="str">
        <f aca="false">IF($F323="",IF($D323="","","Falta a atividade"),IF($R323="Cancelada","Cancelada",IF($AB323=1,IF(N($Z323)&gt;0,"Concluída com atraso","Concluída"),IF($R323="Em programação","Em programação",IF($O323="",IF($M323="","Na carteira","Falta a semana"),IF($AC323=1,"VENCIDA",IF($O323&gt;Hoje!$L$1,"Programada",IF($P323&gt;Hoje!$L$1,"Em execução","Fecha hoje"))))))))</f>
        <v>Na carteira</v>
      </c>
      <c r="C323" s="41" t="s">
        <v>769</v>
      </c>
      <c r="D323" s="42" t="s">
        <v>652</v>
      </c>
      <c r="E323" s="42" t="s">
        <v>724</v>
      </c>
      <c r="F323" s="42" t="s">
        <v>770</v>
      </c>
      <c r="G323" s="43" t="s">
        <v>80</v>
      </c>
      <c r="H323" s="43" t="s">
        <v>100</v>
      </c>
      <c r="I323" s="44"/>
      <c r="J323" s="44"/>
      <c r="K323" s="44"/>
      <c r="L323" s="45"/>
      <c r="M323" s="46"/>
      <c r="N323" s="45"/>
      <c r="O323" s="47" t="str">
        <f aca="false">IF(OR($L323="",$M323=""),"",(DATE(Semana!$J$3,1,4)-WEEKDAY(DATE(Semana!$J$3,1,4),3))+($L323-1)*7+MATCH($M323,Listas!$F$5:$F$11,0)-1)</f>
        <v/>
      </c>
      <c r="P323" s="47" t="str">
        <f aca="false">IF(OR($F323="",$O323=""),"",$O323+MAX(0,ROUNDUP($AK323*MAX(1,IF($N323="",1,$N323))/MAX(1,$AL323),0)-1))</f>
        <v/>
      </c>
      <c r="Q323" s="48"/>
      <c r="R323" s="43"/>
      <c r="S323" s="49"/>
      <c r="T323" s="42"/>
      <c r="U323" s="42"/>
      <c r="V323" s="39" t="str">
        <f aca="false">IF($F323="","",IF(ISNUMBER(SEARCH("(externo)",$I323&amp;$J323&amp;$K323)),"Terceirizada","Interna"))</f>
        <v>Interna</v>
      </c>
      <c r="W323" s="47" t="str">
        <f aca="false">IF($O323="","",IF($S323="",$O323,(DATE(Semana!$J$3,1,4)-WEEKDAY(DATE(Semana!$J$3,1,4),3))+($S323-1)*7+IF($M323="",0,MATCH($M323,Listas!$F$5:$F$11,0)-1)))</f>
        <v/>
      </c>
      <c r="X323" s="39" t="n">
        <f aca="false">IF($F323="","",IF(OR($AT323="",$O323=""),0,IF($AT323&lt;=$O323,1,0)))</f>
        <v>0</v>
      </c>
      <c r="Y323" s="39" t="n">
        <f aca="false">IF($F323="","",IF(OR($AT323="",$W323=""),0,IF($AT323&lt;=$W323,1,0)))</f>
        <v>0</v>
      </c>
      <c r="Z323" s="39" t="str">
        <f aca="false">IF(OR($AT323="",$O323=""),"",MAX(0,$AT323-$O323))</f>
        <v/>
      </c>
      <c r="AA323" s="39" t="n">
        <f aca="false">IF($F323="","",IF(AND($S323&lt;&gt;"",$L323&lt;&gt;"",$S323&lt;&gt;$L323),1,0))</f>
        <v>0</v>
      </c>
      <c r="AB323" s="39" t="n">
        <f aca="false">IF($F323="","",IF($R323="Cancelada",0,IF(OR($AT323&lt;&gt;"",$R323="Concluída"),1,0)))</f>
        <v>0</v>
      </c>
      <c r="AC323" s="39" t="n">
        <f aca="false">IF($P323="",0,IF($P323&lt;Hoje!$L$1,1,IF(AND($P323=Hoje!$L$1,Hoje!$L$2&gt;Semana!$M$3),1,0)))</f>
        <v>0</v>
      </c>
      <c r="AD323" s="39" t="n">
        <f aca="false">IF($F323="","",IF(COUNTA($I323:$K323)=0,0,1/COUNTA($I323:$K323)))</f>
        <v>0</v>
      </c>
      <c r="AE323" s="39" t="str">
        <f aca="false">IF($AH323=0,"",SUM($AH$4:$AH323))</f>
        <v/>
      </c>
      <c r="AF323" s="39" t="str">
        <f aca="false">IF($AI323=0,"",SUM($AI$4:$AI323))</f>
        <v/>
      </c>
      <c r="AG323" s="50" t="str">
        <f aca="false">IF($F323="","",$I323&amp;IF($J323="",""," · "&amp;$J323)&amp;IF($K323="",""," · "&amp;$K323))</f>
        <v/>
      </c>
      <c r="AH323" s="39" t="n">
        <f aca="false">IF(AND($F323&lt;&gt;"",$O323&lt;&gt;"",$O323&lt;=Hoje!$C$3,$P323&gt;=Hoje!$C$3,$R323&lt;&gt;"Cancelada"),1,0)</f>
        <v>0</v>
      </c>
      <c r="AI323" s="39" t="n">
        <f aca="false">IF(AND($F323&lt;&gt;"",$P323&lt;&gt;"",$P323&lt;Hoje!$C$3,$AB323=0,$R323&lt;&gt;"Cancelada"),1,0)</f>
        <v>0</v>
      </c>
      <c r="AJ323" s="50" t="str">
        <f aca="false">IF($F323="","",$D323&amp;"|"&amp;$E323&amp;"|"&amp;$L323)</f>
        <v>F-972|Programação 09/09|</v>
      </c>
      <c r="AK323" s="39" t="n">
        <f aca="false">IF($AJ323="","",COUNTIF($AJ$4:$AJ323,$AJ323))</f>
        <v>20</v>
      </c>
      <c r="AL323" s="39" t="n">
        <f aca="false">IF($AJ323="","",COUNTIF($AJ$4:$AJ$1004,$AJ323))</f>
        <v>22</v>
      </c>
      <c r="AM323" s="42"/>
      <c r="AN323" s="50" t="str">
        <f aca="false">IF($D323="","",IFERROR(T(VLOOKUP($D323,Listas!$B$5:$H$120,7,0)),""))</f>
        <v>Petro</v>
      </c>
      <c r="AO323" s="50" t="str">
        <f aca="false">IF(OR($F323="",$L323&lt;&gt;"",$R323="Cancelada",$AT323&lt;&gt;""),"",$AN323&amp;"|"&amp;$D323&amp;"|"&amp;IF($C323="","zzz",$C323)&amp;"|"&amp;TEXT(323,"0000"))</f>
        <v>Petro|F-972|007459|0323</v>
      </c>
      <c r="AP323" s="50" t="n">
        <f aca="false">IF($AO323="","",COUNTIF($AO$5:$AO$1004,"&lt;"&amp;$AO323)-(ROWS($AO$5:$AO$1004)-Hoje!$L$5)+1)</f>
        <v>118</v>
      </c>
      <c r="AQ323" s="50" t="n">
        <f aca="false">IF(AND($F323&lt;&gt;"",$D323=Frota!$C$3),1,0)</f>
        <v>0</v>
      </c>
      <c r="AR323" s="50" t="str">
        <f aca="false">IF($AQ323=0,"",SUM($AQ$4:$AQ323))</f>
        <v/>
      </c>
      <c r="AS323" s="50" t="str">
        <f aca="false">IFERROR(INDEX(Hoje!$K$10:$K$29,MATCH(ROW(),Hoje!$J$10:$J$29,0)),"")</f>
        <v/>
      </c>
      <c r="AT323" s="50" t="str">
        <f aca="false">IF($Q323&lt;&gt;"",$Q323,$AS323)</f>
        <v/>
      </c>
    </row>
    <row r="324" customFormat="false" ht="16.5" hidden="false" customHeight="true" outlineLevel="0" collapsed="false">
      <c r="A324" s="39" t="n">
        <f aca="false">IF($F324="","",ROW())</f>
        <v>324</v>
      </c>
      <c r="B324" s="40" t="str">
        <f aca="false">IF($F324="",IF($D324="","","Falta a atividade"),IF($R324="Cancelada","Cancelada",IF($AB324=1,IF(N($Z324)&gt;0,"Concluída com atraso","Concluída"),IF($R324="Em programação","Em programação",IF($O324="",IF($M324="","Na carteira","Falta a semana"),IF($AC324=1,"VENCIDA",IF($O324&gt;Hoje!$L$1,"Programada",IF($P324&gt;Hoje!$L$1,"Em execução","Fecha hoje"))))))))</f>
        <v>Na carteira</v>
      </c>
      <c r="C324" s="41" t="s">
        <v>771</v>
      </c>
      <c r="D324" s="42" t="s">
        <v>652</v>
      </c>
      <c r="E324" s="42" t="s">
        <v>724</v>
      </c>
      <c r="F324" s="42" t="s">
        <v>583</v>
      </c>
      <c r="G324" s="43" t="s">
        <v>80</v>
      </c>
      <c r="H324" s="43" t="s">
        <v>100</v>
      </c>
      <c r="I324" s="44"/>
      <c r="J324" s="44"/>
      <c r="K324" s="44"/>
      <c r="L324" s="45"/>
      <c r="M324" s="46"/>
      <c r="N324" s="45"/>
      <c r="O324" s="47" t="str">
        <f aca="false">IF(OR($L324="",$M324=""),"",(DATE(Semana!$J$3,1,4)-WEEKDAY(DATE(Semana!$J$3,1,4),3))+($L324-1)*7+MATCH($M324,Listas!$F$5:$F$11,0)-1)</f>
        <v/>
      </c>
      <c r="P324" s="47" t="str">
        <f aca="false">IF(OR($F324="",$O324=""),"",$O324+MAX(0,ROUNDUP($AK324*MAX(1,IF($N324="",1,$N324))/MAX(1,$AL324),0)-1))</f>
        <v/>
      </c>
      <c r="Q324" s="48"/>
      <c r="R324" s="43"/>
      <c r="S324" s="49"/>
      <c r="T324" s="42"/>
      <c r="U324" s="42"/>
      <c r="V324" s="39" t="str">
        <f aca="false">IF($F324="","",IF(ISNUMBER(SEARCH("(externo)",$I324&amp;$J324&amp;$K324)),"Terceirizada","Interna"))</f>
        <v>Interna</v>
      </c>
      <c r="W324" s="47" t="str">
        <f aca="false">IF($O324="","",IF($S324="",$O324,(DATE(Semana!$J$3,1,4)-WEEKDAY(DATE(Semana!$J$3,1,4),3))+($S324-1)*7+IF($M324="",0,MATCH($M324,Listas!$F$5:$F$11,0)-1)))</f>
        <v/>
      </c>
      <c r="X324" s="39" t="n">
        <f aca="false">IF($F324="","",IF(OR($AT324="",$O324=""),0,IF($AT324&lt;=$O324,1,0)))</f>
        <v>0</v>
      </c>
      <c r="Y324" s="39" t="n">
        <f aca="false">IF($F324="","",IF(OR($AT324="",$W324=""),0,IF($AT324&lt;=$W324,1,0)))</f>
        <v>0</v>
      </c>
      <c r="Z324" s="39" t="str">
        <f aca="false">IF(OR($AT324="",$O324=""),"",MAX(0,$AT324-$O324))</f>
        <v/>
      </c>
      <c r="AA324" s="39" t="n">
        <f aca="false">IF($F324="","",IF(AND($S324&lt;&gt;"",$L324&lt;&gt;"",$S324&lt;&gt;$L324),1,0))</f>
        <v>0</v>
      </c>
      <c r="AB324" s="39" t="n">
        <f aca="false">IF($F324="","",IF($R324="Cancelada",0,IF(OR($AT324&lt;&gt;"",$R324="Concluída"),1,0)))</f>
        <v>0</v>
      </c>
      <c r="AC324" s="39" t="n">
        <f aca="false">IF($P324="",0,IF($P324&lt;Hoje!$L$1,1,IF(AND($P324=Hoje!$L$1,Hoje!$L$2&gt;Semana!$M$3),1,0)))</f>
        <v>0</v>
      </c>
      <c r="AD324" s="39" t="n">
        <f aca="false">IF($F324="","",IF(COUNTA($I324:$K324)=0,0,1/COUNTA($I324:$K324)))</f>
        <v>0</v>
      </c>
      <c r="AE324" s="39" t="str">
        <f aca="false">IF($AH324=0,"",SUM($AH$4:$AH324))</f>
        <v/>
      </c>
      <c r="AF324" s="39" t="str">
        <f aca="false">IF($AI324=0,"",SUM($AI$4:$AI324))</f>
        <v/>
      </c>
      <c r="AG324" s="50" t="str">
        <f aca="false">IF($F324="","",$I324&amp;IF($J324="",""," · "&amp;$J324)&amp;IF($K324="",""," · "&amp;$K324))</f>
        <v/>
      </c>
      <c r="AH324" s="39" t="n">
        <f aca="false">IF(AND($F324&lt;&gt;"",$O324&lt;&gt;"",$O324&lt;=Hoje!$C$3,$P324&gt;=Hoje!$C$3,$R324&lt;&gt;"Cancelada"),1,0)</f>
        <v>0</v>
      </c>
      <c r="AI324" s="39" t="n">
        <f aca="false">IF(AND($F324&lt;&gt;"",$P324&lt;&gt;"",$P324&lt;Hoje!$C$3,$AB324=0,$R324&lt;&gt;"Cancelada"),1,0)</f>
        <v>0</v>
      </c>
      <c r="AJ324" s="50" t="str">
        <f aca="false">IF($F324="","",$D324&amp;"|"&amp;$E324&amp;"|"&amp;$L324)</f>
        <v>F-972|Programação 09/09|</v>
      </c>
      <c r="AK324" s="39" t="n">
        <f aca="false">IF($AJ324="","",COUNTIF($AJ$4:$AJ324,$AJ324))</f>
        <v>21</v>
      </c>
      <c r="AL324" s="39" t="n">
        <f aca="false">IF($AJ324="","",COUNTIF($AJ$4:$AJ$1004,$AJ324))</f>
        <v>22</v>
      </c>
      <c r="AM324" s="42"/>
      <c r="AN324" s="50" t="str">
        <f aca="false">IF($D324="","",IFERROR(T(VLOOKUP($D324,Listas!$B$5:$H$120,7,0)),""))</f>
        <v>Petro</v>
      </c>
      <c r="AO324" s="50" t="str">
        <f aca="false">IF(OR($F324="",$L324&lt;&gt;"",$R324="Cancelada",$AT324&lt;&gt;""),"",$AN324&amp;"|"&amp;$D324&amp;"|"&amp;IF($C324="","zzz",$C324)&amp;"|"&amp;TEXT(324,"0000"))</f>
        <v>Petro|F-972|007460|0324</v>
      </c>
      <c r="AP324" s="50" t="n">
        <f aca="false">IF($AO324="","",COUNTIF($AO$5:$AO$1004,"&lt;"&amp;$AO324)-(ROWS($AO$5:$AO$1004)-Hoje!$L$5)+1)</f>
        <v>119</v>
      </c>
      <c r="AQ324" s="50" t="n">
        <f aca="false">IF(AND($F324&lt;&gt;"",$D324=Frota!$C$3),1,0)</f>
        <v>0</v>
      </c>
      <c r="AR324" s="50" t="str">
        <f aca="false">IF($AQ324=0,"",SUM($AQ$4:$AQ324))</f>
        <v/>
      </c>
      <c r="AS324" s="50" t="str">
        <f aca="false">IFERROR(INDEX(Hoje!$K$10:$K$29,MATCH(ROW(),Hoje!$J$10:$J$29,0)),"")</f>
        <v/>
      </c>
      <c r="AT324" s="50" t="str">
        <f aca="false">IF($Q324&lt;&gt;"",$Q324,$AS324)</f>
        <v/>
      </c>
    </row>
    <row r="325" customFormat="false" ht="16.5" hidden="false" customHeight="true" outlineLevel="0" collapsed="false">
      <c r="A325" s="39" t="n">
        <f aca="false">IF($F325="","",ROW())</f>
        <v>325</v>
      </c>
      <c r="B325" s="40" t="str">
        <f aca="false">IF($F325="",IF($D325="","","Falta a atividade"),IF($R325="Cancelada","Cancelada",IF($AB325=1,IF(N($Z325)&gt;0,"Concluída com atraso","Concluída"),IF($R325="Em programação","Em programação",IF($O325="",IF($M325="","Na carteira","Falta a semana"),IF($AC325=1,"VENCIDA",IF($O325&gt;Hoje!$L$1,"Programada",IF($P325&gt;Hoje!$L$1,"Em execução","Fecha hoje"))))))))</f>
        <v>Na carteira</v>
      </c>
      <c r="C325" s="41" t="s">
        <v>772</v>
      </c>
      <c r="D325" s="42" t="s">
        <v>652</v>
      </c>
      <c r="E325" s="42" t="s">
        <v>724</v>
      </c>
      <c r="F325" s="42" t="s">
        <v>773</v>
      </c>
      <c r="G325" s="43" t="s">
        <v>80</v>
      </c>
      <c r="H325" s="43" t="s">
        <v>100</v>
      </c>
      <c r="I325" s="44"/>
      <c r="J325" s="44"/>
      <c r="K325" s="44"/>
      <c r="L325" s="45"/>
      <c r="M325" s="46"/>
      <c r="N325" s="45"/>
      <c r="O325" s="47" t="str">
        <f aca="false">IF(OR($L325="",$M325=""),"",(DATE(Semana!$J$3,1,4)-WEEKDAY(DATE(Semana!$J$3,1,4),3))+($L325-1)*7+MATCH($M325,Listas!$F$5:$F$11,0)-1)</f>
        <v/>
      </c>
      <c r="P325" s="47" t="str">
        <f aca="false">IF(OR($F325="",$O325=""),"",$O325+MAX(0,ROUNDUP($AK325*MAX(1,IF($N325="",1,$N325))/MAX(1,$AL325),0)-1))</f>
        <v/>
      </c>
      <c r="Q325" s="48"/>
      <c r="R325" s="43"/>
      <c r="S325" s="49"/>
      <c r="T325" s="42"/>
      <c r="U325" s="42"/>
      <c r="V325" s="39" t="str">
        <f aca="false">IF($F325="","",IF(ISNUMBER(SEARCH("(externo)",$I325&amp;$J325&amp;$K325)),"Terceirizada","Interna"))</f>
        <v>Interna</v>
      </c>
      <c r="W325" s="47" t="str">
        <f aca="false">IF($O325="","",IF($S325="",$O325,(DATE(Semana!$J$3,1,4)-WEEKDAY(DATE(Semana!$J$3,1,4),3))+($S325-1)*7+IF($M325="",0,MATCH($M325,Listas!$F$5:$F$11,0)-1)))</f>
        <v/>
      </c>
      <c r="X325" s="39" t="n">
        <f aca="false">IF($F325="","",IF(OR($AT325="",$O325=""),0,IF($AT325&lt;=$O325,1,0)))</f>
        <v>0</v>
      </c>
      <c r="Y325" s="39" t="n">
        <f aca="false">IF($F325="","",IF(OR($AT325="",$W325=""),0,IF($AT325&lt;=$W325,1,0)))</f>
        <v>0</v>
      </c>
      <c r="Z325" s="39" t="str">
        <f aca="false">IF(OR($AT325="",$O325=""),"",MAX(0,$AT325-$O325))</f>
        <v/>
      </c>
      <c r="AA325" s="39" t="n">
        <f aca="false">IF($F325="","",IF(AND($S325&lt;&gt;"",$L325&lt;&gt;"",$S325&lt;&gt;$L325),1,0))</f>
        <v>0</v>
      </c>
      <c r="AB325" s="39" t="n">
        <f aca="false">IF($F325="","",IF($R325="Cancelada",0,IF(OR($AT325&lt;&gt;"",$R325="Concluída"),1,0)))</f>
        <v>0</v>
      </c>
      <c r="AC325" s="39" t="n">
        <f aca="false">IF($P325="",0,IF($P325&lt;Hoje!$L$1,1,IF(AND($P325=Hoje!$L$1,Hoje!$L$2&gt;Semana!$M$3),1,0)))</f>
        <v>0</v>
      </c>
      <c r="AD325" s="39" t="n">
        <f aca="false">IF($F325="","",IF(COUNTA($I325:$K325)=0,0,1/COUNTA($I325:$K325)))</f>
        <v>0</v>
      </c>
      <c r="AE325" s="39" t="str">
        <f aca="false">IF($AH325=0,"",SUM($AH$4:$AH325))</f>
        <v/>
      </c>
      <c r="AF325" s="39" t="str">
        <f aca="false">IF($AI325=0,"",SUM($AI$4:$AI325))</f>
        <v/>
      </c>
      <c r="AG325" s="50" t="str">
        <f aca="false">IF($F325="","",$I325&amp;IF($J325="",""," · "&amp;$J325)&amp;IF($K325="",""," · "&amp;$K325))</f>
        <v/>
      </c>
      <c r="AH325" s="39" t="n">
        <f aca="false">IF(AND($F325&lt;&gt;"",$O325&lt;&gt;"",$O325&lt;=Hoje!$C$3,$P325&gt;=Hoje!$C$3,$R325&lt;&gt;"Cancelada"),1,0)</f>
        <v>0</v>
      </c>
      <c r="AI325" s="39" t="n">
        <f aca="false">IF(AND($F325&lt;&gt;"",$P325&lt;&gt;"",$P325&lt;Hoje!$C$3,$AB325=0,$R325&lt;&gt;"Cancelada"),1,0)</f>
        <v>0</v>
      </c>
      <c r="AJ325" s="50" t="str">
        <f aca="false">IF($F325="","",$D325&amp;"|"&amp;$E325&amp;"|"&amp;$L325)</f>
        <v>F-972|Programação 09/09|</v>
      </c>
      <c r="AK325" s="39" t="n">
        <f aca="false">IF($AJ325="","",COUNTIF($AJ$4:$AJ325,$AJ325))</f>
        <v>22</v>
      </c>
      <c r="AL325" s="39" t="n">
        <f aca="false">IF($AJ325="","",COUNTIF($AJ$4:$AJ$1004,$AJ325))</f>
        <v>22</v>
      </c>
      <c r="AM325" s="42"/>
      <c r="AN325" s="50" t="str">
        <f aca="false">IF($D325="","",IFERROR(T(VLOOKUP($D325,Listas!$B$5:$H$120,7,0)),""))</f>
        <v>Petro</v>
      </c>
      <c r="AO325" s="50" t="str">
        <f aca="false">IF(OR($F325="",$L325&lt;&gt;"",$R325="Cancelada",$AT325&lt;&gt;""),"",$AN325&amp;"|"&amp;$D325&amp;"|"&amp;IF($C325="","zzz",$C325)&amp;"|"&amp;TEXT(325,"0000"))</f>
        <v>Petro|F-972|007461|0325</v>
      </c>
      <c r="AP325" s="50" t="n">
        <f aca="false">IF($AO325="","",COUNTIF($AO$5:$AO$1004,"&lt;"&amp;$AO325)-(ROWS($AO$5:$AO$1004)-Hoje!$L$5)+1)</f>
        <v>120</v>
      </c>
      <c r="AQ325" s="50" t="n">
        <f aca="false">IF(AND($F325&lt;&gt;"",$D325=Frota!$C$3),1,0)</f>
        <v>0</v>
      </c>
      <c r="AR325" s="50" t="str">
        <f aca="false">IF($AQ325=0,"",SUM($AQ$4:$AQ325))</f>
        <v/>
      </c>
      <c r="AS325" s="50" t="str">
        <f aca="false">IFERROR(INDEX(Hoje!$K$10:$K$29,MATCH(ROW(),Hoje!$J$10:$J$29,0)),"")</f>
        <v/>
      </c>
      <c r="AT325" s="50" t="str">
        <f aca="false">IF($Q325&lt;&gt;"",$Q325,$AS325)</f>
        <v/>
      </c>
    </row>
    <row r="326" customFormat="false" ht="16.5" hidden="false" customHeight="true" outlineLevel="0" collapsed="false">
      <c r="A326" s="39" t="n">
        <f aca="false">IF($F326="","",ROW())</f>
        <v>326</v>
      </c>
      <c r="B326" s="40" t="str">
        <f aca="false">IF($F326="",IF($D326="","","Falta a atividade"),IF($R326="Cancelada","Cancelada",IF($AB326=1,IF(N($Z326)&gt;0,"Concluída com atraso","Concluída"),IF($R326="Em programação","Em programação",IF($O326="",IF($M326="","Na carteira","Falta a semana"),IF($AC326=1,"VENCIDA",IF($O326&gt;Hoje!$L$1,"Programada",IF($P326&gt;Hoje!$L$1,"Em execução","Fecha hoje"))))))))</f>
        <v>Na carteira</v>
      </c>
      <c r="C326" s="41" t="s">
        <v>774</v>
      </c>
      <c r="D326" s="42" t="s">
        <v>591</v>
      </c>
      <c r="E326" s="42" t="s">
        <v>724</v>
      </c>
      <c r="F326" s="42" t="s">
        <v>775</v>
      </c>
      <c r="G326" s="43" t="s">
        <v>80</v>
      </c>
      <c r="H326" s="43" t="s">
        <v>100</v>
      </c>
      <c r="I326" s="44"/>
      <c r="J326" s="44"/>
      <c r="K326" s="44"/>
      <c r="L326" s="45"/>
      <c r="M326" s="46"/>
      <c r="N326" s="45"/>
      <c r="O326" s="47" t="str">
        <f aca="false">IF(OR($L326="",$M326=""),"",(DATE(Semana!$J$3,1,4)-WEEKDAY(DATE(Semana!$J$3,1,4),3))+($L326-1)*7+MATCH($M326,Listas!$F$5:$F$11,0)-1)</f>
        <v/>
      </c>
      <c r="P326" s="47" t="str">
        <f aca="false">IF(OR($F326="",$O326=""),"",$O326+MAX(0,ROUNDUP($AK326*MAX(1,IF($N326="",1,$N326))/MAX(1,$AL326),0)-1))</f>
        <v/>
      </c>
      <c r="Q326" s="48"/>
      <c r="R326" s="43"/>
      <c r="S326" s="49"/>
      <c r="T326" s="42"/>
      <c r="U326" s="42" t="s">
        <v>776</v>
      </c>
      <c r="V326" s="39" t="str">
        <f aca="false">IF($F326="","",IF(ISNUMBER(SEARCH("(externo)",$I326&amp;$J326&amp;$K326)),"Terceirizada","Interna"))</f>
        <v>Interna</v>
      </c>
      <c r="W326" s="47" t="str">
        <f aca="false">IF($O326="","",IF($S326="",$O326,(DATE(Semana!$J$3,1,4)-WEEKDAY(DATE(Semana!$J$3,1,4),3))+($S326-1)*7+IF($M326="",0,MATCH($M326,Listas!$F$5:$F$11,0)-1)))</f>
        <v/>
      </c>
      <c r="X326" s="39" t="n">
        <f aca="false">IF($F326="","",IF(OR($AT326="",$O326=""),0,IF($AT326&lt;=$O326,1,0)))</f>
        <v>0</v>
      </c>
      <c r="Y326" s="39" t="n">
        <f aca="false">IF($F326="","",IF(OR($AT326="",$W326=""),0,IF($AT326&lt;=$W326,1,0)))</f>
        <v>0</v>
      </c>
      <c r="Z326" s="39" t="str">
        <f aca="false">IF(OR($AT326="",$O326=""),"",MAX(0,$AT326-$O326))</f>
        <v/>
      </c>
      <c r="AA326" s="39" t="n">
        <f aca="false">IF($F326="","",IF(AND($S326&lt;&gt;"",$L326&lt;&gt;"",$S326&lt;&gt;$L326),1,0))</f>
        <v>0</v>
      </c>
      <c r="AB326" s="39" t="n">
        <f aca="false">IF($F326="","",IF($R326="Cancelada",0,IF(OR($AT326&lt;&gt;"",$R326="Concluída"),1,0)))</f>
        <v>0</v>
      </c>
      <c r="AC326" s="39" t="n">
        <f aca="false">IF($P326="",0,IF($P326&lt;Hoje!$L$1,1,IF(AND($P326=Hoje!$L$1,Hoje!$L$2&gt;Semana!$M$3),1,0)))</f>
        <v>0</v>
      </c>
      <c r="AD326" s="39" t="n">
        <f aca="false">IF($F326="","",IF(COUNTA($I326:$K326)=0,0,1/COUNTA($I326:$K326)))</f>
        <v>0</v>
      </c>
      <c r="AE326" s="39" t="str">
        <f aca="false">IF($AH326=0,"",SUM($AH$4:$AH326))</f>
        <v/>
      </c>
      <c r="AF326" s="39" t="str">
        <f aca="false">IF($AI326=0,"",SUM($AI$4:$AI326))</f>
        <v/>
      </c>
      <c r="AG326" s="50" t="str">
        <f aca="false">IF($F326="","",$I326&amp;IF($J326="",""," · "&amp;$J326)&amp;IF($K326="",""," · "&amp;$K326))</f>
        <v/>
      </c>
      <c r="AH326" s="39" t="n">
        <f aca="false">IF(AND($F326&lt;&gt;"",$O326&lt;&gt;"",$O326&lt;=Hoje!$C$3,$P326&gt;=Hoje!$C$3,$R326&lt;&gt;"Cancelada"),1,0)</f>
        <v>0</v>
      </c>
      <c r="AI326" s="39" t="n">
        <f aca="false">IF(AND($F326&lt;&gt;"",$P326&lt;&gt;"",$P326&lt;Hoje!$C$3,$AB326=0,$R326&lt;&gt;"Cancelada"),1,0)</f>
        <v>0</v>
      </c>
      <c r="AJ326" s="50" t="str">
        <f aca="false">IF($F326="","",$D326&amp;"|"&amp;$E326&amp;"|"&amp;$L326)</f>
        <v>F-968|Programação 09/09|</v>
      </c>
      <c r="AK326" s="39" t="n">
        <f aca="false">IF($AJ326="","",COUNTIF($AJ$4:$AJ326,$AJ326))</f>
        <v>1</v>
      </c>
      <c r="AL326" s="39" t="n">
        <f aca="false">IF($AJ326="","",COUNTIF($AJ$4:$AJ$1004,$AJ326))</f>
        <v>13</v>
      </c>
      <c r="AM326" s="42"/>
      <c r="AN326" s="50" t="str">
        <f aca="false">IF($D326="","",IFERROR(T(VLOOKUP($D326,Listas!$B$5:$H$120,7,0)),""))</f>
        <v>Petro</v>
      </c>
      <c r="AO326" s="50" t="str">
        <f aca="false">IF(OR($F326="",$L326&lt;&gt;"",$R326="Cancelada",$AT326&lt;&gt;""),"",$AN326&amp;"|"&amp;$D326&amp;"|"&amp;IF($C326="","zzz",$C326)&amp;"|"&amp;TEXT(326,"0000"))</f>
        <v>Petro|F-968|007462|0326</v>
      </c>
      <c r="AP326" s="50" t="n">
        <f aca="false">IF($AO326="","",COUNTIF($AO$5:$AO$1004,"&lt;"&amp;$AO326)-(ROWS($AO$5:$AO$1004)-Hoje!$L$5)+1)</f>
        <v>74</v>
      </c>
      <c r="AQ326" s="50" t="n">
        <f aca="false">IF(AND($F326&lt;&gt;"",$D326=Frota!$C$3),1,0)</f>
        <v>0</v>
      </c>
      <c r="AR326" s="50" t="str">
        <f aca="false">IF($AQ326=0,"",SUM($AQ$4:$AQ326))</f>
        <v/>
      </c>
      <c r="AS326" s="50" t="str">
        <f aca="false">IFERROR(INDEX(Hoje!$K$10:$K$29,MATCH(ROW(),Hoje!$J$10:$J$29,0)),"")</f>
        <v/>
      </c>
      <c r="AT326" s="50" t="str">
        <f aca="false">IF($Q326&lt;&gt;"",$Q326,$AS326)</f>
        <v/>
      </c>
    </row>
    <row r="327" customFormat="false" ht="16.5" hidden="false" customHeight="true" outlineLevel="0" collapsed="false">
      <c r="A327" s="39" t="n">
        <f aca="false">IF($F327="","",ROW())</f>
        <v>327</v>
      </c>
      <c r="B327" s="40" t="str">
        <f aca="false">IF($F327="",IF($D327="","","Falta a atividade"),IF($R327="Cancelada","Cancelada",IF($AB327=1,IF(N($Z327)&gt;0,"Concluída com atraso","Concluída"),IF($R327="Em programação","Em programação",IF($O327="",IF($M327="","Na carteira","Falta a semana"),IF($AC327=1,"VENCIDA",IF($O327&gt;Hoje!$L$1,"Programada",IF($P327&gt;Hoje!$L$1,"Em execução","Fecha hoje"))))))))</f>
        <v>Na carteira</v>
      </c>
      <c r="C327" s="41" t="s">
        <v>777</v>
      </c>
      <c r="D327" s="42" t="s">
        <v>591</v>
      </c>
      <c r="E327" s="42" t="s">
        <v>724</v>
      </c>
      <c r="F327" s="42" t="s">
        <v>778</v>
      </c>
      <c r="G327" s="43" t="s">
        <v>80</v>
      </c>
      <c r="H327" s="43" t="s">
        <v>100</v>
      </c>
      <c r="I327" s="44"/>
      <c r="J327" s="44"/>
      <c r="K327" s="44"/>
      <c r="L327" s="45"/>
      <c r="M327" s="46"/>
      <c r="N327" s="45"/>
      <c r="O327" s="47" t="str">
        <f aca="false">IF(OR($L327="",$M327=""),"",(DATE(Semana!$J$3,1,4)-WEEKDAY(DATE(Semana!$J$3,1,4),3))+($L327-1)*7+MATCH($M327,Listas!$F$5:$F$11,0)-1)</f>
        <v/>
      </c>
      <c r="P327" s="47" t="str">
        <f aca="false">IF(OR($F327="",$O327=""),"",$O327+MAX(0,ROUNDUP($AK327*MAX(1,IF($N327="",1,$N327))/MAX(1,$AL327),0)-1))</f>
        <v/>
      </c>
      <c r="Q327" s="48"/>
      <c r="R327" s="43"/>
      <c r="S327" s="49"/>
      <c r="T327" s="42"/>
      <c r="U327" s="42"/>
      <c r="V327" s="39" t="str">
        <f aca="false">IF($F327="","",IF(ISNUMBER(SEARCH("(externo)",$I327&amp;$J327&amp;$K327)),"Terceirizada","Interna"))</f>
        <v>Interna</v>
      </c>
      <c r="W327" s="47" t="str">
        <f aca="false">IF($O327="","",IF($S327="",$O327,(DATE(Semana!$J$3,1,4)-WEEKDAY(DATE(Semana!$J$3,1,4),3))+($S327-1)*7+IF($M327="",0,MATCH($M327,Listas!$F$5:$F$11,0)-1)))</f>
        <v/>
      </c>
      <c r="X327" s="39" t="n">
        <f aca="false">IF($F327="","",IF(OR($AT327="",$O327=""),0,IF($AT327&lt;=$O327,1,0)))</f>
        <v>0</v>
      </c>
      <c r="Y327" s="39" t="n">
        <f aca="false">IF($F327="","",IF(OR($AT327="",$W327=""),0,IF($AT327&lt;=$W327,1,0)))</f>
        <v>0</v>
      </c>
      <c r="Z327" s="39" t="str">
        <f aca="false">IF(OR($AT327="",$O327=""),"",MAX(0,$AT327-$O327))</f>
        <v/>
      </c>
      <c r="AA327" s="39" t="n">
        <f aca="false">IF($F327="","",IF(AND($S327&lt;&gt;"",$L327&lt;&gt;"",$S327&lt;&gt;$L327),1,0))</f>
        <v>0</v>
      </c>
      <c r="AB327" s="39" t="n">
        <f aca="false">IF($F327="","",IF($R327="Cancelada",0,IF(OR($AT327&lt;&gt;"",$R327="Concluída"),1,0)))</f>
        <v>0</v>
      </c>
      <c r="AC327" s="39" t="n">
        <f aca="false">IF($P327="",0,IF($P327&lt;Hoje!$L$1,1,IF(AND($P327=Hoje!$L$1,Hoje!$L$2&gt;Semana!$M$3),1,0)))</f>
        <v>0</v>
      </c>
      <c r="AD327" s="39" t="n">
        <f aca="false">IF($F327="","",IF(COUNTA($I327:$K327)=0,0,1/COUNTA($I327:$K327)))</f>
        <v>0</v>
      </c>
      <c r="AE327" s="39" t="str">
        <f aca="false">IF($AH327=0,"",SUM($AH$4:$AH327))</f>
        <v/>
      </c>
      <c r="AF327" s="39" t="str">
        <f aca="false">IF($AI327=0,"",SUM($AI$4:$AI327))</f>
        <v/>
      </c>
      <c r="AG327" s="50" t="str">
        <f aca="false">IF($F327="","",$I327&amp;IF($J327="",""," · "&amp;$J327)&amp;IF($K327="",""," · "&amp;$K327))</f>
        <v/>
      </c>
      <c r="AH327" s="39" t="n">
        <f aca="false">IF(AND($F327&lt;&gt;"",$O327&lt;&gt;"",$O327&lt;=Hoje!$C$3,$P327&gt;=Hoje!$C$3,$R327&lt;&gt;"Cancelada"),1,0)</f>
        <v>0</v>
      </c>
      <c r="AI327" s="39" t="n">
        <f aca="false">IF(AND($F327&lt;&gt;"",$P327&lt;&gt;"",$P327&lt;Hoje!$C$3,$AB327=0,$R327&lt;&gt;"Cancelada"),1,0)</f>
        <v>0</v>
      </c>
      <c r="AJ327" s="50" t="str">
        <f aca="false">IF($F327="","",$D327&amp;"|"&amp;$E327&amp;"|"&amp;$L327)</f>
        <v>F-968|Programação 09/09|</v>
      </c>
      <c r="AK327" s="39" t="n">
        <f aca="false">IF($AJ327="","",COUNTIF($AJ$4:$AJ327,$AJ327))</f>
        <v>2</v>
      </c>
      <c r="AL327" s="39" t="n">
        <f aca="false">IF($AJ327="","",COUNTIF($AJ$4:$AJ$1004,$AJ327))</f>
        <v>13</v>
      </c>
      <c r="AM327" s="42"/>
      <c r="AN327" s="50" t="str">
        <f aca="false">IF($D327="","",IFERROR(T(VLOOKUP($D327,Listas!$B$5:$H$120,7,0)),""))</f>
        <v>Petro</v>
      </c>
      <c r="AO327" s="50" t="str">
        <f aca="false">IF(OR($F327="",$L327&lt;&gt;"",$R327="Cancelada",$AT327&lt;&gt;""),"",$AN327&amp;"|"&amp;$D327&amp;"|"&amp;IF($C327="","zzz",$C327)&amp;"|"&amp;TEXT(327,"0000"))</f>
        <v>Petro|F-968|007463|0327</v>
      </c>
      <c r="AP327" s="50" t="n">
        <f aca="false">IF($AO327="","",COUNTIF($AO$5:$AO$1004,"&lt;"&amp;$AO327)-(ROWS($AO$5:$AO$1004)-Hoje!$L$5)+1)</f>
        <v>75</v>
      </c>
      <c r="AQ327" s="50" t="n">
        <f aca="false">IF(AND($F327&lt;&gt;"",$D327=Frota!$C$3),1,0)</f>
        <v>0</v>
      </c>
      <c r="AR327" s="50" t="str">
        <f aca="false">IF($AQ327=0,"",SUM($AQ$4:$AQ327))</f>
        <v/>
      </c>
      <c r="AS327" s="50" t="str">
        <f aca="false">IFERROR(INDEX(Hoje!$K$10:$K$29,MATCH(ROW(),Hoje!$J$10:$J$29,0)),"")</f>
        <v/>
      </c>
      <c r="AT327" s="50" t="str">
        <f aca="false">IF($Q327&lt;&gt;"",$Q327,$AS327)</f>
        <v/>
      </c>
    </row>
    <row r="328" customFormat="false" ht="16.5" hidden="false" customHeight="true" outlineLevel="0" collapsed="false">
      <c r="A328" s="39" t="n">
        <f aca="false">IF($F328="","",ROW())</f>
        <v>328</v>
      </c>
      <c r="B328" s="40" t="str">
        <f aca="false">IF($F328="",IF($D328="","","Falta a atividade"),IF($R328="Cancelada","Cancelada",IF($AB328=1,IF(N($Z328)&gt;0,"Concluída com atraso","Concluída"),IF($R328="Em programação","Em programação",IF($O328="",IF($M328="","Na carteira","Falta a semana"),IF($AC328=1,"VENCIDA",IF($O328&gt;Hoje!$L$1,"Programada",IF($P328&gt;Hoje!$L$1,"Em execução","Fecha hoje"))))))))</f>
        <v>Na carteira</v>
      </c>
      <c r="C328" s="41" t="s">
        <v>779</v>
      </c>
      <c r="D328" s="42" t="s">
        <v>591</v>
      </c>
      <c r="E328" s="42" t="s">
        <v>724</v>
      </c>
      <c r="F328" s="42" t="s">
        <v>780</v>
      </c>
      <c r="G328" s="43" t="s">
        <v>80</v>
      </c>
      <c r="H328" s="43" t="s">
        <v>100</v>
      </c>
      <c r="I328" s="44"/>
      <c r="J328" s="44"/>
      <c r="K328" s="44"/>
      <c r="L328" s="45"/>
      <c r="M328" s="46"/>
      <c r="N328" s="45"/>
      <c r="O328" s="47" t="str">
        <f aca="false">IF(OR($L328="",$M328=""),"",(DATE(Semana!$J$3,1,4)-WEEKDAY(DATE(Semana!$J$3,1,4),3))+($L328-1)*7+MATCH($M328,Listas!$F$5:$F$11,0)-1)</f>
        <v/>
      </c>
      <c r="P328" s="47" t="str">
        <f aca="false">IF(OR($F328="",$O328=""),"",$O328+MAX(0,ROUNDUP($AK328*MAX(1,IF($N328="",1,$N328))/MAX(1,$AL328),0)-1))</f>
        <v/>
      </c>
      <c r="Q328" s="48"/>
      <c r="R328" s="43"/>
      <c r="S328" s="49"/>
      <c r="T328" s="42"/>
      <c r="U328" s="42"/>
      <c r="V328" s="39" t="str">
        <f aca="false">IF($F328="","",IF(ISNUMBER(SEARCH("(externo)",$I328&amp;$J328&amp;$K328)),"Terceirizada","Interna"))</f>
        <v>Interna</v>
      </c>
      <c r="W328" s="47" t="str">
        <f aca="false">IF($O328="","",IF($S328="",$O328,(DATE(Semana!$J$3,1,4)-WEEKDAY(DATE(Semana!$J$3,1,4),3))+($S328-1)*7+IF($M328="",0,MATCH($M328,Listas!$F$5:$F$11,0)-1)))</f>
        <v/>
      </c>
      <c r="X328" s="39" t="n">
        <f aca="false">IF($F328="","",IF(OR($AT328="",$O328=""),0,IF($AT328&lt;=$O328,1,0)))</f>
        <v>0</v>
      </c>
      <c r="Y328" s="39" t="n">
        <f aca="false">IF($F328="","",IF(OR($AT328="",$W328=""),0,IF($AT328&lt;=$W328,1,0)))</f>
        <v>0</v>
      </c>
      <c r="Z328" s="39" t="str">
        <f aca="false">IF(OR($AT328="",$O328=""),"",MAX(0,$AT328-$O328))</f>
        <v/>
      </c>
      <c r="AA328" s="39" t="n">
        <f aca="false">IF($F328="","",IF(AND($S328&lt;&gt;"",$L328&lt;&gt;"",$S328&lt;&gt;$L328),1,0))</f>
        <v>0</v>
      </c>
      <c r="AB328" s="39" t="n">
        <f aca="false">IF($F328="","",IF($R328="Cancelada",0,IF(OR($AT328&lt;&gt;"",$R328="Concluída"),1,0)))</f>
        <v>0</v>
      </c>
      <c r="AC328" s="39" t="n">
        <f aca="false">IF($P328="",0,IF($P328&lt;Hoje!$L$1,1,IF(AND($P328=Hoje!$L$1,Hoje!$L$2&gt;Semana!$M$3),1,0)))</f>
        <v>0</v>
      </c>
      <c r="AD328" s="39" t="n">
        <f aca="false">IF($F328="","",IF(COUNTA($I328:$K328)=0,0,1/COUNTA($I328:$K328)))</f>
        <v>0</v>
      </c>
      <c r="AE328" s="39" t="str">
        <f aca="false">IF($AH328=0,"",SUM($AH$4:$AH328))</f>
        <v/>
      </c>
      <c r="AF328" s="39" t="str">
        <f aca="false">IF($AI328=0,"",SUM($AI$4:$AI328))</f>
        <v/>
      </c>
      <c r="AG328" s="50" t="str">
        <f aca="false">IF($F328="","",$I328&amp;IF($J328="",""," · "&amp;$J328)&amp;IF($K328="",""," · "&amp;$K328))</f>
        <v/>
      </c>
      <c r="AH328" s="39" t="n">
        <f aca="false">IF(AND($F328&lt;&gt;"",$O328&lt;&gt;"",$O328&lt;=Hoje!$C$3,$P328&gt;=Hoje!$C$3,$R328&lt;&gt;"Cancelada"),1,0)</f>
        <v>0</v>
      </c>
      <c r="AI328" s="39" t="n">
        <f aca="false">IF(AND($F328&lt;&gt;"",$P328&lt;&gt;"",$P328&lt;Hoje!$C$3,$AB328=0,$R328&lt;&gt;"Cancelada"),1,0)</f>
        <v>0</v>
      </c>
      <c r="AJ328" s="50" t="str">
        <f aca="false">IF($F328="","",$D328&amp;"|"&amp;$E328&amp;"|"&amp;$L328)</f>
        <v>F-968|Programação 09/09|</v>
      </c>
      <c r="AK328" s="39" t="n">
        <f aca="false">IF($AJ328="","",COUNTIF($AJ$4:$AJ328,$AJ328))</f>
        <v>3</v>
      </c>
      <c r="AL328" s="39" t="n">
        <f aca="false">IF($AJ328="","",COUNTIF($AJ$4:$AJ$1004,$AJ328))</f>
        <v>13</v>
      </c>
      <c r="AM328" s="42"/>
      <c r="AN328" s="50" t="str">
        <f aca="false">IF($D328="","",IFERROR(T(VLOOKUP($D328,Listas!$B$5:$H$120,7,0)),""))</f>
        <v>Petro</v>
      </c>
      <c r="AO328" s="50" t="str">
        <f aca="false">IF(OR($F328="",$L328&lt;&gt;"",$R328="Cancelada",$AT328&lt;&gt;""),"",$AN328&amp;"|"&amp;$D328&amp;"|"&amp;IF($C328="","zzz",$C328)&amp;"|"&amp;TEXT(328,"0000"))</f>
        <v>Petro|F-968|007464|0328</v>
      </c>
      <c r="AP328" s="50" t="n">
        <f aca="false">IF($AO328="","",COUNTIF($AO$5:$AO$1004,"&lt;"&amp;$AO328)-(ROWS($AO$5:$AO$1004)-Hoje!$L$5)+1)</f>
        <v>76</v>
      </c>
      <c r="AQ328" s="50" t="n">
        <f aca="false">IF(AND($F328&lt;&gt;"",$D328=Frota!$C$3),1,0)</f>
        <v>0</v>
      </c>
      <c r="AR328" s="50" t="str">
        <f aca="false">IF($AQ328=0,"",SUM($AQ$4:$AQ328))</f>
        <v/>
      </c>
      <c r="AS328" s="50" t="str">
        <f aca="false">IFERROR(INDEX(Hoje!$K$10:$K$29,MATCH(ROW(),Hoje!$J$10:$J$29,0)),"")</f>
        <v/>
      </c>
      <c r="AT328" s="50" t="str">
        <f aca="false">IF($Q328&lt;&gt;"",$Q328,$AS328)</f>
        <v/>
      </c>
    </row>
    <row r="329" customFormat="false" ht="16.5" hidden="false" customHeight="true" outlineLevel="0" collapsed="false">
      <c r="A329" s="39" t="n">
        <f aca="false">IF($F329="","",ROW())</f>
        <v>329</v>
      </c>
      <c r="B329" s="40" t="str">
        <f aca="false">IF($F329="",IF($D329="","","Falta a atividade"),IF($R329="Cancelada","Cancelada",IF($AB329=1,IF(N($Z329)&gt;0,"Concluída com atraso","Concluída"),IF($R329="Em programação","Em programação",IF($O329="",IF($M329="","Na carteira","Falta a semana"),IF($AC329=1,"VENCIDA",IF($O329&gt;Hoje!$L$1,"Programada",IF($P329&gt;Hoje!$L$1,"Em execução","Fecha hoje"))))))))</f>
        <v>Na carteira</v>
      </c>
      <c r="C329" s="41" t="s">
        <v>781</v>
      </c>
      <c r="D329" s="42" t="s">
        <v>591</v>
      </c>
      <c r="E329" s="42" t="s">
        <v>724</v>
      </c>
      <c r="F329" s="42" t="s">
        <v>782</v>
      </c>
      <c r="G329" s="43" t="s">
        <v>80</v>
      </c>
      <c r="H329" s="43" t="s">
        <v>100</v>
      </c>
      <c r="I329" s="44"/>
      <c r="J329" s="44"/>
      <c r="K329" s="44"/>
      <c r="L329" s="45"/>
      <c r="M329" s="46"/>
      <c r="N329" s="45"/>
      <c r="O329" s="47" t="str">
        <f aca="false">IF(OR($L329="",$M329=""),"",(DATE(Semana!$J$3,1,4)-WEEKDAY(DATE(Semana!$J$3,1,4),3))+($L329-1)*7+MATCH($M329,Listas!$F$5:$F$11,0)-1)</f>
        <v/>
      </c>
      <c r="P329" s="47" t="str">
        <f aca="false">IF(OR($F329="",$O329=""),"",$O329+MAX(0,ROUNDUP($AK329*MAX(1,IF($N329="",1,$N329))/MAX(1,$AL329),0)-1))</f>
        <v/>
      </c>
      <c r="Q329" s="48"/>
      <c r="R329" s="43"/>
      <c r="S329" s="49"/>
      <c r="T329" s="42"/>
      <c r="U329" s="42"/>
      <c r="V329" s="39" t="str">
        <f aca="false">IF($F329="","",IF(ISNUMBER(SEARCH("(externo)",$I329&amp;$J329&amp;$K329)),"Terceirizada","Interna"))</f>
        <v>Interna</v>
      </c>
      <c r="W329" s="47" t="str">
        <f aca="false">IF($O329="","",IF($S329="",$O329,(DATE(Semana!$J$3,1,4)-WEEKDAY(DATE(Semana!$J$3,1,4),3))+($S329-1)*7+IF($M329="",0,MATCH($M329,Listas!$F$5:$F$11,0)-1)))</f>
        <v/>
      </c>
      <c r="X329" s="39" t="n">
        <f aca="false">IF($F329="","",IF(OR($AT329="",$O329=""),0,IF($AT329&lt;=$O329,1,0)))</f>
        <v>0</v>
      </c>
      <c r="Y329" s="39" t="n">
        <f aca="false">IF($F329="","",IF(OR($AT329="",$W329=""),0,IF($AT329&lt;=$W329,1,0)))</f>
        <v>0</v>
      </c>
      <c r="Z329" s="39" t="str">
        <f aca="false">IF(OR($AT329="",$O329=""),"",MAX(0,$AT329-$O329))</f>
        <v/>
      </c>
      <c r="AA329" s="39" t="n">
        <f aca="false">IF($F329="","",IF(AND($S329&lt;&gt;"",$L329&lt;&gt;"",$S329&lt;&gt;$L329),1,0))</f>
        <v>0</v>
      </c>
      <c r="AB329" s="39" t="n">
        <f aca="false">IF($F329="","",IF($R329="Cancelada",0,IF(OR($AT329&lt;&gt;"",$R329="Concluída"),1,0)))</f>
        <v>0</v>
      </c>
      <c r="AC329" s="39" t="n">
        <f aca="false">IF($P329="",0,IF($P329&lt;Hoje!$L$1,1,IF(AND($P329=Hoje!$L$1,Hoje!$L$2&gt;Semana!$M$3),1,0)))</f>
        <v>0</v>
      </c>
      <c r="AD329" s="39" t="n">
        <f aca="false">IF($F329="","",IF(COUNTA($I329:$K329)=0,0,1/COUNTA($I329:$K329)))</f>
        <v>0</v>
      </c>
      <c r="AE329" s="39" t="str">
        <f aca="false">IF($AH329=0,"",SUM($AH$4:$AH329))</f>
        <v/>
      </c>
      <c r="AF329" s="39" t="str">
        <f aca="false">IF($AI329=0,"",SUM($AI$4:$AI329))</f>
        <v/>
      </c>
      <c r="AG329" s="50" t="str">
        <f aca="false">IF($F329="","",$I329&amp;IF($J329="",""," · "&amp;$J329)&amp;IF($K329="",""," · "&amp;$K329))</f>
        <v/>
      </c>
      <c r="AH329" s="39" t="n">
        <f aca="false">IF(AND($F329&lt;&gt;"",$O329&lt;&gt;"",$O329&lt;=Hoje!$C$3,$P329&gt;=Hoje!$C$3,$R329&lt;&gt;"Cancelada"),1,0)</f>
        <v>0</v>
      </c>
      <c r="AI329" s="39" t="n">
        <f aca="false">IF(AND($F329&lt;&gt;"",$P329&lt;&gt;"",$P329&lt;Hoje!$C$3,$AB329=0,$R329&lt;&gt;"Cancelada"),1,0)</f>
        <v>0</v>
      </c>
      <c r="AJ329" s="50" t="str">
        <f aca="false">IF($F329="","",$D329&amp;"|"&amp;$E329&amp;"|"&amp;$L329)</f>
        <v>F-968|Programação 09/09|</v>
      </c>
      <c r="AK329" s="39" t="n">
        <f aca="false">IF($AJ329="","",COUNTIF($AJ$4:$AJ329,$AJ329))</f>
        <v>4</v>
      </c>
      <c r="AL329" s="39" t="n">
        <f aca="false">IF($AJ329="","",COUNTIF($AJ$4:$AJ$1004,$AJ329))</f>
        <v>13</v>
      </c>
      <c r="AM329" s="42"/>
      <c r="AN329" s="50" t="str">
        <f aca="false">IF($D329="","",IFERROR(T(VLOOKUP($D329,Listas!$B$5:$H$120,7,0)),""))</f>
        <v>Petro</v>
      </c>
      <c r="AO329" s="50" t="str">
        <f aca="false">IF(OR($F329="",$L329&lt;&gt;"",$R329="Cancelada",$AT329&lt;&gt;""),"",$AN329&amp;"|"&amp;$D329&amp;"|"&amp;IF($C329="","zzz",$C329)&amp;"|"&amp;TEXT(329,"0000"))</f>
        <v>Petro|F-968|007465|0329</v>
      </c>
      <c r="AP329" s="50" t="n">
        <f aca="false">IF($AO329="","",COUNTIF($AO$5:$AO$1004,"&lt;"&amp;$AO329)-(ROWS($AO$5:$AO$1004)-Hoje!$L$5)+1)</f>
        <v>77</v>
      </c>
      <c r="AQ329" s="50" t="n">
        <f aca="false">IF(AND($F329&lt;&gt;"",$D329=Frota!$C$3),1,0)</f>
        <v>0</v>
      </c>
      <c r="AR329" s="50" t="str">
        <f aca="false">IF($AQ329=0,"",SUM($AQ$4:$AQ329))</f>
        <v/>
      </c>
      <c r="AS329" s="50" t="str">
        <f aca="false">IFERROR(INDEX(Hoje!$K$10:$K$29,MATCH(ROW(),Hoje!$J$10:$J$29,0)),"")</f>
        <v/>
      </c>
      <c r="AT329" s="50" t="str">
        <f aca="false">IF($Q329&lt;&gt;"",$Q329,$AS329)</f>
        <v/>
      </c>
    </row>
    <row r="330" customFormat="false" ht="16.5" hidden="false" customHeight="true" outlineLevel="0" collapsed="false">
      <c r="A330" s="39" t="n">
        <f aca="false">IF($F330="","",ROW())</f>
        <v>330</v>
      </c>
      <c r="B330" s="40" t="str">
        <f aca="false">IF($F330="",IF($D330="","","Falta a atividade"),IF($R330="Cancelada","Cancelada",IF($AB330=1,IF(N($Z330)&gt;0,"Concluída com atraso","Concluída"),IF($R330="Em programação","Em programação",IF($O330="",IF($M330="","Na carteira","Falta a semana"),IF($AC330=1,"VENCIDA",IF($O330&gt;Hoje!$L$1,"Programada",IF($P330&gt;Hoje!$L$1,"Em execução","Fecha hoje"))))))))</f>
        <v>Na carteira</v>
      </c>
      <c r="C330" s="41" t="s">
        <v>783</v>
      </c>
      <c r="D330" s="42" t="s">
        <v>591</v>
      </c>
      <c r="E330" s="42" t="s">
        <v>724</v>
      </c>
      <c r="F330" s="42" t="s">
        <v>784</v>
      </c>
      <c r="G330" s="43" t="s">
        <v>80</v>
      </c>
      <c r="H330" s="43" t="s">
        <v>100</v>
      </c>
      <c r="I330" s="44"/>
      <c r="J330" s="44"/>
      <c r="K330" s="44"/>
      <c r="L330" s="45"/>
      <c r="M330" s="46"/>
      <c r="N330" s="45"/>
      <c r="O330" s="47" t="str">
        <f aca="false">IF(OR($L330="",$M330=""),"",(DATE(Semana!$J$3,1,4)-WEEKDAY(DATE(Semana!$J$3,1,4),3))+($L330-1)*7+MATCH($M330,Listas!$F$5:$F$11,0)-1)</f>
        <v/>
      </c>
      <c r="P330" s="47" t="str">
        <f aca="false">IF(OR($F330="",$O330=""),"",$O330+MAX(0,ROUNDUP($AK330*MAX(1,IF($N330="",1,$N330))/MAX(1,$AL330),0)-1))</f>
        <v/>
      </c>
      <c r="Q330" s="48"/>
      <c r="R330" s="43"/>
      <c r="S330" s="49"/>
      <c r="T330" s="42"/>
      <c r="U330" s="42"/>
      <c r="V330" s="39" t="str">
        <f aca="false">IF($F330="","",IF(ISNUMBER(SEARCH("(externo)",$I330&amp;$J330&amp;$K330)),"Terceirizada","Interna"))</f>
        <v>Interna</v>
      </c>
      <c r="W330" s="47" t="str">
        <f aca="false">IF($O330="","",IF($S330="",$O330,(DATE(Semana!$J$3,1,4)-WEEKDAY(DATE(Semana!$J$3,1,4),3))+($S330-1)*7+IF($M330="",0,MATCH($M330,Listas!$F$5:$F$11,0)-1)))</f>
        <v/>
      </c>
      <c r="X330" s="39" t="n">
        <f aca="false">IF($F330="","",IF(OR($AT330="",$O330=""),0,IF($AT330&lt;=$O330,1,0)))</f>
        <v>0</v>
      </c>
      <c r="Y330" s="39" t="n">
        <f aca="false">IF($F330="","",IF(OR($AT330="",$W330=""),0,IF($AT330&lt;=$W330,1,0)))</f>
        <v>0</v>
      </c>
      <c r="Z330" s="39" t="str">
        <f aca="false">IF(OR($AT330="",$O330=""),"",MAX(0,$AT330-$O330))</f>
        <v/>
      </c>
      <c r="AA330" s="39" t="n">
        <f aca="false">IF($F330="","",IF(AND($S330&lt;&gt;"",$L330&lt;&gt;"",$S330&lt;&gt;$L330),1,0))</f>
        <v>0</v>
      </c>
      <c r="AB330" s="39" t="n">
        <f aca="false">IF($F330="","",IF($R330="Cancelada",0,IF(OR($AT330&lt;&gt;"",$R330="Concluída"),1,0)))</f>
        <v>0</v>
      </c>
      <c r="AC330" s="39" t="n">
        <f aca="false">IF($P330="",0,IF($P330&lt;Hoje!$L$1,1,IF(AND($P330=Hoje!$L$1,Hoje!$L$2&gt;Semana!$M$3),1,0)))</f>
        <v>0</v>
      </c>
      <c r="AD330" s="39" t="n">
        <f aca="false">IF($F330="","",IF(COUNTA($I330:$K330)=0,0,1/COUNTA($I330:$K330)))</f>
        <v>0</v>
      </c>
      <c r="AE330" s="39" t="str">
        <f aca="false">IF($AH330=0,"",SUM($AH$4:$AH330))</f>
        <v/>
      </c>
      <c r="AF330" s="39" t="str">
        <f aca="false">IF($AI330=0,"",SUM($AI$4:$AI330))</f>
        <v/>
      </c>
      <c r="AG330" s="50" t="str">
        <f aca="false">IF($F330="","",$I330&amp;IF($J330="",""," · "&amp;$J330)&amp;IF($K330="",""," · "&amp;$K330))</f>
        <v/>
      </c>
      <c r="AH330" s="39" t="n">
        <f aca="false">IF(AND($F330&lt;&gt;"",$O330&lt;&gt;"",$O330&lt;=Hoje!$C$3,$P330&gt;=Hoje!$C$3,$R330&lt;&gt;"Cancelada"),1,0)</f>
        <v>0</v>
      </c>
      <c r="AI330" s="39" t="n">
        <f aca="false">IF(AND($F330&lt;&gt;"",$P330&lt;&gt;"",$P330&lt;Hoje!$C$3,$AB330=0,$R330&lt;&gt;"Cancelada"),1,0)</f>
        <v>0</v>
      </c>
      <c r="AJ330" s="50" t="str">
        <f aca="false">IF($F330="","",$D330&amp;"|"&amp;$E330&amp;"|"&amp;$L330)</f>
        <v>F-968|Programação 09/09|</v>
      </c>
      <c r="AK330" s="39" t="n">
        <f aca="false">IF($AJ330="","",COUNTIF($AJ$4:$AJ330,$AJ330))</f>
        <v>5</v>
      </c>
      <c r="AL330" s="39" t="n">
        <f aca="false">IF($AJ330="","",COUNTIF($AJ$4:$AJ$1004,$AJ330))</f>
        <v>13</v>
      </c>
      <c r="AM330" s="42"/>
      <c r="AN330" s="50" t="str">
        <f aca="false">IF($D330="","",IFERROR(T(VLOOKUP($D330,Listas!$B$5:$H$120,7,0)),""))</f>
        <v>Petro</v>
      </c>
      <c r="AO330" s="50" t="str">
        <f aca="false">IF(OR($F330="",$L330&lt;&gt;"",$R330="Cancelada",$AT330&lt;&gt;""),"",$AN330&amp;"|"&amp;$D330&amp;"|"&amp;IF($C330="","zzz",$C330)&amp;"|"&amp;TEXT(330,"0000"))</f>
        <v>Petro|F-968|007466|0330</v>
      </c>
      <c r="AP330" s="50" t="n">
        <f aca="false">IF($AO330="","",COUNTIF($AO$5:$AO$1004,"&lt;"&amp;$AO330)-(ROWS($AO$5:$AO$1004)-Hoje!$L$5)+1)</f>
        <v>78</v>
      </c>
      <c r="AQ330" s="50" t="n">
        <f aca="false">IF(AND($F330&lt;&gt;"",$D330=Frota!$C$3),1,0)</f>
        <v>0</v>
      </c>
      <c r="AR330" s="50" t="str">
        <f aca="false">IF($AQ330=0,"",SUM($AQ$4:$AQ330))</f>
        <v/>
      </c>
      <c r="AS330" s="50" t="str">
        <f aca="false">IFERROR(INDEX(Hoje!$K$10:$K$29,MATCH(ROW(),Hoje!$J$10:$J$29,0)),"")</f>
        <v/>
      </c>
      <c r="AT330" s="50" t="str">
        <f aca="false">IF($Q330&lt;&gt;"",$Q330,$AS330)</f>
        <v/>
      </c>
    </row>
    <row r="331" customFormat="false" ht="16.5" hidden="false" customHeight="true" outlineLevel="0" collapsed="false">
      <c r="A331" s="39" t="n">
        <f aca="false">IF($F331="","",ROW())</f>
        <v>331</v>
      </c>
      <c r="B331" s="40" t="str">
        <f aca="false">IF($F331="",IF($D331="","","Falta a atividade"),IF($R331="Cancelada","Cancelada",IF($AB331=1,IF(N($Z331)&gt;0,"Concluída com atraso","Concluída"),IF($R331="Em programação","Em programação",IF($O331="",IF($M331="","Na carteira","Falta a semana"),IF($AC331=1,"VENCIDA",IF($O331&gt;Hoje!$L$1,"Programada",IF($P331&gt;Hoje!$L$1,"Em execução","Fecha hoje"))))))))</f>
        <v>Na carteira</v>
      </c>
      <c r="C331" s="41" t="s">
        <v>785</v>
      </c>
      <c r="D331" s="42" t="s">
        <v>591</v>
      </c>
      <c r="E331" s="42" t="s">
        <v>724</v>
      </c>
      <c r="F331" s="42" t="s">
        <v>786</v>
      </c>
      <c r="G331" s="43" t="s">
        <v>80</v>
      </c>
      <c r="H331" s="43" t="s">
        <v>100</v>
      </c>
      <c r="I331" s="44"/>
      <c r="J331" s="44"/>
      <c r="K331" s="44"/>
      <c r="L331" s="45"/>
      <c r="M331" s="46"/>
      <c r="N331" s="45"/>
      <c r="O331" s="47" t="str">
        <f aca="false">IF(OR($L331="",$M331=""),"",(DATE(Semana!$J$3,1,4)-WEEKDAY(DATE(Semana!$J$3,1,4),3))+($L331-1)*7+MATCH($M331,Listas!$F$5:$F$11,0)-1)</f>
        <v/>
      </c>
      <c r="P331" s="47" t="str">
        <f aca="false">IF(OR($F331="",$O331=""),"",$O331+MAX(0,ROUNDUP($AK331*MAX(1,IF($N331="",1,$N331))/MAX(1,$AL331),0)-1))</f>
        <v/>
      </c>
      <c r="Q331" s="48"/>
      <c r="R331" s="43"/>
      <c r="S331" s="49"/>
      <c r="T331" s="42"/>
      <c r="U331" s="42"/>
      <c r="V331" s="39" t="str">
        <f aca="false">IF($F331="","",IF(ISNUMBER(SEARCH("(externo)",$I331&amp;$J331&amp;$K331)),"Terceirizada","Interna"))</f>
        <v>Interna</v>
      </c>
      <c r="W331" s="47" t="str">
        <f aca="false">IF($O331="","",IF($S331="",$O331,(DATE(Semana!$J$3,1,4)-WEEKDAY(DATE(Semana!$J$3,1,4),3))+($S331-1)*7+IF($M331="",0,MATCH($M331,Listas!$F$5:$F$11,0)-1)))</f>
        <v/>
      </c>
      <c r="X331" s="39" t="n">
        <f aca="false">IF($F331="","",IF(OR($AT331="",$O331=""),0,IF($AT331&lt;=$O331,1,0)))</f>
        <v>0</v>
      </c>
      <c r="Y331" s="39" t="n">
        <f aca="false">IF($F331="","",IF(OR($AT331="",$W331=""),0,IF($AT331&lt;=$W331,1,0)))</f>
        <v>0</v>
      </c>
      <c r="Z331" s="39" t="str">
        <f aca="false">IF(OR($AT331="",$O331=""),"",MAX(0,$AT331-$O331))</f>
        <v/>
      </c>
      <c r="AA331" s="39" t="n">
        <f aca="false">IF($F331="","",IF(AND($S331&lt;&gt;"",$L331&lt;&gt;"",$S331&lt;&gt;$L331),1,0))</f>
        <v>0</v>
      </c>
      <c r="AB331" s="39" t="n">
        <f aca="false">IF($F331="","",IF($R331="Cancelada",0,IF(OR($AT331&lt;&gt;"",$R331="Concluída"),1,0)))</f>
        <v>0</v>
      </c>
      <c r="AC331" s="39" t="n">
        <f aca="false">IF($P331="",0,IF($P331&lt;Hoje!$L$1,1,IF(AND($P331=Hoje!$L$1,Hoje!$L$2&gt;Semana!$M$3),1,0)))</f>
        <v>0</v>
      </c>
      <c r="AD331" s="39" t="n">
        <f aca="false">IF($F331="","",IF(COUNTA($I331:$K331)=0,0,1/COUNTA($I331:$K331)))</f>
        <v>0</v>
      </c>
      <c r="AE331" s="39" t="str">
        <f aca="false">IF($AH331=0,"",SUM($AH$4:$AH331))</f>
        <v/>
      </c>
      <c r="AF331" s="39" t="str">
        <f aca="false">IF($AI331=0,"",SUM($AI$4:$AI331))</f>
        <v/>
      </c>
      <c r="AG331" s="50" t="str">
        <f aca="false">IF($F331="","",$I331&amp;IF($J331="",""," · "&amp;$J331)&amp;IF($K331="",""," · "&amp;$K331))</f>
        <v/>
      </c>
      <c r="AH331" s="39" t="n">
        <f aca="false">IF(AND($F331&lt;&gt;"",$O331&lt;&gt;"",$O331&lt;=Hoje!$C$3,$P331&gt;=Hoje!$C$3,$R331&lt;&gt;"Cancelada"),1,0)</f>
        <v>0</v>
      </c>
      <c r="AI331" s="39" t="n">
        <f aca="false">IF(AND($F331&lt;&gt;"",$P331&lt;&gt;"",$P331&lt;Hoje!$C$3,$AB331=0,$R331&lt;&gt;"Cancelada"),1,0)</f>
        <v>0</v>
      </c>
      <c r="AJ331" s="50" t="str">
        <f aca="false">IF($F331="","",$D331&amp;"|"&amp;$E331&amp;"|"&amp;$L331)</f>
        <v>F-968|Programação 09/09|</v>
      </c>
      <c r="AK331" s="39" t="n">
        <f aca="false">IF($AJ331="","",COUNTIF($AJ$4:$AJ331,$AJ331))</f>
        <v>6</v>
      </c>
      <c r="AL331" s="39" t="n">
        <f aca="false">IF($AJ331="","",COUNTIF($AJ$4:$AJ$1004,$AJ331))</f>
        <v>13</v>
      </c>
      <c r="AM331" s="42"/>
      <c r="AN331" s="50" t="str">
        <f aca="false">IF($D331="","",IFERROR(T(VLOOKUP($D331,Listas!$B$5:$H$120,7,0)),""))</f>
        <v>Petro</v>
      </c>
      <c r="AO331" s="50" t="str">
        <f aca="false">IF(OR($F331="",$L331&lt;&gt;"",$R331="Cancelada",$AT331&lt;&gt;""),"",$AN331&amp;"|"&amp;$D331&amp;"|"&amp;IF($C331="","zzz",$C331)&amp;"|"&amp;TEXT(331,"0000"))</f>
        <v>Petro|F-968|007467|0331</v>
      </c>
      <c r="AP331" s="50" t="n">
        <f aca="false">IF($AO331="","",COUNTIF($AO$5:$AO$1004,"&lt;"&amp;$AO331)-(ROWS($AO$5:$AO$1004)-Hoje!$L$5)+1)</f>
        <v>79</v>
      </c>
      <c r="AQ331" s="50" t="n">
        <f aca="false">IF(AND($F331&lt;&gt;"",$D331=Frota!$C$3),1,0)</f>
        <v>0</v>
      </c>
      <c r="AR331" s="50" t="str">
        <f aca="false">IF($AQ331=0,"",SUM($AQ$4:$AQ331))</f>
        <v/>
      </c>
      <c r="AS331" s="50" t="str">
        <f aca="false">IFERROR(INDEX(Hoje!$K$10:$K$29,MATCH(ROW(),Hoje!$J$10:$J$29,0)),"")</f>
        <v/>
      </c>
      <c r="AT331" s="50" t="str">
        <f aca="false">IF($Q331&lt;&gt;"",$Q331,$AS331)</f>
        <v/>
      </c>
    </row>
    <row r="332" customFormat="false" ht="16.5" hidden="false" customHeight="true" outlineLevel="0" collapsed="false">
      <c r="A332" s="39" t="n">
        <f aca="false">IF($F332="","",ROW())</f>
        <v>332</v>
      </c>
      <c r="B332" s="40" t="str">
        <f aca="false">IF($F332="",IF($D332="","","Falta a atividade"),IF($R332="Cancelada","Cancelada",IF($AB332=1,IF(N($Z332)&gt;0,"Concluída com atraso","Concluída"),IF($R332="Em programação","Em programação",IF($O332="",IF($M332="","Na carteira","Falta a semana"),IF($AC332=1,"VENCIDA",IF($O332&gt;Hoje!$L$1,"Programada",IF($P332&gt;Hoje!$L$1,"Em execução","Fecha hoje"))))))))</f>
        <v>Na carteira</v>
      </c>
      <c r="C332" s="41" t="s">
        <v>787</v>
      </c>
      <c r="D332" s="42" t="s">
        <v>591</v>
      </c>
      <c r="E332" s="42" t="s">
        <v>724</v>
      </c>
      <c r="F332" s="42" t="s">
        <v>788</v>
      </c>
      <c r="G332" s="43" t="s">
        <v>80</v>
      </c>
      <c r="H332" s="43" t="s">
        <v>100</v>
      </c>
      <c r="I332" s="44"/>
      <c r="J332" s="44"/>
      <c r="K332" s="44"/>
      <c r="L332" s="45"/>
      <c r="M332" s="46"/>
      <c r="N332" s="45"/>
      <c r="O332" s="47" t="str">
        <f aca="false">IF(OR($L332="",$M332=""),"",(DATE(Semana!$J$3,1,4)-WEEKDAY(DATE(Semana!$J$3,1,4),3))+($L332-1)*7+MATCH($M332,Listas!$F$5:$F$11,0)-1)</f>
        <v/>
      </c>
      <c r="P332" s="47" t="str">
        <f aca="false">IF(OR($F332="",$O332=""),"",$O332+MAX(0,ROUNDUP($AK332*MAX(1,IF($N332="",1,$N332))/MAX(1,$AL332),0)-1))</f>
        <v/>
      </c>
      <c r="Q332" s="48"/>
      <c r="R332" s="43"/>
      <c r="S332" s="49"/>
      <c r="T332" s="42"/>
      <c r="U332" s="42" t="s">
        <v>789</v>
      </c>
      <c r="V332" s="39" t="str">
        <f aca="false">IF($F332="","",IF(ISNUMBER(SEARCH("(externo)",$I332&amp;$J332&amp;$K332)),"Terceirizada","Interna"))</f>
        <v>Interna</v>
      </c>
      <c r="W332" s="47" t="str">
        <f aca="false">IF($O332="","",IF($S332="",$O332,(DATE(Semana!$J$3,1,4)-WEEKDAY(DATE(Semana!$J$3,1,4),3))+($S332-1)*7+IF($M332="",0,MATCH($M332,Listas!$F$5:$F$11,0)-1)))</f>
        <v/>
      </c>
      <c r="X332" s="39" t="n">
        <f aca="false">IF($F332="","",IF(OR($AT332="",$O332=""),0,IF($AT332&lt;=$O332,1,0)))</f>
        <v>0</v>
      </c>
      <c r="Y332" s="39" t="n">
        <f aca="false">IF($F332="","",IF(OR($AT332="",$W332=""),0,IF($AT332&lt;=$W332,1,0)))</f>
        <v>0</v>
      </c>
      <c r="Z332" s="39" t="str">
        <f aca="false">IF(OR($AT332="",$O332=""),"",MAX(0,$AT332-$O332))</f>
        <v/>
      </c>
      <c r="AA332" s="39" t="n">
        <f aca="false">IF($F332="","",IF(AND($S332&lt;&gt;"",$L332&lt;&gt;"",$S332&lt;&gt;$L332),1,0))</f>
        <v>0</v>
      </c>
      <c r="AB332" s="39" t="n">
        <f aca="false">IF($F332="","",IF($R332="Cancelada",0,IF(OR($AT332&lt;&gt;"",$R332="Concluída"),1,0)))</f>
        <v>0</v>
      </c>
      <c r="AC332" s="39" t="n">
        <f aca="false">IF($P332="",0,IF($P332&lt;Hoje!$L$1,1,IF(AND($P332=Hoje!$L$1,Hoje!$L$2&gt;Semana!$M$3),1,0)))</f>
        <v>0</v>
      </c>
      <c r="AD332" s="39" t="n">
        <f aca="false">IF($F332="","",IF(COUNTA($I332:$K332)=0,0,1/COUNTA($I332:$K332)))</f>
        <v>0</v>
      </c>
      <c r="AE332" s="39" t="str">
        <f aca="false">IF($AH332=0,"",SUM($AH$4:$AH332))</f>
        <v/>
      </c>
      <c r="AF332" s="39" t="str">
        <f aca="false">IF($AI332=0,"",SUM($AI$4:$AI332))</f>
        <v/>
      </c>
      <c r="AG332" s="50" t="str">
        <f aca="false">IF($F332="","",$I332&amp;IF($J332="",""," · "&amp;$J332)&amp;IF($K332="",""," · "&amp;$K332))</f>
        <v/>
      </c>
      <c r="AH332" s="39" t="n">
        <f aca="false">IF(AND($F332&lt;&gt;"",$O332&lt;&gt;"",$O332&lt;=Hoje!$C$3,$P332&gt;=Hoje!$C$3,$R332&lt;&gt;"Cancelada"),1,0)</f>
        <v>0</v>
      </c>
      <c r="AI332" s="39" t="n">
        <f aca="false">IF(AND($F332&lt;&gt;"",$P332&lt;&gt;"",$P332&lt;Hoje!$C$3,$AB332=0,$R332&lt;&gt;"Cancelada"),1,0)</f>
        <v>0</v>
      </c>
      <c r="AJ332" s="50" t="str">
        <f aca="false">IF($F332="","",$D332&amp;"|"&amp;$E332&amp;"|"&amp;$L332)</f>
        <v>F-968|Programação 09/09|</v>
      </c>
      <c r="AK332" s="39" t="n">
        <f aca="false">IF($AJ332="","",COUNTIF($AJ$4:$AJ332,$AJ332))</f>
        <v>7</v>
      </c>
      <c r="AL332" s="39" t="n">
        <f aca="false">IF($AJ332="","",COUNTIF($AJ$4:$AJ$1004,$AJ332))</f>
        <v>13</v>
      </c>
      <c r="AM332" s="42"/>
      <c r="AN332" s="50" t="str">
        <f aca="false">IF($D332="","",IFERROR(T(VLOOKUP($D332,Listas!$B$5:$H$120,7,0)),""))</f>
        <v>Petro</v>
      </c>
      <c r="AO332" s="50" t="str">
        <f aca="false">IF(OR($F332="",$L332&lt;&gt;"",$R332="Cancelada",$AT332&lt;&gt;""),"",$AN332&amp;"|"&amp;$D332&amp;"|"&amp;IF($C332="","zzz",$C332)&amp;"|"&amp;TEXT(332,"0000"))</f>
        <v>Petro|F-968|007468|0332</v>
      </c>
      <c r="AP332" s="50" t="n">
        <f aca="false">IF($AO332="","",COUNTIF($AO$5:$AO$1004,"&lt;"&amp;$AO332)-(ROWS($AO$5:$AO$1004)-Hoje!$L$5)+1)</f>
        <v>80</v>
      </c>
      <c r="AQ332" s="50" t="n">
        <f aca="false">IF(AND($F332&lt;&gt;"",$D332=Frota!$C$3),1,0)</f>
        <v>0</v>
      </c>
      <c r="AR332" s="50" t="str">
        <f aca="false">IF($AQ332=0,"",SUM($AQ$4:$AQ332))</f>
        <v/>
      </c>
      <c r="AS332" s="50" t="str">
        <f aca="false">IFERROR(INDEX(Hoje!$K$10:$K$29,MATCH(ROW(),Hoje!$J$10:$J$29,0)),"")</f>
        <v/>
      </c>
      <c r="AT332" s="50" t="str">
        <f aca="false">IF($Q332&lt;&gt;"",$Q332,$AS332)</f>
        <v/>
      </c>
    </row>
    <row r="333" customFormat="false" ht="16.5" hidden="false" customHeight="true" outlineLevel="0" collapsed="false">
      <c r="A333" s="39" t="n">
        <f aca="false">IF($F333="","",ROW())</f>
        <v>333</v>
      </c>
      <c r="B333" s="40" t="str">
        <f aca="false">IF($F333="",IF($D333="","","Falta a atividade"),IF($R333="Cancelada","Cancelada",IF($AB333=1,IF(N($Z333)&gt;0,"Concluída com atraso","Concluída"),IF($R333="Em programação","Em programação",IF($O333="",IF($M333="","Na carteira","Falta a semana"),IF($AC333=1,"VENCIDA",IF($O333&gt;Hoje!$L$1,"Programada",IF($P333&gt;Hoje!$L$1,"Em execução","Fecha hoje"))))))))</f>
        <v>Na carteira</v>
      </c>
      <c r="C333" s="41" t="s">
        <v>790</v>
      </c>
      <c r="D333" s="42" t="s">
        <v>591</v>
      </c>
      <c r="E333" s="42" t="s">
        <v>724</v>
      </c>
      <c r="F333" s="42" t="s">
        <v>791</v>
      </c>
      <c r="G333" s="43" t="s">
        <v>80</v>
      </c>
      <c r="H333" s="43" t="s">
        <v>100</v>
      </c>
      <c r="I333" s="44"/>
      <c r="J333" s="44"/>
      <c r="K333" s="44"/>
      <c r="L333" s="45"/>
      <c r="M333" s="46"/>
      <c r="N333" s="45"/>
      <c r="O333" s="47" t="str">
        <f aca="false">IF(OR($L333="",$M333=""),"",(DATE(Semana!$J$3,1,4)-WEEKDAY(DATE(Semana!$J$3,1,4),3))+($L333-1)*7+MATCH($M333,Listas!$F$5:$F$11,0)-1)</f>
        <v/>
      </c>
      <c r="P333" s="47" t="str">
        <f aca="false">IF(OR($F333="",$O333=""),"",$O333+MAX(0,ROUNDUP($AK333*MAX(1,IF($N333="",1,$N333))/MAX(1,$AL333),0)-1))</f>
        <v/>
      </c>
      <c r="Q333" s="48"/>
      <c r="R333" s="43"/>
      <c r="S333" s="49"/>
      <c r="T333" s="42"/>
      <c r="U333" s="42"/>
      <c r="V333" s="39" t="str">
        <f aca="false">IF($F333="","",IF(ISNUMBER(SEARCH("(externo)",$I333&amp;$J333&amp;$K333)),"Terceirizada","Interna"))</f>
        <v>Interna</v>
      </c>
      <c r="W333" s="47" t="str">
        <f aca="false">IF($O333="","",IF($S333="",$O333,(DATE(Semana!$J$3,1,4)-WEEKDAY(DATE(Semana!$J$3,1,4),3))+($S333-1)*7+IF($M333="",0,MATCH($M333,Listas!$F$5:$F$11,0)-1)))</f>
        <v/>
      </c>
      <c r="X333" s="39" t="n">
        <f aca="false">IF($F333="","",IF(OR($AT333="",$O333=""),0,IF($AT333&lt;=$O333,1,0)))</f>
        <v>0</v>
      </c>
      <c r="Y333" s="39" t="n">
        <f aca="false">IF($F333="","",IF(OR($AT333="",$W333=""),0,IF($AT333&lt;=$W333,1,0)))</f>
        <v>0</v>
      </c>
      <c r="Z333" s="39" t="str">
        <f aca="false">IF(OR($AT333="",$O333=""),"",MAX(0,$AT333-$O333))</f>
        <v/>
      </c>
      <c r="AA333" s="39" t="n">
        <f aca="false">IF($F333="","",IF(AND($S333&lt;&gt;"",$L333&lt;&gt;"",$S333&lt;&gt;$L333),1,0))</f>
        <v>0</v>
      </c>
      <c r="AB333" s="39" t="n">
        <f aca="false">IF($F333="","",IF($R333="Cancelada",0,IF(OR($AT333&lt;&gt;"",$R333="Concluída"),1,0)))</f>
        <v>0</v>
      </c>
      <c r="AC333" s="39" t="n">
        <f aca="false">IF($P333="",0,IF($P333&lt;Hoje!$L$1,1,IF(AND($P333=Hoje!$L$1,Hoje!$L$2&gt;Semana!$M$3),1,0)))</f>
        <v>0</v>
      </c>
      <c r="AD333" s="39" t="n">
        <f aca="false">IF($F333="","",IF(COUNTA($I333:$K333)=0,0,1/COUNTA($I333:$K333)))</f>
        <v>0</v>
      </c>
      <c r="AE333" s="39" t="str">
        <f aca="false">IF($AH333=0,"",SUM($AH$4:$AH333))</f>
        <v/>
      </c>
      <c r="AF333" s="39" t="str">
        <f aca="false">IF($AI333=0,"",SUM($AI$4:$AI333))</f>
        <v/>
      </c>
      <c r="AG333" s="50" t="str">
        <f aca="false">IF($F333="","",$I333&amp;IF($J333="",""," · "&amp;$J333)&amp;IF($K333="",""," · "&amp;$K333))</f>
        <v/>
      </c>
      <c r="AH333" s="39" t="n">
        <f aca="false">IF(AND($F333&lt;&gt;"",$O333&lt;&gt;"",$O333&lt;=Hoje!$C$3,$P333&gt;=Hoje!$C$3,$R333&lt;&gt;"Cancelada"),1,0)</f>
        <v>0</v>
      </c>
      <c r="AI333" s="39" t="n">
        <f aca="false">IF(AND($F333&lt;&gt;"",$P333&lt;&gt;"",$P333&lt;Hoje!$C$3,$AB333=0,$R333&lt;&gt;"Cancelada"),1,0)</f>
        <v>0</v>
      </c>
      <c r="AJ333" s="50" t="str">
        <f aca="false">IF($F333="","",$D333&amp;"|"&amp;$E333&amp;"|"&amp;$L333)</f>
        <v>F-968|Programação 09/09|</v>
      </c>
      <c r="AK333" s="39" t="n">
        <f aca="false">IF($AJ333="","",COUNTIF($AJ$4:$AJ333,$AJ333))</f>
        <v>8</v>
      </c>
      <c r="AL333" s="39" t="n">
        <f aca="false">IF($AJ333="","",COUNTIF($AJ$4:$AJ$1004,$AJ333))</f>
        <v>13</v>
      </c>
      <c r="AM333" s="42"/>
      <c r="AN333" s="50" t="str">
        <f aca="false">IF($D333="","",IFERROR(T(VLOOKUP($D333,Listas!$B$5:$H$120,7,0)),""))</f>
        <v>Petro</v>
      </c>
      <c r="AO333" s="50" t="str">
        <f aca="false">IF(OR($F333="",$L333&lt;&gt;"",$R333="Cancelada",$AT333&lt;&gt;""),"",$AN333&amp;"|"&amp;$D333&amp;"|"&amp;IF($C333="","zzz",$C333)&amp;"|"&amp;TEXT(333,"0000"))</f>
        <v>Petro|F-968|007469|0333</v>
      </c>
      <c r="AP333" s="50" t="n">
        <f aca="false">IF($AO333="","",COUNTIF($AO$5:$AO$1004,"&lt;"&amp;$AO333)-(ROWS($AO$5:$AO$1004)-Hoje!$L$5)+1)</f>
        <v>81</v>
      </c>
      <c r="AQ333" s="50" t="n">
        <f aca="false">IF(AND($F333&lt;&gt;"",$D333=Frota!$C$3),1,0)</f>
        <v>0</v>
      </c>
      <c r="AR333" s="50" t="str">
        <f aca="false">IF($AQ333=0,"",SUM($AQ$4:$AQ333))</f>
        <v/>
      </c>
      <c r="AS333" s="50" t="str">
        <f aca="false">IFERROR(INDEX(Hoje!$K$10:$K$29,MATCH(ROW(),Hoje!$J$10:$J$29,0)),"")</f>
        <v/>
      </c>
      <c r="AT333" s="50" t="str">
        <f aca="false">IF($Q333&lt;&gt;"",$Q333,$AS333)</f>
        <v/>
      </c>
    </row>
    <row r="334" customFormat="false" ht="16.5" hidden="false" customHeight="true" outlineLevel="0" collapsed="false">
      <c r="A334" s="39" t="n">
        <f aca="false">IF($F334="","",ROW())</f>
        <v>334</v>
      </c>
      <c r="B334" s="40" t="str">
        <f aca="false">IF($F334="",IF($D334="","","Falta a atividade"),IF($R334="Cancelada","Cancelada",IF($AB334=1,IF(N($Z334)&gt;0,"Concluída com atraso","Concluída"),IF($R334="Em programação","Em programação",IF($O334="",IF($M334="","Na carteira","Falta a semana"),IF($AC334=1,"VENCIDA",IF($O334&gt;Hoje!$L$1,"Programada",IF($P334&gt;Hoje!$L$1,"Em execução","Fecha hoje"))))))))</f>
        <v>Na carteira</v>
      </c>
      <c r="C334" s="41" t="s">
        <v>792</v>
      </c>
      <c r="D334" s="42" t="s">
        <v>591</v>
      </c>
      <c r="E334" s="42" t="s">
        <v>724</v>
      </c>
      <c r="F334" s="42" t="s">
        <v>793</v>
      </c>
      <c r="G334" s="43" t="s">
        <v>80</v>
      </c>
      <c r="H334" s="43" t="s">
        <v>100</v>
      </c>
      <c r="I334" s="44"/>
      <c r="J334" s="44"/>
      <c r="K334" s="44"/>
      <c r="L334" s="45"/>
      <c r="M334" s="46"/>
      <c r="N334" s="45"/>
      <c r="O334" s="47" t="str">
        <f aca="false">IF(OR($L334="",$M334=""),"",(DATE(Semana!$J$3,1,4)-WEEKDAY(DATE(Semana!$J$3,1,4),3))+($L334-1)*7+MATCH($M334,Listas!$F$5:$F$11,0)-1)</f>
        <v/>
      </c>
      <c r="P334" s="47" t="str">
        <f aca="false">IF(OR($F334="",$O334=""),"",$O334+MAX(0,ROUNDUP($AK334*MAX(1,IF($N334="",1,$N334))/MAX(1,$AL334),0)-1))</f>
        <v/>
      </c>
      <c r="Q334" s="48"/>
      <c r="R334" s="43"/>
      <c r="S334" s="49"/>
      <c r="T334" s="42"/>
      <c r="U334" s="42"/>
      <c r="V334" s="39" t="str">
        <f aca="false">IF($F334="","",IF(ISNUMBER(SEARCH("(externo)",$I334&amp;$J334&amp;$K334)),"Terceirizada","Interna"))</f>
        <v>Interna</v>
      </c>
      <c r="W334" s="47" t="str">
        <f aca="false">IF($O334="","",IF($S334="",$O334,(DATE(Semana!$J$3,1,4)-WEEKDAY(DATE(Semana!$J$3,1,4),3))+($S334-1)*7+IF($M334="",0,MATCH($M334,Listas!$F$5:$F$11,0)-1)))</f>
        <v/>
      </c>
      <c r="X334" s="39" t="n">
        <f aca="false">IF($F334="","",IF(OR($AT334="",$O334=""),0,IF($AT334&lt;=$O334,1,0)))</f>
        <v>0</v>
      </c>
      <c r="Y334" s="39" t="n">
        <f aca="false">IF($F334="","",IF(OR($AT334="",$W334=""),0,IF($AT334&lt;=$W334,1,0)))</f>
        <v>0</v>
      </c>
      <c r="Z334" s="39" t="str">
        <f aca="false">IF(OR($AT334="",$O334=""),"",MAX(0,$AT334-$O334))</f>
        <v/>
      </c>
      <c r="AA334" s="39" t="n">
        <f aca="false">IF($F334="","",IF(AND($S334&lt;&gt;"",$L334&lt;&gt;"",$S334&lt;&gt;$L334),1,0))</f>
        <v>0</v>
      </c>
      <c r="AB334" s="39" t="n">
        <f aca="false">IF($F334="","",IF($R334="Cancelada",0,IF(OR($AT334&lt;&gt;"",$R334="Concluída"),1,0)))</f>
        <v>0</v>
      </c>
      <c r="AC334" s="39" t="n">
        <f aca="false">IF($P334="",0,IF($P334&lt;Hoje!$L$1,1,IF(AND($P334=Hoje!$L$1,Hoje!$L$2&gt;Semana!$M$3),1,0)))</f>
        <v>0</v>
      </c>
      <c r="AD334" s="39" t="n">
        <f aca="false">IF($F334="","",IF(COUNTA($I334:$K334)=0,0,1/COUNTA($I334:$K334)))</f>
        <v>0</v>
      </c>
      <c r="AE334" s="39" t="str">
        <f aca="false">IF($AH334=0,"",SUM($AH$4:$AH334))</f>
        <v/>
      </c>
      <c r="AF334" s="39" t="str">
        <f aca="false">IF($AI334=0,"",SUM($AI$4:$AI334))</f>
        <v/>
      </c>
      <c r="AG334" s="50" t="str">
        <f aca="false">IF($F334="","",$I334&amp;IF($J334="",""," · "&amp;$J334)&amp;IF($K334="",""," · "&amp;$K334))</f>
        <v/>
      </c>
      <c r="AH334" s="39" t="n">
        <f aca="false">IF(AND($F334&lt;&gt;"",$O334&lt;&gt;"",$O334&lt;=Hoje!$C$3,$P334&gt;=Hoje!$C$3,$R334&lt;&gt;"Cancelada"),1,0)</f>
        <v>0</v>
      </c>
      <c r="AI334" s="39" t="n">
        <f aca="false">IF(AND($F334&lt;&gt;"",$P334&lt;&gt;"",$P334&lt;Hoje!$C$3,$AB334=0,$R334&lt;&gt;"Cancelada"),1,0)</f>
        <v>0</v>
      </c>
      <c r="AJ334" s="50" t="str">
        <f aca="false">IF($F334="","",$D334&amp;"|"&amp;$E334&amp;"|"&amp;$L334)</f>
        <v>F-968|Programação 09/09|</v>
      </c>
      <c r="AK334" s="39" t="n">
        <f aca="false">IF($AJ334="","",COUNTIF($AJ$4:$AJ334,$AJ334))</f>
        <v>9</v>
      </c>
      <c r="AL334" s="39" t="n">
        <f aca="false">IF($AJ334="","",COUNTIF($AJ$4:$AJ$1004,$AJ334))</f>
        <v>13</v>
      </c>
      <c r="AM334" s="42"/>
      <c r="AN334" s="50" t="str">
        <f aca="false">IF($D334="","",IFERROR(T(VLOOKUP($D334,Listas!$B$5:$H$120,7,0)),""))</f>
        <v>Petro</v>
      </c>
      <c r="AO334" s="50" t="str">
        <f aca="false">IF(OR($F334="",$L334&lt;&gt;"",$R334="Cancelada",$AT334&lt;&gt;""),"",$AN334&amp;"|"&amp;$D334&amp;"|"&amp;IF($C334="","zzz",$C334)&amp;"|"&amp;TEXT(334,"0000"))</f>
        <v>Petro|F-968|007470|0334</v>
      </c>
      <c r="AP334" s="50" t="n">
        <f aca="false">IF($AO334="","",COUNTIF($AO$5:$AO$1004,"&lt;"&amp;$AO334)-(ROWS($AO$5:$AO$1004)-Hoje!$L$5)+1)</f>
        <v>82</v>
      </c>
      <c r="AQ334" s="50" t="n">
        <f aca="false">IF(AND($F334&lt;&gt;"",$D334=Frota!$C$3),1,0)</f>
        <v>0</v>
      </c>
      <c r="AR334" s="50" t="str">
        <f aca="false">IF($AQ334=0,"",SUM($AQ$4:$AQ334))</f>
        <v/>
      </c>
      <c r="AS334" s="50" t="str">
        <f aca="false">IFERROR(INDEX(Hoje!$K$10:$K$29,MATCH(ROW(),Hoje!$J$10:$J$29,0)),"")</f>
        <v/>
      </c>
      <c r="AT334" s="50" t="str">
        <f aca="false">IF($Q334&lt;&gt;"",$Q334,$AS334)</f>
        <v/>
      </c>
    </row>
    <row r="335" customFormat="false" ht="16.5" hidden="false" customHeight="true" outlineLevel="0" collapsed="false">
      <c r="A335" s="39" t="n">
        <f aca="false">IF($F335="","",ROW())</f>
        <v>335</v>
      </c>
      <c r="B335" s="40" t="str">
        <f aca="false">IF($F335="",IF($D335="","","Falta a atividade"),IF($R335="Cancelada","Cancelada",IF($AB335=1,IF(N($Z335)&gt;0,"Concluída com atraso","Concluída"),IF($R335="Em programação","Em programação",IF($O335="",IF($M335="","Na carteira","Falta a semana"),IF($AC335=1,"VENCIDA",IF($O335&gt;Hoje!$L$1,"Programada",IF($P335&gt;Hoje!$L$1,"Em execução","Fecha hoje"))))))))</f>
        <v>Na carteira</v>
      </c>
      <c r="C335" s="41" t="s">
        <v>794</v>
      </c>
      <c r="D335" s="42" t="s">
        <v>591</v>
      </c>
      <c r="E335" s="42" t="s">
        <v>724</v>
      </c>
      <c r="F335" s="42" t="s">
        <v>795</v>
      </c>
      <c r="G335" s="43" t="s">
        <v>80</v>
      </c>
      <c r="H335" s="43" t="s">
        <v>100</v>
      </c>
      <c r="I335" s="44"/>
      <c r="J335" s="44"/>
      <c r="K335" s="44"/>
      <c r="L335" s="45"/>
      <c r="M335" s="46"/>
      <c r="N335" s="45"/>
      <c r="O335" s="47" t="str">
        <f aca="false">IF(OR($L335="",$M335=""),"",(DATE(Semana!$J$3,1,4)-WEEKDAY(DATE(Semana!$J$3,1,4),3))+($L335-1)*7+MATCH($M335,Listas!$F$5:$F$11,0)-1)</f>
        <v/>
      </c>
      <c r="P335" s="47" t="str">
        <f aca="false">IF(OR($F335="",$O335=""),"",$O335+MAX(0,ROUNDUP($AK335*MAX(1,IF($N335="",1,$N335))/MAX(1,$AL335),0)-1))</f>
        <v/>
      </c>
      <c r="Q335" s="48"/>
      <c r="R335" s="43"/>
      <c r="S335" s="49"/>
      <c r="T335" s="42"/>
      <c r="U335" s="42"/>
      <c r="V335" s="39" t="str">
        <f aca="false">IF($F335="","",IF(ISNUMBER(SEARCH("(externo)",$I335&amp;$J335&amp;$K335)),"Terceirizada","Interna"))</f>
        <v>Interna</v>
      </c>
      <c r="W335" s="47" t="str">
        <f aca="false">IF($O335="","",IF($S335="",$O335,(DATE(Semana!$J$3,1,4)-WEEKDAY(DATE(Semana!$J$3,1,4),3))+($S335-1)*7+IF($M335="",0,MATCH($M335,Listas!$F$5:$F$11,0)-1)))</f>
        <v/>
      </c>
      <c r="X335" s="39" t="n">
        <f aca="false">IF($F335="","",IF(OR($AT335="",$O335=""),0,IF($AT335&lt;=$O335,1,0)))</f>
        <v>0</v>
      </c>
      <c r="Y335" s="39" t="n">
        <f aca="false">IF($F335="","",IF(OR($AT335="",$W335=""),0,IF($AT335&lt;=$W335,1,0)))</f>
        <v>0</v>
      </c>
      <c r="Z335" s="39" t="str">
        <f aca="false">IF(OR($AT335="",$O335=""),"",MAX(0,$AT335-$O335))</f>
        <v/>
      </c>
      <c r="AA335" s="39" t="n">
        <f aca="false">IF($F335="","",IF(AND($S335&lt;&gt;"",$L335&lt;&gt;"",$S335&lt;&gt;$L335),1,0))</f>
        <v>0</v>
      </c>
      <c r="AB335" s="39" t="n">
        <f aca="false">IF($F335="","",IF($R335="Cancelada",0,IF(OR($AT335&lt;&gt;"",$R335="Concluída"),1,0)))</f>
        <v>0</v>
      </c>
      <c r="AC335" s="39" t="n">
        <f aca="false">IF($P335="",0,IF($P335&lt;Hoje!$L$1,1,IF(AND($P335=Hoje!$L$1,Hoje!$L$2&gt;Semana!$M$3),1,0)))</f>
        <v>0</v>
      </c>
      <c r="AD335" s="39" t="n">
        <f aca="false">IF($F335="","",IF(COUNTA($I335:$K335)=0,0,1/COUNTA($I335:$K335)))</f>
        <v>0</v>
      </c>
      <c r="AE335" s="39" t="str">
        <f aca="false">IF($AH335=0,"",SUM($AH$4:$AH335))</f>
        <v/>
      </c>
      <c r="AF335" s="39" t="str">
        <f aca="false">IF($AI335=0,"",SUM($AI$4:$AI335))</f>
        <v/>
      </c>
      <c r="AG335" s="50" t="str">
        <f aca="false">IF($F335="","",$I335&amp;IF($J335="",""," · "&amp;$J335)&amp;IF($K335="",""," · "&amp;$K335))</f>
        <v/>
      </c>
      <c r="AH335" s="39" t="n">
        <f aca="false">IF(AND($F335&lt;&gt;"",$O335&lt;&gt;"",$O335&lt;=Hoje!$C$3,$P335&gt;=Hoje!$C$3,$R335&lt;&gt;"Cancelada"),1,0)</f>
        <v>0</v>
      </c>
      <c r="AI335" s="39" t="n">
        <f aca="false">IF(AND($F335&lt;&gt;"",$P335&lt;&gt;"",$P335&lt;Hoje!$C$3,$AB335=0,$R335&lt;&gt;"Cancelada"),1,0)</f>
        <v>0</v>
      </c>
      <c r="AJ335" s="50" t="str">
        <f aca="false">IF($F335="","",$D335&amp;"|"&amp;$E335&amp;"|"&amp;$L335)</f>
        <v>F-968|Programação 09/09|</v>
      </c>
      <c r="AK335" s="39" t="n">
        <f aca="false">IF($AJ335="","",COUNTIF($AJ$4:$AJ335,$AJ335))</f>
        <v>10</v>
      </c>
      <c r="AL335" s="39" t="n">
        <f aca="false">IF($AJ335="","",COUNTIF($AJ$4:$AJ$1004,$AJ335))</f>
        <v>13</v>
      </c>
      <c r="AM335" s="42"/>
      <c r="AN335" s="50" t="str">
        <f aca="false">IF($D335="","",IFERROR(T(VLOOKUP($D335,Listas!$B$5:$H$120,7,0)),""))</f>
        <v>Petro</v>
      </c>
      <c r="AO335" s="50" t="str">
        <f aca="false">IF(OR($F335="",$L335&lt;&gt;"",$R335="Cancelada",$AT335&lt;&gt;""),"",$AN335&amp;"|"&amp;$D335&amp;"|"&amp;IF($C335="","zzz",$C335)&amp;"|"&amp;TEXT(335,"0000"))</f>
        <v>Petro|F-968|007471|0335</v>
      </c>
      <c r="AP335" s="50" t="n">
        <f aca="false">IF($AO335="","",COUNTIF($AO$5:$AO$1004,"&lt;"&amp;$AO335)-(ROWS($AO$5:$AO$1004)-Hoje!$L$5)+1)</f>
        <v>83</v>
      </c>
      <c r="AQ335" s="50" t="n">
        <f aca="false">IF(AND($F335&lt;&gt;"",$D335=Frota!$C$3),1,0)</f>
        <v>0</v>
      </c>
      <c r="AR335" s="50" t="str">
        <f aca="false">IF($AQ335=0,"",SUM($AQ$4:$AQ335))</f>
        <v/>
      </c>
      <c r="AS335" s="50" t="str">
        <f aca="false">IFERROR(INDEX(Hoje!$K$10:$K$29,MATCH(ROW(),Hoje!$J$10:$J$29,0)),"")</f>
        <v/>
      </c>
      <c r="AT335" s="50" t="str">
        <f aca="false">IF($Q335&lt;&gt;"",$Q335,$AS335)</f>
        <v/>
      </c>
    </row>
    <row r="336" customFormat="false" ht="16.5" hidden="false" customHeight="true" outlineLevel="0" collapsed="false">
      <c r="A336" s="39" t="n">
        <f aca="false">IF($F336="","",ROW())</f>
        <v>336</v>
      </c>
      <c r="B336" s="40" t="str">
        <f aca="false">IF($F336="",IF($D336="","","Falta a atividade"),IF($R336="Cancelada","Cancelada",IF($AB336=1,IF(N($Z336)&gt;0,"Concluída com atraso","Concluída"),IF($R336="Em programação","Em programação",IF($O336="",IF($M336="","Na carteira","Falta a semana"),IF($AC336=1,"VENCIDA",IF($O336&gt;Hoje!$L$1,"Programada",IF($P336&gt;Hoje!$L$1,"Em execução","Fecha hoje"))))))))</f>
        <v>Na carteira</v>
      </c>
      <c r="C336" s="41" t="s">
        <v>796</v>
      </c>
      <c r="D336" s="42" t="s">
        <v>591</v>
      </c>
      <c r="E336" s="42" t="s">
        <v>724</v>
      </c>
      <c r="F336" s="42" t="s">
        <v>797</v>
      </c>
      <c r="G336" s="43" t="s">
        <v>80</v>
      </c>
      <c r="H336" s="43" t="s">
        <v>100</v>
      </c>
      <c r="I336" s="44"/>
      <c r="J336" s="44"/>
      <c r="K336" s="44"/>
      <c r="L336" s="45"/>
      <c r="M336" s="46"/>
      <c r="N336" s="45"/>
      <c r="O336" s="47" t="str">
        <f aca="false">IF(OR($L336="",$M336=""),"",(DATE(Semana!$J$3,1,4)-WEEKDAY(DATE(Semana!$J$3,1,4),3))+($L336-1)*7+MATCH($M336,Listas!$F$5:$F$11,0)-1)</f>
        <v/>
      </c>
      <c r="P336" s="47" t="str">
        <f aca="false">IF(OR($F336="",$O336=""),"",$O336+MAX(0,ROUNDUP($AK336*MAX(1,IF($N336="",1,$N336))/MAX(1,$AL336),0)-1))</f>
        <v/>
      </c>
      <c r="Q336" s="48"/>
      <c r="R336" s="43"/>
      <c r="S336" s="49"/>
      <c r="T336" s="42"/>
      <c r="U336" s="42"/>
      <c r="V336" s="39" t="str">
        <f aca="false">IF($F336="","",IF(ISNUMBER(SEARCH("(externo)",$I336&amp;$J336&amp;$K336)),"Terceirizada","Interna"))</f>
        <v>Interna</v>
      </c>
      <c r="W336" s="47" t="str">
        <f aca="false">IF($O336="","",IF($S336="",$O336,(DATE(Semana!$J$3,1,4)-WEEKDAY(DATE(Semana!$J$3,1,4),3))+($S336-1)*7+IF($M336="",0,MATCH($M336,Listas!$F$5:$F$11,0)-1)))</f>
        <v/>
      </c>
      <c r="X336" s="39" t="n">
        <f aca="false">IF($F336="","",IF(OR($AT336="",$O336=""),0,IF($AT336&lt;=$O336,1,0)))</f>
        <v>0</v>
      </c>
      <c r="Y336" s="39" t="n">
        <f aca="false">IF($F336="","",IF(OR($AT336="",$W336=""),0,IF($AT336&lt;=$W336,1,0)))</f>
        <v>0</v>
      </c>
      <c r="Z336" s="39" t="str">
        <f aca="false">IF(OR($AT336="",$O336=""),"",MAX(0,$AT336-$O336))</f>
        <v/>
      </c>
      <c r="AA336" s="39" t="n">
        <f aca="false">IF($F336="","",IF(AND($S336&lt;&gt;"",$L336&lt;&gt;"",$S336&lt;&gt;$L336),1,0))</f>
        <v>0</v>
      </c>
      <c r="AB336" s="39" t="n">
        <f aca="false">IF($F336="","",IF($R336="Cancelada",0,IF(OR($AT336&lt;&gt;"",$R336="Concluída"),1,0)))</f>
        <v>0</v>
      </c>
      <c r="AC336" s="39" t="n">
        <f aca="false">IF($P336="",0,IF($P336&lt;Hoje!$L$1,1,IF(AND($P336=Hoje!$L$1,Hoje!$L$2&gt;Semana!$M$3),1,0)))</f>
        <v>0</v>
      </c>
      <c r="AD336" s="39" t="n">
        <f aca="false">IF($F336="","",IF(COUNTA($I336:$K336)=0,0,1/COUNTA($I336:$K336)))</f>
        <v>0</v>
      </c>
      <c r="AE336" s="39" t="str">
        <f aca="false">IF($AH336=0,"",SUM($AH$4:$AH336))</f>
        <v/>
      </c>
      <c r="AF336" s="39" t="str">
        <f aca="false">IF($AI336=0,"",SUM($AI$4:$AI336))</f>
        <v/>
      </c>
      <c r="AG336" s="50" t="str">
        <f aca="false">IF($F336="","",$I336&amp;IF($J336="",""," · "&amp;$J336)&amp;IF($K336="",""," · "&amp;$K336))</f>
        <v/>
      </c>
      <c r="AH336" s="39" t="n">
        <f aca="false">IF(AND($F336&lt;&gt;"",$O336&lt;&gt;"",$O336&lt;=Hoje!$C$3,$P336&gt;=Hoje!$C$3,$R336&lt;&gt;"Cancelada"),1,0)</f>
        <v>0</v>
      </c>
      <c r="AI336" s="39" t="n">
        <f aca="false">IF(AND($F336&lt;&gt;"",$P336&lt;&gt;"",$P336&lt;Hoje!$C$3,$AB336=0,$R336&lt;&gt;"Cancelada"),1,0)</f>
        <v>0</v>
      </c>
      <c r="AJ336" s="50" t="str">
        <f aca="false">IF($F336="","",$D336&amp;"|"&amp;$E336&amp;"|"&amp;$L336)</f>
        <v>F-968|Programação 09/09|</v>
      </c>
      <c r="AK336" s="39" t="n">
        <f aca="false">IF($AJ336="","",COUNTIF($AJ$4:$AJ336,$AJ336))</f>
        <v>11</v>
      </c>
      <c r="AL336" s="39" t="n">
        <f aca="false">IF($AJ336="","",COUNTIF($AJ$4:$AJ$1004,$AJ336))</f>
        <v>13</v>
      </c>
      <c r="AM336" s="42"/>
      <c r="AN336" s="50" t="str">
        <f aca="false">IF($D336="","",IFERROR(T(VLOOKUP($D336,Listas!$B$5:$H$120,7,0)),""))</f>
        <v>Petro</v>
      </c>
      <c r="AO336" s="50" t="str">
        <f aca="false">IF(OR($F336="",$L336&lt;&gt;"",$R336="Cancelada",$AT336&lt;&gt;""),"",$AN336&amp;"|"&amp;$D336&amp;"|"&amp;IF($C336="","zzz",$C336)&amp;"|"&amp;TEXT(336,"0000"))</f>
        <v>Petro|F-968|007472|0336</v>
      </c>
      <c r="AP336" s="50" t="n">
        <f aca="false">IF($AO336="","",COUNTIF($AO$5:$AO$1004,"&lt;"&amp;$AO336)-(ROWS($AO$5:$AO$1004)-Hoje!$L$5)+1)</f>
        <v>84</v>
      </c>
      <c r="AQ336" s="50" t="n">
        <f aca="false">IF(AND($F336&lt;&gt;"",$D336=Frota!$C$3),1,0)</f>
        <v>0</v>
      </c>
      <c r="AR336" s="50" t="str">
        <f aca="false">IF($AQ336=0,"",SUM($AQ$4:$AQ336))</f>
        <v/>
      </c>
      <c r="AS336" s="50" t="str">
        <f aca="false">IFERROR(INDEX(Hoje!$K$10:$K$29,MATCH(ROW(),Hoje!$J$10:$J$29,0)),"")</f>
        <v/>
      </c>
      <c r="AT336" s="50" t="str">
        <f aca="false">IF($Q336&lt;&gt;"",$Q336,$AS336)</f>
        <v/>
      </c>
    </row>
    <row r="337" customFormat="false" ht="16.5" hidden="false" customHeight="true" outlineLevel="0" collapsed="false">
      <c r="A337" s="39" t="n">
        <f aca="false">IF($F337="","",ROW())</f>
        <v>337</v>
      </c>
      <c r="B337" s="40" t="str">
        <f aca="false">IF($F337="",IF($D337="","","Falta a atividade"),IF($R337="Cancelada","Cancelada",IF($AB337=1,IF(N($Z337)&gt;0,"Concluída com atraso","Concluída"),IF($R337="Em programação","Em programação",IF($O337="",IF($M337="","Na carteira","Falta a semana"),IF($AC337=1,"VENCIDA",IF($O337&gt;Hoje!$L$1,"Programada",IF($P337&gt;Hoje!$L$1,"Em execução","Fecha hoje"))))))))</f>
        <v>Na carteira</v>
      </c>
      <c r="C337" s="41" t="s">
        <v>798</v>
      </c>
      <c r="D337" s="42" t="s">
        <v>591</v>
      </c>
      <c r="E337" s="42" t="s">
        <v>724</v>
      </c>
      <c r="F337" s="42" t="s">
        <v>799</v>
      </c>
      <c r="G337" s="43" t="s">
        <v>80</v>
      </c>
      <c r="H337" s="43" t="s">
        <v>100</v>
      </c>
      <c r="I337" s="44"/>
      <c r="J337" s="44"/>
      <c r="K337" s="44"/>
      <c r="L337" s="45"/>
      <c r="M337" s="46"/>
      <c r="N337" s="45"/>
      <c r="O337" s="47" t="str">
        <f aca="false">IF(OR($L337="",$M337=""),"",(DATE(Semana!$J$3,1,4)-WEEKDAY(DATE(Semana!$J$3,1,4),3))+($L337-1)*7+MATCH($M337,Listas!$F$5:$F$11,0)-1)</f>
        <v/>
      </c>
      <c r="P337" s="47" t="str">
        <f aca="false">IF(OR($F337="",$O337=""),"",$O337+MAX(0,ROUNDUP($AK337*MAX(1,IF($N337="",1,$N337))/MAX(1,$AL337),0)-1))</f>
        <v/>
      </c>
      <c r="Q337" s="48"/>
      <c r="R337" s="43"/>
      <c r="S337" s="49"/>
      <c r="T337" s="42"/>
      <c r="U337" s="42" t="s">
        <v>800</v>
      </c>
      <c r="V337" s="39" t="str">
        <f aca="false">IF($F337="","",IF(ISNUMBER(SEARCH("(externo)",$I337&amp;$J337&amp;$K337)),"Terceirizada","Interna"))</f>
        <v>Interna</v>
      </c>
      <c r="W337" s="47" t="str">
        <f aca="false">IF($O337="","",IF($S337="",$O337,(DATE(Semana!$J$3,1,4)-WEEKDAY(DATE(Semana!$J$3,1,4),3))+($S337-1)*7+IF($M337="",0,MATCH($M337,Listas!$F$5:$F$11,0)-1)))</f>
        <v/>
      </c>
      <c r="X337" s="39" t="n">
        <f aca="false">IF($F337="","",IF(OR($AT337="",$O337=""),0,IF($AT337&lt;=$O337,1,0)))</f>
        <v>0</v>
      </c>
      <c r="Y337" s="39" t="n">
        <f aca="false">IF($F337="","",IF(OR($AT337="",$W337=""),0,IF($AT337&lt;=$W337,1,0)))</f>
        <v>0</v>
      </c>
      <c r="Z337" s="39" t="str">
        <f aca="false">IF(OR($AT337="",$O337=""),"",MAX(0,$AT337-$O337))</f>
        <v/>
      </c>
      <c r="AA337" s="39" t="n">
        <f aca="false">IF($F337="","",IF(AND($S337&lt;&gt;"",$L337&lt;&gt;"",$S337&lt;&gt;$L337),1,0))</f>
        <v>0</v>
      </c>
      <c r="AB337" s="39" t="n">
        <f aca="false">IF($F337="","",IF($R337="Cancelada",0,IF(OR($AT337&lt;&gt;"",$R337="Concluída"),1,0)))</f>
        <v>0</v>
      </c>
      <c r="AC337" s="39" t="n">
        <f aca="false">IF($P337="",0,IF($P337&lt;Hoje!$L$1,1,IF(AND($P337=Hoje!$L$1,Hoje!$L$2&gt;Semana!$M$3),1,0)))</f>
        <v>0</v>
      </c>
      <c r="AD337" s="39" t="n">
        <f aca="false">IF($F337="","",IF(COUNTA($I337:$K337)=0,0,1/COUNTA($I337:$K337)))</f>
        <v>0</v>
      </c>
      <c r="AE337" s="39" t="str">
        <f aca="false">IF($AH337=0,"",SUM($AH$4:$AH337))</f>
        <v/>
      </c>
      <c r="AF337" s="39" t="str">
        <f aca="false">IF($AI337=0,"",SUM($AI$4:$AI337))</f>
        <v/>
      </c>
      <c r="AG337" s="50" t="str">
        <f aca="false">IF($F337="","",$I337&amp;IF($J337="",""," · "&amp;$J337)&amp;IF($K337="",""," · "&amp;$K337))</f>
        <v/>
      </c>
      <c r="AH337" s="39" t="n">
        <f aca="false">IF(AND($F337&lt;&gt;"",$O337&lt;&gt;"",$O337&lt;=Hoje!$C$3,$P337&gt;=Hoje!$C$3,$R337&lt;&gt;"Cancelada"),1,0)</f>
        <v>0</v>
      </c>
      <c r="AI337" s="39" t="n">
        <f aca="false">IF(AND($F337&lt;&gt;"",$P337&lt;&gt;"",$P337&lt;Hoje!$C$3,$AB337=0,$R337&lt;&gt;"Cancelada"),1,0)</f>
        <v>0</v>
      </c>
      <c r="AJ337" s="50" t="str">
        <f aca="false">IF($F337="","",$D337&amp;"|"&amp;$E337&amp;"|"&amp;$L337)</f>
        <v>F-968|Programação 09/09|</v>
      </c>
      <c r="AK337" s="39" t="n">
        <f aca="false">IF($AJ337="","",COUNTIF($AJ$4:$AJ337,$AJ337))</f>
        <v>12</v>
      </c>
      <c r="AL337" s="39" t="n">
        <f aca="false">IF($AJ337="","",COUNTIF($AJ$4:$AJ$1004,$AJ337))</f>
        <v>13</v>
      </c>
      <c r="AM337" s="42"/>
      <c r="AN337" s="50" t="str">
        <f aca="false">IF($D337="","",IFERROR(T(VLOOKUP($D337,Listas!$B$5:$H$120,7,0)),""))</f>
        <v>Petro</v>
      </c>
      <c r="AO337" s="50" t="str">
        <f aca="false">IF(OR($F337="",$L337&lt;&gt;"",$R337="Cancelada",$AT337&lt;&gt;""),"",$AN337&amp;"|"&amp;$D337&amp;"|"&amp;IF($C337="","zzz",$C337)&amp;"|"&amp;TEXT(337,"0000"))</f>
        <v>Petro|F-968|007473|0337</v>
      </c>
      <c r="AP337" s="50" t="n">
        <f aca="false">IF($AO337="","",COUNTIF($AO$5:$AO$1004,"&lt;"&amp;$AO337)-(ROWS($AO$5:$AO$1004)-Hoje!$L$5)+1)</f>
        <v>85</v>
      </c>
      <c r="AQ337" s="50" t="n">
        <f aca="false">IF(AND($F337&lt;&gt;"",$D337=Frota!$C$3),1,0)</f>
        <v>0</v>
      </c>
      <c r="AR337" s="50" t="str">
        <f aca="false">IF($AQ337=0,"",SUM($AQ$4:$AQ337))</f>
        <v/>
      </c>
      <c r="AS337" s="50" t="str">
        <f aca="false">IFERROR(INDEX(Hoje!$K$10:$K$29,MATCH(ROW(),Hoje!$J$10:$J$29,0)),"")</f>
        <v/>
      </c>
      <c r="AT337" s="50" t="str">
        <f aca="false">IF($Q337&lt;&gt;"",$Q337,$AS337)</f>
        <v/>
      </c>
    </row>
    <row r="338" customFormat="false" ht="16.5" hidden="false" customHeight="true" outlineLevel="0" collapsed="false">
      <c r="A338" s="39" t="n">
        <f aca="false">IF($F338="","",ROW())</f>
        <v>338</v>
      </c>
      <c r="B338" s="40" t="str">
        <f aca="false">IF($F338="",IF($D338="","","Falta a atividade"),IF($R338="Cancelada","Cancelada",IF($AB338=1,IF(N($Z338)&gt;0,"Concluída com atraso","Concluída"),IF($R338="Em programação","Em programação",IF($O338="",IF($M338="","Na carteira","Falta a semana"),IF($AC338=1,"VENCIDA",IF($O338&gt;Hoje!$L$1,"Programada",IF($P338&gt;Hoje!$L$1,"Em execução","Fecha hoje"))))))))</f>
        <v>Na carteira</v>
      </c>
      <c r="C338" s="41" t="s">
        <v>801</v>
      </c>
      <c r="D338" s="42" t="s">
        <v>591</v>
      </c>
      <c r="E338" s="42" t="s">
        <v>724</v>
      </c>
      <c r="F338" s="42" t="s">
        <v>802</v>
      </c>
      <c r="G338" s="43" t="s">
        <v>80</v>
      </c>
      <c r="H338" s="43" t="s">
        <v>100</v>
      </c>
      <c r="I338" s="44"/>
      <c r="J338" s="44"/>
      <c r="K338" s="44"/>
      <c r="L338" s="45"/>
      <c r="M338" s="46"/>
      <c r="N338" s="45"/>
      <c r="O338" s="47" t="str">
        <f aca="false">IF(OR($L338="",$M338=""),"",(DATE(Semana!$J$3,1,4)-WEEKDAY(DATE(Semana!$J$3,1,4),3))+($L338-1)*7+MATCH($M338,Listas!$F$5:$F$11,0)-1)</f>
        <v/>
      </c>
      <c r="P338" s="47" t="str">
        <f aca="false">IF(OR($F338="",$O338=""),"",$O338+MAX(0,ROUNDUP($AK338*MAX(1,IF($N338="",1,$N338))/MAX(1,$AL338),0)-1))</f>
        <v/>
      </c>
      <c r="Q338" s="48"/>
      <c r="R338" s="43"/>
      <c r="S338" s="49"/>
      <c r="T338" s="42"/>
      <c r="U338" s="42"/>
      <c r="V338" s="39" t="str">
        <f aca="false">IF($F338="","",IF(ISNUMBER(SEARCH("(externo)",$I338&amp;$J338&amp;$K338)),"Terceirizada","Interna"))</f>
        <v>Interna</v>
      </c>
      <c r="W338" s="47" t="str">
        <f aca="false">IF($O338="","",IF($S338="",$O338,(DATE(Semana!$J$3,1,4)-WEEKDAY(DATE(Semana!$J$3,1,4),3))+($S338-1)*7+IF($M338="",0,MATCH($M338,Listas!$F$5:$F$11,0)-1)))</f>
        <v/>
      </c>
      <c r="X338" s="39" t="n">
        <f aca="false">IF($F338="","",IF(OR($AT338="",$O338=""),0,IF($AT338&lt;=$O338,1,0)))</f>
        <v>0</v>
      </c>
      <c r="Y338" s="39" t="n">
        <f aca="false">IF($F338="","",IF(OR($AT338="",$W338=""),0,IF($AT338&lt;=$W338,1,0)))</f>
        <v>0</v>
      </c>
      <c r="Z338" s="39" t="str">
        <f aca="false">IF(OR($AT338="",$O338=""),"",MAX(0,$AT338-$O338))</f>
        <v/>
      </c>
      <c r="AA338" s="39" t="n">
        <f aca="false">IF($F338="","",IF(AND($S338&lt;&gt;"",$L338&lt;&gt;"",$S338&lt;&gt;$L338),1,0))</f>
        <v>0</v>
      </c>
      <c r="AB338" s="39" t="n">
        <f aca="false">IF($F338="","",IF($R338="Cancelada",0,IF(OR($AT338&lt;&gt;"",$R338="Concluída"),1,0)))</f>
        <v>0</v>
      </c>
      <c r="AC338" s="39" t="n">
        <f aca="false">IF($P338="",0,IF($P338&lt;Hoje!$L$1,1,IF(AND($P338=Hoje!$L$1,Hoje!$L$2&gt;Semana!$M$3),1,0)))</f>
        <v>0</v>
      </c>
      <c r="AD338" s="39" t="n">
        <f aca="false">IF($F338="","",IF(COUNTA($I338:$K338)=0,0,1/COUNTA($I338:$K338)))</f>
        <v>0</v>
      </c>
      <c r="AE338" s="39" t="str">
        <f aca="false">IF($AH338=0,"",SUM($AH$4:$AH338))</f>
        <v/>
      </c>
      <c r="AF338" s="39" t="str">
        <f aca="false">IF($AI338=0,"",SUM($AI$4:$AI338))</f>
        <v/>
      </c>
      <c r="AG338" s="50" t="str">
        <f aca="false">IF($F338="","",$I338&amp;IF($J338="",""," · "&amp;$J338)&amp;IF($K338="",""," · "&amp;$K338))</f>
        <v/>
      </c>
      <c r="AH338" s="39" t="n">
        <f aca="false">IF(AND($F338&lt;&gt;"",$O338&lt;&gt;"",$O338&lt;=Hoje!$C$3,$P338&gt;=Hoje!$C$3,$R338&lt;&gt;"Cancelada"),1,0)</f>
        <v>0</v>
      </c>
      <c r="AI338" s="39" t="n">
        <f aca="false">IF(AND($F338&lt;&gt;"",$P338&lt;&gt;"",$P338&lt;Hoje!$C$3,$AB338=0,$R338&lt;&gt;"Cancelada"),1,0)</f>
        <v>0</v>
      </c>
      <c r="AJ338" s="50" t="str">
        <f aca="false">IF($F338="","",$D338&amp;"|"&amp;$E338&amp;"|"&amp;$L338)</f>
        <v>F-968|Programação 09/09|</v>
      </c>
      <c r="AK338" s="39" t="n">
        <f aca="false">IF($AJ338="","",COUNTIF($AJ$4:$AJ338,$AJ338))</f>
        <v>13</v>
      </c>
      <c r="AL338" s="39" t="n">
        <f aca="false">IF($AJ338="","",COUNTIF($AJ$4:$AJ$1004,$AJ338))</f>
        <v>13</v>
      </c>
      <c r="AM338" s="42"/>
      <c r="AN338" s="50" t="str">
        <f aca="false">IF($D338="","",IFERROR(T(VLOOKUP($D338,Listas!$B$5:$H$120,7,0)),""))</f>
        <v>Petro</v>
      </c>
      <c r="AO338" s="50" t="str">
        <f aca="false">IF(OR($F338="",$L338&lt;&gt;"",$R338="Cancelada",$AT338&lt;&gt;""),"",$AN338&amp;"|"&amp;$D338&amp;"|"&amp;IF($C338="","zzz",$C338)&amp;"|"&amp;TEXT(338,"0000"))</f>
        <v>Petro|F-968|007474|0338</v>
      </c>
      <c r="AP338" s="50" t="n">
        <f aca="false">IF($AO338="","",COUNTIF($AO$5:$AO$1004,"&lt;"&amp;$AO338)-(ROWS($AO$5:$AO$1004)-Hoje!$L$5)+1)</f>
        <v>86</v>
      </c>
      <c r="AQ338" s="50" t="n">
        <f aca="false">IF(AND($F338&lt;&gt;"",$D338=Frota!$C$3),1,0)</f>
        <v>0</v>
      </c>
      <c r="AR338" s="50" t="str">
        <f aca="false">IF($AQ338=0,"",SUM($AQ$4:$AQ338))</f>
        <v/>
      </c>
      <c r="AS338" s="50" t="str">
        <f aca="false">IFERROR(INDEX(Hoje!$K$10:$K$29,MATCH(ROW(),Hoje!$J$10:$J$29,0)),"")</f>
        <v/>
      </c>
      <c r="AT338" s="50" t="str">
        <f aca="false">IF($Q338&lt;&gt;"",$Q338,$AS338)</f>
        <v/>
      </c>
    </row>
    <row r="339" customFormat="false" ht="16.5" hidden="false" customHeight="true" outlineLevel="0" collapsed="false">
      <c r="A339" s="39" t="n">
        <f aca="false">IF($F339="","",ROW())</f>
        <v>339</v>
      </c>
      <c r="B339" s="40" t="str">
        <f aca="false">IF($F339="",IF($D339="","","Falta a atividade"),IF($R339="Cancelada","Cancelada",IF($AB339=1,IF(N($Z339)&gt;0,"Concluída com atraso","Concluída"),IF($R339="Em programação","Em programação",IF($O339="",IF($M339="","Na carteira","Falta a semana"),IF($AC339=1,"VENCIDA",IF($O339&gt;Hoje!$L$1,"Programada",IF($P339&gt;Hoje!$L$1,"Em execução","Fecha hoje"))))))))</f>
        <v>Na carteira</v>
      </c>
      <c r="C339" s="41" t="s">
        <v>803</v>
      </c>
      <c r="D339" s="42" t="s">
        <v>804</v>
      </c>
      <c r="E339" s="42" t="s">
        <v>724</v>
      </c>
      <c r="F339" s="42" t="s">
        <v>805</v>
      </c>
      <c r="G339" s="43" t="s">
        <v>80</v>
      </c>
      <c r="H339" s="43" t="s">
        <v>100</v>
      </c>
      <c r="I339" s="44"/>
      <c r="J339" s="44"/>
      <c r="K339" s="44"/>
      <c r="L339" s="45"/>
      <c r="M339" s="46"/>
      <c r="N339" s="45"/>
      <c r="O339" s="47" t="str">
        <f aca="false">IF(OR($L339="",$M339=""),"",(DATE(Semana!$J$3,1,4)-WEEKDAY(DATE(Semana!$J$3,1,4),3))+($L339-1)*7+MATCH($M339,Listas!$F$5:$F$11,0)-1)</f>
        <v/>
      </c>
      <c r="P339" s="47" t="str">
        <f aca="false">IF(OR($F339="",$O339=""),"",$O339+MAX(0,ROUNDUP($AK339*MAX(1,IF($N339="",1,$N339))/MAX(1,$AL339),0)-1))</f>
        <v/>
      </c>
      <c r="Q339" s="48"/>
      <c r="R339" s="43"/>
      <c r="S339" s="49"/>
      <c r="T339" s="42"/>
      <c r="U339" s="42" t="s">
        <v>728</v>
      </c>
      <c r="V339" s="39" t="str">
        <f aca="false">IF($F339="","",IF(ISNUMBER(SEARCH("(externo)",$I339&amp;$J339&amp;$K339)),"Terceirizada","Interna"))</f>
        <v>Interna</v>
      </c>
      <c r="W339" s="47" t="str">
        <f aca="false">IF($O339="","",IF($S339="",$O339,(DATE(Semana!$J$3,1,4)-WEEKDAY(DATE(Semana!$J$3,1,4),3))+($S339-1)*7+IF($M339="",0,MATCH($M339,Listas!$F$5:$F$11,0)-1)))</f>
        <v/>
      </c>
      <c r="X339" s="39" t="n">
        <f aca="false">IF($F339="","",IF(OR($AT339="",$O339=""),0,IF($AT339&lt;=$O339,1,0)))</f>
        <v>0</v>
      </c>
      <c r="Y339" s="39" t="n">
        <f aca="false">IF($F339="","",IF(OR($AT339="",$W339=""),0,IF($AT339&lt;=$W339,1,0)))</f>
        <v>0</v>
      </c>
      <c r="Z339" s="39" t="str">
        <f aca="false">IF(OR($AT339="",$O339=""),"",MAX(0,$AT339-$O339))</f>
        <v/>
      </c>
      <c r="AA339" s="39" t="n">
        <f aca="false">IF($F339="","",IF(AND($S339&lt;&gt;"",$L339&lt;&gt;"",$S339&lt;&gt;$L339),1,0))</f>
        <v>0</v>
      </c>
      <c r="AB339" s="39" t="n">
        <f aca="false">IF($F339="","",IF($R339="Cancelada",0,IF(OR($AT339&lt;&gt;"",$R339="Concluída"),1,0)))</f>
        <v>0</v>
      </c>
      <c r="AC339" s="39" t="n">
        <f aca="false">IF($P339="",0,IF($P339&lt;Hoje!$L$1,1,IF(AND($P339=Hoje!$L$1,Hoje!$L$2&gt;Semana!$M$3),1,0)))</f>
        <v>0</v>
      </c>
      <c r="AD339" s="39" t="n">
        <f aca="false">IF($F339="","",IF(COUNTA($I339:$K339)=0,0,1/COUNTA($I339:$K339)))</f>
        <v>0</v>
      </c>
      <c r="AE339" s="39" t="str">
        <f aca="false">IF($AH339=0,"",SUM($AH$4:$AH339))</f>
        <v/>
      </c>
      <c r="AF339" s="39" t="str">
        <f aca="false">IF($AI339=0,"",SUM($AI$4:$AI339))</f>
        <v/>
      </c>
      <c r="AG339" s="50" t="str">
        <f aca="false">IF($F339="","",$I339&amp;IF($J339="",""," · "&amp;$J339)&amp;IF($K339="",""," · "&amp;$K339))</f>
        <v/>
      </c>
      <c r="AH339" s="39" t="n">
        <f aca="false">IF(AND($F339&lt;&gt;"",$O339&lt;&gt;"",$O339&lt;=Hoje!$C$3,$P339&gt;=Hoje!$C$3,$R339&lt;&gt;"Cancelada"),1,0)</f>
        <v>0</v>
      </c>
      <c r="AI339" s="39" t="n">
        <f aca="false">IF(AND($F339&lt;&gt;"",$P339&lt;&gt;"",$P339&lt;Hoje!$C$3,$AB339=0,$R339&lt;&gt;"Cancelada"),1,0)</f>
        <v>0</v>
      </c>
      <c r="AJ339" s="50" t="str">
        <f aca="false">IF($F339="","",$D339&amp;"|"&amp;$E339&amp;"|"&amp;$L339)</f>
        <v>F-967|Programação 09/09|</v>
      </c>
      <c r="AK339" s="39" t="n">
        <f aca="false">IF($AJ339="","",COUNTIF($AJ$4:$AJ339,$AJ339))</f>
        <v>1</v>
      </c>
      <c r="AL339" s="39" t="n">
        <f aca="false">IF($AJ339="","",COUNTIF($AJ$4:$AJ$1004,$AJ339))</f>
        <v>11</v>
      </c>
      <c r="AM339" s="42"/>
      <c r="AN339" s="50" t="str">
        <f aca="false">IF($D339="","",IFERROR(T(VLOOKUP($D339,Listas!$B$5:$H$120,7,0)),""))</f>
        <v>Petro</v>
      </c>
      <c r="AO339" s="50" t="str">
        <f aca="false">IF(OR($F339="",$L339&lt;&gt;"",$R339="Cancelada",$AT339&lt;&gt;""),"",$AN339&amp;"|"&amp;$D339&amp;"|"&amp;IF($C339="","zzz",$C339)&amp;"|"&amp;TEXT(339,"0000"))</f>
        <v>Petro|F-967|007475|0339</v>
      </c>
      <c r="AP339" s="50" t="n">
        <f aca="false">IF($AO339="","",COUNTIF($AO$5:$AO$1004,"&lt;"&amp;$AO339)-(ROWS($AO$5:$AO$1004)-Hoje!$L$5)+1)</f>
        <v>63</v>
      </c>
      <c r="AQ339" s="50" t="n">
        <f aca="false">IF(AND($F339&lt;&gt;"",$D339=Frota!$C$3),1,0)</f>
        <v>0</v>
      </c>
      <c r="AR339" s="50" t="str">
        <f aca="false">IF($AQ339=0,"",SUM($AQ$4:$AQ339))</f>
        <v/>
      </c>
      <c r="AS339" s="50" t="str">
        <f aca="false">IFERROR(INDEX(Hoje!$K$10:$K$29,MATCH(ROW(),Hoje!$J$10:$J$29,0)),"")</f>
        <v/>
      </c>
      <c r="AT339" s="50" t="str">
        <f aca="false">IF($Q339&lt;&gt;"",$Q339,$AS339)</f>
        <v/>
      </c>
    </row>
    <row r="340" customFormat="false" ht="16.5" hidden="false" customHeight="true" outlineLevel="0" collapsed="false">
      <c r="A340" s="39" t="n">
        <f aca="false">IF($F340="","",ROW())</f>
        <v>340</v>
      </c>
      <c r="B340" s="40" t="str">
        <f aca="false">IF($F340="",IF($D340="","","Falta a atividade"),IF($R340="Cancelada","Cancelada",IF($AB340=1,IF(N($Z340)&gt;0,"Concluída com atraso","Concluída"),IF($R340="Em programação","Em programação",IF($O340="",IF($M340="","Na carteira","Falta a semana"),IF($AC340=1,"VENCIDA",IF($O340&gt;Hoje!$L$1,"Programada",IF($P340&gt;Hoje!$L$1,"Em execução","Fecha hoje"))))))))</f>
        <v>Na carteira</v>
      </c>
      <c r="C340" s="41" t="s">
        <v>806</v>
      </c>
      <c r="D340" s="42" t="s">
        <v>804</v>
      </c>
      <c r="E340" s="42" t="s">
        <v>724</v>
      </c>
      <c r="F340" s="42" t="s">
        <v>807</v>
      </c>
      <c r="G340" s="43" t="s">
        <v>80</v>
      </c>
      <c r="H340" s="43" t="s">
        <v>100</v>
      </c>
      <c r="I340" s="44"/>
      <c r="J340" s="44"/>
      <c r="K340" s="44"/>
      <c r="L340" s="45"/>
      <c r="M340" s="46"/>
      <c r="N340" s="45"/>
      <c r="O340" s="47" t="str">
        <f aca="false">IF(OR($L340="",$M340=""),"",(DATE(Semana!$J$3,1,4)-WEEKDAY(DATE(Semana!$J$3,1,4),3))+($L340-1)*7+MATCH($M340,Listas!$F$5:$F$11,0)-1)</f>
        <v/>
      </c>
      <c r="P340" s="47" t="str">
        <f aca="false">IF(OR($F340="",$O340=""),"",$O340+MAX(0,ROUNDUP($AK340*MAX(1,IF($N340="",1,$N340))/MAX(1,$AL340),0)-1))</f>
        <v/>
      </c>
      <c r="Q340" s="48"/>
      <c r="R340" s="43"/>
      <c r="S340" s="49"/>
      <c r="T340" s="42"/>
      <c r="U340" s="42"/>
      <c r="V340" s="39" t="str">
        <f aca="false">IF($F340="","",IF(ISNUMBER(SEARCH("(externo)",$I340&amp;$J340&amp;$K340)),"Terceirizada","Interna"))</f>
        <v>Interna</v>
      </c>
      <c r="W340" s="47" t="str">
        <f aca="false">IF($O340="","",IF($S340="",$O340,(DATE(Semana!$J$3,1,4)-WEEKDAY(DATE(Semana!$J$3,1,4),3))+($S340-1)*7+IF($M340="",0,MATCH($M340,Listas!$F$5:$F$11,0)-1)))</f>
        <v/>
      </c>
      <c r="X340" s="39" t="n">
        <f aca="false">IF($F340="","",IF(OR($AT340="",$O340=""),0,IF($AT340&lt;=$O340,1,0)))</f>
        <v>0</v>
      </c>
      <c r="Y340" s="39" t="n">
        <f aca="false">IF($F340="","",IF(OR($AT340="",$W340=""),0,IF($AT340&lt;=$W340,1,0)))</f>
        <v>0</v>
      </c>
      <c r="Z340" s="39" t="str">
        <f aca="false">IF(OR($AT340="",$O340=""),"",MAX(0,$AT340-$O340))</f>
        <v/>
      </c>
      <c r="AA340" s="39" t="n">
        <f aca="false">IF($F340="","",IF(AND($S340&lt;&gt;"",$L340&lt;&gt;"",$S340&lt;&gt;$L340),1,0))</f>
        <v>0</v>
      </c>
      <c r="AB340" s="39" t="n">
        <f aca="false">IF($F340="","",IF($R340="Cancelada",0,IF(OR($AT340&lt;&gt;"",$R340="Concluída"),1,0)))</f>
        <v>0</v>
      </c>
      <c r="AC340" s="39" t="n">
        <f aca="false">IF($P340="",0,IF($P340&lt;Hoje!$L$1,1,IF(AND($P340=Hoje!$L$1,Hoje!$L$2&gt;Semana!$M$3),1,0)))</f>
        <v>0</v>
      </c>
      <c r="AD340" s="39" t="n">
        <f aca="false">IF($F340="","",IF(COUNTA($I340:$K340)=0,0,1/COUNTA($I340:$K340)))</f>
        <v>0</v>
      </c>
      <c r="AE340" s="39" t="str">
        <f aca="false">IF($AH340=0,"",SUM($AH$4:$AH340))</f>
        <v/>
      </c>
      <c r="AF340" s="39" t="str">
        <f aca="false">IF($AI340=0,"",SUM($AI$4:$AI340))</f>
        <v/>
      </c>
      <c r="AG340" s="50" t="str">
        <f aca="false">IF($F340="","",$I340&amp;IF($J340="",""," · "&amp;$J340)&amp;IF($K340="",""," · "&amp;$K340))</f>
        <v/>
      </c>
      <c r="AH340" s="39" t="n">
        <f aca="false">IF(AND($F340&lt;&gt;"",$O340&lt;&gt;"",$O340&lt;=Hoje!$C$3,$P340&gt;=Hoje!$C$3,$R340&lt;&gt;"Cancelada"),1,0)</f>
        <v>0</v>
      </c>
      <c r="AI340" s="39" t="n">
        <f aca="false">IF(AND($F340&lt;&gt;"",$P340&lt;&gt;"",$P340&lt;Hoje!$C$3,$AB340=0,$R340&lt;&gt;"Cancelada"),1,0)</f>
        <v>0</v>
      </c>
      <c r="AJ340" s="50" t="str">
        <f aca="false">IF($F340="","",$D340&amp;"|"&amp;$E340&amp;"|"&amp;$L340)</f>
        <v>F-967|Programação 09/09|</v>
      </c>
      <c r="AK340" s="39" t="n">
        <f aca="false">IF($AJ340="","",COUNTIF($AJ$4:$AJ340,$AJ340))</f>
        <v>2</v>
      </c>
      <c r="AL340" s="39" t="n">
        <f aca="false">IF($AJ340="","",COUNTIF($AJ$4:$AJ$1004,$AJ340))</f>
        <v>11</v>
      </c>
      <c r="AM340" s="42"/>
      <c r="AN340" s="50" t="str">
        <f aca="false">IF($D340="","",IFERROR(T(VLOOKUP($D340,Listas!$B$5:$H$120,7,0)),""))</f>
        <v>Petro</v>
      </c>
      <c r="AO340" s="50" t="str">
        <f aca="false">IF(OR($F340="",$L340&lt;&gt;"",$R340="Cancelada",$AT340&lt;&gt;""),"",$AN340&amp;"|"&amp;$D340&amp;"|"&amp;IF($C340="","zzz",$C340)&amp;"|"&amp;TEXT(340,"0000"))</f>
        <v>Petro|F-967|007476|0340</v>
      </c>
      <c r="AP340" s="50" t="n">
        <f aca="false">IF($AO340="","",COUNTIF($AO$5:$AO$1004,"&lt;"&amp;$AO340)-(ROWS($AO$5:$AO$1004)-Hoje!$L$5)+1)</f>
        <v>64</v>
      </c>
      <c r="AQ340" s="50" t="n">
        <f aca="false">IF(AND($F340&lt;&gt;"",$D340=Frota!$C$3),1,0)</f>
        <v>0</v>
      </c>
      <c r="AR340" s="50" t="str">
        <f aca="false">IF($AQ340=0,"",SUM($AQ$4:$AQ340))</f>
        <v/>
      </c>
      <c r="AS340" s="50" t="str">
        <f aca="false">IFERROR(INDEX(Hoje!$K$10:$K$29,MATCH(ROW(),Hoje!$J$10:$J$29,0)),"")</f>
        <v/>
      </c>
      <c r="AT340" s="50" t="str">
        <f aca="false">IF($Q340&lt;&gt;"",$Q340,$AS340)</f>
        <v/>
      </c>
    </row>
    <row r="341" customFormat="false" ht="16.5" hidden="false" customHeight="true" outlineLevel="0" collapsed="false">
      <c r="A341" s="39" t="n">
        <f aca="false">IF($F341="","",ROW())</f>
        <v>341</v>
      </c>
      <c r="B341" s="40" t="str">
        <f aca="false">IF($F341="",IF($D341="","","Falta a atividade"),IF($R341="Cancelada","Cancelada",IF($AB341=1,IF(N($Z341)&gt;0,"Concluída com atraso","Concluída"),IF($R341="Em programação","Em programação",IF($O341="",IF($M341="","Na carteira","Falta a semana"),IF($AC341=1,"VENCIDA",IF($O341&gt;Hoje!$L$1,"Programada",IF($P341&gt;Hoje!$L$1,"Em execução","Fecha hoje"))))))))</f>
        <v>Na carteira</v>
      </c>
      <c r="C341" s="41" t="s">
        <v>808</v>
      </c>
      <c r="D341" s="42" t="s">
        <v>804</v>
      </c>
      <c r="E341" s="42" t="s">
        <v>724</v>
      </c>
      <c r="F341" s="42" t="s">
        <v>809</v>
      </c>
      <c r="G341" s="43" t="s">
        <v>80</v>
      </c>
      <c r="H341" s="43" t="s">
        <v>100</v>
      </c>
      <c r="I341" s="44"/>
      <c r="J341" s="44"/>
      <c r="K341" s="44"/>
      <c r="L341" s="45"/>
      <c r="M341" s="46"/>
      <c r="N341" s="45"/>
      <c r="O341" s="47" t="str">
        <f aca="false">IF(OR($L341="",$M341=""),"",(DATE(Semana!$J$3,1,4)-WEEKDAY(DATE(Semana!$J$3,1,4),3))+($L341-1)*7+MATCH($M341,Listas!$F$5:$F$11,0)-1)</f>
        <v/>
      </c>
      <c r="P341" s="47" t="str">
        <f aca="false">IF(OR($F341="",$O341=""),"",$O341+MAX(0,ROUNDUP($AK341*MAX(1,IF($N341="",1,$N341))/MAX(1,$AL341),0)-1))</f>
        <v/>
      </c>
      <c r="Q341" s="48"/>
      <c r="R341" s="43"/>
      <c r="S341" s="49"/>
      <c r="T341" s="42"/>
      <c r="U341" s="42"/>
      <c r="V341" s="39" t="str">
        <f aca="false">IF($F341="","",IF(ISNUMBER(SEARCH("(externo)",$I341&amp;$J341&amp;$K341)),"Terceirizada","Interna"))</f>
        <v>Interna</v>
      </c>
      <c r="W341" s="47" t="str">
        <f aca="false">IF($O341="","",IF($S341="",$O341,(DATE(Semana!$J$3,1,4)-WEEKDAY(DATE(Semana!$J$3,1,4),3))+($S341-1)*7+IF($M341="",0,MATCH($M341,Listas!$F$5:$F$11,0)-1)))</f>
        <v/>
      </c>
      <c r="X341" s="39" t="n">
        <f aca="false">IF($F341="","",IF(OR($AT341="",$O341=""),0,IF($AT341&lt;=$O341,1,0)))</f>
        <v>0</v>
      </c>
      <c r="Y341" s="39" t="n">
        <f aca="false">IF($F341="","",IF(OR($AT341="",$W341=""),0,IF($AT341&lt;=$W341,1,0)))</f>
        <v>0</v>
      </c>
      <c r="Z341" s="39" t="str">
        <f aca="false">IF(OR($AT341="",$O341=""),"",MAX(0,$AT341-$O341))</f>
        <v/>
      </c>
      <c r="AA341" s="39" t="n">
        <f aca="false">IF($F341="","",IF(AND($S341&lt;&gt;"",$L341&lt;&gt;"",$S341&lt;&gt;$L341),1,0))</f>
        <v>0</v>
      </c>
      <c r="AB341" s="39" t="n">
        <f aca="false">IF($F341="","",IF($R341="Cancelada",0,IF(OR($AT341&lt;&gt;"",$R341="Concluída"),1,0)))</f>
        <v>0</v>
      </c>
      <c r="AC341" s="39" t="n">
        <f aca="false">IF($P341="",0,IF($P341&lt;Hoje!$L$1,1,IF(AND($P341=Hoje!$L$1,Hoje!$L$2&gt;Semana!$M$3),1,0)))</f>
        <v>0</v>
      </c>
      <c r="AD341" s="39" t="n">
        <f aca="false">IF($F341="","",IF(COUNTA($I341:$K341)=0,0,1/COUNTA($I341:$K341)))</f>
        <v>0</v>
      </c>
      <c r="AE341" s="39" t="str">
        <f aca="false">IF($AH341=0,"",SUM($AH$4:$AH341))</f>
        <v/>
      </c>
      <c r="AF341" s="39" t="str">
        <f aca="false">IF($AI341=0,"",SUM($AI$4:$AI341))</f>
        <v/>
      </c>
      <c r="AG341" s="50" t="str">
        <f aca="false">IF($F341="","",$I341&amp;IF($J341="",""," · "&amp;$J341)&amp;IF($K341="",""," · "&amp;$K341))</f>
        <v/>
      </c>
      <c r="AH341" s="39" t="n">
        <f aca="false">IF(AND($F341&lt;&gt;"",$O341&lt;&gt;"",$O341&lt;=Hoje!$C$3,$P341&gt;=Hoje!$C$3,$R341&lt;&gt;"Cancelada"),1,0)</f>
        <v>0</v>
      </c>
      <c r="AI341" s="39" t="n">
        <f aca="false">IF(AND($F341&lt;&gt;"",$P341&lt;&gt;"",$P341&lt;Hoje!$C$3,$AB341=0,$R341&lt;&gt;"Cancelada"),1,0)</f>
        <v>0</v>
      </c>
      <c r="AJ341" s="50" t="str">
        <f aca="false">IF($F341="","",$D341&amp;"|"&amp;$E341&amp;"|"&amp;$L341)</f>
        <v>F-967|Programação 09/09|</v>
      </c>
      <c r="AK341" s="39" t="n">
        <f aca="false">IF($AJ341="","",COUNTIF($AJ$4:$AJ341,$AJ341))</f>
        <v>3</v>
      </c>
      <c r="AL341" s="39" t="n">
        <f aca="false">IF($AJ341="","",COUNTIF($AJ$4:$AJ$1004,$AJ341))</f>
        <v>11</v>
      </c>
      <c r="AM341" s="42"/>
      <c r="AN341" s="50" t="str">
        <f aca="false">IF($D341="","",IFERROR(T(VLOOKUP($D341,Listas!$B$5:$H$120,7,0)),""))</f>
        <v>Petro</v>
      </c>
      <c r="AO341" s="50" t="str">
        <f aca="false">IF(OR($F341="",$L341&lt;&gt;"",$R341="Cancelada",$AT341&lt;&gt;""),"",$AN341&amp;"|"&amp;$D341&amp;"|"&amp;IF($C341="","zzz",$C341)&amp;"|"&amp;TEXT(341,"0000"))</f>
        <v>Petro|F-967|007477|0341</v>
      </c>
      <c r="AP341" s="50" t="n">
        <f aca="false">IF($AO341="","",COUNTIF($AO$5:$AO$1004,"&lt;"&amp;$AO341)-(ROWS($AO$5:$AO$1004)-Hoje!$L$5)+1)</f>
        <v>65</v>
      </c>
      <c r="AQ341" s="50" t="n">
        <f aca="false">IF(AND($F341&lt;&gt;"",$D341=Frota!$C$3),1,0)</f>
        <v>0</v>
      </c>
      <c r="AR341" s="50" t="str">
        <f aca="false">IF($AQ341=0,"",SUM($AQ$4:$AQ341))</f>
        <v/>
      </c>
      <c r="AS341" s="50" t="str">
        <f aca="false">IFERROR(INDEX(Hoje!$K$10:$K$29,MATCH(ROW(),Hoje!$J$10:$J$29,0)),"")</f>
        <v/>
      </c>
      <c r="AT341" s="50" t="str">
        <f aca="false">IF($Q341&lt;&gt;"",$Q341,$AS341)</f>
        <v/>
      </c>
    </row>
    <row r="342" customFormat="false" ht="16.5" hidden="false" customHeight="true" outlineLevel="0" collapsed="false">
      <c r="A342" s="39" t="n">
        <f aca="false">IF($F342="","",ROW())</f>
        <v>342</v>
      </c>
      <c r="B342" s="40" t="str">
        <f aca="false">IF($F342="",IF($D342="","","Falta a atividade"),IF($R342="Cancelada","Cancelada",IF($AB342=1,IF(N($Z342)&gt;0,"Concluída com atraso","Concluída"),IF($R342="Em programação","Em programação",IF($O342="",IF($M342="","Na carteira","Falta a semana"),IF($AC342=1,"VENCIDA",IF($O342&gt;Hoje!$L$1,"Programada",IF($P342&gt;Hoje!$L$1,"Em execução","Fecha hoje"))))))))</f>
        <v>Na carteira</v>
      </c>
      <c r="C342" s="41" t="s">
        <v>810</v>
      </c>
      <c r="D342" s="42" t="s">
        <v>804</v>
      </c>
      <c r="E342" s="42" t="s">
        <v>724</v>
      </c>
      <c r="F342" s="42" t="s">
        <v>811</v>
      </c>
      <c r="G342" s="43" t="s">
        <v>80</v>
      </c>
      <c r="H342" s="43" t="s">
        <v>100</v>
      </c>
      <c r="I342" s="44"/>
      <c r="J342" s="44"/>
      <c r="K342" s="44"/>
      <c r="L342" s="45"/>
      <c r="M342" s="46"/>
      <c r="N342" s="45"/>
      <c r="O342" s="47" t="str">
        <f aca="false">IF(OR($L342="",$M342=""),"",(DATE(Semana!$J$3,1,4)-WEEKDAY(DATE(Semana!$J$3,1,4),3))+($L342-1)*7+MATCH($M342,Listas!$F$5:$F$11,0)-1)</f>
        <v/>
      </c>
      <c r="P342" s="47" t="str">
        <f aca="false">IF(OR($F342="",$O342=""),"",$O342+MAX(0,ROUNDUP($AK342*MAX(1,IF($N342="",1,$N342))/MAX(1,$AL342),0)-1))</f>
        <v/>
      </c>
      <c r="Q342" s="48"/>
      <c r="R342" s="43"/>
      <c r="S342" s="49"/>
      <c r="T342" s="42"/>
      <c r="U342" s="42"/>
      <c r="V342" s="39" t="str">
        <f aca="false">IF($F342="","",IF(ISNUMBER(SEARCH("(externo)",$I342&amp;$J342&amp;$K342)),"Terceirizada","Interna"))</f>
        <v>Interna</v>
      </c>
      <c r="W342" s="47" t="str">
        <f aca="false">IF($O342="","",IF($S342="",$O342,(DATE(Semana!$J$3,1,4)-WEEKDAY(DATE(Semana!$J$3,1,4),3))+($S342-1)*7+IF($M342="",0,MATCH($M342,Listas!$F$5:$F$11,0)-1)))</f>
        <v/>
      </c>
      <c r="X342" s="39" t="n">
        <f aca="false">IF($F342="","",IF(OR($AT342="",$O342=""),0,IF($AT342&lt;=$O342,1,0)))</f>
        <v>0</v>
      </c>
      <c r="Y342" s="39" t="n">
        <f aca="false">IF($F342="","",IF(OR($AT342="",$W342=""),0,IF($AT342&lt;=$W342,1,0)))</f>
        <v>0</v>
      </c>
      <c r="Z342" s="39" t="str">
        <f aca="false">IF(OR($AT342="",$O342=""),"",MAX(0,$AT342-$O342))</f>
        <v/>
      </c>
      <c r="AA342" s="39" t="n">
        <f aca="false">IF($F342="","",IF(AND($S342&lt;&gt;"",$L342&lt;&gt;"",$S342&lt;&gt;$L342),1,0))</f>
        <v>0</v>
      </c>
      <c r="AB342" s="39" t="n">
        <f aca="false">IF($F342="","",IF($R342="Cancelada",0,IF(OR($AT342&lt;&gt;"",$R342="Concluída"),1,0)))</f>
        <v>0</v>
      </c>
      <c r="AC342" s="39" t="n">
        <f aca="false">IF($P342="",0,IF($P342&lt;Hoje!$L$1,1,IF(AND($P342=Hoje!$L$1,Hoje!$L$2&gt;Semana!$M$3),1,0)))</f>
        <v>0</v>
      </c>
      <c r="AD342" s="39" t="n">
        <f aca="false">IF($F342="","",IF(COUNTA($I342:$K342)=0,0,1/COUNTA($I342:$K342)))</f>
        <v>0</v>
      </c>
      <c r="AE342" s="39" t="str">
        <f aca="false">IF($AH342=0,"",SUM($AH$4:$AH342))</f>
        <v/>
      </c>
      <c r="AF342" s="39" t="str">
        <f aca="false">IF($AI342=0,"",SUM($AI$4:$AI342))</f>
        <v/>
      </c>
      <c r="AG342" s="50" t="str">
        <f aca="false">IF($F342="","",$I342&amp;IF($J342="",""," · "&amp;$J342)&amp;IF($K342="",""," · "&amp;$K342))</f>
        <v/>
      </c>
      <c r="AH342" s="39" t="n">
        <f aca="false">IF(AND($F342&lt;&gt;"",$O342&lt;&gt;"",$O342&lt;=Hoje!$C$3,$P342&gt;=Hoje!$C$3,$R342&lt;&gt;"Cancelada"),1,0)</f>
        <v>0</v>
      </c>
      <c r="AI342" s="39" t="n">
        <f aca="false">IF(AND($F342&lt;&gt;"",$P342&lt;&gt;"",$P342&lt;Hoje!$C$3,$AB342=0,$R342&lt;&gt;"Cancelada"),1,0)</f>
        <v>0</v>
      </c>
      <c r="AJ342" s="50" t="str">
        <f aca="false">IF($F342="","",$D342&amp;"|"&amp;$E342&amp;"|"&amp;$L342)</f>
        <v>F-967|Programação 09/09|</v>
      </c>
      <c r="AK342" s="39" t="n">
        <f aca="false">IF($AJ342="","",COUNTIF($AJ$4:$AJ342,$AJ342))</f>
        <v>4</v>
      </c>
      <c r="AL342" s="39" t="n">
        <f aca="false">IF($AJ342="","",COUNTIF($AJ$4:$AJ$1004,$AJ342))</f>
        <v>11</v>
      </c>
      <c r="AM342" s="42"/>
      <c r="AN342" s="50" t="str">
        <f aca="false">IF($D342="","",IFERROR(T(VLOOKUP($D342,Listas!$B$5:$H$120,7,0)),""))</f>
        <v>Petro</v>
      </c>
      <c r="AO342" s="50" t="str">
        <f aca="false">IF(OR($F342="",$L342&lt;&gt;"",$R342="Cancelada",$AT342&lt;&gt;""),"",$AN342&amp;"|"&amp;$D342&amp;"|"&amp;IF($C342="","zzz",$C342)&amp;"|"&amp;TEXT(342,"0000"))</f>
        <v>Petro|F-967|007478|0342</v>
      </c>
      <c r="AP342" s="50" t="n">
        <f aca="false">IF($AO342="","",COUNTIF($AO$5:$AO$1004,"&lt;"&amp;$AO342)-(ROWS($AO$5:$AO$1004)-Hoje!$L$5)+1)</f>
        <v>66</v>
      </c>
      <c r="AQ342" s="50" t="n">
        <f aca="false">IF(AND($F342&lt;&gt;"",$D342=Frota!$C$3),1,0)</f>
        <v>0</v>
      </c>
      <c r="AR342" s="50" t="str">
        <f aca="false">IF($AQ342=0,"",SUM($AQ$4:$AQ342))</f>
        <v/>
      </c>
      <c r="AS342" s="50" t="str">
        <f aca="false">IFERROR(INDEX(Hoje!$K$10:$K$29,MATCH(ROW(),Hoje!$J$10:$J$29,0)),"")</f>
        <v/>
      </c>
      <c r="AT342" s="50" t="str">
        <f aca="false">IF($Q342&lt;&gt;"",$Q342,$AS342)</f>
        <v/>
      </c>
    </row>
    <row r="343" customFormat="false" ht="16.5" hidden="false" customHeight="true" outlineLevel="0" collapsed="false">
      <c r="A343" s="39" t="n">
        <f aca="false">IF($F343="","",ROW())</f>
        <v>343</v>
      </c>
      <c r="B343" s="40" t="str">
        <f aca="false">IF($F343="",IF($D343="","","Falta a atividade"),IF($R343="Cancelada","Cancelada",IF($AB343=1,IF(N($Z343)&gt;0,"Concluída com atraso","Concluída"),IF($R343="Em programação","Em programação",IF($O343="",IF($M343="","Na carteira","Falta a semana"),IF($AC343=1,"VENCIDA",IF($O343&gt;Hoje!$L$1,"Programada",IF($P343&gt;Hoje!$L$1,"Em execução","Fecha hoje"))))))))</f>
        <v>Na carteira</v>
      </c>
      <c r="C343" s="41" t="s">
        <v>812</v>
      </c>
      <c r="D343" s="42" t="s">
        <v>804</v>
      </c>
      <c r="E343" s="42" t="s">
        <v>724</v>
      </c>
      <c r="F343" s="42" t="s">
        <v>773</v>
      </c>
      <c r="G343" s="43" t="s">
        <v>80</v>
      </c>
      <c r="H343" s="43" t="s">
        <v>100</v>
      </c>
      <c r="I343" s="44"/>
      <c r="J343" s="44"/>
      <c r="K343" s="44"/>
      <c r="L343" s="45"/>
      <c r="M343" s="46"/>
      <c r="N343" s="45"/>
      <c r="O343" s="47" t="str">
        <f aca="false">IF(OR($L343="",$M343=""),"",(DATE(Semana!$J$3,1,4)-WEEKDAY(DATE(Semana!$J$3,1,4),3))+($L343-1)*7+MATCH($M343,Listas!$F$5:$F$11,0)-1)</f>
        <v/>
      </c>
      <c r="P343" s="47" t="str">
        <f aca="false">IF(OR($F343="",$O343=""),"",$O343+MAX(0,ROUNDUP($AK343*MAX(1,IF($N343="",1,$N343))/MAX(1,$AL343),0)-1))</f>
        <v/>
      </c>
      <c r="Q343" s="48"/>
      <c r="R343" s="43"/>
      <c r="S343" s="49"/>
      <c r="T343" s="42"/>
      <c r="U343" s="42"/>
      <c r="V343" s="39" t="str">
        <f aca="false">IF($F343="","",IF(ISNUMBER(SEARCH("(externo)",$I343&amp;$J343&amp;$K343)),"Terceirizada","Interna"))</f>
        <v>Interna</v>
      </c>
      <c r="W343" s="47" t="str">
        <f aca="false">IF($O343="","",IF($S343="",$O343,(DATE(Semana!$J$3,1,4)-WEEKDAY(DATE(Semana!$J$3,1,4),3))+($S343-1)*7+IF($M343="",0,MATCH($M343,Listas!$F$5:$F$11,0)-1)))</f>
        <v/>
      </c>
      <c r="X343" s="39" t="n">
        <f aca="false">IF($F343="","",IF(OR($AT343="",$O343=""),0,IF($AT343&lt;=$O343,1,0)))</f>
        <v>0</v>
      </c>
      <c r="Y343" s="39" t="n">
        <f aca="false">IF($F343="","",IF(OR($AT343="",$W343=""),0,IF($AT343&lt;=$W343,1,0)))</f>
        <v>0</v>
      </c>
      <c r="Z343" s="39" t="str">
        <f aca="false">IF(OR($AT343="",$O343=""),"",MAX(0,$AT343-$O343))</f>
        <v/>
      </c>
      <c r="AA343" s="39" t="n">
        <f aca="false">IF($F343="","",IF(AND($S343&lt;&gt;"",$L343&lt;&gt;"",$S343&lt;&gt;$L343),1,0))</f>
        <v>0</v>
      </c>
      <c r="AB343" s="39" t="n">
        <f aca="false">IF($F343="","",IF($R343="Cancelada",0,IF(OR($AT343&lt;&gt;"",$R343="Concluída"),1,0)))</f>
        <v>0</v>
      </c>
      <c r="AC343" s="39" t="n">
        <f aca="false">IF($P343="",0,IF($P343&lt;Hoje!$L$1,1,IF(AND($P343=Hoje!$L$1,Hoje!$L$2&gt;Semana!$M$3),1,0)))</f>
        <v>0</v>
      </c>
      <c r="AD343" s="39" t="n">
        <f aca="false">IF($F343="","",IF(COUNTA($I343:$K343)=0,0,1/COUNTA($I343:$K343)))</f>
        <v>0</v>
      </c>
      <c r="AE343" s="39" t="str">
        <f aca="false">IF($AH343=0,"",SUM($AH$4:$AH343))</f>
        <v/>
      </c>
      <c r="AF343" s="39" t="str">
        <f aca="false">IF($AI343=0,"",SUM($AI$4:$AI343))</f>
        <v/>
      </c>
      <c r="AG343" s="50" t="str">
        <f aca="false">IF($F343="","",$I343&amp;IF($J343="",""," · "&amp;$J343)&amp;IF($K343="",""," · "&amp;$K343))</f>
        <v/>
      </c>
      <c r="AH343" s="39" t="n">
        <f aca="false">IF(AND($F343&lt;&gt;"",$O343&lt;&gt;"",$O343&lt;=Hoje!$C$3,$P343&gt;=Hoje!$C$3,$R343&lt;&gt;"Cancelada"),1,0)</f>
        <v>0</v>
      </c>
      <c r="AI343" s="39" t="n">
        <f aca="false">IF(AND($F343&lt;&gt;"",$P343&lt;&gt;"",$P343&lt;Hoje!$C$3,$AB343=0,$R343&lt;&gt;"Cancelada"),1,0)</f>
        <v>0</v>
      </c>
      <c r="AJ343" s="50" t="str">
        <f aca="false">IF($F343="","",$D343&amp;"|"&amp;$E343&amp;"|"&amp;$L343)</f>
        <v>F-967|Programação 09/09|</v>
      </c>
      <c r="AK343" s="39" t="n">
        <f aca="false">IF($AJ343="","",COUNTIF($AJ$4:$AJ343,$AJ343))</f>
        <v>5</v>
      </c>
      <c r="AL343" s="39" t="n">
        <f aca="false">IF($AJ343="","",COUNTIF($AJ$4:$AJ$1004,$AJ343))</f>
        <v>11</v>
      </c>
      <c r="AM343" s="42"/>
      <c r="AN343" s="50" t="str">
        <f aca="false">IF($D343="","",IFERROR(T(VLOOKUP($D343,Listas!$B$5:$H$120,7,0)),""))</f>
        <v>Petro</v>
      </c>
      <c r="AO343" s="50" t="str">
        <f aca="false">IF(OR($F343="",$L343&lt;&gt;"",$R343="Cancelada",$AT343&lt;&gt;""),"",$AN343&amp;"|"&amp;$D343&amp;"|"&amp;IF($C343="","zzz",$C343)&amp;"|"&amp;TEXT(343,"0000"))</f>
        <v>Petro|F-967|007479|0343</v>
      </c>
      <c r="AP343" s="50" t="n">
        <f aca="false">IF($AO343="","",COUNTIF($AO$5:$AO$1004,"&lt;"&amp;$AO343)-(ROWS($AO$5:$AO$1004)-Hoje!$L$5)+1)</f>
        <v>67</v>
      </c>
      <c r="AQ343" s="50" t="n">
        <f aca="false">IF(AND($F343&lt;&gt;"",$D343=Frota!$C$3),1,0)</f>
        <v>0</v>
      </c>
      <c r="AR343" s="50" t="str">
        <f aca="false">IF($AQ343=0,"",SUM($AQ$4:$AQ343))</f>
        <v/>
      </c>
      <c r="AS343" s="50" t="str">
        <f aca="false">IFERROR(INDEX(Hoje!$K$10:$K$29,MATCH(ROW(),Hoje!$J$10:$J$29,0)),"")</f>
        <v/>
      </c>
      <c r="AT343" s="50" t="str">
        <f aca="false">IF($Q343&lt;&gt;"",$Q343,$AS343)</f>
        <v/>
      </c>
    </row>
    <row r="344" customFormat="false" ht="16.5" hidden="false" customHeight="true" outlineLevel="0" collapsed="false">
      <c r="A344" s="39" t="n">
        <f aca="false">IF($F344="","",ROW())</f>
        <v>344</v>
      </c>
      <c r="B344" s="40" t="str">
        <f aca="false">IF($F344="",IF($D344="","","Falta a atividade"),IF($R344="Cancelada","Cancelada",IF($AB344=1,IF(N($Z344)&gt;0,"Concluída com atraso","Concluída"),IF($R344="Em programação","Em programação",IF($O344="",IF($M344="","Na carteira","Falta a semana"),IF($AC344=1,"VENCIDA",IF($O344&gt;Hoje!$L$1,"Programada",IF($P344&gt;Hoje!$L$1,"Em execução","Fecha hoje"))))))))</f>
        <v>Na carteira</v>
      </c>
      <c r="C344" s="41" t="s">
        <v>813</v>
      </c>
      <c r="D344" s="42" t="s">
        <v>804</v>
      </c>
      <c r="E344" s="42" t="s">
        <v>724</v>
      </c>
      <c r="F344" s="42" t="s">
        <v>814</v>
      </c>
      <c r="G344" s="43" t="s">
        <v>80</v>
      </c>
      <c r="H344" s="43" t="s">
        <v>100</v>
      </c>
      <c r="I344" s="44"/>
      <c r="J344" s="44"/>
      <c r="K344" s="44"/>
      <c r="L344" s="45"/>
      <c r="M344" s="46"/>
      <c r="N344" s="45"/>
      <c r="O344" s="47" t="str">
        <f aca="false">IF(OR($L344="",$M344=""),"",(DATE(Semana!$J$3,1,4)-WEEKDAY(DATE(Semana!$J$3,1,4),3))+($L344-1)*7+MATCH($M344,Listas!$F$5:$F$11,0)-1)</f>
        <v/>
      </c>
      <c r="P344" s="47" t="str">
        <f aca="false">IF(OR($F344="",$O344=""),"",$O344+MAX(0,ROUNDUP($AK344*MAX(1,IF($N344="",1,$N344))/MAX(1,$AL344),0)-1))</f>
        <v/>
      </c>
      <c r="Q344" s="48"/>
      <c r="R344" s="43"/>
      <c r="S344" s="49"/>
      <c r="T344" s="42"/>
      <c r="U344" s="42" t="s">
        <v>815</v>
      </c>
      <c r="V344" s="39" t="str">
        <f aca="false">IF($F344="","",IF(ISNUMBER(SEARCH("(externo)",$I344&amp;$J344&amp;$K344)),"Terceirizada","Interna"))</f>
        <v>Interna</v>
      </c>
      <c r="W344" s="47" t="str">
        <f aca="false">IF($O344="","",IF($S344="",$O344,(DATE(Semana!$J$3,1,4)-WEEKDAY(DATE(Semana!$J$3,1,4),3))+($S344-1)*7+IF($M344="",0,MATCH($M344,Listas!$F$5:$F$11,0)-1)))</f>
        <v/>
      </c>
      <c r="X344" s="39" t="n">
        <f aca="false">IF($F344="","",IF(OR($AT344="",$O344=""),0,IF($AT344&lt;=$O344,1,0)))</f>
        <v>0</v>
      </c>
      <c r="Y344" s="39" t="n">
        <f aca="false">IF($F344="","",IF(OR($AT344="",$W344=""),0,IF($AT344&lt;=$W344,1,0)))</f>
        <v>0</v>
      </c>
      <c r="Z344" s="39" t="str">
        <f aca="false">IF(OR($AT344="",$O344=""),"",MAX(0,$AT344-$O344))</f>
        <v/>
      </c>
      <c r="AA344" s="39" t="n">
        <f aca="false">IF($F344="","",IF(AND($S344&lt;&gt;"",$L344&lt;&gt;"",$S344&lt;&gt;$L344),1,0))</f>
        <v>0</v>
      </c>
      <c r="AB344" s="39" t="n">
        <f aca="false">IF($F344="","",IF($R344="Cancelada",0,IF(OR($AT344&lt;&gt;"",$R344="Concluída"),1,0)))</f>
        <v>0</v>
      </c>
      <c r="AC344" s="39" t="n">
        <f aca="false">IF($P344="",0,IF($P344&lt;Hoje!$L$1,1,IF(AND($P344=Hoje!$L$1,Hoje!$L$2&gt;Semana!$M$3),1,0)))</f>
        <v>0</v>
      </c>
      <c r="AD344" s="39" t="n">
        <f aca="false">IF($F344="","",IF(COUNTA($I344:$K344)=0,0,1/COUNTA($I344:$K344)))</f>
        <v>0</v>
      </c>
      <c r="AE344" s="39" t="str">
        <f aca="false">IF($AH344=0,"",SUM($AH$4:$AH344))</f>
        <v/>
      </c>
      <c r="AF344" s="39" t="str">
        <f aca="false">IF($AI344=0,"",SUM($AI$4:$AI344))</f>
        <v/>
      </c>
      <c r="AG344" s="50" t="str">
        <f aca="false">IF($F344="","",$I344&amp;IF($J344="",""," · "&amp;$J344)&amp;IF($K344="",""," · "&amp;$K344))</f>
        <v/>
      </c>
      <c r="AH344" s="39" t="n">
        <f aca="false">IF(AND($F344&lt;&gt;"",$O344&lt;&gt;"",$O344&lt;=Hoje!$C$3,$P344&gt;=Hoje!$C$3,$R344&lt;&gt;"Cancelada"),1,0)</f>
        <v>0</v>
      </c>
      <c r="AI344" s="39" t="n">
        <f aca="false">IF(AND($F344&lt;&gt;"",$P344&lt;&gt;"",$P344&lt;Hoje!$C$3,$AB344=0,$R344&lt;&gt;"Cancelada"),1,0)</f>
        <v>0</v>
      </c>
      <c r="AJ344" s="50" t="str">
        <f aca="false">IF($F344="","",$D344&amp;"|"&amp;$E344&amp;"|"&amp;$L344)</f>
        <v>F-967|Programação 09/09|</v>
      </c>
      <c r="AK344" s="39" t="n">
        <f aca="false">IF($AJ344="","",COUNTIF($AJ$4:$AJ344,$AJ344))</f>
        <v>6</v>
      </c>
      <c r="AL344" s="39" t="n">
        <f aca="false">IF($AJ344="","",COUNTIF($AJ$4:$AJ$1004,$AJ344))</f>
        <v>11</v>
      </c>
      <c r="AM344" s="42"/>
      <c r="AN344" s="50" t="str">
        <f aca="false">IF($D344="","",IFERROR(T(VLOOKUP($D344,Listas!$B$5:$H$120,7,0)),""))</f>
        <v>Petro</v>
      </c>
      <c r="AO344" s="50" t="str">
        <f aca="false">IF(OR($F344="",$L344&lt;&gt;"",$R344="Cancelada",$AT344&lt;&gt;""),"",$AN344&amp;"|"&amp;$D344&amp;"|"&amp;IF($C344="","zzz",$C344)&amp;"|"&amp;TEXT(344,"0000"))</f>
        <v>Petro|F-967|007480|0344</v>
      </c>
      <c r="AP344" s="50" t="n">
        <f aca="false">IF($AO344="","",COUNTIF($AO$5:$AO$1004,"&lt;"&amp;$AO344)-(ROWS($AO$5:$AO$1004)-Hoje!$L$5)+1)</f>
        <v>68</v>
      </c>
      <c r="AQ344" s="50" t="n">
        <f aca="false">IF(AND($F344&lt;&gt;"",$D344=Frota!$C$3),1,0)</f>
        <v>0</v>
      </c>
      <c r="AR344" s="50" t="str">
        <f aca="false">IF($AQ344=0,"",SUM($AQ$4:$AQ344))</f>
        <v/>
      </c>
      <c r="AS344" s="50" t="str">
        <f aca="false">IFERROR(INDEX(Hoje!$K$10:$K$29,MATCH(ROW(),Hoje!$J$10:$J$29,0)),"")</f>
        <v/>
      </c>
      <c r="AT344" s="50" t="str">
        <f aca="false">IF($Q344&lt;&gt;"",$Q344,$AS344)</f>
        <v/>
      </c>
    </row>
    <row r="345" customFormat="false" ht="16.5" hidden="false" customHeight="true" outlineLevel="0" collapsed="false">
      <c r="A345" s="39" t="n">
        <f aca="false">IF($F345="","",ROW())</f>
        <v>345</v>
      </c>
      <c r="B345" s="40" t="str">
        <f aca="false">IF($F345="",IF($D345="","","Falta a atividade"),IF($R345="Cancelada","Cancelada",IF($AB345=1,IF(N($Z345)&gt;0,"Concluída com atraso","Concluída"),IF($R345="Em programação","Em programação",IF($O345="",IF($M345="","Na carteira","Falta a semana"),IF($AC345=1,"VENCIDA",IF($O345&gt;Hoje!$L$1,"Programada",IF($P345&gt;Hoje!$L$1,"Em execução","Fecha hoje"))))))))</f>
        <v>Na carteira</v>
      </c>
      <c r="C345" s="41" t="s">
        <v>816</v>
      </c>
      <c r="D345" s="42" t="s">
        <v>804</v>
      </c>
      <c r="E345" s="42" t="s">
        <v>724</v>
      </c>
      <c r="F345" s="42" t="s">
        <v>817</v>
      </c>
      <c r="G345" s="43" t="s">
        <v>80</v>
      </c>
      <c r="H345" s="43" t="s">
        <v>100</v>
      </c>
      <c r="I345" s="44"/>
      <c r="J345" s="44"/>
      <c r="K345" s="44"/>
      <c r="L345" s="45"/>
      <c r="M345" s="46"/>
      <c r="N345" s="45"/>
      <c r="O345" s="47" t="str">
        <f aca="false">IF(OR($L345="",$M345=""),"",(DATE(Semana!$J$3,1,4)-WEEKDAY(DATE(Semana!$J$3,1,4),3))+($L345-1)*7+MATCH($M345,Listas!$F$5:$F$11,0)-1)</f>
        <v/>
      </c>
      <c r="P345" s="47" t="str">
        <f aca="false">IF(OR($F345="",$O345=""),"",$O345+MAX(0,ROUNDUP($AK345*MAX(1,IF($N345="",1,$N345))/MAX(1,$AL345),0)-1))</f>
        <v/>
      </c>
      <c r="Q345" s="48"/>
      <c r="R345" s="43"/>
      <c r="S345" s="49"/>
      <c r="T345" s="42"/>
      <c r="U345" s="42"/>
      <c r="V345" s="39" t="str">
        <f aca="false">IF($F345="","",IF(ISNUMBER(SEARCH("(externo)",$I345&amp;$J345&amp;$K345)),"Terceirizada","Interna"))</f>
        <v>Interna</v>
      </c>
      <c r="W345" s="47" t="str">
        <f aca="false">IF($O345="","",IF($S345="",$O345,(DATE(Semana!$J$3,1,4)-WEEKDAY(DATE(Semana!$J$3,1,4),3))+($S345-1)*7+IF($M345="",0,MATCH($M345,Listas!$F$5:$F$11,0)-1)))</f>
        <v/>
      </c>
      <c r="X345" s="39" t="n">
        <f aca="false">IF($F345="","",IF(OR($AT345="",$O345=""),0,IF($AT345&lt;=$O345,1,0)))</f>
        <v>0</v>
      </c>
      <c r="Y345" s="39" t="n">
        <f aca="false">IF($F345="","",IF(OR($AT345="",$W345=""),0,IF($AT345&lt;=$W345,1,0)))</f>
        <v>0</v>
      </c>
      <c r="Z345" s="39" t="str">
        <f aca="false">IF(OR($AT345="",$O345=""),"",MAX(0,$AT345-$O345))</f>
        <v/>
      </c>
      <c r="AA345" s="39" t="n">
        <f aca="false">IF($F345="","",IF(AND($S345&lt;&gt;"",$L345&lt;&gt;"",$S345&lt;&gt;$L345),1,0))</f>
        <v>0</v>
      </c>
      <c r="AB345" s="39" t="n">
        <f aca="false">IF($F345="","",IF($R345="Cancelada",0,IF(OR($AT345&lt;&gt;"",$R345="Concluída"),1,0)))</f>
        <v>0</v>
      </c>
      <c r="AC345" s="39" t="n">
        <f aca="false">IF($P345="",0,IF($P345&lt;Hoje!$L$1,1,IF(AND($P345=Hoje!$L$1,Hoje!$L$2&gt;Semana!$M$3),1,0)))</f>
        <v>0</v>
      </c>
      <c r="AD345" s="39" t="n">
        <f aca="false">IF($F345="","",IF(COUNTA($I345:$K345)=0,0,1/COUNTA($I345:$K345)))</f>
        <v>0</v>
      </c>
      <c r="AE345" s="39" t="str">
        <f aca="false">IF($AH345=0,"",SUM($AH$4:$AH345))</f>
        <v/>
      </c>
      <c r="AF345" s="39" t="str">
        <f aca="false">IF($AI345=0,"",SUM($AI$4:$AI345))</f>
        <v/>
      </c>
      <c r="AG345" s="50" t="str">
        <f aca="false">IF($F345="","",$I345&amp;IF($J345="",""," · "&amp;$J345)&amp;IF($K345="",""," · "&amp;$K345))</f>
        <v/>
      </c>
      <c r="AH345" s="39" t="n">
        <f aca="false">IF(AND($F345&lt;&gt;"",$O345&lt;&gt;"",$O345&lt;=Hoje!$C$3,$P345&gt;=Hoje!$C$3,$R345&lt;&gt;"Cancelada"),1,0)</f>
        <v>0</v>
      </c>
      <c r="AI345" s="39" t="n">
        <f aca="false">IF(AND($F345&lt;&gt;"",$P345&lt;&gt;"",$P345&lt;Hoje!$C$3,$AB345=0,$R345&lt;&gt;"Cancelada"),1,0)</f>
        <v>0</v>
      </c>
      <c r="AJ345" s="50" t="str">
        <f aca="false">IF($F345="","",$D345&amp;"|"&amp;$E345&amp;"|"&amp;$L345)</f>
        <v>F-967|Programação 09/09|</v>
      </c>
      <c r="AK345" s="39" t="n">
        <f aca="false">IF($AJ345="","",COUNTIF($AJ$4:$AJ345,$AJ345))</f>
        <v>7</v>
      </c>
      <c r="AL345" s="39" t="n">
        <f aca="false">IF($AJ345="","",COUNTIF($AJ$4:$AJ$1004,$AJ345))</f>
        <v>11</v>
      </c>
      <c r="AM345" s="42"/>
      <c r="AN345" s="50" t="str">
        <f aca="false">IF($D345="","",IFERROR(T(VLOOKUP($D345,Listas!$B$5:$H$120,7,0)),""))</f>
        <v>Petro</v>
      </c>
      <c r="AO345" s="50" t="str">
        <f aca="false">IF(OR($F345="",$L345&lt;&gt;"",$R345="Cancelada",$AT345&lt;&gt;""),"",$AN345&amp;"|"&amp;$D345&amp;"|"&amp;IF($C345="","zzz",$C345)&amp;"|"&amp;TEXT(345,"0000"))</f>
        <v>Petro|F-967|007481|0345</v>
      </c>
      <c r="AP345" s="50" t="n">
        <f aca="false">IF($AO345="","",COUNTIF($AO$5:$AO$1004,"&lt;"&amp;$AO345)-(ROWS($AO$5:$AO$1004)-Hoje!$L$5)+1)</f>
        <v>69</v>
      </c>
      <c r="AQ345" s="50" t="n">
        <f aca="false">IF(AND($F345&lt;&gt;"",$D345=Frota!$C$3),1,0)</f>
        <v>0</v>
      </c>
      <c r="AR345" s="50" t="str">
        <f aca="false">IF($AQ345=0,"",SUM($AQ$4:$AQ345))</f>
        <v/>
      </c>
      <c r="AS345" s="50" t="str">
        <f aca="false">IFERROR(INDEX(Hoje!$K$10:$K$29,MATCH(ROW(),Hoje!$J$10:$J$29,0)),"")</f>
        <v/>
      </c>
      <c r="AT345" s="50" t="str">
        <f aca="false">IF($Q345&lt;&gt;"",$Q345,$AS345)</f>
        <v/>
      </c>
    </row>
    <row r="346" customFormat="false" ht="16.5" hidden="false" customHeight="true" outlineLevel="0" collapsed="false">
      <c r="A346" s="39" t="n">
        <f aca="false">IF($F346="","",ROW())</f>
        <v>346</v>
      </c>
      <c r="B346" s="40" t="str">
        <f aca="false">IF($F346="",IF($D346="","","Falta a atividade"),IF($R346="Cancelada","Cancelada",IF($AB346=1,IF(N($Z346)&gt;0,"Concluída com atraso","Concluída"),IF($R346="Em programação","Em programação",IF($O346="",IF($M346="","Na carteira","Falta a semana"),IF($AC346=1,"VENCIDA",IF($O346&gt;Hoje!$L$1,"Programada",IF($P346&gt;Hoje!$L$1,"Em execução","Fecha hoje"))))))))</f>
        <v>Na carteira</v>
      </c>
      <c r="C346" s="41" t="s">
        <v>818</v>
      </c>
      <c r="D346" s="42" t="s">
        <v>804</v>
      </c>
      <c r="E346" s="42" t="s">
        <v>724</v>
      </c>
      <c r="F346" s="42" t="s">
        <v>819</v>
      </c>
      <c r="G346" s="43" t="s">
        <v>80</v>
      </c>
      <c r="H346" s="43" t="s">
        <v>100</v>
      </c>
      <c r="I346" s="44"/>
      <c r="J346" s="44"/>
      <c r="K346" s="44"/>
      <c r="L346" s="45"/>
      <c r="M346" s="46"/>
      <c r="N346" s="45"/>
      <c r="O346" s="47" t="str">
        <f aca="false">IF(OR($L346="",$M346=""),"",(DATE(Semana!$J$3,1,4)-WEEKDAY(DATE(Semana!$J$3,1,4),3))+($L346-1)*7+MATCH($M346,Listas!$F$5:$F$11,0)-1)</f>
        <v/>
      </c>
      <c r="P346" s="47" t="str">
        <f aca="false">IF(OR($F346="",$O346=""),"",$O346+MAX(0,ROUNDUP($AK346*MAX(1,IF($N346="",1,$N346))/MAX(1,$AL346),0)-1))</f>
        <v/>
      </c>
      <c r="Q346" s="48"/>
      <c r="R346" s="43"/>
      <c r="S346" s="49"/>
      <c r="T346" s="42"/>
      <c r="U346" s="42"/>
      <c r="V346" s="39" t="str">
        <f aca="false">IF($F346="","",IF(ISNUMBER(SEARCH("(externo)",$I346&amp;$J346&amp;$K346)),"Terceirizada","Interna"))</f>
        <v>Interna</v>
      </c>
      <c r="W346" s="47" t="str">
        <f aca="false">IF($O346="","",IF($S346="",$O346,(DATE(Semana!$J$3,1,4)-WEEKDAY(DATE(Semana!$J$3,1,4),3))+($S346-1)*7+IF($M346="",0,MATCH($M346,Listas!$F$5:$F$11,0)-1)))</f>
        <v/>
      </c>
      <c r="X346" s="39" t="n">
        <f aca="false">IF($F346="","",IF(OR($AT346="",$O346=""),0,IF($AT346&lt;=$O346,1,0)))</f>
        <v>0</v>
      </c>
      <c r="Y346" s="39" t="n">
        <f aca="false">IF($F346="","",IF(OR($AT346="",$W346=""),0,IF($AT346&lt;=$W346,1,0)))</f>
        <v>0</v>
      </c>
      <c r="Z346" s="39" t="str">
        <f aca="false">IF(OR($AT346="",$O346=""),"",MAX(0,$AT346-$O346))</f>
        <v/>
      </c>
      <c r="AA346" s="39" t="n">
        <f aca="false">IF($F346="","",IF(AND($S346&lt;&gt;"",$L346&lt;&gt;"",$S346&lt;&gt;$L346),1,0))</f>
        <v>0</v>
      </c>
      <c r="AB346" s="39" t="n">
        <f aca="false">IF($F346="","",IF($R346="Cancelada",0,IF(OR($AT346&lt;&gt;"",$R346="Concluída"),1,0)))</f>
        <v>0</v>
      </c>
      <c r="AC346" s="39" t="n">
        <f aca="false">IF($P346="",0,IF($P346&lt;Hoje!$L$1,1,IF(AND($P346=Hoje!$L$1,Hoje!$L$2&gt;Semana!$M$3),1,0)))</f>
        <v>0</v>
      </c>
      <c r="AD346" s="39" t="n">
        <f aca="false">IF($F346="","",IF(COUNTA($I346:$K346)=0,0,1/COUNTA($I346:$K346)))</f>
        <v>0</v>
      </c>
      <c r="AE346" s="39" t="str">
        <f aca="false">IF($AH346=0,"",SUM($AH$4:$AH346))</f>
        <v/>
      </c>
      <c r="AF346" s="39" t="str">
        <f aca="false">IF($AI346=0,"",SUM($AI$4:$AI346))</f>
        <v/>
      </c>
      <c r="AG346" s="50" t="str">
        <f aca="false">IF($F346="","",$I346&amp;IF($J346="",""," · "&amp;$J346)&amp;IF($K346="",""," · "&amp;$K346))</f>
        <v/>
      </c>
      <c r="AH346" s="39" t="n">
        <f aca="false">IF(AND($F346&lt;&gt;"",$O346&lt;&gt;"",$O346&lt;=Hoje!$C$3,$P346&gt;=Hoje!$C$3,$R346&lt;&gt;"Cancelada"),1,0)</f>
        <v>0</v>
      </c>
      <c r="AI346" s="39" t="n">
        <f aca="false">IF(AND($F346&lt;&gt;"",$P346&lt;&gt;"",$P346&lt;Hoje!$C$3,$AB346=0,$R346&lt;&gt;"Cancelada"),1,0)</f>
        <v>0</v>
      </c>
      <c r="AJ346" s="50" t="str">
        <f aca="false">IF($F346="","",$D346&amp;"|"&amp;$E346&amp;"|"&amp;$L346)</f>
        <v>F-967|Programação 09/09|</v>
      </c>
      <c r="AK346" s="39" t="n">
        <f aca="false">IF($AJ346="","",COUNTIF($AJ$4:$AJ346,$AJ346))</f>
        <v>8</v>
      </c>
      <c r="AL346" s="39" t="n">
        <f aca="false">IF($AJ346="","",COUNTIF($AJ$4:$AJ$1004,$AJ346))</f>
        <v>11</v>
      </c>
      <c r="AM346" s="42"/>
      <c r="AN346" s="50" t="str">
        <f aca="false">IF($D346="","",IFERROR(T(VLOOKUP($D346,Listas!$B$5:$H$120,7,0)),""))</f>
        <v>Petro</v>
      </c>
      <c r="AO346" s="50" t="str">
        <f aca="false">IF(OR($F346="",$L346&lt;&gt;"",$R346="Cancelada",$AT346&lt;&gt;""),"",$AN346&amp;"|"&amp;$D346&amp;"|"&amp;IF($C346="","zzz",$C346)&amp;"|"&amp;TEXT(346,"0000"))</f>
        <v>Petro|F-967|007482|0346</v>
      </c>
      <c r="AP346" s="50" t="n">
        <f aca="false">IF($AO346="","",COUNTIF($AO$5:$AO$1004,"&lt;"&amp;$AO346)-(ROWS($AO$5:$AO$1004)-Hoje!$L$5)+1)</f>
        <v>70</v>
      </c>
      <c r="AQ346" s="50" t="n">
        <f aca="false">IF(AND($F346&lt;&gt;"",$D346=Frota!$C$3),1,0)</f>
        <v>0</v>
      </c>
      <c r="AR346" s="50" t="str">
        <f aca="false">IF($AQ346=0,"",SUM($AQ$4:$AQ346))</f>
        <v/>
      </c>
      <c r="AS346" s="50" t="str">
        <f aca="false">IFERROR(INDEX(Hoje!$K$10:$K$29,MATCH(ROW(),Hoje!$J$10:$J$29,0)),"")</f>
        <v/>
      </c>
      <c r="AT346" s="50" t="str">
        <f aca="false">IF($Q346&lt;&gt;"",$Q346,$AS346)</f>
        <v/>
      </c>
    </row>
    <row r="347" customFormat="false" ht="16.5" hidden="false" customHeight="true" outlineLevel="0" collapsed="false">
      <c r="A347" s="39" t="n">
        <f aca="false">IF($F347="","",ROW())</f>
        <v>347</v>
      </c>
      <c r="B347" s="40" t="str">
        <f aca="false">IF($F347="",IF($D347="","","Falta a atividade"),IF($R347="Cancelada","Cancelada",IF($AB347=1,IF(N($Z347)&gt;0,"Concluída com atraso","Concluída"),IF($R347="Em programação","Em programação",IF($O347="",IF($M347="","Na carteira","Falta a semana"),IF($AC347=1,"VENCIDA",IF($O347&gt;Hoje!$L$1,"Programada",IF($P347&gt;Hoje!$L$1,"Em execução","Fecha hoje"))))))))</f>
        <v>Na carteira</v>
      </c>
      <c r="C347" s="41" t="s">
        <v>820</v>
      </c>
      <c r="D347" s="42" t="s">
        <v>804</v>
      </c>
      <c r="E347" s="42" t="s">
        <v>724</v>
      </c>
      <c r="F347" s="42" t="s">
        <v>821</v>
      </c>
      <c r="G347" s="43" t="s">
        <v>80</v>
      </c>
      <c r="H347" s="43" t="s">
        <v>100</v>
      </c>
      <c r="I347" s="44"/>
      <c r="J347" s="44"/>
      <c r="K347" s="44"/>
      <c r="L347" s="45"/>
      <c r="M347" s="46"/>
      <c r="N347" s="45"/>
      <c r="O347" s="47" t="str">
        <f aca="false">IF(OR($L347="",$M347=""),"",(DATE(Semana!$J$3,1,4)-WEEKDAY(DATE(Semana!$J$3,1,4),3))+($L347-1)*7+MATCH($M347,Listas!$F$5:$F$11,0)-1)</f>
        <v/>
      </c>
      <c r="P347" s="47" t="str">
        <f aca="false">IF(OR($F347="",$O347=""),"",$O347+MAX(0,ROUNDUP($AK347*MAX(1,IF($N347="",1,$N347))/MAX(1,$AL347),0)-1))</f>
        <v/>
      </c>
      <c r="Q347" s="48"/>
      <c r="R347" s="43"/>
      <c r="S347" s="49"/>
      <c r="T347" s="42"/>
      <c r="U347" s="42"/>
      <c r="V347" s="39" t="str">
        <f aca="false">IF($F347="","",IF(ISNUMBER(SEARCH("(externo)",$I347&amp;$J347&amp;$K347)),"Terceirizada","Interna"))</f>
        <v>Interna</v>
      </c>
      <c r="W347" s="47" t="str">
        <f aca="false">IF($O347="","",IF($S347="",$O347,(DATE(Semana!$J$3,1,4)-WEEKDAY(DATE(Semana!$J$3,1,4),3))+($S347-1)*7+IF($M347="",0,MATCH($M347,Listas!$F$5:$F$11,0)-1)))</f>
        <v/>
      </c>
      <c r="X347" s="39" t="n">
        <f aca="false">IF($F347="","",IF(OR($AT347="",$O347=""),0,IF($AT347&lt;=$O347,1,0)))</f>
        <v>0</v>
      </c>
      <c r="Y347" s="39" t="n">
        <f aca="false">IF($F347="","",IF(OR($AT347="",$W347=""),0,IF($AT347&lt;=$W347,1,0)))</f>
        <v>0</v>
      </c>
      <c r="Z347" s="39" t="str">
        <f aca="false">IF(OR($AT347="",$O347=""),"",MAX(0,$AT347-$O347))</f>
        <v/>
      </c>
      <c r="AA347" s="39" t="n">
        <f aca="false">IF($F347="","",IF(AND($S347&lt;&gt;"",$L347&lt;&gt;"",$S347&lt;&gt;$L347),1,0))</f>
        <v>0</v>
      </c>
      <c r="AB347" s="39" t="n">
        <f aca="false">IF($F347="","",IF($R347="Cancelada",0,IF(OR($AT347&lt;&gt;"",$R347="Concluída"),1,0)))</f>
        <v>0</v>
      </c>
      <c r="AC347" s="39" t="n">
        <f aca="false">IF($P347="",0,IF($P347&lt;Hoje!$L$1,1,IF(AND($P347=Hoje!$L$1,Hoje!$L$2&gt;Semana!$M$3),1,0)))</f>
        <v>0</v>
      </c>
      <c r="AD347" s="39" t="n">
        <f aca="false">IF($F347="","",IF(COUNTA($I347:$K347)=0,0,1/COUNTA($I347:$K347)))</f>
        <v>0</v>
      </c>
      <c r="AE347" s="39" t="str">
        <f aca="false">IF($AH347=0,"",SUM($AH$4:$AH347))</f>
        <v/>
      </c>
      <c r="AF347" s="39" t="str">
        <f aca="false">IF($AI347=0,"",SUM($AI$4:$AI347))</f>
        <v/>
      </c>
      <c r="AG347" s="50" t="str">
        <f aca="false">IF($F347="","",$I347&amp;IF($J347="",""," · "&amp;$J347)&amp;IF($K347="",""," · "&amp;$K347))</f>
        <v/>
      </c>
      <c r="AH347" s="39" t="n">
        <f aca="false">IF(AND($F347&lt;&gt;"",$O347&lt;&gt;"",$O347&lt;=Hoje!$C$3,$P347&gt;=Hoje!$C$3,$R347&lt;&gt;"Cancelada"),1,0)</f>
        <v>0</v>
      </c>
      <c r="AI347" s="39" t="n">
        <f aca="false">IF(AND($F347&lt;&gt;"",$P347&lt;&gt;"",$P347&lt;Hoje!$C$3,$AB347=0,$R347&lt;&gt;"Cancelada"),1,0)</f>
        <v>0</v>
      </c>
      <c r="AJ347" s="50" t="str">
        <f aca="false">IF($F347="","",$D347&amp;"|"&amp;$E347&amp;"|"&amp;$L347)</f>
        <v>F-967|Programação 09/09|</v>
      </c>
      <c r="AK347" s="39" t="n">
        <f aca="false">IF($AJ347="","",COUNTIF($AJ$4:$AJ347,$AJ347))</f>
        <v>9</v>
      </c>
      <c r="AL347" s="39" t="n">
        <f aca="false">IF($AJ347="","",COUNTIF($AJ$4:$AJ$1004,$AJ347))</f>
        <v>11</v>
      </c>
      <c r="AM347" s="42"/>
      <c r="AN347" s="50" t="str">
        <f aca="false">IF($D347="","",IFERROR(T(VLOOKUP($D347,Listas!$B$5:$H$120,7,0)),""))</f>
        <v>Petro</v>
      </c>
      <c r="AO347" s="50" t="str">
        <f aca="false">IF(OR($F347="",$L347&lt;&gt;"",$R347="Cancelada",$AT347&lt;&gt;""),"",$AN347&amp;"|"&amp;$D347&amp;"|"&amp;IF($C347="","zzz",$C347)&amp;"|"&amp;TEXT(347,"0000"))</f>
        <v>Petro|F-967|007483|0347</v>
      </c>
      <c r="AP347" s="50" t="n">
        <f aca="false">IF($AO347="","",COUNTIF($AO$5:$AO$1004,"&lt;"&amp;$AO347)-(ROWS($AO$5:$AO$1004)-Hoje!$L$5)+1)</f>
        <v>71</v>
      </c>
      <c r="AQ347" s="50" t="n">
        <f aca="false">IF(AND($F347&lt;&gt;"",$D347=Frota!$C$3),1,0)</f>
        <v>0</v>
      </c>
      <c r="AR347" s="50" t="str">
        <f aca="false">IF($AQ347=0,"",SUM($AQ$4:$AQ347))</f>
        <v/>
      </c>
      <c r="AS347" s="50" t="str">
        <f aca="false">IFERROR(INDEX(Hoje!$K$10:$K$29,MATCH(ROW(),Hoje!$J$10:$J$29,0)),"")</f>
        <v/>
      </c>
      <c r="AT347" s="50" t="str">
        <f aca="false">IF($Q347&lt;&gt;"",$Q347,$AS347)</f>
        <v/>
      </c>
    </row>
    <row r="348" customFormat="false" ht="16.5" hidden="false" customHeight="true" outlineLevel="0" collapsed="false">
      <c r="A348" s="39" t="n">
        <f aca="false">IF($F348="","",ROW())</f>
        <v>348</v>
      </c>
      <c r="B348" s="40" t="str">
        <f aca="false">IF($F348="",IF($D348="","","Falta a atividade"),IF($R348="Cancelada","Cancelada",IF($AB348=1,IF(N($Z348)&gt;0,"Concluída com atraso","Concluída"),IF($R348="Em programação","Em programação",IF($O348="",IF($M348="","Na carteira","Falta a semana"),IF($AC348=1,"VENCIDA",IF($O348&gt;Hoje!$L$1,"Programada",IF($P348&gt;Hoje!$L$1,"Em execução","Fecha hoje"))))))))</f>
        <v>Na carteira</v>
      </c>
      <c r="C348" s="41" t="s">
        <v>822</v>
      </c>
      <c r="D348" s="42" t="s">
        <v>804</v>
      </c>
      <c r="E348" s="42" t="s">
        <v>724</v>
      </c>
      <c r="F348" s="42" t="s">
        <v>823</v>
      </c>
      <c r="G348" s="43" t="s">
        <v>80</v>
      </c>
      <c r="H348" s="43" t="s">
        <v>100</v>
      </c>
      <c r="I348" s="44"/>
      <c r="J348" s="44"/>
      <c r="K348" s="44"/>
      <c r="L348" s="45"/>
      <c r="M348" s="46"/>
      <c r="N348" s="45"/>
      <c r="O348" s="47" t="str">
        <f aca="false">IF(OR($L348="",$M348=""),"",(DATE(Semana!$J$3,1,4)-WEEKDAY(DATE(Semana!$J$3,1,4),3))+($L348-1)*7+MATCH($M348,Listas!$F$5:$F$11,0)-1)</f>
        <v/>
      </c>
      <c r="P348" s="47" t="str">
        <f aca="false">IF(OR($F348="",$O348=""),"",$O348+MAX(0,ROUNDUP($AK348*MAX(1,IF($N348="",1,$N348))/MAX(1,$AL348),0)-1))</f>
        <v/>
      </c>
      <c r="Q348" s="48"/>
      <c r="R348" s="43"/>
      <c r="S348" s="49"/>
      <c r="T348" s="42"/>
      <c r="U348" s="42"/>
      <c r="V348" s="39" t="str">
        <f aca="false">IF($F348="","",IF(ISNUMBER(SEARCH("(externo)",$I348&amp;$J348&amp;$K348)),"Terceirizada","Interna"))</f>
        <v>Interna</v>
      </c>
      <c r="W348" s="47" t="str">
        <f aca="false">IF($O348="","",IF($S348="",$O348,(DATE(Semana!$J$3,1,4)-WEEKDAY(DATE(Semana!$J$3,1,4),3))+($S348-1)*7+IF($M348="",0,MATCH($M348,Listas!$F$5:$F$11,0)-1)))</f>
        <v/>
      </c>
      <c r="X348" s="39" t="n">
        <f aca="false">IF($F348="","",IF(OR($AT348="",$O348=""),0,IF($AT348&lt;=$O348,1,0)))</f>
        <v>0</v>
      </c>
      <c r="Y348" s="39" t="n">
        <f aca="false">IF($F348="","",IF(OR($AT348="",$W348=""),0,IF($AT348&lt;=$W348,1,0)))</f>
        <v>0</v>
      </c>
      <c r="Z348" s="39" t="str">
        <f aca="false">IF(OR($AT348="",$O348=""),"",MAX(0,$AT348-$O348))</f>
        <v/>
      </c>
      <c r="AA348" s="39" t="n">
        <f aca="false">IF($F348="","",IF(AND($S348&lt;&gt;"",$L348&lt;&gt;"",$S348&lt;&gt;$L348),1,0))</f>
        <v>0</v>
      </c>
      <c r="AB348" s="39" t="n">
        <f aca="false">IF($F348="","",IF($R348="Cancelada",0,IF(OR($AT348&lt;&gt;"",$R348="Concluída"),1,0)))</f>
        <v>0</v>
      </c>
      <c r="AC348" s="39" t="n">
        <f aca="false">IF($P348="",0,IF($P348&lt;Hoje!$L$1,1,IF(AND($P348=Hoje!$L$1,Hoje!$L$2&gt;Semana!$M$3),1,0)))</f>
        <v>0</v>
      </c>
      <c r="AD348" s="39" t="n">
        <f aca="false">IF($F348="","",IF(COUNTA($I348:$K348)=0,0,1/COUNTA($I348:$K348)))</f>
        <v>0</v>
      </c>
      <c r="AE348" s="39" t="str">
        <f aca="false">IF($AH348=0,"",SUM($AH$4:$AH348))</f>
        <v/>
      </c>
      <c r="AF348" s="39" t="str">
        <f aca="false">IF($AI348=0,"",SUM($AI$4:$AI348))</f>
        <v/>
      </c>
      <c r="AG348" s="50" t="str">
        <f aca="false">IF($F348="","",$I348&amp;IF($J348="",""," · "&amp;$J348)&amp;IF($K348="",""," · "&amp;$K348))</f>
        <v/>
      </c>
      <c r="AH348" s="39" t="n">
        <f aca="false">IF(AND($F348&lt;&gt;"",$O348&lt;&gt;"",$O348&lt;=Hoje!$C$3,$P348&gt;=Hoje!$C$3,$R348&lt;&gt;"Cancelada"),1,0)</f>
        <v>0</v>
      </c>
      <c r="AI348" s="39" t="n">
        <f aca="false">IF(AND($F348&lt;&gt;"",$P348&lt;&gt;"",$P348&lt;Hoje!$C$3,$AB348=0,$R348&lt;&gt;"Cancelada"),1,0)</f>
        <v>0</v>
      </c>
      <c r="AJ348" s="50" t="str">
        <f aca="false">IF($F348="","",$D348&amp;"|"&amp;$E348&amp;"|"&amp;$L348)</f>
        <v>F-967|Programação 09/09|</v>
      </c>
      <c r="AK348" s="39" t="n">
        <f aca="false">IF($AJ348="","",COUNTIF($AJ$4:$AJ348,$AJ348))</f>
        <v>10</v>
      </c>
      <c r="AL348" s="39" t="n">
        <f aca="false">IF($AJ348="","",COUNTIF($AJ$4:$AJ$1004,$AJ348))</f>
        <v>11</v>
      </c>
      <c r="AM348" s="42"/>
      <c r="AN348" s="50" t="str">
        <f aca="false">IF($D348="","",IFERROR(T(VLOOKUP($D348,Listas!$B$5:$H$120,7,0)),""))</f>
        <v>Petro</v>
      </c>
      <c r="AO348" s="50" t="str">
        <f aca="false">IF(OR($F348="",$L348&lt;&gt;"",$R348="Cancelada",$AT348&lt;&gt;""),"",$AN348&amp;"|"&amp;$D348&amp;"|"&amp;IF($C348="","zzz",$C348)&amp;"|"&amp;TEXT(348,"0000"))</f>
        <v>Petro|F-967|007484|0348</v>
      </c>
      <c r="AP348" s="50" t="n">
        <f aca="false">IF($AO348="","",COUNTIF($AO$5:$AO$1004,"&lt;"&amp;$AO348)-(ROWS($AO$5:$AO$1004)-Hoje!$L$5)+1)</f>
        <v>72</v>
      </c>
      <c r="AQ348" s="50" t="n">
        <f aca="false">IF(AND($F348&lt;&gt;"",$D348=Frota!$C$3),1,0)</f>
        <v>0</v>
      </c>
      <c r="AR348" s="50" t="str">
        <f aca="false">IF($AQ348=0,"",SUM($AQ$4:$AQ348))</f>
        <v/>
      </c>
      <c r="AS348" s="50" t="str">
        <f aca="false">IFERROR(INDEX(Hoje!$K$10:$K$29,MATCH(ROW(),Hoje!$J$10:$J$29,0)),"")</f>
        <v/>
      </c>
      <c r="AT348" s="50" t="str">
        <f aca="false">IF($Q348&lt;&gt;"",$Q348,$AS348)</f>
        <v/>
      </c>
    </row>
    <row r="349" customFormat="false" ht="16.5" hidden="false" customHeight="true" outlineLevel="0" collapsed="false">
      <c r="A349" s="39" t="n">
        <f aca="false">IF($F349="","",ROW())</f>
        <v>349</v>
      </c>
      <c r="B349" s="40" t="str">
        <f aca="false">IF($F349="",IF($D349="","","Falta a atividade"),IF($R349="Cancelada","Cancelada",IF($AB349=1,IF(N($Z349)&gt;0,"Concluída com atraso","Concluída"),IF($R349="Em programação","Em programação",IF($O349="",IF($M349="","Na carteira","Falta a semana"),IF($AC349=1,"VENCIDA",IF($O349&gt;Hoje!$L$1,"Programada",IF($P349&gt;Hoje!$L$1,"Em execução","Fecha hoje"))))))))</f>
        <v>Na carteira</v>
      </c>
      <c r="C349" s="41" t="s">
        <v>824</v>
      </c>
      <c r="D349" s="42" t="s">
        <v>804</v>
      </c>
      <c r="E349" s="42" t="s">
        <v>724</v>
      </c>
      <c r="F349" s="42" t="s">
        <v>825</v>
      </c>
      <c r="G349" s="43" t="s">
        <v>80</v>
      </c>
      <c r="H349" s="43" t="s">
        <v>100</v>
      </c>
      <c r="I349" s="44"/>
      <c r="J349" s="44"/>
      <c r="K349" s="44"/>
      <c r="L349" s="45"/>
      <c r="M349" s="46"/>
      <c r="N349" s="45"/>
      <c r="O349" s="47" t="str">
        <f aca="false">IF(OR($L349="",$M349=""),"",(DATE(Semana!$J$3,1,4)-WEEKDAY(DATE(Semana!$J$3,1,4),3))+($L349-1)*7+MATCH($M349,Listas!$F$5:$F$11,0)-1)</f>
        <v/>
      </c>
      <c r="P349" s="47" t="str">
        <f aca="false">IF(OR($F349="",$O349=""),"",$O349+MAX(0,ROUNDUP($AK349*MAX(1,IF($N349="",1,$N349))/MAX(1,$AL349),0)-1))</f>
        <v/>
      </c>
      <c r="Q349" s="48"/>
      <c r="R349" s="43"/>
      <c r="S349" s="49"/>
      <c r="T349" s="42"/>
      <c r="U349" s="42"/>
      <c r="V349" s="39" t="str">
        <f aca="false">IF($F349="","",IF(ISNUMBER(SEARCH("(externo)",$I349&amp;$J349&amp;$K349)),"Terceirizada","Interna"))</f>
        <v>Interna</v>
      </c>
      <c r="W349" s="47" t="str">
        <f aca="false">IF($O349="","",IF($S349="",$O349,(DATE(Semana!$J$3,1,4)-WEEKDAY(DATE(Semana!$J$3,1,4),3))+($S349-1)*7+IF($M349="",0,MATCH($M349,Listas!$F$5:$F$11,0)-1)))</f>
        <v/>
      </c>
      <c r="X349" s="39" t="n">
        <f aca="false">IF($F349="","",IF(OR($AT349="",$O349=""),0,IF($AT349&lt;=$O349,1,0)))</f>
        <v>0</v>
      </c>
      <c r="Y349" s="39" t="n">
        <f aca="false">IF($F349="","",IF(OR($AT349="",$W349=""),0,IF($AT349&lt;=$W349,1,0)))</f>
        <v>0</v>
      </c>
      <c r="Z349" s="39" t="str">
        <f aca="false">IF(OR($AT349="",$O349=""),"",MAX(0,$AT349-$O349))</f>
        <v/>
      </c>
      <c r="AA349" s="39" t="n">
        <f aca="false">IF($F349="","",IF(AND($S349&lt;&gt;"",$L349&lt;&gt;"",$S349&lt;&gt;$L349),1,0))</f>
        <v>0</v>
      </c>
      <c r="AB349" s="39" t="n">
        <f aca="false">IF($F349="","",IF($R349="Cancelada",0,IF(OR($AT349&lt;&gt;"",$R349="Concluída"),1,0)))</f>
        <v>0</v>
      </c>
      <c r="AC349" s="39" t="n">
        <f aca="false">IF($P349="",0,IF($P349&lt;Hoje!$L$1,1,IF(AND($P349=Hoje!$L$1,Hoje!$L$2&gt;Semana!$M$3),1,0)))</f>
        <v>0</v>
      </c>
      <c r="AD349" s="39" t="n">
        <f aca="false">IF($F349="","",IF(COUNTA($I349:$K349)=0,0,1/COUNTA($I349:$K349)))</f>
        <v>0</v>
      </c>
      <c r="AE349" s="39" t="str">
        <f aca="false">IF($AH349=0,"",SUM($AH$4:$AH349))</f>
        <v/>
      </c>
      <c r="AF349" s="39" t="str">
        <f aca="false">IF($AI349=0,"",SUM($AI$4:$AI349))</f>
        <v/>
      </c>
      <c r="AG349" s="50" t="str">
        <f aca="false">IF($F349="","",$I349&amp;IF($J349="",""," · "&amp;$J349)&amp;IF($K349="",""," · "&amp;$K349))</f>
        <v/>
      </c>
      <c r="AH349" s="39" t="n">
        <f aca="false">IF(AND($F349&lt;&gt;"",$O349&lt;&gt;"",$O349&lt;=Hoje!$C$3,$P349&gt;=Hoje!$C$3,$R349&lt;&gt;"Cancelada"),1,0)</f>
        <v>0</v>
      </c>
      <c r="AI349" s="39" t="n">
        <f aca="false">IF(AND($F349&lt;&gt;"",$P349&lt;&gt;"",$P349&lt;Hoje!$C$3,$AB349=0,$R349&lt;&gt;"Cancelada"),1,0)</f>
        <v>0</v>
      </c>
      <c r="AJ349" s="50" t="str">
        <f aca="false">IF($F349="","",$D349&amp;"|"&amp;$E349&amp;"|"&amp;$L349)</f>
        <v>F-967|Programação 09/09|</v>
      </c>
      <c r="AK349" s="39" t="n">
        <f aca="false">IF($AJ349="","",COUNTIF($AJ$4:$AJ349,$AJ349))</f>
        <v>11</v>
      </c>
      <c r="AL349" s="39" t="n">
        <f aca="false">IF($AJ349="","",COUNTIF($AJ$4:$AJ$1004,$AJ349))</f>
        <v>11</v>
      </c>
      <c r="AM349" s="42"/>
      <c r="AN349" s="50" t="str">
        <f aca="false">IF($D349="","",IFERROR(T(VLOOKUP($D349,Listas!$B$5:$H$120,7,0)),""))</f>
        <v>Petro</v>
      </c>
      <c r="AO349" s="50" t="str">
        <f aca="false">IF(OR($F349="",$L349&lt;&gt;"",$R349="Cancelada",$AT349&lt;&gt;""),"",$AN349&amp;"|"&amp;$D349&amp;"|"&amp;IF($C349="","zzz",$C349)&amp;"|"&amp;TEXT(349,"0000"))</f>
        <v>Petro|F-967|007485|0349</v>
      </c>
      <c r="AP349" s="50" t="n">
        <f aca="false">IF($AO349="","",COUNTIF($AO$5:$AO$1004,"&lt;"&amp;$AO349)-(ROWS($AO$5:$AO$1004)-Hoje!$L$5)+1)</f>
        <v>73</v>
      </c>
      <c r="AQ349" s="50" t="n">
        <f aca="false">IF(AND($F349&lt;&gt;"",$D349=Frota!$C$3),1,0)</f>
        <v>0</v>
      </c>
      <c r="AR349" s="50" t="str">
        <f aca="false">IF($AQ349=0,"",SUM($AQ$4:$AQ349))</f>
        <v/>
      </c>
      <c r="AS349" s="50" t="str">
        <f aca="false">IFERROR(INDEX(Hoje!$K$10:$K$29,MATCH(ROW(),Hoje!$J$10:$J$29,0)),"")</f>
        <v/>
      </c>
      <c r="AT349" s="50" t="str">
        <f aca="false">IF($Q349&lt;&gt;"",$Q349,$AS349)</f>
        <v/>
      </c>
    </row>
    <row r="350" customFormat="false" ht="16.5" hidden="false" customHeight="true" outlineLevel="0" collapsed="false">
      <c r="A350" s="39" t="n">
        <f aca="false">IF($F350="","",ROW())</f>
        <v>350</v>
      </c>
      <c r="B350" s="40" t="str">
        <f aca="false">IF($F350="",IF($D350="","","Falta a atividade"),IF($R350="Cancelada","Cancelada",IF($AB350=1,IF(N($Z350)&gt;0,"Concluída com atraso","Concluída"),IF($R350="Em programação","Em programação",IF($O350="",IF($M350="","Na carteira","Falta a semana"),IF($AC350=1,"VENCIDA",IF($O350&gt;Hoje!$L$1,"Programada",IF($P350&gt;Hoje!$L$1,"Em execução","Fecha hoje"))))))))</f>
        <v>Programada</v>
      </c>
      <c r="C350" s="41" t="s">
        <v>826</v>
      </c>
      <c r="D350" s="42" t="s">
        <v>827</v>
      </c>
      <c r="E350" s="42" t="s">
        <v>724</v>
      </c>
      <c r="F350" s="42" t="s">
        <v>828</v>
      </c>
      <c r="G350" s="43" t="s">
        <v>80</v>
      </c>
      <c r="H350" s="43" t="s">
        <v>100</v>
      </c>
      <c r="I350" s="44"/>
      <c r="J350" s="44"/>
      <c r="K350" s="44"/>
      <c r="L350" s="45" t="n">
        <v>37</v>
      </c>
      <c r="M350" s="46" t="s">
        <v>142</v>
      </c>
      <c r="N350" s="45" t="n">
        <v>9</v>
      </c>
      <c r="O350" s="47" t="n">
        <f aca="false">IF(OR($L350="",$M350=""),"",(DATE(Semana!$J$3,1,4)-WEEKDAY(DATE(Semana!$J$3,1,4),3))+($L350-1)*7+MATCH($M350,Listas!$F$5:$F$11,0)-1)</f>
        <v>46276</v>
      </c>
      <c r="P350" s="47" t="n">
        <f aca="false">IF(OR($F350="",$O350=""),"",$O350+MAX(0,ROUNDUP($AK350*MAX(1,IF($N350="",1,$N350))/MAX(1,$AL350),0)-1))</f>
        <v>46276</v>
      </c>
      <c r="Q350" s="48"/>
      <c r="R350" s="43"/>
      <c r="S350" s="49"/>
      <c r="T350" s="42"/>
      <c r="U350" s="42"/>
      <c r="V350" s="39" t="str">
        <f aca="false">IF($F350="","",IF(ISNUMBER(SEARCH("(externo)",$I350&amp;$J350&amp;$K350)),"Terceirizada","Interna"))</f>
        <v>Interna</v>
      </c>
      <c r="W350" s="47" t="n">
        <f aca="false">IF($O350="","",IF($S350="",$O350,(DATE(Semana!$J$3,1,4)-WEEKDAY(DATE(Semana!$J$3,1,4),3))+($S350-1)*7+IF($M350="",0,MATCH($M350,Listas!$F$5:$F$11,0)-1)))</f>
        <v>46276</v>
      </c>
      <c r="X350" s="39" t="n">
        <f aca="false">IF($F350="","",IF(OR($AT350="",$O350=""),0,IF($AT350&lt;=$O350,1,0)))</f>
        <v>0</v>
      </c>
      <c r="Y350" s="39" t="n">
        <f aca="false">IF($F350="","",IF(OR($AT350="",$W350=""),0,IF($AT350&lt;=$W350,1,0)))</f>
        <v>0</v>
      </c>
      <c r="Z350" s="39" t="str">
        <f aca="false">IF(OR($AT350="",$O350=""),"",MAX(0,$AT350-$O350))</f>
        <v/>
      </c>
      <c r="AA350" s="39" t="n">
        <f aca="false">IF($F350="","",IF(AND($S350&lt;&gt;"",$L350&lt;&gt;"",$S350&lt;&gt;$L350),1,0))</f>
        <v>0</v>
      </c>
      <c r="AB350" s="39" t="n">
        <f aca="false">IF($F350="","",IF($R350="Cancelada",0,IF(OR($AT350&lt;&gt;"",$R350="Concluída"),1,0)))</f>
        <v>0</v>
      </c>
      <c r="AC350" s="39" t="n">
        <f aca="false">IF($P350="",0,IF($P350&lt;Hoje!$L$1,1,IF(AND($P350=Hoje!$L$1,Hoje!$L$2&gt;Semana!$M$3),1,0)))</f>
        <v>0</v>
      </c>
      <c r="AD350" s="39" t="n">
        <f aca="false">IF($F350="","",IF(COUNTA($I350:$K350)=0,0,1/COUNTA($I350:$K350)))</f>
        <v>0</v>
      </c>
      <c r="AE350" s="39" t="str">
        <f aca="false">IF($AH350=0,"",SUM($AH$4:$AH350))</f>
        <v/>
      </c>
      <c r="AF350" s="39" t="str">
        <f aca="false">IF($AI350=0,"",SUM($AI$4:$AI350))</f>
        <v/>
      </c>
      <c r="AG350" s="50" t="str">
        <f aca="false">IF($F350="","",$I350&amp;IF($J350="",""," · "&amp;$J350)&amp;IF($K350="",""," · "&amp;$K350))</f>
        <v/>
      </c>
      <c r="AH350" s="39" t="n">
        <f aca="false">IF(AND($F350&lt;&gt;"",$O350&lt;&gt;"",$O350&lt;=Hoje!$C$3,$P350&gt;=Hoje!$C$3,$R350&lt;&gt;"Cancelada"),1,0)</f>
        <v>0</v>
      </c>
      <c r="AI350" s="39" t="n">
        <f aca="false">IF(AND($F350&lt;&gt;"",$P350&lt;&gt;"",$P350&lt;Hoje!$C$3,$AB350=0,$R350&lt;&gt;"Cancelada"),1,0)</f>
        <v>0</v>
      </c>
      <c r="AJ350" s="50" t="str">
        <f aca="false">IF($F350="","",$D350&amp;"|"&amp;$E350&amp;"|"&amp;$L350)</f>
        <v>F-962|Programação 09/09|37</v>
      </c>
      <c r="AK350" s="39" t="n">
        <f aca="false">IF($AJ350="","",COUNTIF($AJ$4:$AJ350,$AJ350))</f>
        <v>1</v>
      </c>
      <c r="AL350" s="39" t="n">
        <f aca="false">IF($AJ350="","",COUNTIF($AJ$4:$AJ$1004,$AJ350))</f>
        <v>14</v>
      </c>
      <c r="AM350" s="42" t="s">
        <v>829</v>
      </c>
      <c r="AN350" s="50" t="str">
        <f aca="false">IF($D350="","",IFERROR(T(VLOOKUP($D350,Listas!$B$5:$H$120,7,0)),""))</f>
        <v>Petro</v>
      </c>
      <c r="AO350" s="50" t="str">
        <f aca="false">IF(OR($F350="",$L350&lt;&gt;"",$R350="Cancelada",$AT350&lt;&gt;""),"",$AN350&amp;"|"&amp;$D350&amp;"|"&amp;IF($C350="","zzz",$C350)&amp;"|"&amp;TEXT(350,"0000"))</f>
        <v/>
      </c>
      <c r="AP350" s="50" t="str">
        <f aca="false">IF($AO350="","",COUNTIF($AO$5:$AO$1004,"&lt;"&amp;$AO350)-(ROWS($AO$5:$AO$1004)-Hoje!$L$5)+1)</f>
        <v/>
      </c>
      <c r="AQ350" s="50" t="n">
        <f aca="false">IF(AND($F350&lt;&gt;"",$D350=Frota!$C$3),1,0)</f>
        <v>0</v>
      </c>
      <c r="AR350" s="50" t="str">
        <f aca="false">IF($AQ350=0,"",SUM($AQ$4:$AQ350))</f>
        <v/>
      </c>
      <c r="AS350" s="50" t="str">
        <f aca="false">IFERROR(INDEX(Hoje!$K$10:$K$29,MATCH(ROW(),Hoje!$J$10:$J$29,0)),"")</f>
        <v/>
      </c>
      <c r="AT350" s="50" t="str">
        <f aca="false">IF($Q350&lt;&gt;"",$Q350,$AS350)</f>
        <v/>
      </c>
    </row>
    <row r="351" customFormat="false" ht="16.5" hidden="false" customHeight="true" outlineLevel="0" collapsed="false">
      <c r="A351" s="39" t="n">
        <f aca="false">IF($F351="","",ROW())</f>
        <v>351</v>
      </c>
      <c r="B351" s="40" t="str">
        <f aca="false">IF($F351="",IF($D351="","","Falta a atividade"),IF($R351="Cancelada","Cancelada",IF($AB351=1,IF(N($Z351)&gt;0,"Concluída com atraso","Concluída"),IF($R351="Em programação","Em programação",IF($O351="",IF($M351="","Na carteira","Falta a semana"),IF($AC351=1,"VENCIDA",IF($O351&gt;Hoje!$L$1,"Programada",IF($P351&gt;Hoje!$L$1,"Em execução","Fecha hoje"))))))))</f>
        <v>Programada</v>
      </c>
      <c r="C351" s="41" t="s">
        <v>830</v>
      </c>
      <c r="D351" s="42" t="s">
        <v>827</v>
      </c>
      <c r="E351" s="42" t="s">
        <v>724</v>
      </c>
      <c r="F351" s="42" t="s">
        <v>831</v>
      </c>
      <c r="G351" s="43" t="s">
        <v>80</v>
      </c>
      <c r="H351" s="43" t="s">
        <v>100</v>
      </c>
      <c r="I351" s="44"/>
      <c r="J351" s="44"/>
      <c r="K351" s="44"/>
      <c r="L351" s="45" t="n">
        <v>37</v>
      </c>
      <c r="M351" s="46" t="s">
        <v>142</v>
      </c>
      <c r="N351" s="45" t="n">
        <v>9</v>
      </c>
      <c r="O351" s="47" t="n">
        <f aca="false">IF(OR($L351="",$M351=""),"",(DATE(Semana!$J$3,1,4)-WEEKDAY(DATE(Semana!$J$3,1,4),3))+($L351-1)*7+MATCH($M351,Listas!$F$5:$F$11,0)-1)</f>
        <v>46276</v>
      </c>
      <c r="P351" s="47" t="n">
        <f aca="false">IF(OR($F351="",$O351=""),"",$O351+MAX(0,ROUNDUP($AK351*MAX(1,IF($N351="",1,$N351))/MAX(1,$AL351),0)-1))</f>
        <v>46277</v>
      </c>
      <c r="Q351" s="48"/>
      <c r="R351" s="43"/>
      <c r="S351" s="49"/>
      <c r="T351" s="42"/>
      <c r="U351" s="42" t="s">
        <v>832</v>
      </c>
      <c r="V351" s="39" t="str">
        <f aca="false">IF($F351="","",IF(ISNUMBER(SEARCH("(externo)",$I351&amp;$J351&amp;$K351)),"Terceirizada","Interna"))</f>
        <v>Interna</v>
      </c>
      <c r="W351" s="47" t="n">
        <f aca="false">IF($O351="","",IF($S351="",$O351,(DATE(Semana!$J$3,1,4)-WEEKDAY(DATE(Semana!$J$3,1,4),3))+($S351-1)*7+IF($M351="",0,MATCH($M351,Listas!$F$5:$F$11,0)-1)))</f>
        <v>46276</v>
      </c>
      <c r="X351" s="39" t="n">
        <f aca="false">IF($F351="","",IF(OR($AT351="",$O351=""),0,IF($AT351&lt;=$O351,1,0)))</f>
        <v>0</v>
      </c>
      <c r="Y351" s="39" t="n">
        <f aca="false">IF($F351="","",IF(OR($AT351="",$W351=""),0,IF($AT351&lt;=$W351,1,0)))</f>
        <v>0</v>
      </c>
      <c r="Z351" s="39" t="str">
        <f aca="false">IF(OR($AT351="",$O351=""),"",MAX(0,$AT351-$O351))</f>
        <v/>
      </c>
      <c r="AA351" s="39" t="n">
        <f aca="false">IF($F351="","",IF(AND($S351&lt;&gt;"",$L351&lt;&gt;"",$S351&lt;&gt;$L351),1,0))</f>
        <v>0</v>
      </c>
      <c r="AB351" s="39" t="n">
        <f aca="false">IF($F351="","",IF($R351="Cancelada",0,IF(OR($AT351&lt;&gt;"",$R351="Concluída"),1,0)))</f>
        <v>0</v>
      </c>
      <c r="AC351" s="39" t="n">
        <f aca="false">IF($P351="",0,IF($P351&lt;Hoje!$L$1,1,IF(AND($P351=Hoje!$L$1,Hoje!$L$2&gt;Semana!$M$3),1,0)))</f>
        <v>0</v>
      </c>
      <c r="AD351" s="39" t="n">
        <f aca="false">IF($F351="","",IF(COUNTA($I351:$K351)=0,0,1/COUNTA($I351:$K351)))</f>
        <v>0</v>
      </c>
      <c r="AE351" s="39" t="str">
        <f aca="false">IF($AH351=0,"",SUM($AH$4:$AH351))</f>
        <v/>
      </c>
      <c r="AF351" s="39" t="str">
        <f aca="false">IF($AI351=0,"",SUM($AI$4:$AI351))</f>
        <v/>
      </c>
      <c r="AG351" s="50" t="str">
        <f aca="false">IF($F351="","",$I351&amp;IF($J351="",""," · "&amp;$J351)&amp;IF($K351="",""," · "&amp;$K351))</f>
        <v/>
      </c>
      <c r="AH351" s="39" t="n">
        <f aca="false">IF(AND($F351&lt;&gt;"",$O351&lt;&gt;"",$O351&lt;=Hoje!$C$3,$P351&gt;=Hoje!$C$3,$R351&lt;&gt;"Cancelada"),1,0)</f>
        <v>0</v>
      </c>
      <c r="AI351" s="39" t="n">
        <f aca="false">IF(AND($F351&lt;&gt;"",$P351&lt;&gt;"",$P351&lt;Hoje!$C$3,$AB351=0,$R351&lt;&gt;"Cancelada"),1,0)</f>
        <v>0</v>
      </c>
      <c r="AJ351" s="50" t="str">
        <f aca="false">IF($F351="","",$D351&amp;"|"&amp;$E351&amp;"|"&amp;$L351)</f>
        <v>F-962|Programação 09/09|37</v>
      </c>
      <c r="AK351" s="39" t="n">
        <f aca="false">IF($AJ351="","",COUNTIF($AJ$4:$AJ351,$AJ351))</f>
        <v>2</v>
      </c>
      <c r="AL351" s="39" t="n">
        <f aca="false">IF($AJ351="","",COUNTIF($AJ$4:$AJ$1004,$AJ351))</f>
        <v>14</v>
      </c>
      <c r="AM351" s="42"/>
      <c r="AN351" s="50" t="str">
        <f aca="false">IF($D351="","",IFERROR(T(VLOOKUP($D351,Listas!$B$5:$H$120,7,0)),""))</f>
        <v>Petro</v>
      </c>
      <c r="AO351" s="50" t="str">
        <f aca="false">IF(OR($F351="",$L351&lt;&gt;"",$R351="Cancelada",$AT351&lt;&gt;""),"",$AN351&amp;"|"&amp;$D351&amp;"|"&amp;IF($C351="","zzz",$C351)&amp;"|"&amp;TEXT(351,"0000"))</f>
        <v/>
      </c>
      <c r="AP351" s="50" t="str">
        <f aca="false">IF($AO351="","",COUNTIF($AO$5:$AO$1004,"&lt;"&amp;$AO351)-(ROWS($AO$5:$AO$1004)-Hoje!$L$5)+1)</f>
        <v/>
      </c>
      <c r="AQ351" s="50" t="n">
        <f aca="false">IF(AND($F351&lt;&gt;"",$D351=Frota!$C$3),1,0)</f>
        <v>0</v>
      </c>
      <c r="AR351" s="50" t="str">
        <f aca="false">IF($AQ351=0,"",SUM($AQ$4:$AQ351))</f>
        <v/>
      </c>
      <c r="AS351" s="50" t="str">
        <f aca="false">IFERROR(INDEX(Hoje!$K$10:$K$29,MATCH(ROW(),Hoje!$J$10:$J$29,0)),"")</f>
        <v/>
      </c>
      <c r="AT351" s="50" t="str">
        <f aca="false">IF($Q351&lt;&gt;"",$Q351,$AS351)</f>
        <v/>
      </c>
    </row>
    <row r="352" customFormat="false" ht="16.5" hidden="false" customHeight="true" outlineLevel="0" collapsed="false">
      <c r="A352" s="39" t="n">
        <f aca="false">IF($F352="","",ROW())</f>
        <v>352</v>
      </c>
      <c r="B352" s="40" t="str">
        <f aca="false">IF($F352="",IF($D352="","","Falta a atividade"),IF($R352="Cancelada","Cancelada",IF($AB352=1,IF(N($Z352)&gt;0,"Concluída com atraso","Concluída"),IF($R352="Em programação","Em programação",IF($O352="",IF($M352="","Na carteira","Falta a semana"),IF($AC352=1,"VENCIDA",IF($O352&gt;Hoje!$L$1,"Programada",IF($P352&gt;Hoje!$L$1,"Em execução","Fecha hoje"))))))))</f>
        <v>Programada</v>
      </c>
      <c r="C352" s="41" t="s">
        <v>833</v>
      </c>
      <c r="D352" s="42" t="s">
        <v>827</v>
      </c>
      <c r="E352" s="42" t="s">
        <v>724</v>
      </c>
      <c r="F352" s="42" t="s">
        <v>834</v>
      </c>
      <c r="G352" s="43" t="s">
        <v>80</v>
      </c>
      <c r="H352" s="43" t="s">
        <v>100</v>
      </c>
      <c r="I352" s="44"/>
      <c r="J352" s="44"/>
      <c r="K352" s="44"/>
      <c r="L352" s="45" t="n">
        <v>37</v>
      </c>
      <c r="M352" s="46" t="s">
        <v>142</v>
      </c>
      <c r="N352" s="45" t="n">
        <v>9</v>
      </c>
      <c r="O352" s="47" t="n">
        <f aca="false">IF(OR($L352="",$M352=""),"",(DATE(Semana!$J$3,1,4)-WEEKDAY(DATE(Semana!$J$3,1,4),3))+($L352-1)*7+MATCH($M352,Listas!$F$5:$F$11,0)-1)</f>
        <v>46276</v>
      </c>
      <c r="P352" s="47" t="n">
        <f aca="false">IF(OR($F352="",$O352=""),"",$O352+MAX(0,ROUNDUP($AK352*MAX(1,IF($N352="",1,$N352))/MAX(1,$AL352),0)-1))</f>
        <v>46277</v>
      </c>
      <c r="Q352" s="48"/>
      <c r="R352" s="43"/>
      <c r="S352" s="49"/>
      <c r="T352" s="42"/>
      <c r="U352" s="42" t="s">
        <v>728</v>
      </c>
      <c r="V352" s="39" t="str">
        <f aca="false">IF($F352="","",IF(ISNUMBER(SEARCH("(externo)",$I352&amp;$J352&amp;$K352)),"Terceirizada","Interna"))</f>
        <v>Interna</v>
      </c>
      <c r="W352" s="47" t="n">
        <f aca="false">IF($O352="","",IF($S352="",$O352,(DATE(Semana!$J$3,1,4)-WEEKDAY(DATE(Semana!$J$3,1,4),3))+($S352-1)*7+IF($M352="",0,MATCH($M352,Listas!$F$5:$F$11,0)-1)))</f>
        <v>46276</v>
      </c>
      <c r="X352" s="39" t="n">
        <f aca="false">IF($F352="","",IF(OR($AT352="",$O352=""),0,IF($AT352&lt;=$O352,1,0)))</f>
        <v>0</v>
      </c>
      <c r="Y352" s="39" t="n">
        <f aca="false">IF($F352="","",IF(OR($AT352="",$W352=""),0,IF($AT352&lt;=$W352,1,0)))</f>
        <v>0</v>
      </c>
      <c r="Z352" s="39" t="str">
        <f aca="false">IF(OR($AT352="",$O352=""),"",MAX(0,$AT352-$O352))</f>
        <v/>
      </c>
      <c r="AA352" s="39" t="n">
        <f aca="false">IF($F352="","",IF(AND($S352&lt;&gt;"",$L352&lt;&gt;"",$S352&lt;&gt;$L352),1,0))</f>
        <v>0</v>
      </c>
      <c r="AB352" s="39" t="n">
        <f aca="false">IF($F352="","",IF($R352="Cancelada",0,IF(OR($AT352&lt;&gt;"",$R352="Concluída"),1,0)))</f>
        <v>0</v>
      </c>
      <c r="AC352" s="39" t="n">
        <f aca="false">IF($P352="",0,IF($P352&lt;Hoje!$L$1,1,IF(AND($P352=Hoje!$L$1,Hoje!$L$2&gt;Semana!$M$3),1,0)))</f>
        <v>0</v>
      </c>
      <c r="AD352" s="39" t="n">
        <f aca="false">IF($F352="","",IF(COUNTA($I352:$K352)=0,0,1/COUNTA($I352:$K352)))</f>
        <v>0</v>
      </c>
      <c r="AE352" s="39" t="str">
        <f aca="false">IF($AH352=0,"",SUM($AH$4:$AH352))</f>
        <v/>
      </c>
      <c r="AF352" s="39" t="str">
        <f aca="false">IF($AI352=0,"",SUM($AI$4:$AI352))</f>
        <v/>
      </c>
      <c r="AG352" s="50" t="str">
        <f aca="false">IF($F352="","",$I352&amp;IF($J352="",""," · "&amp;$J352)&amp;IF($K352="",""," · "&amp;$K352))</f>
        <v/>
      </c>
      <c r="AH352" s="39" t="n">
        <f aca="false">IF(AND($F352&lt;&gt;"",$O352&lt;&gt;"",$O352&lt;=Hoje!$C$3,$P352&gt;=Hoje!$C$3,$R352&lt;&gt;"Cancelada"),1,0)</f>
        <v>0</v>
      </c>
      <c r="AI352" s="39" t="n">
        <f aca="false">IF(AND($F352&lt;&gt;"",$P352&lt;&gt;"",$P352&lt;Hoje!$C$3,$AB352=0,$R352&lt;&gt;"Cancelada"),1,0)</f>
        <v>0</v>
      </c>
      <c r="AJ352" s="50" t="str">
        <f aca="false">IF($F352="","",$D352&amp;"|"&amp;$E352&amp;"|"&amp;$L352)</f>
        <v>F-962|Programação 09/09|37</v>
      </c>
      <c r="AK352" s="39" t="n">
        <f aca="false">IF($AJ352="","",COUNTIF($AJ$4:$AJ352,$AJ352))</f>
        <v>3</v>
      </c>
      <c r="AL352" s="39" t="n">
        <f aca="false">IF($AJ352="","",COUNTIF($AJ$4:$AJ$1004,$AJ352))</f>
        <v>14</v>
      </c>
      <c r="AM352" s="42" t="s">
        <v>829</v>
      </c>
      <c r="AN352" s="50" t="str">
        <f aca="false">IF($D352="","",IFERROR(T(VLOOKUP($D352,Listas!$B$5:$H$120,7,0)),""))</f>
        <v>Petro</v>
      </c>
      <c r="AO352" s="50" t="str">
        <f aca="false">IF(OR($F352="",$L352&lt;&gt;"",$R352="Cancelada",$AT352&lt;&gt;""),"",$AN352&amp;"|"&amp;$D352&amp;"|"&amp;IF($C352="","zzz",$C352)&amp;"|"&amp;TEXT(352,"0000"))</f>
        <v/>
      </c>
      <c r="AP352" s="50" t="str">
        <f aca="false">IF($AO352="","",COUNTIF($AO$5:$AO$1004,"&lt;"&amp;$AO352)-(ROWS($AO$5:$AO$1004)-Hoje!$L$5)+1)</f>
        <v/>
      </c>
      <c r="AQ352" s="50" t="n">
        <f aca="false">IF(AND($F352&lt;&gt;"",$D352=Frota!$C$3),1,0)</f>
        <v>0</v>
      </c>
      <c r="AR352" s="50" t="str">
        <f aca="false">IF($AQ352=0,"",SUM($AQ$4:$AQ352))</f>
        <v/>
      </c>
      <c r="AS352" s="50" t="str">
        <f aca="false">IFERROR(INDEX(Hoje!$K$10:$K$29,MATCH(ROW(),Hoje!$J$10:$J$29,0)),"")</f>
        <v/>
      </c>
      <c r="AT352" s="50" t="str">
        <f aca="false">IF($Q352&lt;&gt;"",$Q352,$AS352)</f>
        <v/>
      </c>
    </row>
    <row r="353" customFormat="false" ht="16.5" hidden="false" customHeight="true" outlineLevel="0" collapsed="false">
      <c r="A353" s="39" t="n">
        <f aca="false">IF($F353="","",ROW())</f>
        <v>353</v>
      </c>
      <c r="B353" s="40" t="str">
        <f aca="false">IF($F353="",IF($D353="","","Falta a atividade"),IF($R353="Cancelada","Cancelada",IF($AB353=1,IF(N($Z353)&gt;0,"Concluída com atraso","Concluída"),IF($R353="Em programação","Em programação",IF($O353="",IF($M353="","Na carteira","Falta a semana"),IF($AC353=1,"VENCIDA",IF($O353&gt;Hoje!$L$1,"Programada",IF($P353&gt;Hoje!$L$1,"Em execução","Fecha hoje"))))))))</f>
        <v>Programada</v>
      </c>
      <c r="C353" s="41" t="s">
        <v>835</v>
      </c>
      <c r="D353" s="42" t="s">
        <v>827</v>
      </c>
      <c r="E353" s="42" t="s">
        <v>724</v>
      </c>
      <c r="F353" s="42" t="s">
        <v>371</v>
      </c>
      <c r="G353" s="43" t="s">
        <v>80</v>
      </c>
      <c r="H353" s="43" t="s">
        <v>100</v>
      </c>
      <c r="I353" s="44"/>
      <c r="J353" s="44"/>
      <c r="K353" s="44"/>
      <c r="L353" s="45" t="n">
        <v>37</v>
      </c>
      <c r="M353" s="46" t="s">
        <v>142</v>
      </c>
      <c r="N353" s="45" t="n">
        <v>9</v>
      </c>
      <c r="O353" s="47" t="n">
        <f aca="false">IF(OR($L353="",$M353=""),"",(DATE(Semana!$J$3,1,4)-WEEKDAY(DATE(Semana!$J$3,1,4),3))+($L353-1)*7+MATCH($M353,Listas!$F$5:$F$11,0)-1)</f>
        <v>46276</v>
      </c>
      <c r="P353" s="47" t="n">
        <f aca="false">IF(OR($F353="",$O353=""),"",$O353+MAX(0,ROUNDUP($AK353*MAX(1,IF($N353="",1,$N353))/MAX(1,$AL353),0)-1))</f>
        <v>46278</v>
      </c>
      <c r="Q353" s="48"/>
      <c r="R353" s="43"/>
      <c r="S353" s="49"/>
      <c r="T353" s="42"/>
      <c r="U353" s="42"/>
      <c r="V353" s="39" t="str">
        <f aca="false">IF($F353="","",IF(ISNUMBER(SEARCH("(externo)",$I353&amp;$J353&amp;$K353)),"Terceirizada","Interna"))</f>
        <v>Interna</v>
      </c>
      <c r="W353" s="47" t="n">
        <f aca="false">IF($O353="","",IF($S353="",$O353,(DATE(Semana!$J$3,1,4)-WEEKDAY(DATE(Semana!$J$3,1,4),3))+($S353-1)*7+IF($M353="",0,MATCH($M353,Listas!$F$5:$F$11,0)-1)))</f>
        <v>46276</v>
      </c>
      <c r="X353" s="39" t="n">
        <f aca="false">IF($F353="","",IF(OR($AT353="",$O353=""),0,IF($AT353&lt;=$O353,1,0)))</f>
        <v>0</v>
      </c>
      <c r="Y353" s="39" t="n">
        <f aca="false">IF($F353="","",IF(OR($AT353="",$W353=""),0,IF($AT353&lt;=$W353,1,0)))</f>
        <v>0</v>
      </c>
      <c r="Z353" s="39" t="str">
        <f aca="false">IF(OR($AT353="",$O353=""),"",MAX(0,$AT353-$O353))</f>
        <v/>
      </c>
      <c r="AA353" s="39" t="n">
        <f aca="false">IF($F353="","",IF(AND($S353&lt;&gt;"",$L353&lt;&gt;"",$S353&lt;&gt;$L353),1,0))</f>
        <v>0</v>
      </c>
      <c r="AB353" s="39" t="n">
        <f aca="false">IF($F353="","",IF($R353="Cancelada",0,IF(OR($AT353&lt;&gt;"",$R353="Concluída"),1,0)))</f>
        <v>0</v>
      </c>
      <c r="AC353" s="39" t="n">
        <f aca="false">IF($P353="",0,IF($P353&lt;Hoje!$L$1,1,IF(AND($P353=Hoje!$L$1,Hoje!$L$2&gt;Semana!$M$3),1,0)))</f>
        <v>0</v>
      </c>
      <c r="AD353" s="39" t="n">
        <f aca="false">IF($F353="","",IF(COUNTA($I353:$K353)=0,0,1/COUNTA($I353:$K353)))</f>
        <v>0</v>
      </c>
      <c r="AE353" s="39" t="str">
        <f aca="false">IF($AH353=0,"",SUM($AH$4:$AH353))</f>
        <v/>
      </c>
      <c r="AF353" s="39" t="str">
        <f aca="false">IF($AI353=0,"",SUM($AI$4:$AI353))</f>
        <v/>
      </c>
      <c r="AG353" s="50" t="str">
        <f aca="false">IF($F353="","",$I353&amp;IF($J353="",""," · "&amp;$J353)&amp;IF($K353="",""," · "&amp;$K353))</f>
        <v/>
      </c>
      <c r="AH353" s="39" t="n">
        <f aca="false">IF(AND($F353&lt;&gt;"",$O353&lt;&gt;"",$O353&lt;=Hoje!$C$3,$P353&gt;=Hoje!$C$3,$R353&lt;&gt;"Cancelada"),1,0)</f>
        <v>0</v>
      </c>
      <c r="AI353" s="39" t="n">
        <f aca="false">IF(AND($F353&lt;&gt;"",$P353&lt;&gt;"",$P353&lt;Hoje!$C$3,$AB353=0,$R353&lt;&gt;"Cancelada"),1,0)</f>
        <v>0</v>
      </c>
      <c r="AJ353" s="50" t="str">
        <f aca="false">IF($F353="","",$D353&amp;"|"&amp;$E353&amp;"|"&amp;$L353)</f>
        <v>F-962|Programação 09/09|37</v>
      </c>
      <c r="AK353" s="39" t="n">
        <f aca="false">IF($AJ353="","",COUNTIF($AJ$4:$AJ353,$AJ353))</f>
        <v>4</v>
      </c>
      <c r="AL353" s="39" t="n">
        <f aca="false">IF($AJ353="","",COUNTIF($AJ$4:$AJ$1004,$AJ353))</f>
        <v>14</v>
      </c>
      <c r="AM353" s="42" t="s">
        <v>829</v>
      </c>
      <c r="AN353" s="50" t="str">
        <f aca="false">IF($D353="","",IFERROR(T(VLOOKUP($D353,Listas!$B$5:$H$120,7,0)),""))</f>
        <v>Petro</v>
      </c>
      <c r="AO353" s="50" t="str">
        <f aca="false">IF(OR($F353="",$L353&lt;&gt;"",$R353="Cancelada",$AT353&lt;&gt;""),"",$AN353&amp;"|"&amp;$D353&amp;"|"&amp;IF($C353="","zzz",$C353)&amp;"|"&amp;TEXT(353,"0000"))</f>
        <v/>
      </c>
      <c r="AP353" s="50" t="str">
        <f aca="false">IF($AO353="","",COUNTIF($AO$5:$AO$1004,"&lt;"&amp;$AO353)-(ROWS($AO$5:$AO$1004)-Hoje!$L$5)+1)</f>
        <v/>
      </c>
      <c r="AQ353" s="50" t="n">
        <f aca="false">IF(AND($F353&lt;&gt;"",$D353=Frota!$C$3),1,0)</f>
        <v>0</v>
      </c>
      <c r="AR353" s="50" t="str">
        <f aca="false">IF($AQ353=0,"",SUM($AQ$4:$AQ353))</f>
        <v/>
      </c>
      <c r="AS353" s="50" t="str">
        <f aca="false">IFERROR(INDEX(Hoje!$K$10:$K$29,MATCH(ROW(),Hoje!$J$10:$J$29,0)),"")</f>
        <v/>
      </c>
      <c r="AT353" s="50" t="str">
        <f aca="false">IF($Q353&lt;&gt;"",$Q353,$AS353)</f>
        <v/>
      </c>
    </row>
    <row r="354" customFormat="false" ht="16.5" hidden="false" customHeight="true" outlineLevel="0" collapsed="false">
      <c r="A354" s="39" t="n">
        <f aca="false">IF($F354="","",ROW())</f>
        <v>354</v>
      </c>
      <c r="B354" s="40" t="str">
        <f aca="false">IF($F354="",IF($D354="","","Falta a atividade"),IF($R354="Cancelada","Cancelada",IF($AB354=1,IF(N($Z354)&gt;0,"Concluída com atraso","Concluída"),IF($R354="Em programação","Em programação",IF($O354="",IF($M354="","Na carteira","Falta a semana"),IF($AC354=1,"VENCIDA",IF($O354&gt;Hoje!$L$1,"Programada",IF($P354&gt;Hoje!$L$1,"Em execução","Fecha hoje"))))))))</f>
        <v>Programada</v>
      </c>
      <c r="C354" s="41" t="s">
        <v>836</v>
      </c>
      <c r="D354" s="42" t="s">
        <v>827</v>
      </c>
      <c r="E354" s="42" t="s">
        <v>724</v>
      </c>
      <c r="F354" s="42" t="s">
        <v>837</v>
      </c>
      <c r="G354" s="43" t="s">
        <v>80</v>
      </c>
      <c r="H354" s="43" t="s">
        <v>100</v>
      </c>
      <c r="I354" s="44"/>
      <c r="J354" s="44"/>
      <c r="K354" s="44"/>
      <c r="L354" s="45" t="n">
        <v>37</v>
      </c>
      <c r="M354" s="46" t="s">
        <v>142</v>
      </c>
      <c r="N354" s="45" t="n">
        <v>9</v>
      </c>
      <c r="O354" s="47" t="n">
        <f aca="false">IF(OR($L354="",$M354=""),"",(DATE(Semana!$J$3,1,4)-WEEKDAY(DATE(Semana!$J$3,1,4),3))+($L354-1)*7+MATCH($M354,Listas!$F$5:$F$11,0)-1)</f>
        <v>46276</v>
      </c>
      <c r="P354" s="47" t="n">
        <f aca="false">IF(OR($F354="",$O354=""),"",$O354+MAX(0,ROUNDUP($AK354*MAX(1,IF($N354="",1,$N354))/MAX(1,$AL354),0)-1))</f>
        <v>46279</v>
      </c>
      <c r="Q354" s="48"/>
      <c r="R354" s="43"/>
      <c r="S354" s="49"/>
      <c r="T354" s="42"/>
      <c r="U354" s="42"/>
      <c r="V354" s="39" t="str">
        <f aca="false">IF($F354="","",IF(ISNUMBER(SEARCH("(externo)",$I354&amp;$J354&amp;$K354)),"Terceirizada","Interna"))</f>
        <v>Interna</v>
      </c>
      <c r="W354" s="47" t="n">
        <f aca="false">IF($O354="","",IF($S354="",$O354,(DATE(Semana!$J$3,1,4)-WEEKDAY(DATE(Semana!$J$3,1,4),3))+($S354-1)*7+IF($M354="",0,MATCH($M354,Listas!$F$5:$F$11,0)-1)))</f>
        <v>46276</v>
      </c>
      <c r="X354" s="39" t="n">
        <f aca="false">IF($F354="","",IF(OR($AT354="",$O354=""),0,IF($AT354&lt;=$O354,1,0)))</f>
        <v>0</v>
      </c>
      <c r="Y354" s="39" t="n">
        <f aca="false">IF($F354="","",IF(OR($AT354="",$W354=""),0,IF($AT354&lt;=$W354,1,0)))</f>
        <v>0</v>
      </c>
      <c r="Z354" s="39" t="str">
        <f aca="false">IF(OR($AT354="",$O354=""),"",MAX(0,$AT354-$O354))</f>
        <v/>
      </c>
      <c r="AA354" s="39" t="n">
        <f aca="false">IF($F354="","",IF(AND($S354&lt;&gt;"",$L354&lt;&gt;"",$S354&lt;&gt;$L354),1,0))</f>
        <v>0</v>
      </c>
      <c r="AB354" s="39" t="n">
        <f aca="false">IF($F354="","",IF($R354="Cancelada",0,IF(OR($AT354&lt;&gt;"",$R354="Concluída"),1,0)))</f>
        <v>0</v>
      </c>
      <c r="AC354" s="39" t="n">
        <f aca="false">IF($P354="",0,IF($P354&lt;Hoje!$L$1,1,IF(AND($P354=Hoje!$L$1,Hoje!$L$2&gt;Semana!$M$3),1,0)))</f>
        <v>0</v>
      </c>
      <c r="AD354" s="39" t="n">
        <f aca="false">IF($F354="","",IF(COUNTA($I354:$K354)=0,0,1/COUNTA($I354:$K354)))</f>
        <v>0</v>
      </c>
      <c r="AE354" s="39" t="str">
        <f aca="false">IF($AH354=0,"",SUM($AH$4:$AH354))</f>
        <v/>
      </c>
      <c r="AF354" s="39" t="str">
        <f aca="false">IF($AI354=0,"",SUM($AI$4:$AI354))</f>
        <v/>
      </c>
      <c r="AG354" s="50" t="str">
        <f aca="false">IF($F354="","",$I354&amp;IF($J354="",""," · "&amp;$J354)&amp;IF($K354="",""," · "&amp;$K354))</f>
        <v/>
      </c>
      <c r="AH354" s="39" t="n">
        <f aca="false">IF(AND($F354&lt;&gt;"",$O354&lt;&gt;"",$O354&lt;=Hoje!$C$3,$P354&gt;=Hoje!$C$3,$R354&lt;&gt;"Cancelada"),1,0)</f>
        <v>0</v>
      </c>
      <c r="AI354" s="39" t="n">
        <f aca="false">IF(AND($F354&lt;&gt;"",$P354&lt;&gt;"",$P354&lt;Hoje!$C$3,$AB354=0,$R354&lt;&gt;"Cancelada"),1,0)</f>
        <v>0</v>
      </c>
      <c r="AJ354" s="50" t="str">
        <f aca="false">IF($F354="","",$D354&amp;"|"&amp;$E354&amp;"|"&amp;$L354)</f>
        <v>F-962|Programação 09/09|37</v>
      </c>
      <c r="AK354" s="39" t="n">
        <f aca="false">IF($AJ354="","",COUNTIF($AJ$4:$AJ354,$AJ354))</f>
        <v>5</v>
      </c>
      <c r="AL354" s="39" t="n">
        <f aca="false">IF($AJ354="","",COUNTIF($AJ$4:$AJ$1004,$AJ354))</f>
        <v>14</v>
      </c>
      <c r="AM354" s="42" t="s">
        <v>829</v>
      </c>
      <c r="AN354" s="50" t="str">
        <f aca="false">IF($D354="","",IFERROR(T(VLOOKUP($D354,Listas!$B$5:$H$120,7,0)),""))</f>
        <v>Petro</v>
      </c>
      <c r="AO354" s="50" t="str">
        <f aca="false">IF(OR($F354="",$L354&lt;&gt;"",$R354="Cancelada",$AT354&lt;&gt;""),"",$AN354&amp;"|"&amp;$D354&amp;"|"&amp;IF($C354="","zzz",$C354)&amp;"|"&amp;TEXT(354,"0000"))</f>
        <v/>
      </c>
      <c r="AP354" s="50" t="str">
        <f aca="false">IF($AO354="","",COUNTIF($AO$5:$AO$1004,"&lt;"&amp;$AO354)-(ROWS($AO$5:$AO$1004)-Hoje!$L$5)+1)</f>
        <v/>
      </c>
      <c r="AQ354" s="50" t="n">
        <f aca="false">IF(AND($F354&lt;&gt;"",$D354=Frota!$C$3),1,0)</f>
        <v>0</v>
      </c>
      <c r="AR354" s="50" t="str">
        <f aca="false">IF($AQ354=0,"",SUM($AQ$4:$AQ354))</f>
        <v/>
      </c>
      <c r="AS354" s="50" t="str">
        <f aca="false">IFERROR(INDEX(Hoje!$K$10:$K$29,MATCH(ROW(),Hoje!$J$10:$J$29,0)),"")</f>
        <v/>
      </c>
      <c r="AT354" s="50" t="str">
        <f aca="false">IF($Q354&lt;&gt;"",$Q354,$AS354)</f>
        <v/>
      </c>
    </row>
    <row r="355" customFormat="false" ht="16.5" hidden="false" customHeight="true" outlineLevel="0" collapsed="false">
      <c r="A355" s="39" t="n">
        <f aca="false">IF($F355="","",ROW())</f>
        <v>355</v>
      </c>
      <c r="B355" s="40" t="str">
        <f aca="false">IF($F355="",IF($D355="","","Falta a atividade"),IF($R355="Cancelada","Cancelada",IF($AB355=1,IF(N($Z355)&gt;0,"Concluída com atraso","Concluída"),IF($R355="Em programação","Em programação",IF($O355="",IF($M355="","Na carteira","Falta a semana"),IF($AC355=1,"VENCIDA",IF($O355&gt;Hoje!$L$1,"Programada",IF($P355&gt;Hoje!$L$1,"Em execução","Fecha hoje"))))))))</f>
        <v>Programada</v>
      </c>
      <c r="C355" s="41" t="s">
        <v>838</v>
      </c>
      <c r="D355" s="42" t="s">
        <v>827</v>
      </c>
      <c r="E355" s="42" t="s">
        <v>724</v>
      </c>
      <c r="F355" s="42" t="s">
        <v>839</v>
      </c>
      <c r="G355" s="43" t="s">
        <v>80</v>
      </c>
      <c r="H355" s="43" t="s">
        <v>100</v>
      </c>
      <c r="I355" s="44"/>
      <c r="J355" s="44"/>
      <c r="K355" s="44"/>
      <c r="L355" s="45" t="n">
        <v>37</v>
      </c>
      <c r="M355" s="46" t="s">
        <v>142</v>
      </c>
      <c r="N355" s="45" t="n">
        <v>9</v>
      </c>
      <c r="O355" s="47" t="n">
        <f aca="false">IF(OR($L355="",$M355=""),"",(DATE(Semana!$J$3,1,4)-WEEKDAY(DATE(Semana!$J$3,1,4),3))+($L355-1)*7+MATCH($M355,Listas!$F$5:$F$11,0)-1)</f>
        <v>46276</v>
      </c>
      <c r="P355" s="47" t="n">
        <f aca="false">IF(OR($F355="",$O355=""),"",$O355+MAX(0,ROUNDUP($AK355*MAX(1,IF($N355="",1,$N355))/MAX(1,$AL355),0)-1))</f>
        <v>46279</v>
      </c>
      <c r="Q355" s="48"/>
      <c r="R355" s="43"/>
      <c r="S355" s="49"/>
      <c r="T355" s="42"/>
      <c r="U355" s="42" t="s">
        <v>709</v>
      </c>
      <c r="V355" s="39" t="str">
        <f aca="false">IF($F355="","",IF(ISNUMBER(SEARCH("(externo)",$I355&amp;$J355&amp;$K355)),"Terceirizada","Interna"))</f>
        <v>Interna</v>
      </c>
      <c r="W355" s="47" t="n">
        <f aca="false">IF($O355="","",IF($S355="",$O355,(DATE(Semana!$J$3,1,4)-WEEKDAY(DATE(Semana!$J$3,1,4),3))+($S355-1)*7+IF($M355="",0,MATCH($M355,Listas!$F$5:$F$11,0)-1)))</f>
        <v>46276</v>
      </c>
      <c r="X355" s="39" t="n">
        <f aca="false">IF($F355="","",IF(OR($AT355="",$O355=""),0,IF($AT355&lt;=$O355,1,0)))</f>
        <v>0</v>
      </c>
      <c r="Y355" s="39" t="n">
        <f aca="false">IF($F355="","",IF(OR($AT355="",$W355=""),0,IF($AT355&lt;=$W355,1,0)))</f>
        <v>0</v>
      </c>
      <c r="Z355" s="39" t="str">
        <f aca="false">IF(OR($AT355="",$O355=""),"",MAX(0,$AT355-$O355))</f>
        <v/>
      </c>
      <c r="AA355" s="39" t="n">
        <f aca="false">IF($F355="","",IF(AND($S355&lt;&gt;"",$L355&lt;&gt;"",$S355&lt;&gt;$L355),1,0))</f>
        <v>0</v>
      </c>
      <c r="AB355" s="39" t="n">
        <f aca="false">IF($F355="","",IF($R355="Cancelada",0,IF(OR($AT355&lt;&gt;"",$R355="Concluída"),1,0)))</f>
        <v>0</v>
      </c>
      <c r="AC355" s="39" t="n">
        <f aca="false">IF($P355="",0,IF($P355&lt;Hoje!$L$1,1,IF(AND($P355=Hoje!$L$1,Hoje!$L$2&gt;Semana!$M$3),1,0)))</f>
        <v>0</v>
      </c>
      <c r="AD355" s="39" t="n">
        <f aca="false">IF($F355="","",IF(COUNTA($I355:$K355)=0,0,1/COUNTA($I355:$K355)))</f>
        <v>0</v>
      </c>
      <c r="AE355" s="39" t="str">
        <f aca="false">IF($AH355=0,"",SUM($AH$4:$AH355))</f>
        <v/>
      </c>
      <c r="AF355" s="39" t="str">
        <f aca="false">IF($AI355=0,"",SUM($AI$4:$AI355))</f>
        <v/>
      </c>
      <c r="AG355" s="50" t="str">
        <f aca="false">IF($F355="","",$I355&amp;IF($J355="",""," · "&amp;$J355)&amp;IF($K355="",""," · "&amp;$K355))</f>
        <v/>
      </c>
      <c r="AH355" s="39" t="n">
        <f aca="false">IF(AND($F355&lt;&gt;"",$O355&lt;&gt;"",$O355&lt;=Hoje!$C$3,$P355&gt;=Hoje!$C$3,$R355&lt;&gt;"Cancelada"),1,0)</f>
        <v>0</v>
      </c>
      <c r="AI355" s="39" t="n">
        <f aca="false">IF(AND($F355&lt;&gt;"",$P355&lt;&gt;"",$P355&lt;Hoje!$C$3,$AB355=0,$R355&lt;&gt;"Cancelada"),1,0)</f>
        <v>0</v>
      </c>
      <c r="AJ355" s="50" t="str">
        <f aca="false">IF($F355="","",$D355&amp;"|"&amp;$E355&amp;"|"&amp;$L355)</f>
        <v>F-962|Programação 09/09|37</v>
      </c>
      <c r="AK355" s="39" t="n">
        <f aca="false">IF($AJ355="","",COUNTIF($AJ$4:$AJ355,$AJ355))</f>
        <v>6</v>
      </c>
      <c r="AL355" s="39" t="n">
        <f aca="false">IF($AJ355="","",COUNTIF($AJ$4:$AJ$1004,$AJ355))</f>
        <v>14</v>
      </c>
      <c r="AM355" s="42" t="s">
        <v>829</v>
      </c>
      <c r="AN355" s="50" t="str">
        <f aca="false">IF($D355="","",IFERROR(T(VLOOKUP($D355,Listas!$B$5:$H$120,7,0)),""))</f>
        <v>Petro</v>
      </c>
      <c r="AO355" s="50" t="str">
        <f aca="false">IF(OR($F355="",$L355&lt;&gt;"",$R355="Cancelada",$AT355&lt;&gt;""),"",$AN355&amp;"|"&amp;$D355&amp;"|"&amp;IF($C355="","zzz",$C355)&amp;"|"&amp;TEXT(355,"0000"))</f>
        <v/>
      </c>
      <c r="AP355" s="50" t="str">
        <f aca="false">IF($AO355="","",COUNTIF($AO$5:$AO$1004,"&lt;"&amp;$AO355)-(ROWS($AO$5:$AO$1004)-Hoje!$L$5)+1)</f>
        <v/>
      </c>
      <c r="AQ355" s="50" t="n">
        <f aca="false">IF(AND($F355&lt;&gt;"",$D355=Frota!$C$3),1,0)</f>
        <v>0</v>
      </c>
      <c r="AR355" s="50" t="str">
        <f aca="false">IF($AQ355=0,"",SUM($AQ$4:$AQ355))</f>
        <v/>
      </c>
      <c r="AS355" s="50" t="str">
        <f aca="false">IFERROR(INDEX(Hoje!$K$10:$K$29,MATCH(ROW(),Hoje!$J$10:$J$29,0)),"")</f>
        <v/>
      </c>
      <c r="AT355" s="50" t="str">
        <f aca="false">IF($Q355&lt;&gt;"",$Q355,$AS355)</f>
        <v/>
      </c>
    </row>
    <row r="356" customFormat="false" ht="16.5" hidden="false" customHeight="true" outlineLevel="0" collapsed="false">
      <c r="A356" s="39" t="n">
        <f aca="false">IF($F356="","",ROW())</f>
        <v>356</v>
      </c>
      <c r="B356" s="40" t="str">
        <f aca="false">IF($F356="",IF($D356="","","Falta a atividade"),IF($R356="Cancelada","Cancelada",IF($AB356=1,IF(N($Z356)&gt;0,"Concluída com atraso","Concluída"),IF($R356="Em programação","Em programação",IF($O356="",IF($M356="","Na carteira","Falta a semana"),IF($AC356=1,"VENCIDA",IF($O356&gt;Hoje!$L$1,"Programada",IF($P356&gt;Hoje!$L$1,"Em execução","Fecha hoje"))))))))</f>
        <v>Programada</v>
      </c>
      <c r="C356" s="41" t="s">
        <v>840</v>
      </c>
      <c r="D356" s="42" t="s">
        <v>827</v>
      </c>
      <c r="E356" s="42" t="s">
        <v>724</v>
      </c>
      <c r="F356" s="42" t="s">
        <v>841</v>
      </c>
      <c r="G356" s="43" t="s">
        <v>80</v>
      </c>
      <c r="H356" s="43" t="s">
        <v>100</v>
      </c>
      <c r="I356" s="44"/>
      <c r="J356" s="44"/>
      <c r="K356" s="44"/>
      <c r="L356" s="45" t="n">
        <v>37</v>
      </c>
      <c r="M356" s="46" t="s">
        <v>142</v>
      </c>
      <c r="N356" s="45" t="n">
        <v>9</v>
      </c>
      <c r="O356" s="47" t="n">
        <f aca="false">IF(OR($L356="",$M356=""),"",(DATE(Semana!$J$3,1,4)-WEEKDAY(DATE(Semana!$J$3,1,4),3))+($L356-1)*7+MATCH($M356,Listas!$F$5:$F$11,0)-1)</f>
        <v>46276</v>
      </c>
      <c r="P356" s="47" t="n">
        <f aca="false">IF(OR($F356="",$O356=""),"",$O356+MAX(0,ROUNDUP($AK356*MAX(1,IF($N356="",1,$N356))/MAX(1,$AL356),0)-1))</f>
        <v>46280</v>
      </c>
      <c r="Q356" s="48"/>
      <c r="R356" s="43"/>
      <c r="S356" s="49"/>
      <c r="T356" s="42"/>
      <c r="U356" s="42"/>
      <c r="V356" s="39" t="str">
        <f aca="false">IF($F356="","",IF(ISNUMBER(SEARCH("(externo)",$I356&amp;$J356&amp;$K356)),"Terceirizada","Interna"))</f>
        <v>Interna</v>
      </c>
      <c r="W356" s="47" t="n">
        <f aca="false">IF($O356="","",IF($S356="",$O356,(DATE(Semana!$J$3,1,4)-WEEKDAY(DATE(Semana!$J$3,1,4),3))+($S356-1)*7+IF($M356="",0,MATCH($M356,Listas!$F$5:$F$11,0)-1)))</f>
        <v>46276</v>
      </c>
      <c r="X356" s="39" t="n">
        <f aca="false">IF($F356="","",IF(OR($AT356="",$O356=""),0,IF($AT356&lt;=$O356,1,0)))</f>
        <v>0</v>
      </c>
      <c r="Y356" s="39" t="n">
        <f aca="false">IF($F356="","",IF(OR($AT356="",$W356=""),0,IF($AT356&lt;=$W356,1,0)))</f>
        <v>0</v>
      </c>
      <c r="Z356" s="39" t="str">
        <f aca="false">IF(OR($AT356="",$O356=""),"",MAX(0,$AT356-$O356))</f>
        <v/>
      </c>
      <c r="AA356" s="39" t="n">
        <f aca="false">IF($F356="","",IF(AND($S356&lt;&gt;"",$L356&lt;&gt;"",$S356&lt;&gt;$L356),1,0))</f>
        <v>0</v>
      </c>
      <c r="AB356" s="39" t="n">
        <f aca="false">IF($F356="","",IF($R356="Cancelada",0,IF(OR($AT356&lt;&gt;"",$R356="Concluída"),1,0)))</f>
        <v>0</v>
      </c>
      <c r="AC356" s="39" t="n">
        <f aca="false">IF($P356="",0,IF($P356&lt;Hoje!$L$1,1,IF(AND($P356=Hoje!$L$1,Hoje!$L$2&gt;Semana!$M$3),1,0)))</f>
        <v>0</v>
      </c>
      <c r="AD356" s="39" t="n">
        <f aca="false">IF($F356="","",IF(COUNTA($I356:$K356)=0,0,1/COUNTA($I356:$K356)))</f>
        <v>0</v>
      </c>
      <c r="AE356" s="39" t="str">
        <f aca="false">IF($AH356=0,"",SUM($AH$4:$AH356))</f>
        <v/>
      </c>
      <c r="AF356" s="39" t="str">
        <f aca="false">IF($AI356=0,"",SUM($AI$4:$AI356))</f>
        <v/>
      </c>
      <c r="AG356" s="50" t="str">
        <f aca="false">IF($F356="","",$I356&amp;IF($J356="",""," · "&amp;$J356)&amp;IF($K356="",""," · "&amp;$K356))</f>
        <v/>
      </c>
      <c r="AH356" s="39" t="n">
        <f aca="false">IF(AND($F356&lt;&gt;"",$O356&lt;&gt;"",$O356&lt;=Hoje!$C$3,$P356&gt;=Hoje!$C$3,$R356&lt;&gt;"Cancelada"),1,0)</f>
        <v>0</v>
      </c>
      <c r="AI356" s="39" t="n">
        <f aca="false">IF(AND($F356&lt;&gt;"",$P356&lt;&gt;"",$P356&lt;Hoje!$C$3,$AB356=0,$R356&lt;&gt;"Cancelada"),1,0)</f>
        <v>0</v>
      </c>
      <c r="AJ356" s="50" t="str">
        <f aca="false">IF($F356="","",$D356&amp;"|"&amp;$E356&amp;"|"&amp;$L356)</f>
        <v>F-962|Programação 09/09|37</v>
      </c>
      <c r="AK356" s="39" t="n">
        <f aca="false">IF($AJ356="","",COUNTIF($AJ$4:$AJ356,$AJ356))</f>
        <v>7</v>
      </c>
      <c r="AL356" s="39" t="n">
        <f aca="false">IF($AJ356="","",COUNTIF($AJ$4:$AJ$1004,$AJ356))</f>
        <v>14</v>
      </c>
      <c r="AM356" s="42" t="s">
        <v>829</v>
      </c>
      <c r="AN356" s="50" t="str">
        <f aca="false">IF($D356="","",IFERROR(T(VLOOKUP($D356,Listas!$B$5:$H$120,7,0)),""))</f>
        <v>Petro</v>
      </c>
      <c r="AO356" s="50" t="str">
        <f aca="false">IF(OR($F356="",$L356&lt;&gt;"",$R356="Cancelada",$AT356&lt;&gt;""),"",$AN356&amp;"|"&amp;$D356&amp;"|"&amp;IF($C356="","zzz",$C356)&amp;"|"&amp;TEXT(356,"0000"))</f>
        <v/>
      </c>
      <c r="AP356" s="50" t="str">
        <f aca="false">IF($AO356="","",COUNTIF($AO$5:$AO$1004,"&lt;"&amp;$AO356)-(ROWS($AO$5:$AO$1004)-Hoje!$L$5)+1)</f>
        <v/>
      </c>
      <c r="AQ356" s="50" t="n">
        <f aca="false">IF(AND($F356&lt;&gt;"",$D356=Frota!$C$3),1,0)</f>
        <v>0</v>
      </c>
      <c r="AR356" s="50" t="str">
        <f aca="false">IF($AQ356=0,"",SUM($AQ$4:$AQ356))</f>
        <v/>
      </c>
      <c r="AS356" s="50" t="str">
        <f aca="false">IFERROR(INDEX(Hoje!$K$10:$K$29,MATCH(ROW(),Hoje!$J$10:$J$29,0)),"")</f>
        <v/>
      </c>
      <c r="AT356" s="50" t="str">
        <f aca="false">IF($Q356&lt;&gt;"",$Q356,$AS356)</f>
        <v/>
      </c>
    </row>
    <row r="357" customFormat="false" ht="16.5" hidden="false" customHeight="true" outlineLevel="0" collapsed="false">
      <c r="A357" s="39" t="n">
        <f aca="false">IF($F357="","",ROW())</f>
        <v>357</v>
      </c>
      <c r="B357" s="40" t="str">
        <f aca="false">IF($F357="",IF($D357="","","Falta a atividade"),IF($R357="Cancelada","Cancelada",IF($AB357=1,IF(N($Z357)&gt;0,"Concluída com atraso","Concluída"),IF($R357="Em programação","Em programação",IF($O357="",IF($M357="","Na carteira","Falta a semana"),IF($AC357=1,"VENCIDA",IF($O357&gt;Hoje!$L$1,"Programada",IF($P357&gt;Hoje!$L$1,"Em execução","Fecha hoje"))))))))</f>
        <v>Programada</v>
      </c>
      <c r="C357" s="41" t="s">
        <v>842</v>
      </c>
      <c r="D357" s="42" t="s">
        <v>827</v>
      </c>
      <c r="E357" s="42" t="s">
        <v>724</v>
      </c>
      <c r="F357" s="42" t="s">
        <v>843</v>
      </c>
      <c r="G357" s="43" t="s">
        <v>80</v>
      </c>
      <c r="H357" s="43" t="s">
        <v>100</v>
      </c>
      <c r="I357" s="44"/>
      <c r="J357" s="44"/>
      <c r="K357" s="44"/>
      <c r="L357" s="45" t="n">
        <v>37</v>
      </c>
      <c r="M357" s="46" t="s">
        <v>142</v>
      </c>
      <c r="N357" s="45" t="n">
        <v>9</v>
      </c>
      <c r="O357" s="47" t="n">
        <f aca="false">IF(OR($L357="",$M357=""),"",(DATE(Semana!$J$3,1,4)-WEEKDAY(DATE(Semana!$J$3,1,4),3))+($L357-1)*7+MATCH($M357,Listas!$F$5:$F$11,0)-1)</f>
        <v>46276</v>
      </c>
      <c r="P357" s="47" t="n">
        <f aca="false">IF(OR($F357="",$O357=""),"",$O357+MAX(0,ROUNDUP($AK357*MAX(1,IF($N357="",1,$N357))/MAX(1,$AL357),0)-1))</f>
        <v>46281</v>
      </c>
      <c r="Q357" s="48"/>
      <c r="R357" s="43"/>
      <c r="S357" s="49"/>
      <c r="T357" s="42"/>
      <c r="U357" s="42"/>
      <c r="V357" s="39" t="str">
        <f aca="false">IF($F357="","",IF(ISNUMBER(SEARCH("(externo)",$I357&amp;$J357&amp;$K357)),"Terceirizada","Interna"))</f>
        <v>Interna</v>
      </c>
      <c r="W357" s="47" t="n">
        <f aca="false">IF($O357="","",IF($S357="",$O357,(DATE(Semana!$J$3,1,4)-WEEKDAY(DATE(Semana!$J$3,1,4),3))+($S357-1)*7+IF($M357="",0,MATCH($M357,Listas!$F$5:$F$11,0)-1)))</f>
        <v>46276</v>
      </c>
      <c r="X357" s="39" t="n">
        <f aca="false">IF($F357="","",IF(OR($AT357="",$O357=""),0,IF($AT357&lt;=$O357,1,0)))</f>
        <v>0</v>
      </c>
      <c r="Y357" s="39" t="n">
        <f aca="false">IF($F357="","",IF(OR($AT357="",$W357=""),0,IF($AT357&lt;=$W357,1,0)))</f>
        <v>0</v>
      </c>
      <c r="Z357" s="39" t="str">
        <f aca="false">IF(OR($AT357="",$O357=""),"",MAX(0,$AT357-$O357))</f>
        <v/>
      </c>
      <c r="AA357" s="39" t="n">
        <f aca="false">IF($F357="","",IF(AND($S357&lt;&gt;"",$L357&lt;&gt;"",$S357&lt;&gt;$L357),1,0))</f>
        <v>0</v>
      </c>
      <c r="AB357" s="39" t="n">
        <f aca="false">IF($F357="","",IF($R357="Cancelada",0,IF(OR($AT357&lt;&gt;"",$R357="Concluída"),1,0)))</f>
        <v>0</v>
      </c>
      <c r="AC357" s="39" t="n">
        <f aca="false">IF($P357="",0,IF($P357&lt;Hoje!$L$1,1,IF(AND($P357=Hoje!$L$1,Hoje!$L$2&gt;Semana!$M$3),1,0)))</f>
        <v>0</v>
      </c>
      <c r="AD357" s="39" t="n">
        <f aca="false">IF($F357="","",IF(COUNTA($I357:$K357)=0,0,1/COUNTA($I357:$K357)))</f>
        <v>0</v>
      </c>
      <c r="AE357" s="39" t="str">
        <f aca="false">IF($AH357=0,"",SUM($AH$4:$AH357))</f>
        <v/>
      </c>
      <c r="AF357" s="39" t="str">
        <f aca="false">IF($AI357=0,"",SUM($AI$4:$AI357))</f>
        <v/>
      </c>
      <c r="AG357" s="50" t="str">
        <f aca="false">IF($F357="","",$I357&amp;IF($J357="",""," · "&amp;$J357)&amp;IF($K357="",""," · "&amp;$K357))</f>
        <v/>
      </c>
      <c r="AH357" s="39" t="n">
        <f aca="false">IF(AND($F357&lt;&gt;"",$O357&lt;&gt;"",$O357&lt;=Hoje!$C$3,$P357&gt;=Hoje!$C$3,$R357&lt;&gt;"Cancelada"),1,0)</f>
        <v>0</v>
      </c>
      <c r="AI357" s="39" t="n">
        <f aca="false">IF(AND($F357&lt;&gt;"",$P357&lt;&gt;"",$P357&lt;Hoje!$C$3,$AB357=0,$R357&lt;&gt;"Cancelada"),1,0)</f>
        <v>0</v>
      </c>
      <c r="AJ357" s="50" t="str">
        <f aca="false">IF($F357="","",$D357&amp;"|"&amp;$E357&amp;"|"&amp;$L357)</f>
        <v>F-962|Programação 09/09|37</v>
      </c>
      <c r="AK357" s="39" t="n">
        <f aca="false">IF($AJ357="","",COUNTIF($AJ$4:$AJ357,$AJ357))</f>
        <v>8</v>
      </c>
      <c r="AL357" s="39" t="n">
        <f aca="false">IF($AJ357="","",COUNTIF($AJ$4:$AJ$1004,$AJ357))</f>
        <v>14</v>
      </c>
      <c r="AM357" s="42" t="s">
        <v>829</v>
      </c>
      <c r="AN357" s="50" t="str">
        <f aca="false">IF($D357="","",IFERROR(T(VLOOKUP($D357,Listas!$B$5:$H$120,7,0)),""))</f>
        <v>Petro</v>
      </c>
      <c r="AO357" s="50" t="str">
        <f aca="false">IF(OR($F357="",$L357&lt;&gt;"",$R357="Cancelada",$AT357&lt;&gt;""),"",$AN357&amp;"|"&amp;$D357&amp;"|"&amp;IF($C357="","zzz",$C357)&amp;"|"&amp;TEXT(357,"0000"))</f>
        <v/>
      </c>
      <c r="AP357" s="50" t="str">
        <f aca="false">IF($AO357="","",COUNTIF($AO$5:$AO$1004,"&lt;"&amp;$AO357)-(ROWS($AO$5:$AO$1004)-Hoje!$L$5)+1)</f>
        <v/>
      </c>
      <c r="AQ357" s="50" t="n">
        <f aca="false">IF(AND($F357&lt;&gt;"",$D357=Frota!$C$3),1,0)</f>
        <v>0</v>
      </c>
      <c r="AR357" s="50" t="str">
        <f aca="false">IF($AQ357=0,"",SUM($AQ$4:$AQ357))</f>
        <v/>
      </c>
      <c r="AS357" s="50" t="str">
        <f aca="false">IFERROR(INDEX(Hoje!$K$10:$K$29,MATCH(ROW(),Hoje!$J$10:$J$29,0)),"")</f>
        <v/>
      </c>
      <c r="AT357" s="50" t="str">
        <f aca="false">IF($Q357&lt;&gt;"",$Q357,$AS357)</f>
        <v/>
      </c>
    </row>
    <row r="358" customFormat="false" ht="16.5" hidden="false" customHeight="true" outlineLevel="0" collapsed="false">
      <c r="A358" s="39" t="n">
        <f aca="false">IF($F358="","",ROW())</f>
        <v>358</v>
      </c>
      <c r="B358" s="40" t="str">
        <f aca="false">IF($F358="",IF($D358="","","Falta a atividade"),IF($R358="Cancelada","Cancelada",IF($AB358=1,IF(N($Z358)&gt;0,"Concluída com atraso","Concluída"),IF($R358="Em programação","Em programação",IF($O358="",IF($M358="","Na carteira","Falta a semana"),IF($AC358=1,"VENCIDA",IF($O358&gt;Hoje!$L$1,"Programada",IF($P358&gt;Hoje!$L$1,"Em execução","Fecha hoje"))))))))</f>
        <v>Programada</v>
      </c>
      <c r="C358" s="41" t="s">
        <v>844</v>
      </c>
      <c r="D358" s="42" t="s">
        <v>827</v>
      </c>
      <c r="E358" s="42" t="s">
        <v>724</v>
      </c>
      <c r="F358" s="42" t="s">
        <v>845</v>
      </c>
      <c r="G358" s="43" t="s">
        <v>80</v>
      </c>
      <c r="H358" s="43" t="s">
        <v>100</v>
      </c>
      <c r="I358" s="44"/>
      <c r="J358" s="44"/>
      <c r="K358" s="44"/>
      <c r="L358" s="45" t="n">
        <v>37</v>
      </c>
      <c r="M358" s="46" t="s">
        <v>142</v>
      </c>
      <c r="N358" s="45" t="n">
        <v>9</v>
      </c>
      <c r="O358" s="47" t="n">
        <f aca="false">IF(OR($L358="",$M358=""),"",(DATE(Semana!$J$3,1,4)-WEEKDAY(DATE(Semana!$J$3,1,4),3))+($L358-1)*7+MATCH($M358,Listas!$F$5:$F$11,0)-1)</f>
        <v>46276</v>
      </c>
      <c r="P358" s="47" t="n">
        <f aca="false">IF(OR($F358="",$O358=""),"",$O358+MAX(0,ROUNDUP($AK358*MAX(1,IF($N358="",1,$N358))/MAX(1,$AL358),0)-1))</f>
        <v>46281</v>
      </c>
      <c r="Q358" s="48"/>
      <c r="R358" s="43"/>
      <c r="S358" s="49"/>
      <c r="T358" s="42"/>
      <c r="U358" s="42"/>
      <c r="V358" s="39" t="str">
        <f aca="false">IF($F358="","",IF(ISNUMBER(SEARCH("(externo)",$I358&amp;$J358&amp;$K358)),"Terceirizada","Interna"))</f>
        <v>Interna</v>
      </c>
      <c r="W358" s="47" t="n">
        <f aca="false">IF($O358="","",IF($S358="",$O358,(DATE(Semana!$J$3,1,4)-WEEKDAY(DATE(Semana!$J$3,1,4),3))+($S358-1)*7+IF($M358="",0,MATCH($M358,Listas!$F$5:$F$11,0)-1)))</f>
        <v>46276</v>
      </c>
      <c r="X358" s="39" t="n">
        <f aca="false">IF($F358="","",IF(OR($AT358="",$O358=""),0,IF($AT358&lt;=$O358,1,0)))</f>
        <v>0</v>
      </c>
      <c r="Y358" s="39" t="n">
        <f aca="false">IF($F358="","",IF(OR($AT358="",$W358=""),0,IF($AT358&lt;=$W358,1,0)))</f>
        <v>0</v>
      </c>
      <c r="Z358" s="39" t="str">
        <f aca="false">IF(OR($AT358="",$O358=""),"",MAX(0,$AT358-$O358))</f>
        <v/>
      </c>
      <c r="AA358" s="39" t="n">
        <f aca="false">IF($F358="","",IF(AND($S358&lt;&gt;"",$L358&lt;&gt;"",$S358&lt;&gt;$L358),1,0))</f>
        <v>0</v>
      </c>
      <c r="AB358" s="39" t="n">
        <f aca="false">IF($F358="","",IF($R358="Cancelada",0,IF(OR($AT358&lt;&gt;"",$R358="Concluída"),1,0)))</f>
        <v>0</v>
      </c>
      <c r="AC358" s="39" t="n">
        <f aca="false">IF($P358="",0,IF($P358&lt;Hoje!$L$1,1,IF(AND($P358=Hoje!$L$1,Hoje!$L$2&gt;Semana!$M$3),1,0)))</f>
        <v>0</v>
      </c>
      <c r="AD358" s="39" t="n">
        <f aca="false">IF($F358="","",IF(COUNTA($I358:$K358)=0,0,1/COUNTA($I358:$K358)))</f>
        <v>0</v>
      </c>
      <c r="AE358" s="39" t="str">
        <f aca="false">IF($AH358=0,"",SUM($AH$4:$AH358))</f>
        <v/>
      </c>
      <c r="AF358" s="39" t="str">
        <f aca="false">IF($AI358=0,"",SUM($AI$4:$AI358))</f>
        <v/>
      </c>
      <c r="AG358" s="50" t="str">
        <f aca="false">IF($F358="","",$I358&amp;IF($J358="",""," · "&amp;$J358)&amp;IF($K358="",""," · "&amp;$K358))</f>
        <v/>
      </c>
      <c r="AH358" s="39" t="n">
        <f aca="false">IF(AND($F358&lt;&gt;"",$O358&lt;&gt;"",$O358&lt;=Hoje!$C$3,$P358&gt;=Hoje!$C$3,$R358&lt;&gt;"Cancelada"),1,0)</f>
        <v>0</v>
      </c>
      <c r="AI358" s="39" t="n">
        <f aca="false">IF(AND($F358&lt;&gt;"",$P358&lt;&gt;"",$P358&lt;Hoje!$C$3,$AB358=0,$R358&lt;&gt;"Cancelada"),1,0)</f>
        <v>0</v>
      </c>
      <c r="AJ358" s="50" t="str">
        <f aca="false">IF($F358="","",$D358&amp;"|"&amp;$E358&amp;"|"&amp;$L358)</f>
        <v>F-962|Programação 09/09|37</v>
      </c>
      <c r="AK358" s="39" t="n">
        <f aca="false">IF($AJ358="","",COUNTIF($AJ$4:$AJ358,$AJ358))</f>
        <v>9</v>
      </c>
      <c r="AL358" s="39" t="n">
        <f aca="false">IF($AJ358="","",COUNTIF($AJ$4:$AJ$1004,$AJ358))</f>
        <v>14</v>
      </c>
      <c r="AM358" s="42"/>
      <c r="AN358" s="50" t="str">
        <f aca="false">IF($D358="","",IFERROR(T(VLOOKUP($D358,Listas!$B$5:$H$120,7,0)),""))</f>
        <v>Petro</v>
      </c>
      <c r="AO358" s="50" t="str">
        <f aca="false">IF(OR($F358="",$L358&lt;&gt;"",$R358="Cancelada",$AT358&lt;&gt;""),"",$AN358&amp;"|"&amp;$D358&amp;"|"&amp;IF($C358="","zzz",$C358)&amp;"|"&amp;TEXT(358,"0000"))</f>
        <v/>
      </c>
      <c r="AP358" s="50" t="str">
        <f aca="false">IF($AO358="","",COUNTIF($AO$5:$AO$1004,"&lt;"&amp;$AO358)-(ROWS($AO$5:$AO$1004)-Hoje!$L$5)+1)</f>
        <v/>
      </c>
      <c r="AQ358" s="50" t="n">
        <f aca="false">IF(AND($F358&lt;&gt;"",$D358=Frota!$C$3),1,0)</f>
        <v>0</v>
      </c>
      <c r="AR358" s="50" t="str">
        <f aca="false">IF($AQ358=0,"",SUM($AQ$4:$AQ358))</f>
        <v/>
      </c>
      <c r="AS358" s="50" t="str">
        <f aca="false">IFERROR(INDEX(Hoje!$K$10:$K$29,MATCH(ROW(),Hoje!$J$10:$J$29,0)),"")</f>
        <v/>
      </c>
      <c r="AT358" s="50" t="str">
        <f aca="false">IF($Q358&lt;&gt;"",$Q358,$AS358)</f>
        <v/>
      </c>
    </row>
    <row r="359" customFormat="false" ht="16.5" hidden="false" customHeight="true" outlineLevel="0" collapsed="false">
      <c r="A359" s="39" t="n">
        <f aca="false">IF($F359="","",ROW())</f>
        <v>359</v>
      </c>
      <c r="B359" s="40" t="str">
        <f aca="false">IF($F359="",IF($D359="","","Falta a atividade"),IF($R359="Cancelada","Cancelada",IF($AB359=1,IF(N($Z359)&gt;0,"Concluída com atraso","Concluída"),IF($R359="Em programação","Em programação",IF($O359="",IF($M359="","Na carteira","Falta a semana"),IF($AC359=1,"VENCIDA",IF($O359&gt;Hoje!$L$1,"Programada",IF($P359&gt;Hoje!$L$1,"Em execução","Fecha hoje"))))))))</f>
        <v>Programada</v>
      </c>
      <c r="C359" s="41" t="s">
        <v>846</v>
      </c>
      <c r="D359" s="42" t="s">
        <v>827</v>
      </c>
      <c r="E359" s="42" t="s">
        <v>724</v>
      </c>
      <c r="F359" s="42" t="s">
        <v>847</v>
      </c>
      <c r="G359" s="43" t="s">
        <v>80</v>
      </c>
      <c r="H359" s="43" t="s">
        <v>100</v>
      </c>
      <c r="I359" s="44"/>
      <c r="J359" s="44"/>
      <c r="K359" s="44"/>
      <c r="L359" s="45" t="n">
        <v>37</v>
      </c>
      <c r="M359" s="46" t="s">
        <v>142</v>
      </c>
      <c r="N359" s="45" t="n">
        <v>9</v>
      </c>
      <c r="O359" s="47" t="n">
        <f aca="false">IF(OR($L359="",$M359=""),"",(DATE(Semana!$J$3,1,4)-WEEKDAY(DATE(Semana!$J$3,1,4),3))+($L359-1)*7+MATCH($M359,Listas!$F$5:$F$11,0)-1)</f>
        <v>46276</v>
      </c>
      <c r="P359" s="47" t="n">
        <f aca="false">IF(OR($F359="",$O359=""),"",$O359+MAX(0,ROUNDUP($AK359*MAX(1,IF($N359="",1,$N359))/MAX(1,$AL359),0)-1))</f>
        <v>46282</v>
      </c>
      <c r="Q359" s="48"/>
      <c r="R359" s="43"/>
      <c r="S359" s="49"/>
      <c r="T359" s="42"/>
      <c r="U359" s="42"/>
      <c r="V359" s="39" t="str">
        <f aca="false">IF($F359="","",IF(ISNUMBER(SEARCH("(externo)",$I359&amp;$J359&amp;$K359)),"Terceirizada","Interna"))</f>
        <v>Interna</v>
      </c>
      <c r="W359" s="47" t="n">
        <f aca="false">IF($O359="","",IF($S359="",$O359,(DATE(Semana!$J$3,1,4)-WEEKDAY(DATE(Semana!$J$3,1,4),3))+($S359-1)*7+IF($M359="",0,MATCH($M359,Listas!$F$5:$F$11,0)-1)))</f>
        <v>46276</v>
      </c>
      <c r="X359" s="39" t="n">
        <f aca="false">IF($F359="","",IF(OR($AT359="",$O359=""),0,IF($AT359&lt;=$O359,1,0)))</f>
        <v>0</v>
      </c>
      <c r="Y359" s="39" t="n">
        <f aca="false">IF($F359="","",IF(OR($AT359="",$W359=""),0,IF($AT359&lt;=$W359,1,0)))</f>
        <v>0</v>
      </c>
      <c r="Z359" s="39" t="str">
        <f aca="false">IF(OR($AT359="",$O359=""),"",MAX(0,$AT359-$O359))</f>
        <v/>
      </c>
      <c r="AA359" s="39" t="n">
        <f aca="false">IF($F359="","",IF(AND($S359&lt;&gt;"",$L359&lt;&gt;"",$S359&lt;&gt;$L359),1,0))</f>
        <v>0</v>
      </c>
      <c r="AB359" s="39" t="n">
        <f aca="false">IF($F359="","",IF($R359="Cancelada",0,IF(OR($AT359&lt;&gt;"",$R359="Concluída"),1,0)))</f>
        <v>0</v>
      </c>
      <c r="AC359" s="39" t="n">
        <f aca="false">IF($P359="",0,IF($P359&lt;Hoje!$L$1,1,IF(AND($P359=Hoje!$L$1,Hoje!$L$2&gt;Semana!$M$3),1,0)))</f>
        <v>0</v>
      </c>
      <c r="AD359" s="39" t="n">
        <f aca="false">IF($F359="","",IF(COUNTA($I359:$K359)=0,0,1/COUNTA($I359:$K359)))</f>
        <v>0</v>
      </c>
      <c r="AE359" s="39" t="str">
        <f aca="false">IF($AH359=0,"",SUM($AH$4:$AH359))</f>
        <v/>
      </c>
      <c r="AF359" s="39" t="str">
        <f aca="false">IF($AI359=0,"",SUM($AI$4:$AI359))</f>
        <v/>
      </c>
      <c r="AG359" s="50" t="str">
        <f aca="false">IF($F359="","",$I359&amp;IF($J359="",""," · "&amp;$J359)&amp;IF($K359="",""," · "&amp;$K359))</f>
        <v/>
      </c>
      <c r="AH359" s="39" t="n">
        <f aca="false">IF(AND($F359&lt;&gt;"",$O359&lt;&gt;"",$O359&lt;=Hoje!$C$3,$P359&gt;=Hoje!$C$3,$R359&lt;&gt;"Cancelada"),1,0)</f>
        <v>0</v>
      </c>
      <c r="AI359" s="39" t="n">
        <f aca="false">IF(AND($F359&lt;&gt;"",$P359&lt;&gt;"",$P359&lt;Hoje!$C$3,$AB359=0,$R359&lt;&gt;"Cancelada"),1,0)</f>
        <v>0</v>
      </c>
      <c r="AJ359" s="50" t="str">
        <f aca="false">IF($F359="","",$D359&amp;"|"&amp;$E359&amp;"|"&amp;$L359)</f>
        <v>F-962|Programação 09/09|37</v>
      </c>
      <c r="AK359" s="39" t="n">
        <f aca="false">IF($AJ359="","",COUNTIF($AJ$4:$AJ359,$AJ359))</f>
        <v>10</v>
      </c>
      <c r="AL359" s="39" t="n">
        <f aca="false">IF($AJ359="","",COUNTIF($AJ$4:$AJ$1004,$AJ359))</f>
        <v>14</v>
      </c>
      <c r="AM359" s="42" t="s">
        <v>829</v>
      </c>
      <c r="AN359" s="50" t="str">
        <f aca="false">IF($D359="","",IFERROR(T(VLOOKUP($D359,Listas!$B$5:$H$120,7,0)),""))</f>
        <v>Petro</v>
      </c>
      <c r="AO359" s="50" t="str">
        <f aca="false">IF(OR($F359="",$L359&lt;&gt;"",$R359="Cancelada",$AT359&lt;&gt;""),"",$AN359&amp;"|"&amp;$D359&amp;"|"&amp;IF($C359="","zzz",$C359)&amp;"|"&amp;TEXT(359,"0000"))</f>
        <v/>
      </c>
      <c r="AP359" s="50" t="str">
        <f aca="false">IF($AO359="","",COUNTIF($AO$5:$AO$1004,"&lt;"&amp;$AO359)-(ROWS($AO$5:$AO$1004)-Hoje!$L$5)+1)</f>
        <v/>
      </c>
      <c r="AQ359" s="50" t="n">
        <f aca="false">IF(AND($F359&lt;&gt;"",$D359=Frota!$C$3),1,0)</f>
        <v>0</v>
      </c>
      <c r="AR359" s="50" t="str">
        <f aca="false">IF($AQ359=0,"",SUM($AQ$4:$AQ359))</f>
        <v/>
      </c>
      <c r="AS359" s="50" t="str">
        <f aca="false">IFERROR(INDEX(Hoje!$K$10:$K$29,MATCH(ROW(),Hoje!$J$10:$J$29,0)),"")</f>
        <v/>
      </c>
      <c r="AT359" s="50" t="str">
        <f aca="false">IF($Q359&lt;&gt;"",$Q359,$AS359)</f>
        <v/>
      </c>
    </row>
    <row r="360" customFormat="false" ht="16.5" hidden="false" customHeight="true" outlineLevel="0" collapsed="false">
      <c r="A360" s="39" t="n">
        <f aca="false">IF($F360="","",ROW())</f>
        <v>360</v>
      </c>
      <c r="B360" s="40" t="str">
        <f aca="false">IF($F360="",IF($D360="","","Falta a atividade"),IF($R360="Cancelada","Cancelada",IF($AB360=1,IF(N($Z360)&gt;0,"Concluída com atraso","Concluída"),IF($R360="Em programação","Em programação",IF($O360="",IF($M360="","Na carteira","Falta a semana"),IF($AC360=1,"VENCIDA",IF($O360&gt;Hoje!$L$1,"Programada",IF($P360&gt;Hoje!$L$1,"Em execução","Fecha hoje"))))))))</f>
        <v>Programada</v>
      </c>
      <c r="C360" s="41" t="s">
        <v>848</v>
      </c>
      <c r="D360" s="42" t="s">
        <v>827</v>
      </c>
      <c r="E360" s="42" t="s">
        <v>724</v>
      </c>
      <c r="F360" s="42" t="s">
        <v>849</v>
      </c>
      <c r="G360" s="43" t="s">
        <v>80</v>
      </c>
      <c r="H360" s="43" t="s">
        <v>100</v>
      </c>
      <c r="I360" s="44"/>
      <c r="J360" s="44"/>
      <c r="K360" s="44"/>
      <c r="L360" s="45" t="n">
        <v>37</v>
      </c>
      <c r="M360" s="46" t="s">
        <v>142</v>
      </c>
      <c r="N360" s="45" t="n">
        <v>9</v>
      </c>
      <c r="O360" s="47" t="n">
        <f aca="false">IF(OR($L360="",$M360=""),"",(DATE(Semana!$J$3,1,4)-WEEKDAY(DATE(Semana!$J$3,1,4),3))+($L360-1)*7+MATCH($M360,Listas!$F$5:$F$11,0)-1)</f>
        <v>46276</v>
      </c>
      <c r="P360" s="47" t="n">
        <f aca="false">IF(OR($F360="",$O360=""),"",$O360+MAX(0,ROUNDUP($AK360*MAX(1,IF($N360="",1,$N360))/MAX(1,$AL360),0)-1))</f>
        <v>46283</v>
      </c>
      <c r="Q360" s="48"/>
      <c r="R360" s="43"/>
      <c r="S360" s="49"/>
      <c r="T360" s="42"/>
      <c r="U360" s="42"/>
      <c r="V360" s="39" t="str">
        <f aca="false">IF($F360="","",IF(ISNUMBER(SEARCH("(externo)",$I360&amp;$J360&amp;$K360)),"Terceirizada","Interna"))</f>
        <v>Interna</v>
      </c>
      <c r="W360" s="47" t="n">
        <f aca="false">IF($O360="","",IF($S360="",$O360,(DATE(Semana!$J$3,1,4)-WEEKDAY(DATE(Semana!$J$3,1,4),3))+($S360-1)*7+IF($M360="",0,MATCH($M360,Listas!$F$5:$F$11,0)-1)))</f>
        <v>46276</v>
      </c>
      <c r="X360" s="39" t="n">
        <f aca="false">IF($F360="","",IF(OR($AT360="",$O360=""),0,IF($AT360&lt;=$O360,1,0)))</f>
        <v>0</v>
      </c>
      <c r="Y360" s="39" t="n">
        <f aca="false">IF($F360="","",IF(OR($AT360="",$W360=""),0,IF($AT360&lt;=$W360,1,0)))</f>
        <v>0</v>
      </c>
      <c r="Z360" s="39" t="str">
        <f aca="false">IF(OR($AT360="",$O360=""),"",MAX(0,$AT360-$O360))</f>
        <v/>
      </c>
      <c r="AA360" s="39" t="n">
        <f aca="false">IF($F360="","",IF(AND($S360&lt;&gt;"",$L360&lt;&gt;"",$S360&lt;&gt;$L360),1,0))</f>
        <v>0</v>
      </c>
      <c r="AB360" s="39" t="n">
        <f aca="false">IF($F360="","",IF($R360="Cancelada",0,IF(OR($AT360&lt;&gt;"",$R360="Concluída"),1,0)))</f>
        <v>0</v>
      </c>
      <c r="AC360" s="39" t="n">
        <f aca="false">IF($P360="",0,IF($P360&lt;Hoje!$L$1,1,IF(AND($P360=Hoje!$L$1,Hoje!$L$2&gt;Semana!$M$3),1,0)))</f>
        <v>0</v>
      </c>
      <c r="AD360" s="39" t="n">
        <f aca="false">IF($F360="","",IF(COUNTA($I360:$K360)=0,0,1/COUNTA($I360:$K360)))</f>
        <v>0</v>
      </c>
      <c r="AE360" s="39" t="str">
        <f aca="false">IF($AH360=0,"",SUM($AH$4:$AH360))</f>
        <v/>
      </c>
      <c r="AF360" s="39" t="str">
        <f aca="false">IF($AI360=0,"",SUM($AI$4:$AI360))</f>
        <v/>
      </c>
      <c r="AG360" s="50" t="str">
        <f aca="false">IF($F360="","",$I360&amp;IF($J360="",""," · "&amp;$J360)&amp;IF($K360="",""," · "&amp;$K360))</f>
        <v/>
      </c>
      <c r="AH360" s="39" t="n">
        <f aca="false">IF(AND($F360&lt;&gt;"",$O360&lt;&gt;"",$O360&lt;=Hoje!$C$3,$P360&gt;=Hoje!$C$3,$R360&lt;&gt;"Cancelada"),1,0)</f>
        <v>0</v>
      </c>
      <c r="AI360" s="39" t="n">
        <f aca="false">IF(AND($F360&lt;&gt;"",$P360&lt;&gt;"",$P360&lt;Hoje!$C$3,$AB360=0,$R360&lt;&gt;"Cancelada"),1,0)</f>
        <v>0</v>
      </c>
      <c r="AJ360" s="50" t="str">
        <f aca="false">IF($F360="","",$D360&amp;"|"&amp;$E360&amp;"|"&amp;$L360)</f>
        <v>F-962|Programação 09/09|37</v>
      </c>
      <c r="AK360" s="39" t="n">
        <f aca="false">IF($AJ360="","",COUNTIF($AJ$4:$AJ360,$AJ360))</f>
        <v>11</v>
      </c>
      <c r="AL360" s="39" t="n">
        <f aca="false">IF($AJ360="","",COUNTIF($AJ$4:$AJ$1004,$AJ360))</f>
        <v>14</v>
      </c>
      <c r="AM360" s="42" t="s">
        <v>829</v>
      </c>
      <c r="AN360" s="50" t="str">
        <f aca="false">IF($D360="","",IFERROR(T(VLOOKUP($D360,Listas!$B$5:$H$120,7,0)),""))</f>
        <v>Petro</v>
      </c>
      <c r="AO360" s="50" t="str">
        <f aca="false">IF(OR($F360="",$L360&lt;&gt;"",$R360="Cancelada",$AT360&lt;&gt;""),"",$AN360&amp;"|"&amp;$D360&amp;"|"&amp;IF($C360="","zzz",$C360)&amp;"|"&amp;TEXT(360,"0000"))</f>
        <v/>
      </c>
      <c r="AP360" s="50" t="str">
        <f aca="false">IF($AO360="","",COUNTIF($AO$5:$AO$1004,"&lt;"&amp;$AO360)-(ROWS($AO$5:$AO$1004)-Hoje!$L$5)+1)</f>
        <v/>
      </c>
      <c r="AQ360" s="50" t="n">
        <f aca="false">IF(AND($F360&lt;&gt;"",$D360=Frota!$C$3),1,0)</f>
        <v>0</v>
      </c>
      <c r="AR360" s="50" t="str">
        <f aca="false">IF($AQ360=0,"",SUM($AQ$4:$AQ360))</f>
        <v/>
      </c>
      <c r="AS360" s="50" t="str">
        <f aca="false">IFERROR(INDEX(Hoje!$K$10:$K$29,MATCH(ROW(),Hoje!$J$10:$J$29,0)),"")</f>
        <v/>
      </c>
      <c r="AT360" s="50" t="str">
        <f aca="false">IF($Q360&lt;&gt;"",$Q360,$AS360)</f>
        <v/>
      </c>
    </row>
    <row r="361" customFormat="false" ht="16.5" hidden="false" customHeight="true" outlineLevel="0" collapsed="false">
      <c r="A361" s="39" t="n">
        <f aca="false">IF($F361="","",ROW())</f>
        <v>361</v>
      </c>
      <c r="B361" s="40" t="str">
        <f aca="false">IF($F361="",IF($D361="","","Falta a atividade"),IF($R361="Cancelada","Cancelada",IF($AB361=1,IF(N($Z361)&gt;0,"Concluída com atraso","Concluída"),IF($R361="Em programação","Em programação",IF($O361="",IF($M361="","Na carteira","Falta a semana"),IF($AC361=1,"VENCIDA",IF($O361&gt;Hoje!$L$1,"Programada",IF($P361&gt;Hoje!$L$1,"Em execução","Fecha hoje"))))))))</f>
        <v>Programada</v>
      </c>
      <c r="C361" s="41" t="s">
        <v>850</v>
      </c>
      <c r="D361" s="42" t="s">
        <v>827</v>
      </c>
      <c r="E361" s="42" t="s">
        <v>724</v>
      </c>
      <c r="F361" s="42" t="s">
        <v>851</v>
      </c>
      <c r="G361" s="43" t="s">
        <v>80</v>
      </c>
      <c r="H361" s="43" t="s">
        <v>100</v>
      </c>
      <c r="I361" s="44"/>
      <c r="J361" s="44"/>
      <c r="K361" s="44"/>
      <c r="L361" s="45" t="n">
        <v>37</v>
      </c>
      <c r="M361" s="46" t="s">
        <v>142</v>
      </c>
      <c r="N361" s="45" t="n">
        <v>9</v>
      </c>
      <c r="O361" s="47" t="n">
        <f aca="false">IF(OR($L361="",$M361=""),"",(DATE(Semana!$J$3,1,4)-WEEKDAY(DATE(Semana!$J$3,1,4),3))+($L361-1)*7+MATCH($M361,Listas!$F$5:$F$11,0)-1)</f>
        <v>46276</v>
      </c>
      <c r="P361" s="47" t="n">
        <f aca="false">IF(OR($F361="",$O361=""),"",$O361+MAX(0,ROUNDUP($AK361*MAX(1,IF($N361="",1,$N361))/MAX(1,$AL361),0)-1))</f>
        <v>46283</v>
      </c>
      <c r="Q361" s="48"/>
      <c r="R361" s="43"/>
      <c r="S361" s="49"/>
      <c r="T361" s="42"/>
      <c r="U361" s="42" t="s">
        <v>852</v>
      </c>
      <c r="V361" s="39" t="str">
        <f aca="false">IF($F361="","",IF(ISNUMBER(SEARCH("(externo)",$I361&amp;$J361&amp;$K361)),"Terceirizada","Interna"))</f>
        <v>Interna</v>
      </c>
      <c r="W361" s="47" t="n">
        <f aca="false">IF($O361="","",IF($S361="",$O361,(DATE(Semana!$J$3,1,4)-WEEKDAY(DATE(Semana!$J$3,1,4),3))+($S361-1)*7+IF($M361="",0,MATCH($M361,Listas!$F$5:$F$11,0)-1)))</f>
        <v>46276</v>
      </c>
      <c r="X361" s="39" t="n">
        <f aca="false">IF($F361="","",IF(OR($AT361="",$O361=""),0,IF($AT361&lt;=$O361,1,0)))</f>
        <v>0</v>
      </c>
      <c r="Y361" s="39" t="n">
        <f aca="false">IF($F361="","",IF(OR($AT361="",$W361=""),0,IF($AT361&lt;=$W361,1,0)))</f>
        <v>0</v>
      </c>
      <c r="Z361" s="39" t="str">
        <f aca="false">IF(OR($AT361="",$O361=""),"",MAX(0,$AT361-$O361))</f>
        <v/>
      </c>
      <c r="AA361" s="39" t="n">
        <f aca="false">IF($F361="","",IF(AND($S361&lt;&gt;"",$L361&lt;&gt;"",$S361&lt;&gt;$L361),1,0))</f>
        <v>0</v>
      </c>
      <c r="AB361" s="39" t="n">
        <f aca="false">IF($F361="","",IF($R361="Cancelada",0,IF(OR($AT361&lt;&gt;"",$R361="Concluída"),1,0)))</f>
        <v>0</v>
      </c>
      <c r="AC361" s="39" t="n">
        <f aca="false">IF($P361="",0,IF($P361&lt;Hoje!$L$1,1,IF(AND($P361=Hoje!$L$1,Hoje!$L$2&gt;Semana!$M$3),1,0)))</f>
        <v>0</v>
      </c>
      <c r="AD361" s="39" t="n">
        <f aca="false">IF($F361="","",IF(COUNTA($I361:$K361)=0,0,1/COUNTA($I361:$K361)))</f>
        <v>0</v>
      </c>
      <c r="AE361" s="39" t="str">
        <f aca="false">IF($AH361=0,"",SUM($AH$4:$AH361))</f>
        <v/>
      </c>
      <c r="AF361" s="39" t="str">
        <f aca="false">IF($AI361=0,"",SUM($AI$4:$AI361))</f>
        <v/>
      </c>
      <c r="AG361" s="50" t="str">
        <f aca="false">IF($F361="","",$I361&amp;IF($J361="",""," · "&amp;$J361)&amp;IF($K361="",""," · "&amp;$K361))</f>
        <v/>
      </c>
      <c r="AH361" s="39" t="n">
        <f aca="false">IF(AND($F361&lt;&gt;"",$O361&lt;&gt;"",$O361&lt;=Hoje!$C$3,$P361&gt;=Hoje!$C$3,$R361&lt;&gt;"Cancelada"),1,0)</f>
        <v>0</v>
      </c>
      <c r="AI361" s="39" t="n">
        <f aca="false">IF(AND($F361&lt;&gt;"",$P361&lt;&gt;"",$P361&lt;Hoje!$C$3,$AB361=0,$R361&lt;&gt;"Cancelada"),1,0)</f>
        <v>0</v>
      </c>
      <c r="AJ361" s="50" t="str">
        <f aca="false">IF($F361="","",$D361&amp;"|"&amp;$E361&amp;"|"&amp;$L361)</f>
        <v>F-962|Programação 09/09|37</v>
      </c>
      <c r="AK361" s="39" t="n">
        <f aca="false">IF($AJ361="","",COUNTIF($AJ$4:$AJ361,$AJ361))</f>
        <v>12</v>
      </c>
      <c r="AL361" s="39" t="n">
        <f aca="false">IF($AJ361="","",COUNTIF($AJ$4:$AJ$1004,$AJ361))</f>
        <v>14</v>
      </c>
      <c r="AM361" s="42" t="s">
        <v>853</v>
      </c>
      <c r="AN361" s="50" t="str">
        <f aca="false">IF($D361="","",IFERROR(T(VLOOKUP($D361,Listas!$B$5:$H$120,7,0)),""))</f>
        <v>Petro</v>
      </c>
      <c r="AO361" s="50" t="str">
        <f aca="false">IF(OR($F361="",$L361&lt;&gt;"",$R361="Cancelada",$AT361&lt;&gt;""),"",$AN361&amp;"|"&amp;$D361&amp;"|"&amp;IF($C361="","zzz",$C361)&amp;"|"&amp;TEXT(361,"0000"))</f>
        <v/>
      </c>
      <c r="AP361" s="50" t="str">
        <f aca="false">IF($AO361="","",COUNTIF($AO$5:$AO$1004,"&lt;"&amp;$AO361)-(ROWS($AO$5:$AO$1004)-Hoje!$L$5)+1)</f>
        <v/>
      </c>
      <c r="AQ361" s="50" t="n">
        <f aca="false">IF(AND($F361&lt;&gt;"",$D361=Frota!$C$3),1,0)</f>
        <v>0</v>
      </c>
      <c r="AR361" s="50" t="str">
        <f aca="false">IF($AQ361=0,"",SUM($AQ$4:$AQ361))</f>
        <v/>
      </c>
      <c r="AS361" s="50" t="str">
        <f aca="false">IFERROR(INDEX(Hoje!$K$10:$K$29,MATCH(ROW(),Hoje!$J$10:$J$29,0)),"")</f>
        <v/>
      </c>
      <c r="AT361" s="50" t="str">
        <f aca="false">IF($Q361&lt;&gt;"",$Q361,$AS361)</f>
        <v/>
      </c>
    </row>
    <row r="362" customFormat="false" ht="16.5" hidden="false" customHeight="true" outlineLevel="0" collapsed="false">
      <c r="A362" s="39" t="n">
        <f aca="false">IF($F362="","",ROW())</f>
        <v>362</v>
      </c>
      <c r="B362" s="40" t="str">
        <f aca="false">IF($F362="",IF($D362="","","Falta a atividade"),IF($R362="Cancelada","Cancelada",IF($AB362=1,IF(N($Z362)&gt;0,"Concluída com atraso","Concluída"),IF($R362="Em programação","Em programação",IF($O362="",IF($M362="","Na carteira","Falta a semana"),IF($AC362=1,"VENCIDA",IF($O362&gt;Hoje!$L$1,"Programada",IF($P362&gt;Hoje!$L$1,"Em execução","Fecha hoje"))))))))</f>
        <v>Programada</v>
      </c>
      <c r="C362" s="41" t="s">
        <v>854</v>
      </c>
      <c r="D362" s="42" t="s">
        <v>827</v>
      </c>
      <c r="E362" s="42" t="s">
        <v>724</v>
      </c>
      <c r="F362" s="42" t="s">
        <v>855</v>
      </c>
      <c r="G362" s="43" t="s">
        <v>80</v>
      </c>
      <c r="H362" s="43" t="s">
        <v>100</v>
      </c>
      <c r="I362" s="44"/>
      <c r="J362" s="44"/>
      <c r="K362" s="44"/>
      <c r="L362" s="45" t="n">
        <v>37</v>
      </c>
      <c r="M362" s="46" t="s">
        <v>142</v>
      </c>
      <c r="N362" s="45" t="n">
        <v>9</v>
      </c>
      <c r="O362" s="47" t="n">
        <f aca="false">IF(OR($L362="",$M362=""),"",(DATE(Semana!$J$3,1,4)-WEEKDAY(DATE(Semana!$J$3,1,4),3))+($L362-1)*7+MATCH($M362,Listas!$F$5:$F$11,0)-1)</f>
        <v>46276</v>
      </c>
      <c r="P362" s="47" t="n">
        <f aca="false">IF(OR($F362="",$O362=""),"",$O362+MAX(0,ROUNDUP($AK362*MAX(1,IF($N362="",1,$N362))/MAX(1,$AL362),0)-1))</f>
        <v>46284</v>
      </c>
      <c r="Q362" s="48"/>
      <c r="R362" s="43"/>
      <c r="S362" s="49"/>
      <c r="T362" s="42"/>
      <c r="U362" s="42" t="s">
        <v>852</v>
      </c>
      <c r="V362" s="39" t="str">
        <f aca="false">IF($F362="","",IF(ISNUMBER(SEARCH("(externo)",$I362&amp;$J362&amp;$K362)),"Terceirizada","Interna"))</f>
        <v>Interna</v>
      </c>
      <c r="W362" s="47" t="n">
        <f aca="false">IF($O362="","",IF($S362="",$O362,(DATE(Semana!$J$3,1,4)-WEEKDAY(DATE(Semana!$J$3,1,4),3))+($S362-1)*7+IF($M362="",0,MATCH($M362,Listas!$F$5:$F$11,0)-1)))</f>
        <v>46276</v>
      </c>
      <c r="X362" s="39" t="n">
        <f aca="false">IF($F362="","",IF(OR($AT362="",$O362=""),0,IF($AT362&lt;=$O362,1,0)))</f>
        <v>0</v>
      </c>
      <c r="Y362" s="39" t="n">
        <f aca="false">IF($F362="","",IF(OR($AT362="",$W362=""),0,IF($AT362&lt;=$W362,1,0)))</f>
        <v>0</v>
      </c>
      <c r="Z362" s="39" t="str">
        <f aca="false">IF(OR($AT362="",$O362=""),"",MAX(0,$AT362-$O362))</f>
        <v/>
      </c>
      <c r="AA362" s="39" t="n">
        <f aca="false">IF($F362="","",IF(AND($S362&lt;&gt;"",$L362&lt;&gt;"",$S362&lt;&gt;$L362),1,0))</f>
        <v>0</v>
      </c>
      <c r="AB362" s="39" t="n">
        <f aca="false">IF($F362="","",IF($R362="Cancelada",0,IF(OR($AT362&lt;&gt;"",$R362="Concluída"),1,0)))</f>
        <v>0</v>
      </c>
      <c r="AC362" s="39" t="n">
        <f aca="false">IF($P362="",0,IF($P362&lt;Hoje!$L$1,1,IF(AND($P362=Hoje!$L$1,Hoje!$L$2&gt;Semana!$M$3),1,0)))</f>
        <v>0</v>
      </c>
      <c r="AD362" s="39" t="n">
        <f aca="false">IF($F362="","",IF(COUNTA($I362:$K362)=0,0,1/COUNTA($I362:$K362)))</f>
        <v>0</v>
      </c>
      <c r="AE362" s="39" t="str">
        <f aca="false">IF($AH362=0,"",SUM($AH$4:$AH362))</f>
        <v/>
      </c>
      <c r="AF362" s="39" t="str">
        <f aca="false">IF($AI362=0,"",SUM($AI$4:$AI362))</f>
        <v/>
      </c>
      <c r="AG362" s="50" t="str">
        <f aca="false">IF($F362="","",$I362&amp;IF($J362="",""," · "&amp;$J362)&amp;IF($K362="",""," · "&amp;$K362))</f>
        <v/>
      </c>
      <c r="AH362" s="39" t="n">
        <f aca="false">IF(AND($F362&lt;&gt;"",$O362&lt;&gt;"",$O362&lt;=Hoje!$C$3,$P362&gt;=Hoje!$C$3,$R362&lt;&gt;"Cancelada"),1,0)</f>
        <v>0</v>
      </c>
      <c r="AI362" s="39" t="n">
        <f aca="false">IF(AND($F362&lt;&gt;"",$P362&lt;&gt;"",$P362&lt;Hoje!$C$3,$AB362=0,$R362&lt;&gt;"Cancelada"),1,0)</f>
        <v>0</v>
      </c>
      <c r="AJ362" s="50" t="str">
        <f aca="false">IF($F362="","",$D362&amp;"|"&amp;$E362&amp;"|"&amp;$L362)</f>
        <v>F-962|Programação 09/09|37</v>
      </c>
      <c r="AK362" s="39" t="n">
        <f aca="false">IF($AJ362="","",COUNTIF($AJ$4:$AJ362,$AJ362))</f>
        <v>13</v>
      </c>
      <c r="AL362" s="39" t="n">
        <f aca="false">IF($AJ362="","",COUNTIF($AJ$4:$AJ$1004,$AJ362))</f>
        <v>14</v>
      </c>
      <c r="AM362" s="42" t="s">
        <v>856</v>
      </c>
      <c r="AN362" s="50" t="str">
        <f aca="false">IF($D362="","",IFERROR(T(VLOOKUP($D362,Listas!$B$5:$H$120,7,0)),""))</f>
        <v>Petro</v>
      </c>
      <c r="AO362" s="50" t="str">
        <f aca="false">IF(OR($F362="",$L362&lt;&gt;"",$R362="Cancelada",$AT362&lt;&gt;""),"",$AN362&amp;"|"&amp;$D362&amp;"|"&amp;IF($C362="","zzz",$C362)&amp;"|"&amp;TEXT(362,"0000"))</f>
        <v/>
      </c>
      <c r="AP362" s="50" t="str">
        <f aca="false">IF($AO362="","",COUNTIF($AO$5:$AO$1004,"&lt;"&amp;$AO362)-(ROWS($AO$5:$AO$1004)-Hoje!$L$5)+1)</f>
        <v/>
      </c>
      <c r="AQ362" s="50" t="n">
        <f aca="false">IF(AND($F362&lt;&gt;"",$D362=Frota!$C$3),1,0)</f>
        <v>0</v>
      </c>
      <c r="AR362" s="50" t="str">
        <f aca="false">IF($AQ362=0,"",SUM($AQ$4:$AQ362))</f>
        <v/>
      </c>
      <c r="AS362" s="50" t="str">
        <f aca="false">IFERROR(INDEX(Hoje!$K$10:$K$29,MATCH(ROW(),Hoje!$J$10:$J$29,0)),"")</f>
        <v/>
      </c>
      <c r="AT362" s="50" t="str">
        <f aca="false">IF($Q362&lt;&gt;"",$Q362,$AS362)</f>
        <v/>
      </c>
    </row>
    <row r="363" customFormat="false" ht="16.5" hidden="false" customHeight="true" outlineLevel="0" collapsed="false">
      <c r="A363" s="39" t="n">
        <f aca="false">IF($F363="","",ROW())</f>
        <v>363</v>
      </c>
      <c r="B363" s="40" t="str">
        <f aca="false">IF($F363="",IF($D363="","","Falta a atividade"),IF($R363="Cancelada","Cancelada",IF($AB363=1,IF(N($Z363)&gt;0,"Concluída com atraso","Concluída"),IF($R363="Em programação","Em programação",IF($O363="",IF($M363="","Na carteira","Falta a semana"),IF($AC363=1,"VENCIDA",IF($O363&gt;Hoje!$L$1,"Programada",IF($P363&gt;Hoje!$L$1,"Em execução","Fecha hoje"))))))))</f>
        <v>Em execução</v>
      </c>
      <c r="C363" s="41"/>
      <c r="D363" s="42" t="s">
        <v>630</v>
      </c>
      <c r="E363" s="42" t="s">
        <v>724</v>
      </c>
      <c r="F363" s="42" t="s">
        <v>857</v>
      </c>
      <c r="G363" s="43" t="s">
        <v>80</v>
      </c>
      <c r="H363" s="43" t="s">
        <v>81</v>
      </c>
      <c r="I363" s="44" t="s">
        <v>182</v>
      </c>
      <c r="J363" s="44"/>
      <c r="K363" s="44"/>
      <c r="L363" s="45" t="n">
        <v>37</v>
      </c>
      <c r="M363" s="46" t="s">
        <v>84</v>
      </c>
      <c r="N363" s="45" t="n">
        <v>3</v>
      </c>
      <c r="O363" s="47" t="n">
        <f aca="false">IF(OR($L363="",$M363=""),"",(DATE(Semana!$J$3,1,4)-WEEKDAY(DATE(Semana!$J$3,1,4),3))+($L363-1)*7+MATCH($M363,Listas!$F$5:$F$11,0)-1)</f>
        <v>46274</v>
      </c>
      <c r="P363" s="47" t="n">
        <f aca="false">IF(OR($F363="",$O363=""),"",$O363+MAX(0,ROUNDUP($AK363*MAX(1,IF($N363="",1,$N363))/MAX(1,$AL363),0)-1))</f>
        <v>46276</v>
      </c>
      <c r="Q363" s="48"/>
      <c r="R363" s="43"/>
      <c r="S363" s="49"/>
      <c r="T363" s="42"/>
      <c r="U363" s="42" t="s">
        <v>858</v>
      </c>
      <c r="V363" s="39" t="str">
        <f aca="false">IF($F363="","",IF(ISNUMBER(SEARCH("(externo)",$I363&amp;$J363&amp;$K363)),"Terceirizada","Interna"))</f>
        <v>Interna</v>
      </c>
      <c r="W363" s="47" t="n">
        <f aca="false">IF($O363="","",IF($S363="",$O363,(DATE(Semana!$J$3,1,4)-WEEKDAY(DATE(Semana!$J$3,1,4),3))+($S363-1)*7+IF($M363="",0,MATCH($M363,Listas!$F$5:$F$11,0)-1)))</f>
        <v>46274</v>
      </c>
      <c r="X363" s="39" t="n">
        <f aca="false">IF($F363="","",IF(OR($AT363="",$O363=""),0,IF($AT363&lt;=$O363,1,0)))</f>
        <v>0</v>
      </c>
      <c r="Y363" s="39" t="n">
        <f aca="false">IF($F363="","",IF(OR($AT363="",$W363=""),0,IF($AT363&lt;=$W363,1,0)))</f>
        <v>0</v>
      </c>
      <c r="Z363" s="39" t="str">
        <f aca="false">IF(OR($AT363="",$O363=""),"",MAX(0,$AT363-$O363))</f>
        <v/>
      </c>
      <c r="AA363" s="39" t="n">
        <f aca="false">IF($F363="","",IF(AND($S363&lt;&gt;"",$L363&lt;&gt;"",$S363&lt;&gt;$L363),1,0))</f>
        <v>0</v>
      </c>
      <c r="AB363" s="39" t="n">
        <f aca="false">IF($F363="","",IF($R363="Cancelada",0,IF(OR($AT363&lt;&gt;"",$R363="Concluída"),1,0)))</f>
        <v>0</v>
      </c>
      <c r="AC363" s="39" t="n">
        <f aca="false">IF($P363="",0,IF($P363&lt;Hoje!$L$1,1,IF(AND($P363=Hoje!$L$1,Hoje!$L$2&gt;Semana!$M$3),1,0)))</f>
        <v>0</v>
      </c>
      <c r="AD363" s="39" t="n">
        <f aca="false">IF($F363="","",IF(COUNTA($I363:$K363)=0,0,1/COUNTA($I363:$K363)))</f>
        <v>1</v>
      </c>
      <c r="AE363" s="39" t="n">
        <f aca="false">IF($AH363=0,"",SUM($AH$4:$AH363))</f>
        <v>23</v>
      </c>
      <c r="AF363" s="39" t="str">
        <f aca="false">IF($AI363=0,"",SUM($AI$4:$AI363))</f>
        <v/>
      </c>
      <c r="AG363" s="50" t="str">
        <f aca="false">IF($F363="","",$I363&amp;IF($J363="",""," · "&amp;$J363)&amp;IF($K363="",""," · "&amp;$K363))</f>
        <v>Alexandre</v>
      </c>
      <c r="AH363" s="39" t="n">
        <f aca="false">IF(AND($F363&lt;&gt;"",$O363&lt;&gt;"",$O363&lt;=Hoje!$C$3,$P363&gt;=Hoje!$C$3,$R363&lt;&gt;"Cancelada"),1,0)</f>
        <v>1</v>
      </c>
      <c r="AI363" s="39" t="n">
        <f aca="false">IF(AND($F363&lt;&gt;"",$P363&lt;&gt;"",$P363&lt;Hoje!$C$3,$AB363=0,$R363&lt;&gt;"Cancelada"),1,0)</f>
        <v>0</v>
      </c>
      <c r="AJ363" s="50" t="str">
        <f aca="false">IF($F363="","",$D363&amp;"|"&amp;$E363&amp;"|"&amp;$L363)</f>
        <v>F-580|Programação 09/09|37</v>
      </c>
      <c r="AK363" s="39" t="n">
        <f aca="false">IF($AJ363="","",COUNTIF($AJ$4:$AJ363,$AJ363))</f>
        <v>1</v>
      </c>
      <c r="AL363" s="39" t="n">
        <f aca="false">IF($AJ363="","",COUNTIF($AJ$4:$AJ$1004,$AJ363))</f>
        <v>1</v>
      </c>
      <c r="AM363" s="42"/>
      <c r="AN363" s="50" t="str">
        <f aca="false">IF($D363="","",IFERROR(T(VLOOKUP($D363,Listas!$B$5:$H$120,7,0)),""))</f>
        <v/>
      </c>
      <c r="AO363" s="50" t="str">
        <f aca="false">IF(OR($F363="",$L363&lt;&gt;"",$R363="Cancelada",$AT363&lt;&gt;""),"",$AN363&amp;"|"&amp;$D363&amp;"|"&amp;IF($C363="","zzz",$C363)&amp;"|"&amp;TEXT(363,"0000"))</f>
        <v/>
      </c>
      <c r="AP363" s="50" t="str">
        <f aca="false">IF($AO363="","",COUNTIF($AO$5:$AO$1004,"&lt;"&amp;$AO363)-(ROWS($AO$5:$AO$1004)-Hoje!$L$5)+1)</f>
        <v/>
      </c>
      <c r="AQ363" s="50" t="n">
        <f aca="false">IF(AND($F363&lt;&gt;"",$D363=Frota!$C$3),1,0)</f>
        <v>0</v>
      </c>
      <c r="AR363" s="50" t="str">
        <f aca="false">IF($AQ363=0,"",SUM($AQ$4:$AQ363))</f>
        <v/>
      </c>
      <c r="AS363" s="50" t="str">
        <f aca="false">IFERROR(INDEX(Hoje!$K$10:$K$29,MATCH(ROW(),Hoje!$J$10:$J$29,0)),"")</f>
        <v/>
      </c>
      <c r="AT363" s="50" t="str">
        <f aca="false">IF($Q363&lt;&gt;"",$Q363,$AS363)</f>
        <v/>
      </c>
    </row>
    <row r="364" customFormat="false" ht="16.5" hidden="false" customHeight="true" outlineLevel="0" collapsed="false">
      <c r="A364" s="39" t="n">
        <f aca="false">IF($F364="","",ROW())</f>
        <v>364</v>
      </c>
      <c r="B364" s="40" t="str">
        <f aca="false">IF($F364="",IF($D364="","","Falta a atividade"),IF($R364="Cancelada","Cancelada",IF($AB364=1,IF(N($Z364)&gt;0,"Concluída com atraso","Concluída"),IF($R364="Em programação","Em programação",IF($O364="",IF($M364="","Na carteira","Falta a semana"),IF($AC364=1,"VENCIDA",IF($O364&gt;Hoje!$L$1,"Programada",IF($P364&gt;Hoje!$L$1,"Em execução","Fecha hoje"))))))))</f>
        <v>Em execução</v>
      </c>
      <c r="C364" s="41"/>
      <c r="D364" s="42" t="s">
        <v>378</v>
      </c>
      <c r="E364" s="42" t="s">
        <v>724</v>
      </c>
      <c r="F364" s="42" t="s">
        <v>859</v>
      </c>
      <c r="G364" s="43" t="s">
        <v>80</v>
      </c>
      <c r="H364" s="43" t="s">
        <v>81</v>
      </c>
      <c r="I364" s="44" t="s">
        <v>182</v>
      </c>
      <c r="J364" s="44" t="s">
        <v>107</v>
      </c>
      <c r="K364" s="44"/>
      <c r="L364" s="45" t="n">
        <v>37</v>
      </c>
      <c r="M364" s="46" t="s">
        <v>84</v>
      </c>
      <c r="N364" s="45" t="n">
        <v>2</v>
      </c>
      <c r="O364" s="47" t="n">
        <f aca="false">IF(OR($L364="",$M364=""),"",(DATE(Semana!$J$3,1,4)-WEEKDAY(DATE(Semana!$J$3,1,4),3))+($L364-1)*7+MATCH($M364,Listas!$F$5:$F$11,0)-1)</f>
        <v>46274</v>
      </c>
      <c r="P364" s="47" t="n">
        <f aca="false">IF(OR($F364="",$O364=""),"",$O364+MAX(0,ROUNDUP($AK364*MAX(1,IF($N364="",1,$N364))/MAX(1,$AL364),0)-1))</f>
        <v>46275</v>
      </c>
      <c r="Q364" s="48"/>
      <c r="R364" s="43"/>
      <c r="S364" s="49"/>
      <c r="T364" s="42"/>
      <c r="U364" s="42"/>
      <c r="V364" s="39" t="str">
        <f aca="false">IF($F364="","",IF(ISNUMBER(SEARCH("(externo)",$I364&amp;$J364&amp;$K364)),"Terceirizada","Interna"))</f>
        <v>Interna</v>
      </c>
      <c r="W364" s="47" t="n">
        <f aca="false">IF($O364="","",IF($S364="",$O364,(DATE(Semana!$J$3,1,4)-WEEKDAY(DATE(Semana!$J$3,1,4),3))+($S364-1)*7+IF($M364="",0,MATCH($M364,Listas!$F$5:$F$11,0)-1)))</f>
        <v>46274</v>
      </c>
      <c r="X364" s="39" t="n">
        <f aca="false">IF($F364="","",IF(OR($AT364="",$O364=""),0,IF($AT364&lt;=$O364,1,0)))</f>
        <v>0</v>
      </c>
      <c r="Y364" s="39" t="n">
        <f aca="false">IF($F364="","",IF(OR($AT364="",$W364=""),0,IF($AT364&lt;=$W364,1,0)))</f>
        <v>0</v>
      </c>
      <c r="Z364" s="39" t="str">
        <f aca="false">IF(OR($AT364="",$O364=""),"",MAX(0,$AT364-$O364))</f>
        <v/>
      </c>
      <c r="AA364" s="39" t="n">
        <f aca="false">IF($F364="","",IF(AND($S364&lt;&gt;"",$L364&lt;&gt;"",$S364&lt;&gt;$L364),1,0))</f>
        <v>0</v>
      </c>
      <c r="AB364" s="39" t="n">
        <f aca="false">IF($F364="","",IF($R364="Cancelada",0,IF(OR($AT364&lt;&gt;"",$R364="Concluída"),1,0)))</f>
        <v>0</v>
      </c>
      <c r="AC364" s="39" t="n">
        <f aca="false">IF($P364="",0,IF($P364&lt;Hoje!$L$1,1,IF(AND($P364=Hoje!$L$1,Hoje!$L$2&gt;Semana!$M$3),1,0)))</f>
        <v>0</v>
      </c>
      <c r="AD364" s="39" t="n">
        <f aca="false">IF($F364="","",IF(COUNTA($I364:$K364)=0,0,1/COUNTA($I364:$K364)))</f>
        <v>0.5</v>
      </c>
      <c r="AE364" s="39" t="n">
        <f aca="false">IF($AH364=0,"",SUM($AH$4:$AH364))</f>
        <v>24</v>
      </c>
      <c r="AF364" s="39" t="str">
        <f aca="false">IF($AI364=0,"",SUM($AI$4:$AI364))</f>
        <v/>
      </c>
      <c r="AG364" s="50" t="str">
        <f aca="false">IF($F364="","",$I364&amp;IF($J364="",""," · "&amp;$J364)&amp;IF($K364="",""," · "&amp;$K364))</f>
        <v>Alexandre · Gabriel</v>
      </c>
      <c r="AH364" s="39" t="n">
        <f aca="false">IF(AND($F364&lt;&gt;"",$O364&lt;&gt;"",$O364&lt;=Hoje!$C$3,$P364&gt;=Hoje!$C$3,$R364&lt;&gt;"Cancelada"),1,0)</f>
        <v>1</v>
      </c>
      <c r="AI364" s="39" t="n">
        <f aca="false">IF(AND($F364&lt;&gt;"",$P364&lt;&gt;"",$P364&lt;Hoje!$C$3,$AB364=0,$R364&lt;&gt;"Cancelada"),1,0)</f>
        <v>0</v>
      </c>
      <c r="AJ364" s="50" t="str">
        <f aca="false">IF($F364="","",$D364&amp;"|"&amp;$E364&amp;"|"&amp;$L364)</f>
        <v>F-938|Programação 09/09|37</v>
      </c>
      <c r="AK364" s="39" t="n">
        <f aca="false">IF($AJ364="","",COUNTIF($AJ$4:$AJ364,$AJ364))</f>
        <v>1</v>
      </c>
      <c r="AL364" s="39" t="n">
        <f aca="false">IF($AJ364="","",COUNTIF($AJ$4:$AJ$1004,$AJ364))</f>
        <v>1</v>
      </c>
      <c r="AM364" s="42"/>
      <c r="AN364" s="50" t="str">
        <f aca="false">IF($D364="","",IFERROR(T(VLOOKUP($D364,Listas!$B$5:$H$120,7,0)),""))</f>
        <v/>
      </c>
      <c r="AO364" s="50" t="str">
        <f aca="false">IF(OR($F364="",$L364&lt;&gt;"",$R364="Cancelada",$AT364&lt;&gt;""),"",$AN364&amp;"|"&amp;$D364&amp;"|"&amp;IF($C364="","zzz",$C364)&amp;"|"&amp;TEXT(364,"0000"))</f>
        <v/>
      </c>
      <c r="AP364" s="50" t="str">
        <f aca="false">IF($AO364="","",COUNTIF($AO$5:$AO$1004,"&lt;"&amp;$AO364)-(ROWS($AO$5:$AO$1004)-Hoje!$L$5)+1)</f>
        <v/>
      </c>
      <c r="AQ364" s="50" t="n">
        <f aca="false">IF(AND($F364&lt;&gt;"",$D364=Frota!$C$3),1,0)</f>
        <v>0</v>
      </c>
      <c r="AR364" s="50" t="str">
        <f aca="false">IF($AQ364=0,"",SUM($AQ$4:$AQ364))</f>
        <v/>
      </c>
      <c r="AS364" s="50" t="str">
        <f aca="false">IFERROR(INDEX(Hoje!$K$10:$K$29,MATCH(ROW(),Hoje!$J$10:$J$29,0)),"")</f>
        <v/>
      </c>
      <c r="AT364" s="50" t="str">
        <f aca="false">IF($Q364&lt;&gt;"",$Q364,$AS364)</f>
        <v/>
      </c>
    </row>
    <row r="365" customFormat="false" ht="16.5" hidden="false" customHeight="true" outlineLevel="0" collapsed="false">
      <c r="A365" s="39" t="n">
        <f aca="false">IF($F365="","",ROW())</f>
        <v>365</v>
      </c>
      <c r="B365" s="40" t="str">
        <f aca="false">IF($F365="",IF($D365="","","Falta a atividade"),IF($R365="Cancelada","Cancelada",IF($AB365=1,IF(N($Z365)&gt;0,"Concluída com atraso","Concluída"),IF($R365="Em programação","Em programação",IF($O365="",IF($M365="","Na carteira","Falta a semana"),IF($AC365=1,"VENCIDA",IF($O365&gt;Hoje!$L$1,"Programada",IF($P365&gt;Hoje!$L$1,"Em execução","Fecha hoje"))))))))</f>
        <v>Em execução</v>
      </c>
      <c r="C365" s="41"/>
      <c r="D365" s="42" t="s">
        <v>281</v>
      </c>
      <c r="E365" s="42" t="s">
        <v>724</v>
      </c>
      <c r="F365" s="42" t="s">
        <v>860</v>
      </c>
      <c r="G365" s="43" t="s">
        <v>80</v>
      </c>
      <c r="H365" s="43" t="s">
        <v>100</v>
      </c>
      <c r="I365" s="44" t="s">
        <v>283</v>
      </c>
      <c r="J365" s="44"/>
      <c r="K365" s="44"/>
      <c r="L365" s="45" t="n">
        <v>37</v>
      </c>
      <c r="M365" s="46" t="s">
        <v>84</v>
      </c>
      <c r="N365" s="45" t="n">
        <v>2</v>
      </c>
      <c r="O365" s="47" t="n">
        <f aca="false">IF(OR($L365="",$M365=""),"",(DATE(Semana!$J$3,1,4)-WEEKDAY(DATE(Semana!$J$3,1,4),3))+($L365-1)*7+MATCH($M365,Listas!$F$5:$F$11,0)-1)</f>
        <v>46274</v>
      </c>
      <c r="P365" s="47" t="n">
        <f aca="false">IF(OR($F365="",$O365=""),"",$O365+MAX(0,ROUNDUP($AK365*MAX(1,IF($N365="",1,$N365))/MAX(1,$AL365),0)-1))</f>
        <v>46275</v>
      </c>
      <c r="Q365" s="48"/>
      <c r="R365" s="43"/>
      <c r="S365" s="49"/>
      <c r="T365" s="42"/>
      <c r="U365" s="42"/>
      <c r="V365" s="39" t="str">
        <f aca="false">IF($F365="","",IF(ISNUMBER(SEARCH("(externo)",$I365&amp;$J365&amp;$K365)),"Terceirizada","Interna"))</f>
        <v>Interna</v>
      </c>
      <c r="W365" s="47" t="n">
        <f aca="false">IF($O365="","",IF($S365="",$O365,(DATE(Semana!$J$3,1,4)-WEEKDAY(DATE(Semana!$J$3,1,4),3))+($S365-1)*7+IF($M365="",0,MATCH($M365,Listas!$F$5:$F$11,0)-1)))</f>
        <v>46274</v>
      </c>
      <c r="X365" s="39" t="n">
        <f aca="false">IF($F365="","",IF(OR($AT365="",$O365=""),0,IF($AT365&lt;=$O365,1,0)))</f>
        <v>0</v>
      </c>
      <c r="Y365" s="39" t="n">
        <f aca="false">IF($F365="","",IF(OR($AT365="",$W365=""),0,IF($AT365&lt;=$W365,1,0)))</f>
        <v>0</v>
      </c>
      <c r="Z365" s="39" t="str">
        <f aca="false">IF(OR($AT365="",$O365=""),"",MAX(0,$AT365-$O365))</f>
        <v/>
      </c>
      <c r="AA365" s="39" t="n">
        <f aca="false">IF($F365="","",IF(AND($S365&lt;&gt;"",$L365&lt;&gt;"",$S365&lt;&gt;$L365),1,0))</f>
        <v>0</v>
      </c>
      <c r="AB365" s="39" t="n">
        <f aca="false">IF($F365="","",IF($R365="Cancelada",0,IF(OR($AT365&lt;&gt;"",$R365="Concluída"),1,0)))</f>
        <v>0</v>
      </c>
      <c r="AC365" s="39" t="n">
        <f aca="false">IF($P365="",0,IF($P365&lt;Hoje!$L$1,1,IF(AND($P365=Hoje!$L$1,Hoje!$L$2&gt;Semana!$M$3),1,0)))</f>
        <v>0</v>
      </c>
      <c r="AD365" s="39" t="n">
        <f aca="false">IF($F365="","",IF(COUNTA($I365:$K365)=0,0,1/COUNTA($I365:$K365)))</f>
        <v>1</v>
      </c>
      <c r="AE365" s="39" t="n">
        <f aca="false">IF($AH365=0,"",SUM($AH$4:$AH365))</f>
        <v>25</v>
      </c>
      <c r="AF365" s="39" t="str">
        <f aca="false">IF($AI365=0,"",SUM($AI$4:$AI365))</f>
        <v/>
      </c>
      <c r="AG365" s="50" t="str">
        <f aca="false">IF($F365="","",$I365&amp;IF($J365="",""," · "&amp;$J365)&amp;IF($K365="",""," · "&amp;$K365))</f>
        <v>Heliton</v>
      </c>
      <c r="AH365" s="39" t="n">
        <f aca="false">IF(AND($F365&lt;&gt;"",$O365&lt;&gt;"",$O365&lt;=Hoje!$C$3,$P365&gt;=Hoje!$C$3,$R365&lt;&gt;"Cancelada"),1,0)</f>
        <v>1</v>
      </c>
      <c r="AI365" s="39" t="n">
        <f aca="false">IF(AND($F365&lt;&gt;"",$P365&lt;&gt;"",$P365&lt;Hoje!$C$3,$AB365=0,$R365&lt;&gt;"Cancelada"),1,0)</f>
        <v>0</v>
      </c>
      <c r="AJ365" s="50" t="str">
        <f aca="false">IF($F365="","",$D365&amp;"|"&amp;$E365&amp;"|"&amp;$L365)</f>
        <v>F-815|Programação 09/09|37</v>
      </c>
      <c r="AK365" s="39" t="n">
        <f aca="false">IF($AJ365="","",COUNTIF($AJ$4:$AJ365,$AJ365))</f>
        <v>1</v>
      </c>
      <c r="AL365" s="39" t="n">
        <f aca="false">IF($AJ365="","",COUNTIF($AJ$4:$AJ$1004,$AJ365))</f>
        <v>1</v>
      </c>
      <c r="AM365" s="42"/>
      <c r="AN365" s="50" t="str">
        <f aca="false">IF($D365="","",IFERROR(T(VLOOKUP($D365,Listas!$B$5:$H$120,7,0)),""))</f>
        <v/>
      </c>
      <c r="AO365" s="50" t="str">
        <f aca="false">IF(OR($F365="",$L365&lt;&gt;"",$R365="Cancelada",$AT365&lt;&gt;""),"",$AN365&amp;"|"&amp;$D365&amp;"|"&amp;IF($C365="","zzz",$C365)&amp;"|"&amp;TEXT(365,"0000"))</f>
        <v/>
      </c>
      <c r="AP365" s="50" t="str">
        <f aca="false">IF($AO365="","",COUNTIF($AO$5:$AO$1004,"&lt;"&amp;$AO365)-(ROWS($AO$5:$AO$1004)-Hoje!$L$5)+1)</f>
        <v/>
      </c>
      <c r="AQ365" s="50" t="n">
        <f aca="false">IF(AND($F365&lt;&gt;"",$D365=Frota!$C$3),1,0)</f>
        <v>0</v>
      </c>
      <c r="AR365" s="50" t="str">
        <f aca="false">IF($AQ365=0,"",SUM($AQ$4:$AQ365))</f>
        <v/>
      </c>
      <c r="AS365" s="50" t="str">
        <f aca="false">IFERROR(INDEX(Hoje!$K$10:$K$29,MATCH(ROW(),Hoje!$J$10:$J$29,0)),"")</f>
        <v/>
      </c>
      <c r="AT365" s="50" t="str">
        <f aca="false">IF($Q365&lt;&gt;"",$Q365,$AS365)</f>
        <v/>
      </c>
    </row>
    <row r="366" customFormat="false" ht="16.5" hidden="false" customHeight="true" outlineLevel="0" collapsed="false">
      <c r="A366" s="39" t="n">
        <f aca="false">IF($F366="","",ROW())</f>
        <v>366</v>
      </c>
      <c r="B366" s="40" t="str">
        <f aca="false">IF($F366="",IF($D366="","","Falta a atividade"),IF($R366="Cancelada","Cancelada",IF($AB366=1,IF(N($Z366)&gt;0,"Concluída com atraso","Concluída"),IF($R366="Em programação","Em programação",IF($O366="",IF($M366="","Na carteira","Falta a semana"),IF($AC366=1,"VENCIDA",IF($O366&gt;Hoje!$L$1,"Programada",IF($P366&gt;Hoje!$L$1,"Em execução","Fecha hoje"))))))))</f>
        <v>Em execução</v>
      </c>
      <c r="C366" s="41"/>
      <c r="D366" s="42" t="s">
        <v>861</v>
      </c>
      <c r="E366" s="42" t="s">
        <v>724</v>
      </c>
      <c r="F366" s="42" t="s">
        <v>862</v>
      </c>
      <c r="G366" s="43" t="s">
        <v>80</v>
      </c>
      <c r="H366" s="43" t="s">
        <v>81</v>
      </c>
      <c r="I366" s="44" t="s">
        <v>182</v>
      </c>
      <c r="J366" s="44" t="s">
        <v>107</v>
      </c>
      <c r="K366" s="44"/>
      <c r="L366" s="45" t="n">
        <v>37</v>
      </c>
      <c r="M366" s="46" t="s">
        <v>84</v>
      </c>
      <c r="N366" s="45" t="n">
        <v>3</v>
      </c>
      <c r="O366" s="47" t="n">
        <f aca="false">IF(OR($L366="",$M366=""),"",(DATE(Semana!$J$3,1,4)-WEEKDAY(DATE(Semana!$J$3,1,4),3))+($L366-1)*7+MATCH($M366,Listas!$F$5:$F$11,0)-1)</f>
        <v>46274</v>
      </c>
      <c r="P366" s="47" t="n">
        <f aca="false">IF(OR($F366="",$O366=""),"",$O366+MAX(0,ROUNDUP($AK366*MAX(1,IF($N366="",1,$N366))/MAX(1,$AL366),0)-1))</f>
        <v>46276</v>
      </c>
      <c r="Q366" s="48"/>
      <c r="R366" s="43"/>
      <c r="S366" s="49"/>
      <c r="T366" s="42"/>
      <c r="U366" s="42"/>
      <c r="V366" s="39" t="str">
        <f aca="false">IF($F366="","",IF(ISNUMBER(SEARCH("(externo)",$I366&amp;$J366&amp;$K366)),"Terceirizada","Interna"))</f>
        <v>Interna</v>
      </c>
      <c r="W366" s="47" t="n">
        <f aca="false">IF($O366="","",IF($S366="",$O366,(DATE(Semana!$J$3,1,4)-WEEKDAY(DATE(Semana!$J$3,1,4),3))+($S366-1)*7+IF($M366="",0,MATCH($M366,Listas!$F$5:$F$11,0)-1)))</f>
        <v>46274</v>
      </c>
      <c r="X366" s="39" t="n">
        <f aca="false">IF($F366="","",IF(OR($AT366="",$O366=""),0,IF($AT366&lt;=$O366,1,0)))</f>
        <v>0</v>
      </c>
      <c r="Y366" s="39" t="n">
        <f aca="false">IF($F366="","",IF(OR($AT366="",$W366=""),0,IF($AT366&lt;=$W366,1,0)))</f>
        <v>0</v>
      </c>
      <c r="Z366" s="39" t="str">
        <f aca="false">IF(OR($AT366="",$O366=""),"",MAX(0,$AT366-$O366))</f>
        <v/>
      </c>
      <c r="AA366" s="39" t="n">
        <f aca="false">IF($F366="","",IF(AND($S366&lt;&gt;"",$L366&lt;&gt;"",$S366&lt;&gt;$L366),1,0))</f>
        <v>0</v>
      </c>
      <c r="AB366" s="39" t="n">
        <f aca="false">IF($F366="","",IF($R366="Cancelada",0,IF(OR($AT366&lt;&gt;"",$R366="Concluída"),1,0)))</f>
        <v>0</v>
      </c>
      <c r="AC366" s="39" t="n">
        <f aca="false">IF($P366="",0,IF($P366&lt;Hoje!$L$1,1,IF(AND($P366=Hoje!$L$1,Hoje!$L$2&gt;Semana!$M$3),1,0)))</f>
        <v>0</v>
      </c>
      <c r="AD366" s="39" t="n">
        <f aca="false">IF($F366="","",IF(COUNTA($I366:$K366)=0,0,1/COUNTA($I366:$K366)))</f>
        <v>0.5</v>
      </c>
      <c r="AE366" s="39" t="n">
        <f aca="false">IF($AH366=0,"",SUM($AH$4:$AH366))</f>
        <v>26</v>
      </c>
      <c r="AF366" s="39" t="str">
        <f aca="false">IF($AI366=0,"",SUM($AI$4:$AI366))</f>
        <v/>
      </c>
      <c r="AG366" s="50" t="str">
        <f aca="false">IF($F366="","",$I366&amp;IF($J366="",""," · "&amp;$J366)&amp;IF($K366="",""," · "&amp;$K366))</f>
        <v>Alexandre · Gabriel</v>
      </c>
      <c r="AH366" s="39" t="n">
        <f aca="false">IF(AND($F366&lt;&gt;"",$O366&lt;&gt;"",$O366&lt;=Hoje!$C$3,$P366&gt;=Hoje!$C$3,$R366&lt;&gt;"Cancelada"),1,0)</f>
        <v>1</v>
      </c>
      <c r="AI366" s="39" t="n">
        <f aca="false">IF(AND($F366&lt;&gt;"",$P366&lt;&gt;"",$P366&lt;Hoje!$C$3,$AB366=0,$R366&lt;&gt;"Cancelada"),1,0)</f>
        <v>0</v>
      </c>
      <c r="AJ366" s="50" t="str">
        <f aca="false">IF($F366="","",$D366&amp;"|"&amp;$E366&amp;"|"&amp;$L366)</f>
        <v>F-426|Programação 09/09|37</v>
      </c>
      <c r="AK366" s="39" t="n">
        <f aca="false">IF($AJ366="","",COUNTIF($AJ$4:$AJ366,$AJ366))</f>
        <v>1</v>
      </c>
      <c r="AL366" s="39" t="n">
        <f aca="false">IF($AJ366="","",COUNTIF($AJ$4:$AJ$1004,$AJ366))</f>
        <v>1</v>
      </c>
      <c r="AM366" s="42"/>
      <c r="AN366" s="50" t="str">
        <f aca="false">IF($D366="","",IFERROR(T(VLOOKUP($D366,Listas!$B$5:$H$120,7,0)),""))</f>
        <v/>
      </c>
      <c r="AO366" s="50" t="str">
        <f aca="false">IF(OR($F366="",$L366&lt;&gt;"",$R366="Cancelada",$AT366&lt;&gt;""),"",$AN366&amp;"|"&amp;$D366&amp;"|"&amp;IF($C366="","zzz",$C366)&amp;"|"&amp;TEXT(366,"0000"))</f>
        <v/>
      </c>
      <c r="AP366" s="50" t="str">
        <f aca="false">IF($AO366="","",COUNTIF($AO$5:$AO$1004,"&lt;"&amp;$AO366)-(ROWS($AO$5:$AO$1004)-Hoje!$L$5)+1)</f>
        <v/>
      </c>
      <c r="AQ366" s="50" t="n">
        <f aca="false">IF(AND($F366&lt;&gt;"",$D366=Frota!$C$3),1,0)</f>
        <v>0</v>
      </c>
      <c r="AR366" s="50" t="str">
        <f aca="false">IF($AQ366=0,"",SUM($AQ$4:$AQ366))</f>
        <v/>
      </c>
      <c r="AS366" s="50" t="str">
        <f aca="false">IFERROR(INDEX(Hoje!$K$10:$K$29,MATCH(ROW(),Hoje!$J$10:$J$29,0)),"")</f>
        <v/>
      </c>
      <c r="AT366" s="50" t="str">
        <f aca="false">IF($Q366&lt;&gt;"",$Q366,$AS366)</f>
        <v/>
      </c>
    </row>
    <row r="367" customFormat="false" ht="16.5" hidden="false" customHeight="true" outlineLevel="0" collapsed="false">
      <c r="A367" s="39" t="n">
        <f aca="false">IF($F367="","",ROW())</f>
        <v>367</v>
      </c>
      <c r="B367" s="40" t="str">
        <f aca="false">IF($F367="",IF($D367="","","Falta a atividade"),IF($R367="Cancelada","Cancelada",IF($AB367=1,IF(N($Z367)&gt;0,"Concluída com atraso","Concluída"),IF($R367="Em programação","Em programação",IF($O367="",IF($M367="","Na carteira","Falta a semana"),IF($AC367=1,"VENCIDA",IF($O367&gt;Hoje!$L$1,"Programada",IF($P367&gt;Hoje!$L$1,"Em execução","Fecha hoje"))))))))</f>
        <v>Em execução</v>
      </c>
      <c r="C367" s="41"/>
      <c r="D367" s="42" t="s">
        <v>646</v>
      </c>
      <c r="E367" s="42" t="s">
        <v>724</v>
      </c>
      <c r="F367" s="42" t="s">
        <v>863</v>
      </c>
      <c r="G367" s="43" t="s">
        <v>80</v>
      </c>
      <c r="H367" s="43" t="s">
        <v>100</v>
      </c>
      <c r="I367" s="44" t="s">
        <v>88</v>
      </c>
      <c r="J367" s="44"/>
      <c r="K367" s="44"/>
      <c r="L367" s="45" t="n">
        <v>37</v>
      </c>
      <c r="M367" s="46" t="s">
        <v>84</v>
      </c>
      <c r="N367" s="45" t="n">
        <v>3</v>
      </c>
      <c r="O367" s="47" t="n">
        <f aca="false">IF(OR($L367="",$M367=""),"",(DATE(Semana!$J$3,1,4)-WEEKDAY(DATE(Semana!$J$3,1,4),3))+($L367-1)*7+MATCH($M367,Listas!$F$5:$F$11,0)-1)</f>
        <v>46274</v>
      </c>
      <c r="P367" s="47" t="n">
        <f aca="false">IF(OR($F367="",$O367=""),"",$O367+MAX(0,ROUNDUP($AK367*MAX(1,IF($N367="",1,$N367))/MAX(1,$AL367),0)-1))</f>
        <v>46275</v>
      </c>
      <c r="Q367" s="48"/>
      <c r="R367" s="43"/>
      <c r="S367" s="49"/>
      <c r="T367" s="42"/>
      <c r="U367" s="42"/>
      <c r="V367" s="39" t="str">
        <f aca="false">IF($F367="","",IF(ISNUMBER(SEARCH("(externo)",$I367&amp;$J367&amp;$K367)),"Terceirizada","Interna"))</f>
        <v>Interna</v>
      </c>
      <c r="W367" s="47" t="n">
        <f aca="false">IF($O367="","",IF($S367="",$O367,(DATE(Semana!$J$3,1,4)-WEEKDAY(DATE(Semana!$J$3,1,4),3))+($S367-1)*7+IF($M367="",0,MATCH($M367,Listas!$F$5:$F$11,0)-1)))</f>
        <v>46274</v>
      </c>
      <c r="X367" s="39" t="n">
        <f aca="false">IF($F367="","",IF(OR($AT367="",$O367=""),0,IF($AT367&lt;=$O367,1,0)))</f>
        <v>0</v>
      </c>
      <c r="Y367" s="39" t="n">
        <f aca="false">IF($F367="","",IF(OR($AT367="",$W367=""),0,IF($AT367&lt;=$W367,1,0)))</f>
        <v>0</v>
      </c>
      <c r="Z367" s="39" t="str">
        <f aca="false">IF(OR($AT367="",$O367=""),"",MAX(0,$AT367-$O367))</f>
        <v/>
      </c>
      <c r="AA367" s="39" t="n">
        <f aca="false">IF($F367="","",IF(AND($S367&lt;&gt;"",$L367&lt;&gt;"",$S367&lt;&gt;$L367),1,0))</f>
        <v>0</v>
      </c>
      <c r="AB367" s="39" t="n">
        <f aca="false">IF($F367="","",IF($R367="Cancelada",0,IF(OR($AT367&lt;&gt;"",$R367="Concluída"),1,0)))</f>
        <v>0</v>
      </c>
      <c r="AC367" s="39" t="n">
        <f aca="false">IF($P367="",0,IF($P367&lt;Hoje!$L$1,1,IF(AND($P367=Hoje!$L$1,Hoje!$L$2&gt;Semana!$M$3),1,0)))</f>
        <v>0</v>
      </c>
      <c r="AD367" s="39" t="n">
        <f aca="false">IF($F367="","",IF(COUNTA($I367:$K367)=0,0,1/COUNTA($I367:$K367)))</f>
        <v>1</v>
      </c>
      <c r="AE367" s="39" t="n">
        <f aca="false">IF($AH367=0,"",SUM($AH$4:$AH367))</f>
        <v>27</v>
      </c>
      <c r="AF367" s="39" t="str">
        <f aca="false">IF($AI367=0,"",SUM($AI$4:$AI367))</f>
        <v/>
      </c>
      <c r="AG367" s="50" t="str">
        <f aca="false">IF($F367="","",$I367&amp;IF($J367="",""," · "&amp;$J367)&amp;IF($K367="",""," · "&amp;$K367))</f>
        <v>Júnior</v>
      </c>
      <c r="AH367" s="39" t="n">
        <f aca="false">IF(AND($F367&lt;&gt;"",$O367&lt;&gt;"",$O367&lt;=Hoje!$C$3,$P367&gt;=Hoje!$C$3,$R367&lt;&gt;"Cancelada"),1,0)</f>
        <v>1</v>
      </c>
      <c r="AI367" s="39" t="n">
        <f aca="false">IF(AND($F367&lt;&gt;"",$P367&lt;&gt;"",$P367&lt;Hoje!$C$3,$AB367=0,$R367&lt;&gt;"Cancelada"),1,0)</f>
        <v>0</v>
      </c>
      <c r="AJ367" s="50" t="str">
        <f aca="false">IF($F367="","",$D367&amp;"|"&amp;$E367&amp;"|"&amp;$L367)</f>
        <v>F-618|Programação 09/09|37</v>
      </c>
      <c r="AK367" s="39" t="n">
        <f aca="false">IF($AJ367="","",COUNTIF($AJ$4:$AJ367,$AJ367))</f>
        <v>1</v>
      </c>
      <c r="AL367" s="39" t="n">
        <f aca="false">IF($AJ367="","",COUNTIF($AJ$4:$AJ$1004,$AJ367))</f>
        <v>2</v>
      </c>
      <c r="AM367" s="42"/>
      <c r="AN367" s="50" t="str">
        <f aca="false">IF($D367="","",IFERROR(T(VLOOKUP($D367,Listas!$B$5:$H$120,7,0)),""))</f>
        <v/>
      </c>
      <c r="AO367" s="50" t="str">
        <f aca="false">IF(OR($F367="",$L367&lt;&gt;"",$R367="Cancelada",$AT367&lt;&gt;""),"",$AN367&amp;"|"&amp;$D367&amp;"|"&amp;IF($C367="","zzz",$C367)&amp;"|"&amp;TEXT(367,"0000"))</f>
        <v/>
      </c>
      <c r="AP367" s="50" t="str">
        <f aca="false">IF($AO367="","",COUNTIF($AO$5:$AO$1004,"&lt;"&amp;$AO367)-(ROWS($AO$5:$AO$1004)-Hoje!$L$5)+1)</f>
        <v/>
      </c>
      <c r="AQ367" s="50" t="n">
        <f aca="false">IF(AND($F367&lt;&gt;"",$D367=Frota!$C$3),1,0)</f>
        <v>0</v>
      </c>
      <c r="AR367" s="50" t="str">
        <f aca="false">IF($AQ367=0,"",SUM($AQ$4:$AQ367))</f>
        <v/>
      </c>
      <c r="AS367" s="50" t="str">
        <f aca="false">IFERROR(INDEX(Hoje!$K$10:$K$29,MATCH(ROW(),Hoje!$J$10:$J$29,0)),"")</f>
        <v/>
      </c>
      <c r="AT367" s="50" t="str">
        <f aca="false">IF($Q367&lt;&gt;"",$Q367,$AS367)</f>
        <v/>
      </c>
    </row>
    <row r="368" customFormat="false" ht="16.5" hidden="false" customHeight="true" outlineLevel="0" collapsed="false">
      <c r="A368" s="39" t="n">
        <f aca="false">IF($F368="","",ROW())</f>
        <v>368</v>
      </c>
      <c r="B368" s="40" t="str">
        <f aca="false">IF($F368="",IF($D368="","","Falta a atividade"),IF($R368="Cancelada","Cancelada",IF($AB368=1,IF(N($Z368)&gt;0,"Concluída com atraso","Concluída"),IF($R368="Em programação","Em programação",IF($O368="",IF($M368="","Na carteira","Falta a semana"),IF($AC368=1,"VENCIDA",IF($O368&gt;Hoje!$L$1,"Programada",IF($P368&gt;Hoje!$L$1,"Em execução","Fecha hoje"))))))))</f>
        <v>Em execução</v>
      </c>
      <c r="C368" s="41"/>
      <c r="D368" s="42" t="s">
        <v>646</v>
      </c>
      <c r="E368" s="42" t="s">
        <v>724</v>
      </c>
      <c r="F368" s="42" t="s">
        <v>864</v>
      </c>
      <c r="G368" s="43" t="s">
        <v>80</v>
      </c>
      <c r="H368" s="43" t="s">
        <v>100</v>
      </c>
      <c r="I368" s="44" t="s">
        <v>88</v>
      </c>
      <c r="J368" s="44"/>
      <c r="K368" s="44"/>
      <c r="L368" s="45" t="n">
        <v>37</v>
      </c>
      <c r="M368" s="46" t="s">
        <v>84</v>
      </c>
      <c r="N368" s="45" t="n">
        <v>3</v>
      </c>
      <c r="O368" s="47" t="n">
        <f aca="false">IF(OR($L368="",$M368=""),"",(DATE(Semana!$J$3,1,4)-WEEKDAY(DATE(Semana!$J$3,1,4),3))+($L368-1)*7+MATCH($M368,Listas!$F$5:$F$11,0)-1)</f>
        <v>46274</v>
      </c>
      <c r="P368" s="47" t="n">
        <f aca="false">IF(OR($F368="",$O368=""),"",$O368+MAX(0,ROUNDUP($AK368*MAX(1,IF($N368="",1,$N368))/MAX(1,$AL368),0)-1))</f>
        <v>46276</v>
      </c>
      <c r="Q368" s="48"/>
      <c r="R368" s="43"/>
      <c r="S368" s="49"/>
      <c r="T368" s="42"/>
      <c r="U368" s="42"/>
      <c r="V368" s="39" t="str">
        <f aca="false">IF($F368="","",IF(ISNUMBER(SEARCH("(externo)",$I368&amp;$J368&amp;$K368)),"Terceirizada","Interna"))</f>
        <v>Interna</v>
      </c>
      <c r="W368" s="47" t="n">
        <f aca="false">IF($O368="","",IF($S368="",$O368,(DATE(Semana!$J$3,1,4)-WEEKDAY(DATE(Semana!$J$3,1,4),3))+($S368-1)*7+IF($M368="",0,MATCH($M368,Listas!$F$5:$F$11,0)-1)))</f>
        <v>46274</v>
      </c>
      <c r="X368" s="39" t="n">
        <f aca="false">IF($F368="","",IF(OR($AT368="",$O368=""),0,IF($AT368&lt;=$O368,1,0)))</f>
        <v>0</v>
      </c>
      <c r="Y368" s="39" t="n">
        <f aca="false">IF($F368="","",IF(OR($AT368="",$W368=""),0,IF($AT368&lt;=$W368,1,0)))</f>
        <v>0</v>
      </c>
      <c r="Z368" s="39" t="str">
        <f aca="false">IF(OR($AT368="",$O368=""),"",MAX(0,$AT368-$O368))</f>
        <v/>
      </c>
      <c r="AA368" s="39" t="n">
        <f aca="false">IF($F368="","",IF(AND($S368&lt;&gt;"",$L368&lt;&gt;"",$S368&lt;&gt;$L368),1,0))</f>
        <v>0</v>
      </c>
      <c r="AB368" s="39" t="n">
        <f aca="false">IF($F368="","",IF($R368="Cancelada",0,IF(OR($AT368&lt;&gt;"",$R368="Concluída"),1,0)))</f>
        <v>0</v>
      </c>
      <c r="AC368" s="39" t="n">
        <f aca="false">IF($P368="",0,IF($P368&lt;Hoje!$L$1,1,IF(AND($P368=Hoje!$L$1,Hoje!$L$2&gt;Semana!$M$3),1,0)))</f>
        <v>0</v>
      </c>
      <c r="AD368" s="39" t="n">
        <f aca="false">IF($F368="","",IF(COUNTA($I368:$K368)=0,0,1/COUNTA($I368:$K368)))</f>
        <v>1</v>
      </c>
      <c r="AE368" s="39" t="n">
        <f aca="false">IF($AH368=0,"",SUM($AH$4:$AH368))</f>
        <v>28</v>
      </c>
      <c r="AF368" s="39" t="str">
        <f aca="false">IF($AI368=0,"",SUM($AI$4:$AI368))</f>
        <v/>
      </c>
      <c r="AG368" s="50" t="str">
        <f aca="false">IF($F368="","",$I368&amp;IF($J368="",""," · "&amp;$J368)&amp;IF($K368="",""," · "&amp;$K368))</f>
        <v>Júnior</v>
      </c>
      <c r="AH368" s="39" t="n">
        <f aca="false">IF(AND($F368&lt;&gt;"",$O368&lt;&gt;"",$O368&lt;=Hoje!$C$3,$P368&gt;=Hoje!$C$3,$R368&lt;&gt;"Cancelada"),1,0)</f>
        <v>1</v>
      </c>
      <c r="AI368" s="39" t="n">
        <f aca="false">IF(AND($F368&lt;&gt;"",$P368&lt;&gt;"",$P368&lt;Hoje!$C$3,$AB368=0,$R368&lt;&gt;"Cancelada"),1,0)</f>
        <v>0</v>
      </c>
      <c r="AJ368" s="50" t="str">
        <f aca="false">IF($F368="","",$D368&amp;"|"&amp;$E368&amp;"|"&amp;$L368)</f>
        <v>F-618|Programação 09/09|37</v>
      </c>
      <c r="AK368" s="39" t="n">
        <f aca="false">IF($AJ368="","",COUNTIF($AJ$4:$AJ368,$AJ368))</f>
        <v>2</v>
      </c>
      <c r="AL368" s="39" t="n">
        <f aca="false">IF($AJ368="","",COUNTIF($AJ$4:$AJ$1004,$AJ368))</f>
        <v>2</v>
      </c>
      <c r="AM368" s="42"/>
      <c r="AN368" s="50" t="str">
        <f aca="false">IF($D368="","",IFERROR(T(VLOOKUP($D368,Listas!$B$5:$H$120,7,0)),""))</f>
        <v/>
      </c>
      <c r="AO368" s="50" t="str">
        <f aca="false">IF(OR($F368="",$L368&lt;&gt;"",$R368="Cancelada",$AT368&lt;&gt;""),"",$AN368&amp;"|"&amp;$D368&amp;"|"&amp;IF($C368="","zzz",$C368)&amp;"|"&amp;TEXT(368,"0000"))</f>
        <v/>
      </c>
      <c r="AP368" s="50" t="str">
        <f aca="false">IF($AO368="","",COUNTIF($AO$5:$AO$1004,"&lt;"&amp;$AO368)-(ROWS($AO$5:$AO$1004)-Hoje!$L$5)+1)</f>
        <v/>
      </c>
      <c r="AQ368" s="50" t="n">
        <f aca="false">IF(AND($F368&lt;&gt;"",$D368=Frota!$C$3),1,0)</f>
        <v>0</v>
      </c>
      <c r="AR368" s="50" t="str">
        <f aca="false">IF($AQ368=0,"",SUM($AQ$4:$AQ368))</f>
        <v/>
      </c>
      <c r="AS368" s="50" t="str">
        <f aca="false">IFERROR(INDEX(Hoje!$K$10:$K$29,MATCH(ROW(),Hoje!$J$10:$J$29,0)),"")</f>
        <v/>
      </c>
      <c r="AT368" s="50" t="str">
        <f aca="false">IF($Q368&lt;&gt;"",$Q368,$AS368)</f>
        <v/>
      </c>
    </row>
    <row r="369" customFormat="false" ht="16.5" hidden="false" customHeight="true" outlineLevel="0" collapsed="false">
      <c r="A369" s="39" t="n">
        <f aca="false">IF($F369="","",ROW())</f>
        <v>369</v>
      </c>
      <c r="B369" s="40" t="str">
        <f aca="false">IF($F369="",IF($D369="","","Falta a atividade"),IF($R369="Cancelada","Cancelada",IF($AB369=1,IF(N($Z369)&gt;0,"Concluída com atraso","Concluída"),IF($R369="Em programação","Em programação",IF($O369="",IF($M369="","Na carteira","Falta a semana"),IF($AC369=1,"VENCIDA",IF($O369&gt;Hoje!$L$1,"Programada",IF($P369&gt;Hoje!$L$1,"Em execução","Fecha hoje"))))))))</f>
        <v>Em execução</v>
      </c>
      <c r="C369" s="41"/>
      <c r="D369" s="42" t="s">
        <v>827</v>
      </c>
      <c r="E369" s="42" t="s">
        <v>724</v>
      </c>
      <c r="F369" s="42" t="s">
        <v>865</v>
      </c>
      <c r="G369" s="43" t="s">
        <v>80</v>
      </c>
      <c r="H369" s="43" t="s">
        <v>81</v>
      </c>
      <c r="I369" s="44" t="s">
        <v>866</v>
      </c>
      <c r="J369" s="44"/>
      <c r="K369" s="44"/>
      <c r="L369" s="45" t="n">
        <v>37</v>
      </c>
      <c r="M369" s="46" t="s">
        <v>84</v>
      </c>
      <c r="N369" s="45" t="n">
        <v>9</v>
      </c>
      <c r="O369" s="47" t="n">
        <f aca="false">IF(OR($L369="",$M369=""),"",(DATE(Semana!$J$3,1,4)-WEEKDAY(DATE(Semana!$J$3,1,4),3))+($L369-1)*7+MATCH($M369,Listas!$F$5:$F$11,0)-1)</f>
        <v>46274</v>
      </c>
      <c r="P369" s="47" t="n">
        <f aca="false">IF(OR($F369="",$O369=""),"",$O369+MAX(0,ROUNDUP($AK369*MAX(1,IF($N369="",1,$N369))/MAX(1,$AL369),0)-1))</f>
        <v>46282</v>
      </c>
      <c r="Q369" s="48"/>
      <c r="R369" s="43"/>
      <c r="S369" s="49"/>
      <c r="T369" s="42"/>
      <c r="U369" s="42"/>
      <c r="V369" s="39" t="str">
        <f aca="false">IF($F369="","",IF(ISNUMBER(SEARCH("(externo)",$I369&amp;$J369&amp;$K369)),"Terceirizada","Interna"))</f>
        <v>Interna</v>
      </c>
      <c r="W369" s="47" t="n">
        <f aca="false">IF($O369="","",IF($S369="",$O369,(DATE(Semana!$J$3,1,4)-WEEKDAY(DATE(Semana!$J$3,1,4),3))+($S369-1)*7+IF($M369="",0,MATCH($M369,Listas!$F$5:$F$11,0)-1)))</f>
        <v>46274</v>
      </c>
      <c r="X369" s="39" t="n">
        <f aca="false">IF($F369="","",IF(OR($AT369="",$O369=""),0,IF($AT369&lt;=$O369,1,0)))</f>
        <v>0</v>
      </c>
      <c r="Y369" s="39" t="n">
        <f aca="false">IF($F369="","",IF(OR($AT369="",$W369=""),0,IF($AT369&lt;=$W369,1,0)))</f>
        <v>0</v>
      </c>
      <c r="Z369" s="39" t="str">
        <f aca="false">IF(OR($AT369="",$O369=""),"",MAX(0,$AT369-$O369))</f>
        <v/>
      </c>
      <c r="AA369" s="39" t="n">
        <f aca="false">IF($F369="","",IF(AND($S369&lt;&gt;"",$L369&lt;&gt;"",$S369&lt;&gt;$L369),1,0))</f>
        <v>0</v>
      </c>
      <c r="AB369" s="39" t="n">
        <f aca="false">IF($F369="","",IF($R369="Cancelada",0,IF(OR($AT369&lt;&gt;"",$R369="Concluída"),1,0)))</f>
        <v>0</v>
      </c>
      <c r="AC369" s="39" t="n">
        <f aca="false">IF($P369="",0,IF($P369&lt;Hoje!$L$1,1,IF(AND($P369=Hoje!$L$1,Hoje!$L$2&gt;Semana!$M$3),1,0)))</f>
        <v>0</v>
      </c>
      <c r="AD369" s="39" t="n">
        <f aca="false">IF($F369="","",IF(COUNTA($I369:$K369)=0,0,1/COUNTA($I369:$K369)))</f>
        <v>1</v>
      </c>
      <c r="AE369" s="39" t="n">
        <f aca="false">IF($AH369=0,"",SUM($AH$4:$AH369))</f>
        <v>29</v>
      </c>
      <c r="AF369" s="39" t="str">
        <f aca="false">IF($AI369=0,"",SUM($AI$4:$AI369))</f>
        <v/>
      </c>
      <c r="AG369" s="50" t="str">
        <f aca="false">IF($F369="","",$I369&amp;IF($J369="",""," · "&amp;$J369)&amp;IF($K369="",""," · "&amp;$K369))</f>
        <v>Edilberto</v>
      </c>
      <c r="AH369" s="39" t="n">
        <f aca="false">IF(AND($F369&lt;&gt;"",$O369&lt;&gt;"",$O369&lt;=Hoje!$C$3,$P369&gt;=Hoje!$C$3,$R369&lt;&gt;"Cancelada"),1,0)</f>
        <v>1</v>
      </c>
      <c r="AI369" s="39" t="n">
        <f aca="false">IF(AND($F369&lt;&gt;"",$P369&lt;&gt;"",$P369&lt;Hoje!$C$3,$AB369=0,$R369&lt;&gt;"Cancelada"),1,0)</f>
        <v>0</v>
      </c>
      <c r="AJ369" s="50" t="str">
        <f aca="false">IF($F369="","",$D369&amp;"|"&amp;$E369&amp;"|"&amp;$L369)</f>
        <v>F-962|Programação 09/09|37</v>
      </c>
      <c r="AK369" s="39" t="n">
        <f aca="false">IF($AJ369="","",COUNTIF($AJ$4:$AJ369,$AJ369))</f>
        <v>14</v>
      </c>
      <c r="AL369" s="39" t="n">
        <f aca="false">IF($AJ369="","",COUNTIF($AJ$4:$AJ$1004,$AJ369))</f>
        <v>14</v>
      </c>
      <c r="AM369" s="42"/>
      <c r="AN369" s="50" t="str">
        <f aca="false">IF($D369="","",IFERROR(T(VLOOKUP($D369,Listas!$B$5:$H$120,7,0)),""))</f>
        <v>Petro</v>
      </c>
      <c r="AO369" s="50" t="str">
        <f aca="false">IF(OR($F369="",$L369&lt;&gt;"",$R369="Cancelada",$AT369&lt;&gt;""),"",$AN369&amp;"|"&amp;$D369&amp;"|"&amp;IF($C369="","zzz",$C369)&amp;"|"&amp;TEXT(369,"0000"))</f>
        <v/>
      </c>
      <c r="AP369" s="50" t="str">
        <f aca="false">IF($AO369="","",COUNTIF($AO$5:$AO$1004,"&lt;"&amp;$AO369)-(ROWS($AO$5:$AO$1004)-Hoje!$L$5)+1)</f>
        <v/>
      </c>
      <c r="AQ369" s="50" t="n">
        <f aca="false">IF(AND($F369&lt;&gt;"",$D369=Frota!$C$3),1,0)</f>
        <v>0</v>
      </c>
      <c r="AR369" s="50" t="str">
        <f aca="false">IF($AQ369=0,"",SUM($AQ$4:$AQ369))</f>
        <v/>
      </c>
      <c r="AS369" s="50" t="str">
        <f aca="false">IFERROR(INDEX(Hoje!$K$10:$K$29,MATCH(ROW(),Hoje!$J$10:$J$29,0)),"")</f>
        <v/>
      </c>
      <c r="AT369" s="50" t="str">
        <f aca="false">IF($Q369&lt;&gt;"",$Q369,$AS369)</f>
        <v/>
      </c>
    </row>
    <row r="370" customFormat="false" ht="16.5" hidden="false" customHeight="true" outlineLevel="0" collapsed="false">
      <c r="A370" s="39" t="n">
        <f aca="false">IF($F370="","",ROW())</f>
        <v>370</v>
      </c>
      <c r="B370" s="40" t="str">
        <f aca="false">IF($F370="",IF($D370="","","Falta a atividade"),IF($R370="Cancelada","Cancelada",IF($AB370=1,IF(N($Z370)&gt;0,"Concluída com atraso","Concluída"),IF($R370="Em programação","Em programação",IF($O370="",IF($M370="","Na carteira","Falta a semana"),IF($AC370=1,"VENCIDA",IF($O370&gt;Hoje!$L$1,"Programada",IF($P370&gt;Hoje!$L$1,"Em execução","Fecha hoje"))))))))</f>
        <v>Em execução</v>
      </c>
      <c r="C370" s="41"/>
      <c r="D370" s="42" t="s">
        <v>867</v>
      </c>
      <c r="E370" s="42" t="s">
        <v>724</v>
      </c>
      <c r="F370" s="42" t="s">
        <v>79</v>
      </c>
      <c r="G370" s="43" t="s">
        <v>80</v>
      </c>
      <c r="H370" s="43" t="s">
        <v>81</v>
      </c>
      <c r="I370" s="44" t="s">
        <v>83</v>
      </c>
      <c r="J370" s="44"/>
      <c r="K370" s="44"/>
      <c r="L370" s="45" t="n">
        <v>37</v>
      </c>
      <c r="M370" s="46" t="s">
        <v>84</v>
      </c>
      <c r="N370" s="45" t="n">
        <v>2</v>
      </c>
      <c r="O370" s="47" t="n">
        <f aca="false">IF(OR($L370="",$M370=""),"",(DATE(Semana!$J$3,1,4)-WEEKDAY(DATE(Semana!$J$3,1,4),3))+($L370-1)*7+MATCH($M370,Listas!$F$5:$F$11,0)-1)</f>
        <v>46274</v>
      </c>
      <c r="P370" s="47" t="n">
        <f aca="false">IF(OR($F370="",$O370=""),"",$O370+MAX(0,ROUNDUP($AK370*MAX(1,IF($N370="",1,$N370))/MAX(1,$AL370),0)-1))</f>
        <v>46275</v>
      </c>
      <c r="Q370" s="48"/>
      <c r="R370" s="43"/>
      <c r="S370" s="49"/>
      <c r="T370" s="42"/>
      <c r="U370" s="42"/>
      <c r="V370" s="39" t="str">
        <f aca="false">IF($F370="","",IF(ISNUMBER(SEARCH("(externo)",$I370&amp;$J370&amp;$K370)),"Terceirizada","Interna"))</f>
        <v>Interna</v>
      </c>
      <c r="W370" s="47" t="n">
        <f aca="false">IF($O370="","",IF($S370="",$O370,(DATE(Semana!$J$3,1,4)-WEEKDAY(DATE(Semana!$J$3,1,4),3))+($S370-1)*7+IF($M370="",0,MATCH($M370,Listas!$F$5:$F$11,0)-1)))</f>
        <v>46274</v>
      </c>
      <c r="X370" s="39" t="n">
        <f aca="false">IF($F370="","",IF(OR($AT370="",$O370=""),0,IF($AT370&lt;=$O370,1,0)))</f>
        <v>0</v>
      </c>
      <c r="Y370" s="39" t="n">
        <f aca="false">IF($F370="","",IF(OR($AT370="",$W370=""),0,IF($AT370&lt;=$W370,1,0)))</f>
        <v>0</v>
      </c>
      <c r="Z370" s="39" t="str">
        <f aca="false">IF(OR($AT370="",$O370=""),"",MAX(0,$AT370-$O370))</f>
        <v/>
      </c>
      <c r="AA370" s="39" t="n">
        <f aca="false">IF($F370="","",IF(AND($S370&lt;&gt;"",$L370&lt;&gt;"",$S370&lt;&gt;$L370),1,0))</f>
        <v>0</v>
      </c>
      <c r="AB370" s="39" t="n">
        <f aca="false">IF($F370="","",IF($R370="Cancelada",0,IF(OR($AT370&lt;&gt;"",$R370="Concluída"),1,0)))</f>
        <v>0</v>
      </c>
      <c r="AC370" s="39" t="n">
        <f aca="false">IF($P370="",0,IF($P370&lt;Hoje!$L$1,1,IF(AND($P370=Hoje!$L$1,Hoje!$L$2&gt;Semana!$M$3),1,0)))</f>
        <v>0</v>
      </c>
      <c r="AD370" s="39" t="n">
        <f aca="false">IF($F370="","",IF(COUNTA($I370:$K370)=0,0,1/COUNTA($I370:$K370)))</f>
        <v>1</v>
      </c>
      <c r="AE370" s="39" t="n">
        <f aca="false">IF($AH370=0,"",SUM($AH$4:$AH370))</f>
        <v>30</v>
      </c>
      <c r="AF370" s="39" t="str">
        <f aca="false">IF($AI370=0,"",SUM($AI$4:$AI370))</f>
        <v/>
      </c>
      <c r="AG370" s="50" t="str">
        <f aca="false">IF($F370="","",$I370&amp;IF($J370="",""," · "&amp;$J370)&amp;IF($K370="",""," · "&amp;$K370))</f>
        <v>Luiz Paulo</v>
      </c>
      <c r="AH370" s="39" t="n">
        <f aca="false">IF(AND($F370&lt;&gt;"",$O370&lt;&gt;"",$O370&lt;=Hoje!$C$3,$P370&gt;=Hoje!$C$3,$R370&lt;&gt;"Cancelada"),1,0)</f>
        <v>1</v>
      </c>
      <c r="AI370" s="39" t="n">
        <f aca="false">IF(AND($F370&lt;&gt;"",$P370&lt;&gt;"",$P370&lt;Hoje!$C$3,$AB370=0,$R370&lt;&gt;"Cancelada"),1,0)</f>
        <v>0</v>
      </c>
      <c r="AJ370" s="50" t="str">
        <f aca="false">IF($F370="","",$D370&amp;"|"&amp;$E370&amp;"|"&amp;$L370)</f>
        <v>F-434|Programação 09/09|37</v>
      </c>
      <c r="AK370" s="39" t="n">
        <f aca="false">IF($AJ370="","",COUNTIF($AJ$4:$AJ370,$AJ370))</f>
        <v>1</v>
      </c>
      <c r="AL370" s="39" t="n">
        <f aca="false">IF($AJ370="","",COUNTIF($AJ$4:$AJ$1004,$AJ370))</f>
        <v>1</v>
      </c>
      <c r="AM370" s="42"/>
      <c r="AN370" s="50" t="str">
        <f aca="false">IF($D370="","",IFERROR(T(VLOOKUP($D370,Listas!$B$5:$H$120,7,0)),""))</f>
        <v/>
      </c>
      <c r="AO370" s="50" t="str">
        <f aca="false">IF(OR($F370="",$L370&lt;&gt;"",$R370="Cancelada",$AT370&lt;&gt;""),"",$AN370&amp;"|"&amp;$D370&amp;"|"&amp;IF($C370="","zzz",$C370)&amp;"|"&amp;TEXT(370,"0000"))</f>
        <v/>
      </c>
      <c r="AP370" s="50" t="str">
        <f aca="false">IF($AO370="","",COUNTIF($AO$5:$AO$1004,"&lt;"&amp;$AO370)-(ROWS($AO$5:$AO$1004)-Hoje!$L$5)+1)</f>
        <v/>
      </c>
      <c r="AQ370" s="50" t="n">
        <f aca="false">IF(AND($F370&lt;&gt;"",$D370=Frota!$C$3),1,0)</f>
        <v>0</v>
      </c>
      <c r="AR370" s="50" t="str">
        <f aca="false">IF($AQ370=0,"",SUM($AQ$4:$AQ370))</f>
        <v/>
      </c>
      <c r="AS370" s="50" t="str">
        <f aca="false">IFERROR(INDEX(Hoje!$K$10:$K$29,MATCH(ROW(),Hoje!$J$10:$J$29,0)),"")</f>
        <v/>
      </c>
      <c r="AT370" s="50" t="str">
        <f aca="false">IF($Q370&lt;&gt;"",$Q370,$AS370)</f>
        <v/>
      </c>
    </row>
    <row r="371" customFormat="false" ht="16.5" hidden="false" customHeight="true" outlineLevel="0" collapsed="false">
      <c r="A371" s="39" t="n">
        <f aca="false">IF($F371="","",ROW())</f>
        <v>371</v>
      </c>
      <c r="B371" s="40" t="str">
        <f aca="false">IF($F371="",IF($D371="","","Falta a atividade"),IF($R371="Cancelada","Cancelada",IF($AB371=1,IF(N($Z371)&gt;0,"Concluída com atraso","Concluída"),IF($R371="Em programação","Em programação",IF($O371="",IF($M371="","Na carteira","Falta a semana"),IF($AC371=1,"VENCIDA",IF($O371&gt;Hoje!$L$1,"Programada",IF($P371&gt;Hoje!$L$1,"Em execução","Fecha hoje"))))))))</f>
        <v>Em execução</v>
      </c>
      <c r="C371" s="41"/>
      <c r="D371" s="42" t="s">
        <v>868</v>
      </c>
      <c r="E371" s="42" t="s">
        <v>724</v>
      </c>
      <c r="F371" s="42" t="s">
        <v>79</v>
      </c>
      <c r="G371" s="43" t="s">
        <v>80</v>
      </c>
      <c r="H371" s="43" t="s">
        <v>81</v>
      </c>
      <c r="I371" s="44" t="s">
        <v>83</v>
      </c>
      <c r="J371" s="44"/>
      <c r="K371" s="44"/>
      <c r="L371" s="45" t="n">
        <v>37</v>
      </c>
      <c r="M371" s="46" t="s">
        <v>84</v>
      </c>
      <c r="N371" s="45" t="n">
        <v>2</v>
      </c>
      <c r="O371" s="47" t="n">
        <f aca="false">IF(OR($L371="",$M371=""),"",(DATE(Semana!$J$3,1,4)-WEEKDAY(DATE(Semana!$J$3,1,4),3))+($L371-1)*7+MATCH($M371,Listas!$F$5:$F$11,0)-1)</f>
        <v>46274</v>
      </c>
      <c r="P371" s="47" t="n">
        <f aca="false">IF(OR($F371="",$O371=""),"",$O371+MAX(0,ROUNDUP($AK371*MAX(1,IF($N371="",1,$N371))/MAX(1,$AL371),0)-1))</f>
        <v>46275</v>
      </c>
      <c r="Q371" s="48"/>
      <c r="R371" s="43"/>
      <c r="S371" s="49"/>
      <c r="T371" s="42"/>
      <c r="U371" s="42"/>
      <c r="V371" s="39" t="str">
        <f aca="false">IF($F371="","",IF(ISNUMBER(SEARCH("(externo)",$I371&amp;$J371&amp;$K371)),"Terceirizada","Interna"))</f>
        <v>Interna</v>
      </c>
      <c r="W371" s="47" t="n">
        <f aca="false">IF($O371="","",IF($S371="",$O371,(DATE(Semana!$J$3,1,4)-WEEKDAY(DATE(Semana!$J$3,1,4),3))+($S371-1)*7+IF($M371="",0,MATCH($M371,Listas!$F$5:$F$11,0)-1)))</f>
        <v>46274</v>
      </c>
      <c r="X371" s="39" t="n">
        <f aca="false">IF($F371="","",IF(OR($AT371="",$O371=""),0,IF($AT371&lt;=$O371,1,0)))</f>
        <v>0</v>
      </c>
      <c r="Y371" s="39" t="n">
        <f aca="false">IF($F371="","",IF(OR($AT371="",$W371=""),0,IF($AT371&lt;=$W371,1,0)))</f>
        <v>0</v>
      </c>
      <c r="Z371" s="39" t="str">
        <f aca="false">IF(OR($AT371="",$O371=""),"",MAX(0,$AT371-$O371))</f>
        <v/>
      </c>
      <c r="AA371" s="39" t="n">
        <f aca="false">IF($F371="","",IF(AND($S371&lt;&gt;"",$L371&lt;&gt;"",$S371&lt;&gt;$L371),1,0))</f>
        <v>0</v>
      </c>
      <c r="AB371" s="39" t="n">
        <f aca="false">IF($F371="","",IF($R371="Cancelada",0,IF(OR($AT371&lt;&gt;"",$R371="Concluída"),1,0)))</f>
        <v>0</v>
      </c>
      <c r="AC371" s="39" t="n">
        <f aca="false">IF($P371="",0,IF($P371&lt;Hoje!$L$1,1,IF(AND($P371=Hoje!$L$1,Hoje!$L$2&gt;Semana!$M$3),1,0)))</f>
        <v>0</v>
      </c>
      <c r="AD371" s="39" t="n">
        <f aca="false">IF($F371="","",IF(COUNTA($I371:$K371)=0,0,1/COUNTA($I371:$K371)))</f>
        <v>1</v>
      </c>
      <c r="AE371" s="39" t="n">
        <f aca="false">IF($AH371=0,"",SUM($AH$4:$AH371))</f>
        <v>31</v>
      </c>
      <c r="AF371" s="39" t="str">
        <f aca="false">IF($AI371=0,"",SUM($AI$4:$AI371))</f>
        <v/>
      </c>
      <c r="AG371" s="50" t="str">
        <f aca="false">IF($F371="","",$I371&amp;IF($J371="",""," · "&amp;$J371)&amp;IF($K371="",""," · "&amp;$K371))</f>
        <v>Luiz Paulo</v>
      </c>
      <c r="AH371" s="39" t="n">
        <f aca="false">IF(AND($F371&lt;&gt;"",$O371&lt;&gt;"",$O371&lt;=Hoje!$C$3,$P371&gt;=Hoje!$C$3,$R371&lt;&gt;"Cancelada"),1,0)</f>
        <v>1</v>
      </c>
      <c r="AI371" s="39" t="n">
        <f aca="false">IF(AND($F371&lt;&gt;"",$P371&lt;&gt;"",$P371&lt;Hoje!$C$3,$AB371=0,$R371&lt;&gt;"Cancelada"),1,0)</f>
        <v>0</v>
      </c>
      <c r="AJ371" s="50" t="str">
        <f aca="false">IF($F371="","",$D371&amp;"|"&amp;$E371&amp;"|"&amp;$L371)</f>
        <v>F-744|Programação 09/09|37</v>
      </c>
      <c r="AK371" s="39" t="n">
        <f aca="false">IF($AJ371="","",COUNTIF($AJ$4:$AJ371,$AJ371))</f>
        <v>1</v>
      </c>
      <c r="AL371" s="39" t="n">
        <f aca="false">IF($AJ371="","",COUNTIF($AJ$4:$AJ$1004,$AJ371))</f>
        <v>1</v>
      </c>
      <c r="AM371" s="42"/>
      <c r="AN371" s="50" t="str">
        <f aca="false">IF($D371="","",IFERROR(T(VLOOKUP($D371,Listas!$B$5:$H$120,7,0)),""))</f>
        <v/>
      </c>
      <c r="AO371" s="50" t="str">
        <f aca="false">IF(OR($F371="",$L371&lt;&gt;"",$R371="Cancelada",$AT371&lt;&gt;""),"",$AN371&amp;"|"&amp;$D371&amp;"|"&amp;IF($C371="","zzz",$C371)&amp;"|"&amp;TEXT(371,"0000"))</f>
        <v/>
      </c>
      <c r="AP371" s="50" t="str">
        <f aca="false">IF($AO371="","",COUNTIF($AO$5:$AO$1004,"&lt;"&amp;$AO371)-(ROWS($AO$5:$AO$1004)-Hoje!$L$5)+1)</f>
        <v/>
      </c>
      <c r="AQ371" s="50" t="n">
        <f aca="false">IF(AND($F371&lt;&gt;"",$D371=Frota!$C$3),1,0)</f>
        <v>0</v>
      </c>
      <c r="AR371" s="50" t="str">
        <f aca="false">IF($AQ371=0,"",SUM($AQ$4:$AQ371))</f>
        <v/>
      </c>
      <c r="AS371" s="50" t="str">
        <f aca="false">IFERROR(INDEX(Hoje!$K$10:$K$29,MATCH(ROW(),Hoje!$J$10:$J$29,0)),"")</f>
        <v/>
      </c>
      <c r="AT371" s="50" t="str">
        <f aca="false">IF($Q371&lt;&gt;"",$Q371,$AS371)</f>
        <v/>
      </c>
    </row>
    <row r="372" customFormat="false" ht="16.5" hidden="false" customHeight="true" outlineLevel="0" collapsed="false">
      <c r="A372" s="39" t="n">
        <f aca="false">IF($F372="","",ROW())</f>
        <v>372</v>
      </c>
      <c r="B372" s="40" t="str">
        <f aca="false">IF($F372="",IF($D372="","","Falta a atividade"),IF($R372="Cancelada","Cancelada",IF($AB372=1,IF(N($Z372)&gt;0,"Concluída com atraso","Concluída"),IF($R372="Em programação","Em programação",IF($O372="",IF($M372="","Na carteira","Falta a semana"),IF($AC372=1,"VENCIDA",IF($O372&gt;Hoje!$L$1,"Programada",IF($P372&gt;Hoje!$L$1,"Em execução","Fecha hoje"))))))))</f>
        <v>Concluída</v>
      </c>
      <c r="C372" s="41"/>
      <c r="D372" s="42" t="s">
        <v>869</v>
      </c>
      <c r="E372" s="42" t="s">
        <v>724</v>
      </c>
      <c r="F372" s="42" t="s">
        <v>706</v>
      </c>
      <c r="G372" s="43" t="s">
        <v>80</v>
      </c>
      <c r="H372" s="43" t="s">
        <v>81</v>
      </c>
      <c r="I372" s="44" t="s">
        <v>83</v>
      </c>
      <c r="J372" s="44"/>
      <c r="K372" s="44"/>
      <c r="L372" s="45" t="n">
        <v>37</v>
      </c>
      <c r="M372" s="46" t="s">
        <v>84</v>
      </c>
      <c r="N372" s="45" t="n">
        <v>3</v>
      </c>
      <c r="O372" s="47" t="n">
        <f aca="false">IF(OR($L372="",$M372=""),"",(DATE(Semana!$J$3,1,4)-WEEKDAY(DATE(Semana!$J$3,1,4),3))+($L372-1)*7+MATCH($M372,Listas!$F$5:$F$11,0)-1)</f>
        <v>46274</v>
      </c>
      <c r="P372" s="47" t="n">
        <f aca="false">IF(OR($F372="",$O372=""),"",$O372+MAX(0,ROUNDUP($AK372*MAX(1,IF($N372="",1,$N372))/MAX(1,$AL372),0)-1))</f>
        <v>46276</v>
      </c>
      <c r="Q372" s="48" t="n">
        <v>46274</v>
      </c>
      <c r="R372" s="43" t="s">
        <v>85</v>
      </c>
      <c r="S372" s="49"/>
      <c r="T372" s="42"/>
      <c r="U372" s="42"/>
      <c r="V372" s="39" t="str">
        <f aca="false">IF($F372="","",IF(ISNUMBER(SEARCH("(externo)",$I372&amp;$J372&amp;$K372)),"Terceirizada","Interna"))</f>
        <v>Interna</v>
      </c>
      <c r="W372" s="47" t="n">
        <f aca="false">IF($O372="","",IF($S372="",$O372,(DATE(Semana!$J$3,1,4)-WEEKDAY(DATE(Semana!$J$3,1,4),3))+($S372-1)*7+IF($M372="",0,MATCH($M372,Listas!$F$5:$F$11,0)-1)))</f>
        <v>46274</v>
      </c>
      <c r="X372" s="39" t="n">
        <f aca="false">IF($F372="","",IF(OR($AT372="",$O372=""),0,IF($AT372&lt;=$O372,1,0)))</f>
        <v>1</v>
      </c>
      <c r="Y372" s="39" t="n">
        <f aca="false">IF($F372="","",IF(OR($AT372="",$W372=""),0,IF($AT372&lt;=$W372,1,0)))</f>
        <v>1</v>
      </c>
      <c r="Z372" s="39" t="n">
        <f aca="false">IF(OR($AT372="",$O372=""),"",MAX(0,$AT372-$O372))</f>
        <v>0</v>
      </c>
      <c r="AA372" s="39" t="n">
        <f aca="false">IF($F372="","",IF(AND($S372&lt;&gt;"",$L372&lt;&gt;"",$S372&lt;&gt;$L372),1,0))</f>
        <v>0</v>
      </c>
      <c r="AB372" s="39" t="n">
        <f aca="false">IF($F372="","",IF($R372="Cancelada",0,IF(OR($AT372&lt;&gt;"",$R372="Concluída"),1,0)))</f>
        <v>1</v>
      </c>
      <c r="AC372" s="39" t="n">
        <f aca="false">IF($P372="",0,IF($P372&lt;Hoje!$L$1,1,IF(AND($P372=Hoje!$L$1,Hoje!$L$2&gt;Semana!$M$3),1,0)))</f>
        <v>0</v>
      </c>
      <c r="AD372" s="39" t="n">
        <f aca="false">IF($F372="","",IF(COUNTA($I372:$K372)=0,0,1/COUNTA($I372:$K372)))</f>
        <v>1</v>
      </c>
      <c r="AE372" s="39" t="n">
        <f aca="false">IF($AH372=0,"",SUM($AH$4:$AH372))</f>
        <v>32</v>
      </c>
      <c r="AF372" s="39" t="str">
        <f aca="false">IF($AI372=0,"",SUM($AI$4:$AI372))</f>
        <v/>
      </c>
      <c r="AG372" s="50" t="str">
        <f aca="false">IF($F372="","",$I372&amp;IF($J372="",""," · "&amp;$J372)&amp;IF($K372="",""," · "&amp;$K372))</f>
        <v>Luiz Paulo</v>
      </c>
      <c r="AH372" s="39" t="n">
        <f aca="false">IF(AND($F372&lt;&gt;"",$O372&lt;&gt;"",$O372&lt;=Hoje!$C$3,$P372&gt;=Hoje!$C$3,$R372&lt;&gt;"Cancelada"),1,0)</f>
        <v>1</v>
      </c>
      <c r="AI372" s="39" t="n">
        <f aca="false">IF(AND($F372&lt;&gt;"",$P372&lt;&gt;"",$P372&lt;Hoje!$C$3,$AB372=0,$R372&lt;&gt;"Cancelada"),1,0)</f>
        <v>0</v>
      </c>
      <c r="AJ372" s="50" t="str">
        <f aca="false">IF($F372="","",$D372&amp;"|"&amp;$E372&amp;"|"&amp;$L372)</f>
        <v>F-1060|Programação 09/09|37</v>
      </c>
      <c r="AK372" s="39" t="n">
        <f aca="false">IF($AJ372="","",COUNTIF($AJ$4:$AJ372,$AJ372))</f>
        <v>1</v>
      </c>
      <c r="AL372" s="39" t="n">
        <f aca="false">IF($AJ372="","",COUNTIF($AJ$4:$AJ$1004,$AJ372))</f>
        <v>1</v>
      </c>
      <c r="AM372" s="42"/>
      <c r="AN372" s="50" t="str">
        <f aca="false">IF($D372="","",IFERROR(T(VLOOKUP($D372,Listas!$B$5:$H$120,7,0)),""))</f>
        <v/>
      </c>
      <c r="AO372" s="50" t="str">
        <f aca="false">IF(OR($F372="",$L372&lt;&gt;"",$R372="Cancelada",$AT372&lt;&gt;""),"",$AN372&amp;"|"&amp;$D372&amp;"|"&amp;IF($C372="","zzz",$C372)&amp;"|"&amp;TEXT(372,"0000"))</f>
        <v/>
      </c>
      <c r="AP372" s="50" t="str">
        <f aca="false">IF($AO372="","",COUNTIF($AO$5:$AO$1004,"&lt;"&amp;$AO372)-(ROWS($AO$5:$AO$1004)-Hoje!$L$5)+1)</f>
        <v/>
      </c>
      <c r="AQ372" s="50" t="n">
        <f aca="false">IF(AND($F372&lt;&gt;"",$D372=Frota!$C$3),1,0)</f>
        <v>0</v>
      </c>
      <c r="AR372" s="50" t="str">
        <f aca="false">IF($AQ372=0,"",SUM($AQ$4:$AQ372))</f>
        <v/>
      </c>
      <c r="AS372" s="50" t="str">
        <f aca="false">IFERROR(INDEX(Hoje!$K$10:$K$29,MATCH(ROW(),Hoje!$J$10:$J$29,0)),"")</f>
        <v/>
      </c>
      <c r="AT372" s="47" t="n">
        <f aca="false">IF($Q372&lt;&gt;"",$Q372,$AS372)</f>
        <v>46274</v>
      </c>
    </row>
    <row r="373" customFormat="false" ht="16.5" hidden="false" customHeight="true" outlineLevel="0" collapsed="false">
      <c r="A373" s="39" t="n">
        <f aca="false">IF($F373="","",ROW())</f>
        <v>373</v>
      </c>
      <c r="B373" s="40" t="str">
        <f aca="false">IF($F373="",IF($D373="","","Falta a atividade"),IF($R373="Cancelada","Cancelada",IF($AB373=1,IF(N($Z373)&gt;0,"Concluída com atraso","Concluída"),IF($R373="Em programação","Em programação",IF($O373="",IF($M373="","Na carteira","Falta a semana"),IF($AC373=1,"VENCIDA",IF($O373&gt;Hoje!$L$1,"Programada",IF($P373&gt;Hoje!$L$1,"Em execução","Fecha hoje"))))))))</f>
        <v>Concluída</v>
      </c>
      <c r="C373" s="41"/>
      <c r="D373" s="42" t="s">
        <v>870</v>
      </c>
      <c r="E373" s="42" t="s">
        <v>724</v>
      </c>
      <c r="F373" s="42" t="s">
        <v>706</v>
      </c>
      <c r="G373" s="43" t="s">
        <v>80</v>
      </c>
      <c r="H373" s="43" t="s">
        <v>81</v>
      </c>
      <c r="I373" s="44" t="s">
        <v>83</v>
      </c>
      <c r="J373" s="44"/>
      <c r="K373" s="44"/>
      <c r="L373" s="45" t="n">
        <v>37</v>
      </c>
      <c r="M373" s="46" t="s">
        <v>84</v>
      </c>
      <c r="N373" s="45" t="n">
        <v>2</v>
      </c>
      <c r="O373" s="47" t="n">
        <f aca="false">IF(OR($L373="",$M373=""),"",(DATE(Semana!$J$3,1,4)-WEEKDAY(DATE(Semana!$J$3,1,4),3))+($L373-1)*7+MATCH($M373,Listas!$F$5:$F$11,0)-1)</f>
        <v>46274</v>
      </c>
      <c r="P373" s="47" t="n">
        <f aca="false">IF(OR($F373="",$O373=""),"",$O373+MAX(0,ROUNDUP($AK373*MAX(1,IF($N373="",1,$N373))/MAX(1,$AL373),0)-1))</f>
        <v>46275</v>
      </c>
      <c r="Q373" s="48" t="n">
        <v>46274</v>
      </c>
      <c r="R373" s="43" t="s">
        <v>85</v>
      </c>
      <c r="S373" s="49"/>
      <c r="T373" s="42"/>
      <c r="U373" s="42"/>
      <c r="V373" s="39" t="str">
        <f aca="false">IF($F373="","",IF(ISNUMBER(SEARCH("(externo)",$I373&amp;$J373&amp;$K373)),"Terceirizada","Interna"))</f>
        <v>Interna</v>
      </c>
      <c r="W373" s="47" t="n">
        <f aca="false">IF($O373="","",IF($S373="",$O373,(DATE(Semana!$J$3,1,4)-WEEKDAY(DATE(Semana!$J$3,1,4),3))+($S373-1)*7+IF($M373="",0,MATCH($M373,Listas!$F$5:$F$11,0)-1)))</f>
        <v>46274</v>
      </c>
      <c r="X373" s="39" t="n">
        <f aca="false">IF($F373="","",IF(OR($AT373="",$O373=""),0,IF($AT373&lt;=$O373,1,0)))</f>
        <v>1</v>
      </c>
      <c r="Y373" s="39" t="n">
        <f aca="false">IF($F373="","",IF(OR($AT373="",$W373=""),0,IF($AT373&lt;=$W373,1,0)))</f>
        <v>1</v>
      </c>
      <c r="Z373" s="39" t="n">
        <f aca="false">IF(OR($AT373="",$O373=""),"",MAX(0,$AT373-$O373))</f>
        <v>0</v>
      </c>
      <c r="AA373" s="39" t="n">
        <f aca="false">IF($F373="","",IF(AND($S373&lt;&gt;"",$L373&lt;&gt;"",$S373&lt;&gt;$L373),1,0))</f>
        <v>0</v>
      </c>
      <c r="AB373" s="39" t="n">
        <f aca="false">IF($F373="","",IF($R373="Cancelada",0,IF(OR($AT373&lt;&gt;"",$R373="Concluída"),1,0)))</f>
        <v>1</v>
      </c>
      <c r="AC373" s="39" t="n">
        <f aca="false">IF($P373="",0,IF($P373&lt;Hoje!$L$1,1,IF(AND($P373=Hoje!$L$1,Hoje!$L$2&gt;Semana!$M$3),1,0)))</f>
        <v>0</v>
      </c>
      <c r="AD373" s="39" t="n">
        <f aca="false">IF($F373="","",IF(COUNTA($I373:$K373)=0,0,1/COUNTA($I373:$K373)))</f>
        <v>1</v>
      </c>
      <c r="AE373" s="39" t="n">
        <f aca="false">IF($AH373=0,"",SUM($AH$4:$AH373))</f>
        <v>33</v>
      </c>
      <c r="AF373" s="39" t="str">
        <f aca="false">IF($AI373=0,"",SUM($AI$4:$AI373))</f>
        <v/>
      </c>
      <c r="AG373" s="50" t="str">
        <f aca="false">IF($F373="","",$I373&amp;IF($J373="",""," · "&amp;$J373)&amp;IF($K373="",""," · "&amp;$K373))</f>
        <v>Luiz Paulo</v>
      </c>
      <c r="AH373" s="39" t="n">
        <f aca="false">IF(AND($F373&lt;&gt;"",$O373&lt;&gt;"",$O373&lt;=Hoje!$C$3,$P373&gt;=Hoje!$C$3,$R373&lt;&gt;"Cancelada"),1,0)</f>
        <v>1</v>
      </c>
      <c r="AI373" s="39" t="n">
        <f aca="false">IF(AND($F373&lt;&gt;"",$P373&lt;&gt;"",$P373&lt;Hoje!$C$3,$AB373=0,$R373&lt;&gt;"Cancelada"),1,0)</f>
        <v>0</v>
      </c>
      <c r="AJ373" s="50" t="str">
        <f aca="false">IF($F373="","",$D373&amp;"|"&amp;$E373&amp;"|"&amp;$L373)</f>
        <v>F-1061|Programação 09/09|37</v>
      </c>
      <c r="AK373" s="39" t="n">
        <f aca="false">IF($AJ373="","",COUNTIF($AJ$4:$AJ373,$AJ373))</f>
        <v>1</v>
      </c>
      <c r="AL373" s="39" t="n">
        <f aca="false">IF($AJ373="","",COUNTIF($AJ$4:$AJ$1004,$AJ373))</f>
        <v>1</v>
      </c>
      <c r="AM373" s="42"/>
      <c r="AN373" s="50" t="str">
        <f aca="false">IF($D373="","",IFERROR(T(VLOOKUP($D373,Listas!$B$5:$H$120,7,0)),""))</f>
        <v/>
      </c>
      <c r="AO373" s="50" t="str">
        <f aca="false">IF(OR($F373="",$L373&lt;&gt;"",$R373="Cancelada",$AT373&lt;&gt;""),"",$AN373&amp;"|"&amp;$D373&amp;"|"&amp;IF($C373="","zzz",$C373)&amp;"|"&amp;TEXT(373,"0000"))</f>
        <v/>
      </c>
      <c r="AP373" s="50" t="str">
        <f aca="false">IF($AO373="","",COUNTIF($AO$5:$AO$1004,"&lt;"&amp;$AO373)-(ROWS($AO$5:$AO$1004)-Hoje!$L$5)+1)</f>
        <v/>
      </c>
      <c r="AQ373" s="50" t="n">
        <f aca="false">IF(AND($F373&lt;&gt;"",$D373=Frota!$C$3),1,0)</f>
        <v>0</v>
      </c>
      <c r="AR373" s="50" t="str">
        <f aca="false">IF($AQ373=0,"",SUM($AQ$4:$AQ373))</f>
        <v/>
      </c>
      <c r="AS373" s="50" t="str">
        <f aca="false">IFERROR(INDEX(Hoje!$K$10:$K$29,MATCH(ROW(),Hoje!$J$10:$J$29,0)),"")</f>
        <v/>
      </c>
      <c r="AT373" s="47" t="n">
        <f aca="false">IF($Q373&lt;&gt;"",$Q373,$AS373)</f>
        <v>46274</v>
      </c>
    </row>
    <row r="374" customFormat="false" ht="16.5" hidden="false" customHeight="true" outlineLevel="0" collapsed="false">
      <c r="A374" s="39" t="n">
        <f aca="false">IF($F374="","",ROW())</f>
        <v>374</v>
      </c>
      <c r="B374" s="40" t="str">
        <f aca="false">IF($F374="",IF($D374="","","Falta a atividade"),IF($R374="Cancelada","Cancelada",IF($AB374=1,IF(N($Z374)&gt;0,"Concluída com atraso","Concluída"),IF($R374="Em programação","Em programação",IF($O374="",IF($M374="","Na carteira","Falta a semana"),IF($AC374=1,"VENCIDA",IF($O374&gt;Hoje!$L$1,"Programada",IF($P374&gt;Hoje!$L$1,"Em execução","Fecha hoje"))))))))</f>
        <v>Concluída</v>
      </c>
      <c r="C374" s="41"/>
      <c r="D374" s="42" t="s">
        <v>716</v>
      </c>
      <c r="E374" s="42" t="s">
        <v>724</v>
      </c>
      <c r="F374" s="42" t="s">
        <v>706</v>
      </c>
      <c r="G374" s="43" t="s">
        <v>80</v>
      </c>
      <c r="H374" s="43" t="s">
        <v>81</v>
      </c>
      <c r="I374" s="44" t="s">
        <v>83</v>
      </c>
      <c r="J374" s="44"/>
      <c r="K374" s="44"/>
      <c r="L374" s="45" t="n">
        <v>37</v>
      </c>
      <c r="M374" s="46" t="s">
        <v>84</v>
      </c>
      <c r="N374" s="45" t="n">
        <v>3</v>
      </c>
      <c r="O374" s="47" t="n">
        <f aca="false">IF(OR($L374="",$M374=""),"",(DATE(Semana!$J$3,1,4)-WEEKDAY(DATE(Semana!$J$3,1,4),3))+($L374-1)*7+MATCH($M374,Listas!$F$5:$F$11,0)-1)</f>
        <v>46274</v>
      </c>
      <c r="P374" s="47" t="n">
        <f aca="false">IF(OR($F374="",$O374=""),"",$O374+MAX(0,ROUNDUP($AK374*MAX(1,IF($N374="",1,$N374))/MAX(1,$AL374),0)-1))</f>
        <v>46276</v>
      </c>
      <c r="Q374" s="48" t="n">
        <v>46274</v>
      </c>
      <c r="R374" s="43" t="s">
        <v>85</v>
      </c>
      <c r="S374" s="49"/>
      <c r="T374" s="42"/>
      <c r="U374" s="42"/>
      <c r="V374" s="39" t="str">
        <f aca="false">IF($F374="","",IF(ISNUMBER(SEARCH("(externo)",$I374&amp;$J374&amp;$K374)),"Terceirizada","Interna"))</f>
        <v>Interna</v>
      </c>
      <c r="W374" s="47" t="n">
        <f aca="false">IF($O374="","",IF($S374="",$O374,(DATE(Semana!$J$3,1,4)-WEEKDAY(DATE(Semana!$J$3,1,4),3))+($S374-1)*7+IF($M374="",0,MATCH($M374,Listas!$F$5:$F$11,0)-1)))</f>
        <v>46274</v>
      </c>
      <c r="X374" s="39" t="n">
        <f aca="false">IF($F374="","",IF(OR($AT374="",$O374=""),0,IF($AT374&lt;=$O374,1,0)))</f>
        <v>1</v>
      </c>
      <c r="Y374" s="39" t="n">
        <f aca="false">IF($F374="","",IF(OR($AT374="",$W374=""),0,IF($AT374&lt;=$W374,1,0)))</f>
        <v>1</v>
      </c>
      <c r="Z374" s="39" t="n">
        <f aca="false">IF(OR($AT374="",$O374=""),"",MAX(0,$AT374-$O374))</f>
        <v>0</v>
      </c>
      <c r="AA374" s="39" t="n">
        <f aca="false">IF($F374="","",IF(AND($S374&lt;&gt;"",$L374&lt;&gt;"",$S374&lt;&gt;$L374),1,0))</f>
        <v>0</v>
      </c>
      <c r="AB374" s="39" t="n">
        <f aca="false">IF($F374="","",IF($R374="Cancelada",0,IF(OR($AT374&lt;&gt;"",$R374="Concluída"),1,0)))</f>
        <v>1</v>
      </c>
      <c r="AC374" s="39" t="n">
        <f aca="false">IF($P374="",0,IF($P374&lt;Hoje!$L$1,1,IF(AND($P374=Hoje!$L$1,Hoje!$L$2&gt;Semana!$M$3),1,0)))</f>
        <v>0</v>
      </c>
      <c r="AD374" s="39" t="n">
        <f aca="false">IF($F374="","",IF(COUNTA($I374:$K374)=0,0,1/COUNTA($I374:$K374)))</f>
        <v>1</v>
      </c>
      <c r="AE374" s="39" t="n">
        <f aca="false">IF($AH374=0,"",SUM($AH$4:$AH374))</f>
        <v>34</v>
      </c>
      <c r="AF374" s="39" t="str">
        <f aca="false">IF($AI374=0,"",SUM($AI$4:$AI374))</f>
        <v/>
      </c>
      <c r="AG374" s="50" t="str">
        <f aca="false">IF($F374="","",$I374&amp;IF($J374="",""," · "&amp;$J374)&amp;IF($K374="",""," · "&amp;$K374))</f>
        <v>Luiz Paulo</v>
      </c>
      <c r="AH374" s="39" t="n">
        <f aca="false">IF(AND($F374&lt;&gt;"",$O374&lt;&gt;"",$O374&lt;=Hoje!$C$3,$P374&gt;=Hoje!$C$3,$R374&lt;&gt;"Cancelada"),1,0)</f>
        <v>1</v>
      </c>
      <c r="AI374" s="39" t="n">
        <f aca="false">IF(AND($F374&lt;&gt;"",$P374&lt;&gt;"",$P374&lt;Hoje!$C$3,$AB374=0,$R374&lt;&gt;"Cancelada"),1,0)</f>
        <v>0</v>
      </c>
      <c r="AJ374" s="50" t="str">
        <f aca="false">IF($F374="","",$D374&amp;"|"&amp;$E374&amp;"|"&amp;$L374)</f>
        <v>F-1062|Programação 09/09|37</v>
      </c>
      <c r="AK374" s="39" t="n">
        <f aca="false">IF($AJ374="","",COUNTIF($AJ$4:$AJ374,$AJ374))</f>
        <v>1</v>
      </c>
      <c r="AL374" s="39" t="n">
        <f aca="false">IF($AJ374="","",COUNTIF($AJ$4:$AJ$1004,$AJ374))</f>
        <v>1</v>
      </c>
      <c r="AM374" s="42"/>
      <c r="AN374" s="50" t="str">
        <f aca="false">IF($D374="","",IFERROR(T(VLOOKUP($D374,Listas!$B$5:$H$120,7,0)),""))</f>
        <v/>
      </c>
      <c r="AO374" s="50" t="str">
        <f aca="false">IF(OR($F374="",$L374&lt;&gt;"",$R374="Cancelada",$AT374&lt;&gt;""),"",$AN374&amp;"|"&amp;$D374&amp;"|"&amp;IF($C374="","zzz",$C374)&amp;"|"&amp;TEXT(374,"0000"))</f>
        <v/>
      </c>
      <c r="AP374" s="50" t="str">
        <f aca="false">IF($AO374="","",COUNTIF($AO$5:$AO$1004,"&lt;"&amp;$AO374)-(ROWS($AO$5:$AO$1004)-Hoje!$L$5)+1)</f>
        <v/>
      </c>
      <c r="AQ374" s="50" t="n">
        <f aca="false">IF(AND($F374&lt;&gt;"",$D374=Frota!$C$3),1,0)</f>
        <v>0</v>
      </c>
      <c r="AR374" s="50" t="str">
        <f aca="false">IF($AQ374=0,"",SUM($AQ$4:$AQ374))</f>
        <v/>
      </c>
      <c r="AS374" s="50" t="str">
        <f aca="false">IFERROR(INDEX(Hoje!$K$10:$K$29,MATCH(ROW(),Hoje!$J$10:$J$29,0)),"")</f>
        <v/>
      </c>
      <c r="AT374" s="47" t="n">
        <f aca="false">IF($Q374&lt;&gt;"",$Q374,$AS374)</f>
        <v>46274</v>
      </c>
    </row>
    <row r="375" customFormat="false" ht="16.5" hidden="false" customHeight="true" outlineLevel="0" collapsed="false">
      <c r="A375" s="39" t="n">
        <f aca="false">IF($F375="","",ROW())</f>
        <v>375</v>
      </c>
      <c r="B375" s="40" t="str">
        <f aca="false">IF($F375="",IF($D375="","","Falta a atividade"),IF($R375="Cancelada","Cancelada",IF($AB375=1,IF(N($Z375)&gt;0,"Concluída com atraso","Concluída"),IF($R375="Em programação","Em programação",IF($O375="",IF($M375="","Na carteira","Falta a semana"),IF($AC375=1,"VENCIDA",IF($O375&gt;Hoje!$L$1,"Programada",IF($P375&gt;Hoje!$L$1,"Em execução","Fecha hoje"))))))))</f>
        <v>Concluída</v>
      </c>
      <c r="C375" s="41"/>
      <c r="D375" s="42" t="s">
        <v>713</v>
      </c>
      <c r="E375" s="42" t="s">
        <v>724</v>
      </c>
      <c r="F375" s="42" t="s">
        <v>706</v>
      </c>
      <c r="G375" s="43" t="s">
        <v>80</v>
      </c>
      <c r="H375" s="43" t="s">
        <v>81</v>
      </c>
      <c r="I375" s="44" t="s">
        <v>83</v>
      </c>
      <c r="J375" s="44"/>
      <c r="K375" s="44"/>
      <c r="L375" s="45" t="n">
        <v>37</v>
      </c>
      <c r="M375" s="46" t="s">
        <v>84</v>
      </c>
      <c r="N375" s="45" t="n">
        <v>2</v>
      </c>
      <c r="O375" s="47" t="n">
        <f aca="false">IF(OR($L375="",$M375=""),"",(DATE(Semana!$J$3,1,4)-WEEKDAY(DATE(Semana!$J$3,1,4),3))+($L375-1)*7+MATCH($M375,Listas!$F$5:$F$11,0)-1)</f>
        <v>46274</v>
      </c>
      <c r="P375" s="47" t="n">
        <f aca="false">IF(OR($F375="",$O375=""),"",$O375+MAX(0,ROUNDUP($AK375*MAX(1,IF($N375="",1,$N375))/MAX(1,$AL375),0)-1))</f>
        <v>46275</v>
      </c>
      <c r="Q375" s="48" t="n">
        <v>46274</v>
      </c>
      <c r="R375" s="43" t="s">
        <v>85</v>
      </c>
      <c r="S375" s="49"/>
      <c r="T375" s="42"/>
      <c r="U375" s="42"/>
      <c r="V375" s="39" t="str">
        <f aca="false">IF($F375="","",IF(ISNUMBER(SEARCH("(externo)",$I375&amp;$J375&amp;$K375)),"Terceirizada","Interna"))</f>
        <v>Interna</v>
      </c>
      <c r="W375" s="47" t="n">
        <f aca="false">IF($O375="","",IF($S375="",$O375,(DATE(Semana!$J$3,1,4)-WEEKDAY(DATE(Semana!$J$3,1,4),3))+($S375-1)*7+IF($M375="",0,MATCH($M375,Listas!$F$5:$F$11,0)-1)))</f>
        <v>46274</v>
      </c>
      <c r="X375" s="39" t="n">
        <f aca="false">IF($F375="","",IF(OR($AT375="",$O375=""),0,IF($AT375&lt;=$O375,1,0)))</f>
        <v>1</v>
      </c>
      <c r="Y375" s="39" t="n">
        <f aca="false">IF($F375="","",IF(OR($AT375="",$W375=""),0,IF($AT375&lt;=$W375,1,0)))</f>
        <v>1</v>
      </c>
      <c r="Z375" s="39" t="n">
        <f aca="false">IF(OR($AT375="",$O375=""),"",MAX(0,$AT375-$O375))</f>
        <v>0</v>
      </c>
      <c r="AA375" s="39" t="n">
        <f aca="false">IF($F375="","",IF(AND($S375&lt;&gt;"",$L375&lt;&gt;"",$S375&lt;&gt;$L375),1,0))</f>
        <v>0</v>
      </c>
      <c r="AB375" s="39" t="n">
        <f aca="false">IF($F375="","",IF($R375="Cancelada",0,IF(OR($AT375&lt;&gt;"",$R375="Concluída"),1,0)))</f>
        <v>1</v>
      </c>
      <c r="AC375" s="39" t="n">
        <f aca="false">IF($P375="",0,IF($P375&lt;Hoje!$L$1,1,IF(AND($P375=Hoje!$L$1,Hoje!$L$2&gt;Semana!$M$3),1,0)))</f>
        <v>0</v>
      </c>
      <c r="AD375" s="39" t="n">
        <f aca="false">IF($F375="","",IF(COUNTA($I375:$K375)=0,0,1/COUNTA($I375:$K375)))</f>
        <v>1</v>
      </c>
      <c r="AE375" s="39" t="n">
        <f aca="false">IF($AH375=0,"",SUM($AH$4:$AH375))</f>
        <v>35</v>
      </c>
      <c r="AF375" s="39" t="str">
        <f aca="false">IF($AI375=0,"",SUM($AI$4:$AI375))</f>
        <v/>
      </c>
      <c r="AG375" s="50" t="str">
        <f aca="false">IF($F375="","",$I375&amp;IF($J375="",""," · "&amp;$J375)&amp;IF($K375="",""," · "&amp;$K375))</f>
        <v>Luiz Paulo</v>
      </c>
      <c r="AH375" s="39" t="n">
        <f aca="false">IF(AND($F375&lt;&gt;"",$O375&lt;&gt;"",$O375&lt;=Hoje!$C$3,$P375&gt;=Hoje!$C$3,$R375&lt;&gt;"Cancelada"),1,0)</f>
        <v>1</v>
      </c>
      <c r="AI375" s="39" t="n">
        <f aca="false">IF(AND($F375&lt;&gt;"",$P375&lt;&gt;"",$P375&lt;Hoje!$C$3,$AB375=0,$R375&lt;&gt;"Cancelada"),1,0)</f>
        <v>0</v>
      </c>
      <c r="AJ375" s="50" t="str">
        <f aca="false">IF($F375="","",$D375&amp;"|"&amp;$E375&amp;"|"&amp;$L375)</f>
        <v>F-1063|Programação 09/09|37</v>
      </c>
      <c r="AK375" s="39" t="n">
        <f aca="false">IF($AJ375="","",COUNTIF($AJ$4:$AJ375,$AJ375))</f>
        <v>1</v>
      </c>
      <c r="AL375" s="39" t="n">
        <f aca="false">IF($AJ375="","",COUNTIF($AJ$4:$AJ$1004,$AJ375))</f>
        <v>1</v>
      </c>
      <c r="AM375" s="42"/>
      <c r="AN375" s="50" t="str">
        <f aca="false">IF($D375="","",IFERROR(T(VLOOKUP($D375,Listas!$B$5:$H$120,7,0)),""))</f>
        <v/>
      </c>
      <c r="AO375" s="50" t="str">
        <f aca="false">IF(OR($F375="",$L375&lt;&gt;"",$R375="Cancelada",$AT375&lt;&gt;""),"",$AN375&amp;"|"&amp;$D375&amp;"|"&amp;IF($C375="","zzz",$C375)&amp;"|"&amp;TEXT(375,"0000"))</f>
        <v/>
      </c>
      <c r="AP375" s="50" t="str">
        <f aca="false">IF($AO375="","",COUNTIF($AO$5:$AO$1004,"&lt;"&amp;$AO375)-(ROWS($AO$5:$AO$1004)-Hoje!$L$5)+1)</f>
        <v/>
      </c>
      <c r="AQ375" s="50" t="n">
        <f aca="false">IF(AND($F375&lt;&gt;"",$D375=Frota!$C$3),1,0)</f>
        <v>0</v>
      </c>
      <c r="AR375" s="50" t="str">
        <f aca="false">IF($AQ375=0,"",SUM($AQ$4:$AQ375))</f>
        <v/>
      </c>
      <c r="AS375" s="50" t="str">
        <f aca="false">IFERROR(INDEX(Hoje!$K$10:$K$29,MATCH(ROW(),Hoje!$J$10:$J$29,0)),"")</f>
        <v/>
      </c>
      <c r="AT375" s="47" t="n">
        <f aca="false">IF($Q375&lt;&gt;"",$Q375,$AS375)</f>
        <v>46274</v>
      </c>
    </row>
    <row r="376" customFormat="false" ht="16.5" hidden="false" customHeight="true" outlineLevel="0" collapsed="false">
      <c r="A376" s="39" t="str">
        <f aca="false">IF($F376="","",ROW())</f>
        <v/>
      </c>
      <c r="B376" s="40" t="str">
        <f aca="false">IF($F376="",IF($D376="","","Falta a atividade"),IF($R376="Cancelada","Cancelada",IF($AB376=1,IF(N($Z376)&gt;0,"Concluída com atraso","Concluída"),IF($R376="Em programação","Em programação",IF($O376="",IF($M376="","Na carteira","Falta a semana"),IF($AC376=1,"VENCIDA",IF($O376&gt;Hoje!$L$1,"Programada",IF($P376&gt;Hoje!$L$1,"Em execução","Fecha hoje"))))))))</f>
        <v>Falta a atividade</v>
      </c>
      <c r="C376" s="41"/>
      <c r="D376" s="42" t="s">
        <v>871</v>
      </c>
      <c r="E376" s="42"/>
      <c r="F376" s="42"/>
      <c r="G376" s="43"/>
      <c r="H376" s="43" t="s">
        <v>100</v>
      </c>
      <c r="I376" s="44"/>
      <c r="J376" s="44"/>
      <c r="K376" s="44"/>
      <c r="L376" s="45" t="n">
        <v>37</v>
      </c>
      <c r="M376" s="46" t="s">
        <v>108</v>
      </c>
      <c r="N376" s="45"/>
      <c r="O376" s="47" t="n">
        <f aca="false">IF(OR($L376="",$M376=""),"",(DATE(Semana!$J$3,1,4)-WEEKDAY(DATE(Semana!$J$3,1,4),3))+($L376-1)*7+MATCH($M376,Listas!$F$5:$F$11,0)-1)</f>
        <v>46272</v>
      </c>
      <c r="P376" s="47" t="str">
        <f aca="false">IF(OR($F376="",$O376=""),"",$O376+MAX(0,ROUNDUP($AK376*MAX(1,IF($N376="",1,$N376))/MAX(1,$AL376),0)-1))</f>
        <v/>
      </c>
      <c r="Q376" s="48"/>
      <c r="R376" s="43"/>
      <c r="S376" s="49"/>
      <c r="T376" s="42"/>
      <c r="U376" s="42" t="s">
        <v>872</v>
      </c>
      <c r="V376" s="39" t="str">
        <f aca="false">IF($F376="","",IF(ISNUMBER(SEARCH("(externo)",$I376&amp;$J376&amp;$K376)),"Terceirizada","Interna"))</f>
        <v/>
      </c>
      <c r="W376" s="47" t="n">
        <f aca="false">IF($O376="","",IF($S376="",$O376,(DATE(Semana!$J$3,1,4)-WEEKDAY(DATE(Semana!$J$3,1,4),3))+($S376-1)*7+IF($M376="",0,MATCH($M376,Listas!$F$5:$F$11,0)-1)))</f>
        <v>46272</v>
      </c>
      <c r="X376" s="39" t="str">
        <f aca="false">IF($F376="","",IF(OR($AT376="",$O376=""),0,IF($AT376&lt;=$O376,1,0)))</f>
        <v/>
      </c>
      <c r="Y376" s="39" t="str">
        <f aca="false">IF($F376="","",IF(OR($AT376="",$W376=""),0,IF($AT376&lt;=$W376,1,0)))</f>
        <v/>
      </c>
      <c r="Z376" s="39" t="str">
        <f aca="false">IF(OR($AT376="",$O376=""),"",MAX(0,$AT376-$O376))</f>
        <v/>
      </c>
      <c r="AA376" s="39" t="str">
        <f aca="false">IF($F376="","",IF(AND($S376&lt;&gt;"",$L376&lt;&gt;"",$S376&lt;&gt;$L376),1,0))</f>
        <v/>
      </c>
      <c r="AB376" s="39" t="str">
        <f aca="false">IF($F376="","",IF($R376="Cancelada",0,IF(OR($AT376&lt;&gt;"",$R376="Concluída"),1,0)))</f>
        <v/>
      </c>
      <c r="AC376" s="39" t="n">
        <f aca="false">IF($P376="",0,IF($P376&lt;Hoje!$L$1,1,IF(AND($P376=Hoje!$L$1,Hoje!$L$2&gt;Semana!$M$3),1,0)))</f>
        <v>0</v>
      </c>
      <c r="AD376" s="39" t="str">
        <f aca="false">IF($F376="","",IF(COUNTA($I376:$K376)=0,0,1/COUNTA($I376:$K376)))</f>
        <v/>
      </c>
      <c r="AE376" s="39" t="str">
        <f aca="false">IF($AH376=0,"",SUM($AH$4:$AH376))</f>
        <v/>
      </c>
      <c r="AF376" s="39" t="str">
        <f aca="false">IF($AI376=0,"",SUM($AI$4:$AI376))</f>
        <v/>
      </c>
      <c r="AG376" s="50" t="str">
        <f aca="false">IF($F376="","",$I376&amp;IF($J376="",""," · "&amp;$J376)&amp;IF($K376="",""," · "&amp;$K376))</f>
        <v/>
      </c>
      <c r="AH376" s="39" t="n">
        <f aca="false">IF(AND($F376&lt;&gt;"",$O376&lt;&gt;"",$O376&lt;=Hoje!$C$3,$P376&gt;=Hoje!$C$3,$R376&lt;&gt;"Cancelada"),1,0)</f>
        <v>0</v>
      </c>
      <c r="AI376" s="39" t="n">
        <f aca="false">IF(AND($F376&lt;&gt;"",$P376&lt;&gt;"",$P376&lt;Hoje!$C$3,$AB376=0,$R376&lt;&gt;"Cancelada"),1,0)</f>
        <v>0</v>
      </c>
      <c r="AJ376" s="50" t="str">
        <f aca="false">IF($F376="","",$D376&amp;"|"&amp;$E376&amp;"|"&amp;$L376)</f>
        <v/>
      </c>
      <c r="AK376" s="39" t="str">
        <f aca="false">IF($AJ376="","",COUNTIF($AJ$4:$AJ376,$AJ376))</f>
        <v/>
      </c>
      <c r="AL376" s="39" t="str">
        <f aca="false">IF($AJ376="","",COUNTIF($AJ$4:$AJ$1004,$AJ376))</f>
        <v/>
      </c>
      <c r="AM376" s="42"/>
      <c r="AN376" s="50" t="str">
        <f aca="false">IF($D376="","",IFERROR(T(VLOOKUP($D376,Listas!$B$5:$H$120,7,0)),""))</f>
        <v/>
      </c>
      <c r="AO376" s="50" t="str">
        <f aca="false">IF(OR($F376="",$L376&lt;&gt;"",$R376="Cancelada",$AT376&lt;&gt;""),"",$AN376&amp;"|"&amp;$D376&amp;"|"&amp;IF($C376="","zzz",$C376)&amp;"|"&amp;TEXT(376,"0000"))</f>
        <v/>
      </c>
      <c r="AP376" s="50" t="str">
        <f aca="false">IF($AO376="","",COUNTIF($AO$5:$AO$1004,"&lt;"&amp;$AO376)-(ROWS($AO$5:$AO$1004)-Hoje!$L$5)+1)</f>
        <v/>
      </c>
      <c r="AQ376" s="50" t="n">
        <f aca="false">IF(AND($F376&lt;&gt;"",$D376=Frota!$C$3),1,0)</f>
        <v>0</v>
      </c>
      <c r="AR376" s="50" t="str">
        <f aca="false">IF($AQ376=0,"",SUM($AQ$4:$AQ376))</f>
        <v/>
      </c>
      <c r="AS376" s="50" t="str">
        <f aca="false">IFERROR(INDEX(Hoje!$K$10:$K$29,MATCH(ROW(),Hoje!$J$10:$J$29,0)),"")</f>
        <v/>
      </c>
      <c r="AT376" s="50" t="str">
        <f aca="false">IF($Q376&lt;&gt;"",$Q376,$AS376)</f>
        <v/>
      </c>
    </row>
    <row r="377" customFormat="false" ht="16.5" hidden="false" customHeight="true" outlineLevel="0" collapsed="false">
      <c r="A377" s="39" t="str">
        <f aca="false">IF($F377="","",ROW())</f>
        <v/>
      </c>
      <c r="B377" s="40" t="str">
        <f aca="false">IF($F377="",IF($D377="","","Falta a atividade"),IF($R377="Cancelada","Cancelada",IF($AB377=1,IF(N($Z377)&gt;0,"Concluída com atraso","Concluída"),IF($R377="Em programação","Em programação",IF($O377="",IF($M377="","Na carteira","Falta a semana"),IF($AC377=1,"VENCIDA",IF($O377&gt;Hoje!$L$1,"Programada",IF($P377&gt;Hoje!$L$1,"Em execução","Fecha hoje"))))))))</f>
        <v/>
      </c>
      <c r="C377" s="41"/>
      <c r="D377" s="42"/>
      <c r="E377" s="42"/>
      <c r="F377" s="42"/>
      <c r="G377" s="43"/>
      <c r="H377" s="43"/>
      <c r="I377" s="44"/>
      <c r="J377" s="44"/>
      <c r="K377" s="44"/>
      <c r="L377" s="45"/>
      <c r="M377" s="46"/>
      <c r="N377" s="45"/>
      <c r="O377" s="47" t="str">
        <f aca="false">IF(OR($L377="",$M377=""),"",(DATE(Semana!$J$3,1,4)-WEEKDAY(DATE(Semana!$J$3,1,4),3))+($L377-1)*7+MATCH($M377,Listas!$F$5:$F$11,0)-1)</f>
        <v/>
      </c>
      <c r="P377" s="47" t="str">
        <f aca="false">IF(OR($F377="",$O377=""),"",$O377+MAX(0,ROUNDUP($AK377*MAX(1,IF($N377="",1,$N377))/MAX(1,$AL377),0)-1))</f>
        <v/>
      </c>
      <c r="Q377" s="48"/>
      <c r="R377" s="43"/>
      <c r="S377" s="49"/>
      <c r="T377" s="42"/>
      <c r="U377" s="42"/>
      <c r="V377" s="39" t="str">
        <f aca="false">IF($F377="","",IF(ISNUMBER(SEARCH("(externo)",$I377&amp;$J377&amp;$K377)),"Terceirizada","Interna"))</f>
        <v/>
      </c>
      <c r="W377" s="47" t="str">
        <f aca="false">IF($O377="","",IF($S377="",$O377,(DATE(Semana!$J$3,1,4)-WEEKDAY(DATE(Semana!$J$3,1,4),3))+($S377-1)*7+IF($M377="",0,MATCH($M377,Listas!$F$5:$F$11,0)-1)))</f>
        <v/>
      </c>
      <c r="X377" s="39" t="str">
        <f aca="false">IF($F377="","",IF(OR($AT377="",$O377=""),0,IF($AT377&lt;=$O377,1,0)))</f>
        <v/>
      </c>
      <c r="Y377" s="39" t="str">
        <f aca="false">IF($F377="","",IF(OR($AT377="",$W377=""),0,IF($AT377&lt;=$W377,1,0)))</f>
        <v/>
      </c>
      <c r="Z377" s="39" t="str">
        <f aca="false">IF(OR($AT377="",$O377=""),"",MAX(0,$AT377-$O377))</f>
        <v/>
      </c>
      <c r="AA377" s="39" t="str">
        <f aca="false">IF($F377="","",IF(AND($S377&lt;&gt;"",$L377&lt;&gt;"",$S377&lt;&gt;$L377),1,0))</f>
        <v/>
      </c>
      <c r="AB377" s="39" t="str">
        <f aca="false">IF($F377="","",IF($R377="Cancelada",0,IF(OR($AT377&lt;&gt;"",$R377="Concluída"),1,0)))</f>
        <v/>
      </c>
      <c r="AC377" s="39" t="n">
        <f aca="false">IF($P377="",0,IF($P377&lt;Hoje!$L$1,1,IF(AND($P377=Hoje!$L$1,Hoje!$L$2&gt;Semana!$M$3),1,0)))</f>
        <v>0</v>
      </c>
      <c r="AD377" s="39" t="str">
        <f aca="false">IF($F377="","",IF(COUNTA($I377:$K377)=0,0,1/COUNTA($I377:$K377)))</f>
        <v/>
      </c>
      <c r="AE377" s="39" t="str">
        <f aca="false">IF($AH377=0,"",SUM($AH$4:$AH377))</f>
        <v/>
      </c>
      <c r="AF377" s="39" t="str">
        <f aca="false">IF($AI377=0,"",SUM($AI$4:$AI377))</f>
        <v/>
      </c>
      <c r="AG377" s="50" t="str">
        <f aca="false">IF($F377="","",$I377&amp;IF($J377="",""," · "&amp;$J377)&amp;IF($K377="",""," · "&amp;$K377))</f>
        <v/>
      </c>
      <c r="AH377" s="39" t="n">
        <f aca="false">IF(AND($F377&lt;&gt;"",$O377&lt;&gt;"",$O377&lt;=Hoje!$C$3,$P377&gt;=Hoje!$C$3,$R377&lt;&gt;"Cancelada"),1,0)</f>
        <v>0</v>
      </c>
      <c r="AI377" s="39" t="n">
        <f aca="false">IF(AND($F377&lt;&gt;"",$P377&lt;&gt;"",$P377&lt;Hoje!$C$3,$AB377=0,$R377&lt;&gt;"Cancelada"),1,0)</f>
        <v>0</v>
      </c>
      <c r="AJ377" s="50" t="str">
        <f aca="false">IF($F377="","",$D377&amp;"|"&amp;$E377&amp;"|"&amp;$L377)</f>
        <v/>
      </c>
      <c r="AK377" s="39" t="str">
        <f aca="false">IF($AJ377="","",COUNTIF($AJ$4:$AJ377,$AJ377))</f>
        <v/>
      </c>
      <c r="AL377" s="39" t="str">
        <f aca="false">IF($AJ377="","",COUNTIF($AJ$4:$AJ$1004,$AJ377))</f>
        <v/>
      </c>
      <c r="AM377" s="42"/>
      <c r="AN377" s="50" t="str">
        <f aca="false">IF($D377="","",IFERROR(T(VLOOKUP($D377,Listas!$B$5:$H$120,7,0)),""))</f>
        <v/>
      </c>
      <c r="AO377" s="50" t="str">
        <f aca="false">IF(OR($F377="",$L377&lt;&gt;"",$R377="Cancelada",$AT377&lt;&gt;""),"",$AN377&amp;"|"&amp;$D377&amp;"|"&amp;IF($C377="","zzz",$C377)&amp;"|"&amp;TEXT(377,"0000"))</f>
        <v/>
      </c>
      <c r="AP377" s="50" t="str">
        <f aca="false">IF($AO377="","",COUNTIF($AO$5:$AO$1004,"&lt;"&amp;$AO377)-(ROWS($AO$5:$AO$1004)-Hoje!$L$5)+1)</f>
        <v/>
      </c>
      <c r="AQ377" s="50" t="n">
        <f aca="false">IF(AND($F377&lt;&gt;"",$D377=Frota!$C$3),1,0)</f>
        <v>0</v>
      </c>
      <c r="AR377" s="50" t="str">
        <f aca="false">IF($AQ377=0,"",SUM($AQ$4:$AQ377))</f>
        <v/>
      </c>
      <c r="AS377" s="50" t="str">
        <f aca="false">IFERROR(INDEX(Hoje!$K$10:$K$29,MATCH(ROW(),Hoje!$J$10:$J$29,0)),"")</f>
        <v/>
      </c>
      <c r="AT377" s="50" t="str">
        <f aca="false">IF($Q377&lt;&gt;"",$Q377,$AS377)</f>
        <v/>
      </c>
    </row>
    <row r="378" customFormat="false" ht="16.5" hidden="false" customHeight="true" outlineLevel="0" collapsed="false">
      <c r="A378" s="39" t="str">
        <f aca="false">IF($F378="","",ROW())</f>
        <v/>
      </c>
      <c r="B378" s="40" t="str">
        <f aca="false">IF($F378="",IF($D378="","","Falta a atividade"),IF($R378="Cancelada","Cancelada",IF($AB378=1,IF(N($Z378)&gt;0,"Concluída com atraso","Concluída"),IF($R378="Em programação","Em programação",IF($O378="",IF($M378="","Na carteira","Falta a semana"),IF($AC378=1,"VENCIDA",IF($O378&gt;Hoje!$L$1,"Programada",IF($P378&gt;Hoje!$L$1,"Em execução","Fecha hoje"))))))))</f>
        <v/>
      </c>
      <c r="C378" s="41"/>
      <c r="D378" s="42"/>
      <c r="E378" s="42"/>
      <c r="F378" s="42"/>
      <c r="G378" s="43"/>
      <c r="H378" s="43"/>
      <c r="I378" s="44"/>
      <c r="J378" s="44"/>
      <c r="K378" s="44"/>
      <c r="L378" s="45"/>
      <c r="M378" s="46"/>
      <c r="N378" s="45"/>
      <c r="O378" s="47" t="str">
        <f aca="false">IF(OR($L378="",$M378=""),"",(DATE(Semana!$J$3,1,4)-WEEKDAY(DATE(Semana!$J$3,1,4),3))+($L378-1)*7+MATCH($M378,Listas!$F$5:$F$11,0)-1)</f>
        <v/>
      </c>
      <c r="P378" s="47" t="str">
        <f aca="false">IF(OR($F378="",$O378=""),"",$O378+MAX(0,ROUNDUP($AK378*MAX(1,IF($N378="",1,$N378))/MAX(1,$AL378),0)-1))</f>
        <v/>
      </c>
      <c r="Q378" s="48"/>
      <c r="R378" s="43"/>
      <c r="S378" s="49"/>
      <c r="T378" s="42"/>
      <c r="U378" s="42"/>
      <c r="V378" s="39" t="str">
        <f aca="false">IF($F378="","",IF(ISNUMBER(SEARCH("(externo)",$I378&amp;$J378&amp;$K378)),"Terceirizada","Interna"))</f>
        <v/>
      </c>
      <c r="W378" s="47" t="str">
        <f aca="false">IF($O378="","",IF($S378="",$O378,(DATE(Semana!$J$3,1,4)-WEEKDAY(DATE(Semana!$J$3,1,4),3))+($S378-1)*7+IF($M378="",0,MATCH($M378,Listas!$F$5:$F$11,0)-1)))</f>
        <v/>
      </c>
      <c r="X378" s="39" t="str">
        <f aca="false">IF($F378="","",IF(OR($AT378="",$O378=""),0,IF($AT378&lt;=$O378,1,0)))</f>
        <v/>
      </c>
      <c r="Y378" s="39" t="str">
        <f aca="false">IF($F378="","",IF(OR($AT378="",$W378=""),0,IF($AT378&lt;=$W378,1,0)))</f>
        <v/>
      </c>
      <c r="Z378" s="39" t="str">
        <f aca="false">IF(OR($AT378="",$O378=""),"",MAX(0,$AT378-$O378))</f>
        <v/>
      </c>
      <c r="AA378" s="39" t="str">
        <f aca="false">IF($F378="","",IF(AND($S378&lt;&gt;"",$L378&lt;&gt;"",$S378&lt;&gt;$L378),1,0))</f>
        <v/>
      </c>
      <c r="AB378" s="39" t="str">
        <f aca="false">IF($F378="","",IF($R378="Cancelada",0,IF(OR($AT378&lt;&gt;"",$R378="Concluída"),1,0)))</f>
        <v/>
      </c>
      <c r="AC378" s="39" t="n">
        <f aca="false">IF($P378="",0,IF($P378&lt;Hoje!$L$1,1,IF(AND($P378=Hoje!$L$1,Hoje!$L$2&gt;Semana!$M$3),1,0)))</f>
        <v>0</v>
      </c>
      <c r="AD378" s="39" t="str">
        <f aca="false">IF($F378="","",IF(COUNTA($I378:$K378)=0,0,1/COUNTA($I378:$K378)))</f>
        <v/>
      </c>
      <c r="AE378" s="39" t="str">
        <f aca="false">IF($AH378=0,"",SUM($AH$4:$AH378))</f>
        <v/>
      </c>
      <c r="AF378" s="39" t="str">
        <f aca="false">IF($AI378=0,"",SUM($AI$4:$AI378))</f>
        <v/>
      </c>
      <c r="AG378" s="50" t="str">
        <f aca="false">IF($F378="","",$I378&amp;IF($J378="",""," · "&amp;$J378)&amp;IF($K378="",""," · "&amp;$K378))</f>
        <v/>
      </c>
      <c r="AH378" s="39" t="n">
        <f aca="false">IF(AND($F378&lt;&gt;"",$O378&lt;&gt;"",$O378&lt;=Hoje!$C$3,$P378&gt;=Hoje!$C$3,$R378&lt;&gt;"Cancelada"),1,0)</f>
        <v>0</v>
      </c>
      <c r="AI378" s="39" t="n">
        <f aca="false">IF(AND($F378&lt;&gt;"",$P378&lt;&gt;"",$P378&lt;Hoje!$C$3,$AB378=0,$R378&lt;&gt;"Cancelada"),1,0)</f>
        <v>0</v>
      </c>
      <c r="AJ378" s="50" t="str">
        <f aca="false">IF($F378="","",$D378&amp;"|"&amp;$E378&amp;"|"&amp;$L378)</f>
        <v/>
      </c>
      <c r="AK378" s="39" t="str">
        <f aca="false">IF($AJ378="","",COUNTIF($AJ$4:$AJ378,$AJ378))</f>
        <v/>
      </c>
      <c r="AL378" s="39" t="str">
        <f aca="false">IF($AJ378="","",COUNTIF($AJ$4:$AJ$1004,$AJ378))</f>
        <v/>
      </c>
      <c r="AM378" s="42"/>
      <c r="AN378" s="50" t="str">
        <f aca="false">IF($D378="","",IFERROR(T(VLOOKUP($D378,Listas!$B$5:$H$120,7,0)),""))</f>
        <v/>
      </c>
      <c r="AO378" s="50" t="str">
        <f aca="false">IF(OR($F378="",$L378&lt;&gt;"",$R378="Cancelada",$AT378&lt;&gt;""),"",$AN378&amp;"|"&amp;$D378&amp;"|"&amp;IF($C378="","zzz",$C378)&amp;"|"&amp;TEXT(378,"0000"))</f>
        <v/>
      </c>
      <c r="AP378" s="50" t="str">
        <f aca="false">IF($AO378="","",COUNTIF($AO$5:$AO$1004,"&lt;"&amp;$AO378)-(ROWS($AO$5:$AO$1004)-Hoje!$L$5)+1)</f>
        <v/>
      </c>
      <c r="AQ378" s="50" t="n">
        <f aca="false">IF(AND($F378&lt;&gt;"",$D378=Frota!$C$3),1,0)</f>
        <v>0</v>
      </c>
      <c r="AR378" s="50" t="str">
        <f aca="false">IF($AQ378=0,"",SUM($AQ$4:$AQ378))</f>
        <v/>
      </c>
      <c r="AS378" s="50" t="str">
        <f aca="false">IFERROR(INDEX(Hoje!$K$10:$K$29,MATCH(ROW(),Hoje!$J$10:$J$29,0)),"")</f>
        <v/>
      </c>
      <c r="AT378" s="50" t="str">
        <f aca="false">IF($Q378&lt;&gt;"",$Q378,$AS378)</f>
        <v/>
      </c>
    </row>
    <row r="379" customFormat="false" ht="16.5" hidden="false" customHeight="true" outlineLevel="0" collapsed="false">
      <c r="A379" s="39" t="str">
        <f aca="false">IF($F379="","",ROW())</f>
        <v/>
      </c>
      <c r="B379" s="40" t="str">
        <f aca="false">IF($F379="",IF($D379="","","Falta a atividade"),IF($R379="Cancelada","Cancelada",IF($AB379=1,IF(N($Z379)&gt;0,"Concluída com atraso","Concluída"),IF($R379="Em programação","Em programação",IF($O379="",IF($M379="","Na carteira","Falta a semana"),IF($AC379=1,"VENCIDA",IF($O379&gt;Hoje!$L$1,"Programada",IF($P379&gt;Hoje!$L$1,"Em execução","Fecha hoje"))))))))</f>
        <v/>
      </c>
      <c r="C379" s="41"/>
      <c r="D379" s="42"/>
      <c r="E379" s="42"/>
      <c r="F379" s="42"/>
      <c r="G379" s="43"/>
      <c r="H379" s="43"/>
      <c r="I379" s="44"/>
      <c r="J379" s="44"/>
      <c r="K379" s="44"/>
      <c r="L379" s="45"/>
      <c r="M379" s="46"/>
      <c r="N379" s="45"/>
      <c r="O379" s="47" t="str">
        <f aca="false">IF(OR($L379="",$M379=""),"",(DATE(Semana!$J$3,1,4)-WEEKDAY(DATE(Semana!$J$3,1,4),3))+($L379-1)*7+MATCH($M379,Listas!$F$5:$F$11,0)-1)</f>
        <v/>
      </c>
      <c r="P379" s="47" t="str">
        <f aca="false">IF(OR($F379="",$O379=""),"",$O379+MAX(0,ROUNDUP($AK379*MAX(1,IF($N379="",1,$N379))/MAX(1,$AL379),0)-1))</f>
        <v/>
      </c>
      <c r="Q379" s="48"/>
      <c r="R379" s="43"/>
      <c r="S379" s="49"/>
      <c r="T379" s="42"/>
      <c r="U379" s="42"/>
      <c r="V379" s="39" t="str">
        <f aca="false">IF($F379="","",IF(ISNUMBER(SEARCH("(externo)",$I379&amp;$J379&amp;$K379)),"Terceirizada","Interna"))</f>
        <v/>
      </c>
      <c r="W379" s="47" t="str">
        <f aca="false">IF($O379="","",IF($S379="",$O379,(DATE(Semana!$J$3,1,4)-WEEKDAY(DATE(Semana!$J$3,1,4),3))+($S379-1)*7+IF($M379="",0,MATCH($M379,Listas!$F$5:$F$11,0)-1)))</f>
        <v/>
      </c>
      <c r="X379" s="39" t="str">
        <f aca="false">IF($F379="","",IF(OR($AT379="",$O379=""),0,IF($AT379&lt;=$O379,1,0)))</f>
        <v/>
      </c>
      <c r="Y379" s="39" t="str">
        <f aca="false">IF($F379="","",IF(OR($AT379="",$W379=""),0,IF($AT379&lt;=$W379,1,0)))</f>
        <v/>
      </c>
      <c r="Z379" s="39" t="str">
        <f aca="false">IF(OR($AT379="",$O379=""),"",MAX(0,$AT379-$O379))</f>
        <v/>
      </c>
      <c r="AA379" s="39" t="str">
        <f aca="false">IF($F379="","",IF(AND($S379&lt;&gt;"",$L379&lt;&gt;"",$S379&lt;&gt;$L379),1,0))</f>
        <v/>
      </c>
      <c r="AB379" s="39" t="str">
        <f aca="false">IF($F379="","",IF($R379="Cancelada",0,IF(OR($AT379&lt;&gt;"",$R379="Concluída"),1,0)))</f>
        <v/>
      </c>
      <c r="AC379" s="39" t="n">
        <f aca="false">IF($P379="",0,IF($P379&lt;Hoje!$L$1,1,IF(AND($P379=Hoje!$L$1,Hoje!$L$2&gt;Semana!$M$3),1,0)))</f>
        <v>0</v>
      </c>
      <c r="AD379" s="39" t="str">
        <f aca="false">IF($F379="","",IF(COUNTA($I379:$K379)=0,0,1/COUNTA($I379:$K379)))</f>
        <v/>
      </c>
      <c r="AE379" s="39" t="str">
        <f aca="false">IF($AH379=0,"",SUM($AH$4:$AH379))</f>
        <v/>
      </c>
      <c r="AF379" s="39" t="str">
        <f aca="false">IF($AI379=0,"",SUM($AI$4:$AI379))</f>
        <v/>
      </c>
      <c r="AG379" s="50" t="str">
        <f aca="false">IF($F379="","",$I379&amp;IF($J379="",""," · "&amp;$J379)&amp;IF($K379="",""," · "&amp;$K379))</f>
        <v/>
      </c>
      <c r="AH379" s="39" t="n">
        <f aca="false">IF(AND($F379&lt;&gt;"",$O379&lt;&gt;"",$O379&lt;=Hoje!$C$3,$P379&gt;=Hoje!$C$3,$R379&lt;&gt;"Cancelada"),1,0)</f>
        <v>0</v>
      </c>
      <c r="AI379" s="39" t="n">
        <f aca="false">IF(AND($F379&lt;&gt;"",$P379&lt;&gt;"",$P379&lt;Hoje!$C$3,$AB379=0,$R379&lt;&gt;"Cancelada"),1,0)</f>
        <v>0</v>
      </c>
      <c r="AJ379" s="50" t="str">
        <f aca="false">IF($F379="","",$D379&amp;"|"&amp;$E379&amp;"|"&amp;$L379)</f>
        <v/>
      </c>
      <c r="AK379" s="39" t="str">
        <f aca="false">IF($AJ379="","",COUNTIF($AJ$4:$AJ379,$AJ379))</f>
        <v/>
      </c>
      <c r="AL379" s="39" t="str">
        <f aca="false">IF($AJ379="","",COUNTIF($AJ$4:$AJ$1004,$AJ379))</f>
        <v/>
      </c>
      <c r="AM379" s="42"/>
      <c r="AN379" s="50" t="str">
        <f aca="false">IF($D379="","",IFERROR(T(VLOOKUP($D379,Listas!$B$5:$H$120,7,0)),""))</f>
        <v/>
      </c>
      <c r="AO379" s="50" t="str">
        <f aca="false">IF(OR($F379="",$L379&lt;&gt;"",$R379="Cancelada",$AT379&lt;&gt;""),"",$AN379&amp;"|"&amp;$D379&amp;"|"&amp;IF($C379="","zzz",$C379)&amp;"|"&amp;TEXT(379,"0000"))</f>
        <v/>
      </c>
      <c r="AP379" s="50" t="str">
        <f aca="false">IF($AO379="","",COUNTIF($AO$5:$AO$1004,"&lt;"&amp;$AO379)-(ROWS($AO$5:$AO$1004)-Hoje!$L$5)+1)</f>
        <v/>
      </c>
      <c r="AQ379" s="50" t="n">
        <f aca="false">IF(AND($F379&lt;&gt;"",$D379=Frota!$C$3),1,0)</f>
        <v>0</v>
      </c>
      <c r="AR379" s="50" t="str">
        <f aca="false">IF($AQ379=0,"",SUM($AQ$4:$AQ379))</f>
        <v/>
      </c>
      <c r="AS379" s="50" t="str">
        <f aca="false">IFERROR(INDEX(Hoje!$K$10:$K$29,MATCH(ROW(),Hoje!$J$10:$J$29,0)),"")</f>
        <v/>
      </c>
      <c r="AT379" s="50" t="str">
        <f aca="false">IF($Q379&lt;&gt;"",$Q379,$AS379)</f>
        <v/>
      </c>
    </row>
    <row r="380" customFormat="false" ht="16.5" hidden="false" customHeight="true" outlineLevel="0" collapsed="false">
      <c r="A380" s="39" t="str">
        <f aca="false">IF($F380="","",ROW())</f>
        <v/>
      </c>
      <c r="B380" s="40" t="str">
        <f aca="false">IF($F380="",IF($D380="","","Falta a atividade"),IF($R380="Cancelada","Cancelada",IF($AB380=1,IF(N($Z380)&gt;0,"Concluída com atraso","Concluída"),IF($R380="Em programação","Em programação",IF($O380="",IF($M380="","Na carteira","Falta a semana"),IF($AC380=1,"VENCIDA",IF($O380&gt;Hoje!$L$1,"Programada",IF($P380&gt;Hoje!$L$1,"Em execução","Fecha hoje"))))))))</f>
        <v/>
      </c>
      <c r="C380" s="41"/>
      <c r="D380" s="42"/>
      <c r="E380" s="42"/>
      <c r="F380" s="42"/>
      <c r="G380" s="43"/>
      <c r="H380" s="43"/>
      <c r="I380" s="44"/>
      <c r="J380" s="44"/>
      <c r="K380" s="44"/>
      <c r="L380" s="45"/>
      <c r="M380" s="46"/>
      <c r="N380" s="45"/>
      <c r="O380" s="47" t="str">
        <f aca="false">IF(OR($L380="",$M380=""),"",(DATE(Semana!$J$3,1,4)-WEEKDAY(DATE(Semana!$J$3,1,4),3))+($L380-1)*7+MATCH($M380,Listas!$F$5:$F$11,0)-1)</f>
        <v/>
      </c>
      <c r="P380" s="47" t="str">
        <f aca="false">IF(OR($F380="",$O380=""),"",$O380+MAX(0,ROUNDUP($AK380*MAX(1,IF($N380="",1,$N380))/MAX(1,$AL380),0)-1))</f>
        <v/>
      </c>
      <c r="Q380" s="48"/>
      <c r="R380" s="43"/>
      <c r="S380" s="49"/>
      <c r="T380" s="42"/>
      <c r="U380" s="42"/>
      <c r="V380" s="39" t="str">
        <f aca="false">IF($F380="","",IF(ISNUMBER(SEARCH("(externo)",$I380&amp;$J380&amp;$K380)),"Terceirizada","Interna"))</f>
        <v/>
      </c>
      <c r="W380" s="47" t="str">
        <f aca="false">IF($O380="","",IF($S380="",$O380,(DATE(Semana!$J$3,1,4)-WEEKDAY(DATE(Semana!$J$3,1,4),3))+($S380-1)*7+IF($M380="",0,MATCH($M380,Listas!$F$5:$F$11,0)-1)))</f>
        <v/>
      </c>
      <c r="X380" s="39" t="str">
        <f aca="false">IF($F380="","",IF(OR($AT380="",$O380=""),0,IF($AT380&lt;=$O380,1,0)))</f>
        <v/>
      </c>
      <c r="Y380" s="39" t="str">
        <f aca="false">IF($F380="","",IF(OR($AT380="",$W380=""),0,IF($AT380&lt;=$W380,1,0)))</f>
        <v/>
      </c>
      <c r="Z380" s="39" t="str">
        <f aca="false">IF(OR($AT380="",$O380=""),"",MAX(0,$AT380-$O380))</f>
        <v/>
      </c>
      <c r="AA380" s="39" t="str">
        <f aca="false">IF($F380="","",IF(AND($S380&lt;&gt;"",$L380&lt;&gt;"",$S380&lt;&gt;$L380),1,0))</f>
        <v/>
      </c>
      <c r="AB380" s="39" t="str">
        <f aca="false">IF($F380="","",IF($R380="Cancelada",0,IF(OR($AT380&lt;&gt;"",$R380="Concluída"),1,0)))</f>
        <v/>
      </c>
      <c r="AC380" s="39" t="n">
        <f aca="false">IF($P380="",0,IF($P380&lt;Hoje!$L$1,1,IF(AND($P380=Hoje!$L$1,Hoje!$L$2&gt;Semana!$M$3),1,0)))</f>
        <v>0</v>
      </c>
      <c r="AD380" s="39" t="str">
        <f aca="false">IF($F380="","",IF(COUNTA($I380:$K380)=0,0,1/COUNTA($I380:$K380)))</f>
        <v/>
      </c>
      <c r="AE380" s="39" t="str">
        <f aca="false">IF($AH380=0,"",SUM($AH$4:$AH380))</f>
        <v/>
      </c>
      <c r="AF380" s="39" t="str">
        <f aca="false">IF($AI380=0,"",SUM($AI$4:$AI380))</f>
        <v/>
      </c>
      <c r="AG380" s="50" t="str">
        <f aca="false">IF($F380="","",$I380&amp;IF($J380="",""," · "&amp;$J380)&amp;IF($K380="",""," · "&amp;$K380))</f>
        <v/>
      </c>
      <c r="AH380" s="39" t="n">
        <f aca="false">IF(AND($F380&lt;&gt;"",$O380&lt;&gt;"",$O380&lt;=Hoje!$C$3,$P380&gt;=Hoje!$C$3,$R380&lt;&gt;"Cancelada"),1,0)</f>
        <v>0</v>
      </c>
      <c r="AI380" s="39" t="n">
        <f aca="false">IF(AND($F380&lt;&gt;"",$P380&lt;&gt;"",$P380&lt;Hoje!$C$3,$AB380=0,$R380&lt;&gt;"Cancelada"),1,0)</f>
        <v>0</v>
      </c>
      <c r="AJ380" s="50" t="str">
        <f aca="false">IF($F380="","",$D380&amp;"|"&amp;$E380&amp;"|"&amp;$L380)</f>
        <v/>
      </c>
      <c r="AK380" s="39" t="str">
        <f aca="false">IF($AJ380="","",COUNTIF($AJ$4:$AJ380,$AJ380))</f>
        <v/>
      </c>
      <c r="AL380" s="39" t="str">
        <f aca="false">IF($AJ380="","",COUNTIF($AJ$4:$AJ$1004,$AJ380))</f>
        <v/>
      </c>
      <c r="AM380" s="42"/>
      <c r="AN380" s="50" t="str">
        <f aca="false">IF($D380="","",IFERROR(T(VLOOKUP($D380,Listas!$B$5:$H$120,7,0)),""))</f>
        <v/>
      </c>
      <c r="AO380" s="50" t="str">
        <f aca="false">IF(OR($F380="",$L380&lt;&gt;"",$R380="Cancelada",$AT380&lt;&gt;""),"",$AN380&amp;"|"&amp;$D380&amp;"|"&amp;IF($C380="","zzz",$C380)&amp;"|"&amp;TEXT(380,"0000"))</f>
        <v/>
      </c>
      <c r="AP380" s="50" t="str">
        <f aca="false">IF($AO380="","",COUNTIF($AO$5:$AO$1004,"&lt;"&amp;$AO380)-(ROWS($AO$5:$AO$1004)-Hoje!$L$5)+1)</f>
        <v/>
      </c>
      <c r="AQ380" s="50" t="n">
        <f aca="false">IF(AND($F380&lt;&gt;"",$D380=Frota!$C$3),1,0)</f>
        <v>0</v>
      </c>
      <c r="AR380" s="50" t="str">
        <f aca="false">IF($AQ380=0,"",SUM($AQ$4:$AQ380))</f>
        <v/>
      </c>
      <c r="AS380" s="50" t="str">
        <f aca="false">IFERROR(INDEX(Hoje!$K$10:$K$29,MATCH(ROW(),Hoje!$J$10:$J$29,0)),"")</f>
        <v/>
      </c>
      <c r="AT380" s="50" t="str">
        <f aca="false">IF($Q380&lt;&gt;"",$Q380,$AS380)</f>
        <v/>
      </c>
    </row>
    <row r="381" customFormat="false" ht="16.5" hidden="false" customHeight="true" outlineLevel="0" collapsed="false">
      <c r="A381" s="39" t="str">
        <f aca="false">IF($F381="","",ROW())</f>
        <v/>
      </c>
      <c r="B381" s="40" t="str">
        <f aca="false">IF($F381="",IF($D381="","","Falta a atividade"),IF($R381="Cancelada","Cancelada",IF($AB381=1,IF(N($Z381)&gt;0,"Concluída com atraso","Concluída"),IF($R381="Em programação","Em programação",IF($O381="",IF($M381="","Na carteira","Falta a semana"),IF($AC381=1,"VENCIDA",IF($O381&gt;Hoje!$L$1,"Programada",IF($P381&gt;Hoje!$L$1,"Em execução","Fecha hoje"))))))))</f>
        <v/>
      </c>
      <c r="C381" s="41"/>
      <c r="D381" s="42"/>
      <c r="E381" s="42"/>
      <c r="F381" s="42"/>
      <c r="G381" s="43"/>
      <c r="H381" s="43"/>
      <c r="I381" s="44"/>
      <c r="J381" s="44"/>
      <c r="K381" s="44"/>
      <c r="L381" s="45"/>
      <c r="M381" s="46"/>
      <c r="N381" s="45"/>
      <c r="O381" s="47" t="str">
        <f aca="false">IF(OR($L381="",$M381=""),"",(DATE(Semana!$J$3,1,4)-WEEKDAY(DATE(Semana!$J$3,1,4),3))+($L381-1)*7+MATCH($M381,Listas!$F$5:$F$11,0)-1)</f>
        <v/>
      </c>
      <c r="P381" s="47" t="str">
        <f aca="false">IF(OR($F381="",$O381=""),"",$O381+MAX(0,ROUNDUP($AK381*MAX(1,IF($N381="",1,$N381))/MAX(1,$AL381),0)-1))</f>
        <v/>
      </c>
      <c r="Q381" s="48"/>
      <c r="R381" s="43"/>
      <c r="S381" s="49"/>
      <c r="T381" s="42"/>
      <c r="U381" s="42"/>
      <c r="V381" s="39" t="str">
        <f aca="false">IF($F381="","",IF(ISNUMBER(SEARCH("(externo)",$I381&amp;$J381&amp;$K381)),"Terceirizada","Interna"))</f>
        <v/>
      </c>
      <c r="W381" s="47" t="str">
        <f aca="false">IF($O381="","",IF($S381="",$O381,(DATE(Semana!$J$3,1,4)-WEEKDAY(DATE(Semana!$J$3,1,4),3))+($S381-1)*7+IF($M381="",0,MATCH($M381,Listas!$F$5:$F$11,0)-1)))</f>
        <v/>
      </c>
      <c r="X381" s="39" t="str">
        <f aca="false">IF($F381="","",IF(OR($AT381="",$O381=""),0,IF($AT381&lt;=$O381,1,0)))</f>
        <v/>
      </c>
      <c r="Y381" s="39" t="str">
        <f aca="false">IF($F381="","",IF(OR($AT381="",$W381=""),0,IF($AT381&lt;=$W381,1,0)))</f>
        <v/>
      </c>
      <c r="Z381" s="39" t="str">
        <f aca="false">IF(OR($AT381="",$O381=""),"",MAX(0,$AT381-$O381))</f>
        <v/>
      </c>
      <c r="AA381" s="39" t="str">
        <f aca="false">IF($F381="","",IF(AND($S381&lt;&gt;"",$L381&lt;&gt;"",$S381&lt;&gt;$L381),1,0))</f>
        <v/>
      </c>
      <c r="AB381" s="39" t="str">
        <f aca="false">IF($F381="","",IF($R381="Cancelada",0,IF(OR($AT381&lt;&gt;"",$R381="Concluída"),1,0)))</f>
        <v/>
      </c>
      <c r="AC381" s="39" t="n">
        <f aca="false">IF($P381="",0,IF($P381&lt;Hoje!$L$1,1,IF(AND($P381=Hoje!$L$1,Hoje!$L$2&gt;Semana!$M$3),1,0)))</f>
        <v>0</v>
      </c>
      <c r="AD381" s="39" t="str">
        <f aca="false">IF($F381="","",IF(COUNTA($I381:$K381)=0,0,1/COUNTA($I381:$K381)))</f>
        <v/>
      </c>
      <c r="AE381" s="39" t="str">
        <f aca="false">IF($AH381=0,"",SUM($AH$4:$AH381))</f>
        <v/>
      </c>
      <c r="AF381" s="39" t="str">
        <f aca="false">IF($AI381=0,"",SUM($AI$4:$AI381))</f>
        <v/>
      </c>
      <c r="AG381" s="50" t="str">
        <f aca="false">IF($F381="","",$I381&amp;IF($J381="",""," · "&amp;$J381)&amp;IF($K381="",""," · "&amp;$K381))</f>
        <v/>
      </c>
      <c r="AH381" s="39" t="n">
        <f aca="false">IF(AND($F381&lt;&gt;"",$O381&lt;&gt;"",$O381&lt;=Hoje!$C$3,$P381&gt;=Hoje!$C$3,$R381&lt;&gt;"Cancelada"),1,0)</f>
        <v>0</v>
      </c>
      <c r="AI381" s="39" t="n">
        <f aca="false">IF(AND($F381&lt;&gt;"",$P381&lt;&gt;"",$P381&lt;Hoje!$C$3,$AB381=0,$R381&lt;&gt;"Cancelada"),1,0)</f>
        <v>0</v>
      </c>
      <c r="AJ381" s="50" t="str">
        <f aca="false">IF($F381="","",$D381&amp;"|"&amp;$E381&amp;"|"&amp;$L381)</f>
        <v/>
      </c>
      <c r="AK381" s="39" t="str">
        <f aca="false">IF($AJ381="","",COUNTIF($AJ$4:$AJ381,$AJ381))</f>
        <v/>
      </c>
      <c r="AL381" s="39" t="str">
        <f aca="false">IF($AJ381="","",COUNTIF($AJ$4:$AJ$1004,$AJ381))</f>
        <v/>
      </c>
      <c r="AM381" s="42"/>
      <c r="AN381" s="50" t="str">
        <f aca="false">IF($D381="","",IFERROR(T(VLOOKUP($D381,Listas!$B$5:$H$120,7,0)),""))</f>
        <v/>
      </c>
      <c r="AO381" s="50" t="str">
        <f aca="false">IF(OR($F381="",$L381&lt;&gt;"",$R381="Cancelada",$AT381&lt;&gt;""),"",$AN381&amp;"|"&amp;$D381&amp;"|"&amp;IF($C381="","zzz",$C381)&amp;"|"&amp;TEXT(381,"0000"))</f>
        <v/>
      </c>
      <c r="AP381" s="50" t="str">
        <f aca="false">IF($AO381="","",COUNTIF($AO$5:$AO$1004,"&lt;"&amp;$AO381)-(ROWS($AO$5:$AO$1004)-Hoje!$L$5)+1)</f>
        <v/>
      </c>
      <c r="AQ381" s="50" t="n">
        <f aca="false">IF(AND($F381&lt;&gt;"",$D381=Frota!$C$3),1,0)</f>
        <v>0</v>
      </c>
      <c r="AR381" s="50" t="str">
        <f aca="false">IF($AQ381=0,"",SUM($AQ$4:$AQ381))</f>
        <v/>
      </c>
      <c r="AS381" s="50" t="str">
        <f aca="false">IFERROR(INDEX(Hoje!$K$10:$K$29,MATCH(ROW(),Hoje!$J$10:$J$29,0)),"")</f>
        <v/>
      </c>
      <c r="AT381" s="50" t="str">
        <f aca="false">IF($Q381&lt;&gt;"",$Q381,$AS381)</f>
        <v/>
      </c>
    </row>
    <row r="382" customFormat="false" ht="16.5" hidden="false" customHeight="true" outlineLevel="0" collapsed="false">
      <c r="A382" s="39" t="str">
        <f aca="false">IF($F382="","",ROW())</f>
        <v/>
      </c>
      <c r="B382" s="40" t="str">
        <f aca="false">IF($F382="",IF($D382="","","Falta a atividade"),IF($R382="Cancelada","Cancelada",IF($AB382=1,IF(N($Z382)&gt;0,"Concluída com atraso","Concluída"),IF($R382="Em programação","Em programação",IF($O382="",IF($M382="","Na carteira","Falta a semana"),IF($AC382=1,"VENCIDA",IF($O382&gt;Hoje!$L$1,"Programada",IF($P382&gt;Hoje!$L$1,"Em execução","Fecha hoje"))))))))</f>
        <v/>
      </c>
      <c r="C382" s="41"/>
      <c r="D382" s="42"/>
      <c r="E382" s="42"/>
      <c r="F382" s="42"/>
      <c r="G382" s="43"/>
      <c r="H382" s="43"/>
      <c r="I382" s="44"/>
      <c r="J382" s="44"/>
      <c r="K382" s="44"/>
      <c r="L382" s="45"/>
      <c r="M382" s="46"/>
      <c r="N382" s="45"/>
      <c r="O382" s="47" t="str">
        <f aca="false">IF(OR($L382="",$M382=""),"",(DATE(Semana!$J$3,1,4)-WEEKDAY(DATE(Semana!$J$3,1,4),3))+($L382-1)*7+MATCH($M382,Listas!$F$5:$F$11,0)-1)</f>
        <v/>
      </c>
      <c r="P382" s="47" t="str">
        <f aca="false">IF(OR($F382="",$O382=""),"",$O382+MAX(0,ROUNDUP($AK382*MAX(1,IF($N382="",1,$N382))/MAX(1,$AL382),0)-1))</f>
        <v/>
      </c>
      <c r="Q382" s="48"/>
      <c r="R382" s="43"/>
      <c r="S382" s="49"/>
      <c r="T382" s="42"/>
      <c r="U382" s="42"/>
      <c r="V382" s="39" t="str">
        <f aca="false">IF($F382="","",IF(ISNUMBER(SEARCH("(externo)",$I382&amp;$J382&amp;$K382)),"Terceirizada","Interna"))</f>
        <v/>
      </c>
      <c r="W382" s="47" t="str">
        <f aca="false">IF($O382="","",IF($S382="",$O382,(DATE(Semana!$J$3,1,4)-WEEKDAY(DATE(Semana!$J$3,1,4),3))+($S382-1)*7+IF($M382="",0,MATCH($M382,Listas!$F$5:$F$11,0)-1)))</f>
        <v/>
      </c>
      <c r="X382" s="39" t="str">
        <f aca="false">IF($F382="","",IF(OR($AT382="",$O382=""),0,IF($AT382&lt;=$O382,1,0)))</f>
        <v/>
      </c>
      <c r="Y382" s="39" t="str">
        <f aca="false">IF($F382="","",IF(OR($AT382="",$W382=""),0,IF($AT382&lt;=$W382,1,0)))</f>
        <v/>
      </c>
      <c r="Z382" s="39" t="str">
        <f aca="false">IF(OR($AT382="",$O382=""),"",MAX(0,$AT382-$O382))</f>
        <v/>
      </c>
      <c r="AA382" s="39" t="str">
        <f aca="false">IF($F382="","",IF(AND($S382&lt;&gt;"",$L382&lt;&gt;"",$S382&lt;&gt;$L382),1,0))</f>
        <v/>
      </c>
      <c r="AB382" s="39" t="str">
        <f aca="false">IF($F382="","",IF($R382="Cancelada",0,IF(OR($AT382&lt;&gt;"",$R382="Concluída"),1,0)))</f>
        <v/>
      </c>
      <c r="AC382" s="39" t="n">
        <f aca="false">IF($P382="",0,IF($P382&lt;Hoje!$L$1,1,IF(AND($P382=Hoje!$L$1,Hoje!$L$2&gt;Semana!$M$3),1,0)))</f>
        <v>0</v>
      </c>
      <c r="AD382" s="39" t="str">
        <f aca="false">IF($F382="","",IF(COUNTA($I382:$K382)=0,0,1/COUNTA($I382:$K382)))</f>
        <v/>
      </c>
      <c r="AE382" s="39" t="str">
        <f aca="false">IF($AH382=0,"",SUM($AH$4:$AH382))</f>
        <v/>
      </c>
      <c r="AF382" s="39" t="str">
        <f aca="false">IF($AI382=0,"",SUM($AI$4:$AI382))</f>
        <v/>
      </c>
      <c r="AG382" s="50" t="str">
        <f aca="false">IF($F382="","",$I382&amp;IF($J382="",""," · "&amp;$J382)&amp;IF($K382="",""," · "&amp;$K382))</f>
        <v/>
      </c>
      <c r="AH382" s="39" t="n">
        <f aca="false">IF(AND($F382&lt;&gt;"",$O382&lt;&gt;"",$O382&lt;=Hoje!$C$3,$P382&gt;=Hoje!$C$3,$R382&lt;&gt;"Cancelada"),1,0)</f>
        <v>0</v>
      </c>
      <c r="AI382" s="39" t="n">
        <f aca="false">IF(AND($F382&lt;&gt;"",$P382&lt;&gt;"",$P382&lt;Hoje!$C$3,$AB382=0,$R382&lt;&gt;"Cancelada"),1,0)</f>
        <v>0</v>
      </c>
      <c r="AJ382" s="50" t="str">
        <f aca="false">IF($F382="","",$D382&amp;"|"&amp;$E382&amp;"|"&amp;$L382)</f>
        <v/>
      </c>
      <c r="AK382" s="39" t="str">
        <f aca="false">IF($AJ382="","",COUNTIF($AJ$4:$AJ382,$AJ382))</f>
        <v/>
      </c>
      <c r="AL382" s="39" t="str">
        <f aca="false">IF($AJ382="","",COUNTIF($AJ$4:$AJ$1004,$AJ382))</f>
        <v/>
      </c>
      <c r="AM382" s="42"/>
      <c r="AN382" s="50" t="str">
        <f aca="false">IF($D382="","",IFERROR(T(VLOOKUP($D382,Listas!$B$5:$H$120,7,0)),""))</f>
        <v/>
      </c>
      <c r="AO382" s="50" t="str">
        <f aca="false">IF(OR($F382="",$L382&lt;&gt;"",$R382="Cancelada",$AT382&lt;&gt;""),"",$AN382&amp;"|"&amp;$D382&amp;"|"&amp;IF($C382="","zzz",$C382)&amp;"|"&amp;TEXT(382,"0000"))</f>
        <v/>
      </c>
      <c r="AP382" s="50" t="str">
        <f aca="false">IF($AO382="","",COUNTIF($AO$5:$AO$1004,"&lt;"&amp;$AO382)-(ROWS($AO$5:$AO$1004)-Hoje!$L$5)+1)</f>
        <v/>
      </c>
      <c r="AQ382" s="50" t="n">
        <f aca="false">IF(AND($F382&lt;&gt;"",$D382=Frota!$C$3),1,0)</f>
        <v>0</v>
      </c>
      <c r="AR382" s="50" t="str">
        <f aca="false">IF($AQ382=0,"",SUM($AQ$4:$AQ382))</f>
        <v/>
      </c>
      <c r="AS382" s="50" t="str">
        <f aca="false">IFERROR(INDEX(Hoje!$K$10:$K$29,MATCH(ROW(),Hoje!$J$10:$J$29,0)),"")</f>
        <v/>
      </c>
      <c r="AT382" s="50" t="str">
        <f aca="false">IF($Q382&lt;&gt;"",$Q382,$AS382)</f>
        <v/>
      </c>
    </row>
    <row r="383" customFormat="false" ht="16.5" hidden="false" customHeight="true" outlineLevel="0" collapsed="false">
      <c r="A383" s="39" t="str">
        <f aca="false">IF($F383="","",ROW())</f>
        <v/>
      </c>
      <c r="B383" s="40" t="str">
        <f aca="false">IF($F383="",IF($D383="","","Falta a atividade"),IF($R383="Cancelada","Cancelada",IF($AB383=1,IF(N($Z383)&gt;0,"Concluída com atraso","Concluída"),IF($R383="Em programação","Em programação",IF($O383="",IF($M383="","Na carteira","Falta a semana"),IF($AC383=1,"VENCIDA",IF($O383&gt;Hoje!$L$1,"Programada",IF($P383&gt;Hoje!$L$1,"Em execução","Fecha hoje"))))))))</f>
        <v/>
      </c>
      <c r="C383" s="41"/>
      <c r="D383" s="42"/>
      <c r="E383" s="42"/>
      <c r="F383" s="42"/>
      <c r="G383" s="43"/>
      <c r="H383" s="43"/>
      <c r="I383" s="44"/>
      <c r="J383" s="44"/>
      <c r="K383" s="44"/>
      <c r="L383" s="45"/>
      <c r="M383" s="46"/>
      <c r="N383" s="45"/>
      <c r="O383" s="47" t="str">
        <f aca="false">IF(OR($L383="",$M383=""),"",(DATE(Semana!$J$3,1,4)-WEEKDAY(DATE(Semana!$J$3,1,4),3))+($L383-1)*7+MATCH($M383,Listas!$F$5:$F$11,0)-1)</f>
        <v/>
      </c>
      <c r="P383" s="47" t="str">
        <f aca="false">IF(OR($F383="",$O383=""),"",$O383+MAX(0,ROUNDUP($AK383*MAX(1,IF($N383="",1,$N383))/MAX(1,$AL383),0)-1))</f>
        <v/>
      </c>
      <c r="Q383" s="48"/>
      <c r="R383" s="43"/>
      <c r="S383" s="49"/>
      <c r="T383" s="42"/>
      <c r="U383" s="42"/>
      <c r="V383" s="39" t="str">
        <f aca="false">IF($F383="","",IF(ISNUMBER(SEARCH("(externo)",$I383&amp;$J383&amp;$K383)),"Terceirizada","Interna"))</f>
        <v/>
      </c>
      <c r="W383" s="47" t="str">
        <f aca="false">IF($O383="","",IF($S383="",$O383,(DATE(Semana!$J$3,1,4)-WEEKDAY(DATE(Semana!$J$3,1,4),3))+($S383-1)*7+IF($M383="",0,MATCH($M383,Listas!$F$5:$F$11,0)-1)))</f>
        <v/>
      </c>
      <c r="X383" s="39" t="str">
        <f aca="false">IF($F383="","",IF(OR($AT383="",$O383=""),0,IF($AT383&lt;=$O383,1,0)))</f>
        <v/>
      </c>
      <c r="Y383" s="39" t="str">
        <f aca="false">IF($F383="","",IF(OR($AT383="",$W383=""),0,IF($AT383&lt;=$W383,1,0)))</f>
        <v/>
      </c>
      <c r="Z383" s="39" t="str">
        <f aca="false">IF(OR($AT383="",$O383=""),"",MAX(0,$AT383-$O383))</f>
        <v/>
      </c>
      <c r="AA383" s="39" t="str">
        <f aca="false">IF($F383="","",IF(AND($S383&lt;&gt;"",$L383&lt;&gt;"",$S383&lt;&gt;$L383),1,0))</f>
        <v/>
      </c>
      <c r="AB383" s="39" t="str">
        <f aca="false">IF($F383="","",IF($R383="Cancelada",0,IF(OR($AT383&lt;&gt;"",$R383="Concluída"),1,0)))</f>
        <v/>
      </c>
      <c r="AC383" s="39" t="n">
        <f aca="false">IF($P383="",0,IF($P383&lt;Hoje!$L$1,1,IF(AND($P383=Hoje!$L$1,Hoje!$L$2&gt;Semana!$M$3),1,0)))</f>
        <v>0</v>
      </c>
      <c r="AD383" s="39" t="str">
        <f aca="false">IF($F383="","",IF(COUNTA($I383:$K383)=0,0,1/COUNTA($I383:$K383)))</f>
        <v/>
      </c>
      <c r="AE383" s="39" t="str">
        <f aca="false">IF($AH383=0,"",SUM($AH$4:$AH383))</f>
        <v/>
      </c>
      <c r="AF383" s="39" t="str">
        <f aca="false">IF($AI383=0,"",SUM($AI$4:$AI383))</f>
        <v/>
      </c>
      <c r="AG383" s="50" t="str">
        <f aca="false">IF($F383="","",$I383&amp;IF($J383="",""," · "&amp;$J383)&amp;IF($K383="",""," · "&amp;$K383))</f>
        <v/>
      </c>
      <c r="AH383" s="39" t="n">
        <f aca="false">IF(AND($F383&lt;&gt;"",$O383&lt;&gt;"",$O383&lt;=Hoje!$C$3,$P383&gt;=Hoje!$C$3,$R383&lt;&gt;"Cancelada"),1,0)</f>
        <v>0</v>
      </c>
      <c r="AI383" s="39" t="n">
        <f aca="false">IF(AND($F383&lt;&gt;"",$P383&lt;&gt;"",$P383&lt;Hoje!$C$3,$AB383=0,$R383&lt;&gt;"Cancelada"),1,0)</f>
        <v>0</v>
      </c>
      <c r="AJ383" s="50" t="str">
        <f aca="false">IF($F383="","",$D383&amp;"|"&amp;$E383&amp;"|"&amp;$L383)</f>
        <v/>
      </c>
      <c r="AK383" s="39" t="str">
        <f aca="false">IF($AJ383="","",COUNTIF($AJ$4:$AJ383,$AJ383))</f>
        <v/>
      </c>
      <c r="AL383" s="39" t="str">
        <f aca="false">IF($AJ383="","",COUNTIF($AJ$4:$AJ$1004,$AJ383))</f>
        <v/>
      </c>
      <c r="AM383" s="42"/>
      <c r="AN383" s="50" t="str">
        <f aca="false">IF($D383="","",IFERROR(T(VLOOKUP($D383,Listas!$B$5:$H$120,7,0)),""))</f>
        <v/>
      </c>
      <c r="AO383" s="50" t="str">
        <f aca="false">IF(OR($F383="",$L383&lt;&gt;"",$R383="Cancelada",$AT383&lt;&gt;""),"",$AN383&amp;"|"&amp;$D383&amp;"|"&amp;IF($C383="","zzz",$C383)&amp;"|"&amp;TEXT(383,"0000"))</f>
        <v/>
      </c>
      <c r="AP383" s="50" t="str">
        <f aca="false">IF($AO383="","",COUNTIF($AO$5:$AO$1004,"&lt;"&amp;$AO383)-(ROWS($AO$5:$AO$1004)-Hoje!$L$5)+1)</f>
        <v/>
      </c>
      <c r="AQ383" s="50" t="n">
        <f aca="false">IF(AND($F383&lt;&gt;"",$D383=Frota!$C$3),1,0)</f>
        <v>0</v>
      </c>
      <c r="AR383" s="50" t="str">
        <f aca="false">IF($AQ383=0,"",SUM($AQ$4:$AQ383))</f>
        <v/>
      </c>
      <c r="AS383" s="50" t="str">
        <f aca="false">IFERROR(INDEX(Hoje!$K$10:$K$29,MATCH(ROW(),Hoje!$J$10:$J$29,0)),"")</f>
        <v/>
      </c>
      <c r="AT383" s="50" t="str">
        <f aca="false">IF($Q383&lt;&gt;"",$Q383,$AS383)</f>
        <v/>
      </c>
    </row>
    <row r="384" customFormat="false" ht="16.5" hidden="false" customHeight="true" outlineLevel="0" collapsed="false">
      <c r="A384" s="39" t="str">
        <f aca="false">IF($F384="","",ROW())</f>
        <v/>
      </c>
      <c r="B384" s="40" t="str">
        <f aca="false">IF($F384="",IF($D384="","","Falta a atividade"),IF($R384="Cancelada","Cancelada",IF($AB384=1,IF(N($Z384)&gt;0,"Concluída com atraso","Concluída"),IF($R384="Em programação","Em programação",IF($O384="",IF($M384="","Na carteira","Falta a semana"),IF($AC384=1,"VENCIDA",IF($O384&gt;Hoje!$L$1,"Programada",IF($P384&gt;Hoje!$L$1,"Em execução","Fecha hoje"))))))))</f>
        <v/>
      </c>
      <c r="C384" s="41"/>
      <c r="D384" s="42"/>
      <c r="E384" s="42"/>
      <c r="F384" s="42"/>
      <c r="G384" s="43"/>
      <c r="H384" s="43"/>
      <c r="I384" s="44"/>
      <c r="J384" s="44"/>
      <c r="K384" s="44"/>
      <c r="L384" s="45"/>
      <c r="M384" s="46"/>
      <c r="N384" s="45"/>
      <c r="O384" s="47" t="str">
        <f aca="false">IF(OR($L384="",$M384=""),"",(DATE(Semana!$J$3,1,4)-WEEKDAY(DATE(Semana!$J$3,1,4),3))+($L384-1)*7+MATCH($M384,Listas!$F$5:$F$11,0)-1)</f>
        <v/>
      </c>
      <c r="P384" s="47" t="str">
        <f aca="false">IF(OR($F384="",$O384=""),"",$O384+MAX(0,ROUNDUP($AK384*MAX(1,IF($N384="",1,$N384))/MAX(1,$AL384),0)-1))</f>
        <v/>
      </c>
      <c r="Q384" s="48"/>
      <c r="R384" s="43"/>
      <c r="S384" s="49"/>
      <c r="T384" s="42"/>
      <c r="U384" s="42"/>
      <c r="V384" s="39" t="str">
        <f aca="false">IF($F384="","",IF(ISNUMBER(SEARCH("(externo)",$I384&amp;$J384&amp;$K384)),"Terceirizada","Interna"))</f>
        <v/>
      </c>
      <c r="W384" s="47" t="str">
        <f aca="false">IF($O384="","",IF($S384="",$O384,(DATE(Semana!$J$3,1,4)-WEEKDAY(DATE(Semana!$J$3,1,4),3))+($S384-1)*7+IF($M384="",0,MATCH($M384,Listas!$F$5:$F$11,0)-1)))</f>
        <v/>
      </c>
      <c r="X384" s="39" t="str">
        <f aca="false">IF($F384="","",IF(OR($AT384="",$O384=""),0,IF($AT384&lt;=$O384,1,0)))</f>
        <v/>
      </c>
      <c r="Y384" s="39" t="str">
        <f aca="false">IF($F384="","",IF(OR($AT384="",$W384=""),0,IF($AT384&lt;=$W384,1,0)))</f>
        <v/>
      </c>
      <c r="Z384" s="39" t="str">
        <f aca="false">IF(OR($AT384="",$O384=""),"",MAX(0,$AT384-$O384))</f>
        <v/>
      </c>
      <c r="AA384" s="39" t="str">
        <f aca="false">IF($F384="","",IF(AND($S384&lt;&gt;"",$L384&lt;&gt;"",$S384&lt;&gt;$L384),1,0))</f>
        <v/>
      </c>
      <c r="AB384" s="39" t="str">
        <f aca="false">IF($F384="","",IF($R384="Cancelada",0,IF(OR($AT384&lt;&gt;"",$R384="Concluída"),1,0)))</f>
        <v/>
      </c>
      <c r="AC384" s="39" t="n">
        <f aca="false">IF($P384="",0,IF($P384&lt;Hoje!$L$1,1,IF(AND($P384=Hoje!$L$1,Hoje!$L$2&gt;Semana!$M$3),1,0)))</f>
        <v>0</v>
      </c>
      <c r="AD384" s="39" t="str">
        <f aca="false">IF($F384="","",IF(COUNTA($I384:$K384)=0,0,1/COUNTA($I384:$K384)))</f>
        <v/>
      </c>
      <c r="AE384" s="39" t="str">
        <f aca="false">IF($AH384=0,"",SUM($AH$4:$AH384))</f>
        <v/>
      </c>
      <c r="AF384" s="39" t="str">
        <f aca="false">IF($AI384=0,"",SUM($AI$4:$AI384))</f>
        <v/>
      </c>
      <c r="AG384" s="50" t="str">
        <f aca="false">IF($F384="","",$I384&amp;IF($J384="",""," · "&amp;$J384)&amp;IF($K384="",""," · "&amp;$K384))</f>
        <v/>
      </c>
      <c r="AH384" s="39" t="n">
        <f aca="false">IF(AND($F384&lt;&gt;"",$O384&lt;&gt;"",$O384&lt;=Hoje!$C$3,$P384&gt;=Hoje!$C$3,$R384&lt;&gt;"Cancelada"),1,0)</f>
        <v>0</v>
      </c>
      <c r="AI384" s="39" t="n">
        <f aca="false">IF(AND($F384&lt;&gt;"",$P384&lt;&gt;"",$P384&lt;Hoje!$C$3,$AB384=0,$R384&lt;&gt;"Cancelada"),1,0)</f>
        <v>0</v>
      </c>
      <c r="AJ384" s="50" t="str">
        <f aca="false">IF($F384="","",$D384&amp;"|"&amp;$E384&amp;"|"&amp;$L384)</f>
        <v/>
      </c>
      <c r="AK384" s="39" t="str">
        <f aca="false">IF($AJ384="","",COUNTIF($AJ$4:$AJ384,$AJ384))</f>
        <v/>
      </c>
      <c r="AL384" s="39" t="str">
        <f aca="false">IF($AJ384="","",COUNTIF($AJ$4:$AJ$1004,$AJ384))</f>
        <v/>
      </c>
      <c r="AM384" s="42"/>
      <c r="AN384" s="50" t="str">
        <f aca="false">IF($D384="","",IFERROR(T(VLOOKUP($D384,Listas!$B$5:$H$120,7,0)),""))</f>
        <v/>
      </c>
      <c r="AO384" s="50" t="str">
        <f aca="false">IF(OR($F384="",$L384&lt;&gt;"",$R384="Cancelada",$AT384&lt;&gt;""),"",$AN384&amp;"|"&amp;$D384&amp;"|"&amp;IF($C384="","zzz",$C384)&amp;"|"&amp;TEXT(384,"0000"))</f>
        <v/>
      </c>
      <c r="AP384" s="50" t="str">
        <f aca="false">IF($AO384="","",COUNTIF($AO$5:$AO$1004,"&lt;"&amp;$AO384)-(ROWS($AO$5:$AO$1004)-Hoje!$L$5)+1)</f>
        <v/>
      </c>
      <c r="AQ384" s="50" t="n">
        <f aca="false">IF(AND($F384&lt;&gt;"",$D384=Frota!$C$3),1,0)</f>
        <v>0</v>
      </c>
      <c r="AR384" s="50" t="str">
        <f aca="false">IF($AQ384=0,"",SUM($AQ$4:$AQ384))</f>
        <v/>
      </c>
      <c r="AS384" s="50" t="str">
        <f aca="false">IFERROR(INDEX(Hoje!$K$10:$K$29,MATCH(ROW(),Hoje!$J$10:$J$29,0)),"")</f>
        <v/>
      </c>
      <c r="AT384" s="50" t="str">
        <f aca="false">IF($Q384&lt;&gt;"",$Q384,$AS384)</f>
        <v/>
      </c>
    </row>
    <row r="385" customFormat="false" ht="16.5" hidden="false" customHeight="true" outlineLevel="0" collapsed="false">
      <c r="A385" s="39" t="str">
        <f aca="false">IF($F385="","",ROW())</f>
        <v/>
      </c>
      <c r="B385" s="40" t="str">
        <f aca="false">IF($F385="",IF($D385="","","Falta a atividade"),IF($R385="Cancelada","Cancelada",IF($AB385=1,IF(N($Z385)&gt;0,"Concluída com atraso","Concluída"),IF($R385="Em programação","Em programação",IF($O385="",IF($M385="","Na carteira","Falta a semana"),IF($AC385=1,"VENCIDA",IF($O385&gt;Hoje!$L$1,"Programada",IF($P385&gt;Hoje!$L$1,"Em execução","Fecha hoje"))))))))</f>
        <v/>
      </c>
      <c r="C385" s="41"/>
      <c r="D385" s="42"/>
      <c r="E385" s="42"/>
      <c r="F385" s="42"/>
      <c r="G385" s="43"/>
      <c r="H385" s="43"/>
      <c r="I385" s="44"/>
      <c r="J385" s="44"/>
      <c r="K385" s="44"/>
      <c r="L385" s="45"/>
      <c r="M385" s="46"/>
      <c r="N385" s="45"/>
      <c r="O385" s="47" t="str">
        <f aca="false">IF(OR($L385="",$M385=""),"",(DATE(Semana!$J$3,1,4)-WEEKDAY(DATE(Semana!$J$3,1,4),3))+($L385-1)*7+MATCH($M385,Listas!$F$5:$F$11,0)-1)</f>
        <v/>
      </c>
      <c r="P385" s="47" t="str">
        <f aca="false">IF(OR($F385="",$O385=""),"",$O385+MAX(0,ROUNDUP($AK385*MAX(1,IF($N385="",1,$N385))/MAX(1,$AL385),0)-1))</f>
        <v/>
      </c>
      <c r="Q385" s="48"/>
      <c r="R385" s="43"/>
      <c r="S385" s="49"/>
      <c r="T385" s="42"/>
      <c r="U385" s="42"/>
      <c r="V385" s="39" t="str">
        <f aca="false">IF($F385="","",IF(ISNUMBER(SEARCH("(externo)",$I385&amp;$J385&amp;$K385)),"Terceirizada","Interna"))</f>
        <v/>
      </c>
      <c r="W385" s="47" t="str">
        <f aca="false">IF($O385="","",IF($S385="",$O385,(DATE(Semana!$J$3,1,4)-WEEKDAY(DATE(Semana!$J$3,1,4),3))+($S385-1)*7+IF($M385="",0,MATCH($M385,Listas!$F$5:$F$11,0)-1)))</f>
        <v/>
      </c>
      <c r="X385" s="39" t="str">
        <f aca="false">IF($F385="","",IF(OR($AT385="",$O385=""),0,IF($AT385&lt;=$O385,1,0)))</f>
        <v/>
      </c>
      <c r="Y385" s="39" t="str">
        <f aca="false">IF($F385="","",IF(OR($AT385="",$W385=""),0,IF($AT385&lt;=$W385,1,0)))</f>
        <v/>
      </c>
      <c r="Z385" s="39" t="str">
        <f aca="false">IF(OR($AT385="",$O385=""),"",MAX(0,$AT385-$O385))</f>
        <v/>
      </c>
      <c r="AA385" s="39" t="str">
        <f aca="false">IF($F385="","",IF(AND($S385&lt;&gt;"",$L385&lt;&gt;"",$S385&lt;&gt;$L385),1,0))</f>
        <v/>
      </c>
      <c r="AB385" s="39" t="str">
        <f aca="false">IF($F385="","",IF($R385="Cancelada",0,IF(OR($AT385&lt;&gt;"",$R385="Concluída"),1,0)))</f>
        <v/>
      </c>
      <c r="AC385" s="39" t="n">
        <f aca="false">IF($P385="",0,IF($P385&lt;Hoje!$L$1,1,IF(AND($P385=Hoje!$L$1,Hoje!$L$2&gt;Semana!$M$3),1,0)))</f>
        <v>0</v>
      </c>
      <c r="AD385" s="39" t="str">
        <f aca="false">IF($F385="","",IF(COUNTA($I385:$K385)=0,0,1/COUNTA($I385:$K385)))</f>
        <v/>
      </c>
      <c r="AE385" s="39" t="str">
        <f aca="false">IF($AH385=0,"",SUM($AH$4:$AH385))</f>
        <v/>
      </c>
      <c r="AF385" s="39" t="str">
        <f aca="false">IF($AI385=0,"",SUM($AI$4:$AI385))</f>
        <v/>
      </c>
      <c r="AG385" s="50" t="str">
        <f aca="false">IF($F385="","",$I385&amp;IF($J385="",""," · "&amp;$J385)&amp;IF($K385="",""," · "&amp;$K385))</f>
        <v/>
      </c>
      <c r="AH385" s="39" t="n">
        <f aca="false">IF(AND($F385&lt;&gt;"",$O385&lt;&gt;"",$O385&lt;=Hoje!$C$3,$P385&gt;=Hoje!$C$3,$R385&lt;&gt;"Cancelada"),1,0)</f>
        <v>0</v>
      </c>
      <c r="AI385" s="39" t="n">
        <f aca="false">IF(AND($F385&lt;&gt;"",$P385&lt;&gt;"",$P385&lt;Hoje!$C$3,$AB385=0,$R385&lt;&gt;"Cancelada"),1,0)</f>
        <v>0</v>
      </c>
      <c r="AJ385" s="50" t="str">
        <f aca="false">IF($F385="","",$D385&amp;"|"&amp;$E385&amp;"|"&amp;$L385)</f>
        <v/>
      </c>
      <c r="AK385" s="39" t="str">
        <f aca="false">IF($AJ385="","",COUNTIF($AJ$4:$AJ385,$AJ385))</f>
        <v/>
      </c>
      <c r="AL385" s="39" t="str">
        <f aca="false">IF($AJ385="","",COUNTIF($AJ$4:$AJ$1004,$AJ385))</f>
        <v/>
      </c>
      <c r="AM385" s="42"/>
      <c r="AN385" s="50" t="str">
        <f aca="false">IF($D385="","",IFERROR(T(VLOOKUP($D385,Listas!$B$5:$H$120,7,0)),""))</f>
        <v/>
      </c>
      <c r="AO385" s="50" t="str">
        <f aca="false">IF(OR($F385="",$L385&lt;&gt;"",$R385="Cancelada",$AT385&lt;&gt;""),"",$AN385&amp;"|"&amp;$D385&amp;"|"&amp;IF($C385="","zzz",$C385)&amp;"|"&amp;TEXT(385,"0000"))</f>
        <v/>
      </c>
      <c r="AP385" s="50" t="str">
        <f aca="false">IF($AO385="","",COUNTIF($AO$5:$AO$1004,"&lt;"&amp;$AO385)-(ROWS($AO$5:$AO$1004)-Hoje!$L$5)+1)</f>
        <v/>
      </c>
      <c r="AQ385" s="50" t="n">
        <f aca="false">IF(AND($F385&lt;&gt;"",$D385=Frota!$C$3),1,0)</f>
        <v>0</v>
      </c>
      <c r="AR385" s="50" t="str">
        <f aca="false">IF($AQ385=0,"",SUM($AQ$4:$AQ385))</f>
        <v/>
      </c>
      <c r="AS385" s="50" t="str">
        <f aca="false">IFERROR(INDEX(Hoje!$K$10:$K$29,MATCH(ROW(),Hoje!$J$10:$J$29,0)),"")</f>
        <v/>
      </c>
      <c r="AT385" s="50" t="str">
        <f aca="false">IF($Q385&lt;&gt;"",$Q385,$AS385)</f>
        <v/>
      </c>
    </row>
    <row r="386" customFormat="false" ht="16.5" hidden="false" customHeight="true" outlineLevel="0" collapsed="false">
      <c r="A386" s="39" t="str">
        <f aca="false">IF($F386="","",ROW())</f>
        <v/>
      </c>
      <c r="B386" s="40" t="str">
        <f aca="false">IF($F386="",IF($D386="","","Falta a atividade"),IF($R386="Cancelada","Cancelada",IF($AB386=1,IF(N($Z386)&gt;0,"Concluída com atraso","Concluída"),IF($R386="Em programação","Em programação",IF($O386="",IF($M386="","Na carteira","Falta a semana"),IF($AC386=1,"VENCIDA",IF($O386&gt;Hoje!$L$1,"Programada",IF($P386&gt;Hoje!$L$1,"Em execução","Fecha hoje"))))))))</f>
        <v/>
      </c>
      <c r="C386" s="41"/>
      <c r="D386" s="42"/>
      <c r="E386" s="42"/>
      <c r="F386" s="42"/>
      <c r="G386" s="43"/>
      <c r="H386" s="43"/>
      <c r="I386" s="44"/>
      <c r="J386" s="44"/>
      <c r="K386" s="44"/>
      <c r="L386" s="45"/>
      <c r="M386" s="46"/>
      <c r="N386" s="45"/>
      <c r="O386" s="47" t="str">
        <f aca="false">IF(OR($L386="",$M386=""),"",(DATE(Semana!$J$3,1,4)-WEEKDAY(DATE(Semana!$J$3,1,4),3))+($L386-1)*7+MATCH($M386,Listas!$F$5:$F$11,0)-1)</f>
        <v/>
      </c>
      <c r="P386" s="47" t="str">
        <f aca="false">IF(OR($F386="",$O386=""),"",$O386+MAX(0,ROUNDUP($AK386*MAX(1,IF($N386="",1,$N386))/MAX(1,$AL386),0)-1))</f>
        <v/>
      </c>
      <c r="Q386" s="48"/>
      <c r="R386" s="43"/>
      <c r="S386" s="49"/>
      <c r="T386" s="42"/>
      <c r="U386" s="42"/>
      <c r="V386" s="39" t="str">
        <f aca="false">IF($F386="","",IF(ISNUMBER(SEARCH("(externo)",$I386&amp;$J386&amp;$K386)),"Terceirizada","Interna"))</f>
        <v/>
      </c>
      <c r="W386" s="47" t="str">
        <f aca="false">IF($O386="","",IF($S386="",$O386,(DATE(Semana!$J$3,1,4)-WEEKDAY(DATE(Semana!$J$3,1,4),3))+($S386-1)*7+IF($M386="",0,MATCH($M386,Listas!$F$5:$F$11,0)-1)))</f>
        <v/>
      </c>
      <c r="X386" s="39" t="str">
        <f aca="false">IF($F386="","",IF(OR($AT386="",$O386=""),0,IF($AT386&lt;=$O386,1,0)))</f>
        <v/>
      </c>
      <c r="Y386" s="39" t="str">
        <f aca="false">IF($F386="","",IF(OR($AT386="",$W386=""),0,IF($AT386&lt;=$W386,1,0)))</f>
        <v/>
      </c>
      <c r="Z386" s="39" t="str">
        <f aca="false">IF(OR($AT386="",$O386=""),"",MAX(0,$AT386-$O386))</f>
        <v/>
      </c>
      <c r="AA386" s="39" t="str">
        <f aca="false">IF($F386="","",IF(AND($S386&lt;&gt;"",$L386&lt;&gt;"",$S386&lt;&gt;$L386),1,0))</f>
        <v/>
      </c>
      <c r="AB386" s="39" t="str">
        <f aca="false">IF($F386="","",IF($R386="Cancelada",0,IF(OR($AT386&lt;&gt;"",$R386="Concluída"),1,0)))</f>
        <v/>
      </c>
      <c r="AC386" s="39" t="n">
        <f aca="false">IF($P386="",0,IF($P386&lt;Hoje!$L$1,1,IF(AND($P386=Hoje!$L$1,Hoje!$L$2&gt;Semana!$M$3),1,0)))</f>
        <v>0</v>
      </c>
      <c r="AD386" s="39" t="str">
        <f aca="false">IF($F386="","",IF(COUNTA($I386:$K386)=0,0,1/COUNTA($I386:$K386)))</f>
        <v/>
      </c>
      <c r="AE386" s="39" t="str">
        <f aca="false">IF($AH386=0,"",SUM($AH$4:$AH386))</f>
        <v/>
      </c>
      <c r="AF386" s="39" t="str">
        <f aca="false">IF($AI386=0,"",SUM($AI$4:$AI386))</f>
        <v/>
      </c>
      <c r="AG386" s="50" t="str">
        <f aca="false">IF($F386="","",$I386&amp;IF($J386="",""," · "&amp;$J386)&amp;IF($K386="",""," · "&amp;$K386))</f>
        <v/>
      </c>
      <c r="AH386" s="39" t="n">
        <f aca="false">IF(AND($F386&lt;&gt;"",$O386&lt;&gt;"",$O386&lt;=Hoje!$C$3,$P386&gt;=Hoje!$C$3,$R386&lt;&gt;"Cancelada"),1,0)</f>
        <v>0</v>
      </c>
      <c r="AI386" s="39" t="n">
        <f aca="false">IF(AND($F386&lt;&gt;"",$P386&lt;&gt;"",$P386&lt;Hoje!$C$3,$AB386=0,$R386&lt;&gt;"Cancelada"),1,0)</f>
        <v>0</v>
      </c>
      <c r="AJ386" s="50" t="str">
        <f aca="false">IF($F386="","",$D386&amp;"|"&amp;$E386&amp;"|"&amp;$L386)</f>
        <v/>
      </c>
      <c r="AK386" s="39" t="str">
        <f aca="false">IF($AJ386="","",COUNTIF($AJ$4:$AJ386,$AJ386))</f>
        <v/>
      </c>
      <c r="AL386" s="39" t="str">
        <f aca="false">IF($AJ386="","",COUNTIF($AJ$4:$AJ$1004,$AJ386))</f>
        <v/>
      </c>
      <c r="AM386" s="42"/>
      <c r="AN386" s="50" t="str">
        <f aca="false">IF($D386="","",IFERROR(T(VLOOKUP($D386,Listas!$B$5:$H$120,7,0)),""))</f>
        <v/>
      </c>
      <c r="AO386" s="50" t="str">
        <f aca="false">IF(OR($F386="",$L386&lt;&gt;"",$R386="Cancelada",$AT386&lt;&gt;""),"",$AN386&amp;"|"&amp;$D386&amp;"|"&amp;IF($C386="","zzz",$C386)&amp;"|"&amp;TEXT(386,"0000"))</f>
        <v/>
      </c>
      <c r="AP386" s="50" t="str">
        <f aca="false">IF($AO386="","",COUNTIF($AO$5:$AO$1004,"&lt;"&amp;$AO386)-(ROWS($AO$5:$AO$1004)-Hoje!$L$5)+1)</f>
        <v/>
      </c>
      <c r="AQ386" s="50" t="n">
        <f aca="false">IF(AND($F386&lt;&gt;"",$D386=Frota!$C$3),1,0)</f>
        <v>0</v>
      </c>
      <c r="AR386" s="50" t="str">
        <f aca="false">IF($AQ386=0,"",SUM($AQ$4:$AQ386))</f>
        <v/>
      </c>
      <c r="AS386" s="50" t="str">
        <f aca="false">IFERROR(INDEX(Hoje!$K$10:$K$29,MATCH(ROW(),Hoje!$J$10:$J$29,0)),"")</f>
        <v/>
      </c>
      <c r="AT386" s="50" t="str">
        <f aca="false">IF($Q386&lt;&gt;"",$Q386,$AS386)</f>
        <v/>
      </c>
    </row>
    <row r="387" customFormat="false" ht="16.5" hidden="false" customHeight="true" outlineLevel="0" collapsed="false">
      <c r="A387" s="39" t="str">
        <f aca="false">IF($F387="","",ROW())</f>
        <v/>
      </c>
      <c r="B387" s="40" t="str">
        <f aca="false">IF($F387="",IF($D387="","","Falta a atividade"),IF($R387="Cancelada","Cancelada",IF($AB387=1,IF(N($Z387)&gt;0,"Concluída com atraso","Concluída"),IF($R387="Em programação","Em programação",IF($O387="",IF($M387="","Na carteira","Falta a semana"),IF($AC387=1,"VENCIDA",IF($O387&gt;Hoje!$L$1,"Programada",IF($P387&gt;Hoje!$L$1,"Em execução","Fecha hoje"))))))))</f>
        <v/>
      </c>
      <c r="C387" s="41"/>
      <c r="D387" s="42"/>
      <c r="E387" s="42"/>
      <c r="F387" s="42"/>
      <c r="G387" s="43"/>
      <c r="H387" s="43"/>
      <c r="I387" s="44"/>
      <c r="J387" s="44"/>
      <c r="K387" s="44"/>
      <c r="L387" s="45"/>
      <c r="M387" s="46"/>
      <c r="N387" s="45"/>
      <c r="O387" s="47" t="str">
        <f aca="false">IF(OR($L387="",$M387=""),"",(DATE(Semana!$J$3,1,4)-WEEKDAY(DATE(Semana!$J$3,1,4),3))+($L387-1)*7+MATCH($M387,Listas!$F$5:$F$11,0)-1)</f>
        <v/>
      </c>
      <c r="P387" s="47" t="str">
        <f aca="false">IF(OR($F387="",$O387=""),"",$O387+MAX(0,ROUNDUP($AK387*MAX(1,IF($N387="",1,$N387))/MAX(1,$AL387),0)-1))</f>
        <v/>
      </c>
      <c r="Q387" s="48"/>
      <c r="R387" s="43"/>
      <c r="S387" s="49"/>
      <c r="T387" s="42"/>
      <c r="U387" s="42"/>
      <c r="V387" s="39" t="str">
        <f aca="false">IF($F387="","",IF(ISNUMBER(SEARCH("(externo)",$I387&amp;$J387&amp;$K387)),"Terceirizada","Interna"))</f>
        <v/>
      </c>
      <c r="W387" s="47" t="str">
        <f aca="false">IF($O387="","",IF($S387="",$O387,(DATE(Semana!$J$3,1,4)-WEEKDAY(DATE(Semana!$J$3,1,4),3))+($S387-1)*7+IF($M387="",0,MATCH($M387,Listas!$F$5:$F$11,0)-1)))</f>
        <v/>
      </c>
      <c r="X387" s="39" t="str">
        <f aca="false">IF($F387="","",IF(OR($AT387="",$O387=""),0,IF($AT387&lt;=$O387,1,0)))</f>
        <v/>
      </c>
      <c r="Y387" s="39" t="str">
        <f aca="false">IF($F387="","",IF(OR($AT387="",$W387=""),0,IF($AT387&lt;=$W387,1,0)))</f>
        <v/>
      </c>
      <c r="Z387" s="39" t="str">
        <f aca="false">IF(OR($AT387="",$O387=""),"",MAX(0,$AT387-$O387))</f>
        <v/>
      </c>
      <c r="AA387" s="39" t="str">
        <f aca="false">IF($F387="","",IF(AND($S387&lt;&gt;"",$L387&lt;&gt;"",$S387&lt;&gt;$L387),1,0))</f>
        <v/>
      </c>
      <c r="AB387" s="39" t="str">
        <f aca="false">IF($F387="","",IF($R387="Cancelada",0,IF(OR($AT387&lt;&gt;"",$R387="Concluída"),1,0)))</f>
        <v/>
      </c>
      <c r="AC387" s="39" t="n">
        <f aca="false">IF($P387="",0,IF($P387&lt;Hoje!$L$1,1,IF(AND($P387=Hoje!$L$1,Hoje!$L$2&gt;Semana!$M$3),1,0)))</f>
        <v>0</v>
      </c>
      <c r="AD387" s="39" t="str">
        <f aca="false">IF($F387="","",IF(COUNTA($I387:$K387)=0,0,1/COUNTA($I387:$K387)))</f>
        <v/>
      </c>
      <c r="AE387" s="39" t="str">
        <f aca="false">IF($AH387=0,"",SUM($AH$4:$AH387))</f>
        <v/>
      </c>
      <c r="AF387" s="39" t="str">
        <f aca="false">IF($AI387=0,"",SUM($AI$4:$AI387))</f>
        <v/>
      </c>
      <c r="AG387" s="50" t="str">
        <f aca="false">IF($F387="","",$I387&amp;IF($J387="",""," · "&amp;$J387)&amp;IF($K387="",""," · "&amp;$K387))</f>
        <v/>
      </c>
      <c r="AH387" s="39" t="n">
        <f aca="false">IF(AND($F387&lt;&gt;"",$O387&lt;&gt;"",$O387&lt;=Hoje!$C$3,$P387&gt;=Hoje!$C$3,$R387&lt;&gt;"Cancelada"),1,0)</f>
        <v>0</v>
      </c>
      <c r="AI387" s="39" t="n">
        <f aca="false">IF(AND($F387&lt;&gt;"",$P387&lt;&gt;"",$P387&lt;Hoje!$C$3,$AB387=0,$R387&lt;&gt;"Cancelada"),1,0)</f>
        <v>0</v>
      </c>
      <c r="AJ387" s="50" t="str">
        <f aca="false">IF($F387="","",$D387&amp;"|"&amp;$E387&amp;"|"&amp;$L387)</f>
        <v/>
      </c>
      <c r="AK387" s="39" t="str">
        <f aca="false">IF($AJ387="","",COUNTIF($AJ$4:$AJ387,$AJ387))</f>
        <v/>
      </c>
      <c r="AL387" s="39" t="str">
        <f aca="false">IF($AJ387="","",COUNTIF($AJ$4:$AJ$1004,$AJ387))</f>
        <v/>
      </c>
      <c r="AM387" s="42"/>
      <c r="AN387" s="50" t="str">
        <f aca="false">IF($D387="","",IFERROR(T(VLOOKUP($D387,Listas!$B$5:$H$120,7,0)),""))</f>
        <v/>
      </c>
      <c r="AO387" s="50" t="str">
        <f aca="false">IF(OR($F387="",$L387&lt;&gt;"",$R387="Cancelada",$AT387&lt;&gt;""),"",$AN387&amp;"|"&amp;$D387&amp;"|"&amp;IF($C387="","zzz",$C387)&amp;"|"&amp;TEXT(387,"0000"))</f>
        <v/>
      </c>
      <c r="AP387" s="50" t="str">
        <f aca="false">IF($AO387="","",COUNTIF($AO$5:$AO$1004,"&lt;"&amp;$AO387)-(ROWS($AO$5:$AO$1004)-Hoje!$L$5)+1)</f>
        <v/>
      </c>
      <c r="AQ387" s="50" t="n">
        <f aca="false">IF(AND($F387&lt;&gt;"",$D387=Frota!$C$3),1,0)</f>
        <v>0</v>
      </c>
      <c r="AR387" s="50" t="str">
        <f aca="false">IF($AQ387=0,"",SUM($AQ$4:$AQ387))</f>
        <v/>
      </c>
      <c r="AS387" s="50" t="str">
        <f aca="false">IFERROR(INDEX(Hoje!$K$10:$K$29,MATCH(ROW(),Hoje!$J$10:$J$29,0)),"")</f>
        <v/>
      </c>
      <c r="AT387" s="50" t="str">
        <f aca="false">IF($Q387&lt;&gt;"",$Q387,$AS387)</f>
        <v/>
      </c>
    </row>
    <row r="388" customFormat="false" ht="16.5" hidden="false" customHeight="true" outlineLevel="0" collapsed="false">
      <c r="A388" s="39" t="str">
        <f aca="false">IF($F388="","",ROW())</f>
        <v/>
      </c>
      <c r="B388" s="40" t="str">
        <f aca="false">IF($F388="",IF($D388="","","Falta a atividade"),IF($R388="Cancelada","Cancelada",IF($AB388=1,IF(N($Z388)&gt;0,"Concluída com atraso","Concluída"),IF($R388="Em programação","Em programação",IF($O388="",IF($M388="","Na carteira","Falta a semana"),IF($AC388=1,"VENCIDA",IF($O388&gt;Hoje!$L$1,"Programada",IF($P388&gt;Hoje!$L$1,"Em execução","Fecha hoje"))))))))</f>
        <v/>
      </c>
      <c r="C388" s="41"/>
      <c r="D388" s="42"/>
      <c r="E388" s="42"/>
      <c r="F388" s="42"/>
      <c r="G388" s="43"/>
      <c r="H388" s="43"/>
      <c r="I388" s="44"/>
      <c r="J388" s="44"/>
      <c r="K388" s="44"/>
      <c r="L388" s="45"/>
      <c r="M388" s="46"/>
      <c r="N388" s="45"/>
      <c r="O388" s="47" t="str">
        <f aca="false">IF(OR($L388="",$M388=""),"",(DATE(Semana!$J$3,1,4)-WEEKDAY(DATE(Semana!$J$3,1,4),3))+($L388-1)*7+MATCH($M388,Listas!$F$5:$F$11,0)-1)</f>
        <v/>
      </c>
      <c r="P388" s="47" t="str">
        <f aca="false">IF(OR($F388="",$O388=""),"",$O388+MAX(0,ROUNDUP($AK388*MAX(1,IF($N388="",1,$N388))/MAX(1,$AL388),0)-1))</f>
        <v/>
      </c>
      <c r="Q388" s="48"/>
      <c r="R388" s="43"/>
      <c r="S388" s="49"/>
      <c r="T388" s="42"/>
      <c r="U388" s="42"/>
      <c r="V388" s="39" t="str">
        <f aca="false">IF($F388="","",IF(ISNUMBER(SEARCH("(externo)",$I388&amp;$J388&amp;$K388)),"Terceirizada","Interna"))</f>
        <v/>
      </c>
      <c r="W388" s="47" t="str">
        <f aca="false">IF($O388="","",IF($S388="",$O388,(DATE(Semana!$J$3,1,4)-WEEKDAY(DATE(Semana!$J$3,1,4),3))+($S388-1)*7+IF($M388="",0,MATCH($M388,Listas!$F$5:$F$11,0)-1)))</f>
        <v/>
      </c>
      <c r="X388" s="39" t="str">
        <f aca="false">IF($F388="","",IF(OR($AT388="",$O388=""),0,IF($AT388&lt;=$O388,1,0)))</f>
        <v/>
      </c>
      <c r="Y388" s="39" t="str">
        <f aca="false">IF($F388="","",IF(OR($AT388="",$W388=""),0,IF($AT388&lt;=$W388,1,0)))</f>
        <v/>
      </c>
      <c r="Z388" s="39" t="str">
        <f aca="false">IF(OR($AT388="",$O388=""),"",MAX(0,$AT388-$O388))</f>
        <v/>
      </c>
      <c r="AA388" s="39" t="str">
        <f aca="false">IF($F388="","",IF(AND($S388&lt;&gt;"",$L388&lt;&gt;"",$S388&lt;&gt;$L388),1,0))</f>
        <v/>
      </c>
      <c r="AB388" s="39" t="str">
        <f aca="false">IF($F388="","",IF($R388="Cancelada",0,IF(OR($AT388&lt;&gt;"",$R388="Concluída"),1,0)))</f>
        <v/>
      </c>
      <c r="AC388" s="39" t="n">
        <f aca="false">IF($P388="",0,IF($P388&lt;Hoje!$L$1,1,IF(AND($P388=Hoje!$L$1,Hoje!$L$2&gt;Semana!$M$3),1,0)))</f>
        <v>0</v>
      </c>
      <c r="AD388" s="39" t="str">
        <f aca="false">IF($F388="","",IF(COUNTA($I388:$K388)=0,0,1/COUNTA($I388:$K388)))</f>
        <v/>
      </c>
      <c r="AE388" s="39" t="str">
        <f aca="false">IF($AH388=0,"",SUM($AH$4:$AH388))</f>
        <v/>
      </c>
      <c r="AF388" s="39" t="str">
        <f aca="false">IF($AI388=0,"",SUM($AI$4:$AI388))</f>
        <v/>
      </c>
      <c r="AG388" s="50" t="str">
        <f aca="false">IF($F388="","",$I388&amp;IF($J388="",""," · "&amp;$J388)&amp;IF($K388="",""," · "&amp;$K388))</f>
        <v/>
      </c>
      <c r="AH388" s="39" t="n">
        <f aca="false">IF(AND($F388&lt;&gt;"",$O388&lt;&gt;"",$O388&lt;=Hoje!$C$3,$P388&gt;=Hoje!$C$3,$R388&lt;&gt;"Cancelada"),1,0)</f>
        <v>0</v>
      </c>
      <c r="AI388" s="39" t="n">
        <f aca="false">IF(AND($F388&lt;&gt;"",$P388&lt;&gt;"",$P388&lt;Hoje!$C$3,$AB388=0,$R388&lt;&gt;"Cancelada"),1,0)</f>
        <v>0</v>
      </c>
      <c r="AJ388" s="50" t="str">
        <f aca="false">IF($F388="","",$D388&amp;"|"&amp;$E388&amp;"|"&amp;$L388)</f>
        <v/>
      </c>
      <c r="AK388" s="39" t="str">
        <f aca="false">IF($AJ388="","",COUNTIF($AJ$4:$AJ388,$AJ388))</f>
        <v/>
      </c>
      <c r="AL388" s="39" t="str">
        <f aca="false">IF($AJ388="","",COUNTIF($AJ$4:$AJ$1004,$AJ388))</f>
        <v/>
      </c>
      <c r="AM388" s="42"/>
      <c r="AN388" s="50" t="str">
        <f aca="false">IF($D388="","",IFERROR(T(VLOOKUP($D388,Listas!$B$5:$H$120,7,0)),""))</f>
        <v/>
      </c>
      <c r="AO388" s="50" t="str">
        <f aca="false">IF(OR($F388="",$L388&lt;&gt;"",$R388="Cancelada",$AT388&lt;&gt;""),"",$AN388&amp;"|"&amp;$D388&amp;"|"&amp;IF($C388="","zzz",$C388)&amp;"|"&amp;TEXT(388,"0000"))</f>
        <v/>
      </c>
      <c r="AP388" s="50" t="str">
        <f aca="false">IF($AO388="","",COUNTIF($AO$5:$AO$1004,"&lt;"&amp;$AO388)-(ROWS($AO$5:$AO$1004)-Hoje!$L$5)+1)</f>
        <v/>
      </c>
      <c r="AQ388" s="50" t="n">
        <f aca="false">IF(AND($F388&lt;&gt;"",$D388=Frota!$C$3),1,0)</f>
        <v>0</v>
      </c>
      <c r="AR388" s="50" t="str">
        <f aca="false">IF($AQ388=0,"",SUM($AQ$4:$AQ388))</f>
        <v/>
      </c>
      <c r="AS388" s="50" t="str">
        <f aca="false">IFERROR(INDEX(Hoje!$K$10:$K$29,MATCH(ROW(),Hoje!$J$10:$J$29,0)),"")</f>
        <v/>
      </c>
      <c r="AT388" s="50" t="str">
        <f aca="false">IF($Q388&lt;&gt;"",$Q388,$AS388)</f>
        <v/>
      </c>
    </row>
    <row r="389" customFormat="false" ht="16.5" hidden="false" customHeight="true" outlineLevel="0" collapsed="false">
      <c r="A389" s="39" t="str">
        <f aca="false">IF($F389="","",ROW())</f>
        <v/>
      </c>
      <c r="B389" s="40" t="str">
        <f aca="false">IF($F389="",IF($D389="","","Falta a atividade"),IF($R389="Cancelada","Cancelada",IF($AB389=1,IF(N($Z389)&gt;0,"Concluída com atraso","Concluída"),IF($R389="Em programação","Em programação",IF($O389="",IF($M389="","Na carteira","Falta a semana"),IF($AC389=1,"VENCIDA",IF($O389&gt;Hoje!$L$1,"Programada",IF($P389&gt;Hoje!$L$1,"Em execução","Fecha hoje"))))))))</f>
        <v/>
      </c>
      <c r="C389" s="41"/>
      <c r="D389" s="42"/>
      <c r="E389" s="42"/>
      <c r="F389" s="42"/>
      <c r="G389" s="43"/>
      <c r="H389" s="43"/>
      <c r="I389" s="44"/>
      <c r="J389" s="44"/>
      <c r="K389" s="44"/>
      <c r="L389" s="45"/>
      <c r="M389" s="46"/>
      <c r="N389" s="45"/>
      <c r="O389" s="47" t="str">
        <f aca="false">IF(OR($L389="",$M389=""),"",(DATE(Semana!$J$3,1,4)-WEEKDAY(DATE(Semana!$J$3,1,4),3))+($L389-1)*7+MATCH($M389,Listas!$F$5:$F$11,0)-1)</f>
        <v/>
      </c>
      <c r="P389" s="47" t="str">
        <f aca="false">IF(OR($F389="",$O389=""),"",$O389+MAX(0,ROUNDUP($AK389*MAX(1,IF($N389="",1,$N389))/MAX(1,$AL389),0)-1))</f>
        <v/>
      </c>
      <c r="Q389" s="48"/>
      <c r="R389" s="43"/>
      <c r="S389" s="49"/>
      <c r="T389" s="42"/>
      <c r="U389" s="42"/>
      <c r="V389" s="39" t="str">
        <f aca="false">IF($F389="","",IF(ISNUMBER(SEARCH("(externo)",$I389&amp;$J389&amp;$K389)),"Terceirizada","Interna"))</f>
        <v/>
      </c>
      <c r="W389" s="47" t="str">
        <f aca="false">IF($O389="","",IF($S389="",$O389,(DATE(Semana!$J$3,1,4)-WEEKDAY(DATE(Semana!$J$3,1,4),3))+($S389-1)*7+IF($M389="",0,MATCH($M389,Listas!$F$5:$F$11,0)-1)))</f>
        <v/>
      </c>
      <c r="X389" s="39" t="str">
        <f aca="false">IF($F389="","",IF(OR($AT389="",$O389=""),0,IF($AT389&lt;=$O389,1,0)))</f>
        <v/>
      </c>
      <c r="Y389" s="39" t="str">
        <f aca="false">IF($F389="","",IF(OR($AT389="",$W389=""),0,IF($AT389&lt;=$W389,1,0)))</f>
        <v/>
      </c>
      <c r="Z389" s="39" t="str">
        <f aca="false">IF(OR($AT389="",$O389=""),"",MAX(0,$AT389-$O389))</f>
        <v/>
      </c>
      <c r="AA389" s="39" t="str">
        <f aca="false">IF($F389="","",IF(AND($S389&lt;&gt;"",$L389&lt;&gt;"",$S389&lt;&gt;$L389),1,0))</f>
        <v/>
      </c>
      <c r="AB389" s="39" t="str">
        <f aca="false">IF($F389="","",IF($R389="Cancelada",0,IF(OR($AT389&lt;&gt;"",$R389="Concluída"),1,0)))</f>
        <v/>
      </c>
      <c r="AC389" s="39" t="n">
        <f aca="false">IF($P389="",0,IF($P389&lt;Hoje!$L$1,1,IF(AND($P389=Hoje!$L$1,Hoje!$L$2&gt;Semana!$M$3),1,0)))</f>
        <v>0</v>
      </c>
      <c r="AD389" s="39" t="str">
        <f aca="false">IF($F389="","",IF(COUNTA($I389:$K389)=0,0,1/COUNTA($I389:$K389)))</f>
        <v/>
      </c>
      <c r="AE389" s="39" t="str">
        <f aca="false">IF($AH389=0,"",SUM($AH$4:$AH389))</f>
        <v/>
      </c>
      <c r="AF389" s="39" t="str">
        <f aca="false">IF($AI389=0,"",SUM($AI$4:$AI389))</f>
        <v/>
      </c>
      <c r="AG389" s="50" t="str">
        <f aca="false">IF($F389="","",$I389&amp;IF($J389="",""," · "&amp;$J389)&amp;IF($K389="",""," · "&amp;$K389))</f>
        <v/>
      </c>
      <c r="AH389" s="39" t="n">
        <f aca="false">IF(AND($F389&lt;&gt;"",$O389&lt;&gt;"",$O389&lt;=Hoje!$C$3,$P389&gt;=Hoje!$C$3,$R389&lt;&gt;"Cancelada"),1,0)</f>
        <v>0</v>
      </c>
      <c r="AI389" s="39" t="n">
        <f aca="false">IF(AND($F389&lt;&gt;"",$P389&lt;&gt;"",$P389&lt;Hoje!$C$3,$AB389=0,$R389&lt;&gt;"Cancelada"),1,0)</f>
        <v>0</v>
      </c>
      <c r="AJ389" s="50" t="str">
        <f aca="false">IF($F389="","",$D389&amp;"|"&amp;$E389&amp;"|"&amp;$L389)</f>
        <v/>
      </c>
      <c r="AK389" s="39" t="str">
        <f aca="false">IF($AJ389="","",COUNTIF($AJ$4:$AJ389,$AJ389))</f>
        <v/>
      </c>
      <c r="AL389" s="39" t="str">
        <f aca="false">IF($AJ389="","",COUNTIF($AJ$4:$AJ$1004,$AJ389))</f>
        <v/>
      </c>
      <c r="AM389" s="42"/>
      <c r="AN389" s="50" t="str">
        <f aca="false">IF($D389="","",IFERROR(T(VLOOKUP($D389,Listas!$B$5:$H$120,7,0)),""))</f>
        <v/>
      </c>
      <c r="AO389" s="50" t="str">
        <f aca="false">IF(OR($F389="",$L389&lt;&gt;"",$R389="Cancelada",$AT389&lt;&gt;""),"",$AN389&amp;"|"&amp;$D389&amp;"|"&amp;IF($C389="","zzz",$C389)&amp;"|"&amp;TEXT(389,"0000"))</f>
        <v/>
      </c>
      <c r="AP389" s="50" t="str">
        <f aca="false">IF($AO389="","",COUNTIF($AO$5:$AO$1004,"&lt;"&amp;$AO389)-(ROWS($AO$5:$AO$1004)-Hoje!$L$5)+1)</f>
        <v/>
      </c>
      <c r="AQ389" s="50" t="n">
        <f aca="false">IF(AND($F389&lt;&gt;"",$D389=Frota!$C$3),1,0)</f>
        <v>0</v>
      </c>
      <c r="AR389" s="50" t="str">
        <f aca="false">IF($AQ389=0,"",SUM($AQ$4:$AQ389))</f>
        <v/>
      </c>
      <c r="AS389" s="50" t="str">
        <f aca="false">IFERROR(INDEX(Hoje!$K$10:$K$29,MATCH(ROW(),Hoje!$J$10:$J$29,0)),"")</f>
        <v/>
      </c>
      <c r="AT389" s="50" t="str">
        <f aca="false">IF($Q389&lt;&gt;"",$Q389,$AS389)</f>
        <v/>
      </c>
    </row>
    <row r="390" customFormat="false" ht="16.5" hidden="false" customHeight="true" outlineLevel="0" collapsed="false">
      <c r="A390" s="39" t="str">
        <f aca="false">IF($F390="","",ROW())</f>
        <v/>
      </c>
      <c r="B390" s="40" t="str">
        <f aca="false">IF($F390="",IF($D390="","","Falta a atividade"),IF($R390="Cancelada","Cancelada",IF($AB390=1,IF(N($Z390)&gt;0,"Concluída com atraso","Concluída"),IF($R390="Em programação","Em programação",IF($O390="",IF($M390="","Na carteira","Falta a semana"),IF($AC390=1,"VENCIDA",IF($O390&gt;Hoje!$L$1,"Programada",IF($P390&gt;Hoje!$L$1,"Em execução","Fecha hoje"))))))))</f>
        <v/>
      </c>
      <c r="C390" s="41"/>
      <c r="D390" s="42"/>
      <c r="E390" s="42"/>
      <c r="F390" s="42"/>
      <c r="G390" s="43"/>
      <c r="H390" s="43"/>
      <c r="I390" s="44"/>
      <c r="J390" s="44"/>
      <c r="K390" s="44"/>
      <c r="L390" s="45"/>
      <c r="M390" s="46"/>
      <c r="N390" s="45"/>
      <c r="O390" s="47" t="str">
        <f aca="false">IF(OR($L390="",$M390=""),"",(DATE(Semana!$J$3,1,4)-WEEKDAY(DATE(Semana!$J$3,1,4),3))+($L390-1)*7+MATCH($M390,Listas!$F$5:$F$11,0)-1)</f>
        <v/>
      </c>
      <c r="P390" s="47" t="str">
        <f aca="false">IF(OR($F390="",$O390=""),"",$O390+MAX(0,ROUNDUP($AK390*MAX(1,IF($N390="",1,$N390))/MAX(1,$AL390),0)-1))</f>
        <v/>
      </c>
      <c r="Q390" s="48"/>
      <c r="R390" s="43"/>
      <c r="S390" s="49"/>
      <c r="T390" s="42"/>
      <c r="U390" s="42"/>
      <c r="V390" s="39" t="str">
        <f aca="false">IF($F390="","",IF(ISNUMBER(SEARCH("(externo)",$I390&amp;$J390&amp;$K390)),"Terceirizada","Interna"))</f>
        <v/>
      </c>
      <c r="W390" s="47" t="str">
        <f aca="false">IF($O390="","",IF($S390="",$O390,(DATE(Semana!$J$3,1,4)-WEEKDAY(DATE(Semana!$J$3,1,4),3))+($S390-1)*7+IF($M390="",0,MATCH($M390,Listas!$F$5:$F$11,0)-1)))</f>
        <v/>
      </c>
      <c r="X390" s="39" t="str">
        <f aca="false">IF($F390="","",IF(OR($AT390="",$O390=""),0,IF($AT390&lt;=$O390,1,0)))</f>
        <v/>
      </c>
      <c r="Y390" s="39" t="str">
        <f aca="false">IF($F390="","",IF(OR($AT390="",$W390=""),0,IF($AT390&lt;=$W390,1,0)))</f>
        <v/>
      </c>
      <c r="Z390" s="39" t="str">
        <f aca="false">IF(OR($AT390="",$O390=""),"",MAX(0,$AT390-$O390))</f>
        <v/>
      </c>
      <c r="AA390" s="39" t="str">
        <f aca="false">IF($F390="","",IF(AND($S390&lt;&gt;"",$L390&lt;&gt;"",$S390&lt;&gt;$L390),1,0))</f>
        <v/>
      </c>
      <c r="AB390" s="39" t="str">
        <f aca="false">IF($F390="","",IF($R390="Cancelada",0,IF(OR($AT390&lt;&gt;"",$R390="Concluída"),1,0)))</f>
        <v/>
      </c>
      <c r="AC390" s="39" t="n">
        <f aca="false">IF($P390="",0,IF($P390&lt;Hoje!$L$1,1,IF(AND($P390=Hoje!$L$1,Hoje!$L$2&gt;Semana!$M$3),1,0)))</f>
        <v>0</v>
      </c>
      <c r="AD390" s="39" t="str">
        <f aca="false">IF($F390="","",IF(COUNTA($I390:$K390)=0,0,1/COUNTA($I390:$K390)))</f>
        <v/>
      </c>
      <c r="AE390" s="39" t="str">
        <f aca="false">IF($AH390=0,"",SUM($AH$4:$AH390))</f>
        <v/>
      </c>
      <c r="AF390" s="39" t="str">
        <f aca="false">IF($AI390=0,"",SUM($AI$4:$AI390))</f>
        <v/>
      </c>
      <c r="AG390" s="50" t="str">
        <f aca="false">IF($F390="","",$I390&amp;IF($J390="",""," · "&amp;$J390)&amp;IF($K390="",""," · "&amp;$K390))</f>
        <v/>
      </c>
      <c r="AH390" s="39" t="n">
        <f aca="false">IF(AND($F390&lt;&gt;"",$O390&lt;&gt;"",$O390&lt;=Hoje!$C$3,$P390&gt;=Hoje!$C$3,$R390&lt;&gt;"Cancelada"),1,0)</f>
        <v>0</v>
      </c>
      <c r="AI390" s="39" t="n">
        <f aca="false">IF(AND($F390&lt;&gt;"",$P390&lt;&gt;"",$P390&lt;Hoje!$C$3,$AB390=0,$R390&lt;&gt;"Cancelada"),1,0)</f>
        <v>0</v>
      </c>
      <c r="AJ390" s="50" t="str">
        <f aca="false">IF($F390="","",$D390&amp;"|"&amp;$E390&amp;"|"&amp;$L390)</f>
        <v/>
      </c>
      <c r="AK390" s="39" t="str">
        <f aca="false">IF($AJ390="","",COUNTIF($AJ$4:$AJ390,$AJ390))</f>
        <v/>
      </c>
      <c r="AL390" s="39" t="str">
        <f aca="false">IF($AJ390="","",COUNTIF($AJ$4:$AJ$1004,$AJ390))</f>
        <v/>
      </c>
      <c r="AM390" s="42"/>
      <c r="AN390" s="50" t="str">
        <f aca="false">IF($D390="","",IFERROR(T(VLOOKUP($D390,Listas!$B$5:$H$120,7,0)),""))</f>
        <v/>
      </c>
      <c r="AO390" s="50" t="str">
        <f aca="false">IF(OR($F390="",$L390&lt;&gt;"",$R390="Cancelada",$AT390&lt;&gt;""),"",$AN390&amp;"|"&amp;$D390&amp;"|"&amp;IF($C390="","zzz",$C390)&amp;"|"&amp;TEXT(390,"0000"))</f>
        <v/>
      </c>
      <c r="AP390" s="50" t="str">
        <f aca="false">IF($AO390="","",COUNTIF($AO$5:$AO$1004,"&lt;"&amp;$AO390)-(ROWS($AO$5:$AO$1004)-Hoje!$L$5)+1)</f>
        <v/>
      </c>
      <c r="AQ390" s="50" t="n">
        <f aca="false">IF(AND($F390&lt;&gt;"",$D390=Frota!$C$3),1,0)</f>
        <v>0</v>
      </c>
      <c r="AR390" s="50" t="str">
        <f aca="false">IF($AQ390=0,"",SUM($AQ$4:$AQ390))</f>
        <v/>
      </c>
      <c r="AS390" s="50" t="str">
        <f aca="false">IFERROR(INDEX(Hoje!$K$10:$K$29,MATCH(ROW(),Hoje!$J$10:$J$29,0)),"")</f>
        <v/>
      </c>
      <c r="AT390" s="50" t="str">
        <f aca="false">IF($Q390&lt;&gt;"",$Q390,$AS390)</f>
        <v/>
      </c>
    </row>
    <row r="391" customFormat="false" ht="16.5" hidden="false" customHeight="true" outlineLevel="0" collapsed="false">
      <c r="A391" s="39" t="str">
        <f aca="false">IF($F391="","",ROW())</f>
        <v/>
      </c>
      <c r="B391" s="40" t="str">
        <f aca="false">IF($F391="",IF($D391="","","Falta a atividade"),IF($R391="Cancelada","Cancelada",IF($AB391=1,IF(N($Z391)&gt;0,"Concluída com atraso","Concluída"),IF($R391="Em programação","Em programação",IF($O391="",IF($M391="","Na carteira","Falta a semana"),IF($AC391=1,"VENCIDA",IF($O391&gt;Hoje!$L$1,"Programada",IF($P391&gt;Hoje!$L$1,"Em execução","Fecha hoje"))))))))</f>
        <v/>
      </c>
      <c r="C391" s="41"/>
      <c r="D391" s="42"/>
      <c r="E391" s="42"/>
      <c r="F391" s="42"/>
      <c r="G391" s="43"/>
      <c r="H391" s="43"/>
      <c r="I391" s="44"/>
      <c r="J391" s="44"/>
      <c r="K391" s="44"/>
      <c r="L391" s="45"/>
      <c r="M391" s="46"/>
      <c r="N391" s="45"/>
      <c r="O391" s="47" t="str">
        <f aca="false">IF(OR($L391="",$M391=""),"",(DATE(Semana!$J$3,1,4)-WEEKDAY(DATE(Semana!$J$3,1,4),3))+($L391-1)*7+MATCH($M391,Listas!$F$5:$F$11,0)-1)</f>
        <v/>
      </c>
      <c r="P391" s="47" t="str">
        <f aca="false">IF(OR($F391="",$O391=""),"",$O391+MAX(0,ROUNDUP($AK391*MAX(1,IF($N391="",1,$N391))/MAX(1,$AL391),0)-1))</f>
        <v/>
      </c>
      <c r="Q391" s="48"/>
      <c r="R391" s="43"/>
      <c r="S391" s="49"/>
      <c r="T391" s="42"/>
      <c r="U391" s="42"/>
      <c r="V391" s="39" t="str">
        <f aca="false">IF($F391="","",IF(ISNUMBER(SEARCH("(externo)",$I391&amp;$J391&amp;$K391)),"Terceirizada","Interna"))</f>
        <v/>
      </c>
      <c r="W391" s="47" t="str">
        <f aca="false">IF($O391="","",IF($S391="",$O391,(DATE(Semana!$J$3,1,4)-WEEKDAY(DATE(Semana!$J$3,1,4),3))+($S391-1)*7+IF($M391="",0,MATCH($M391,Listas!$F$5:$F$11,0)-1)))</f>
        <v/>
      </c>
      <c r="X391" s="39" t="str">
        <f aca="false">IF($F391="","",IF(OR($AT391="",$O391=""),0,IF($AT391&lt;=$O391,1,0)))</f>
        <v/>
      </c>
      <c r="Y391" s="39" t="str">
        <f aca="false">IF($F391="","",IF(OR($AT391="",$W391=""),0,IF($AT391&lt;=$W391,1,0)))</f>
        <v/>
      </c>
      <c r="Z391" s="39" t="str">
        <f aca="false">IF(OR($AT391="",$O391=""),"",MAX(0,$AT391-$O391))</f>
        <v/>
      </c>
      <c r="AA391" s="39" t="str">
        <f aca="false">IF($F391="","",IF(AND($S391&lt;&gt;"",$L391&lt;&gt;"",$S391&lt;&gt;$L391),1,0))</f>
        <v/>
      </c>
      <c r="AB391" s="39" t="str">
        <f aca="false">IF($F391="","",IF($R391="Cancelada",0,IF(OR($AT391&lt;&gt;"",$R391="Concluída"),1,0)))</f>
        <v/>
      </c>
      <c r="AC391" s="39" t="n">
        <f aca="false">IF($P391="",0,IF($P391&lt;Hoje!$L$1,1,IF(AND($P391=Hoje!$L$1,Hoje!$L$2&gt;Semana!$M$3),1,0)))</f>
        <v>0</v>
      </c>
      <c r="AD391" s="39" t="str">
        <f aca="false">IF($F391="","",IF(COUNTA($I391:$K391)=0,0,1/COUNTA($I391:$K391)))</f>
        <v/>
      </c>
      <c r="AE391" s="39" t="str">
        <f aca="false">IF($AH391=0,"",SUM($AH$4:$AH391))</f>
        <v/>
      </c>
      <c r="AF391" s="39" t="str">
        <f aca="false">IF($AI391=0,"",SUM($AI$4:$AI391))</f>
        <v/>
      </c>
      <c r="AG391" s="50" t="str">
        <f aca="false">IF($F391="","",$I391&amp;IF($J391="",""," · "&amp;$J391)&amp;IF($K391="",""," · "&amp;$K391))</f>
        <v/>
      </c>
      <c r="AH391" s="39" t="n">
        <f aca="false">IF(AND($F391&lt;&gt;"",$O391&lt;&gt;"",$O391&lt;=Hoje!$C$3,$P391&gt;=Hoje!$C$3,$R391&lt;&gt;"Cancelada"),1,0)</f>
        <v>0</v>
      </c>
      <c r="AI391" s="39" t="n">
        <f aca="false">IF(AND($F391&lt;&gt;"",$P391&lt;&gt;"",$P391&lt;Hoje!$C$3,$AB391=0,$R391&lt;&gt;"Cancelada"),1,0)</f>
        <v>0</v>
      </c>
      <c r="AJ391" s="50" t="str">
        <f aca="false">IF($F391="","",$D391&amp;"|"&amp;$E391&amp;"|"&amp;$L391)</f>
        <v/>
      </c>
      <c r="AK391" s="39" t="str">
        <f aca="false">IF($AJ391="","",COUNTIF($AJ$4:$AJ391,$AJ391))</f>
        <v/>
      </c>
      <c r="AL391" s="39" t="str">
        <f aca="false">IF($AJ391="","",COUNTIF($AJ$4:$AJ$1004,$AJ391))</f>
        <v/>
      </c>
      <c r="AM391" s="42"/>
      <c r="AN391" s="50" t="str">
        <f aca="false">IF($D391="","",IFERROR(T(VLOOKUP($D391,Listas!$B$5:$H$120,7,0)),""))</f>
        <v/>
      </c>
      <c r="AO391" s="50" t="str">
        <f aca="false">IF(OR($F391="",$L391&lt;&gt;"",$R391="Cancelada",$AT391&lt;&gt;""),"",$AN391&amp;"|"&amp;$D391&amp;"|"&amp;IF($C391="","zzz",$C391)&amp;"|"&amp;TEXT(391,"0000"))</f>
        <v/>
      </c>
      <c r="AP391" s="50" t="str">
        <f aca="false">IF($AO391="","",COUNTIF($AO$5:$AO$1004,"&lt;"&amp;$AO391)-(ROWS($AO$5:$AO$1004)-Hoje!$L$5)+1)</f>
        <v/>
      </c>
      <c r="AQ391" s="50" t="n">
        <f aca="false">IF(AND($F391&lt;&gt;"",$D391=Frota!$C$3),1,0)</f>
        <v>0</v>
      </c>
      <c r="AR391" s="50" t="str">
        <f aca="false">IF($AQ391=0,"",SUM($AQ$4:$AQ391))</f>
        <v/>
      </c>
      <c r="AS391" s="50" t="str">
        <f aca="false">IFERROR(INDEX(Hoje!$K$10:$K$29,MATCH(ROW(),Hoje!$J$10:$J$29,0)),"")</f>
        <v/>
      </c>
      <c r="AT391" s="50" t="str">
        <f aca="false">IF($Q391&lt;&gt;"",$Q391,$AS391)</f>
        <v/>
      </c>
    </row>
    <row r="392" customFormat="false" ht="16.5" hidden="false" customHeight="true" outlineLevel="0" collapsed="false">
      <c r="A392" s="39" t="str">
        <f aca="false">IF($F392="","",ROW())</f>
        <v/>
      </c>
      <c r="B392" s="40" t="str">
        <f aca="false">IF($F392="",IF($D392="","","Falta a atividade"),IF($R392="Cancelada","Cancelada",IF($AB392=1,IF(N($Z392)&gt;0,"Concluída com atraso","Concluída"),IF($R392="Em programação","Em programação",IF($O392="",IF($M392="","Na carteira","Falta a semana"),IF($AC392=1,"VENCIDA",IF($O392&gt;Hoje!$L$1,"Programada",IF($P392&gt;Hoje!$L$1,"Em execução","Fecha hoje"))))))))</f>
        <v/>
      </c>
      <c r="C392" s="41"/>
      <c r="D392" s="42"/>
      <c r="E392" s="42"/>
      <c r="F392" s="42"/>
      <c r="G392" s="43"/>
      <c r="H392" s="43"/>
      <c r="I392" s="44"/>
      <c r="J392" s="44"/>
      <c r="K392" s="44"/>
      <c r="L392" s="45"/>
      <c r="M392" s="46"/>
      <c r="N392" s="45"/>
      <c r="O392" s="47" t="str">
        <f aca="false">IF(OR($L392="",$M392=""),"",(DATE(Semana!$J$3,1,4)-WEEKDAY(DATE(Semana!$J$3,1,4),3))+($L392-1)*7+MATCH($M392,Listas!$F$5:$F$11,0)-1)</f>
        <v/>
      </c>
      <c r="P392" s="47" t="str">
        <f aca="false">IF(OR($F392="",$O392=""),"",$O392+MAX(0,ROUNDUP($AK392*MAX(1,IF($N392="",1,$N392))/MAX(1,$AL392),0)-1))</f>
        <v/>
      </c>
      <c r="Q392" s="48"/>
      <c r="R392" s="43"/>
      <c r="S392" s="49"/>
      <c r="T392" s="42"/>
      <c r="U392" s="42"/>
      <c r="V392" s="39" t="str">
        <f aca="false">IF($F392="","",IF(ISNUMBER(SEARCH("(externo)",$I392&amp;$J392&amp;$K392)),"Terceirizada","Interna"))</f>
        <v/>
      </c>
      <c r="W392" s="47" t="str">
        <f aca="false">IF($O392="","",IF($S392="",$O392,(DATE(Semana!$J$3,1,4)-WEEKDAY(DATE(Semana!$J$3,1,4),3))+($S392-1)*7+IF($M392="",0,MATCH($M392,Listas!$F$5:$F$11,0)-1)))</f>
        <v/>
      </c>
      <c r="X392" s="39" t="str">
        <f aca="false">IF($F392="","",IF(OR($AT392="",$O392=""),0,IF($AT392&lt;=$O392,1,0)))</f>
        <v/>
      </c>
      <c r="Y392" s="39" t="str">
        <f aca="false">IF($F392="","",IF(OR($AT392="",$W392=""),0,IF($AT392&lt;=$W392,1,0)))</f>
        <v/>
      </c>
      <c r="Z392" s="39" t="str">
        <f aca="false">IF(OR($AT392="",$O392=""),"",MAX(0,$AT392-$O392))</f>
        <v/>
      </c>
      <c r="AA392" s="39" t="str">
        <f aca="false">IF($F392="","",IF(AND($S392&lt;&gt;"",$L392&lt;&gt;"",$S392&lt;&gt;$L392),1,0))</f>
        <v/>
      </c>
      <c r="AB392" s="39" t="str">
        <f aca="false">IF($F392="","",IF($R392="Cancelada",0,IF(OR($AT392&lt;&gt;"",$R392="Concluída"),1,0)))</f>
        <v/>
      </c>
      <c r="AC392" s="39" t="n">
        <f aca="false">IF($P392="",0,IF($P392&lt;Hoje!$L$1,1,IF(AND($P392=Hoje!$L$1,Hoje!$L$2&gt;Semana!$M$3),1,0)))</f>
        <v>0</v>
      </c>
      <c r="AD392" s="39" t="str">
        <f aca="false">IF($F392="","",IF(COUNTA($I392:$K392)=0,0,1/COUNTA($I392:$K392)))</f>
        <v/>
      </c>
      <c r="AE392" s="39" t="str">
        <f aca="false">IF($AH392=0,"",SUM($AH$4:$AH392))</f>
        <v/>
      </c>
      <c r="AF392" s="39" t="str">
        <f aca="false">IF($AI392=0,"",SUM($AI$4:$AI392))</f>
        <v/>
      </c>
      <c r="AG392" s="50" t="str">
        <f aca="false">IF($F392="","",$I392&amp;IF($J392="",""," · "&amp;$J392)&amp;IF($K392="",""," · "&amp;$K392))</f>
        <v/>
      </c>
      <c r="AH392" s="39" t="n">
        <f aca="false">IF(AND($F392&lt;&gt;"",$O392&lt;&gt;"",$O392&lt;=Hoje!$C$3,$P392&gt;=Hoje!$C$3,$R392&lt;&gt;"Cancelada"),1,0)</f>
        <v>0</v>
      </c>
      <c r="AI392" s="39" t="n">
        <f aca="false">IF(AND($F392&lt;&gt;"",$P392&lt;&gt;"",$P392&lt;Hoje!$C$3,$AB392=0,$R392&lt;&gt;"Cancelada"),1,0)</f>
        <v>0</v>
      </c>
      <c r="AJ392" s="50" t="str">
        <f aca="false">IF($F392="","",$D392&amp;"|"&amp;$E392&amp;"|"&amp;$L392)</f>
        <v/>
      </c>
      <c r="AK392" s="39" t="str">
        <f aca="false">IF($AJ392="","",COUNTIF($AJ$4:$AJ392,$AJ392))</f>
        <v/>
      </c>
      <c r="AL392" s="39" t="str">
        <f aca="false">IF($AJ392="","",COUNTIF($AJ$4:$AJ$1004,$AJ392))</f>
        <v/>
      </c>
      <c r="AM392" s="42"/>
      <c r="AN392" s="50" t="str">
        <f aca="false">IF($D392="","",IFERROR(T(VLOOKUP($D392,Listas!$B$5:$H$120,7,0)),""))</f>
        <v/>
      </c>
      <c r="AO392" s="50" t="str">
        <f aca="false">IF(OR($F392="",$L392&lt;&gt;"",$R392="Cancelada",$AT392&lt;&gt;""),"",$AN392&amp;"|"&amp;$D392&amp;"|"&amp;IF($C392="","zzz",$C392)&amp;"|"&amp;TEXT(392,"0000"))</f>
        <v/>
      </c>
      <c r="AP392" s="50" t="str">
        <f aca="false">IF($AO392="","",COUNTIF($AO$5:$AO$1004,"&lt;"&amp;$AO392)-(ROWS($AO$5:$AO$1004)-Hoje!$L$5)+1)</f>
        <v/>
      </c>
      <c r="AQ392" s="50" t="n">
        <f aca="false">IF(AND($F392&lt;&gt;"",$D392=Frota!$C$3),1,0)</f>
        <v>0</v>
      </c>
      <c r="AR392" s="50" t="str">
        <f aca="false">IF($AQ392=0,"",SUM($AQ$4:$AQ392))</f>
        <v/>
      </c>
      <c r="AS392" s="50" t="str">
        <f aca="false">IFERROR(INDEX(Hoje!$K$10:$K$29,MATCH(ROW(),Hoje!$J$10:$J$29,0)),"")</f>
        <v/>
      </c>
      <c r="AT392" s="50" t="str">
        <f aca="false">IF($Q392&lt;&gt;"",$Q392,$AS392)</f>
        <v/>
      </c>
    </row>
    <row r="393" customFormat="false" ht="16.5" hidden="false" customHeight="true" outlineLevel="0" collapsed="false">
      <c r="A393" s="39" t="str">
        <f aca="false">IF($F393="","",ROW())</f>
        <v/>
      </c>
      <c r="B393" s="40" t="str">
        <f aca="false">IF($F393="",IF($D393="","","Falta a atividade"),IF($R393="Cancelada","Cancelada",IF($AB393=1,IF(N($Z393)&gt;0,"Concluída com atraso","Concluída"),IF($R393="Em programação","Em programação",IF($O393="",IF($M393="","Na carteira","Falta a semana"),IF($AC393=1,"VENCIDA",IF($O393&gt;Hoje!$L$1,"Programada",IF($P393&gt;Hoje!$L$1,"Em execução","Fecha hoje"))))))))</f>
        <v/>
      </c>
      <c r="C393" s="41"/>
      <c r="D393" s="42"/>
      <c r="E393" s="42"/>
      <c r="F393" s="42"/>
      <c r="G393" s="43"/>
      <c r="H393" s="43"/>
      <c r="I393" s="44"/>
      <c r="J393" s="44"/>
      <c r="K393" s="44"/>
      <c r="L393" s="45"/>
      <c r="M393" s="46"/>
      <c r="N393" s="45"/>
      <c r="O393" s="47" t="str">
        <f aca="false">IF(OR($L393="",$M393=""),"",(DATE(Semana!$J$3,1,4)-WEEKDAY(DATE(Semana!$J$3,1,4),3))+($L393-1)*7+MATCH($M393,Listas!$F$5:$F$11,0)-1)</f>
        <v/>
      </c>
      <c r="P393" s="47" t="str">
        <f aca="false">IF(OR($F393="",$O393=""),"",$O393+MAX(0,ROUNDUP($AK393*MAX(1,IF($N393="",1,$N393))/MAX(1,$AL393),0)-1))</f>
        <v/>
      </c>
      <c r="Q393" s="48"/>
      <c r="R393" s="43"/>
      <c r="S393" s="49"/>
      <c r="T393" s="42"/>
      <c r="U393" s="42"/>
      <c r="V393" s="39" t="str">
        <f aca="false">IF($F393="","",IF(ISNUMBER(SEARCH("(externo)",$I393&amp;$J393&amp;$K393)),"Terceirizada","Interna"))</f>
        <v/>
      </c>
      <c r="W393" s="47" t="str">
        <f aca="false">IF($O393="","",IF($S393="",$O393,(DATE(Semana!$J$3,1,4)-WEEKDAY(DATE(Semana!$J$3,1,4),3))+($S393-1)*7+IF($M393="",0,MATCH($M393,Listas!$F$5:$F$11,0)-1)))</f>
        <v/>
      </c>
      <c r="X393" s="39" t="str">
        <f aca="false">IF($F393="","",IF(OR($AT393="",$O393=""),0,IF($AT393&lt;=$O393,1,0)))</f>
        <v/>
      </c>
      <c r="Y393" s="39" t="str">
        <f aca="false">IF($F393="","",IF(OR($AT393="",$W393=""),0,IF($AT393&lt;=$W393,1,0)))</f>
        <v/>
      </c>
      <c r="Z393" s="39" t="str">
        <f aca="false">IF(OR($AT393="",$O393=""),"",MAX(0,$AT393-$O393))</f>
        <v/>
      </c>
      <c r="AA393" s="39" t="str">
        <f aca="false">IF($F393="","",IF(AND($S393&lt;&gt;"",$L393&lt;&gt;"",$S393&lt;&gt;$L393),1,0))</f>
        <v/>
      </c>
      <c r="AB393" s="39" t="str">
        <f aca="false">IF($F393="","",IF($R393="Cancelada",0,IF(OR($AT393&lt;&gt;"",$R393="Concluída"),1,0)))</f>
        <v/>
      </c>
      <c r="AC393" s="39" t="n">
        <f aca="false">IF($P393="",0,IF($P393&lt;Hoje!$L$1,1,IF(AND($P393=Hoje!$L$1,Hoje!$L$2&gt;Semana!$M$3),1,0)))</f>
        <v>0</v>
      </c>
      <c r="AD393" s="39" t="str">
        <f aca="false">IF($F393="","",IF(COUNTA($I393:$K393)=0,0,1/COUNTA($I393:$K393)))</f>
        <v/>
      </c>
      <c r="AE393" s="39" t="str">
        <f aca="false">IF($AH393=0,"",SUM($AH$4:$AH393))</f>
        <v/>
      </c>
      <c r="AF393" s="39" t="str">
        <f aca="false">IF($AI393=0,"",SUM($AI$4:$AI393))</f>
        <v/>
      </c>
      <c r="AG393" s="50" t="str">
        <f aca="false">IF($F393="","",$I393&amp;IF($J393="",""," · "&amp;$J393)&amp;IF($K393="",""," · "&amp;$K393))</f>
        <v/>
      </c>
      <c r="AH393" s="39" t="n">
        <f aca="false">IF(AND($F393&lt;&gt;"",$O393&lt;&gt;"",$O393&lt;=Hoje!$C$3,$P393&gt;=Hoje!$C$3,$R393&lt;&gt;"Cancelada"),1,0)</f>
        <v>0</v>
      </c>
      <c r="AI393" s="39" t="n">
        <f aca="false">IF(AND($F393&lt;&gt;"",$P393&lt;&gt;"",$P393&lt;Hoje!$C$3,$AB393=0,$R393&lt;&gt;"Cancelada"),1,0)</f>
        <v>0</v>
      </c>
      <c r="AJ393" s="50" t="str">
        <f aca="false">IF($F393="","",$D393&amp;"|"&amp;$E393&amp;"|"&amp;$L393)</f>
        <v/>
      </c>
      <c r="AK393" s="39" t="str">
        <f aca="false">IF($AJ393="","",COUNTIF($AJ$4:$AJ393,$AJ393))</f>
        <v/>
      </c>
      <c r="AL393" s="39" t="str">
        <f aca="false">IF($AJ393="","",COUNTIF($AJ$4:$AJ$1004,$AJ393))</f>
        <v/>
      </c>
      <c r="AM393" s="42"/>
      <c r="AN393" s="50" t="str">
        <f aca="false">IF($D393="","",IFERROR(T(VLOOKUP($D393,Listas!$B$5:$H$120,7,0)),""))</f>
        <v/>
      </c>
      <c r="AO393" s="50" t="str">
        <f aca="false">IF(OR($F393="",$L393&lt;&gt;"",$R393="Cancelada",$AT393&lt;&gt;""),"",$AN393&amp;"|"&amp;$D393&amp;"|"&amp;IF($C393="","zzz",$C393)&amp;"|"&amp;TEXT(393,"0000"))</f>
        <v/>
      </c>
      <c r="AP393" s="50" t="str">
        <f aca="false">IF($AO393="","",COUNTIF($AO$5:$AO$1004,"&lt;"&amp;$AO393)-(ROWS($AO$5:$AO$1004)-Hoje!$L$5)+1)</f>
        <v/>
      </c>
      <c r="AQ393" s="50" t="n">
        <f aca="false">IF(AND($F393&lt;&gt;"",$D393=Frota!$C$3),1,0)</f>
        <v>0</v>
      </c>
      <c r="AR393" s="50" t="str">
        <f aca="false">IF($AQ393=0,"",SUM($AQ$4:$AQ393))</f>
        <v/>
      </c>
      <c r="AS393" s="50" t="str">
        <f aca="false">IFERROR(INDEX(Hoje!$K$10:$K$29,MATCH(ROW(),Hoje!$J$10:$J$29,0)),"")</f>
        <v/>
      </c>
      <c r="AT393" s="50" t="str">
        <f aca="false">IF($Q393&lt;&gt;"",$Q393,$AS393)</f>
        <v/>
      </c>
    </row>
    <row r="394" customFormat="false" ht="16.5" hidden="false" customHeight="true" outlineLevel="0" collapsed="false">
      <c r="A394" s="39" t="str">
        <f aca="false">IF($F394="","",ROW())</f>
        <v/>
      </c>
      <c r="B394" s="40" t="str">
        <f aca="false">IF($F394="",IF($D394="","","Falta a atividade"),IF($R394="Cancelada","Cancelada",IF($AB394=1,IF(N($Z394)&gt;0,"Concluída com atraso","Concluída"),IF($R394="Em programação","Em programação",IF($O394="",IF($M394="","Na carteira","Falta a semana"),IF($AC394=1,"VENCIDA",IF($O394&gt;Hoje!$L$1,"Programada",IF($P394&gt;Hoje!$L$1,"Em execução","Fecha hoje"))))))))</f>
        <v/>
      </c>
      <c r="C394" s="41"/>
      <c r="D394" s="42"/>
      <c r="E394" s="42"/>
      <c r="F394" s="42"/>
      <c r="G394" s="43"/>
      <c r="H394" s="43"/>
      <c r="I394" s="44"/>
      <c r="J394" s="44"/>
      <c r="K394" s="44"/>
      <c r="L394" s="45"/>
      <c r="M394" s="46"/>
      <c r="N394" s="45"/>
      <c r="O394" s="47" t="str">
        <f aca="false">IF(OR($L394="",$M394=""),"",(DATE(Semana!$J$3,1,4)-WEEKDAY(DATE(Semana!$J$3,1,4),3))+($L394-1)*7+MATCH($M394,Listas!$F$5:$F$11,0)-1)</f>
        <v/>
      </c>
      <c r="P394" s="47" t="str">
        <f aca="false">IF(OR($F394="",$O394=""),"",$O394+MAX(0,ROUNDUP($AK394*MAX(1,IF($N394="",1,$N394))/MAX(1,$AL394),0)-1))</f>
        <v/>
      </c>
      <c r="Q394" s="48"/>
      <c r="R394" s="43"/>
      <c r="S394" s="49"/>
      <c r="T394" s="42"/>
      <c r="U394" s="42"/>
      <c r="V394" s="39" t="str">
        <f aca="false">IF($F394="","",IF(ISNUMBER(SEARCH("(externo)",$I394&amp;$J394&amp;$K394)),"Terceirizada","Interna"))</f>
        <v/>
      </c>
      <c r="W394" s="47" t="str">
        <f aca="false">IF($O394="","",IF($S394="",$O394,(DATE(Semana!$J$3,1,4)-WEEKDAY(DATE(Semana!$J$3,1,4),3))+($S394-1)*7+IF($M394="",0,MATCH($M394,Listas!$F$5:$F$11,0)-1)))</f>
        <v/>
      </c>
      <c r="X394" s="39" t="str">
        <f aca="false">IF($F394="","",IF(OR($AT394="",$O394=""),0,IF($AT394&lt;=$O394,1,0)))</f>
        <v/>
      </c>
      <c r="Y394" s="39" t="str">
        <f aca="false">IF($F394="","",IF(OR($AT394="",$W394=""),0,IF($AT394&lt;=$W394,1,0)))</f>
        <v/>
      </c>
      <c r="Z394" s="39" t="str">
        <f aca="false">IF(OR($AT394="",$O394=""),"",MAX(0,$AT394-$O394))</f>
        <v/>
      </c>
      <c r="AA394" s="39" t="str">
        <f aca="false">IF($F394="","",IF(AND($S394&lt;&gt;"",$L394&lt;&gt;"",$S394&lt;&gt;$L394),1,0))</f>
        <v/>
      </c>
      <c r="AB394" s="39" t="str">
        <f aca="false">IF($F394="","",IF($R394="Cancelada",0,IF(OR($AT394&lt;&gt;"",$R394="Concluída"),1,0)))</f>
        <v/>
      </c>
      <c r="AC394" s="39" t="n">
        <f aca="false">IF($P394="",0,IF($P394&lt;Hoje!$L$1,1,IF(AND($P394=Hoje!$L$1,Hoje!$L$2&gt;Semana!$M$3),1,0)))</f>
        <v>0</v>
      </c>
      <c r="AD394" s="39" t="str">
        <f aca="false">IF($F394="","",IF(COUNTA($I394:$K394)=0,0,1/COUNTA($I394:$K394)))</f>
        <v/>
      </c>
      <c r="AE394" s="39" t="str">
        <f aca="false">IF($AH394=0,"",SUM($AH$4:$AH394))</f>
        <v/>
      </c>
      <c r="AF394" s="39" t="str">
        <f aca="false">IF($AI394=0,"",SUM($AI$4:$AI394))</f>
        <v/>
      </c>
      <c r="AG394" s="50" t="str">
        <f aca="false">IF($F394="","",$I394&amp;IF($J394="",""," · "&amp;$J394)&amp;IF($K394="",""," · "&amp;$K394))</f>
        <v/>
      </c>
      <c r="AH394" s="39" t="n">
        <f aca="false">IF(AND($F394&lt;&gt;"",$O394&lt;&gt;"",$O394&lt;=Hoje!$C$3,$P394&gt;=Hoje!$C$3,$R394&lt;&gt;"Cancelada"),1,0)</f>
        <v>0</v>
      </c>
      <c r="AI394" s="39" t="n">
        <f aca="false">IF(AND($F394&lt;&gt;"",$P394&lt;&gt;"",$P394&lt;Hoje!$C$3,$AB394=0,$R394&lt;&gt;"Cancelada"),1,0)</f>
        <v>0</v>
      </c>
      <c r="AJ394" s="50" t="str">
        <f aca="false">IF($F394="","",$D394&amp;"|"&amp;$E394&amp;"|"&amp;$L394)</f>
        <v/>
      </c>
      <c r="AK394" s="39" t="str">
        <f aca="false">IF($AJ394="","",COUNTIF($AJ$4:$AJ394,$AJ394))</f>
        <v/>
      </c>
      <c r="AL394" s="39" t="str">
        <f aca="false">IF($AJ394="","",COUNTIF($AJ$4:$AJ$1004,$AJ394))</f>
        <v/>
      </c>
      <c r="AM394" s="42"/>
      <c r="AN394" s="50" t="str">
        <f aca="false">IF($D394="","",IFERROR(T(VLOOKUP($D394,Listas!$B$5:$H$120,7,0)),""))</f>
        <v/>
      </c>
      <c r="AO394" s="50" t="str">
        <f aca="false">IF(OR($F394="",$L394&lt;&gt;"",$R394="Cancelada",$AT394&lt;&gt;""),"",$AN394&amp;"|"&amp;$D394&amp;"|"&amp;IF($C394="","zzz",$C394)&amp;"|"&amp;TEXT(394,"0000"))</f>
        <v/>
      </c>
      <c r="AP394" s="50" t="str">
        <f aca="false">IF($AO394="","",COUNTIF($AO$5:$AO$1004,"&lt;"&amp;$AO394)-(ROWS($AO$5:$AO$1004)-Hoje!$L$5)+1)</f>
        <v/>
      </c>
      <c r="AQ394" s="50" t="n">
        <f aca="false">IF(AND($F394&lt;&gt;"",$D394=Frota!$C$3),1,0)</f>
        <v>0</v>
      </c>
      <c r="AR394" s="50" t="str">
        <f aca="false">IF($AQ394=0,"",SUM($AQ$4:$AQ394))</f>
        <v/>
      </c>
      <c r="AS394" s="50" t="str">
        <f aca="false">IFERROR(INDEX(Hoje!$K$10:$K$29,MATCH(ROW(),Hoje!$J$10:$J$29,0)),"")</f>
        <v/>
      </c>
      <c r="AT394" s="50" t="str">
        <f aca="false">IF($Q394&lt;&gt;"",$Q394,$AS394)</f>
        <v/>
      </c>
    </row>
    <row r="395" customFormat="false" ht="16.5" hidden="false" customHeight="true" outlineLevel="0" collapsed="false">
      <c r="A395" s="39" t="str">
        <f aca="false">IF($F395="","",ROW())</f>
        <v/>
      </c>
      <c r="B395" s="40" t="str">
        <f aca="false">IF($F395="",IF($D395="","","Falta a atividade"),IF($R395="Cancelada","Cancelada",IF($AB395=1,IF(N($Z395)&gt;0,"Concluída com atraso","Concluída"),IF($R395="Em programação","Em programação",IF($O395="",IF($M395="","Na carteira","Falta a semana"),IF($AC395=1,"VENCIDA",IF($O395&gt;Hoje!$L$1,"Programada",IF($P395&gt;Hoje!$L$1,"Em execução","Fecha hoje"))))))))</f>
        <v/>
      </c>
      <c r="C395" s="41"/>
      <c r="D395" s="42"/>
      <c r="E395" s="42"/>
      <c r="F395" s="42"/>
      <c r="G395" s="43"/>
      <c r="H395" s="43"/>
      <c r="I395" s="44"/>
      <c r="J395" s="44"/>
      <c r="K395" s="44"/>
      <c r="L395" s="45"/>
      <c r="M395" s="46"/>
      <c r="N395" s="45"/>
      <c r="O395" s="47" t="str">
        <f aca="false">IF(OR($L395="",$M395=""),"",(DATE(Semana!$J$3,1,4)-WEEKDAY(DATE(Semana!$J$3,1,4),3))+($L395-1)*7+MATCH($M395,Listas!$F$5:$F$11,0)-1)</f>
        <v/>
      </c>
      <c r="P395" s="47" t="str">
        <f aca="false">IF(OR($F395="",$O395=""),"",$O395+MAX(0,ROUNDUP($AK395*MAX(1,IF($N395="",1,$N395))/MAX(1,$AL395),0)-1))</f>
        <v/>
      </c>
      <c r="Q395" s="48"/>
      <c r="R395" s="43"/>
      <c r="S395" s="49"/>
      <c r="T395" s="42"/>
      <c r="U395" s="42"/>
      <c r="V395" s="39" t="str">
        <f aca="false">IF($F395="","",IF(ISNUMBER(SEARCH("(externo)",$I395&amp;$J395&amp;$K395)),"Terceirizada","Interna"))</f>
        <v/>
      </c>
      <c r="W395" s="47" t="str">
        <f aca="false">IF($O395="","",IF($S395="",$O395,(DATE(Semana!$J$3,1,4)-WEEKDAY(DATE(Semana!$J$3,1,4),3))+($S395-1)*7+IF($M395="",0,MATCH($M395,Listas!$F$5:$F$11,0)-1)))</f>
        <v/>
      </c>
      <c r="X395" s="39" t="str">
        <f aca="false">IF($F395="","",IF(OR($AT395="",$O395=""),0,IF($AT395&lt;=$O395,1,0)))</f>
        <v/>
      </c>
      <c r="Y395" s="39" t="str">
        <f aca="false">IF($F395="","",IF(OR($AT395="",$W395=""),0,IF($AT395&lt;=$W395,1,0)))</f>
        <v/>
      </c>
      <c r="Z395" s="39" t="str">
        <f aca="false">IF(OR($AT395="",$O395=""),"",MAX(0,$AT395-$O395))</f>
        <v/>
      </c>
      <c r="AA395" s="39" t="str">
        <f aca="false">IF($F395="","",IF(AND($S395&lt;&gt;"",$L395&lt;&gt;"",$S395&lt;&gt;$L395),1,0))</f>
        <v/>
      </c>
      <c r="AB395" s="39" t="str">
        <f aca="false">IF($F395="","",IF($R395="Cancelada",0,IF(OR($AT395&lt;&gt;"",$R395="Concluída"),1,0)))</f>
        <v/>
      </c>
      <c r="AC395" s="39" t="n">
        <f aca="false">IF($P395="",0,IF($P395&lt;Hoje!$L$1,1,IF(AND($P395=Hoje!$L$1,Hoje!$L$2&gt;Semana!$M$3),1,0)))</f>
        <v>0</v>
      </c>
      <c r="AD395" s="39" t="str">
        <f aca="false">IF($F395="","",IF(COUNTA($I395:$K395)=0,0,1/COUNTA($I395:$K395)))</f>
        <v/>
      </c>
      <c r="AE395" s="39" t="str">
        <f aca="false">IF($AH395=0,"",SUM($AH$4:$AH395))</f>
        <v/>
      </c>
      <c r="AF395" s="39" t="str">
        <f aca="false">IF($AI395=0,"",SUM($AI$4:$AI395))</f>
        <v/>
      </c>
      <c r="AG395" s="50" t="str">
        <f aca="false">IF($F395="","",$I395&amp;IF($J395="",""," · "&amp;$J395)&amp;IF($K395="",""," · "&amp;$K395))</f>
        <v/>
      </c>
      <c r="AH395" s="39" t="n">
        <f aca="false">IF(AND($F395&lt;&gt;"",$O395&lt;&gt;"",$O395&lt;=Hoje!$C$3,$P395&gt;=Hoje!$C$3,$R395&lt;&gt;"Cancelada"),1,0)</f>
        <v>0</v>
      </c>
      <c r="AI395" s="39" t="n">
        <f aca="false">IF(AND($F395&lt;&gt;"",$P395&lt;&gt;"",$P395&lt;Hoje!$C$3,$AB395=0,$R395&lt;&gt;"Cancelada"),1,0)</f>
        <v>0</v>
      </c>
      <c r="AJ395" s="50" t="str">
        <f aca="false">IF($F395="","",$D395&amp;"|"&amp;$E395&amp;"|"&amp;$L395)</f>
        <v/>
      </c>
      <c r="AK395" s="39" t="str">
        <f aca="false">IF($AJ395="","",COUNTIF($AJ$4:$AJ395,$AJ395))</f>
        <v/>
      </c>
      <c r="AL395" s="39" t="str">
        <f aca="false">IF($AJ395="","",COUNTIF($AJ$4:$AJ$1004,$AJ395))</f>
        <v/>
      </c>
      <c r="AM395" s="42"/>
      <c r="AN395" s="50" t="str">
        <f aca="false">IF($D395="","",IFERROR(T(VLOOKUP($D395,Listas!$B$5:$H$120,7,0)),""))</f>
        <v/>
      </c>
      <c r="AO395" s="50" t="str">
        <f aca="false">IF(OR($F395="",$L395&lt;&gt;"",$R395="Cancelada",$AT395&lt;&gt;""),"",$AN395&amp;"|"&amp;$D395&amp;"|"&amp;IF($C395="","zzz",$C395)&amp;"|"&amp;TEXT(395,"0000"))</f>
        <v/>
      </c>
      <c r="AP395" s="50" t="str">
        <f aca="false">IF($AO395="","",COUNTIF($AO$5:$AO$1004,"&lt;"&amp;$AO395)-(ROWS($AO$5:$AO$1004)-Hoje!$L$5)+1)</f>
        <v/>
      </c>
      <c r="AQ395" s="50" t="n">
        <f aca="false">IF(AND($F395&lt;&gt;"",$D395=Frota!$C$3),1,0)</f>
        <v>0</v>
      </c>
      <c r="AR395" s="50" t="str">
        <f aca="false">IF($AQ395=0,"",SUM($AQ$4:$AQ395))</f>
        <v/>
      </c>
      <c r="AS395" s="50" t="str">
        <f aca="false">IFERROR(INDEX(Hoje!$K$10:$K$29,MATCH(ROW(),Hoje!$J$10:$J$29,0)),"")</f>
        <v/>
      </c>
      <c r="AT395" s="50" t="str">
        <f aca="false">IF($Q395&lt;&gt;"",$Q395,$AS395)</f>
        <v/>
      </c>
    </row>
    <row r="396" customFormat="false" ht="16.5" hidden="false" customHeight="true" outlineLevel="0" collapsed="false">
      <c r="A396" s="39" t="str">
        <f aca="false">IF($F396="","",ROW())</f>
        <v/>
      </c>
      <c r="B396" s="40" t="str">
        <f aca="false">IF($F396="",IF($D396="","","Falta a atividade"),IF($R396="Cancelada","Cancelada",IF($AB396=1,IF(N($Z396)&gt;0,"Concluída com atraso","Concluída"),IF($R396="Em programação","Em programação",IF($O396="",IF($M396="","Na carteira","Falta a semana"),IF($AC396=1,"VENCIDA",IF($O396&gt;Hoje!$L$1,"Programada",IF($P396&gt;Hoje!$L$1,"Em execução","Fecha hoje"))))))))</f>
        <v/>
      </c>
      <c r="C396" s="41"/>
      <c r="D396" s="42"/>
      <c r="E396" s="42"/>
      <c r="F396" s="42"/>
      <c r="G396" s="43"/>
      <c r="H396" s="43"/>
      <c r="I396" s="44"/>
      <c r="J396" s="44"/>
      <c r="K396" s="44"/>
      <c r="L396" s="45"/>
      <c r="M396" s="46"/>
      <c r="N396" s="45"/>
      <c r="O396" s="47" t="str">
        <f aca="false">IF(OR($L396="",$M396=""),"",(DATE(Semana!$J$3,1,4)-WEEKDAY(DATE(Semana!$J$3,1,4),3))+($L396-1)*7+MATCH($M396,Listas!$F$5:$F$11,0)-1)</f>
        <v/>
      </c>
      <c r="P396" s="47" t="str">
        <f aca="false">IF(OR($F396="",$O396=""),"",$O396+MAX(0,ROUNDUP($AK396*MAX(1,IF($N396="",1,$N396))/MAX(1,$AL396),0)-1))</f>
        <v/>
      </c>
      <c r="Q396" s="48"/>
      <c r="R396" s="43"/>
      <c r="S396" s="49"/>
      <c r="T396" s="42"/>
      <c r="U396" s="42"/>
      <c r="V396" s="39" t="str">
        <f aca="false">IF($F396="","",IF(ISNUMBER(SEARCH("(externo)",$I396&amp;$J396&amp;$K396)),"Terceirizada","Interna"))</f>
        <v/>
      </c>
      <c r="W396" s="47" t="str">
        <f aca="false">IF($O396="","",IF($S396="",$O396,(DATE(Semana!$J$3,1,4)-WEEKDAY(DATE(Semana!$J$3,1,4),3))+($S396-1)*7+IF($M396="",0,MATCH($M396,Listas!$F$5:$F$11,0)-1)))</f>
        <v/>
      </c>
      <c r="X396" s="39" t="str">
        <f aca="false">IF($F396="","",IF(OR($AT396="",$O396=""),0,IF($AT396&lt;=$O396,1,0)))</f>
        <v/>
      </c>
      <c r="Y396" s="39" t="str">
        <f aca="false">IF($F396="","",IF(OR($AT396="",$W396=""),0,IF($AT396&lt;=$W396,1,0)))</f>
        <v/>
      </c>
      <c r="Z396" s="39" t="str">
        <f aca="false">IF(OR($AT396="",$O396=""),"",MAX(0,$AT396-$O396))</f>
        <v/>
      </c>
      <c r="AA396" s="39" t="str">
        <f aca="false">IF($F396="","",IF(AND($S396&lt;&gt;"",$L396&lt;&gt;"",$S396&lt;&gt;$L396),1,0))</f>
        <v/>
      </c>
      <c r="AB396" s="39" t="str">
        <f aca="false">IF($F396="","",IF($R396="Cancelada",0,IF(OR($AT396&lt;&gt;"",$R396="Concluída"),1,0)))</f>
        <v/>
      </c>
      <c r="AC396" s="39" t="n">
        <f aca="false">IF($P396="",0,IF($P396&lt;Hoje!$L$1,1,IF(AND($P396=Hoje!$L$1,Hoje!$L$2&gt;Semana!$M$3),1,0)))</f>
        <v>0</v>
      </c>
      <c r="AD396" s="39" t="str">
        <f aca="false">IF($F396="","",IF(COUNTA($I396:$K396)=0,0,1/COUNTA($I396:$K396)))</f>
        <v/>
      </c>
      <c r="AE396" s="39" t="str">
        <f aca="false">IF($AH396=0,"",SUM($AH$4:$AH396))</f>
        <v/>
      </c>
      <c r="AF396" s="39" t="str">
        <f aca="false">IF($AI396=0,"",SUM($AI$4:$AI396))</f>
        <v/>
      </c>
      <c r="AG396" s="50" t="str">
        <f aca="false">IF($F396="","",$I396&amp;IF($J396="",""," · "&amp;$J396)&amp;IF($K396="",""," · "&amp;$K396))</f>
        <v/>
      </c>
      <c r="AH396" s="39" t="n">
        <f aca="false">IF(AND($F396&lt;&gt;"",$O396&lt;&gt;"",$O396&lt;=Hoje!$C$3,$P396&gt;=Hoje!$C$3,$R396&lt;&gt;"Cancelada"),1,0)</f>
        <v>0</v>
      </c>
      <c r="AI396" s="39" t="n">
        <f aca="false">IF(AND($F396&lt;&gt;"",$P396&lt;&gt;"",$P396&lt;Hoje!$C$3,$AB396=0,$R396&lt;&gt;"Cancelada"),1,0)</f>
        <v>0</v>
      </c>
      <c r="AJ396" s="50" t="str">
        <f aca="false">IF($F396="","",$D396&amp;"|"&amp;$E396&amp;"|"&amp;$L396)</f>
        <v/>
      </c>
      <c r="AK396" s="39" t="str">
        <f aca="false">IF($AJ396="","",COUNTIF($AJ$4:$AJ396,$AJ396))</f>
        <v/>
      </c>
      <c r="AL396" s="39" t="str">
        <f aca="false">IF($AJ396="","",COUNTIF($AJ$4:$AJ$1004,$AJ396))</f>
        <v/>
      </c>
      <c r="AM396" s="42"/>
      <c r="AN396" s="50" t="str">
        <f aca="false">IF($D396="","",IFERROR(T(VLOOKUP($D396,Listas!$B$5:$H$120,7,0)),""))</f>
        <v/>
      </c>
      <c r="AO396" s="50" t="str">
        <f aca="false">IF(OR($F396="",$L396&lt;&gt;"",$R396="Cancelada",$AT396&lt;&gt;""),"",$AN396&amp;"|"&amp;$D396&amp;"|"&amp;IF($C396="","zzz",$C396)&amp;"|"&amp;TEXT(396,"0000"))</f>
        <v/>
      </c>
      <c r="AP396" s="50" t="str">
        <f aca="false">IF($AO396="","",COUNTIF($AO$5:$AO$1004,"&lt;"&amp;$AO396)-(ROWS($AO$5:$AO$1004)-Hoje!$L$5)+1)</f>
        <v/>
      </c>
      <c r="AQ396" s="50" t="n">
        <f aca="false">IF(AND($F396&lt;&gt;"",$D396=Frota!$C$3),1,0)</f>
        <v>0</v>
      </c>
      <c r="AR396" s="50" t="str">
        <f aca="false">IF($AQ396=0,"",SUM($AQ$4:$AQ396))</f>
        <v/>
      </c>
      <c r="AS396" s="50" t="str">
        <f aca="false">IFERROR(INDEX(Hoje!$K$10:$K$29,MATCH(ROW(),Hoje!$J$10:$J$29,0)),"")</f>
        <v/>
      </c>
      <c r="AT396" s="50" t="str">
        <f aca="false">IF($Q396&lt;&gt;"",$Q396,$AS396)</f>
        <v/>
      </c>
    </row>
    <row r="397" customFormat="false" ht="16.5" hidden="false" customHeight="true" outlineLevel="0" collapsed="false">
      <c r="A397" s="39" t="str">
        <f aca="false">IF($F397="","",ROW())</f>
        <v/>
      </c>
      <c r="B397" s="40" t="str">
        <f aca="false">IF($F397="",IF($D397="","","Falta a atividade"),IF($R397="Cancelada","Cancelada",IF($AB397=1,IF(N($Z397)&gt;0,"Concluída com atraso","Concluída"),IF($R397="Em programação","Em programação",IF($O397="",IF($M397="","Na carteira","Falta a semana"),IF($AC397=1,"VENCIDA",IF($O397&gt;Hoje!$L$1,"Programada",IF($P397&gt;Hoje!$L$1,"Em execução","Fecha hoje"))))))))</f>
        <v/>
      </c>
      <c r="C397" s="41"/>
      <c r="D397" s="42"/>
      <c r="E397" s="42"/>
      <c r="F397" s="42"/>
      <c r="G397" s="43"/>
      <c r="H397" s="43"/>
      <c r="I397" s="44"/>
      <c r="J397" s="44"/>
      <c r="K397" s="44"/>
      <c r="L397" s="45"/>
      <c r="M397" s="46"/>
      <c r="N397" s="45"/>
      <c r="O397" s="47" t="str">
        <f aca="false">IF(OR($L397="",$M397=""),"",(DATE(Semana!$J$3,1,4)-WEEKDAY(DATE(Semana!$J$3,1,4),3))+($L397-1)*7+MATCH($M397,Listas!$F$5:$F$11,0)-1)</f>
        <v/>
      </c>
      <c r="P397" s="47" t="str">
        <f aca="false">IF(OR($F397="",$O397=""),"",$O397+MAX(0,ROUNDUP($AK397*MAX(1,IF($N397="",1,$N397))/MAX(1,$AL397),0)-1))</f>
        <v/>
      </c>
      <c r="Q397" s="48"/>
      <c r="R397" s="43"/>
      <c r="S397" s="49"/>
      <c r="T397" s="42"/>
      <c r="U397" s="42"/>
      <c r="V397" s="39" t="str">
        <f aca="false">IF($F397="","",IF(ISNUMBER(SEARCH("(externo)",$I397&amp;$J397&amp;$K397)),"Terceirizada","Interna"))</f>
        <v/>
      </c>
      <c r="W397" s="47" t="str">
        <f aca="false">IF($O397="","",IF($S397="",$O397,(DATE(Semana!$J$3,1,4)-WEEKDAY(DATE(Semana!$J$3,1,4),3))+($S397-1)*7+IF($M397="",0,MATCH($M397,Listas!$F$5:$F$11,0)-1)))</f>
        <v/>
      </c>
      <c r="X397" s="39" t="str">
        <f aca="false">IF($F397="","",IF(OR($AT397="",$O397=""),0,IF($AT397&lt;=$O397,1,0)))</f>
        <v/>
      </c>
      <c r="Y397" s="39" t="str">
        <f aca="false">IF($F397="","",IF(OR($AT397="",$W397=""),0,IF($AT397&lt;=$W397,1,0)))</f>
        <v/>
      </c>
      <c r="Z397" s="39" t="str">
        <f aca="false">IF(OR($AT397="",$O397=""),"",MAX(0,$AT397-$O397))</f>
        <v/>
      </c>
      <c r="AA397" s="39" t="str">
        <f aca="false">IF($F397="","",IF(AND($S397&lt;&gt;"",$L397&lt;&gt;"",$S397&lt;&gt;$L397),1,0))</f>
        <v/>
      </c>
      <c r="AB397" s="39" t="str">
        <f aca="false">IF($F397="","",IF($R397="Cancelada",0,IF(OR($AT397&lt;&gt;"",$R397="Concluída"),1,0)))</f>
        <v/>
      </c>
      <c r="AC397" s="39" t="n">
        <f aca="false">IF($P397="",0,IF($P397&lt;Hoje!$L$1,1,IF(AND($P397=Hoje!$L$1,Hoje!$L$2&gt;Semana!$M$3),1,0)))</f>
        <v>0</v>
      </c>
      <c r="AD397" s="39" t="str">
        <f aca="false">IF($F397="","",IF(COUNTA($I397:$K397)=0,0,1/COUNTA($I397:$K397)))</f>
        <v/>
      </c>
      <c r="AE397" s="39" t="str">
        <f aca="false">IF($AH397=0,"",SUM($AH$4:$AH397))</f>
        <v/>
      </c>
      <c r="AF397" s="39" t="str">
        <f aca="false">IF($AI397=0,"",SUM($AI$4:$AI397))</f>
        <v/>
      </c>
      <c r="AG397" s="50" t="str">
        <f aca="false">IF($F397="","",$I397&amp;IF($J397="",""," · "&amp;$J397)&amp;IF($K397="",""," · "&amp;$K397))</f>
        <v/>
      </c>
      <c r="AH397" s="39" t="n">
        <f aca="false">IF(AND($F397&lt;&gt;"",$O397&lt;&gt;"",$O397&lt;=Hoje!$C$3,$P397&gt;=Hoje!$C$3,$R397&lt;&gt;"Cancelada"),1,0)</f>
        <v>0</v>
      </c>
      <c r="AI397" s="39" t="n">
        <f aca="false">IF(AND($F397&lt;&gt;"",$P397&lt;&gt;"",$P397&lt;Hoje!$C$3,$AB397=0,$R397&lt;&gt;"Cancelada"),1,0)</f>
        <v>0</v>
      </c>
      <c r="AJ397" s="50" t="str">
        <f aca="false">IF($F397="","",$D397&amp;"|"&amp;$E397&amp;"|"&amp;$L397)</f>
        <v/>
      </c>
      <c r="AK397" s="39" t="str">
        <f aca="false">IF($AJ397="","",COUNTIF($AJ$4:$AJ397,$AJ397))</f>
        <v/>
      </c>
      <c r="AL397" s="39" t="str">
        <f aca="false">IF($AJ397="","",COUNTIF($AJ$4:$AJ$1004,$AJ397))</f>
        <v/>
      </c>
      <c r="AM397" s="42"/>
      <c r="AN397" s="50" t="str">
        <f aca="false">IF($D397="","",IFERROR(T(VLOOKUP($D397,Listas!$B$5:$H$120,7,0)),""))</f>
        <v/>
      </c>
      <c r="AO397" s="50" t="str">
        <f aca="false">IF(OR($F397="",$L397&lt;&gt;"",$R397="Cancelada",$AT397&lt;&gt;""),"",$AN397&amp;"|"&amp;$D397&amp;"|"&amp;IF($C397="","zzz",$C397)&amp;"|"&amp;TEXT(397,"0000"))</f>
        <v/>
      </c>
      <c r="AP397" s="50" t="str">
        <f aca="false">IF($AO397="","",COUNTIF($AO$5:$AO$1004,"&lt;"&amp;$AO397)-(ROWS($AO$5:$AO$1004)-Hoje!$L$5)+1)</f>
        <v/>
      </c>
      <c r="AQ397" s="50" t="n">
        <f aca="false">IF(AND($F397&lt;&gt;"",$D397=Frota!$C$3),1,0)</f>
        <v>0</v>
      </c>
      <c r="AR397" s="50" t="str">
        <f aca="false">IF($AQ397=0,"",SUM($AQ$4:$AQ397))</f>
        <v/>
      </c>
      <c r="AS397" s="50" t="str">
        <f aca="false">IFERROR(INDEX(Hoje!$K$10:$K$29,MATCH(ROW(),Hoje!$J$10:$J$29,0)),"")</f>
        <v/>
      </c>
      <c r="AT397" s="50" t="str">
        <f aca="false">IF($Q397&lt;&gt;"",$Q397,$AS397)</f>
        <v/>
      </c>
    </row>
    <row r="398" customFormat="false" ht="16.5" hidden="false" customHeight="true" outlineLevel="0" collapsed="false">
      <c r="A398" s="39" t="str">
        <f aca="false">IF($F398="","",ROW())</f>
        <v/>
      </c>
      <c r="B398" s="40" t="str">
        <f aca="false">IF($F398="",IF($D398="","","Falta a atividade"),IF($R398="Cancelada","Cancelada",IF($AB398=1,IF(N($Z398)&gt;0,"Concluída com atraso","Concluída"),IF($R398="Em programação","Em programação",IF($O398="",IF($M398="","Na carteira","Falta a semana"),IF($AC398=1,"VENCIDA",IF($O398&gt;Hoje!$L$1,"Programada",IF($P398&gt;Hoje!$L$1,"Em execução","Fecha hoje"))))))))</f>
        <v/>
      </c>
      <c r="C398" s="41"/>
      <c r="D398" s="42"/>
      <c r="E398" s="42"/>
      <c r="F398" s="42"/>
      <c r="G398" s="43"/>
      <c r="H398" s="43"/>
      <c r="I398" s="44"/>
      <c r="J398" s="44"/>
      <c r="K398" s="44"/>
      <c r="L398" s="45"/>
      <c r="M398" s="46"/>
      <c r="N398" s="45"/>
      <c r="O398" s="47" t="str">
        <f aca="false">IF(OR($L398="",$M398=""),"",(DATE(Semana!$J$3,1,4)-WEEKDAY(DATE(Semana!$J$3,1,4),3))+($L398-1)*7+MATCH($M398,Listas!$F$5:$F$11,0)-1)</f>
        <v/>
      </c>
      <c r="P398" s="47" t="str">
        <f aca="false">IF(OR($F398="",$O398=""),"",$O398+MAX(0,ROUNDUP($AK398*MAX(1,IF($N398="",1,$N398))/MAX(1,$AL398),0)-1))</f>
        <v/>
      </c>
      <c r="Q398" s="48"/>
      <c r="R398" s="43"/>
      <c r="S398" s="49"/>
      <c r="T398" s="42"/>
      <c r="U398" s="42"/>
      <c r="V398" s="39" t="str">
        <f aca="false">IF($F398="","",IF(ISNUMBER(SEARCH("(externo)",$I398&amp;$J398&amp;$K398)),"Terceirizada","Interna"))</f>
        <v/>
      </c>
      <c r="W398" s="47" t="str">
        <f aca="false">IF($O398="","",IF($S398="",$O398,(DATE(Semana!$J$3,1,4)-WEEKDAY(DATE(Semana!$J$3,1,4),3))+($S398-1)*7+IF($M398="",0,MATCH($M398,Listas!$F$5:$F$11,0)-1)))</f>
        <v/>
      </c>
      <c r="X398" s="39" t="str">
        <f aca="false">IF($F398="","",IF(OR($AT398="",$O398=""),0,IF($AT398&lt;=$O398,1,0)))</f>
        <v/>
      </c>
      <c r="Y398" s="39" t="str">
        <f aca="false">IF($F398="","",IF(OR($AT398="",$W398=""),0,IF($AT398&lt;=$W398,1,0)))</f>
        <v/>
      </c>
      <c r="Z398" s="39" t="str">
        <f aca="false">IF(OR($AT398="",$O398=""),"",MAX(0,$AT398-$O398))</f>
        <v/>
      </c>
      <c r="AA398" s="39" t="str">
        <f aca="false">IF($F398="","",IF(AND($S398&lt;&gt;"",$L398&lt;&gt;"",$S398&lt;&gt;$L398),1,0))</f>
        <v/>
      </c>
      <c r="AB398" s="39" t="str">
        <f aca="false">IF($F398="","",IF($R398="Cancelada",0,IF(OR($AT398&lt;&gt;"",$R398="Concluída"),1,0)))</f>
        <v/>
      </c>
      <c r="AC398" s="39" t="n">
        <f aca="false">IF($P398="",0,IF($P398&lt;Hoje!$L$1,1,IF(AND($P398=Hoje!$L$1,Hoje!$L$2&gt;Semana!$M$3),1,0)))</f>
        <v>0</v>
      </c>
      <c r="AD398" s="39" t="str">
        <f aca="false">IF($F398="","",IF(COUNTA($I398:$K398)=0,0,1/COUNTA($I398:$K398)))</f>
        <v/>
      </c>
      <c r="AE398" s="39" t="str">
        <f aca="false">IF($AH398=0,"",SUM($AH$4:$AH398))</f>
        <v/>
      </c>
      <c r="AF398" s="39" t="str">
        <f aca="false">IF($AI398=0,"",SUM($AI$4:$AI398))</f>
        <v/>
      </c>
      <c r="AG398" s="50" t="str">
        <f aca="false">IF($F398="","",$I398&amp;IF($J398="",""," · "&amp;$J398)&amp;IF($K398="",""," · "&amp;$K398))</f>
        <v/>
      </c>
      <c r="AH398" s="39" t="n">
        <f aca="false">IF(AND($F398&lt;&gt;"",$O398&lt;&gt;"",$O398&lt;=Hoje!$C$3,$P398&gt;=Hoje!$C$3,$R398&lt;&gt;"Cancelada"),1,0)</f>
        <v>0</v>
      </c>
      <c r="AI398" s="39" t="n">
        <f aca="false">IF(AND($F398&lt;&gt;"",$P398&lt;&gt;"",$P398&lt;Hoje!$C$3,$AB398=0,$R398&lt;&gt;"Cancelada"),1,0)</f>
        <v>0</v>
      </c>
      <c r="AJ398" s="50" t="str">
        <f aca="false">IF($F398="","",$D398&amp;"|"&amp;$E398&amp;"|"&amp;$L398)</f>
        <v/>
      </c>
      <c r="AK398" s="39" t="str">
        <f aca="false">IF($AJ398="","",COUNTIF($AJ$4:$AJ398,$AJ398))</f>
        <v/>
      </c>
      <c r="AL398" s="39" t="str">
        <f aca="false">IF($AJ398="","",COUNTIF($AJ$4:$AJ$1004,$AJ398))</f>
        <v/>
      </c>
      <c r="AM398" s="42"/>
      <c r="AN398" s="50" t="str">
        <f aca="false">IF($D398="","",IFERROR(T(VLOOKUP($D398,Listas!$B$5:$H$120,7,0)),""))</f>
        <v/>
      </c>
      <c r="AO398" s="50" t="str">
        <f aca="false">IF(OR($F398="",$L398&lt;&gt;"",$R398="Cancelada",$AT398&lt;&gt;""),"",$AN398&amp;"|"&amp;$D398&amp;"|"&amp;IF($C398="","zzz",$C398)&amp;"|"&amp;TEXT(398,"0000"))</f>
        <v/>
      </c>
      <c r="AP398" s="50" t="str">
        <f aca="false">IF($AO398="","",COUNTIF($AO$5:$AO$1004,"&lt;"&amp;$AO398)-(ROWS($AO$5:$AO$1004)-Hoje!$L$5)+1)</f>
        <v/>
      </c>
      <c r="AQ398" s="50" t="n">
        <f aca="false">IF(AND($F398&lt;&gt;"",$D398=Frota!$C$3),1,0)</f>
        <v>0</v>
      </c>
      <c r="AR398" s="50" t="str">
        <f aca="false">IF($AQ398=0,"",SUM($AQ$4:$AQ398))</f>
        <v/>
      </c>
      <c r="AS398" s="50" t="str">
        <f aca="false">IFERROR(INDEX(Hoje!$K$10:$K$29,MATCH(ROW(),Hoje!$J$10:$J$29,0)),"")</f>
        <v/>
      </c>
      <c r="AT398" s="50" t="str">
        <f aca="false">IF($Q398&lt;&gt;"",$Q398,$AS398)</f>
        <v/>
      </c>
    </row>
    <row r="399" customFormat="false" ht="16.5" hidden="false" customHeight="true" outlineLevel="0" collapsed="false">
      <c r="A399" s="39" t="str">
        <f aca="false">IF($F399="","",ROW())</f>
        <v/>
      </c>
      <c r="B399" s="40" t="str">
        <f aca="false">IF($F399="",IF($D399="","","Falta a atividade"),IF($R399="Cancelada","Cancelada",IF($AB399=1,IF(N($Z399)&gt;0,"Concluída com atraso","Concluída"),IF($R399="Em programação","Em programação",IF($O399="",IF($M399="","Na carteira","Falta a semana"),IF($AC399=1,"VENCIDA",IF($O399&gt;Hoje!$L$1,"Programada",IF($P399&gt;Hoje!$L$1,"Em execução","Fecha hoje"))))))))</f>
        <v/>
      </c>
      <c r="C399" s="41"/>
      <c r="D399" s="42"/>
      <c r="E399" s="42"/>
      <c r="F399" s="42"/>
      <c r="G399" s="43"/>
      <c r="H399" s="43"/>
      <c r="I399" s="44"/>
      <c r="J399" s="44"/>
      <c r="K399" s="44"/>
      <c r="L399" s="45"/>
      <c r="M399" s="46"/>
      <c r="N399" s="45"/>
      <c r="O399" s="47" t="str">
        <f aca="false">IF(OR($L399="",$M399=""),"",(DATE(Semana!$J$3,1,4)-WEEKDAY(DATE(Semana!$J$3,1,4),3))+($L399-1)*7+MATCH($M399,Listas!$F$5:$F$11,0)-1)</f>
        <v/>
      </c>
      <c r="P399" s="47" t="str">
        <f aca="false">IF(OR($F399="",$O399=""),"",$O399+MAX(0,ROUNDUP($AK399*MAX(1,IF($N399="",1,$N399))/MAX(1,$AL399),0)-1))</f>
        <v/>
      </c>
      <c r="Q399" s="48"/>
      <c r="R399" s="43"/>
      <c r="S399" s="49"/>
      <c r="T399" s="42"/>
      <c r="U399" s="42"/>
      <c r="V399" s="39" t="str">
        <f aca="false">IF($F399="","",IF(ISNUMBER(SEARCH("(externo)",$I399&amp;$J399&amp;$K399)),"Terceirizada","Interna"))</f>
        <v/>
      </c>
      <c r="W399" s="47" t="str">
        <f aca="false">IF($O399="","",IF($S399="",$O399,(DATE(Semana!$J$3,1,4)-WEEKDAY(DATE(Semana!$J$3,1,4),3))+($S399-1)*7+IF($M399="",0,MATCH($M399,Listas!$F$5:$F$11,0)-1)))</f>
        <v/>
      </c>
      <c r="X399" s="39" t="str">
        <f aca="false">IF($F399="","",IF(OR($AT399="",$O399=""),0,IF($AT399&lt;=$O399,1,0)))</f>
        <v/>
      </c>
      <c r="Y399" s="39" t="str">
        <f aca="false">IF($F399="","",IF(OR($AT399="",$W399=""),0,IF($AT399&lt;=$W399,1,0)))</f>
        <v/>
      </c>
      <c r="Z399" s="39" t="str">
        <f aca="false">IF(OR($AT399="",$O399=""),"",MAX(0,$AT399-$O399))</f>
        <v/>
      </c>
      <c r="AA399" s="39" t="str">
        <f aca="false">IF($F399="","",IF(AND($S399&lt;&gt;"",$L399&lt;&gt;"",$S399&lt;&gt;$L399),1,0))</f>
        <v/>
      </c>
      <c r="AB399" s="39" t="str">
        <f aca="false">IF($F399="","",IF($R399="Cancelada",0,IF(OR($AT399&lt;&gt;"",$R399="Concluída"),1,0)))</f>
        <v/>
      </c>
      <c r="AC399" s="39" t="n">
        <f aca="false">IF($P399="",0,IF($P399&lt;Hoje!$L$1,1,IF(AND($P399=Hoje!$L$1,Hoje!$L$2&gt;Semana!$M$3),1,0)))</f>
        <v>0</v>
      </c>
      <c r="AD399" s="39" t="str">
        <f aca="false">IF($F399="","",IF(COUNTA($I399:$K399)=0,0,1/COUNTA($I399:$K399)))</f>
        <v/>
      </c>
      <c r="AE399" s="39" t="str">
        <f aca="false">IF($AH399=0,"",SUM($AH$4:$AH399))</f>
        <v/>
      </c>
      <c r="AF399" s="39" t="str">
        <f aca="false">IF($AI399=0,"",SUM($AI$4:$AI399))</f>
        <v/>
      </c>
      <c r="AG399" s="50" t="str">
        <f aca="false">IF($F399="","",$I399&amp;IF($J399="",""," · "&amp;$J399)&amp;IF($K399="",""," · "&amp;$K399))</f>
        <v/>
      </c>
      <c r="AH399" s="39" t="n">
        <f aca="false">IF(AND($F399&lt;&gt;"",$O399&lt;&gt;"",$O399&lt;=Hoje!$C$3,$P399&gt;=Hoje!$C$3,$R399&lt;&gt;"Cancelada"),1,0)</f>
        <v>0</v>
      </c>
      <c r="AI399" s="39" t="n">
        <f aca="false">IF(AND($F399&lt;&gt;"",$P399&lt;&gt;"",$P399&lt;Hoje!$C$3,$AB399=0,$R399&lt;&gt;"Cancelada"),1,0)</f>
        <v>0</v>
      </c>
      <c r="AJ399" s="50" t="str">
        <f aca="false">IF($F399="","",$D399&amp;"|"&amp;$E399&amp;"|"&amp;$L399)</f>
        <v/>
      </c>
      <c r="AK399" s="39" t="str">
        <f aca="false">IF($AJ399="","",COUNTIF($AJ$4:$AJ399,$AJ399))</f>
        <v/>
      </c>
      <c r="AL399" s="39" t="str">
        <f aca="false">IF($AJ399="","",COUNTIF($AJ$4:$AJ$1004,$AJ399))</f>
        <v/>
      </c>
      <c r="AM399" s="42"/>
      <c r="AN399" s="50" t="str">
        <f aca="false">IF($D399="","",IFERROR(T(VLOOKUP($D399,Listas!$B$5:$H$120,7,0)),""))</f>
        <v/>
      </c>
      <c r="AO399" s="50" t="str">
        <f aca="false">IF(OR($F399="",$L399&lt;&gt;"",$R399="Cancelada",$AT399&lt;&gt;""),"",$AN399&amp;"|"&amp;$D399&amp;"|"&amp;IF($C399="","zzz",$C399)&amp;"|"&amp;TEXT(399,"0000"))</f>
        <v/>
      </c>
      <c r="AP399" s="50" t="str">
        <f aca="false">IF($AO399="","",COUNTIF($AO$5:$AO$1004,"&lt;"&amp;$AO399)-(ROWS($AO$5:$AO$1004)-Hoje!$L$5)+1)</f>
        <v/>
      </c>
      <c r="AQ399" s="50" t="n">
        <f aca="false">IF(AND($F399&lt;&gt;"",$D399=Frota!$C$3),1,0)</f>
        <v>0</v>
      </c>
      <c r="AR399" s="50" t="str">
        <f aca="false">IF($AQ399=0,"",SUM($AQ$4:$AQ399))</f>
        <v/>
      </c>
      <c r="AS399" s="50" t="str">
        <f aca="false">IFERROR(INDEX(Hoje!$K$10:$K$29,MATCH(ROW(),Hoje!$J$10:$J$29,0)),"")</f>
        <v/>
      </c>
      <c r="AT399" s="50" t="str">
        <f aca="false">IF($Q399&lt;&gt;"",$Q399,$AS399)</f>
        <v/>
      </c>
    </row>
    <row r="400" customFormat="false" ht="16.5" hidden="false" customHeight="true" outlineLevel="0" collapsed="false">
      <c r="A400" s="39" t="str">
        <f aca="false">IF($F400="","",ROW())</f>
        <v/>
      </c>
      <c r="B400" s="40" t="str">
        <f aca="false">IF($F400="",IF($D400="","","Falta a atividade"),IF($R400="Cancelada","Cancelada",IF($AB400=1,IF(N($Z400)&gt;0,"Concluída com atraso","Concluída"),IF($R400="Em programação","Em programação",IF($O400="",IF($M400="","Na carteira","Falta a semana"),IF($AC400=1,"VENCIDA",IF($O400&gt;Hoje!$L$1,"Programada",IF($P400&gt;Hoje!$L$1,"Em execução","Fecha hoje"))))))))</f>
        <v/>
      </c>
      <c r="C400" s="41"/>
      <c r="D400" s="42"/>
      <c r="E400" s="42"/>
      <c r="F400" s="42"/>
      <c r="G400" s="43"/>
      <c r="H400" s="43"/>
      <c r="I400" s="44"/>
      <c r="J400" s="44"/>
      <c r="K400" s="44"/>
      <c r="L400" s="45"/>
      <c r="M400" s="46"/>
      <c r="N400" s="45"/>
      <c r="O400" s="47" t="str">
        <f aca="false">IF(OR($L400="",$M400=""),"",(DATE(Semana!$J$3,1,4)-WEEKDAY(DATE(Semana!$J$3,1,4),3))+($L400-1)*7+MATCH($M400,Listas!$F$5:$F$11,0)-1)</f>
        <v/>
      </c>
      <c r="P400" s="47" t="str">
        <f aca="false">IF(OR($F400="",$O400=""),"",$O400+MAX(0,ROUNDUP($AK400*MAX(1,IF($N400="",1,$N400))/MAX(1,$AL400),0)-1))</f>
        <v/>
      </c>
      <c r="Q400" s="48"/>
      <c r="R400" s="43"/>
      <c r="S400" s="49"/>
      <c r="T400" s="42"/>
      <c r="U400" s="42"/>
      <c r="V400" s="39" t="str">
        <f aca="false">IF($F400="","",IF(ISNUMBER(SEARCH("(externo)",$I400&amp;$J400&amp;$K400)),"Terceirizada","Interna"))</f>
        <v/>
      </c>
      <c r="W400" s="47" t="str">
        <f aca="false">IF($O400="","",IF($S400="",$O400,(DATE(Semana!$J$3,1,4)-WEEKDAY(DATE(Semana!$J$3,1,4),3))+($S400-1)*7+IF($M400="",0,MATCH($M400,Listas!$F$5:$F$11,0)-1)))</f>
        <v/>
      </c>
      <c r="X400" s="39" t="str">
        <f aca="false">IF($F400="","",IF(OR($AT400="",$O400=""),0,IF($AT400&lt;=$O400,1,0)))</f>
        <v/>
      </c>
      <c r="Y400" s="39" t="str">
        <f aca="false">IF($F400="","",IF(OR($AT400="",$W400=""),0,IF($AT400&lt;=$W400,1,0)))</f>
        <v/>
      </c>
      <c r="Z400" s="39" t="str">
        <f aca="false">IF(OR($AT400="",$O400=""),"",MAX(0,$AT400-$O400))</f>
        <v/>
      </c>
      <c r="AA400" s="39" t="str">
        <f aca="false">IF($F400="","",IF(AND($S400&lt;&gt;"",$L400&lt;&gt;"",$S400&lt;&gt;$L400),1,0))</f>
        <v/>
      </c>
      <c r="AB400" s="39" t="str">
        <f aca="false">IF($F400="","",IF($R400="Cancelada",0,IF(OR($AT400&lt;&gt;"",$R400="Concluída"),1,0)))</f>
        <v/>
      </c>
      <c r="AC400" s="39" t="n">
        <f aca="false">IF($P400="",0,IF($P400&lt;Hoje!$L$1,1,IF(AND($P400=Hoje!$L$1,Hoje!$L$2&gt;Semana!$M$3),1,0)))</f>
        <v>0</v>
      </c>
      <c r="AD400" s="39" t="str">
        <f aca="false">IF($F400="","",IF(COUNTA($I400:$K400)=0,0,1/COUNTA($I400:$K400)))</f>
        <v/>
      </c>
      <c r="AE400" s="39" t="str">
        <f aca="false">IF($AH400=0,"",SUM($AH$4:$AH400))</f>
        <v/>
      </c>
      <c r="AF400" s="39" t="str">
        <f aca="false">IF($AI400=0,"",SUM($AI$4:$AI400))</f>
        <v/>
      </c>
      <c r="AG400" s="50" t="str">
        <f aca="false">IF($F400="","",$I400&amp;IF($J400="",""," · "&amp;$J400)&amp;IF($K400="",""," · "&amp;$K400))</f>
        <v/>
      </c>
      <c r="AH400" s="39" t="n">
        <f aca="false">IF(AND($F400&lt;&gt;"",$O400&lt;&gt;"",$O400&lt;=Hoje!$C$3,$P400&gt;=Hoje!$C$3,$R400&lt;&gt;"Cancelada"),1,0)</f>
        <v>0</v>
      </c>
      <c r="AI400" s="39" t="n">
        <f aca="false">IF(AND($F400&lt;&gt;"",$P400&lt;&gt;"",$P400&lt;Hoje!$C$3,$AB400=0,$R400&lt;&gt;"Cancelada"),1,0)</f>
        <v>0</v>
      </c>
      <c r="AJ400" s="50" t="str">
        <f aca="false">IF($F400="","",$D400&amp;"|"&amp;$E400&amp;"|"&amp;$L400)</f>
        <v/>
      </c>
      <c r="AK400" s="39" t="str">
        <f aca="false">IF($AJ400="","",COUNTIF($AJ$4:$AJ400,$AJ400))</f>
        <v/>
      </c>
      <c r="AL400" s="39" t="str">
        <f aca="false">IF($AJ400="","",COUNTIF($AJ$4:$AJ$1004,$AJ400))</f>
        <v/>
      </c>
      <c r="AM400" s="42"/>
      <c r="AN400" s="50" t="str">
        <f aca="false">IF($D400="","",IFERROR(T(VLOOKUP($D400,Listas!$B$5:$H$120,7,0)),""))</f>
        <v/>
      </c>
      <c r="AO400" s="50" t="str">
        <f aca="false">IF(OR($F400="",$L400&lt;&gt;"",$R400="Cancelada",$AT400&lt;&gt;""),"",$AN400&amp;"|"&amp;$D400&amp;"|"&amp;IF($C400="","zzz",$C400)&amp;"|"&amp;TEXT(400,"0000"))</f>
        <v/>
      </c>
      <c r="AP400" s="50" t="str">
        <f aca="false">IF($AO400="","",COUNTIF($AO$5:$AO$1004,"&lt;"&amp;$AO400)-(ROWS($AO$5:$AO$1004)-Hoje!$L$5)+1)</f>
        <v/>
      </c>
      <c r="AQ400" s="50" t="n">
        <f aca="false">IF(AND($F400&lt;&gt;"",$D400=Frota!$C$3),1,0)</f>
        <v>0</v>
      </c>
      <c r="AR400" s="50" t="str">
        <f aca="false">IF($AQ400=0,"",SUM($AQ$4:$AQ400))</f>
        <v/>
      </c>
      <c r="AS400" s="50" t="str">
        <f aca="false">IFERROR(INDEX(Hoje!$K$10:$K$29,MATCH(ROW(),Hoje!$J$10:$J$29,0)),"")</f>
        <v/>
      </c>
      <c r="AT400" s="50" t="str">
        <f aca="false">IF($Q400&lt;&gt;"",$Q400,$AS400)</f>
        <v/>
      </c>
    </row>
    <row r="401" customFormat="false" ht="16.5" hidden="false" customHeight="true" outlineLevel="0" collapsed="false">
      <c r="A401" s="39" t="str">
        <f aca="false">IF($F401="","",ROW())</f>
        <v/>
      </c>
      <c r="B401" s="40" t="str">
        <f aca="false">IF($F401="",IF($D401="","","Falta a atividade"),IF($R401="Cancelada","Cancelada",IF($AB401=1,IF(N($Z401)&gt;0,"Concluída com atraso","Concluída"),IF($R401="Em programação","Em programação",IF($O401="",IF($M401="","Na carteira","Falta a semana"),IF($AC401=1,"VENCIDA",IF($O401&gt;Hoje!$L$1,"Programada",IF($P401&gt;Hoje!$L$1,"Em execução","Fecha hoje"))))))))</f>
        <v/>
      </c>
      <c r="C401" s="41"/>
      <c r="D401" s="42"/>
      <c r="E401" s="42"/>
      <c r="F401" s="42"/>
      <c r="G401" s="43"/>
      <c r="H401" s="43"/>
      <c r="I401" s="44"/>
      <c r="J401" s="44"/>
      <c r="K401" s="44"/>
      <c r="L401" s="45"/>
      <c r="M401" s="46"/>
      <c r="N401" s="45"/>
      <c r="O401" s="47" t="str">
        <f aca="false">IF(OR($L401="",$M401=""),"",(DATE(Semana!$J$3,1,4)-WEEKDAY(DATE(Semana!$J$3,1,4),3))+($L401-1)*7+MATCH($M401,Listas!$F$5:$F$11,0)-1)</f>
        <v/>
      </c>
      <c r="P401" s="47" t="str">
        <f aca="false">IF(OR($F401="",$O401=""),"",$O401+MAX(0,ROUNDUP($AK401*MAX(1,IF($N401="",1,$N401))/MAX(1,$AL401),0)-1))</f>
        <v/>
      </c>
      <c r="Q401" s="48"/>
      <c r="R401" s="43"/>
      <c r="S401" s="49"/>
      <c r="T401" s="42"/>
      <c r="U401" s="42"/>
      <c r="V401" s="39" t="str">
        <f aca="false">IF($F401="","",IF(ISNUMBER(SEARCH("(externo)",$I401&amp;$J401&amp;$K401)),"Terceirizada","Interna"))</f>
        <v/>
      </c>
      <c r="W401" s="47" t="str">
        <f aca="false">IF($O401="","",IF($S401="",$O401,(DATE(Semana!$J$3,1,4)-WEEKDAY(DATE(Semana!$J$3,1,4),3))+($S401-1)*7+IF($M401="",0,MATCH($M401,Listas!$F$5:$F$11,0)-1)))</f>
        <v/>
      </c>
      <c r="X401" s="39" t="str">
        <f aca="false">IF($F401="","",IF(OR($AT401="",$O401=""),0,IF($AT401&lt;=$O401,1,0)))</f>
        <v/>
      </c>
      <c r="Y401" s="39" t="str">
        <f aca="false">IF($F401="","",IF(OR($AT401="",$W401=""),0,IF($AT401&lt;=$W401,1,0)))</f>
        <v/>
      </c>
      <c r="Z401" s="39" t="str">
        <f aca="false">IF(OR($AT401="",$O401=""),"",MAX(0,$AT401-$O401))</f>
        <v/>
      </c>
      <c r="AA401" s="39" t="str">
        <f aca="false">IF($F401="","",IF(AND($S401&lt;&gt;"",$L401&lt;&gt;"",$S401&lt;&gt;$L401),1,0))</f>
        <v/>
      </c>
      <c r="AB401" s="39" t="str">
        <f aca="false">IF($F401="","",IF($R401="Cancelada",0,IF(OR($AT401&lt;&gt;"",$R401="Concluída"),1,0)))</f>
        <v/>
      </c>
      <c r="AC401" s="39" t="n">
        <f aca="false">IF($P401="",0,IF($P401&lt;Hoje!$L$1,1,IF(AND($P401=Hoje!$L$1,Hoje!$L$2&gt;Semana!$M$3),1,0)))</f>
        <v>0</v>
      </c>
      <c r="AD401" s="39" t="str">
        <f aca="false">IF($F401="","",IF(COUNTA($I401:$K401)=0,0,1/COUNTA($I401:$K401)))</f>
        <v/>
      </c>
      <c r="AE401" s="39" t="str">
        <f aca="false">IF($AH401=0,"",SUM($AH$4:$AH401))</f>
        <v/>
      </c>
      <c r="AF401" s="39" t="str">
        <f aca="false">IF($AI401=0,"",SUM($AI$4:$AI401))</f>
        <v/>
      </c>
      <c r="AG401" s="50" t="str">
        <f aca="false">IF($F401="","",$I401&amp;IF($J401="",""," · "&amp;$J401)&amp;IF($K401="",""," · "&amp;$K401))</f>
        <v/>
      </c>
      <c r="AH401" s="39" t="n">
        <f aca="false">IF(AND($F401&lt;&gt;"",$O401&lt;&gt;"",$O401&lt;=Hoje!$C$3,$P401&gt;=Hoje!$C$3,$R401&lt;&gt;"Cancelada"),1,0)</f>
        <v>0</v>
      </c>
      <c r="AI401" s="39" t="n">
        <f aca="false">IF(AND($F401&lt;&gt;"",$P401&lt;&gt;"",$P401&lt;Hoje!$C$3,$AB401=0,$R401&lt;&gt;"Cancelada"),1,0)</f>
        <v>0</v>
      </c>
      <c r="AJ401" s="50" t="str">
        <f aca="false">IF($F401="","",$D401&amp;"|"&amp;$E401&amp;"|"&amp;$L401)</f>
        <v/>
      </c>
      <c r="AK401" s="39" t="str">
        <f aca="false">IF($AJ401="","",COUNTIF($AJ$4:$AJ401,$AJ401))</f>
        <v/>
      </c>
      <c r="AL401" s="39" t="str">
        <f aca="false">IF($AJ401="","",COUNTIF($AJ$4:$AJ$1004,$AJ401))</f>
        <v/>
      </c>
      <c r="AM401" s="42"/>
      <c r="AN401" s="50" t="str">
        <f aca="false">IF($D401="","",IFERROR(T(VLOOKUP($D401,Listas!$B$5:$H$120,7,0)),""))</f>
        <v/>
      </c>
      <c r="AO401" s="50" t="str">
        <f aca="false">IF(OR($F401="",$L401&lt;&gt;"",$R401="Cancelada",$AT401&lt;&gt;""),"",$AN401&amp;"|"&amp;$D401&amp;"|"&amp;IF($C401="","zzz",$C401)&amp;"|"&amp;TEXT(401,"0000"))</f>
        <v/>
      </c>
      <c r="AP401" s="50" t="str">
        <f aca="false">IF($AO401="","",COUNTIF($AO$5:$AO$1004,"&lt;"&amp;$AO401)-(ROWS($AO$5:$AO$1004)-Hoje!$L$5)+1)</f>
        <v/>
      </c>
      <c r="AQ401" s="50" t="n">
        <f aca="false">IF(AND($F401&lt;&gt;"",$D401=Frota!$C$3),1,0)</f>
        <v>0</v>
      </c>
      <c r="AR401" s="50" t="str">
        <f aca="false">IF($AQ401=0,"",SUM($AQ$4:$AQ401))</f>
        <v/>
      </c>
      <c r="AS401" s="50" t="str">
        <f aca="false">IFERROR(INDEX(Hoje!$K$10:$K$29,MATCH(ROW(),Hoje!$J$10:$J$29,0)),"")</f>
        <v/>
      </c>
      <c r="AT401" s="50" t="str">
        <f aca="false">IF($Q401&lt;&gt;"",$Q401,$AS401)</f>
        <v/>
      </c>
    </row>
    <row r="402" customFormat="false" ht="16.5" hidden="false" customHeight="true" outlineLevel="0" collapsed="false">
      <c r="A402" s="39" t="str">
        <f aca="false">IF($F402="","",ROW())</f>
        <v/>
      </c>
      <c r="B402" s="40" t="str">
        <f aca="false">IF($F402="",IF($D402="","","Falta a atividade"),IF($R402="Cancelada","Cancelada",IF($AB402=1,IF(N($Z402)&gt;0,"Concluída com atraso","Concluída"),IF($R402="Em programação","Em programação",IF($O402="",IF($M402="","Na carteira","Falta a semana"),IF($AC402=1,"VENCIDA",IF($O402&gt;Hoje!$L$1,"Programada",IF($P402&gt;Hoje!$L$1,"Em execução","Fecha hoje"))))))))</f>
        <v/>
      </c>
      <c r="C402" s="41"/>
      <c r="D402" s="42"/>
      <c r="E402" s="42"/>
      <c r="F402" s="42"/>
      <c r="G402" s="43"/>
      <c r="H402" s="43"/>
      <c r="I402" s="44"/>
      <c r="J402" s="44"/>
      <c r="K402" s="44"/>
      <c r="L402" s="45"/>
      <c r="M402" s="46"/>
      <c r="N402" s="45"/>
      <c r="O402" s="47" t="str">
        <f aca="false">IF(OR($L402="",$M402=""),"",(DATE(Semana!$J$3,1,4)-WEEKDAY(DATE(Semana!$J$3,1,4),3))+($L402-1)*7+MATCH($M402,Listas!$F$5:$F$11,0)-1)</f>
        <v/>
      </c>
      <c r="P402" s="47" t="str">
        <f aca="false">IF(OR($F402="",$O402=""),"",$O402+MAX(0,ROUNDUP($AK402*MAX(1,IF($N402="",1,$N402))/MAX(1,$AL402),0)-1))</f>
        <v/>
      </c>
      <c r="Q402" s="48"/>
      <c r="R402" s="43"/>
      <c r="S402" s="49"/>
      <c r="T402" s="42"/>
      <c r="U402" s="42"/>
      <c r="V402" s="39" t="str">
        <f aca="false">IF($F402="","",IF(ISNUMBER(SEARCH("(externo)",$I402&amp;$J402&amp;$K402)),"Terceirizada","Interna"))</f>
        <v/>
      </c>
      <c r="W402" s="47" t="str">
        <f aca="false">IF($O402="","",IF($S402="",$O402,(DATE(Semana!$J$3,1,4)-WEEKDAY(DATE(Semana!$J$3,1,4),3))+($S402-1)*7+IF($M402="",0,MATCH($M402,Listas!$F$5:$F$11,0)-1)))</f>
        <v/>
      </c>
      <c r="X402" s="39" t="str">
        <f aca="false">IF($F402="","",IF(OR($AT402="",$O402=""),0,IF($AT402&lt;=$O402,1,0)))</f>
        <v/>
      </c>
      <c r="Y402" s="39" t="str">
        <f aca="false">IF($F402="","",IF(OR($AT402="",$W402=""),0,IF($AT402&lt;=$W402,1,0)))</f>
        <v/>
      </c>
      <c r="Z402" s="39" t="str">
        <f aca="false">IF(OR($AT402="",$O402=""),"",MAX(0,$AT402-$O402))</f>
        <v/>
      </c>
      <c r="AA402" s="39" t="str">
        <f aca="false">IF($F402="","",IF(AND($S402&lt;&gt;"",$L402&lt;&gt;"",$S402&lt;&gt;$L402),1,0))</f>
        <v/>
      </c>
      <c r="AB402" s="39" t="str">
        <f aca="false">IF($F402="","",IF($R402="Cancelada",0,IF(OR($AT402&lt;&gt;"",$R402="Concluída"),1,0)))</f>
        <v/>
      </c>
      <c r="AC402" s="39" t="n">
        <f aca="false">IF($P402="",0,IF($P402&lt;Hoje!$L$1,1,IF(AND($P402=Hoje!$L$1,Hoje!$L$2&gt;Semana!$M$3),1,0)))</f>
        <v>0</v>
      </c>
      <c r="AD402" s="39" t="str">
        <f aca="false">IF($F402="","",IF(COUNTA($I402:$K402)=0,0,1/COUNTA($I402:$K402)))</f>
        <v/>
      </c>
      <c r="AE402" s="39" t="str">
        <f aca="false">IF($AH402=0,"",SUM($AH$4:$AH402))</f>
        <v/>
      </c>
      <c r="AF402" s="39" t="str">
        <f aca="false">IF($AI402=0,"",SUM($AI$4:$AI402))</f>
        <v/>
      </c>
      <c r="AG402" s="50" t="str">
        <f aca="false">IF($F402="","",$I402&amp;IF($J402="",""," · "&amp;$J402)&amp;IF($K402="",""," · "&amp;$K402))</f>
        <v/>
      </c>
      <c r="AH402" s="39" t="n">
        <f aca="false">IF(AND($F402&lt;&gt;"",$O402&lt;&gt;"",$O402&lt;=Hoje!$C$3,$P402&gt;=Hoje!$C$3,$R402&lt;&gt;"Cancelada"),1,0)</f>
        <v>0</v>
      </c>
      <c r="AI402" s="39" t="n">
        <f aca="false">IF(AND($F402&lt;&gt;"",$P402&lt;&gt;"",$P402&lt;Hoje!$C$3,$AB402=0,$R402&lt;&gt;"Cancelada"),1,0)</f>
        <v>0</v>
      </c>
      <c r="AJ402" s="50" t="str">
        <f aca="false">IF($F402="","",$D402&amp;"|"&amp;$E402&amp;"|"&amp;$L402)</f>
        <v/>
      </c>
      <c r="AK402" s="39" t="str">
        <f aca="false">IF($AJ402="","",COUNTIF($AJ$4:$AJ402,$AJ402))</f>
        <v/>
      </c>
      <c r="AL402" s="39" t="str">
        <f aca="false">IF($AJ402="","",COUNTIF($AJ$4:$AJ$1004,$AJ402))</f>
        <v/>
      </c>
      <c r="AM402" s="42"/>
      <c r="AN402" s="50" t="str">
        <f aca="false">IF($D402="","",IFERROR(T(VLOOKUP($D402,Listas!$B$5:$H$120,7,0)),""))</f>
        <v/>
      </c>
      <c r="AO402" s="50" t="str">
        <f aca="false">IF(OR($F402="",$L402&lt;&gt;"",$R402="Cancelada",$AT402&lt;&gt;""),"",$AN402&amp;"|"&amp;$D402&amp;"|"&amp;IF($C402="","zzz",$C402)&amp;"|"&amp;TEXT(402,"0000"))</f>
        <v/>
      </c>
      <c r="AP402" s="50" t="str">
        <f aca="false">IF($AO402="","",COUNTIF($AO$5:$AO$1004,"&lt;"&amp;$AO402)-(ROWS($AO$5:$AO$1004)-Hoje!$L$5)+1)</f>
        <v/>
      </c>
      <c r="AQ402" s="50" t="n">
        <f aca="false">IF(AND($F402&lt;&gt;"",$D402=Frota!$C$3),1,0)</f>
        <v>0</v>
      </c>
      <c r="AR402" s="50" t="str">
        <f aca="false">IF($AQ402=0,"",SUM($AQ$4:$AQ402))</f>
        <v/>
      </c>
      <c r="AS402" s="50" t="str">
        <f aca="false">IFERROR(INDEX(Hoje!$K$10:$K$29,MATCH(ROW(),Hoje!$J$10:$J$29,0)),"")</f>
        <v/>
      </c>
      <c r="AT402" s="50" t="str">
        <f aca="false">IF($Q402&lt;&gt;"",$Q402,$AS402)</f>
        <v/>
      </c>
    </row>
    <row r="403" customFormat="false" ht="16.5" hidden="false" customHeight="true" outlineLevel="0" collapsed="false">
      <c r="A403" s="39" t="str">
        <f aca="false">IF($F403="","",ROW())</f>
        <v/>
      </c>
      <c r="B403" s="40" t="str">
        <f aca="false">IF($F403="",IF($D403="","","Falta a atividade"),IF($R403="Cancelada","Cancelada",IF($AB403=1,IF(N($Z403)&gt;0,"Concluída com atraso","Concluída"),IF($R403="Em programação","Em programação",IF($O403="",IF($M403="","Na carteira","Falta a semana"),IF($AC403=1,"VENCIDA",IF($O403&gt;Hoje!$L$1,"Programada",IF($P403&gt;Hoje!$L$1,"Em execução","Fecha hoje"))))))))</f>
        <v/>
      </c>
      <c r="C403" s="41"/>
      <c r="D403" s="42"/>
      <c r="E403" s="42"/>
      <c r="F403" s="42"/>
      <c r="G403" s="43"/>
      <c r="H403" s="43"/>
      <c r="I403" s="44"/>
      <c r="J403" s="44"/>
      <c r="K403" s="44"/>
      <c r="L403" s="45"/>
      <c r="M403" s="46"/>
      <c r="N403" s="45"/>
      <c r="O403" s="47" t="str">
        <f aca="false">IF(OR($L403="",$M403=""),"",(DATE(Semana!$J$3,1,4)-WEEKDAY(DATE(Semana!$J$3,1,4),3))+($L403-1)*7+MATCH($M403,Listas!$F$5:$F$11,0)-1)</f>
        <v/>
      </c>
      <c r="P403" s="47" t="str">
        <f aca="false">IF(OR($F403="",$O403=""),"",$O403+MAX(0,ROUNDUP($AK403*MAX(1,IF($N403="",1,$N403))/MAX(1,$AL403),0)-1))</f>
        <v/>
      </c>
      <c r="Q403" s="48"/>
      <c r="R403" s="43"/>
      <c r="S403" s="49"/>
      <c r="T403" s="42"/>
      <c r="U403" s="42"/>
      <c r="V403" s="39" t="str">
        <f aca="false">IF($F403="","",IF(ISNUMBER(SEARCH("(externo)",$I403&amp;$J403&amp;$K403)),"Terceirizada","Interna"))</f>
        <v/>
      </c>
      <c r="W403" s="47" t="str">
        <f aca="false">IF($O403="","",IF($S403="",$O403,(DATE(Semana!$J$3,1,4)-WEEKDAY(DATE(Semana!$J$3,1,4),3))+($S403-1)*7+IF($M403="",0,MATCH($M403,Listas!$F$5:$F$11,0)-1)))</f>
        <v/>
      </c>
      <c r="X403" s="39" t="str">
        <f aca="false">IF($F403="","",IF(OR($AT403="",$O403=""),0,IF($AT403&lt;=$O403,1,0)))</f>
        <v/>
      </c>
      <c r="Y403" s="39" t="str">
        <f aca="false">IF($F403="","",IF(OR($AT403="",$W403=""),0,IF($AT403&lt;=$W403,1,0)))</f>
        <v/>
      </c>
      <c r="Z403" s="39" t="str">
        <f aca="false">IF(OR($AT403="",$O403=""),"",MAX(0,$AT403-$O403))</f>
        <v/>
      </c>
      <c r="AA403" s="39" t="str">
        <f aca="false">IF($F403="","",IF(AND($S403&lt;&gt;"",$L403&lt;&gt;"",$S403&lt;&gt;$L403),1,0))</f>
        <v/>
      </c>
      <c r="AB403" s="39" t="str">
        <f aca="false">IF($F403="","",IF($R403="Cancelada",0,IF(OR($AT403&lt;&gt;"",$R403="Concluída"),1,0)))</f>
        <v/>
      </c>
      <c r="AC403" s="39" t="n">
        <f aca="false">IF($P403="",0,IF($P403&lt;Hoje!$L$1,1,IF(AND($P403=Hoje!$L$1,Hoje!$L$2&gt;Semana!$M$3),1,0)))</f>
        <v>0</v>
      </c>
      <c r="AD403" s="39" t="str">
        <f aca="false">IF($F403="","",IF(COUNTA($I403:$K403)=0,0,1/COUNTA($I403:$K403)))</f>
        <v/>
      </c>
      <c r="AE403" s="39" t="str">
        <f aca="false">IF($AH403=0,"",SUM($AH$4:$AH403))</f>
        <v/>
      </c>
      <c r="AF403" s="39" t="str">
        <f aca="false">IF($AI403=0,"",SUM($AI$4:$AI403))</f>
        <v/>
      </c>
      <c r="AG403" s="50" t="str">
        <f aca="false">IF($F403="","",$I403&amp;IF($J403="",""," · "&amp;$J403)&amp;IF($K403="",""," · "&amp;$K403))</f>
        <v/>
      </c>
      <c r="AH403" s="39" t="n">
        <f aca="false">IF(AND($F403&lt;&gt;"",$O403&lt;&gt;"",$O403&lt;=Hoje!$C$3,$P403&gt;=Hoje!$C$3,$R403&lt;&gt;"Cancelada"),1,0)</f>
        <v>0</v>
      </c>
      <c r="AI403" s="39" t="n">
        <f aca="false">IF(AND($F403&lt;&gt;"",$P403&lt;&gt;"",$P403&lt;Hoje!$C$3,$AB403=0,$R403&lt;&gt;"Cancelada"),1,0)</f>
        <v>0</v>
      </c>
      <c r="AJ403" s="50" t="str">
        <f aca="false">IF($F403="","",$D403&amp;"|"&amp;$E403&amp;"|"&amp;$L403)</f>
        <v/>
      </c>
      <c r="AK403" s="39" t="str">
        <f aca="false">IF($AJ403="","",COUNTIF($AJ$4:$AJ403,$AJ403))</f>
        <v/>
      </c>
      <c r="AL403" s="39" t="str">
        <f aca="false">IF($AJ403="","",COUNTIF($AJ$4:$AJ$1004,$AJ403))</f>
        <v/>
      </c>
      <c r="AM403" s="42"/>
      <c r="AN403" s="50" t="str">
        <f aca="false">IF($D403="","",IFERROR(T(VLOOKUP($D403,Listas!$B$5:$H$120,7,0)),""))</f>
        <v/>
      </c>
      <c r="AO403" s="50" t="str">
        <f aca="false">IF(OR($F403="",$L403&lt;&gt;"",$R403="Cancelada",$AT403&lt;&gt;""),"",$AN403&amp;"|"&amp;$D403&amp;"|"&amp;IF($C403="","zzz",$C403)&amp;"|"&amp;TEXT(403,"0000"))</f>
        <v/>
      </c>
      <c r="AP403" s="50" t="str">
        <f aca="false">IF($AO403="","",COUNTIF($AO$5:$AO$1004,"&lt;"&amp;$AO403)-(ROWS($AO$5:$AO$1004)-Hoje!$L$5)+1)</f>
        <v/>
      </c>
      <c r="AQ403" s="50" t="n">
        <f aca="false">IF(AND($F403&lt;&gt;"",$D403=Frota!$C$3),1,0)</f>
        <v>0</v>
      </c>
      <c r="AR403" s="50" t="str">
        <f aca="false">IF($AQ403=0,"",SUM($AQ$4:$AQ403))</f>
        <v/>
      </c>
      <c r="AS403" s="50" t="str">
        <f aca="false">IFERROR(INDEX(Hoje!$K$10:$K$29,MATCH(ROW(),Hoje!$J$10:$J$29,0)),"")</f>
        <v/>
      </c>
      <c r="AT403" s="50" t="str">
        <f aca="false">IF($Q403&lt;&gt;"",$Q403,$AS403)</f>
        <v/>
      </c>
    </row>
    <row r="404" customFormat="false" ht="16.5" hidden="false" customHeight="true" outlineLevel="0" collapsed="false">
      <c r="A404" s="39" t="str">
        <f aca="false">IF($F404="","",ROW())</f>
        <v/>
      </c>
      <c r="B404" s="40" t="str">
        <f aca="false">IF($F404="",IF($D404="","","Falta a atividade"),IF($R404="Cancelada","Cancelada",IF($AB404=1,IF(N($Z404)&gt;0,"Concluída com atraso","Concluída"),IF($R404="Em programação","Em programação",IF($O404="",IF($M404="","Na carteira","Falta a semana"),IF($AC404=1,"VENCIDA",IF($O404&gt;Hoje!$L$1,"Programada",IF($P404&gt;Hoje!$L$1,"Em execução","Fecha hoje"))))))))</f>
        <v/>
      </c>
      <c r="C404" s="41"/>
      <c r="D404" s="42"/>
      <c r="E404" s="42"/>
      <c r="F404" s="42"/>
      <c r="G404" s="43"/>
      <c r="H404" s="43"/>
      <c r="I404" s="44"/>
      <c r="J404" s="44"/>
      <c r="K404" s="44"/>
      <c r="L404" s="45"/>
      <c r="M404" s="46"/>
      <c r="N404" s="45"/>
      <c r="O404" s="47" t="str">
        <f aca="false">IF(OR($L404="",$M404=""),"",(DATE(Semana!$J$3,1,4)-WEEKDAY(DATE(Semana!$J$3,1,4),3))+($L404-1)*7+MATCH($M404,Listas!$F$5:$F$11,0)-1)</f>
        <v/>
      </c>
      <c r="P404" s="47" t="str">
        <f aca="false">IF(OR($F404="",$O404=""),"",$O404+MAX(0,ROUNDUP($AK404*MAX(1,IF($N404="",1,$N404))/MAX(1,$AL404),0)-1))</f>
        <v/>
      </c>
      <c r="Q404" s="48"/>
      <c r="R404" s="43"/>
      <c r="S404" s="49"/>
      <c r="T404" s="42"/>
      <c r="U404" s="42"/>
      <c r="V404" s="39" t="str">
        <f aca="false">IF($F404="","",IF(ISNUMBER(SEARCH("(externo)",$I404&amp;$J404&amp;$K404)),"Terceirizada","Interna"))</f>
        <v/>
      </c>
      <c r="W404" s="47" t="str">
        <f aca="false">IF($O404="","",IF($S404="",$O404,(DATE(Semana!$J$3,1,4)-WEEKDAY(DATE(Semana!$J$3,1,4),3))+($S404-1)*7+IF($M404="",0,MATCH($M404,Listas!$F$5:$F$11,0)-1)))</f>
        <v/>
      </c>
      <c r="X404" s="39" t="str">
        <f aca="false">IF($F404="","",IF(OR($AT404="",$O404=""),0,IF($AT404&lt;=$O404,1,0)))</f>
        <v/>
      </c>
      <c r="Y404" s="39" t="str">
        <f aca="false">IF($F404="","",IF(OR($AT404="",$W404=""),0,IF($AT404&lt;=$W404,1,0)))</f>
        <v/>
      </c>
      <c r="Z404" s="39" t="str">
        <f aca="false">IF(OR($AT404="",$O404=""),"",MAX(0,$AT404-$O404))</f>
        <v/>
      </c>
      <c r="AA404" s="39" t="str">
        <f aca="false">IF($F404="","",IF(AND($S404&lt;&gt;"",$L404&lt;&gt;"",$S404&lt;&gt;$L404),1,0))</f>
        <v/>
      </c>
      <c r="AB404" s="39" t="str">
        <f aca="false">IF($F404="","",IF($R404="Cancelada",0,IF(OR($AT404&lt;&gt;"",$R404="Concluída"),1,0)))</f>
        <v/>
      </c>
      <c r="AC404" s="39" t="n">
        <f aca="false">IF($P404="",0,IF($P404&lt;Hoje!$L$1,1,IF(AND($P404=Hoje!$L$1,Hoje!$L$2&gt;Semana!$M$3),1,0)))</f>
        <v>0</v>
      </c>
      <c r="AD404" s="39" t="str">
        <f aca="false">IF($F404="","",IF(COUNTA($I404:$K404)=0,0,1/COUNTA($I404:$K404)))</f>
        <v/>
      </c>
      <c r="AE404" s="39" t="str">
        <f aca="false">IF($AH404=0,"",SUM($AH$4:$AH404))</f>
        <v/>
      </c>
      <c r="AF404" s="39" t="str">
        <f aca="false">IF($AI404=0,"",SUM($AI$4:$AI404))</f>
        <v/>
      </c>
      <c r="AG404" s="50" t="str">
        <f aca="false">IF($F404="","",$I404&amp;IF($J404="",""," · "&amp;$J404)&amp;IF($K404="",""," · "&amp;$K404))</f>
        <v/>
      </c>
      <c r="AH404" s="39" t="n">
        <f aca="false">IF(AND($F404&lt;&gt;"",$O404&lt;&gt;"",$O404&lt;=Hoje!$C$3,$P404&gt;=Hoje!$C$3,$R404&lt;&gt;"Cancelada"),1,0)</f>
        <v>0</v>
      </c>
      <c r="AI404" s="39" t="n">
        <f aca="false">IF(AND($F404&lt;&gt;"",$P404&lt;&gt;"",$P404&lt;Hoje!$C$3,$AB404=0,$R404&lt;&gt;"Cancelada"),1,0)</f>
        <v>0</v>
      </c>
      <c r="AJ404" s="50" t="str">
        <f aca="false">IF($F404="","",$D404&amp;"|"&amp;$E404&amp;"|"&amp;$L404)</f>
        <v/>
      </c>
      <c r="AK404" s="39" t="str">
        <f aca="false">IF($AJ404="","",COUNTIF($AJ$4:$AJ404,$AJ404))</f>
        <v/>
      </c>
      <c r="AL404" s="39" t="str">
        <f aca="false">IF($AJ404="","",COUNTIF($AJ$4:$AJ$1004,$AJ404))</f>
        <v/>
      </c>
      <c r="AM404" s="42"/>
      <c r="AN404" s="50" t="str">
        <f aca="false">IF($D404="","",IFERROR(T(VLOOKUP($D404,Listas!$B$5:$H$120,7,0)),""))</f>
        <v/>
      </c>
      <c r="AO404" s="50" t="str">
        <f aca="false">IF(OR($F404="",$L404&lt;&gt;"",$R404="Cancelada",$AT404&lt;&gt;""),"",$AN404&amp;"|"&amp;$D404&amp;"|"&amp;IF($C404="","zzz",$C404)&amp;"|"&amp;TEXT(404,"0000"))</f>
        <v/>
      </c>
      <c r="AP404" s="50" t="str">
        <f aca="false">IF($AO404="","",COUNTIF($AO$5:$AO$1004,"&lt;"&amp;$AO404)-(ROWS($AO$5:$AO$1004)-Hoje!$L$5)+1)</f>
        <v/>
      </c>
      <c r="AQ404" s="50" t="n">
        <f aca="false">IF(AND($F404&lt;&gt;"",$D404=Frota!$C$3),1,0)</f>
        <v>0</v>
      </c>
      <c r="AR404" s="50" t="str">
        <f aca="false">IF($AQ404=0,"",SUM($AQ$4:$AQ404))</f>
        <v/>
      </c>
      <c r="AS404" s="50" t="str">
        <f aca="false">IFERROR(INDEX(Hoje!$K$10:$K$29,MATCH(ROW(),Hoje!$J$10:$J$29,0)),"")</f>
        <v/>
      </c>
      <c r="AT404" s="50" t="str">
        <f aca="false">IF($Q404&lt;&gt;"",$Q404,$AS404)</f>
        <v/>
      </c>
    </row>
    <row r="405" customFormat="false" ht="16.5" hidden="false" customHeight="true" outlineLevel="0" collapsed="false">
      <c r="A405" s="39" t="str">
        <f aca="false">IF($F405="","",ROW())</f>
        <v/>
      </c>
      <c r="B405" s="40" t="str">
        <f aca="false">IF($F405="",IF($D405="","","Falta a atividade"),IF($R405="Cancelada","Cancelada",IF($AB405=1,IF(N($Z405)&gt;0,"Concluída com atraso","Concluída"),IF($R405="Em programação","Em programação",IF($O405="",IF($M405="","Na carteira","Falta a semana"),IF($AC405=1,"VENCIDA",IF($O405&gt;Hoje!$L$1,"Programada",IF($P405&gt;Hoje!$L$1,"Em execução","Fecha hoje"))))))))</f>
        <v/>
      </c>
      <c r="C405" s="41"/>
      <c r="D405" s="42"/>
      <c r="E405" s="42"/>
      <c r="F405" s="42"/>
      <c r="G405" s="43"/>
      <c r="H405" s="43"/>
      <c r="I405" s="44"/>
      <c r="J405" s="44"/>
      <c r="K405" s="44"/>
      <c r="L405" s="45"/>
      <c r="M405" s="46"/>
      <c r="N405" s="45"/>
      <c r="O405" s="47" t="str">
        <f aca="false">IF(OR($L405="",$M405=""),"",(DATE(Semana!$J$3,1,4)-WEEKDAY(DATE(Semana!$J$3,1,4),3))+($L405-1)*7+MATCH($M405,Listas!$F$5:$F$11,0)-1)</f>
        <v/>
      </c>
      <c r="P405" s="47" t="str">
        <f aca="false">IF(OR($F405="",$O405=""),"",$O405+MAX(0,ROUNDUP($AK405*MAX(1,IF($N405="",1,$N405))/MAX(1,$AL405),0)-1))</f>
        <v/>
      </c>
      <c r="Q405" s="48"/>
      <c r="R405" s="43"/>
      <c r="S405" s="49"/>
      <c r="T405" s="42"/>
      <c r="U405" s="42"/>
      <c r="V405" s="39" t="str">
        <f aca="false">IF($F405="","",IF(ISNUMBER(SEARCH("(externo)",$I405&amp;$J405&amp;$K405)),"Terceirizada","Interna"))</f>
        <v/>
      </c>
      <c r="W405" s="47" t="str">
        <f aca="false">IF($O405="","",IF($S405="",$O405,(DATE(Semana!$J$3,1,4)-WEEKDAY(DATE(Semana!$J$3,1,4),3))+($S405-1)*7+IF($M405="",0,MATCH($M405,Listas!$F$5:$F$11,0)-1)))</f>
        <v/>
      </c>
      <c r="X405" s="39" t="str">
        <f aca="false">IF($F405="","",IF(OR($AT405="",$O405=""),0,IF($AT405&lt;=$O405,1,0)))</f>
        <v/>
      </c>
      <c r="Y405" s="39" t="str">
        <f aca="false">IF($F405="","",IF(OR($AT405="",$W405=""),0,IF($AT405&lt;=$W405,1,0)))</f>
        <v/>
      </c>
      <c r="Z405" s="39" t="str">
        <f aca="false">IF(OR($AT405="",$O405=""),"",MAX(0,$AT405-$O405))</f>
        <v/>
      </c>
      <c r="AA405" s="39" t="str">
        <f aca="false">IF($F405="","",IF(AND($S405&lt;&gt;"",$L405&lt;&gt;"",$S405&lt;&gt;$L405),1,0))</f>
        <v/>
      </c>
      <c r="AB405" s="39" t="str">
        <f aca="false">IF($F405="","",IF($R405="Cancelada",0,IF(OR($AT405&lt;&gt;"",$R405="Concluída"),1,0)))</f>
        <v/>
      </c>
      <c r="AC405" s="39" t="n">
        <f aca="false">IF($P405="",0,IF($P405&lt;Hoje!$L$1,1,IF(AND($P405=Hoje!$L$1,Hoje!$L$2&gt;Semana!$M$3),1,0)))</f>
        <v>0</v>
      </c>
      <c r="AD405" s="39" t="str">
        <f aca="false">IF($F405="","",IF(COUNTA($I405:$K405)=0,0,1/COUNTA($I405:$K405)))</f>
        <v/>
      </c>
      <c r="AE405" s="39" t="str">
        <f aca="false">IF($AH405=0,"",SUM($AH$4:$AH405))</f>
        <v/>
      </c>
      <c r="AF405" s="39" t="str">
        <f aca="false">IF($AI405=0,"",SUM($AI$4:$AI405))</f>
        <v/>
      </c>
      <c r="AG405" s="50" t="str">
        <f aca="false">IF($F405="","",$I405&amp;IF($J405="",""," · "&amp;$J405)&amp;IF($K405="",""," · "&amp;$K405))</f>
        <v/>
      </c>
      <c r="AH405" s="39" t="n">
        <f aca="false">IF(AND($F405&lt;&gt;"",$O405&lt;&gt;"",$O405&lt;=Hoje!$C$3,$P405&gt;=Hoje!$C$3,$R405&lt;&gt;"Cancelada"),1,0)</f>
        <v>0</v>
      </c>
      <c r="AI405" s="39" t="n">
        <f aca="false">IF(AND($F405&lt;&gt;"",$P405&lt;&gt;"",$P405&lt;Hoje!$C$3,$AB405=0,$R405&lt;&gt;"Cancelada"),1,0)</f>
        <v>0</v>
      </c>
      <c r="AJ405" s="50" t="str">
        <f aca="false">IF($F405="","",$D405&amp;"|"&amp;$E405&amp;"|"&amp;$L405)</f>
        <v/>
      </c>
      <c r="AK405" s="39" t="str">
        <f aca="false">IF($AJ405="","",COUNTIF($AJ$4:$AJ405,$AJ405))</f>
        <v/>
      </c>
      <c r="AL405" s="39" t="str">
        <f aca="false">IF($AJ405="","",COUNTIF($AJ$4:$AJ$1004,$AJ405))</f>
        <v/>
      </c>
      <c r="AM405" s="42"/>
      <c r="AN405" s="50" t="str">
        <f aca="false">IF($D405="","",IFERROR(T(VLOOKUP($D405,Listas!$B$5:$H$120,7,0)),""))</f>
        <v/>
      </c>
      <c r="AO405" s="50" t="str">
        <f aca="false">IF(OR($F405="",$L405&lt;&gt;"",$R405="Cancelada",$AT405&lt;&gt;""),"",$AN405&amp;"|"&amp;$D405&amp;"|"&amp;IF($C405="","zzz",$C405)&amp;"|"&amp;TEXT(405,"0000"))</f>
        <v/>
      </c>
      <c r="AP405" s="50" t="str">
        <f aca="false">IF($AO405="","",COUNTIF($AO$5:$AO$1004,"&lt;"&amp;$AO405)-(ROWS($AO$5:$AO$1004)-Hoje!$L$5)+1)</f>
        <v/>
      </c>
      <c r="AQ405" s="50" t="n">
        <f aca="false">IF(AND($F405&lt;&gt;"",$D405=Frota!$C$3),1,0)</f>
        <v>0</v>
      </c>
      <c r="AR405" s="50" t="str">
        <f aca="false">IF($AQ405=0,"",SUM($AQ$4:$AQ405))</f>
        <v/>
      </c>
      <c r="AS405" s="50" t="str">
        <f aca="false">IFERROR(INDEX(Hoje!$K$10:$K$29,MATCH(ROW(),Hoje!$J$10:$J$29,0)),"")</f>
        <v/>
      </c>
      <c r="AT405" s="50" t="str">
        <f aca="false">IF($Q405&lt;&gt;"",$Q405,$AS405)</f>
        <v/>
      </c>
    </row>
    <row r="406" customFormat="false" ht="16.5" hidden="false" customHeight="true" outlineLevel="0" collapsed="false">
      <c r="A406" s="39" t="str">
        <f aca="false">IF($F406="","",ROW())</f>
        <v/>
      </c>
      <c r="B406" s="40" t="str">
        <f aca="false">IF($F406="",IF($D406="","","Falta a atividade"),IF($R406="Cancelada","Cancelada",IF($AB406=1,IF(N($Z406)&gt;0,"Concluída com atraso","Concluída"),IF($R406="Em programação","Em programação",IF($O406="",IF($M406="","Na carteira","Falta a semana"),IF($AC406=1,"VENCIDA",IF($O406&gt;Hoje!$L$1,"Programada",IF($P406&gt;Hoje!$L$1,"Em execução","Fecha hoje"))))))))</f>
        <v/>
      </c>
      <c r="C406" s="41"/>
      <c r="D406" s="42"/>
      <c r="E406" s="42"/>
      <c r="F406" s="42"/>
      <c r="G406" s="43"/>
      <c r="H406" s="43"/>
      <c r="I406" s="44"/>
      <c r="J406" s="44"/>
      <c r="K406" s="44"/>
      <c r="L406" s="45"/>
      <c r="M406" s="46"/>
      <c r="N406" s="45"/>
      <c r="O406" s="47" t="str">
        <f aca="false">IF(OR($L406="",$M406=""),"",(DATE(Semana!$J$3,1,4)-WEEKDAY(DATE(Semana!$J$3,1,4),3))+($L406-1)*7+MATCH($M406,Listas!$F$5:$F$11,0)-1)</f>
        <v/>
      </c>
      <c r="P406" s="47" t="str">
        <f aca="false">IF(OR($F406="",$O406=""),"",$O406+MAX(0,ROUNDUP($AK406*MAX(1,IF($N406="",1,$N406))/MAX(1,$AL406),0)-1))</f>
        <v/>
      </c>
      <c r="Q406" s="48"/>
      <c r="R406" s="43"/>
      <c r="S406" s="49"/>
      <c r="T406" s="42"/>
      <c r="U406" s="42"/>
      <c r="V406" s="39" t="str">
        <f aca="false">IF($F406="","",IF(ISNUMBER(SEARCH("(externo)",$I406&amp;$J406&amp;$K406)),"Terceirizada","Interna"))</f>
        <v/>
      </c>
      <c r="W406" s="47" t="str">
        <f aca="false">IF($O406="","",IF($S406="",$O406,(DATE(Semana!$J$3,1,4)-WEEKDAY(DATE(Semana!$J$3,1,4),3))+($S406-1)*7+IF($M406="",0,MATCH($M406,Listas!$F$5:$F$11,0)-1)))</f>
        <v/>
      </c>
      <c r="X406" s="39" t="str">
        <f aca="false">IF($F406="","",IF(OR($AT406="",$O406=""),0,IF($AT406&lt;=$O406,1,0)))</f>
        <v/>
      </c>
      <c r="Y406" s="39" t="str">
        <f aca="false">IF($F406="","",IF(OR($AT406="",$W406=""),0,IF($AT406&lt;=$W406,1,0)))</f>
        <v/>
      </c>
      <c r="Z406" s="39" t="str">
        <f aca="false">IF(OR($AT406="",$O406=""),"",MAX(0,$AT406-$O406))</f>
        <v/>
      </c>
      <c r="AA406" s="39" t="str">
        <f aca="false">IF($F406="","",IF(AND($S406&lt;&gt;"",$L406&lt;&gt;"",$S406&lt;&gt;$L406),1,0))</f>
        <v/>
      </c>
      <c r="AB406" s="39" t="str">
        <f aca="false">IF($F406="","",IF($R406="Cancelada",0,IF(OR($AT406&lt;&gt;"",$R406="Concluída"),1,0)))</f>
        <v/>
      </c>
      <c r="AC406" s="39" t="n">
        <f aca="false">IF($P406="",0,IF($P406&lt;Hoje!$L$1,1,IF(AND($P406=Hoje!$L$1,Hoje!$L$2&gt;Semana!$M$3),1,0)))</f>
        <v>0</v>
      </c>
      <c r="AD406" s="39" t="str">
        <f aca="false">IF($F406="","",IF(COUNTA($I406:$K406)=0,0,1/COUNTA($I406:$K406)))</f>
        <v/>
      </c>
      <c r="AE406" s="39" t="str">
        <f aca="false">IF($AH406=0,"",SUM($AH$4:$AH406))</f>
        <v/>
      </c>
      <c r="AF406" s="39" t="str">
        <f aca="false">IF($AI406=0,"",SUM($AI$4:$AI406))</f>
        <v/>
      </c>
      <c r="AG406" s="50" t="str">
        <f aca="false">IF($F406="","",$I406&amp;IF($J406="",""," · "&amp;$J406)&amp;IF($K406="",""," · "&amp;$K406))</f>
        <v/>
      </c>
      <c r="AH406" s="39" t="n">
        <f aca="false">IF(AND($F406&lt;&gt;"",$O406&lt;&gt;"",$O406&lt;=Hoje!$C$3,$P406&gt;=Hoje!$C$3,$R406&lt;&gt;"Cancelada"),1,0)</f>
        <v>0</v>
      </c>
      <c r="AI406" s="39" t="n">
        <f aca="false">IF(AND($F406&lt;&gt;"",$P406&lt;&gt;"",$P406&lt;Hoje!$C$3,$AB406=0,$R406&lt;&gt;"Cancelada"),1,0)</f>
        <v>0</v>
      </c>
      <c r="AJ406" s="50" t="str">
        <f aca="false">IF($F406="","",$D406&amp;"|"&amp;$E406&amp;"|"&amp;$L406)</f>
        <v/>
      </c>
      <c r="AK406" s="39" t="str">
        <f aca="false">IF($AJ406="","",COUNTIF($AJ$4:$AJ406,$AJ406))</f>
        <v/>
      </c>
      <c r="AL406" s="39" t="str">
        <f aca="false">IF($AJ406="","",COUNTIF($AJ$4:$AJ$1004,$AJ406))</f>
        <v/>
      </c>
      <c r="AM406" s="42"/>
      <c r="AN406" s="50" t="str">
        <f aca="false">IF($D406="","",IFERROR(T(VLOOKUP($D406,Listas!$B$5:$H$120,7,0)),""))</f>
        <v/>
      </c>
      <c r="AO406" s="50" t="str">
        <f aca="false">IF(OR($F406="",$L406&lt;&gt;"",$R406="Cancelada",$AT406&lt;&gt;""),"",$AN406&amp;"|"&amp;$D406&amp;"|"&amp;IF($C406="","zzz",$C406)&amp;"|"&amp;TEXT(406,"0000"))</f>
        <v/>
      </c>
      <c r="AP406" s="50" t="str">
        <f aca="false">IF($AO406="","",COUNTIF($AO$5:$AO$1004,"&lt;"&amp;$AO406)-(ROWS($AO$5:$AO$1004)-Hoje!$L$5)+1)</f>
        <v/>
      </c>
      <c r="AQ406" s="50" t="n">
        <f aca="false">IF(AND($F406&lt;&gt;"",$D406=Frota!$C$3),1,0)</f>
        <v>0</v>
      </c>
      <c r="AR406" s="50" t="str">
        <f aca="false">IF($AQ406=0,"",SUM($AQ$4:$AQ406))</f>
        <v/>
      </c>
      <c r="AS406" s="50" t="str">
        <f aca="false">IFERROR(INDEX(Hoje!$K$10:$K$29,MATCH(ROW(),Hoje!$J$10:$J$29,0)),"")</f>
        <v/>
      </c>
      <c r="AT406" s="50" t="str">
        <f aca="false">IF($Q406&lt;&gt;"",$Q406,$AS406)</f>
        <v/>
      </c>
    </row>
    <row r="407" customFormat="false" ht="16.5" hidden="false" customHeight="true" outlineLevel="0" collapsed="false">
      <c r="A407" s="39" t="str">
        <f aca="false">IF($F407="","",ROW())</f>
        <v/>
      </c>
      <c r="B407" s="40" t="str">
        <f aca="false">IF($F407="",IF($D407="","","Falta a atividade"),IF($R407="Cancelada","Cancelada",IF($AB407=1,IF(N($Z407)&gt;0,"Concluída com atraso","Concluída"),IF($R407="Em programação","Em programação",IF($O407="",IF($M407="","Na carteira","Falta a semana"),IF($AC407=1,"VENCIDA",IF($O407&gt;Hoje!$L$1,"Programada",IF($P407&gt;Hoje!$L$1,"Em execução","Fecha hoje"))))))))</f>
        <v/>
      </c>
      <c r="C407" s="41"/>
      <c r="D407" s="42"/>
      <c r="E407" s="42"/>
      <c r="F407" s="42"/>
      <c r="G407" s="43"/>
      <c r="H407" s="43"/>
      <c r="I407" s="44"/>
      <c r="J407" s="44"/>
      <c r="K407" s="44"/>
      <c r="L407" s="45"/>
      <c r="M407" s="46"/>
      <c r="N407" s="45"/>
      <c r="O407" s="47" t="str">
        <f aca="false">IF(OR($L407="",$M407=""),"",(DATE(Semana!$J$3,1,4)-WEEKDAY(DATE(Semana!$J$3,1,4),3))+($L407-1)*7+MATCH($M407,Listas!$F$5:$F$11,0)-1)</f>
        <v/>
      </c>
      <c r="P407" s="47" t="str">
        <f aca="false">IF(OR($F407="",$O407=""),"",$O407+MAX(0,ROUNDUP($AK407*MAX(1,IF($N407="",1,$N407))/MAX(1,$AL407),0)-1))</f>
        <v/>
      </c>
      <c r="Q407" s="48"/>
      <c r="R407" s="43"/>
      <c r="S407" s="49"/>
      <c r="T407" s="42"/>
      <c r="U407" s="42"/>
      <c r="V407" s="39" t="str">
        <f aca="false">IF($F407="","",IF(ISNUMBER(SEARCH("(externo)",$I407&amp;$J407&amp;$K407)),"Terceirizada","Interna"))</f>
        <v/>
      </c>
      <c r="W407" s="47" t="str">
        <f aca="false">IF($O407="","",IF($S407="",$O407,(DATE(Semana!$J$3,1,4)-WEEKDAY(DATE(Semana!$J$3,1,4),3))+($S407-1)*7+IF($M407="",0,MATCH($M407,Listas!$F$5:$F$11,0)-1)))</f>
        <v/>
      </c>
      <c r="X407" s="39" t="str">
        <f aca="false">IF($F407="","",IF(OR($AT407="",$O407=""),0,IF($AT407&lt;=$O407,1,0)))</f>
        <v/>
      </c>
      <c r="Y407" s="39" t="str">
        <f aca="false">IF($F407="","",IF(OR($AT407="",$W407=""),0,IF($AT407&lt;=$W407,1,0)))</f>
        <v/>
      </c>
      <c r="Z407" s="39" t="str">
        <f aca="false">IF(OR($AT407="",$O407=""),"",MAX(0,$AT407-$O407))</f>
        <v/>
      </c>
      <c r="AA407" s="39" t="str">
        <f aca="false">IF($F407="","",IF(AND($S407&lt;&gt;"",$L407&lt;&gt;"",$S407&lt;&gt;$L407),1,0))</f>
        <v/>
      </c>
      <c r="AB407" s="39" t="str">
        <f aca="false">IF($F407="","",IF($R407="Cancelada",0,IF(OR($AT407&lt;&gt;"",$R407="Concluída"),1,0)))</f>
        <v/>
      </c>
      <c r="AC407" s="39" t="n">
        <f aca="false">IF($P407="",0,IF($P407&lt;Hoje!$L$1,1,IF(AND($P407=Hoje!$L$1,Hoje!$L$2&gt;Semana!$M$3),1,0)))</f>
        <v>0</v>
      </c>
      <c r="AD407" s="39" t="str">
        <f aca="false">IF($F407="","",IF(COUNTA($I407:$K407)=0,0,1/COUNTA($I407:$K407)))</f>
        <v/>
      </c>
      <c r="AE407" s="39" t="str">
        <f aca="false">IF($AH407=0,"",SUM($AH$4:$AH407))</f>
        <v/>
      </c>
      <c r="AF407" s="39" t="str">
        <f aca="false">IF($AI407=0,"",SUM($AI$4:$AI407))</f>
        <v/>
      </c>
      <c r="AG407" s="50" t="str">
        <f aca="false">IF($F407="","",$I407&amp;IF($J407="",""," · "&amp;$J407)&amp;IF($K407="",""," · "&amp;$K407))</f>
        <v/>
      </c>
      <c r="AH407" s="39" t="n">
        <f aca="false">IF(AND($F407&lt;&gt;"",$O407&lt;&gt;"",$O407&lt;=Hoje!$C$3,$P407&gt;=Hoje!$C$3,$R407&lt;&gt;"Cancelada"),1,0)</f>
        <v>0</v>
      </c>
      <c r="AI407" s="39" t="n">
        <f aca="false">IF(AND($F407&lt;&gt;"",$P407&lt;&gt;"",$P407&lt;Hoje!$C$3,$AB407=0,$R407&lt;&gt;"Cancelada"),1,0)</f>
        <v>0</v>
      </c>
      <c r="AJ407" s="50" t="str">
        <f aca="false">IF($F407="","",$D407&amp;"|"&amp;$E407&amp;"|"&amp;$L407)</f>
        <v/>
      </c>
      <c r="AK407" s="39" t="str">
        <f aca="false">IF($AJ407="","",COUNTIF($AJ$4:$AJ407,$AJ407))</f>
        <v/>
      </c>
      <c r="AL407" s="39" t="str">
        <f aca="false">IF($AJ407="","",COUNTIF($AJ$4:$AJ$1004,$AJ407))</f>
        <v/>
      </c>
      <c r="AM407" s="42"/>
      <c r="AN407" s="50" t="str">
        <f aca="false">IF($D407="","",IFERROR(T(VLOOKUP($D407,Listas!$B$5:$H$120,7,0)),""))</f>
        <v/>
      </c>
      <c r="AO407" s="50" t="str">
        <f aca="false">IF(OR($F407="",$L407&lt;&gt;"",$R407="Cancelada",$AT407&lt;&gt;""),"",$AN407&amp;"|"&amp;$D407&amp;"|"&amp;IF($C407="","zzz",$C407)&amp;"|"&amp;TEXT(407,"0000"))</f>
        <v/>
      </c>
      <c r="AP407" s="50" t="str">
        <f aca="false">IF($AO407="","",COUNTIF($AO$5:$AO$1004,"&lt;"&amp;$AO407)-(ROWS($AO$5:$AO$1004)-Hoje!$L$5)+1)</f>
        <v/>
      </c>
      <c r="AQ407" s="50" t="n">
        <f aca="false">IF(AND($F407&lt;&gt;"",$D407=Frota!$C$3),1,0)</f>
        <v>0</v>
      </c>
      <c r="AR407" s="50" t="str">
        <f aca="false">IF($AQ407=0,"",SUM($AQ$4:$AQ407))</f>
        <v/>
      </c>
      <c r="AS407" s="50" t="str">
        <f aca="false">IFERROR(INDEX(Hoje!$K$10:$K$29,MATCH(ROW(),Hoje!$J$10:$J$29,0)),"")</f>
        <v/>
      </c>
      <c r="AT407" s="50" t="str">
        <f aca="false">IF($Q407&lt;&gt;"",$Q407,$AS407)</f>
        <v/>
      </c>
    </row>
    <row r="408" customFormat="false" ht="16.5" hidden="false" customHeight="true" outlineLevel="0" collapsed="false">
      <c r="A408" s="39" t="str">
        <f aca="false">IF($F408="","",ROW())</f>
        <v/>
      </c>
      <c r="B408" s="40" t="str">
        <f aca="false">IF($F408="",IF($D408="","","Falta a atividade"),IF($R408="Cancelada","Cancelada",IF($AB408=1,IF(N($Z408)&gt;0,"Concluída com atraso","Concluída"),IF($R408="Em programação","Em programação",IF($O408="",IF($M408="","Na carteira","Falta a semana"),IF($AC408=1,"VENCIDA",IF($O408&gt;Hoje!$L$1,"Programada",IF($P408&gt;Hoje!$L$1,"Em execução","Fecha hoje"))))))))</f>
        <v/>
      </c>
      <c r="C408" s="41"/>
      <c r="D408" s="42"/>
      <c r="E408" s="42"/>
      <c r="F408" s="42"/>
      <c r="G408" s="43"/>
      <c r="H408" s="43"/>
      <c r="I408" s="44"/>
      <c r="J408" s="44"/>
      <c r="K408" s="44"/>
      <c r="L408" s="45"/>
      <c r="M408" s="46"/>
      <c r="N408" s="45"/>
      <c r="O408" s="47" t="str">
        <f aca="false">IF(OR($L408="",$M408=""),"",(DATE(Semana!$J$3,1,4)-WEEKDAY(DATE(Semana!$J$3,1,4),3))+($L408-1)*7+MATCH($M408,Listas!$F$5:$F$11,0)-1)</f>
        <v/>
      </c>
      <c r="P408" s="47" t="str">
        <f aca="false">IF(OR($F408="",$O408=""),"",$O408+MAX(0,ROUNDUP($AK408*MAX(1,IF($N408="",1,$N408))/MAX(1,$AL408),0)-1))</f>
        <v/>
      </c>
      <c r="Q408" s="48"/>
      <c r="R408" s="43"/>
      <c r="S408" s="49"/>
      <c r="T408" s="42"/>
      <c r="U408" s="42"/>
      <c r="V408" s="39" t="str">
        <f aca="false">IF($F408="","",IF(ISNUMBER(SEARCH("(externo)",$I408&amp;$J408&amp;$K408)),"Terceirizada","Interna"))</f>
        <v/>
      </c>
      <c r="W408" s="47" t="str">
        <f aca="false">IF($O408="","",IF($S408="",$O408,(DATE(Semana!$J$3,1,4)-WEEKDAY(DATE(Semana!$J$3,1,4),3))+($S408-1)*7+IF($M408="",0,MATCH($M408,Listas!$F$5:$F$11,0)-1)))</f>
        <v/>
      </c>
      <c r="X408" s="39" t="str">
        <f aca="false">IF($F408="","",IF(OR($AT408="",$O408=""),0,IF($AT408&lt;=$O408,1,0)))</f>
        <v/>
      </c>
      <c r="Y408" s="39" t="str">
        <f aca="false">IF($F408="","",IF(OR($AT408="",$W408=""),0,IF($AT408&lt;=$W408,1,0)))</f>
        <v/>
      </c>
      <c r="Z408" s="39" t="str">
        <f aca="false">IF(OR($AT408="",$O408=""),"",MAX(0,$AT408-$O408))</f>
        <v/>
      </c>
      <c r="AA408" s="39" t="str">
        <f aca="false">IF($F408="","",IF(AND($S408&lt;&gt;"",$L408&lt;&gt;"",$S408&lt;&gt;$L408),1,0))</f>
        <v/>
      </c>
      <c r="AB408" s="39" t="str">
        <f aca="false">IF($F408="","",IF($R408="Cancelada",0,IF(OR($AT408&lt;&gt;"",$R408="Concluída"),1,0)))</f>
        <v/>
      </c>
      <c r="AC408" s="39" t="n">
        <f aca="false">IF($P408="",0,IF($P408&lt;Hoje!$L$1,1,IF(AND($P408=Hoje!$L$1,Hoje!$L$2&gt;Semana!$M$3),1,0)))</f>
        <v>0</v>
      </c>
      <c r="AD408" s="39" t="str">
        <f aca="false">IF($F408="","",IF(COUNTA($I408:$K408)=0,0,1/COUNTA($I408:$K408)))</f>
        <v/>
      </c>
      <c r="AE408" s="39" t="str">
        <f aca="false">IF($AH408=0,"",SUM($AH$4:$AH408))</f>
        <v/>
      </c>
      <c r="AF408" s="39" t="str">
        <f aca="false">IF($AI408=0,"",SUM($AI$4:$AI408))</f>
        <v/>
      </c>
      <c r="AG408" s="50" t="str">
        <f aca="false">IF($F408="","",$I408&amp;IF($J408="",""," · "&amp;$J408)&amp;IF($K408="",""," · "&amp;$K408))</f>
        <v/>
      </c>
      <c r="AH408" s="39" t="n">
        <f aca="false">IF(AND($F408&lt;&gt;"",$O408&lt;&gt;"",$O408&lt;=Hoje!$C$3,$P408&gt;=Hoje!$C$3,$R408&lt;&gt;"Cancelada"),1,0)</f>
        <v>0</v>
      </c>
      <c r="AI408" s="39" t="n">
        <f aca="false">IF(AND($F408&lt;&gt;"",$P408&lt;&gt;"",$P408&lt;Hoje!$C$3,$AB408=0,$R408&lt;&gt;"Cancelada"),1,0)</f>
        <v>0</v>
      </c>
      <c r="AJ408" s="50" t="str">
        <f aca="false">IF($F408="","",$D408&amp;"|"&amp;$E408&amp;"|"&amp;$L408)</f>
        <v/>
      </c>
      <c r="AK408" s="39" t="str">
        <f aca="false">IF($AJ408="","",COUNTIF($AJ$4:$AJ408,$AJ408))</f>
        <v/>
      </c>
      <c r="AL408" s="39" t="str">
        <f aca="false">IF($AJ408="","",COUNTIF($AJ$4:$AJ$1004,$AJ408))</f>
        <v/>
      </c>
      <c r="AM408" s="42"/>
      <c r="AN408" s="50" t="str">
        <f aca="false">IF($D408="","",IFERROR(T(VLOOKUP($D408,Listas!$B$5:$H$120,7,0)),""))</f>
        <v/>
      </c>
      <c r="AO408" s="50" t="str">
        <f aca="false">IF(OR($F408="",$L408&lt;&gt;"",$R408="Cancelada",$AT408&lt;&gt;""),"",$AN408&amp;"|"&amp;$D408&amp;"|"&amp;IF($C408="","zzz",$C408)&amp;"|"&amp;TEXT(408,"0000"))</f>
        <v/>
      </c>
      <c r="AP408" s="50" t="str">
        <f aca="false">IF($AO408="","",COUNTIF($AO$5:$AO$1004,"&lt;"&amp;$AO408)-(ROWS($AO$5:$AO$1004)-Hoje!$L$5)+1)</f>
        <v/>
      </c>
      <c r="AQ408" s="50" t="n">
        <f aca="false">IF(AND($F408&lt;&gt;"",$D408=Frota!$C$3),1,0)</f>
        <v>0</v>
      </c>
      <c r="AR408" s="50" t="str">
        <f aca="false">IF($AQ408=0,"",SUM($AQ$4:$AQ408))</f>
        <v/>
      </c>
      <c r="AS408" s="50" t="str">
        <f aca="false">IFERROR(INDEX(Hoje!$K$10:$K$29,MATCH(ROW(),Hoje!$J$10:$J$29,0)),"")</f>
        <v/>
      </c>
      <c r="AT408" s="50" t="str">
        <f aca="false">IF($Q408&lt;&gt;"",$Q408,$AS408)</f>
        <v/>
      </c>
    </row>
    <row r="409" customFormat="false" ht="16.5" hidden="false" customHeight="true" outlineLevel="0" collapsed="false">
      <c r="A409" s="39" t="str">
        <f aca="false">IF($F409="","",ROW())</f>
        <v/>
      </c>
      <c r="B409" s="40" t="str">
        <f aca="false">IF($F409="",IF($D409="","","Falta a atividade"),IF($R409="Cancelada","Cancelada",IF($AB409=1,IF(N($Z409)&gt;0,"Concluída com atraso","Concluída"),IF($R409="Em programação","Em programação",IF($O409="",IF($M409="","Na carteira","Falta a semana"),IF($AC409=1,"VENCIDA",IF($O409&gt;Hoje!$L$1,"Programada",IF($P409&gt;Hoje!$L$1,"Em execução","Fecha hoje"))))))))</f>
        <v/>
      </c>
      <c r="C409" s="41"/>
      <c r="D409" s="42"/>
      <c r="E409" s="42"/>
      <c r="F409" s="42"/>
      <c r="G409" s="43"/>
      <c r="H409" s="43"/>
      <c r="I409" s="44"/>
      <c r="J409" s="44"/>
      <c r="K409" s="44"/>
      <c r="L409" s="45"/>
      <c r="M409" s="46"/>
      <c r="N409" s="45"/>
      <c r="O409" s="47" t="str">
        <f aca="false">IF(OR($L409="",$M409=""),"",(DATE(Semana!$J$3,1,4)-WEEKDAY(DATE(Semana!$J$3,1,4),3))+($L409-1)*7+MATCH($M409,Listas!$F$5:$F$11,0)-1)</f>
        <v/>
      </c>
      <c r="P409" s="47" t="str">
        <f aca="false">IF(OR($F409="",$O409=""),"",$O409+MAX(0,ROUNDUP($AK409*MAX(1,IF($N409="",1,$N409))/MAX(1,$AL409),0)-1))</f>
        <v/>
      </c>
      <c r="Q409" s="48"/>
      <c r="R409" s="43"/>
      <c r="S409" s="49"/>
      <c r="T409" s="42"/>
      <c r="U409" s="42"/>
      <c r="V409" s="39" t="str">
        <f aca="false">IF($F409="","",IF(ISNUMBER(SEARCH("(externo)",$I409&amp;$J409&amp;$K409)),"Terceirizada","Interna"))</f>
        <v/>
      </c>
      <c r="W409" s="47" t="str">
        <f aca="false">IF($O409="","",IF($S409="",$O409,(DATE(Semana!$J$3,1,4)-WEEKDAY(DATE(Semana!$J$3,1,4),3))+($S409-1)*7+IF($M409="",0,MATCH($M409,Listas!$F$5:$F$11,0)-1)))</f>
        <v/>
      </c>
      <c r="X409" s="39" t="str">
        <f aca="false">IF($F409="","",IF(OR($AT409="",$O409=""),0,IF($AT409&lt;=$O409,1,0)))</f>
        <v/>
      </c>
      <c r="Y409" s="39" t="str">
        <f aca="false">IF($F409="","",IF(OR($AT409="",$W409=""),0,IF($AT409&lt;=$W409,1,0)))</f>
        <v/>
      </c>
      <c r="Z409" s="39" t="str">
        <f aca="false">IF(OR($AT409="",$O409=""),"",MAX(0,$AT409-$O409))</f>
        <v/>
      </c>
      <c r="AA409" s="39" t="str">
        <f aca="false">IF($F409="","",IF(AND($S409&lt;&gt;"",$L409&lt;&gt;"",$S409&lt;&gt;$L409),1,0))</f>
        <v/>
      </c>
      <c r="AB409" s="39" t="str">
        <f aca="false">IF($F409="","",IF($R409="Cancelada",0,IF(OR($AT409&lt;&gt;"",$R409="Concluída"),1,0)))</f>
        <v/>
      </c>
      <c r="AC409" s="39" t="n">
        <f aca="false">IF($P409="",0,IF($P409&lt;Hoje!$L$1,1,IF(AND($P409=Hoje!$L$1,Hoje!$L$2&gt;Semana!$M$3),1,0)))</f>
        <v>0</v>
      </c>
      <c r="AD409" s="39" t="str">
        <f aca="false">IF($F409="","",IF(COUNTA($I409:$K409)=0,0,1/COUNTA($I409:$K409)))</f>
        <v/>
      </c>
      <c r="AE409" s="39" t="str">
        <f aca="false">IF($AH409=0,"",SUM($AH$4:$AH409))</f>
        <v/>
      </c>
      <c r="AF409" s="39" t="str">
        <f aca="false">IF($AI409=0,"",SUM($AI$4:$AI409))</f>
        <v/>
      </c>
      <c r="AG409" s="50" t="str">
        <f aca="false">IF($F409="","",$I409&amp;IF($J409="",""," · "&amp;$J409)&amp;IF($K409="",""," · "&amp;$K409))</f>
        <v/>
      </c>
      <c r="AH409" s="39" t="n">
        <f aca="false">IF(AND($F409&lt;&gt;"",$O409&lt;&gt;"",$O409&lt;=Hoje!$C$3,$P409&gt;=Hoje!$C$3,$R409&lt;&gt;"Cancelada"),1,0)</f>
        <v>0</v>
      </c>
      <c r="AI409" s="39" t="n">
        <f aca="false">IF(AND($F409&lt;&gt;"",$P409&lt;&gt;"",$P409&lt;Hoje!$C$3,$AB409=0,$R409&lt;&gt;"Cancelada"),1,0)</f>
        <v>0</v>
      </c>
      <c r="AJ409" s="50" t="str">
        <f aca="false">IF($F409="","",$D409&amp;"|"&amp;$E409&amp;"|"&amp;$L409)</f>
        <v/>
      </c>
      <c r="AK409" s="39" t="str">
        <f aca="false">IF($AJ409="","",COUNTIF($AJ$4:$AJ409,$AJ409))</f>
        <v/>
      </c>
      <c r="AL409" s="39" t="str">
        <f aca="false">IF($AJ409="","",COUNTIF($AJ$4:$AJ$1004,$AJ409))</f>
        <v/>
      </c>
      <c r="AM409" s="42"/>
      <c r="AN409" s="50" t="str">
        <f aca="false">IF($D409="","",IFERROR(T(VLOOKUP($D409,Listas!$B$5:$H$120,7,0)),""))</f>
        <v/>
      </c>
      <c r="AO409" s="50" t="str">
        <f aca="false">IF(OR($F409="",$L409&lt;&gt;"",$R409="Cancelada",$AT409&lt;&gt;""),"",$AN409&amp;"|"&amp;$D409&amp;"|"&amp;IF($C409="","zzz",$C409)&amp;"|"&amp;TEXT(409,"0000"))</f>
        <v/>
      </c>
      <c r="AP409" s="50" t="str">
        <f aca="false">IF($AO409="","",COUNTIF($AO$5:$AO$1004,"&lt;"&amp;$AO409)-(ROWS($AO$5:$AO$1004)-Hoje!$L$5)+1)</f>
        <v/>
      </c>
      <c r="AQ409" s="50" t="n">
        <f aca="false">IF(AND($F409&lt;&gt;"",$D409=Frota!$C$3),1,0)</f>
        <v>0</v>
      </c>
      <c r="AR409" s="50" t="str">
        <f aca="false">IF($AQ409=0,"",SUM($AQ$4:$AQ409))</f>
        <v/>
      </c>
      <c r="AS409" s="50" t="str">
        <f aca="false">IFERROR(INDEX(Hoje!$K$10:$K$29,MATCH(ROW(),Hoje!$J$10:$J$29,0)),"")</f>
        <v/>
      </c>
      <c r="AT409" s="50" t="str">
        <f aca="false">IF($Q409&lt;&gt;"",$Q409,$AS409)</f>
        <v/>
      </c>
    </row>
    <row r="410" customFormat="false" ht="16.5" hidden="false" customHeight="true" outlineLevel="0" collapsed="false">
      <c r="A410" s="39" t="str">
        <f aca="false">IF($F410="","",ROW())</f>
        <v/>
      </c>
      <c r="B410" s="40" t="str">
        <f aca="false">IF($F410="",IF($D410="","","Falta a atividade"),IF($R410="Cancelada","Cancelada",IF($AB410=1,IF(N($Z410)&gt;0,"Concluída com atraso","Concluída"),IF($R410="Em programação","Em programação",IF($O410="",IF($M410="","Na carteira","Falta a semana"),IF($AC410=1,"VENCIDA",IF($O410&gt;Hoje!$L$1,"Programada",IF($P410&gt;Hoje!$L$1,"Em execução","Fecha hoje"))))))))</f>
        <v/>
      </c>
      <c r="C410" s="41"/>
      <c r="D410" s="42"/>
      <c r="E410" s="42"/>
      <c r="F410" s="42"/>
      <c r="G410" s="43"/>
      <c r="H410" s="43"/>
      <c r="I410" s="44"/>
      <c r="J410" s="44"/>
      <c r="K410" s="44"/>
      <c r="L410" s="45"/>
      <c r="M410" s="46"/>
      <c r="N410" s="45"/>
      <c r="O410" s="47" t="str">
        <f aca="false">IF(OR($L410="",$M410=""),"",(DATE(Semana!$J$3,1,4)-WEEKDAY(DATE(Semana!$J$3,1,4),3))+($L410-1)*7+MATCH($M410,Listas!$F$5:$F$11,0)-1)</f>
        <v/>
      </c>
      <c r="P410" s="47" t="str">
        <f aca="false">IF(OR($F410="",$O410=""),"",$O410+MAX(0,ROUNDUP($AK410*MAX(1,IF($N410="",1,$N410))/MAX(1,$AL410),0)-1))</f>
        <v/>
      </c>
      <c r="Q410" s="48"/>
      <c r="R410" s="43"/>
      <c r="S410" s="49"/>
      <c r="T410" s="42"/>
      <c r="U410" s="42"/>
      <c r="V410" s="39" t="str">
        <f aca="false">IF($F410="","",IF(ISNUMBER(SEARCH("(externo)",$I410&amp;$J410&amp;$K410)),"Terceirizada","Interna"))</f>
        <v/>
      </c>
      <c r="W410" s="47" t="str">
        <f aca="false">IF($O410="","",IF($S410="",$O410,(DATE(Semana!$J$3,1,4)-WEEKDAY(DATE(Semana!$J$3,1,4),3))+($S410-1)*7+IF($M410="",0,MATCH($M410,Listas!$F$5:$F$11,0)-1)))</f>
        <v/>
      </c>
      <c r="X410" s="39" t="str">
        <f aca="false">IF($F410="","",IF(OR($AT410="",$O410=""),0,IF($AT410&lt;=$O410,1,0)))</f>
        <v/>
      </c>
      <c r="Y410" s="39" t="str">
        <f aca="false">IF($F410="","",IF(OR($AT410="",$W410=""),0,IF($AT410&lt;=$W410,1,0)))</f>
        <v/>
      </c>
      <c r="Z410" s="39" t="str">
        <f aca="false">IF(OR($AT410="",$O410=""),"",MAX(0,$AT410-$O410))</f>
        <v/>
      </c>
      <c r="AA410" s="39" t="str">
        <f aca="false">IF($F410="","",IF(AND($S410&lt;&gt;"",$L410&lt;&gt;"",$S410&lt;&gt;$L410),1,0))</f>
        <v/>
      </c>
      <c r="AB410" s="39" t="str">
        <f aca="false">IF($F410="","",IF($R410="Cancelada",0,IF(OR($AT410&lt;&gt;"",$R410="Concluída"),1,0)))</f>
        <v/>
      </c>
      <c r="AC410" s="39" t="n">
        <f aca="false">IF($P410="",0,IF($P410&lt;Hoje!$L$1,1,IF(AND($P410=Hoje!$L$1,Hoje!$L$2&gt;Semana!$M$3),1,0)))</f>
        <v>0</v>
      </c>
      <c r="AD410" s="39" t="str">
        <f aca="false">IF($F410="","",IF(COUNTA($I410:$K410)=0,0,1/COUNTA($I410:$K410)))</f>
        <v/>
      </c>
      <c r="AE410" s="39" t="str">
        <f aca="false">IF($AH410=0,"",SUM($AH$4:$AH410))</f>
        <v/>
      </c>
      <c r="AF410" s="39" t="str">
        <f aca="false">IF($AI410=0,"",SUM($AI$4:$AI410))</f>
        <v/>
      </c>
      <c r="AG410" s="50" t="str">
        <f aca="false">IF($F410="","",$I410&amp;IF($J410="",""," · "&amp;$J410)&amp;IF($K410="",""," · "&amp;$K410))</f>
        <v/>
      </c>
      <c r="AH410" s="39" t="n">
        <f aca="false">IF(AND($F410&lt;&gt;"",$O410&lt;&gt;"",$O410&lt;=Hoje!$C$3,$P410&gt;=Hoje!$C$3,$R410&lt;&gt;"Cancelada"),1,0)</f>
        <v>0</v>
      </c>
      <c r="AI410" s="39" t="n">
        <f aca="false">IF(AND($F410&lt;&gt;"",$P410&lt;&gt;"",$P410&lt;Hoje!$C$3,$AB410=0,$R410&lt;&gt;"Cancelada"),1,0)</f>
        <v>0</v>
      </c>
      <c r="AJ410" s="50" t="str">
        <f aca="false">IF($F410="","",$D410&amp;"|"&amp;$E410&amp;"|"&amp;$L410)</f>
        <v/>
      </c>
      <c r="AK410" s="39" t="str">
        <f aca="false">IF($AJ410="","",COUNTIF($AJ$4:$AJ410,$AJ410))</f>
        <v/>
      </c>
      <c r="AL410" s="39" t="str">
        <f aca="false">IF($AJ410="","",COUNTIF($AJ$4:$AJ$1004,$AJ410))</f>
        <v/>
      </c>
      <c r="AM410" s="42"/>
      <c r="AN410" s="50" t="str">
        <f aca="false">IF($D410="","",IFERROR(T(VLOOKUP($D410,Listas!$B$5:$H$120,7,0)),""))</f>
        <v/>
      </c>
      <c r="AO410" s="50" t="str">
        <f aca="false">IF(OR($F410="",$L410&lt;&gt;"",$R410="Cancelada",$AT410&lt;&gt;""),"",$AN410&amp;"|"&amp;$D410&amp;"|"&amp;IF($C410="","zzz",$C410)&amp;"|"&amp;TEXT(410,"0000"))</f>
        <v/>
      </c>
      <c r="AP410" s="50" t="str">
        <f aca="false">IF($AO410="","",COUNTIF($AO$5:$AO$1004,"&lt;"&amp;$AO410)-(ROWS($AO$5:$AO$1004)-Hoje!$L$5)+1)</f>
        <v/>
      </c>
      <c r="AQ410" s="50" t="n">
        <f aca="false">IF(AND($F410&lt;&gt;"",$D410=Frota!$C$3),1,0)</f>
        <v>0</v>
      </c>
      <c r="AR410" s="50" t="str">
        <f aca="false">IF($AQ410=0,"",SUM($AQ$4:$AQ410))</f>
        <v/>
      </c>
      <c r="AS410" s="50" t="str">
        <f aca="false">IFERROR(INDEX(Hoje!$K$10:$K$29,MATCH(ROW(),Hoje!$J$10:$J$29,0)),"")</f>
        <v/>
      </c>
      <c r="AT410" s="50" t="str">
        <f aca="false">IF($Q410&lt;&gt;"",$Q410,$AS410)</f>
        <v/>
      </c>
    </row>
    <row r="411" customFormat="false" ht="16.5" hidden="false" customHeight="true" outlineLevel="0" collapsed="false">
      <c r="A411" s="39" t="str">
        <f aca="false">IF($F411="","",ROW())</f>
        <v/>
      </c>
      <c r="B411" s="40" t="str">
        <f aca="false">IF($F411="",IF($D411="","","Falta a atividade"),IF($R411="Cancelada","Cancelada",IF($AB411=1,IF(N($Z411)&gt;0,"Concluída com atraso","Concluída"),IF($R411="Em programação","Em programação",IF($O411="",IF($M411="","Na carteira","Falta a semana"),IF($AC411=1,"VENCIDA",IF($O411&gt;Hoje!$L$1,"Programada",IF($P411&gt;Hoje!$L$1,"Em execução","Fecha hoje"))))))))</f>
        <v/>
      </c>
      <c r="C411" s="41"/>
      <c r="D411" s="42"/>
      <c r="E411" s="42"/>
      <c r="F411" s="42"/>
      <c r="G411" s="43"/>
      <c r="H411" s="43"/>
      <c r="I411" s="44"/>
      <c r="J411" s="44"/>
      <c r="K411" s="44"/>
      <c r="L411" s="45"/>
      <c r="M411" s="46"/>
      <c r="N411" s="45"/>
      <c r="O411" s="47" t="str">
        <f aca="false">IF(OR($L411="",$M411=""),"",(DATE(Semana!$J$3,1,4)-WEEKDAY(DATE(Semana!$J$3,1,4),3))+($L411-1)*7+MATCH($M411,Listas!$F$5:$F$11,0)-1)</f>
        <v/>
      </c>
      <c r="P411" s="47" t="str">
        <f aca="false">IF(OR($F411="",$O411=""),"",$O411+MAX(0,ROUNDUP($AK411*MAX(1,IF($N411="",1,$N411))/MAX(1,$AL411),0)-1))</f>
        <v/>
      </c>
      <c r="Q411" s="48"/>
      <c r="R411" s="43"/>
      <c r="S411" s="49"/>
      <c r="T411" s="42"/>
      <c r="U411" s="42"/>
      <c r="V411" s="39" t="str">
        <f aca="false">IF($F411="","",IF(ISNUMBER(SEARCH("(externo)",$I411&amp;$J411&amp;$K411)),"Terceirizada","Interna"))</f>
        <v/>
      </c>
      <c r="W411" s="47" t="str">
        <f aca="false">IF($O411="","",IF($S411="",$O411,(DATE(Semana!$J$3,1,4)-WEEKDAY(DATE(Semana!$J$3,1,4),3))+($S411-1)*7+IF($M411="",0,MATCH($M411,Listas!$F$5:$F$11,0)-1)))</f>
        <v/>
      </c>
      <c r="X411" s="39" t="str">
        <f aca="false">IF($F411="","",IF(OR($AT411="",$O411=""),0,IF($AT411&lt;=$O411,1,0)))</f>
        <v/>
      </c>
      <c r="Y411" s="39" t="str">
        <f aca="false">IF($F411="","",IF(OR($AT411="",$W411=""),0,IF($AT411&lt;=$W411,1,0)))</f>
        <v/>
      </c>
      <c r="Z411" s="39" t="str">
        <f aca="false">IF(OR($AT411="",$O411=""),"",MAX(0,$AT411-$O411))</f>
        <v/>
      </c>
      <c r="AA411" s="39" t="str">
        <f aca="false">IF($F411="","",IF(AND($S411&lt;&gt;"",$L411&lt;&gt;"",$S411&lt;&gt;$L411),1,0))</f>
        <v/>
      </c>
      <c r="AB411" s="39" t="str">
        <f aca="false">IF($F411="","",IF($R411="Cancelada",0,IF(OR($AT411&lt;&gt;"",$R411="Concluída"),1,0)))</f>
        <v/>
      </c>
      <c r="AC411" s="39" t="n">
        <f aca="false">IF($P411="",0,IF($P411&lt;Hoje!$L$1,1,IF(AND($P411=Hoje!$L$1,Hoje!$L$2&gt;Semana!$M$3),1,0)))</f>
        <v>0</v>
      </c>
      <c r="AD411" s="39" t="str">
        <f aca="false">IF($F411="","",IF(COUNTA($I411:$K411)=0,0,1/COUNTA($I411:$K411)))</f>
        <v/>
      </c>
      <c r="AE411" s="39" t="str">
        <f aca="false">IF($AH411=0,"",SUM($AH$4:$AH411))</f>
        <v/>
      </c>
      <c r="AF411" s="39" t="str">
        <f aca="false">IF($AI411=0,"",SUM($AI$4:$AI411))</f>
        <v/>
      </c>
      <c r="AG411" s="50" t="str">
        <f aca="false">IF($F411="","",$I411&amp;IF($J411="",""," · "&amp;$J411)&amp;IF($K411="",""," · "&amp;$K411))</f>
        <v/>
      </c>
      <c r="AH411" s="39" t="n">
        <f aca="false">IF(AND($F411&lt;&gt;"",$O411&lt;&gt;"",$O411&lt;=Hoje!$C$3,$P411&gt;=Hoje!$C$3,$R411&lt;&gt;"Cancelada"),1,0)</f>
        <v>0</v>
      </c>
      <c r="AI411" s="39" t="n">
        <f aca="false">IF(AND($F411&lt;&gt;"",$P411&lt;&gt;"",$P411&lt;Hoje!$C$3,$AB411=0,$R411&lt;&gt;"Cancelada"),1,0)</f>
        <v>0</v>
      </c>
      <c r="AJ411" s="50" t="str">
        <f aca="false">IF($F411="","",$D411&amp;"|"&amp;$E411&amp;"|"&amp;$L411)</f>
        <v/>
      </c>
      <c r="AK411" s="39" t="str">
        <f aca="false">IF($AJ411="","",COUNTIF($AJ$4:$AJ411,$AJ411))</f>
        <v/>
      </c>
      <c r="AL411" s="39" t="str">
        <f aca="false">IF($AJ411="","",COUNTIF($AJ$4:$AJ$1004,$AJ411))</f>
        <v/>
      </c>
      <c r="AM411" s="42"/>
      <c r="AN411" s="50" t="str">
        <f aca="false">IF($D411="","",IFERROR(T(VLOOKUP($D411,Listas!$B$5:$H$120,7,0)),""))</f>
        <v/>
      </c>
      <c r="AO411" s="50" t="str">
        <f aca="false">IF(OR($F411="",$L411&lt;&gt;"",$R411="Cancelada",$AT411&lt;&gt;""),"",$AN411&amp;"|"&amp;$D411&amp;"|"&amp;IF($C411="","zzz",$C411)&amp;"|"&amp;TEXT(411,"0000"))</f>
        <v/>
      </c>
      <c r="AP411" s="50" t="str">
        <f aca="false">IF($AO411="","",COUNTIF($AO$5:$AO$1004,"&lt;"&amp;$AO411)-(ROWS($AO$5:$AO$1004)-Hoje!$L$5)+1)</f>
        <v/>
      </c>
      <c r="AQ411" s="50" t="n">
        <f aca="false">IF(AND($F411&lt;&gt;"",$D411=Frota!$C$3),1,0)</f>
        <v>0</v>
      </c>
      <c r="AR411" s="50" t="str">
        <f aca="false">IF($AQ411=0,"",SUM($AQ$4:$AQ411))</f>
        <v/>
      </c>
      <c r="AS411" s="50" t="str">
        <f aca="false">IFERROR(INDEX(Hoje!$K$10:$K$29,MATCH(ROW(),Hoje!$J$10:$J$29,0)),"")</f>
        <v/>
      </c>
      <c r="AT411" s="50" t="str">
        <f aca="false">IF($Q411&lt;&gt;"",$Q411,$AS411)</f>
        <v/>
      </c>
    </row>
    <row r="412" customFormat="false" ht="16.5" hidden="false" customHeight="true" outlineLevel="0" collapsed="false">
      <c r="A412" s="39" t="str">
        <f aca="false">IF($F412="","",ROW())</f>
        <v/>
      </c>
      <c r="B412" s="40" t="str">
        <f aca="false">IF($F412="",IF($D412="","","Falta a atividade"),IF($R412="Cancelada","Cancelada",IF($AB412=1,IF(N($Z412)&gt;0,"Concluída com atraso","Concluída"),IF($R412="Em programação","Em programação",IF($O412="",IF($M412="","Na carteira","Falta a semana"),IF($AC412=1,"VENCIDA",IF($O412&gt;Hoje!$L$1,"Programada",IF($P412&gt;Hoje!$L$1,"Em execução","Fecha hoje"))))))))</f>
        <v/>
      </c>
      <c r="C412" s="41"/>
      <c r="D412" s="42"/>
      <c r="E412" s="42"/>
      <c r="F412" s="42"/>
      <c r="G412" s="43"/>
      <c r="H412" s="43"/>
      <c r="I412" s="44"/>
      <c r="J412" s="44"/>
      <c r="K412" s="44"/>
      <c r="L412" s="45"/>
      <c r="M412" s="46"/>
      <c r="N412" s="45"/>
      <c r="O412" s="47" t="str">
        <f aca="false">IF(OR($L412="",$M412=""),"",(DATE(Semana!$J$3,1,4)-WEEKDAY(DATE(Semana!$J$3,1,4),3))+($L412-1)*7+MATCH($M412,Listas!$F$5:$F$11,0)-1)</f>
        <v/>
      </c>
      <c r="P412" s="47" t="str">
        <f aca="false">IF(OR($F412="",$O412=""),"",$O412+MAX(0,ROUNDUP($AK412*MAX(1,IF($N412="",1,$N412))/MAX(1,$AL412),0)-1))</f>
        <v/>
      </c>
      <c r="Q412" s="48"/>
      <c r="R412" s="43"/>
      <c r="S412" s="49"/>
      <c r="T412" s="42"/>
      <c r="U412" s="42"/>
      <c r="V412" s="39" t="str">
        <f aca="false">IF($F412="","",IF(ISNUMBER(SEARCH("(externo)",$I412&amp;$J412&amp;$K412)),"Terceirizada","Interna"))</f>
        <v/>
      </c>
      <c r="W412" s="47" t="str">
        <f aca="false">IF($O412="","",IF($S412="",$O412,(DATE(Semana!$J$3,1,4)-WEEKDAY(DATE(Semana!$J$3,1,4),3))+($S412-1)*7+IF($M412="",0,MATCH($M412,Listas!$F$5:$F$11,0)-1)))</f>
        <v/>
      </c>
      <c r="X412" s="39" t="str">
        <f aca="false">IF($F412="","",IF(OR($AT412="",$O412=""),0,IF($AT412&lt;=$O412,1,0)))</f>
        <v/>
      </c>
      <c r="Y412" s="39" t="str">
        <f aca="false">IF($F412="","",IF(OR($AT412="",$W412=""),0,IF($AT412&lt;=$W412,1,0)))</f>
        <v/>
      </c>
      <c r="Z412" s="39" t="str">
        <f aca="false">IF(OR($AT412="",$O412=""),"",MAX(0,$AT412-$O412))</f>
        <v/>
      </c>
      <c r="AA412" s="39" t="str">
        <f aca="false">IF($F412="","",IF(AND($S412&lt;&gt;"",$L412&lt;&gt;"",$S412&lt;&gt;$L412),1,0))</f>
        <v/>
      </c>
      <c r="AB412" s="39" t="str">
        <f aca="false">IF($F412="","",IF($R412="Cancelada",0,IF(OR($AT412&lt;&gt;"",$R412="Concluída"),1,0)))</f>
        <v/>
      </c>
      <c r="AC412" s="39" t="n">
        <f aca="false">IF($P412="",0,IF($P412&lt;Hoje!$L$1,1,IF(AND($P412=Hoje!$L$1,Hoje!$L$2&gt;Semana!$M$3),1,0)))</f>
        <v>0</v>
      </c>
      <c r="AD412" s="39" t="str">
        <f aca="false">IF($F412="","",IF(COUNTA($I412:$K412)=0,0,1/COUNTA($I412:$K412)))</f>
        <v/>
      </c>
      <c r="AE412" s="39" t="str">
        <f aca="false">IF($AH412=0,"",SUM($AH$4:$AH412))</f>
        <v/>
      </c>
      <c r="AF412" s="39" t="str">
        <f aca="false">IF($AI412=0,"",SUM($AI$4:$AI412))</f>
        <v/>
      </c>
      <c r="AG412" s="50" t="str">
        <f aca="false">IF($F412="","",$I412&amp;IF($J412="",""," · "&amp;$J412)&amp;IF($K412="",""," · "&amp;$K412))</f>
        <v/>
      </c>
      <c r="AH412" s="39" t="n">
        <f aca="false">IF(AND($F412&lt;&gt;"",$O412&lt;&gt;"",$O412&lt;=Hoje!$C$3,$P412&gt;=Hoje!$C$3,$R412&lt;&gt;"Cancelada"),1,0)</f>
        <v>0</v>
      </c>
      <c r="AI412" s="39" t="n">
        <f aca="false">IF(AND($F412&lt;&gt;"",$P412&lt;&gt;"",$P412&lt;Hoje!$C$3,$AB412=0,$R412&lt;&gt;"Cancelada"),1,0)</f>
        <v>0</v>
      </c>
      <c r="AJ412" s="50" t="str">
        <f aca="false">IF($F412="","",$D412&amp;"|"&amp;$E412&amp;"|"&amp;$L412)</f>
        <v/>
      </c>
      <c r="AK412" s="39" t="str">
        <f aca="false">IF($AJ412="","",COUNTIF($AJ$4:$AJ412,$AJ412))</f>
        <v/>
      </c>
      <c r="AL412" s="39" t="str">
        <f aca="false">IF($AJ412="","",COUNTIF($AJ$4:$AJ$1004,$AJ412))</f>
        <v/>
      </c>
      <c r="AM412" s="42"/>
      <c r="AN412" s="50" t="str">
        <f aca="false">IF($D412="","",IFERROR(T(VLOOKUP($D412,Listas!$B$5:$H$120,7,0)),""))</f>
        <v/>
      </c>
      <c r="AO412" s="50" t="str">
        <f aca="false">IF(OR($F412="",$L412&lt;&gt;"",$R412="Cancelada",$AT412&lt;&gt;""),"",$AN412&amp;"|"&amp;$D412&amp;"|"&amp;IF($C412="","zzz",$C412)&amp;"|"&amp;TEXT(412,"0000"))</f>
        <v/>
      </c>
      <c r="AP412" s="50" t="str">
        <f aca="false">IF($AO412="","",COUNTIF($AO$5:$AO$1004,"&lt;"&amp;$AO412)-(ROWS($AO$5:$AO$1004)-Hoje!$L$5)+1)</f>
        <v/>
      </c>
      <c r="AQ412" s="50" t="n">
        <f aca="false">IF(AND($F412&lt;&gt;"",$D412=Frota!$C$3),1,0)</f>
        <v>0</v>
      </c>
      <c r="AR412" s="50" t="str">
        <f aca="false">IF($AQ412=0,"",SUM($AQ$4:$AQ412))</f>
        <v/>
      </c>
      <c r="AS412" s="50" t="str">
        <f aca="false">IFERROR(INDEX(Hoje!$K$10:$K$29,MATCH(ROW(),Hoje!$J$10:$J$29,0)),"")</f>
        <v/>
      </c>
      <c r="AT412" s="50" t="str">
        <f aca="false">IF($Q412&lt;&gt;"",$Q412,$AS412)</f>
        <v/>
      </c>
    </row>
    <row r="413" customFormat="false" ht="16.5" hidden="false" customHeight="true" outlineLevel="0" collapsed="false">
      <c r="A413" s="39" t="str">
        <f aca="false">IF($F413="","",ROW())</f>
        <v/>
      </c>
      <c r="B413" s="40" t="str">
        <f aca="false">IF($F413="",IF($D413="","","Falta a atividade"),IF($R413="Cancelada","Cancelada",IF($AB413=1,IF(N($Z413)&gt;0,"Concluída com atraso","Concluída"),IF($R413="Em programação","Em programação",IF($O413="",IF($M413="","Na carteira","Falta a semana"),IF($AC413=1,"VENCIDA",IF($O413&gt;Hoje!$L$1,"Programada",IF($P413&gt;Hoje!$L$1,"Em execução","Fecha hoje"))))))))</f>
        <v/>
      </c>
      <c r="C413" s="41"/>
      <c r="D413" s="42"/>
      <c r="E413" s="42"/>
      <c r="F413" s="42"/>
      <c r="G413" s="43"/>
      <c r="H413" s="43"/>
      <c r="I413" s="44"/>
      <c r="J413" s="44"/>
      <c r="K413" s="44"/>
      <c r="L413" s="45"/>
      <c r="M413" s="46"/>
      <c r="N413" s="45"/>
      <c r="O413" s="47" t="str">
        <f aca="false">IF(OR($L413="",$M413=""),"",(DATE(Semana!$J$3,1,4)-WEEKDAY(DATE(Semana!$J$3,1,4),3))+($L413-1)*7+MATCH($M413,Listas!$F$5:$F$11,0)-1)</f>
        <v/>
      </c>
      <c r="P413" s="47" t="str">
        <f aca="false">IF(OR($F413="",$O413=""),"",$O413+MAX(0,ROUNDUP($AK413*MAX(1,IF($N413="",1,$N413))/MAX(1,$AL413),0)-1))</f>
        <v/>
      </c>
      <c r="Q413" s="48"/>
      <c r="R413" s="43"/>
      <c r="S413" s="49"/>
      <c r="T413" s="42"/>
      <c r="U413" s="42"/>
      <c r="V413" s="39" t="str">
        <f aca="false">IF($F413="","",IF(ISNUMBER(SEARCH("(externo)",$I413&amp;$J413&amp;$K413)),"Terceirizada","Interna"))</f>
        <v/>
      </c>
      <c r="W413" s="47" t="str">
        <f aca="false">IF($O413="","",IF($S413="",$O413,(DATE(Semana!$J$3,1,4)-WEEKDAY(DATE(Semana!$J$3,1,4),3))+($S413-1)*7+IF($M413="",0,MATCH($M413,Listas!$F$5:$F$11,0)-1)))</f>
        <v/>
      </c>
      <c r="X413" s="39" t="str">
        <f aca="false">IF($F413="","",IF(OR($AT413="",$O413=""),0,IF($AT413&lt;=$O413,1,0)))</f>
        <v/>
      </c>
      <c r="Y413" s="39" t="str">
        <f aca="false">IF($F413="","",IF(OR($AT413="",$W413=""),0,IF($AT413&lt;=$W413,1,0)))</f>
        <v/>
      </c>
      <c r="Z413" s="39" t="str">
        <f aca="false">IF(OR($AT413="",$O413=""),"",MAX(0,$AT413-$O413))</f>
        <v/>
      </c>
      <c r="AA413" s="39" t="str">
        <f aca="false">IF($F413="","",IF(AND($S413&lt;&gt;"",$L413&lt;&gt;"",$S413&lt;&gt;$L413),1,0))</f>
        <v/>
      </c>
      <c r="AB413" s="39" t="str">
        <f aca="false">IF($F413="","",IF($R413="Cancelada",0,IF(OR($AT413&lt;&gt;"",$R413="Concluída"),1,0)))</f>
        <v/>
      </c>
      <c r="AC413" s="39" t="n">
        <f aca="false">IF($P413="",0,IF($P413&lt;Hoje!$L$1,1,IF(AND($P413=Hoje!$L$1,Hoje!$L$2&gt;Semana!$M$3),1,0)))</f>
        <v>0</v>
      </c>
      <c r="AD413" s="39" t="str">
        <f aca="false">IF($F413="","",IF(COUNTA($I413:$K413)=0,0,1/COUNTA($I413:$K413)))</f>
        <v/>
      </c>
      <c r="AE413" s="39" t="str">
        <f aca="false">IF($AH413=0,"",SUM($AH$4:$AH413))</f>
        <v/>
      </c>
      <c r="AF413" s="39" t="str">
        <f aca="false">IF($AI413=0,"",SUM($AI$4:$AI413))</f>
        <v/>
      </c>
      <c r="AG413" s="50" t="str">
        <f aca="false">IF($F413="","",$I413&amp;IF($J413="",""," · "&amp;$J413)&amp;IF($K413="",""," · "&amp;$K413))</f>
        <v/>
      </c>
      <c r="AH413" s="39" t="n">
        <f aca="false">IF(AND($F413&lt;&gt;"",$O413&lt;&gt;"",$O413&lt;=Hoje!$C$3,$P413&gt;=Hoje!$C$3,$R413&lt;&gt;"Cancelada"),1,0)</f>
        <v>0</v>
      </c>
      <c r="AI413" s="39" t="n">
        <f aca="false">IF(AND($F413&lt;&gt;"",$P413&lt;&gt;"",$P413&lt;Hoje!$C$3,$AB413=0,$R413&lt;&gt;"Cancelada"),1,0)</f>
        <v>0</v>
      </c>
      <c r="AJ413" s="50" t="str">
        <f aca="false">IF($F413="","",$D413&amp;"|"&amp;$E413&amp;"|"&amp;$L413)</f>
        <v/>
      </c>
      <c r="AK413" s="39" t="str">
        <f aca="false">IF($AJ413="","",COUNTIF($AJ$4:$AJ413,$AJ413))</f>
        <v/>
      </c>
      <c r="AL413" s="39" t="str">
        <f aca="false">IF($AJ413="","",COUNTIF($AJ$4:$AJ$1004,$AJ413))</f>
        <v/>
      </c>
      <c r="AM413" s="42"/>
      <c r="AN413" s="50" t="str">
        <f aca="false">IF($D413="","",IFERROR(T(VLOOKUP($D413,Listas!$B$5:$H$120,7,0)),""))</f>
        <v/>
      </c>
      <c r="AO413" s="50" t="str">
        <f aca="false">IF(OR($F413="",$L413&lt;&gt;"",$R413="Cancelada",$AT413&lt;&gt;""),"",$AN413&amp;"|"&amp;$D413&amp;"|"&amp;IF($C413="","zzz",$C413)&amp;"|"&amp;TEXT(413,"0000"))</f>
        <v/>
      </c>
      <c r="AP413" s="50" t="str">
        <f aca="false">IF($AO413="","",COUNTIF($AO$5:$AO$1004,"&lt;"&amp;$AO413)-(ROWS($AO$5:$AO$1004)-Hoje!$L$5)+1)</f>
        <v/>
      </c>
      <c r="AQ413" s="50" t="n">
        <f aca="false">IF(AND($F413&lt;&gt;"",$D413=Frota!$C$3),1,0)</f>
        <v>0</v>
      </c>
      <c r="AR413" s="50" t="str">
        <f aca="false">IF($AQ413=0,"",SUM($AQ$4:$AQ413))</f>
        <v/>
      </c>
      <c r="AS413" s="50" t="str">
        <f aca="false">IFERROR(INDEX(Hoje!$K$10:$K$29,MATCH(ROW(),Hoje!$J$10:$J$29,0)),"")</f>
        <v/>
      </c>
      <c r="AT413" s="50" t="str">
        <f aca="false">IF($Q413&lt;&gt;"",$Q413,$AS413)</f>
        <v/>
      </c>
    </row>
    <row r="414" customFormat="false" ht="16.5" hidden="false" customHeight="true" outlineLevel="0" collapsed="false">
      <c r="A414" s="39" t="str">
        <f aca="false">IF($F414="","",ROW())</f>
        <v/>
      </c>
      <c r="B414" s="40" t="str">
        <f aca="false">IF($F414="",IF($D414="","","Falta a atividade"),IF($R414="Cancelada","Cancelada",IF($AB414=1,IF(N($Z414)&gt;0,"Concluída com atraso","Concluída"),IF($R414="Em programação","Em programação",IF($O414="",IF($M414="","Na carteira","Falta a semana"),IF($AC414=1,"VENCIDA",IF($O414&gt;Hoje!$L$1,"Programada",IF($P414&gt;Hoje!$L$1,"Em execução","Fecha hoje"))))))))</f>
        <v/>
      </c>
      <c r="C414" s="41"/>
      <c r="D414" s="42"/>
      <c r="E414" s="42"/>
      <c r="F414" s="42"/>
      <c r="G414" s="43"/>
      <c r="H414" s="43"/>
      <c r="I414" s="44"/>
      <c r="J414" s="44"/>
      <c r="K414" s="44"/>
      <c r="L414" s="45"/>
      <c r="M414" s="46"/>
      <c r="N414" s="45"/>
      <c r="O414" s="47" t="str">
        <f aca="false">IF(OR($L414="",$M414=""),"",(DATE(Semana!$J$3,1,4)-WEEKDAY(DATE(Semana!$J$3,1,4),3))+($L414-1)*7+MATCH($M414,Listas!$F$5:$F$11,0)-1)</f>
        <v/>
      </c>
      <c r="P414" s="47" t="str">
        <f aca="false">IF(OR($F414="",$O414=""),"",$O414+MAX(0,ROUNDUP($AK414*MAX(1,IF($N414="",1,$N414))/MAX(1,$AL414),0)-1))</f>
        <v/>
      </c>
      <c r="Q414" s="48"/>
      <c r="R414" s="43"/>
      <c r="S414" s="49"/>
      <c r="T414" s="42"/>
      <c r="U414" s="42"/>
      <c r="V414" s="39" t="str">
        <f aca="false">IF($F414="","",IF(ISNUMBER(SEARCH("(externo)",$I414&amp;$J414&amp;$K414)),"Terceirizada","Interna"))</f>
        <v/>
      </c>
      <c r="W414" s="47" t="str">
        <f aca="false">IF($O414="","",IF($S414="",$O414,(DATE(Semana!$J$3,1,4)-WEEKDAY(DATE(Semana!$J$3,1,4),3))+($S414-1)*7+IF($M414="",0,MATCH($M414,Listas!$F$5:$F$11,0)-1)))</f>
        <v/>
      </c>
      <c r="X414" s="39" t="str">
        <f aca="false">IF($F414="","",IF(OR($AT414="",$O414=""),0,IF($AT414&lt;=$O414,1,0)))</f>
        <v/>
      </c>
      <c r="Y414" s="39" t="str">
        <f aca="false">IF($F414="","",IF(OR($AT414="",$W414=""),0,IF($AT414&lt;=$W414,1,0)))</f>
        <v/>
      </c>
      <c r="Z414" s="39" t="str">
        <f aca="false">IF(OR($AT414="",$O414=""),"",MAX(0,$AT414-$O414))</f>
        <v/>
      </c>
      <c r="AA414" s="39" t="str">
        <f aca="false">IF($F414="","",IF(AND($S414&lt;&gt;"",$L414&lt;&gt;"",$S414&lt;&gt;$L414),1,0))</f>
        <v/>
      </c>
      <c r="AB414" s="39" t="str">
        <f aca="false">IF($F414="","",IF($R414="Cancelada",0,IF(OR($AT414&lt;&gt;"",$R414="Concluída"),1,0)))</f>
        <v/>
      </c>
      <c r="AC414" s="39" t="n">
        <f aca="false">IF($P414="",0,IF($P414&lt;Hoje!$L$1,1,IF(AND($P414=Hoje!$L$1,Hoje!$L$2&gt;Semana!$M$3),1,0)))</f>
        <v>0</v>
      </c>
      <c r="AD414" s="39" t="str">
        <f aca="false">IF($F414="","",IF(COUNTA($I414:$K414)=0,0,1/COUNTA($I414:$K414)))</f>
        <v/>
      </c>
      <c r="AE414" s="39" t="str">
        <f aca="false">IF($AH414=0,"",SUM($AH$4:$AH414))</f>
        <v/>
      </c>
      <c r="AF414" s="39" t="str">
        <f aca="false">IF($AI414=0,"",SUM($AI$4:$AI414))</f>
        <v/>
      </c>
      <c r="AG414" s="50" t="str">
        <f aca="false">IF($F414="","",$I414&amp;IF($J414="",""," · "&amp;$J414)&amp;IF($K414="",""," · "&amp;$K414))</f>
        <v/>
      </c>
      <c r="AH414" s="39" t="n">
        <f aca="false">IF(AND($F414&lt;&gt;"",$O414&lt;&gt;"",$O414&lt;=Hoje!$C$3,$P414&gt;=Hoje!$C$3,$R414&lt;&gt;"Cancelada"),1,0)</f>
        <v>0</v>
      </c>
      <c r="AI414" s="39" t="n">
        <f aca="false">IF(AND($F414&lt;&gt;"",$P414&lt;&gt;"",$P414&lt;Hoje!$C$3,$AB414=0,$R414&lt;&gt;"Cancelada"),1,0)</f>
        <v>0</v>
      </c>
      <c r="AJ414" s="50" t="str">
        <f aca="false">IF($F414="","",$D414&amp;"|"&amp;$E414&amp;"|"&amp;$L414)</f>
        <v/>
      </c>
      <c r="AK414" s="39" t="str">
        <f aca="false">IF($AJ414="","",COUNTIF($AJ$4:$AJ414,$AJ414))</f>
        <v/>
      </c>
      <c r="AL414" s="39" t="str">
        <f aca="false">IF($AJ414="","",COUNTIF($AJ$4:$AJ$1004,$AJ414))</f>
        <v/>
      </c>
      <c r="AM414" s="42"/>
      <c r="AN414" s="50" t="str">
        <f aca="false">IF($D414="","",IFERROR(T(VLOOKUP($D414,Listas!$B$5:$H$120,7,0)),""))</f>
        <v/>
      </c>
      <c r="AO414" s="50" t="str">
        <f aca="false">IF(OR($F414="",$L414&lt;&gt;"",$R414="Cancelada",$AT414&lt;&gt;""),"",$AN414&amp;"|"&amp;$D414&amp;"|"&amp;IF($C414="","zzz",$C414)&amp;"|"&amp;TEXT(414,"0000"))</f>
        <v/>
      </c>
      <c r="AP414" s="50" t="str">
        <f aca="false">IF($AO414="","",COUNTIF($AO$5:$AO$1004,"&lt;"&amp;$AO414)-(ROWS($AO$5:$AO$1004)-Hoje!$L$5)+1)</f>
        <v/>
      </c>
      <c r="AQ414" s="50" t="n">
        <f aca="false">IF(AND($F414&lt;&gt;"",$D414=Frota!$C$3),1,0)</f>
        <v>0</v>
      </c>
      <c r="AR414" s="50" t="str">
        <f aca="false">IF($AQ414=0,"",SUM($AQ$4:$AQ414))</f>
        <v/>
      </c>
      <c r="AS414" s="50" t="str">
        <f aca="false">IFERROR(INDEX(Hoje!$K$10:$K$29,MATCH(ROW(),Hoje!$J$10:$J$29,0)),"")</f>
        <v/>
      </c>
      <c r="AT414" s="50" t="str">
        <f aca="false">IF($Q414&lt;&gt;"",$Q414,$AS414)</f>
        <v/>
      </c>
    </row>
    <row r="415" customFormat="false" ht="16.5" hidden="false" customHeight="true" outlineLevel="0" collapsed="false">
      <c r="A415" s="39" t="str">
        <f aca="false">IF($F415="","",ROW())</f>
        <v/>
      </c>
      <c r="B415" s="40" t="str">
        <f aca="false">IF($F415="",IF($D415="","","Falta a atividade"),IF($R415="Cancelada","Cancelada",IF($AB415=1,IF(N($Z415)&gt;0,"Concluída com atraso","Concluída"),IF($R415="Em programação","Em programação",IF($O415="",IF($M415="","Na carteira","Falta a semana"),IF($AC415=1,"VENCIDA",IF($O415&gt;Hoje!$L$1,"Programada",IF($P415&gt;Hoje!$L$1,"Em execução","Fecha hoje"))))))))</f>
        <v/>
      </c>
      <c r="C415" s="41"/>
      <c r="D415" s="42"/>
      <c r="E415" s="42"/>
      <c r="F415" s="42"/>
      <c r="G415" s="43"/>
      <c r="H415" s="43"/>
      <c r="I415" s="44"/>
      <c r="J415" s="44"/>
      <c r="K415" s="44"/>
      <c r="L415" s="45"/>
      <c r="M415" s="46"/>
      <c r="N415" s="45"/>
      <c r="O415" s="47" t="str">
        <f aca="false">IF(OR($L415="",$M415=""),"",(DATE(Semana!$J$3,1,4)-WEEKDAY(DATE(Semana!$J$3,1,4),3))+($L415-1)*7+MATCH($M415,Listas!$F$5:$F$11,0)-1)</f>
        <v/>
      </c>
      <c r="P415" s="47" t="str">
        <f aca="false">IF(OR($F415="",$O415=""),"",$O415+MAX(0,ROUNDUP($AK415*MAX(1,IF($N415="",1,$N415))/MAX(1,$AL415),0)-1))</f>
        <v/>
      </c>
      <c r="Q415" s="48"/>
      <c r="R415" s="43"/>
      <c r="S415" s="49"/>
      <c r="T415" s="42"/>
      <c r="U415" s="42"/>
      <c r="V415" s="39" t="str">
        <f aca="false">IF($F415="","",IF(ISNUMBER(SEARCH("(externo)",$I415&amp;$J415&amp;$K415)),"Terceirizada","Interna"))</f>
        <v/>
      </c>
      <c r="W415" s="47" t="str">
        <f aca="false">IF($O415="","",IF($S415="",$O415,(DATE(Semana!$J$3,1,4)-WEEKDAY(DATE(Semana!$J$3,1,4),3))+($S415-1)*7+IF($M415="",0,MATCH($M415,Listas!$F$5:$F$11,0)-1)))</f>
        <v/>
      </c>
      <c r="X415" s="39" t="str">
        <f aca="false">IF($F415="","",IF(OR($AT415="",$O415=""),0,IF($AT415&lt;=$O415,1,0)))</f>
        <v/>
      </c>
      <c r="Y415" s="39" t="str">
        <f aca="false">IF($F415="","",IF(OR($AT415="",$W415=""),0,IF($AT415&lt;=$W415,1,0)))</f>
        <v/>
      </c>
      <c r="Z415" s="39" t="str">
        <f aca="false">IF(OR($AT415="",$O415=""),"",MAX(0,$AT415-$O415))</f>
        <v/>
      </c>
      <c r="AA415" s="39" t="str">
        <f aca="false">IF($F415="","",IF(AND($S415&lt;&gt;"",$L415&lt;&gt;"",$S415&lt;&gt;$L415),1,0))</f>
        <v/>
      </c>
      <c r="AB415" s="39" t="str">
        <f aca="false">IF($F415="","",IF($R415="Cancelada",0,IF(OR($AT415&lt;&gt;"",$R415="Concluída"),1,0)))</f>
        <v/>
      </c>
      <c r="AC415" s="39" t="n">
        <f aca="false">IF($P415="",0,IF($P415&lt;Hoje!$L$1,1,IF(AND($P415=Hoje!$L$1,Hoje!$L$2&gt;Semana!$M$3),1,0)))</f>
        <v>0</v>
      </c>
      <c r="AD415" s="39" t="str">
        <f aca="false">IF($F415="","",IF(COUNTA($I415:$K415)=0,0,1/COUNTA($I415:$K415)))</f>
        <v/>
      </c>
      <c r="AE415" s="39" t="str">
        <f aca="false">IF($AH415=0,"",SUM($AH$4:$AH415))</f>
        <v/>
      </c>
      <c r="AF415" s="39" t="str">
        <f aca="false">IF($AI415=0,"",SUM($AI$4:$AI415))</f>
        <v/>
      </c>
      <c r="AG415" s="50" t="str">
        <f aca="false">IF($F415="","",$I415&amp;IF($J415="",""," · "&amp;$J415)&amp;IF($K415="",""," · "&amp;$K415))</f>
        <v/>
      </c>
      <c r="AH415" s="39" t="n">
        <f aca="false">IF(AND($F415&lt;&gt;"",$O415&lt;&gt;"",$O415&lt;=Hoje!$C$3,$P415&gt;=Hoje!$C$3,$R415&lt;&gt;"Cancelada"),1,0)</f>
        <v>0</v>
      </c>
      <c r="AI415" s="39" t="n">
        <f aca="false">IF(AND($F415&lt;&gt;"",$P415&lt;&gt;"",$P415&lt;Hoje!$C$3,$AB415=0,$R415&lt;&gt;"Cancelada"),1,0)</f>
        <v>0</v>
      </c>
      <c r="AJ415" s="50" t="str">
        <f aca="false">IF($F415="","",$D415&amp;"|"&amp;$E415&amp;"|"&amp;$L415)</f>
        <v/>
      </c>
      <c r="AK415" s="39" t="str">
        <f aca="false">IF($AJ415="","",COUNTIF($AJ$4:$AJ415,$AJ415))</f>
        <v/>
      </c>
      <c r="AL415" s="39" t="str">
        <f aca="false">IF($AJ415="","",COUNTIF($AJ$4:$AJ$1004,$AJ415))</f>
        <v/>
      </c>
      <c r="AM415" s="42"/>
      <c r="AN415" s="50" t="str">
        <f aca="false">IF($D415="","",IFERROR(T(VLOOKUP($D415,Listas!$B$5:$H$120,7,0)),""))</f>
        <v/>
      </c>
      <c r="AO415" s="50" t="str">
        <f aca="false">IF(OR($F415="",$L415&lt;&gt;"",$R415="Cancelada",$AT415&lt;&gt;""),"",$AN415&amp;"|"&amp;$D415&amp;"|"&amp;IF($C415="","zzz",$C415)&amp;"|"&amp;TEXT(415,"0000"))</f>
        <v/>
      </c>
      <c r="AP415" s="50" t="str">
        <f aca="false">IF($AO415="","",COUNTIF($AO$5:$AO$1004,"&lt;"&amp;$AO415)-(ROWS($AO$5:$AO$1004)-Hoje!$L$5)+1)</f>
        <v/>
      </c>
      <c r="AQ415" s="50" t="n">
        <f aca="false">IF(AND($F415&lt;&gt;"",$D415=Frota!$C$3),1,0)</f>
        <v>0</v>
      </c>
      <c r="AR415" s="50" t="str">
        <f aca="false">IF($AQ415=0,"",SUM($AQ$4:$AQ415))</f>
        <v/>
      </c>
      <c r="AS415" s="50" t="str">
        <f aca="false">IFERROR(INDEX(Hoje!$K$10:$K$29,MATCH(ROW(),Hoje!$J$10:$J$29,0)),"")</f>
        <v/>
      </c>
      <c r="AT415" s="50" t="str">
        <f aca="false">IF($Q415&lt;&gt;"",$Q415,$AS415)</f>
        <v/>
      </c>
    </row>
    <row r="416" customFormat="false" ht="16.5" hidden="false" customHeight="true" outlineLevel="0" collapsed="false">
      <c r="A416" s="39" t="str">
        <f aca="false">IF($F416="","",ROW())</f>
        <v/>
      </c>
      <c r="B416" s="40" t="str">
        <f aca="false">IF($F416="",IF($D416="","","Falta a atividade"),IF($R416="Cancelada","Cancelada",IF($AB416=1,IF(N($Z416)&gt;0,"Concluída com atraso","Concluída"),IF($R416="Em programação","Em programação",IF($O416="",IF($M416="","Na carteira","Falta a semana"),IF($AC416=1,"VENCIDA",IF($O416&gt;Hoje!$L$1,"Programada",IF($P416&gt;Hoje!$L$1,"Em execução","Fecha hoje"))))))))</f>
        <v/>
      </c>
      <c r="C416" s="41"/>
      <c r="D416" s="42"/>
      <c r="E416" s="42"/>
      <c r="F416" s="42"/>
      <c r="G416" s="43"/>
      <c r="H416" s="43"/>
      <c r="I416" s="44"/>
      <c r="J416" s="44"/>
      <c r="K416" s="44"/>
      <c r="L416" s="45"/>
      <c r="M416" s="46"/>
      <c r="N416" s="45"/>
      <c r="O416" s="47" t="str">
        <f aca="false">IF(OR($L416="",$M416=""),"",(DATE(Semana!$J$3,1,4)-WEEKDAY(DATE(Semana!$J$3,1,4),3))+($L416-1)*7+MATCH($M416,Listas!$F$5:$F$11,0)-1)</f>
        <v/>
      </c>
      <c r="P416" s="47" t="str">
        <f aca="false">IF(OR($F416="",$O416=""),"",$O416+MAX(0,ROUNDUP($AK416*MAX(1,IF($N416="",1,$N416))/MAX(1,$AL416),0)-1))</f>
        <v/>
      </c>
      <c r="Q416" s="48"/>
      <c r="R416" s="43"/>
      <c r="S416" s="49"/>
      <c r="T416" s="42"/>
      <c r="U416" s="42"/>
      <c r="V416" s="39" t="str">
        <f aca="false">IF($F416="","",IF(ISNUMBER(SEARCH("(externo)",$I416&amp;$J416&amp;$K416)),"Terceirizada","Interna"))</f>
        <v/>
      </c>
      <c r="W416" s="47" t="str">
        <f aca="false">IF($O416="","",IF($S416="",$O416,(DATE(Semana!$J$3,1,4)-WEEKDAY(DATE(Semana!$J$3,1,4),3))+($S416-1)*7+IF($M416="",0,MATCH($M416,Listas!$F$5:$F$11,0)-1)))</f>
        <v/>
      </c>
      <c r="X416" s="39" t="str">
        <f aca="false">IF($F416="","",IF(OR($AT416="",$O416=""),0,IF($AT416&lt;=$O416,1,0)))</f>
        <v/>
      </c>
      <c r="Y416" s="39" t="str">
        <f aca="false">IF($F416="","",IF(OR($AT416="",$W416=""),0,IF($AT416&lt;=$W416,1,0)))</f>
        <v/>
      </c>
      <c r="Z416" s="39" t="str">
        <f aca="false">IF(OR($AT416="",$O416=""),"",MAX(0,$AT416-$O416))</f>
        <v/>
      </c>
      <c r="AA416" s="39" t="str">
        <f aca="false">IF($F416="","",IF(AND($S416&lt;&gt;"",$L416&lt;&gt;"",$S416&lt;&gt;$L416),1,0))</f>
        <v/>
      </c>
      <c r="AB416" s="39" t="str">
        <f aca="false">IF($F416="","",IF($R416="Cancelada",0,IF(OR($AT416&lt;&gt;"",$R416="Concluída"),1,0)))</f>
        <v/>
      </c>
      <c r="AC416" s="39" t="n">
        <f aca="false">IF($P416="",0,IF($P416&lt;Hoje!$L$1,1,IF(AND($P416=Hoje!$L$1,Hoje!$L$2&gt;Semana!$M$3),1,0)))</f>
        <v>0</v>
      </c>
      <c r="AD416" s="39" t="str">
        <f aca="false">IF($F416="","",IF(COUNTA($I416:$K416)=0,0,1/COUNTA($I416:$K416)))</f>
        <v/>
      </c>
      <c r="AE416" s="39" t="str">
        <f aca="false">IF($AH416=0,"",SUM($AH$4:$AH416))</f>
        <v/>
      </c>
      <c r="AF416" s="39" t="str">
        <f aca="false">IF($AI416=0,"",SUM($AI$4:$AI416))</f>
        <v/>
      </c>
      <c r="AG416" s="50" t="str">
        <f aca="false">IF($F416="","",$I416&amp;IF($J416="",""," · "&amp;$J416)&amp;IF($K416="",""," · "&amp;$K416))</f>
        <v/>
      </c>
      <c r="AH416" s="39" t="n">
        <f aca="false">IF(AND($F416&lt;&gt;"",$O416&lt;&gt;"",$O416&lt;=Hoje!$C$3,$P416&gt;=Hoje!$C$3,$R416&lt;&gt;"Cancelada"),1,0)</f>
        <v>0</v>
      </c>
      <c r="AI416" s="39" t="n">
        <f aca="false">IF(AND($F416&lt;&gt;"",$P416&lt;&gt;"",$P416&lt;Hoje!$C$3,$AB416=0,$R416&lt;&gt;"Cancelada"),1,0)</f>
        <v>0</v>
      </c>
      <c r="AJ416" s="50" t="str">
        <f aca="false">IF($F416="","",$D416&amp;"|"&amp;$E416&amp;"|"&amp;$L416)</f>
        <v/>
      </c>
      <c r="AK416" s="39" t="str">
        <f aca="false">IF($AJ416="","",COUNTIF($AJ$4:$AJ416,$AJ416))</f>
        <v/>
      </c>
      <c r="AL416" s="39" t="str">
        <f aca="false">IF($AJ416="","",COUNTIF($AJ$4:$AJ$1004,$AJ416))</f>
        <v/>
      </c>
      <c r="AM416" s="42"/>
      <c r="AN416" s="50" t="str">
        <f aca="false">IF($D416="","",IFERROR(T(VLOOKUP($D416,Listas!$B$5:$H$120,7,0)),""))</f>
        <v/>
      </c>
      <c r="AO416" s="50" t="str">
        <f aca="false">IF(OR($F416="",$L416&lt;&gt;"",$R416="Cancelada",$AT416&lt;&gt;""),"",$AN416&amp;"|"&amp;$D416&amp;"|"&amp;IF($C416="","zzz",$C416)&amp;"|"&amp;TEXT(416,"0000"))</f>
        <v/>
      </c>
      <c r="AP416" s="50" t="str">
        <f aca="false">IF($AO416="","",COUNTIF($AO$5:$AO$1004,"&lt;"&amp;$AO416)-(ROWS($AO$5:$AO$1004)-Hoje!$L$5)+1)</f>
        <v/>
      </c>
      <c r="AQ416" s="50" t="n">
        <f aca="false">IF(AND($F416&lt;&gt;"",$D416=Frota!$C$3),1,0)</f>
        <v>0</v>
      </c>
      <c r="AR416" s="50" t="str">
        <f aca="false">IF($AQ416=0,"",SUM($AQ$4:$AQ416))</f>
        <v/>
      </c>
      <c r="AS416" s="50" t="str">
        <f aca="false">IFERROR(INDEX(Hoje!$K$10:$K$29,MATCH(ROW(),Hoje!$J$10:$J$29,0)),"")</f>
        <v/>
      </c>
      <c r="AT416" s="50" t="str">
        <f aca="false">IF($Q416&lt;&gt;"",$Q416,$AS416)</f>
        <v/>
      </c>
    </row>
    <row r="417" customFormat="false" ht="16.5" hidden="false" customHeight="true" outlineLevel="0" collapsed="false">
      <c r="A417" s="39" t="str">
        <f aca="false">IF($F417="","",ROW())</f>
        <v/>
      </c>
      <c r="B417" s="40" t="str">
        <f aca="false">IF($F417="",IF($D417="","","Falta a atividade"),IF($R417="Cancelada","Cancelada",IF($AB417=1,IF(N($Z417)&gt;0,"Concluída com atraso","Concluída"),IF($R417="Em programação","Em programação",IF($O417="",IF($M417="","Na carteira","Falta a semana"),IF($AC417=1,"VENCIDA",IF($O417&gt;Hoje!$L$1,"Programada",IF($P417&gt;Hoje!$L$1,"Em execução","Fecha hoje"))))))))</f>
        <v/>
      </c>
      <c r="C417" s="41"/>
      <c r="D417" s="42"/>
      <c r="E417" s="42"/>
      <c r="F417" s="42"/>
      <c r="G417" s="43"/>
      <c r="H417" s="43"/>
      <c r="I417" s="44"/>
      <c r="J417" s="44"/>
      <c r="K417" s="44"/>
      <c r="L417" s="45"/>
      <c r="M417" s="46"/>
      <c r="N417" s="45"/>
      <c r="O417" s="47" t="str">
        <f aca="false">IF(OR($L417="",$M417=""),"",(DATE(Semana!$J$3,1,4)-WEEKDAY(DATE(Semana!$J$3,1,4),3))+($L417-1)*7+MATCH($M417,Listas!$F$5:$F$11,0)-1)</f>
        <v/>
      </c>
      <c r="P417" s="47" t="str">
        <f aca="false">IF(OR($F417="",$O417=""),"",$O417+MAX(0,ROUNDUP($AK417*MAX(1,IF($N417="",1,$N417))/MAX(1,$AL417),0)-1))</f>
        <v/>
      </c>
      <c r="Q417" s="48"/>
      <c r="R417" s="43"/>
      <c r="S417" s="49"/>
      <c r="T417" s="42"/>
      <c r="U417" s="42"/>
      <c r="V417" s="39" t="str">
        <f aca="false">IF($F417="","",IF(ISNUMBER(SEARCH("(externo)",$I417&amp;$J417&amp;$K417)),"Terceirizada","Interna"))</f>
        <v/>
      </c>
      <c r="W417" s="47" t="str">
        <f aca="false">IF($O417="","",IF($S417="",$O417,(DATE(Semana!$J$3,1,4)-WEEKDAY(DATE(Semana!$J$3,1,4),3))+($S417-1)*7+IF($M417="",0,MATCH($M417,Listas!$F$5:$F$11,0)-1)))</f>
        <v/>
      </c>
      <c r="X417" s="39" t="str">
        <f aca="false">IF($F417="","",IF(OR($AT417="",$O417=""),0,IF($AT417&lt;=$O417,1,0)))</f>
        <v/>
      </c>
      <c r="Y417" s="39" t="str">
        <f aca="false">IF($F417="","",IF(OR($AT417="",$W417=""),0,IF($AT417&lt;=$W417,1,0)))</f>
        <v/>
      </c>
      <c r="Z417" s="39" t="str">
        <f aca="false">IF(OR($AT417="",$O417=""),"",MAX(0,$AT417-$O417))</f>
        <v/>
      </c>
      <c r="AA417" s="39" t="str">
        <f aca="false">IF($F417="","",IF(AND($S417&lt;&gt;"",$L417&lt;&gt;"",$S417&lt;&gt;$L417),1,0))</f>
        <v/>
      </c>
      <c r="AB417" s="39" t="str">
        <f aca="false">IF($F417="","",IF($R417="Cancelada",0,IF(OR($AT417&lt;&gt;"",$R417="Concluída"),1,0)))</f>
        <v/>
      </c>
      <c r="AC417" s="39" t="n">
        <f aca="false">IF($P417="",0,IF($P417&lt;Hoje!$L$1,1,IF(AND($P417=Hoje!$L$1,Hoje!$L$2&gt;Semana!$M$3),1,0)))</f>
        <v>0</v>
      </c>
      <c r="AD417" s="39" t="str">
        <f aca="false">IF($F417="","",IF(COUNTA($I417:$K417)=0,0,1/COUNTA($I417:$K417)))</f>
        <v/>
      </c>
      <c r="AE417" s="39" t="str">
        <f aca="false">IF($AH417=0,"",SUM($AH$4:$AH417))</f>
        <v/>
      </c>
      <c r="AF417" s="39" t="str">
        <f aca="false">IF($AI417=0,"",SUM($AI$4:$AI417))</f>
        <v/>
      </c>
      <c r="AG417" s="50" t="str">
        <f aca="false">IF($F417="","",$I417&amp;IF($J417="",""," · "&amp;$J417)&amp;IF($K417="",""," · "&amp;$K417))</f>
        <v/>
      </c>
      <c r="AH417" s="39" t="n">
        <f aca="false">IF(AND($F417&lt;&gt;"",$O417&lt;&gt;"",$O417&lt;=Hoje!$C$3,$P417&gt;=Hoje!$C$3,$R417&lt;&gt;"Cancelada"),1,0)</f>
        <v>0</v>
      </c>
      <c r="AI417" s="39" t="n">
        <f aca="false">IF(AND($F417&lt;&gt;"",$P417&lt;&gt;"",$P417&lt;Hoje!$C$3,$AB417=0,$R417&lt;&gt;"Cancelada"),1,0)</f>
        <v>0</v>
      </c>
      <c r="AJ417" s="50" t="str">
        <f aca="false">IF($F417="","",$D417&amp;"|"&amp;$E417&amp;"|"&amp;$L417)</f>
        <v/>
      </c>
      <c r="AK417" s="39" t="str">
        <f aca="false">IF($AJ417="","",COUNTIF($AJ$4:$AJ417,$AJ417))</f>
        <v/>
      </c>
      <c r="AL417" s="39" t="str">
        <f aca="false">IF($AJ417="","",COUNTIF($AJ$4:$AJ$1004,$AJ417))</f>
        <v/>
      </c>
      <c r="AM417" s="42"/>
      <c r="AN417" s="50" t="str">
        <f aca="false">IF($D417="","",IFERROR(T(VLOOKUP($D417,Listas!$B$5:$H$120,7,0)),""))</f>
        <v/>
      </c>
      <c r="AO417" s="50" t="str">
        <f aca="false">IF(OR($F417="",$L417&lt;&gt;"",$R417="Cancelada",$AT417&lt;&gt;""),"",$AN417&amp;"|"&amp;$D417&amp;"|"&amp;IF($C417="","zzz",$C417)&amp;"|"&amp;TEXT(417,"0000"))</f>
        <v/>
      </c>
      <c r="AP417" s="50" t="str">
        <f aca="false">IF($AO417="","",COUNTIF($AO$5:$AO$1004,"&lt;"&amp;$AO417)-(ROWS($AO$5:$AO$1004)-Hoje!$L$5)+1)</f>
        <v/>
      </c>
      <c r="AQ417" s="50" t="n">
        <f aca="false">IF(AND($F417&lt;&gt;"",$D417=Frota!$C$3),1,0)</f>
        <v>0</v>
      </c>
      <c r="AR417" s="50" t="str">
        <f aca="false">IF($AQ417=0,"",SUM($AQ$4:$AQ417))</f>
        <v/>
      </c>
      <c r="AS417" s="50" t="str">
        <f aca="false">IFERROR(INDEX(Hoje!$K$10:$K$29,MATCH(ROW(),Hoje!$J$10:$J$29,0)),"")</f>
        <v/>
      </c>
      <c r="AT417" s="50" t="str">
        <f aca="false">IF($Q417&lt;&gt;"",$Q417,$AS417)</f>
        <v/>
      </c>
    </row>
    <row r="418" customFormat="false" ht="16.5" hidden="false" customHeight="true" outlineLevel="0" collapsed="false">
      <c r="A418" s="39" t="str">
        <f aca="false">IF($F418="","",ROW())</f>
        <v/>
      </c>
      <c r="B418" s="40" t="str">
        <f aca="false">IF($F418="",IF($D418="","","Falta a atividade"),IF($R418="Cancelada","Cancelada",IF($AB418=1,IF(N($Z418)&gt;0,"Concluída com atraso","Concluída"),IF($R418="Em programação","Em programação",IF($O418="",IF($M418="","Na carteira","Falta a semana"),IF($AC418=1,"VENCIDA",IF($O418&gt;Hoje!$L$1,"Programada",IF($P418&gt;Hoje!$L$1,"Em execução","Fecha hoje"))))))))</f>
        <v/>
      </c>
      <c r="C418" s="41"/>
      <c r="D418" s="42"/>
      <c r="E418" s="42"/>
      <c r="F418" s="42"/>
      <c r="G418" s="43"/>
      <c r="H418" s="43"/>
      <c r="I418" s="44"/>
      <c r="J418" s="44"/>
      <c r="K418" s="44"/>
      <c r="L418" s="45"/>
      <c r="M418" s="46"/>
      <c r="N418" s="45"/>
      <c r="O418" s="47" t="str">
        <f aca="false">IF(OR($L418="",$M418=""),"",(DATE(Semana!$J$3,1,4)-WEEKDAY(DATE(Semana!$J$3,1,4),3))+($L418-1)*7+MATCH($M418,Listas!$F$5:$F$11,0)-1)</f>
        <v/>
      </c>
      <c r="P418" s="47" t="str">
        <f aca="false">IF(OR($F418="",$O418=""),"",$O418+MAX(0,ROUNDUP($AK418*MAX(1,IF($N418="",1,$N418))/MAX(1,$AL418),0)-1))</f>
        <v/>
      </c>
      <c r="Q418" s="48"/>
      <c r="R418" s="43"/>
      <c r="S418" s="49"/>
      <c r="T418" s="42"/>
      <c r="U418" s="42"/>
      <c r="V418" s="39" t="str">
        <f aca="false">IF($F418="","",IF(ISNUMBER(SEARCH("(externo)",$I418&amp;$J418&amp;$K418)),"Terceirizada","Interna"))</f>
        <v/>
      </c>
      <c r="W418" s="47" t="str">
        <f aca="false">IF($O418="","",IF($S418="",$O418,(DATE(Semana!$J$3,1,4)-WEEKDAY(DATE(Semana!$J$3,1,4),3))+($S418-1)*7+IF($M418="",0,MATCH($M418,Listas!$F$5:$F$11,0)-1)))</f>
        <v/>
      </c>
      <c r="X418" s="39" t="str">
        <f aca="false">IF($F418="","",IF(OR($AT418="",$O418=""),0,IF($AT418&lt;=$O418,1,0)))</f>
        <v/>
      </c>
      <c r="Y418" s="39" t="str">
        <f aca="false">IF($F418="","",IF(OR($AT418="",$W418=""),0,IF($AT418&lt;=$W418,1,0)))</f>
        <v/>
      </c>
      <c r="Z418" s="39" t="str">
        <f aca="false">IF(OR($AT418="",$O418=""),"",MAX(0,$AT418-$O418))</f>
        <v/>
      </c>
      <c r="AA418" s="39" t="str">
        <f aca="false">IF($F418="","",IF(AND($S418&lt;&gt;"",$L418&lt;&gt;"",$S418&lt;&gt;$L418),1,0))</f>
        <v/>
      </c>
      <c r="AB418" s="39" t="str">
        <f aca="false">IF($F418="","",IF($R418="Cancelada",0,IF(OR($AT418&lt;&gt;"",$R418="Concluída"),1,0)))</f>
        <v/>
      </c>
      <c r="AC418" s="39" t="n">
        <f aca="false">IF($P418="",0,IF($P418&lt;Hoje!$L$1,1,IF(AND($P418=Hoje!$L$1,Hoje!$L$2&gt;Semana!$M$3),1,0)))</f>
        <v>0</v>
      </c>
      <c r="AD418" s="39" t="str">
        <f aca="false">IF($F418="","",IF(COUNTA($I418:$K418)=0,0,1/COUNTA($I418:$K418)))</f>
        <v/>
      </c>
      <c r="AE418" s="39" t="str">
        <f aca="false">IF($AH418=0,"",SUM($AH$4:$AH418))</f>
        <v/>
      </c>
      <c r="AF418" s="39" t="str">
        <f aca="false">IF($AI418=0,"",SUM($AI$4:$AI418))</f>
        <v/>
      </c>
      <c r="AG418" s="50" t="str">
        <f aca="false">IF($F418="","",$I418&amp;IF($J418="",""," · "&amp;$J418)&amp;IF($K418="",""," · "&amp;$K418))</f>
        <v/>
      </c>
      <c r="AH418" s="39" t="n">
        <f aca="false">IF(AND($F418&lt;&gt;"",$O418&lt;&gt;"",$O418&lt;=Hoje!$C$3,$P418&gt;=Hoje!$C$3,$R418&lt;&gt;"Cancelada"),1,0)</f>
        <v>0</v>
      </c>
      <c r="AI418" s="39" t="n">
        <f aca="false">IF(AND($F418&lt;&gt;"",$P418&lt;&gt;"",$P418&lt;Hoje!$C$3,$AB418=0,$R418&lt;&gt;"Cancelada"),1,0)</f>
        <v>0</v>
      </c>
      <c r="AJ418" s="50" t="str">
        <f aca="false">IF($F418="","",$D418&amp;"|"&amp;$E418&amp;"|"&amp;$L418)</f>
        <v/>
      </c>
      <c r="AK418" s="39" t="str">
        <f aca="false">IF($AJ418="","",COUNTIF($AJ$4:$AJ418,$AJ418))</f>
        <v/>
      </c>
      <c r="AL418" s="39" t="str">
        <f aca="false">IF($AJ418="","",COUNTIF($AJ$4:$AJ$1004,$AJ418))</f>
        <v/>
      </c>
      <c r="AM418" s="42"/>
      <c r="AN418" s="50" t="str">
        <f aca="false">IF($D418="","",IFERROR(T(VLOOKUP($D418,Listas!$B$5:$H$120,7,0)),""))</f>
        <v/>
      </c>
      <c r="AO418" s="50" t="str">
        <f aca="false">IF(OR($F418="",$L418&lt;&gt;"",$R418="Cancelada",$AT418&lt;&gt;""),"",$AN418&amp;"|"&amp;$D418&amp;"|"&amp;IF($C418="","zzz",$C418)&amp;"|"&amp;TEXT(418,"0000"))</f>
        <v/>
      </c>
      <c r="AP418" s="50" t="str">
        <f aca="false">IF($AO418="","",COUNTIF($AO$5:$AO$1004,"&lt;"&amp;$AO418)-(ROWS($AO$5:$AO$1004)-Hoje!$L$5)+1)</f>
        <v/>
      </c>
      <c r="AQ418" s="50" t="n">
        <f aca="false">IF(AND($F418&lt;&gt;"",$D418=Frota!$C$3),1,0)</f>
        <v>0</v>
      </c>
      <c r="AR418" s="50" t="str">
        <f aca="false">IF($AQ418=0,"",SUM($AQ$4:$AQ418))</f>
        <v/>
      </c>
      <c r="AS418" s="50" t="str">
        <f aca="false">IFERROR(INDEX(Hoje!$K$10:$K$29,MATCH(ROW(),Hoje!$J$10:$J$29,0)),"")</f>
        <v/>
      </c>
      <c r="AT418" s="50" t="str">
        <f aca="false">IF($Q418&lt;&gt;"",$Q418,$AS418)</f>
        <v/>
      </c>
    </row>
    <row r="419" customFormat="false" ht="16.5" hidden="false" customHeight="true" outlineLevel="0" collapsed="false">
      <c r="A419" s="39" t="str">
        <f aca="false">IF($F419="","",ROW())</f>
        <v/>
      </c>
      <c r="B419" s="40" t="str">
        <f aca="false">IF($F419="",IF($D419="","","Falta a atividade"),IF($R419="Cancelada","Cancelada",IF($AB419=1,IF(N($Z419)&gt;0,"Concluída com atraso","Concluída"),IF($R419="Em programação","Em programação",IF($O419="",IF($M419="","Na carteira","Falta a semana"),IF($AC419=1,"VENCIDA",IF($O419&gt;Hoje!$L$1,"Programada",IF($P419&gt;Hoje!$L$1,"Em execução","Fecha hoje"))))))))</f>
        <v/>
      </c>
      <c r="C419" s="41"/>
      <c r="D419" s="42"/>
      <c r="E419" s="42"/>
      <c r="F419" s="42"/>
      <c r="G419" s="43"/>
      <c r="H419" s="43"/>
      <c r="I419" s="44"/>
      <c r="J419" s="44"/>
      <c r="K419" s="44"/>
      <c r="L419" s="45"/>
      <c r="M419" s="46"/>
      <c r="N419" s="45"/>
      <c r="O419" s="47" t="str">
        <f aca="false">IF(OR($L419="",$M419=""),"",(DATE(Semana!$J$3,1,4)-WEEKDAY(DATE(Semana!$J$3,1,4),3))+($L419-1)*7+MATCH($M419,Listas!$F$5:$F$11,0)-1)</f>
        <v/>
      </c>
      <c r="P419" s="47" t="str">
        <f aca="false">IF(OR($F419="",$O419=""),"",$O419+MAX(0,ROUNDUP($AK419*MAX(1,IF($N419="",1,$N419))/MAX(1,$AL419),0)-1))</f>
        <v/>
      </c>
      <c r="Q419" s="48"/>
      <c r="R419" s="43"/>
      <c r="S419" s="49"/>
      <c r="T419" s="42"/>
      <c r="U419" s="42"/>
      <c r="V419" s="39" t="str">
        <f aca="false">IF($F419="","",IF(ISNUMBER(SEARCH("(externo)",$I419&amp;$J419&amp;$K419)),"Terceirizada","Interna"))</f>
        <v/>
      </c>
      <c r="W419" s="47" t="str">
        <f aca="false">IF($O419="","",IF($S419="",$O419,(DATE(Semana!$J$3,1,4)-WEEKDAY(DATE(Semana!$J$3,1,4),3))+($S419-1)*7+IF($M419="",0,MATCH($M419,Listas!$F$5:$F$11,0)-1)))</f>
        <v/>
      </c>
      <c r="X419" s="39" t="str">
        <f aca="false">IF($F419="","",IF(OR($AT419="",$O419=""),0,IF($AT419&lt;=$O419,1,0)))</f>
        <v/>
      </c>
      <c r="Y419" s="39" t="str">
        <f aca="false">IF($F419="","",IF(OR($AT419="",$W419=""),0,IF($AT419&lt;=$W419,1,0)))</f>
        <v/>
      </c>
      <c r="Z419" s="39" t="str">
        <f aca="false">IF(OR($AT419="",$O419=""),"",MAX(0,$AT419-$O419))</f>
        <v/>
      </c>
      <c r="AA419" s="39" t="str">
        <f aca="false">IF($F419="","",IF(AND($S419&lt;&gt;"",$L419&lt;&gt;"",$S419&lt;&gt;$L419),1,0))</f>
        <v/>
      </c>
      <c r="AB419" s="39" t="str">
        <f aca="false">IF($F419="","",IF($R419="Cancelada",0,IF(OR($AT419&lt;&gt;"",$R419="Concluída"),1,0)))</f>
        <v/>
      </c>
      <c r="AC419" s="39" t="n">
        <f aca="false">IF($P419="",0,IF($P419&lt;Hoje!$L$1,1,IF(AND($P419=Hoje!$L$1,Hoje!$L$2&gt;Semana!$M$3),1,0)))</f>
        <v>0</v>
      </c>
      <c r="AD419" s="39" t="str">
        <f aca="false">IF($F419="","",IF(COUNTA($I419:$K419)=0,0,1/COUNTA($I419:$K419)))</f>
        <v/>
      </c>
      <c r="AE419" s="39" t="str">
        <f aca="false">IF($AH419=0,"",SUM($AH$4:$AH419))</f>
        <v/>
      </c>
      <c r="AF419" s="39" t="str">
        <f aca="false">IF($AI419=0,"",SUM($AI$4:$AI419))</f>
        <v/>
      </c>
      <c r="AG419" s="50" t="str">
        <f aca="false">IF($F419="","",$I419&amp;IF($J419="",""," · "&amp;$J419)&amp;IF($K419="",""," · "&amp;$K419))</f>
        <v/>
      </c>
      <c r="AH419" s="39" t="n">
        <f aca="false">IF(AND($F419&lt;&gt;"",$O419&lt;&gt;"",$O419&lt;=Hoje!$C$3,$P419&gt;=Hoje!$C$3,$R419&lt;&gt;"Cancelada"),1,0)</f>
        <v>0</v>
      </c>
      <c r="AI419" s="39" t="n">
        <f aca="false">IF(AND($F419&lt;&gt;"",$P419&lt;&gt;"",$P419&lt;Hoje!$C$3,$AB419=0,$R419&lt;&gt;"Cancelada"),1,0)</f>
        <v>0</v>
      </c>
      <c r="AJ419" s="50" t="str">
        <f aca="false">IF($F419="","",$D419&amp;"|"&amp;$E419&amp;"|"&amp;$L419)</f>
        <v/>
      </c>
      <c r="AK419" s="39" t="str">
        <f aca="false">IF($AJ419="","",COUNTIF($AJ$4:$AJ419,$AJ419))</f>
        <v/>
      </c>
      <c r="AL419" s="39" t="str">
        <f aca="false">IF($AJ419="","",COUNTIF($AJ$4:$AJ$1004,$AJ419))</f>
        <v/>
      </c>
      <c r="AM419" s="42"/>
      <c r="AN419" s="50" t="str">
        <f aca="false">IF($D419="","",IFERROR(T(VLOOKUP($D419,Listas!$B$5:$H$120,7,0)),""))</f>
        <v/>
      </c>
      <c r="AO419" s="50" t="str">
        <f aca="false">IF(OR($F419="",$L419&lt;&gt;"",$R419="Cancelada",$AT419&lt;&gt;""),"",$AN419&amp;"|"&amp;$D419&amp;"|"&amp;IF($C419="","zzz",$C419)&amp;"|"&amp;TEXT(419,"0000"))</f>
        <v/>
      </c>
      <c r="AP419" s="50" t="str">
        <f aca="false">IF($AO419="","",COUNTIF($AO$5:$AO$1004,"&lt;"&amp;$AO419)-(ROWS($AO$5:$AO$1004)-Hoje!$L$5)+1)</f>
        <v/>
      </c>
      <c r="AQ419" s="50" t="n">
        <f aca="false">IF(AND($F419&lt;&gt;"",$D419=Frota!$C$3),1,0)</f>
        <v>0</v>
      </c>
      <c r="AR419" s="50" t="str">
        <f aca="false">IF($AQ419=0,"",SUM($AQ$4:$AQ419))</f>
        <v/>
      </c>
      <c r="AS419" s="50" t="str">
        <f aca="false">IFERROR(INDEX(Hoje!$K$10:$K$29,MATCH(ROW(),Hoje!$J$10:$J$29,0)),"")</f>
        <v/>
      </c>
      <c r="AT419" s="50" t="str">
        <f aca="false">IF($Q419&lt;&gt;"",$Q419,$AS419)</f>
        <v/>
      </c>
    </row>
    <row r="420" customFormat="false" ht="16.5" hidden="false" customHeight="true" outlineLevel="0" collapsed="false">
      <c r="A420" s="39" t="str">
        <f aca="false">IF($F420="","",ROW())</f>
        <v/>
      </c>
      <c r="B420" s="40" t="str">
        <f aca="false">IF($F420="",IF($D420="","","Falta a atividade"),IF($R420="Cancelada","Cancelada",IF($AB420=1,IF(N($Z420)&gt;0,"Concluída com atraso","Concluída"),IF($R420="Em programação","Em programação",IF($O420="",IF($M420="","Na carteira","Falta a semana"),IF($AC420=1,"VENCIDA",IF($O420&gt;Hoje!$L$1,"Programada",IF($P420&gt;Hoje!$L$1,"Em execução","Fecha hoje"))))))))</f>
        <v/>
      </c>
      <c r="C420" s="41"/>
      <c r="D420" s="42"/>
      <c r="E420" s="42"/>
      <c r="F420" s="42"/>
      <c r="G420" s="43"/>
      <c r="H420" s="43"/>
      <c r="I420" s="44"/>
      <c r="J420" s="44"/>
      <c r="K420" s="44"/>
      <c r="L420" s="45"/>
      <c r="M420" s="46"/>
      <c r="N420" s="45"/>
      <c r="O420" s="47" t="str">
        <f aca="false">IF(OR($L420="",$M420=""),"",(DATE(Semana!$J$3,1,4)-WEEKDAY(DATE(Semana!$J$3,1,4),3))+($L420-1)*7+MATCH($M420,Listas!$F$5:$F$11,0)-1)</f>
        <v/>
      </c>
      <c r="P420" s="47" t="str">
        <f aca="false">IF(OR($F420="",$O420=""),"",$O420+MAX(0,ROUNDUP($AK420*MAX(1,IF($N420="",1,$N420))/MAX(1,$AL420),0)-1))</f>
        <v/>
      </c>
      <c r="Q420" s="48"/>
      <c r="R420" s="43"/>
      <c r="S420" s="49"/>
      <c r="T420" s="42"/>
      <c r="U420" s="42"/>
      <c r="V420" s="39" t="str">
        <f aca="false">IF($F420="","",IF(ISNUMBER(SEARCH("(externo)",$I420&amp;$J420&amp;$K420)),"Terceirizada","Interna"))</f>
        <v/>
      </c>
      <c r="W420" s="47" t="str">
        <f aca="false">IF($O420="","",IF($S420="",$O420,(DATE(Semana!$J$3,1,4)-WEEKDAY(DATE(Semana!$J$3,1,4),3))+($S420-1)*7+IF($M420="",0,MATCH($M420,Listas!$F$5:$F$11,0)-1)))</f>
        <v/>
      </c>
      <c r="X420" s="39" t="str">
        <f aca="false">IF($F420="","",IF(OR($AT420="",$O420=""),0,IF($AT420&lt;=$O420,1,0)))</f>
        <v/>
      </c>
      <c r="Y420" s="39" t="str">
        <f aca="false">IF($F420="","",IF(OR($AT420="",$W420=""),0,IF($AT420&lt;=$W420,1,0)))</f>
        <v/>
      </c>
      <c r="Z420" s="39" t="str">
        <f aca="false">IF(OR($AT420="",$O420=""),"",MAX(0,$AT420-$O420))</f>
        <v/>
      </c>
      <c r="AA420" s="39" t="str">
        <f aca="false">IF($F420="","",IF(AND($S420&lt;&gt;"",$L420&lt;&gt;"",$S420&lt;&gt;$L420),1,0))</f>
        <v/>
      </c>
      <c r="AB420" s="39" t="str">
        <f aca="false">IF($F420="","",IF($R420="Cancelada",0,IF(OR($AT420&lt;&gt;"",$R420="Concluída"),1,0)))</f>
        <v/>
      </c>
      <c r="AC420" s="39" t="n">
        <f aca="false">IF($P420="",0,IF($P420&lt;Hoje!$L$1,1,IF(AND($P420=Hoje!$L$1,Hoje!$L$2&gt;Semana!$M$3),1,0)))</f>
        <v>0</v>
      </c>
      <c r="AD420" s="39" t="str">
        <f aca="false">IF($F420="","",IF(COUNTA($I420:$K420)=0,0,1/COUNTA($I420:$K420)))</f>
        <v/>
      </c>
      <c r="AE420" s="39" t="str">
        <f aca="false">IF($AH420=0,"",SUM($AH$4:$AH420))</f>
        <v/>
      </c>
      <c r="AF420" s="39" t="str">
        <f aca="false">IF($AI420=0,"",SUM($AI$4:$AI420))</f>
        <v/>
      </c>
      <c r="AG420" s="50" t="str">
        <f aca="false">IF($F420="","",$I420&amp;IF($J420="",""," · "&amp;$J420)&amp;IF($K420="",""," · "&amp;$K420))</f>
        <v/>
      </c>
      <c r="AH420" s="39" t="n">
        <f aca="false">IF(AND($F420&lt;&gt;"",$O420&lt;&gt;"",$O420&lt;=Hoje!$C$3,$P420&gt;=Hoje!$C$3,$R420&lt;&gt;"Cancelada"),1,0)</f>
        <v>0</v>
      </c>
      <c r="AI420" s="39" t="n">
        <f aca="false">IF(AND($F420&lt;&gt;"",$P420&lt;&gt;"",$P420&lt;Hoje!$C$3,$AB420=0,$R420&lt;&gt;"Cancelada"),1,0)</f>
        <v>0</v>
      </c>
      <c r="AJ420" s="50" t="str">
        <f aca="false">IF($F420="","",$D420&amp;"|"&amp;$E420&amp;"|"&amp;$L420)</f>
        <v/>
      </c>
      <c r="AK420" s="39" t="str">
        <f aca="false">IF($AJ420="","",COUNTIF($AJ$4:$AJ420,$AJ420))</f>
        <v/>
      </c>
      <c r="AL420" s="39" t="str">
        <f aca="false">IF($AJ420="","",COUNTIF($AJ$4:$AJ$1004,$AJ420))</f>
        <v/>
      </c>
      <c r="AM420" s="42"/>
      <c r="AN420" s="50" t="str">
        <f aca="false">IF($D420="","",IFERROR(T(VLOOKUP($D420,Listas!$B$5:$H$120,7,0)),""))</f>
        <v/>
      </c>
      <c r="AO420" s="50" t="str">
        <f aca="false">IF(OR($F420="",$L420&lt;&gt;"",$R420="Cancelada",$AT420&lt;&gt;""),"",$AN420&amp;"|"&amp;$D420&amp;"|"&amp;IF($C420="","zzz",$C420)&amp;"|"&amp;TEXT(420,"0000"))</f>
        <v/>
      </c>
      <c r="AP420" s="50" t="str">
        <f aca="false">IF($AO420="","",COUNTIF($AO$5:$AO$1004,"&lt;"&amp;$AO420)-(ROWS($AO$5:$AO$1004)-Hoje!$L$5)+1)</f>
        <v/>
      </c>
      <c r="AQ420" s="50" t="n">
        <f aca="false">IF(AND($F420&lt;&gt;"",$D420=Frota!$C$3),1,0)</f>
        <v>0</v>
      </c>
      <c r="AR420" s="50" t="str">
        <f aca="false">IF($AQ420=0,"",SUM($AQ$4:$AQ420))</f>
        <v/>
      </c>
      <c r="AS420" s="50" t="str">
        <f aca="false">IFERROR(INDEX(Hoje!$K$10:$K$29,MATCH(ROW(),Hoje!$J$10:$J$29,0)),"")</f>
        <v/>
      </c>
      <c r="AT420" s="50" t="str">
        <f aca="false">IF($Q420&lt;&gt;"",$Q420,$AS420)</f>
        <v/>
      </c>
    </row>
    <row r="421" customFormat="false" ht="16.5" hidden="false" customHeight="true" outlineLevel="0" collapsed="false">
      <c r="A421" s="39" t="str">
        <f aca="false">IF($F421="","",ROW())</f>
        <v/>
      </c>
      <c r="B421" s="40" t="str">
        <f aca="false">IF($F421="",IF($D421="","","Falta a atividade"),IF($R421="Cancelada","Cancelada",IF($AB421=1,IF(N($Z421)&gt;0,"Concluída com atraso","Concluída"),IF($R421="Em programação","Em programação",IF($O421="",IF($M421="","Na carteira","Falta a semana"),IF($AC421=1,"VENCIDA",IF($O421&gt;Hoje!$L$1,"Programada",IF($P421&gt;Hoje!$L$1,"Em execução","Fecha hoje"))))))))</f>
        <v/>
      </c>
      <c r="C421" s="41"/>
      <c r="D421" s="42"/>
      <c r="E421" s="42"/>
      <c r="F421" s="42"/>
      <c r="G421" s="43"/>
      <c r="H421" s="43"/>
      <c r="I421" s="44"/>
      <c r="J421" s="44"/>
      <c r="K421" s="44"/>
      <c r="L421" s="45"/>
      <c r="M421" s="46"/>
      <c r="N421" s="45"/>
      <c r="O421" s="47" t="str">
        <f aca="false">IF(OR($L421="",$M421=""),"",(DATE(Semana!$J$3,1,4)-WEEKDAY(DATE(Semana!$J$3,1,4),3))+($L421-1)*7+MATCH($M421,Listas!$F$5:$F$11,0)-1)</f>
        <v/>
      </c>
      <c r="P421" s="47" t="str">
        <f aca="false">IF(OR($F421="",$O421=""),"",$O421+MAX(0,ROUNDUP($AK421*MAX(1,IF($N421="",1,$N421))/MAX(1,$AL421),0)-1))</f>
        <v/>
      </c>
      <c r="Q421" s="48"/>
      <c r="R421" s="43"/>
      <c r="S421" s="49"/>
      <c r="T421" s="42"/>
      <c r="U421" s="42"/>
      <c r="V421" s="39" t="str">
        <f aca="false">IF($F421="","",IF(ISNUMBER(SEARCH("(externo)",$I421&amp;$J421&amp;$K421)),"Terceirizada","Interna"))</f>
        <v/>
      </c>
      <c r="W421" s="47" t="str">
        <f aca="false">IF($O421="","",IF($S421="",$O421,(DATE(Semana!$J$3,1,4)-WEEKDAY(DATE(Semana!$J$3,1,4),3))+($S421-1)*7+IF($M421="",0,MATCH($M421,Listas!$F$5:$F$11,0)-1)))</f>
        <v/>
      </c>
      <c r="X421" s="39" t="str">
        <f aca="false">IF($F421="","",IF(OR($AT421="",$O421=""),0,IF($AT421&lt;=$O421,1,0)))</f>
        <v/>
      </c>
      <c r="Y421" s="39" t="str">
        <f aca="false">IF($F421="","",IF(OR($AT421="",$W421=""),0,IF($AT421&lt;=$W421,1,0)))</f>
        <v/>
      </c>
      <c r="Z421" s="39" t="str">
        <f aca="false">IF(OR($AT421="",$O421=""),"",MAX(0,$AT421-$O421))</f>
        <v/>
      </c>
      <c r="AA421" s="39" t="str">
        <f aca="false">IF($F421="","",IF(AND($S421&lt;&gt;"",$L421&lt;&gt;"",$S421&lt;&gt;$L421),1,0))</f>
        <v/>
      </c>
      <c r="AB421" s="39" t="str">
        <f aca="false">IF($F421="","",IF($R421="Cancelada",0,IF(OR($AT421&lt;&gt;"",$R421="Concluída"),1,0)))</f>
        <v/>
      </c>
      <c r="AC421" s="39" t="n">
        <f aca="false">IF($P421="",0,IF($P421&lt;Hoje!$L$1,1,IF(AND($P421=Hoje!$L$1,Hoje!$L$2&gt;Semana!$M$3),1,0)))</f>
        <v>0</v>
      </c>
      <c r="AD421" s="39" t="str">
        <f aca="false">IF($F421="","",IF(COUNTA($I421:$K421)=0,0,1/COUNTA($I421:$K421)))</f>
        <v/>
      </c>
      <c r="AE421" s="39" t="str">
        <f aca="false">IF($AH421=0,"",SUM($AH$4:$AH421))</f>
        <v/>
      </c>
      <c r="AF421" s="39" t="str">
        <f aca="false">IF($AI421=0,"",SUM($AI$4:$AI421))</f>
        <v/>
      </c>
      <c r="AG421" s="50" t="str">
        <f aca="false">IF($F421="","",$I421&amp;IF($J421="",""," · "&amp;$J421)&amp;IF($K421="",""," · "&amp;$K421))</f>
        <v/>
      </c>
      <c r="AH421" s="39" t="n">
        <f aca="false">IF(AND($F421&lt;&gt;"",$O421&lt;&gt;"",$O421&lt;=Hoje!$C$3,$P421&gt;=Hoje!$C$3,$R421&lt;&gt;"Cancelada"),1,0)</f>
        <v>0</v>
      </c>
      <c r="AI421" s="39" t="n">
        <f aca="false">IF(AND($F421&lt;&gt;"",$P421&lt;&gt;"",$P421&lt;Hoje!$C$3,$AB421=0,$R421&lt;&gt;"Cancelada"),1,0)</f>
        <v>0</v>
      </c>
      <c r="AJ421" s="50" t="str">
        <f aca="false">IF($F421="","",$D421&amp;"|"&amp;$E421&amp;"|"&amp;$L421)</f>
        <v/>
      </c>
      <c r="AK421" s="39" t="str">
        <f aca="false">IF($AJ421="","",COUNTIF($AJ$4:$AJ421,$AJ421))</f>
        <v/>
      </c>
      <c r="AL421" s="39" t="str">
        <f aca="false">IF($AJ421="","",COUNTIF($AJ$4:$AJ$1004,$AJ421))</f>
        <v/>
      </c>
      <c r="AM421" s="42"/>
      <c r="AN421" s="50" t="str">
        <f aca="false">IF($D421="","",IFERROR(T(VLOOKUP($D421,Listas!$B$5:$H$120,7,0)),""))</f>
        <v/>
      </c>
      <c r="AO421" s="50" t="str">
        <f aca="false">IF(OR($F421="",$L421&lt;&gt;"",$R421="Cancelada",$AT421&lt;&gt;""),"",$AN421&amp;"|"&amp;$D421&amp;"|"&amp;IF($C421="","zzz",$C421)&amp;"|"&amp;TEXT(421,"0000"))</f>
        <v/>
      </c>
      <c r="AP421" s="50" t="str">
        <f aca="false">IF($AO421="","",COUNTIF($AO$5:$AO$1004,"&lt;"&amp;$AO421)-(ROWS($AO$5:$AO$1004)-Hoje!$L$5)+1)</f>
        <v/>
      </c>
      <c r="AQ421" s="50" t="n">
        <f aca="false">IF(AND($F421&lt;&gt;"",$D421=Frota!$C$3),1,0)</f>
        <v>0</v>
      </c>
      <c r="AR421" s="50" t="str">
        <f aca="false">IF($AQ421=0,"",SUM($AQ$4:$AQ421))</f>
        <v/>
      </c>
      <c r="AS421" s="50" t="str">
        <f aca="false">IFERROR(INDEX(Hoje!$K$10:$K$29,MATCH(ROW(),Hoje!$J$10:$J$29,0)),"")</f>
        <v/>
      </c>
      <c r="AT421" s="50" t="str">
        <f aca="false">IF($Q421&lt;&gt;"",$Q421,$AS421)</f>
        <v/>
      </c>
    </row>
    <row r="422" customFormat="false" ht="16.5" hidden="false" customHeight="true" outlineLevel="0" collapsed="false">
      <c r="A422" s="39" t="str">
        <f aca="false">IF($F422="","",ROW())</f>
        <v/>
      </c>
      <c r="B422" s="40" t="str">
        <f aca="false">IF($F422="",IF($D422="","","Falta a atividade"),IF($R422="Cancelada","Cancelada",IF($AB422=1,IF(N($Z422)&gt;0,"Concluída com atraso","Concluída"),IF($R422="Em programação","Em programação",IF($O422="",IF($M422="","Na carteira","Falta a semana"),IF($AC422=1,"VENCIDA",IF($O422&gt;Hoje!$L$1,"Programada",IF($P422&gt;Hoje!$L$1,"Em execução","Fecha hoje"))))))))</f>
        <v/>
      </c>
      <c r="C422" s="41"/>
      <c r="D422" s="42"/>
      <c r="E422" s="42"/>
      <c r="F422" s="42"/>
      <c r="G422" s="43"/>
      <c r="H422" s="43"/>
      <c r="I422" s="44"/>
      <c r="J422" s="44"/>
      <c r="K422" s="44"/>
      <c r="L422" s="45"/>
      <c r="M422" s="46"/>
      <c r="N422" s="45"/>
      <c r="O422" s="47" t="str">
        <f aca="false">IF(OR($L422="",$M422=""),"",(DATE(Semana!$J$3,1,4)-WEEKDAY(DATE(Semana!$J$3,1,4),3))+($L422-1)*7+MATCH($M422,Listas!$F$5:$F$11,0)-1)</f>
        <v/>
      </c>
      <c r="P422" s="47" t="str">
        <f aca="false">IF(OR($F422="",$O422=""),"",$O422+MAX(0,ROUNDUP($AK422*MAX(1,IF($N422="",1,$N422))/MAX(1,$AL422),0)-1))</f>
        <v/>
      </c>
      <c r="Q422" s="48"/>
      <c r="R422" s="43"/>
      <c r="S422" s="49"/>
      <c r="T422" s="42"/>
      <c r="U422" s="42"/>
      <c r="V422" s="39" t="str">
        <f aca="false">IF($F422="","",IF(ISNUMBER(SEARCH("(externo)",$I422&amp;$J422&amp;$K422)),"Terceirizada","Interna"))</f>
        <v/>
      </c>
      <c r="W422" s="47" t="str">
        <f aca="false">IF($O422="","",IF($S422="",$O422,(DATE(Semana!$J$3,1,4)-WEEKDAY(DATE(Semana!$J$3,1,4),3))+($S422-1)*7+IF($M422="",0,MATCH($M422,Listas!$F$5:$F$11,0)-1)))</f>
        <v/>
      </c>
      <c r="X422" s="39" t="str">
        <f aca="false">IF($F422="","",IF(OR($AT422="",$O422=""),0,IF($AT422&lt;=$O422,1,0)))</f>
        <v/>
      </c>
      <c r="Y422" s="39" t="str">
        <f aca="false">IF($F422="","",IF(OR($AT422="",$W422=""),0,IF($AT422&lt;=$W422,1,0)))</f>
        <v/>
      </c>
      <c r="Z422" s="39" t="str">
        <f aca="false">IF(OR($AT422="",$O422=""),"",MAX(0,$AT422-$O422))</f>
        <v/>
      </c>
      <c r="AA422" s="39" t="str">
        <f aca="false">IF($F422="","",IF(AND($S422&lt;&gt;"",$L422&lt;&gt;"",$S422&lt;&gt;$L422),1,0))</f>
        <v/>
      </c>
      <c r="AB422" s="39" t="str">
        <f aca="false">IF($F422="","",IF($R422="Cancelada",0,IF(OR($AT422&lt;&gt;"",$R422="Concluída"),1,0)))</f>
        <v/>
      </c>
      <c r="AC422" s="39" t="n">
        <f aca="false">IF($P422="",0,IF($P422&lt;Hoje!$L$1,1,IF(AND($P422=Hoje!$L$1,Hoje!$L$2&gt;Semana!$M$3),1,0)))</f>
        <v>0</v>
      </c>
      <c r="AD422" s="39" t="str">
        <f aca="false">IF($F422="","",IF(COUNTA($I422:$K422)=0,0,1/COUNTA($I422:$K422)))</f>
        <v/>
      </c>
      <c r="AE422" s="39" t="str">
        <f aca="false">IF($AH422=0,"",SUM($AH$4:$AH422))</f>
        <v/>
      </c>
      <c r="AF422" s="39" t="str">
        <f aca="false">IF($AI422=0,"",SUM($AI$4:$AI422))</f>
        <v/>
      </c>
      <c r="AG422" s="50" t="str">
        <f aca="false">IF($F422="","",$I422&amp;IF($J422="",""," · "&amp;$J422)&amp;IF($K422="",""," · "&amp;$K422))</f>
        <v/>
      </c>
      <c r="AH422" s="39" t="n">
        <f aca="false">IF(AND($F422&lt;&gt;"",$O422&lt;&gt;"",$O422&lt;=Hoje!$C$3,$P422&gt;=Hoje!$C$3,$R422&lt;&gt;"Cancelada"),1,0)</f>
        <v>0</v>
      </c>
      <c r="AI422" s="39" t="n">
        <f aca="false">IF(AND($F422&lt;&gt;"",$P422&lt;&gt;"",$P422&lt;Hoje!$C$3,$AB422=0,$R422&lt;&gt;"Cancelada"),1,0)</f>
        <v>0</v>
      </c>
      <c r="AJ422" s="50" t="str">
        <f aca="false">IF($F422="","",$D422&amp;"|"&amp;$E422&amp;"|"&amp;$L422)</f>
        <v/>
      </c>
      <c r="AK422" s="39" t="str">
        <f aca="false">IF($AJ422="","",COUNTIF($AJ$4:$AJ422,$AJ422))</f>
        <v/>
      </c>
      <c r="AL422" s="39" t="str">
        <f aca="false">IF($AJ422="","",COUNTIF($AJ$4:$AJ$1004,$AJ422))</f>
        <v/>
      </c>
      <c r="AM422" s="42"/>
      <c r="AN422" s="50" t="str">
        <f aca="false">IF($D422="","",IFERROR(T(VLOOKUP($D422,Listas!$B$5:$H$120,7,0)),""))</f>
        <v/>
      </c>
      <c r="AO422" s="50" t="str">
        <f aca="false">IF(OR($F422="",$L422&lt;&gt;"",$R422="Cancelada",$AT422&lt;&gt;""),"",$AN422&amp;"|"&amp;$D422&amp;"|"&amp;IF($C422="","zzz",$C422)&amp;"|"&amp;TEXT(422,"0000"))</f>
        <v/>
      </c>
      <c r="AP422" s="50" t="str">
        <f aca="false">IF($AO422="","",COUNTIF($AO$5:$AO$1004,"&lt;"&amp;$AO422)-(ROWS($AO$5:$AO$1004)-Hoje!$L$5)+1)</f>
        <v/>
      </c>
      <c r="AQ422" s="50" t="n">
        <f aca="false">IF(AND($F422&lt;&gt;"",$D422=Frota!$C$3),1,0)</f>
        <v>0</v>
      </c>
      <c r="AR422" s="50" t="str">
        <f aca="false">IF($AQ422=0,"",SUM($AQ$4:$AQ422))</f>
        <v/>
      </c>
      <c r="AS422" s="50" t="str">
        <f aca="false">IFERROR(INDEX(Hoje!$K$10:$K$29,MATCH(ROW(),Hoje!$J$10:$J$29,0)),"")</f>
        <v/>
      </c>
      <c r="AT422" s="50" t="str">
        <f aca="false">IF($Q422&lt;&gt;"",$Q422,$AS422)</f>
        <v/>
      </c>
    </row>
    <row r="423" customFormat="false" ht="16.5" hidden="false" customHeight="true" outlineLevel="0" collapsed="false">
      <c r="A423" s="39" t="str">
        <f aca="false">IF($F423="","",ROW())</f>
        <v/>
      </c>
      <c r="B423" s="40" t="str">
        <f aca="false">IF($F423="",IF($D423="","","Falta a atividade"),IF($R423="Cancelada","Cancelada",IF($AB423=1,IF(N($Z423)&gt;0,"Concluída com atraso","Concluída"),IF($R423="Em programação","Em programação",IF($O423="",IF($M423="","Na carteira","Falta a semana"),IF($AC423=1,"VENCIDA",IF($O423&gt;Hoje!$L$1,"Programada",IF($P423&gt;Hoje!$L$1,"Em execução","Fecha hoje"))))))))</f>
        <v/>
      </c>
      <c r="C423" s="41"/>
      <c r="D423" s="42"/>
      <c r="E423" s="42"/>
      <c r="F423" s="42"/>
      <c r="G423" s="43"/>
      <c r="H423" s="43"/>
      <c r="I423" s="44"/>
      <c r="J423" s="44"/>
      <c r="K423" s="44"/>
      <c r="L423" s="45"/>
      <c r="M423" s="46"/>
      <c r="N423" s="45"/>
      <c r="O423" s="47" t="str">
        <f aca="false">IF(OR($L423="",$M423=""),"",(DATE(Semana!$J$3,1,4)-WEEKDAY(DATE(Semana!$J$3,1,4),3))+($L423-1)*7+MATCH($M423,Listas!$F$5:$F$11,0)-1)</f>
        <v/>
      </c>
      <c r="P423" s="47" t="str">
        <f aca="false">IF(OR($F423="",$O423=""),"",$O423+MAX(0,ROUNDUP($AK423*MAX(1,IF($N423="",1,$N423))/MAX(1,$AL423),0)-1))</f>
        <v/>
      </c>
      <c r="Q423" s="48"/>
      <c r="R423" s="43"/>
      <c r="S423" s="49"/>
      <c r="T423" s="42"/>
      <c r="U423" s="42"/>
      <c r="V423" s="39" t="str">
        <f aca="false">IF($F423="","",IF(ISNUMBER(SEARCH("(externo)",$I423&amp;$J423&amp;$K423)),"Terceirizada","Interna"))</f>
        <v/>
      </c>
      <c r="W423" s="47" t="str">
        <f aca="false">IF($O423="","",IF($S423="",$O423,(DATE(Semana!$J$3,1,4)-WEEKDAY(DATE(Semana!$J$3,1,4),3))+($S423-1)*7+IF($M423="",0,MATCH($M423,Listas!$F$5:$F$11,0)-1)))</f>
        <v/>
      </c>
      <c r="X423" s="39" t="str">
        <f aca="false">IF($F423="","",IF(OR($AT423="",$O423=""),0,IF($AT423&lt;=$O423,1,0)))</f>
        <v/>
      </c>
      <c r="Y423" s="39" t="str">
        <f aca="false">IF($F423="","",IF(OR($AT423="",$W423=""),0,IF($AT423&lt;=$W423,1,0)))</f>
        <v/>
      </c>
      <c r="Z423" s="39" t="str">
        <f aca="false">IF(OR($AT423="",$O423=""),"",MAX(0,$AT423-$O423))</f>
        <v/>
      </c>
      <c r="AA423" s="39" t="str">
        <f aca="false">IF($F423="","",IF(AND($S423&lt;&gt;"",$L423&lt;&gt;"",$S423&lt;&gt;$L423),1,0))</f>
        <v/>
      </c>
      <c r="AB423" s="39" t="str">
        <f aca="false">IF($F423="","",IF($R423="Cancelada",0,IF(OR($AT423&lt;&gt;"",$R423="Concluída"),1,0)))</f>
        <v/>
      </c>
      <c r="AC423" s="39" t="n">
        <f aca="false">IF($P423="",0,IF($P423&lt;Hoje!$L$1,1,IF(AND($P423=Hoje!$L$1,Hoje!$L$2&gt;Semana!$M$3),1,0)))</f>
        <v>0</v>
      </c>
      <c r="AD423" s="39" t="str">
        <f aca="false">IF($F423="","",IF(COUNTA($I423:$K423)=0,0,1/COUNTA($I423:$K423)))</f>
        <v/>
      </c>
      <c r="AE423" s="39" t="str">
        <f aca="false">IF($AH423=0,"",SUM($AH$4:$AH423))</f>
        <v/>
      </c>
      <c r="AF423" s="39" t="str">
        <f aca="false">IF($AI423=0,"",SUM($AI$4:$AI423))</f>
        <v/>
      </c>
      <c r="AG423" s="50" t="str">
        <f aca="false">IF($F423="","",$I423&amp;IF($J423="",""," · "&amp;$J423)&amp;IF($K423="",""," · "&amp;$K423))</f>
        <v/>
      </c>
      <c r="AH423" s="39" t="n">
        <f aca="false">IF(AND($F423&lt;&gt;"",$O423&lt;&gt;"",$O423&lt;=Hoje!$C$3,$P423&gt;=Hoje!$C$3,$R423&lt;&gt;"Cancelada"),1,0)</f>
        <v>0</v>
      </c>
      <c r="AI423" s="39" t="n">
        <f aca="false">IF(AND($F423&lt;&gt;"",$P423&lt;&gt;"",$P423&lt;Hoje!$C$3,$AB423=0,$R423&lt;&gt;"Cancelada"),1,0)</f>
        <v>0</v>
      </c>
      <c r="AJ423" s="50" t="str">
        <f aca="false">IF($F423="","",$D423&amp;"|"&amp;$E423&amp;"|"&amp;$L423)</f>
        <v/>
      </c>
      <c r="AK423" s="39" t="str">
        <f aca="false">IF($AJ423="","",COUNTIF($AJ$4:$AJ423,$AJ423))</f>
        <v/>
      </c>
      <c r="AL423" s="39" t="str">
        <f aca="false">IF($AJ423="","",COUNTIF($AJ$4:$AJ$1004,$AJ423))</f>
        <v/>
      </c>
      <c r="AM423" s="42"/>
      <c r="AN423" s="50" t="str">
        <f aca="false">IF($D423="","",IFERROR(T(VLOOKUP($D423,Listas!$B$5:$H$120,7,0)),""))</f>
        <v/>
      </c>
      <c r="AO423" s="50" t="str">
        <f aca="false">IF(OR($F423="",$L423&lt;&gt;"",$R423="Cancelada",$AT423&lt;&gt;""),"",$AN423&amp;"|"&amp;$D423&amp;"|"&amp;IF($C423="","zzz",$C423)&amp;"|"&amp;TEXT(423,"0000"))</f>
        <v/>
      </c>
      <c r="AP423" s="50" t="str">
        <f aca="false">IF($AO423="","",COUNTIF($AO$5:$AO$1004,"&lt;"&amp;$AO423)-(ROWS($AO$5:$AO$1004)-Hoje!$L$5)+1)</f>
        <v/>
      </c>
      <c r="AQ423" s="50" t="n">
        <f aca="false">IF(AND($F423&lt;&gt;"",$D423=Frota!$C$3),1,0)</f>
        <v>0</v>
      </c>
      <c r="AR423" s="50" t="str">
        <f aca="false">IF($AQ423=0,"",SUM($AQ$4:$AQ423))</f>
        <v/>
      </c>
      <c r="AS423" s="50" t="str">
        <f aca="false">IFERROR(INDEX(Hoje!$K$10:$K$29,MATCH(ROW(),Hoje!$J$10:$J$29,0)),"")</f>
        <v/>
      </c>
      <c r="AT423" s="50" t="str">
        <f aca="false">IF($Q423&lt;&gt;"",$Q423,$AS423)</f>
        <v/>
      </c>
    </row>
    <row r="424" customFormat="false" ht="16.5" hidden="false" customHeight="true" outlineLevel="0" collapsed="false">
      <c r="A424" s="39" t="str">
        <f aca="false">IF($F424="","",ROW())</f>
        <v/>
      </c>
      <c r="B424" s="40" t="str">
        <f aca="false">IF($F424="",IF($D424="","","Falta a atividade"),IF($R424="Cancelada","Cancelada",IF($AB424=1,IF(N($Z424)&gt;0,"Concluída com atraso","Concluída"),IF($R424="Em programação","Em programação",IF($O424="",IF($M424="","Na carteira","Falta a semana"),IF($AC424=1,"VENCIDA",IF($O424&gt;Hoje!$L$1,"Programada",IF($P424&gt;Hoje!$L$1,"Em execução","Fecha hoje"))))))))</f>
        <v/>
      </c>
      <c r="C424" s="41"/>
      <c r="D424" s="42"/>
      <c r="E424" s="42"/>
      <c r="F424" s="42"/>
      <c r="G424" s="43"/>
      <c r="H424" s="43"/>
      <c r="I424" s="44"/>
      <c r="J424" s="44"/>
      <c r="K424" s="44"/>
      <c r="L424" s="45"/>
      <c r="M424" s="46"/>
      <c r="N424" s="45"/>
      <c r="O424" s="47" t="str">
        <f aca="false">IF(OR($L424="",$M424=""),"",(DATE(Semana!$J$3,1,4)-WEEKDAY(DATE(Semana!$J$3,1,4),3))+($L424-1)*7+MATCH($M424,Listas!$F$5:$F$11,0)-1)</f>
        <v/>
      </c>
      <c r="P424" s="47" t="str">
        <f aca="false">IF(OR($F424="",$O424=""),"",$O424+MAX(0,ROUNDUP($AK424*MAX(1,IF($N424="",1,$N424))/MAX(1,$AL424),0)-1))</f>
        <v/>
      </c>
      <c r="Q424" s="48"/>
      <c r="R424" s="43"/>
      <c r="S424" s="49"/>
      <c r="T424" s="42"/>
      <c r="U424" s="42"/>
      <c r="V424" s="39" t="str">
        <f aca="false">IF($F424="","",IF(ISNUMBER(SEARCH("(externo)",$I424&amp;$J424&amp;$K424)),"Terceirizada","Interna"))</f>
        <v/>
      </c>
      <c r="W424" s="47" t="str">
        <f aca="false">IF($O424="","",IF($S424="",$O424,(DATE(Semana!$J$3,1,4)-WEEKDAY(DATE(Semana!$J$3,1,4),3))+($S424-1)*7+IF($M424="",0,MATCH($M424,Listas!$F$5:$F$11,0)-1)))</f>
        <v/>
      </c>
      <c r="X424" s="39" t="str">
        <f aca="false">IF($F424="","",IF(OR($AT424="",$O424=""),0,IF($AT424&lt;=$O424,1,0)))</f>
        <v/>
      </c>
      <c r="Y424" s="39" t="str">
        <f aca="false">IF($F424="","",IF(OR($AT424="",$W424=""),0,IF($AT424&lt;=$W424,1,0)))</f>
        <v/>
      </c>
      <c r="Z424" s="39" t="str">
        <f aca="false">IF(OR($AT424="",$O424=""),"",MAX(0,$AT424-$O424))</f>
        <v/>
      </c>
      <c r="AA424" s="39" t="str">
        <f aca="false">IF($F424="","",IF(AND($S424&lt;&gt;"",$L424&lt;&gt;"",$S424&lt;&gt;$L424),1,0))</f>
        <v/>
      </c>
      <c r="AB424" s="39" t="str">
        <f aca="false">IF($F424="","",IF($R424="Cancelada",0,IF(OR($AT424&lt;&gt;"",$R424="Concluída"),1,0)))</f>
        <v/>
      </c>
      <c r="AC424" s="39" t="n">
        <f aca="false">IF($P424="",0,IF($P424&lt;Hoje!$L$1,1,IF(AND($P424=Hoje!$L$1,Hoje!$L$2&gt;Semana!$M$3),1,0)))</f>
        <v>0</v>
      </c>
      <c r="AD424" s="39" t="str">
        <f aca="false">IF($F424="","",IF(COUNTA($I424:$K424)=0,0,1/COUNTA($I424:$K424)))</f>
        <v/>
      </c>
      <c r="AE424" s="39" t="str">
        <f aca="false">IF($AH424=0,"",SUM($AH$4:$AH424))</f>
        <v/>
      </c>
      <c r="AF424" s="39" t="str">
        <f aca="false">IF($AI424=0,"",SUM($AI$4:$AI424))</f>
        <v/>
      </c>
      <c r="AG424" s="50" t="str">
        <f aca="false">IF($F424="","",$I424&amp;IF($J424="",""," · "&amp;$J424)&amp;IF($K424="",""," · "&amp;$K424))</f>
        <v/>
      </c>
      <c r="AH424" s="39" t="n">
        <f aca="false">IF(AND($F424&lt;&gt;"",$O424&lt;&gt;"",$O424&lt;=Hoje!$C$3,$P424&gt;=Hoje!$C$3,$R424&lt;&gt;"Cancelada"),1,0)</f>
        <v>0</v>
      </c>
      <c r="AI424" s="39" t="n">
        <f aca="false">IF(AND($F424&lt;&gt;"",$P424&lt;&gt;"",$P424&lt;Hoje!$C$3,$AB424=0,$R424&lt;&gt;"Cancelada"),1,0)</f>
        <v>0</v>
      </c>
      <c r="AJ424" s="50" t="str">
        <f aca="false">IF($F424="","",$D424&amp;"|"&amp;$E424&amp;"|"&amp;$L424)</f>
        <v/>
      </c>
      <c r="AK424" s="39" t="str">
        <f aca="false">IF($AJ424="","",COUNTIF($AJ$4:$AJ424,$AJ424))</f>
        <v/>
      </c>
      <c r="AL424" s="39" t="str">
        <f aca="false">IF($AJ424="","",COUNTIF($AJ$4:$AJ$1004,$AJ424))</f>
        <v/>
      </c>
      <c r="AM424" s="42"/>
      <c r="AN424" s="50" t="str">
        <f aca="false">IF($D424="","",IFERROR(T(VLOOKUP($D424,Listas!$B$5:$H$120,7,0)),""))</f>
        <v/>
      </c>
      <c r="AO424" s="50" t="str">
        <f aca="false">IF(OR($F424="",$L424&lt;&gt;"",$R424="Cancelada",$AT424&lt;&gt;""),"",$AN424&amp;"|"&amp;$D424&amp;"|"&amp;IF($C424="","zzz",$C424)&amp;"|"&amp;TEXT(424,"0000"))</f>
        <v/>
      </c>
      <c r="AP424" s="50" t="str">
        <f aca="false">IF($AO424="","",COUNTIF($AO$5:$AO$1004,"&lt;"&amp;$AO424)-(ROWS($AO$5:$AO$1004)-Hoje!$L$5)+1)</f>
        <v/>
      </c>
      <c r="AQ424" s="50" t="n">
        <f aca="false">IF(AND($F424&lt;&gt;"",$D424=Frota!$C$3),1,0)</f>
        <v>0</v>
      </c>
      <c r="AR424" s="50" t="str">
        <f aca="false">IF($AQ424=0,"",SUM($AQ$4:$AQ424))</f>
        <v/>
      </c>
      <c r="AS424" s="50" t="str">
        <f aca="false">IFERROR(INDEX(Hoje!$K$10:$K$29,MATCH(ROW(),Hoje!$J$10:$J$29,0)),"")</f>
        <v/>
      </c>
      <c r="AT424" s="50" t="str">
        <f aca="false">IF($Q424&lt;&gt;"",$Q424,$AS424)</f>
        <v/>
      </c>
    </row>
    <row r="425" customFormat="false" ht="16.5" hidden="false" customHeight="true" outlineLevel="0" collapsed="false">
      <c r="A425" s="39" t="str">
        <f aca="false">IF($F425="","",ROW())</f>
        <v/>
      </c>
      <c r="B425" s="40" t="str">
        <f aca="false">IF($F425="",IF($D425="","","Falta a atividade"),IF($R425="Cancelada","Cancelada",IF($AB425=1,IF(N($Z425)&gt;0,"Concluída com atraso","Concluída"),IF($R425="Em programação","Em programação",IF($O425="",IF($M425="","Na carteira","Falta a semana"),IF($AC425=1,"VENCIDA",IF($O425&gt;Hoje!$L$1,"Programada",IF($P425&gt;Hoje!$L$1,"Em execução","Fecha hoje"))))))))</f>
        <v/>
      </c>
      <c r="C425" s="41"/>
      <c r="D425" s="42"/>
      <c r="E425" s="42"/>
      <c r="F425" s="42"/>
      <c r="G425" s="43"/>
      <c r="H425" s="43"/>
      <c r="I425" s="44"/>
      <c r="J425" s="44"/>
      <c r="K425" s="44"/>
      <c r="L425" s="45"/>
      <c r="M425" s="46"/>
      <c r="N425" s="45"/>
      <c r="O425" s="47" t="str">
        <f aca="false">IF(OR($L425="",$M425=""),"",(DATE(Semana!$J$3,1,4)-WEEKDAY(DATE(Semana!$J$3,1,4),3))+($L425-1)*7+MATCH($M425,Listas!$F$5:$F$11,0)-1)</f>
        <v/>
      </c>
      <c r="P425" s="47" t="str">
        <f aca="false">IF(OR($F425="",$O425=""),"",$O425+MAX(0,ROUNDUP($AK425*MAX(1,IF($N425="",1,$N425))/MAX(1,$AL425),0)-1))</f>
        <v/>
      </c>
      <c r="Q425" s="48"/>
      <c r="R425" s="43"/>
      <c r="S425" s="49"/>
      <c r="T425" s="42"/>
      <c r="U425" s="42"/>
      <c r="V425" s="39" t="str">
        <f aca="false">IF($F425="","",IF(ISNUMBER(SEARCH("(externo)",$I425&amp;$J425&amp;$K425)),"Terceirizada","Interna"))</f>
        <v/>
      </c>
      <c r="W425" s="47" t="str">
        <f aca="false">IF($O425="","",IF($S425="",$O425,(DATE(Semana!$J$3,1,4)-WEEKDAY(DATE(Semana!$J$3,1,4),3))+($S425-1)*7+IF($M425="",0,MATCH($M425,Listas!$F$5:$F$11,0)-1)))</f>
        <v/>
      </c>
      <c r="X425" s="39" t="str">
        <f aca="false">IF($F425="","",IF(OR($AT425="",$O425=""),0,IF($AT425&lt;=$O425,1,0)))</f>
        <v/>
      </c>
      <c r="Y425" s="39" t="str">
        <f aca="false">IF($F425="","",IF(OR($AT425="",$W425=""),0,IF($AT425&lt;=$W425,1,0)))</f>
        <v/>
      </c>
      <c r="Z425" s="39" t="str">
        <f aca="false">IF(OR($AT425="",$O425=""),"",MAX(0,$AT425-$O425))</f>
        <v/>
      </c>
      <c r="AA425" s="39" t="str">
        <f aca="false">IF($F425="","",IF(AND($S425&lt;&gt;"",$L425&lt;&gt;"",$S425&lt;&gt;$L425),1,0))</f>
        <v/>
      </c>
      <c r="AB425" s="39" t="str">
        <f aca="false">IF($F425="","",IF($R425="Cancelada",0,IF(OR($AT425&lt;&gt;"",$R425="Concluída"),1,0)))</f>
        <v/>
      </c>
      <c r="AC425" s="39" t="n">
        <f aca="false">IF($P425="",0,IF($P425&lt;Hoje!$L$1,1,IF(AND($P425=Hoje!$L$1,Hoje!$L$2&gt;Semana!$M$3),1,0)))</f>
        <v>0</v>
      </c>
      <c r="AD425" s="39" t="str">
        <f aca="false">IF($F425="","",IF(COUNTA($I425:$K425)=0,0,1/COUNTA($I425:$K425)))</f>
        <v/>
      </c>
      <c r="AE425" s="39" t="str">
        <f aca="false">IF($AH425=0,"",SUM($AH$4:$AH425))</f>
        <v/>
      </c>
      <c r="AF425" s="39" t="str">
        <f aca="false">IF($AI425=0,"",SUM($AI$4:$AI425))</f>
        <v/>
      </c>
      <c r="AG425" s="50" t="str">
        <f aca="false">IF($F425="","",$I425&amp;IF($J425="",""," · "&amp;$J425)&amp;IF($K425="",""," · "&amp;$K425))</f>
        <v/>
      </c>
      <c r="AH425" s="39" t="n">
        <f aca="false">IF(AND($F425&lt;&gt;"",$O425&lt;&gt;"",$O425&lt;=Hoje!$C$3,$P425&gt;=Hoje!$C$3,$R425&lt;&gt;"Cancelada"),1,0)</f>
        <v>0</v>
      </c>
      <c r="AI425" s="39" t="n">
        <f aca="false">IF(AND($F425&lt;&gt;"",$P425&lt;&gt;"",$P425&lt;Hoje!$C$3,$AB425=0,$R425&lt;&gt;"Cancelada"),1,0)</f>
        <v>0</v>
      </c>
      <c r="AJ425" s="50" t="str">
        <f aca="false">IF($F425="","",$D425&amp;"|"&amp;$E425&amp;"|"&amp;$L425)</f>
        <v/>
      </c>
      <c r="AK425" s="39" t="str">
        <f aca="false">IF($AJ425="","",COUNTIF($AJ$4:$AJ425,$AJ425))</f>
        <v/>
      </c>
      <c r="AL425" s="39" t="str">
        <f aca="false">IF($AJ425="","",COUNTIF($AJ$4:$AJ$1004,$AJ425))</f>
        <v/>
      </c>
      <c r="AM425" s="42"/>
      <c r="AN425" s="50" t="str">
        <f aca="false">IF($D425="","",IFERROR(T(VLOOKUP($D425,Listas!$B$5:$H$120,7,0)),""))</f>
        <v/>
      </c>
      <c r="AO425" s="50" t="str">
        <f aca="false">IF(OR($F425="",$L425&lt;&gt;"",$R425="Cancelada",$AT425&lt;&gt;""),"",$AN425&amp;"|"&amp;$D425&amp;"|"&amp;IF($C425="","zzz",$C425)&amp;"|"&amp;TEXT(425,"0000"))</f>
        <v/>
      </c>
      <c r="AP425" s="50" t="str">
        <f aca="false">IF($AO425="","",COUNTIF($AO$5:$AO$1004,"&lt;"&amp;$AO425)-(ROWS($AO$5:$AO$1004)-Hoje!$L$5)+1)</f>
        <v/>
      </c>
      <c r="AQ425" s="50" t="n">
        <f aca="false">IF(AND($F425&lt;&gt;"",$D425=Frota!$C$3),1,0)</f>
        <v>0</v>
      </c>
      <c r="AR425" s="50" t="str">
        <f aca="false">IF($AQ425=0,"",SUM($AQ$4:$AQ425))</f>
        <v/>
      </c>
      <c r="AS425" s="50" t="str">
        <f aca="false">IFERROR(INDEX(Hoje!$K$10:$K$29,MATCH(ROW(),Hoje!$J$10:$J$29,0)),"")</f>
        <v/>
      </c>
      <c r="AT425" s="50" t="str">
        <f aca="false">IF($Q425&lt;&gt;"",$Q425,$AS425)</f>
        <v/>
      </c>
    </row>
    <row r="426" customFormat="false" ht="16.5" hidden="false" customHeight="true" outlineLevel="0" collapsed="false">
      <c r="A426" s="39" t="str">
        <f aca="false">IF($F426="","",ROW())</f>
        <v/>
      </c>
      <c r="B426" s="40" t="str">
        <f aca="false">IF($F426="",IF($D426="","","Falta a atividade"),IF($R426="Cancelada","Cancelada",IF($AB426=1,IF(N($Z426)&gt;0,"Concluída com atraso","Concluída"),IF($R426="Em programação","Em programação",IF($O426="",IF($M426="","Na carteira","Falta a semana"),IF($AC426=1,"VENCIDA",IF($O426&gt;Hoje!$L$1,"Programada",IF($P426&gt;Hoje!$L$1,"Em execução","Fecha hoje"))))))))</f>
        <v/>
      </c>
      <c r="C426" s="41"/>
      <c r="D426" s="42"/>
      <c r="E426" s="42"/>
      <c r="F426" s="42"/>
      <c r="G426" s="43"/>
      <c r="H426" s="43"/>
      <c r="I426" s="44"/>
      <c r="J426" s="44"/>
      <c r="K426" s="44"/>
      <c r="L426" s="45"/>
      <c r="M426" s="46"/>
      <c r="N426" s="45"/>
      <c r="O426" s="47" t="str">
        <f aca="false">IF(OR($L426="",$M426=""),"",(DATE(Semana!$J$3,1,4)-WEEKDAY(DATE(Semana!$J$3,1,4),3))+($L426-1)*7+MATCH($M426,Listas!$F$5:$F$11,0)-1)</f>
        <v/>
      </c>
      <c r="P426" s="47" t="str">
        <f aca="false">IF(OR($F426="",$O426=""),"",$O426+MAX(0,ROUNDUP($AK426*MAX(1,IF($N426="",1,$N426))/MAX(1,$AL426),0)-1))</f>
        <v/>
      </c>
      <c r="Q426" s="48"/>
      <c r="R426" s="43"/>
      <c r="S426" s="49"/>
      <c r="T426" s="42"/>
      <c r="U426" s="42"/>
      <c r="V426" s="39" t="str">
        <f aca="false">IF($F426="","",IF(ISNUMBER(SEARCH("(externo)",$I426&amp;$J426&amp;$K426)),"Terceirizada","Interna"))</f>
        <v/>
      </c>
      <c r="W426" s="47" t="str">
        <f aca="false">IF($O426="","",IF($S426="",$O426,(DATE(Semana!$J$3,1,4)-WEEKDAY(DATE(Semana!$J$3,1,4),3))+($S426-1)*7+IF($M426="",0,MATCH($M426,Listas!$F$5:$F$11,0)-1)))</f>
        <v/>
      </c>
      <c r="X426" s="39" t="str">
        <f aca="false">IF($F426="","",IF(OR($AT426="",$O426=""),0,IF($AT426&lt;=$O426,1,0)))</f>
        <v/>
      </c>
      <c r="Y426" s="39" t="str">
        <f aca="false">IF($F426="","",IF(OR($AT426="",$W426=""),0,IF($AT426&lt;=$W426,1,0)))</f>
        <v/>
      </c>
      <c r="Z426" s="39" t="str">
        <f aca="false">IF(OR($AT426="",$O426=""),"",MAX(0,$AT426-$O426))</f>
        <v/>
      </c>
      <c r="AA426" s="39" t="str">
        <f aca="false">IF($F426="","",IF(AND($S426&lt;&gt;"",$L426&lt;&gt;"",$S426&lt;&gt;$L426),1,0))</f>
        <v/>
      </c>
      <c r="AB426" s="39" t="str">
        <f aca="false">IF($F426="","",IF($R426="Cancelada",0,IF(OR($AT426&lt;&gt;"",$R426="Concluída"),1,0)))</f>
        <v/>
      </c>
      <c r="AC426" s="39" t="n">
        <f aca="false">IF($P426="",0,IF($P426&lt;Hoje!$L$1,1,IF(AND($P426=Hoje!$L$1,Hoje!$L$2&gt;Semana!$M$3),1,0)))</f>
        <v>0</v>
      </c>
      <c r="AD426" s="39" t="str">
        <f aca="false">IF($F426="","",IF(COUNTA($I426:$K426)=0,0,1/COUNTA($I426:$K426)))</f>
        <v/>
      </c>
      <c r="AE426" s="39" t="str">
        <f aca="false">IF($AH426=0,"",SUM($AH$4:$AH426))</f>
        <v/>
      </c>
      <c r="AF426" s="39" t="str">
        <f aca="false">IF($AI426=0,"",SUM($AI$4:$AI426))</f>
        <v/>
      </c>
      <c r="AG426" s="50" t="str">
        <f aca="false">IF($F426="","",$I426&amp;IF($J426="",""," · "&amp;$J426)&amp;IF($K426="",""," · "&amp;$K426))</f>
        <v/>
      </c>
      <c r="AH426" s="39" t="n">
        <f aca="false">IF(AND($F426&lt;&gt;"",$O426&lt;&gt;"",$O426&lt;=Hoje!$C$3,$P426&gt;=Hoje!$C$3,$R426&lt;&gt;"Cancelada"),1,0)</f>
        <v>0</v>
      </c>
      <c r="AI426" s="39" t="n">
        <f aca="false">IF(AND($F426&lt;&gt;"",$P426&lt;&gt;"",$P426&lt;Hoje!$C$3,$AB426=0,$R426&lt;&gt;"Cancelada"),1,0)</f>
        <v>0</v>
      </c>
      <c r="AJ426" s="50" t="str">
        <f aca="false">IF($F426="","",$D426&amp;"|"&amp;$E426&amp;"|"&amp;$L426)</f>
        <v/>
      </c>
      <c r="AK426" s="39" t="str">
        <f aca="false">IF($AJ426="","",COUNTIF($AJ$4:$AJ426,$AJ426))</f>
        <v/>
      </c>
      <c r="AL426" s="39" t="str">
        <f aca="false">IF($AJ426="","",COUNTIF($AJ$4:$AJ$1004,$AJ426))</f>
        <v/>
      </c>
      <c r="AM426" s="42"/>
      <c r="AN426" s="50" t="str">
        <f aca="false">IF($D426="","",IFERROR(T(VLOOKUP($D426,Listas!$B$5:$H$120,7,0)),""))</f>
        <v/>
      </c>
      <c r="AO426" s="50" t="str">
        <f aca="false">IF(OR($F426="",$L426&lt;&gt;"",$R426="Cancelada",$AT426&lt;&gt;""),"",$AN426&amp;"|"&amp;$D426&amp;"|"&amp;IF($C426="","zzz",$C426)&amp;"|"&amp;TEXT(426,"0000"))</f>
        <v/>
      </c>
      <c r="AP426" s="50" t="str">
        <f aca="false">IF($AO426="","",COUNTIF($AO$5:$AO$1004,"&lt;"&amp;$AO426)-(ROWS($AO$5:$AO$1004)-Hoje!$L$5)+1)</f>
        <v/>
      </c>
      <c r="AQ426" s="50" t="n">
        <f aca="false">IF(AND($F426&lt;&gt;"",$D426=Frota!$C$3),1,0)</f>
        <v>0</v>
      </c>
      <c r="AR426" s="50" t="str">
        <f aca="false">IF($AQ426=0,"",SUM($AQ$4:$AQ426))</f>
        <v/>
      </c>
      <c r="AS426" s="50" t="str">
        <f aca="false">IFERROR(INDEX(Hoje!$K$10:$K$29,MATCH(ROW(),Hoje!$J$10:$J$29,0)),"")</f>
        <v/>
      </c>
      <c r="AT426" s="50" t="str">
        <f aca="false">IF($Q426&lt;&gt;"",$Q426,$AS426)</f>
        <v/>
      </c>
    </row>
    <row r="427" customFormat="false" ht="16.5" hidden="false" customHeight="true" outlineLevel="0" collapsed="false">
      <c r="A427" s="39" t="str">
        <f aca="false">IF($F427="","",ROW())</f>
        <v/>
      </c>
      <c r="B427" s="40" t="str">
        <f aca="false">IF($F427="",IF($D427="","","Falta a atividade"),IF($R427="Cancelada","Cancelada",IF($AB427=1,IF(N($Z427)&gt;0,"Concluída com atraso","Concluída"),IF($R427="Em programação","Em programação",IF($O427="",IF($M427="","Na carteira","Falta a semana"),IF($AC427=1,"VENCIDA",IF($O427&gt;Hoje!$L$1,"Programada",IF($P427&gt;Hoje!$L$1,"Em execução","Fecha hoje"))))))))</f>
        <v/>
      </c>
      <c r="C427" s="41"/>
      <c r="D427" s="42"/>
      <c r="E427" s="42"/>
      <c r="F427" s="42"/>
      <c r="G427" s="43"/>
      <c r="H427" s="43"/>
      <c r="I427" s="44"/>
      <c r="J427" s="44"/>
      <c r="K427" s="44"/>
      <c r="L427" s="45"/>
      <c r="M427" s="46"/>
      <c r="N427" s="45"/>
      <c r="O427" s="47" t="str">
        <f aca="false">IF(OR($L427="",$M427=""),"",(DATE(Semana!$J$3,1,4)-WEEKDAY(DATE(Semana!$J$3,1,4),3))+($L427-1)*7+MATCH($M427,Listas!$F$5:$F$11,0)-1)</f>
        <v/>
      </c>
      <c r="P427" s="47" t="str">
        <f aca="false">IF(OR($F427="",$O427=""),"",$O427+MAX(0,ROUNDUP($AK427*MAX(1,IF($N427="",1,$N427))/MAX(1,$AL427),0)-1))</f>
        <v/>
      </c>
      <c r="Q427" s="48"/>
      <c r="R427" s="43"/>
      <c r="S427" s="49"/>
      <c r="T427" s="42"/>
      <c r="U427" s="42"/>
      <c r="V427" s="39" t="str">
        <f aca="false">IF($F427="","",IF(ISNUMBER(SEARCH("(externo)",$I427&amp;$J427&amp;$K427)),"Terceirizada","Interna"))</f>
        <v/>
      </c>
      <c r="W427" s="47" t="str">
        <f aca="false">IF($O427="","",IF($S427="",$O427,(DATE(Semana!$J$3,1,4)-WEEKDAY(DATE(Semana!$J$3,1,4),3))+($S427-1)*7+IF($M427="",0,MATCH($M427,Listas!$F$5:$F$11,0)-1)))</f>
        <v/>
      </c>
      <c r="X427" s="39" t="str">
        <f aca="false">IF($F427="","",IF(OR($AT427="",$O427=""),0,IF($AT427&lt;=$O427,1,0)))</f>
        <v/>
      </c>
      <c r="Y427" s="39" t="str">
        <f aca="false">IF($F427="","",IF(OR($AT427="",$W427=""),0,IF($AT427&lt;=$W427,1,0)))</f>
        <v/>
      </c>
      <c r="Z427" s="39" t="str">
        <f aca="false">IF(OR($AT427="",$O427=""),"",MAX(0,$AT427-$O427))</f>
        <v/>
      </c>
      <c r="AA427" s="39" t="str">
        <f aca="false">IF($F427="","",IF(AND($S427&lt;&gt;"",$L427&lt;&gt;"",$S427&lt;&gt;$L427),1,0))</f>
        <v/>
      </c>
      <c r="AB427" s="39" t="str">
        <f aca="false">IF($F427="","",IF($R427="Cancelada",0,IF(OR($AT427&lt;&gt;"",$R427="Concluída"),1,0)))</f>
        <v/>
      </c>
      <c r="AC427" s="39" t="n">
        <f aca="false">IF($P427="",0,IF($P427&lt;Hoje!$L$1,1,IF(AND($P427=Hoje!$L$1,Hoje!$L$2&gt;Semana!$M$3),1,0)))</f>
        <v>0</v>
      </c>
      <c r="AD427" s="39" t="str">
        <f aca="false">IF($F427="","",IF(COUNTA($I427:$K427)=0,0,1/COUNTA($I427:$K427)))</f>
        <v/>
      </c>
      <c r="AE427" s="39" t="str">
        <f aca="false">IF($AH427=0,"",SUM($AH$4:$AH427))</f>
        <v/>
      </c>
      <c r="AF427" s="39" t="str">
        <f aca="false">IF($AI427=0,"",SUM($AI$4:$AI427))</f>
        <v/>
      </c>
      <c r="AG427" s="50" t="str">
        <f aca="false">IF($F427="","",$I427&amp;IF($J427="",""," · "&amp;$J427)&amp;IF($K427="",""," · "&amp;$K427))</f>
        <v/>
      </c>
      <c r="AH427" s="39" t="n">
        <f aca="false">IF(AND($F427&lt;&gt;"",$O427&lt;&gt;"",$O427&lt;=Hoje!$C$3,$P427&gt;=Hoje!$C$3,$R427&lt;&gt;"Cancelada"),1,0)</f>
        <v>0</v>
      </c>
      <c r="AI427" s="39" t="n">
        <f aca="false">IF(AND($F427&lt;&gt;"",$P427&lt;&gt;"",$P427&lt;Hoje!$C$3,$AB427=0,$R427&lt;&gt;"Cancelada"),1,0)</f>
        <v>0</v>
      </c>
      <c r="AJ427" s="50" t="str">
        <f aca="false">IF($F427="","",$D427&amp;"|"&amp;$E427&amp;"|"&amp;$L427)</f>
        <v/>
      </c>
      <c r="AK427" s="39" t="str">
        <f aca="false">IF($AJ427="","",COUNTIF($AJ$4:$AJ427,$AJ427))</f>
        <v/>
      </c>
      <c r="AL427" s="39" t="str">
        <f aca="false">IF($AJ427="","",COUNTIF($AJ$4:$AJ$1004,$AJ427))</f>
        <v/>
      </c>
      <c r="AM427" s="42"/>
      <c r="AN427" s="50" t="str">
        <f aca="false">IF($D427="","",IFERROR(T(VLOOKUP($D427,Listas!$B$5:$H$120,7,0)),""))</f>
        <v/>
      </c>
      <c r="AO427" s="50" t="str">
        <f aca="false">IF(OR($F427="",$L427&lt;&gt;"",$R427="Cancelada",$AT427&lt;&gt;""),"",$AN427&amp;"|"&amp;$D427&amp;"|"&amp;IF($C427="","zzz",$C427)&amp;"|"&amp;TEXT(427,"0000"))</f>
        <v/>
      </c>
      <c r="AP427" s="50" t="str">
        <f aca="false">IF($AO427="","",COUNTIF($AO$5:$AO$1004,"&lt;"&amp;$AO427)-(ROWS($AO$5:$AO$1004)-Hoje!$L$5)+1)</f>
        <v/>
      </c>
      <c r="AQ427" s="50" t="n">
        <f aca="false">IF(AND($F427&lt;&gt;"",$D427=Frota!$C$3),1,0)</f>
        <v>0</v>
      </c>
      <c r="AR427" s="50" t="str">
        <f aca="false">IF($AQ427=0,"",SUM($AQ$4:$AQ427))</f>
        <v/>
      </c>
      <c r="AS427" s="50" t="str">
        <f aca="false">IFERROR(INDEX(Hoje!$K$10:$K$29,MATCH(ROW(),Hoje!$J$10:$J$29,0)),"")</f>
        <v/>
      </c>
      <c r="AT427" s="50" t="str">
        <f aca="false">IF($Q427&lt;&gt;"",$Q427,$AS427)</f>
        <v/>
      </c>
    </row>
    <row r="428" customFormat="false" ht="16.5" hidden="false" customHeight="true" outlineLevel="0" collapsed="false">
      <c r="A428" s="39" t="str">
        <f aca="false">IF($F428="","",ROW())</f>
        <v/>
      </c>
      <c r="B428" s="40" t="str">
        <f aca="false">IF($F428="",IF($D428="","","Falta a atividade"),IF($R428="Cancelada","Cancelada",IF($AB428=1,IF(N($Z428)&gt;0,"Concluída com atraso","Concluída"),IF($R428="Em programação","Em programação",IF($O428="",IF($M428="","Na carteira","Falta a semana"),IF($AC428=1,"VENCIDA",IF($O428&gt;Hoje!$L$1,"Programada",IF($P428&gt;Hoje!$L$1,"Em execução","Fecha hoje"))))))))</f>
        <v/>
      </c>
      <c r="C428" s="41"/>
      <c r="D428" s="42"/>
      <c r="E428" s="42"/>
      <c r="F428" s="42"/>
      <c r="G428" s="43"/>
      <c r="H428" s="43"/>
      <c r="I428" s="44"/>
      <c r="J428" s="44"/>
      <c r="K428" s="44"/>
      <c r="L428" s="45"/>
      <c r="M428" s="46"/>
      <c r="N428" s="45"/>
      <c r="O428" s="47" t="str">
        <f aca="false">IF(OR($L428="",$M428=""),"",(DATE(Semana!$J$3,1,4)-WEEKDAY(DATE(Semana!$J$3,1,4),3))+($L428-1)*7+MATCH($M428,Listas!$F$5:$F$11,0)-1)</f>
        <v/>
      </c>
      <c r="P428" s="47" t="str">
        <f aca="false">IF(OR($F428="",$O428=""),"",$O428+MAX(0,ROUNDUP($AK428*MAX(1,IF($N428="",1,$N428))/MAX(1,$AL428),0)-1))</f>
        <v/>
      </c>
      <c r="Q428" s="48"/>
      <c r="R428" s="43"/>
      <c r="S428" s="49"/>
      <c r="T428" s="42"/>
      <c r="U428" s="42"/>
      <c r="V428" s="39" t="str">
        <f aca="false">IF($F428="","",IF(ISNUMBER(SEARCH("(externo)",$I428&amp;$J428&amp;$K428)),"Terceirizada","Interna"))</f>
        <v/>
      </c>
      <c r="W428" s="47" t="str">
        <f aca="false">IF($O428="","",IF($S428="",$O428,(DATE(Semana!$J$3,1,4)-WEEKDAY(DATE(Semana!$J$3,1,4),3))+($S428-1)*7+IF($M428="",0,MATCH($M428,Listas!$F$5:$F$11,0)-1)))</f>
        <v/>
      </c>
      <c r="X428" s="39" t="str">
        <f aca="false">IF($F428="","",IF(OR($AT428="",$O428=""),0,IF($AT428&lt;=$O428,1,0)))</f>
        <v/>
      </c>
      <c r="Y428" s="39" t="str">
        <f aca="false">IF($F428="","",IF(OR($AT428="",$W428=""),0,IF($AT428&lt;=$W428,1,0)))</f>
        <v/>
      </c>
      <c r="Z428" s="39" t="str">
        <f aca="false">IF(OR($AT428="",$O428=""),"",MAX(0,$AT428-$O428))</f>
        <v/>
      </c>
      <c r="AA428" s="39" t="str">
        <f aca="false">IF($F428="","",IF(AND($S428&lt;&gt;"",$L428&lt;&gt;"",$S428&lt;&gt;$L428),1,0))</f>
        <v/>
      </c>
      <c r="AB428" s="39" t="str">
        <f aca="false">IF($F428="","",IF($R428="Cancelada",0,IF(OR($AT428&lt;&gt;"",$R428="Concluída"),1,0)))</f>
        <v/>
      </c>
      <c r="AC428" s="39" t="n">
        <f aca="false">IF($P428="",0,IF($P428&lt;Hoje!$L$1,1,IF(AND($P428=Hoje!$L$1,Hoje!$L$2&gt;Semana!$M$3),1,0)))</f>
        <v>0</v>
      </c>
      <c r="AD428" s="39" t="str">
        <f aca="false">IF($F428="","",IF(COUNTA($I428:$K428)=0,0,1/COUNTA($I428:$K428)))</f>
        <v/>
      </c>
      <c r="AE428" s="39" t="str">
        <f aca="false">IF($AH428=0,"",SUM($AH$4:$AH428))</f>
        <v/>
      </c>
      <c r="AF428" s="39" t="str">
        <f aca="false">IF($AI428=0,"",SUM($AI$4:$AI428))</f>
        <v/>
      </c>
      <c r="AG428" s="50" t="str">
        <f aca="false">IF($F428="","",$I428&amp;IF($J428="",""," · "&amp;$J428)&amp;IF($K428="",""," · "&amp;$K428))</f>
        <v/>
      </c>
      <c r="AH428" s="39" t="n">
        <f aca="false">IF(AND($F428&lt;&gt;"",$O428&lt;&gt;"",$O428&lt;=Hoje!$C$3,$P428&gt;=Hoje!$C$3,$R428&lt;&gt;"Cancelada"),1,0)</f>
        <v>0</v>
      </c>
      <c r="AI428" s="39" t="n">
        <f aca="false">IF(AND($F428&lt;&gt;"",$P428&lt;&gt;"",$P428&lt;Hoje!$C$3,$AB428=0,$R428&lt;&gt;"Cancelada"),1,0)</f>
        <v>0</v>
      </c>
      <c r="AJ428" s="50" t="str">
        <f aca="false">IF($F428="","",$D428&amp;"|"&amp;$E428&amp;"|"&amp;$L428)</f>
        <v/>
      </c>
      <c r="AK428" s="39" t="str">
        <f aca="false">IF($AJ428="","",COUNTIF($AJ$4:$AJ428,$AJ428))</f>
        <v/>
      </c>
      <c r="AL428" s="39" t="str">
        <f aca="false">IF($AJ428="","",COUNTIF($AJ$4:$AJ$1004,$AJ428))</f>
        <v/>
      </c>
      <c r="AM428" s="42"/>
      <c r="AN428" s="50" t="str">
        <f aca="false">IF($D428="","",IFERROR(T(VLOOKUP($D428,Listas!$B$5:$H$120,7,0)),""))</f>
        <v/>
      </c>
      <c r="AO428" s="50" t="str">
        <f aca="false">IF(OR($F428="",$L428&lt;&gt;"",$R428="Cancelada",$AT428&lt;&gt;""),"",$AN428&amp;"|"&amp;$D428&amp;"|"&amp;IF($C428="","zzz",$C428)&amp;"|"&amp;TEXT(428,"0000"))</f>
        <v/>
      </c>
      <c r="AP428" s="50" t="str">
        <f aca="false">IF($AO428="","",COUNTIF($AO$5:$AO$1004,"&lt;"&amp;$AO428)-(ROWS($AO$5:$AO$1004)-Hoje!$L$5)+1)</f>
        <v/>
      </c>
      <c r="AQ428" s="50" t="n">
        <f aca="false">IF(AND($F428&lt;&gt;"",$D428=Frota!$C$3),1,0)</f>
        <v>0</v>
      </c>
      <c r="AR428" s="50" t="str">
        <f aca="false">IF($AQ428=0,"",SUM($AQ$4:$AQ428))</f>
        <v/>
      </c>
      <c r="AS428" s="50" t="str">
        <f aca="false">IFERROR(INDEX(Hoje!$K$10:$K$29,MATCH(ROW(),Hoje!$J$10:$J$29,0)),"")</f>
        <v/>
      </c>
      <c r="AT428" s="50" t="str">
        <f aca="false">IF($Q428&lt;&gt;"",$Q428,$AS428)</f>
        <v/>
      </c>
    </row>
    <row r="429" customFormat="false" ht="16.5" hidden="false" customHeight="true" outlineLevel="0" collapsed="false">
      <c r="A429" s="39" t="str">
        <f aca="false">IF($F429="","",ROW())</f>
        <v/>
      </c>
      <c r="B429" s="40" t="str">
        <f aca="false">IF($F429="",IF($D429="","","Falta a atividade"),IF($R429="Cancelada","Cancelada",IF($AB429=1,IF(N($Z429)&gt;0,"Concluída com atraso","Concluída"),IF($R429="Em programação","Em programação",IF($O429="",IF($M429="","Na carteira","Falta a semana"),IF($AC429=1,"VENCIDA",IF($O429&gt;Hoje!$L$1,"Programada",IF($P429&gt;Hoje!$L$1,"Em execução","Fecha hoje"))))))))</f>
        <v/>
      </c>
      <c r="C429" s="41"/>
      <c r="D429" s="42"/>
      <c r="E429" s="42"/>
      <c r="F429" s="42"/>
      <c r="G429" s="43"/>
      <c r="H429" s="43"/>
      <c r="I429" s="44"/>
      <c r="J429" s="44"/>
      <c r="K429" s="44"/>
      <c r="L429" s="45"/>
      <c r="M429" s="46"/>
      <c r="N429" s="45"/>
      <c r="O429" s="47" t="str">
        <f aca="false">IF(OR($L429="",$M429=""),"",(DATE(Semana!$J$3,1,4)-WEEKDAY(DATE(Semana!$J$3,1,4),3))+($L429-1)*7+MATCH($M429,Listas!$F$5:$F$11,0)-1)</f>
        <v/>
      </c>
      <c r="P429" s="47" t="str">
        <f aca="false">IF(OR($F429="",$O429=""),"",$O429+MAX(0,ROUNDUP($AK429*MAX(1,IF($N429="",1,$N429))/MAX(1,$AL429),0)-1))</f>
        <v/>
      </c>
      <c r="Q429" s="48"/>
      <c r="R429" s="43"/>
      <c r="S429" s="49"/>
      <c r="T429" s="42"/>
      <c r="U429" s="42"/>
      <c r="V429" s="39" t="str">
        <f aca="false">IF($F429="","",IF(ISNUMBER(SEARCH("(externo)",$I429&amp;$J429&amp;$K429)),"Terceirizada","Interna"))</f>
        <v/>
      </c>
      <c r="W429" s="47" t="str">
        <f aca="false">IF($O429="","",IF($S429="",$O429,(DATE(Semana!$J$3,1,4)-WEEKDAY(DATE(Semana!$J$3,1,4),3))+($S429-1)*7+IF($M429="",0,MATCH($M429,Listas!$F$5:$F$11,0)-1)))</f>
        <v/>
      </c>
      <c r="X429" s="39" t="str">
        <f aca="false">IF($F429="","",IF(OR($AT429="",$O429=""),0,IF($AT429&lt;=$O429,1,0)))</f>
        <v/>
      </c>
      <c r="Y429" s="39" t="str">
        <f aca="false">IF($F429="","",IF(OR($AT429="",$W429=""),0,IF($AT429&lt;=$W429,1,0)))</f>
        <v/>
      </c>
      <c r="Z429" s="39" t="str">
        <f aca="false">IF(OR($AT429="",$O429=""),"",MAX(0,$AT429-$O429))</f>
        <v/>
      </c>
      <c r="AA429" s="39" t="str">
        <f aca="false">IF($F429="","",IF(AND($S429&lt;&gt;"",$L429&lt;&gt;"",$S429&lt;&gt;$L429),1,0))</f>
        <v/>
      </c>
      <c r="AB429" s="39" t="str">
        <f aca="false">IF($F429="","",IF($R429="Cancelada",0,IF(OR($AT429&lt;&gt;"",$R429="Concluída"),1,0)))</f>
        <v/>
      </c>
      <c r="AC429" s="39" t="n">
        <f aca="false">IF($P429="",0,IF($P429&lt;Hoje!$L$1,1,IF(AND($P429=Hoje!$L$1,Hoje!$L$2&gt;Semana!$M$3),1,0)))</f>
        <v>0</v>
      </c>
      <c r="AD429" s="39" t="str">
        <f aca="false">IF($F429="","",IF(COUNTA($I429:$K429)=0,0,1/COUNTA($I429:$K429)))</f>
        <v/>
      </c>
      <c r="AE429" s="39" t="str">
        <f aca="false">IF($AH429=0,"",SUM($AH$4:$AH429))</f>
        <v/>
      </c>
      <c r="AF429" s="39" t="str">
        <f aca="false">IF($AI429=0,"",SUM($AI$4:$AI429))</f>
        <v/>
      </c>
      <c r="AG429" s="50" t="str">
        <f aca="false">IF($F429="","",$I429&amp;IF($J429="",""," · "&amp;$J429)&amp;IF($K429="",""," · "&amp;$K429))</f>
        <v/>
      </c>
      <c r="AH429" s="39" t="n">
        <f aca="false">IF(AND($F429&lt;&gt;"",$O429&lt;&gt;"",$O429&lt;=Hoje!$C$3,$P429&gt;=Hoje!$C$3,$R429&lt;&gt;"Cancelada"),1,0)</f>
        <v>0</v>
      </c>
      <c r="AI429" s="39" t="n">
        <f aca="false">IF(AND($F429&lt;&gt;"",$P429&lt;&gt;"",$P429&lt;Hoje!$C$3,$AB429=0,$R429&lt;&gt;"Cancelada"),1,0)</f>
        <v>0</v>
      </c>
      <c r="AJ429" s="50" t="str">
        <f aca="false">IF($F429="","",$D429&amp;"|"&amp;$E429&amp;"|"&amp;$L429)</f>
        <v/>
      </c>
      <c r="AK429" s="39" t="str">
        <f aca="false">IF($AJ429="","",COUNTIF($AJ$4:$AJ429,$AJ429))</f>
        <v/>
      </c>
      <c r="AL429" s="39" t="str">
        <f aca="false">IF($AJ429="","",COUNTIF($AJ$4:$AJ$1004,$AJ429))</f>
        <v/>
      </c>
      <c r="AM429" s="42"/>
      <c r="AN429" s="50" t="str">
        <f aca="false">IF($D429="","",IFERROR(T(VLOOKUP($D429,Listas!$B$5:$H$120,7,0)),""))</f>
        <v/>
      </c>
      <c r="AO429" s="50" t="str">
        <f aca="false">IF(OR($F429="",$L429&lt;&gt;"",$R429="Cancelada",$AT429&lt;&gt;""),"",$AN429&amp;"|"&amp;$D429&amp;"|"&amp;IF($C429="","zzz",$C429)&amp;"|"&amp;TEXT(429,"0000"))</f>
        <v/>
      </c>
      <c r="AP429" s="50" t="str">
        <f aca="false">IF($AO429="","",COUNTIF($AO$5:$AO$1004,"&lt;"&amp;$AO429)-(ROWS($AO$5:$AO$1004)-Hoje!$L$5)+1)</f>
        <v/>
      </c>
      <c r="AQ429" s="50" t="n">
        <f aca="false">IF(AND($F429&lt;&gt;"",$D429=Frota!$C$3),1,0)</f>
        <v>0</v>
      </c>
      <c r="AR429" s="50" t="str">
        <f aca="false">IF($AQ429=0,"",SUM($AQ$4:$AQ429))</f>
        <v/>
      </c>
      <c r="AS429" s="50" t="str">
        <f aca="false">IFERROR(INDEX(Hoje!$K$10:$K$29,MATCH(ROW(),Hoje!$J$10:$J$29,0)),"")</f>
        <v/>
      </c>
      <c r="AT429" s="50" t="str">
        <f aca="false">IF($Q429&lt;&gt;"",$Q429,$AS429)</f>
        <v/>
      </c>
    </row>
    <row r="430" customFormat="false" ht="16.5" hidden="false" customHeight="true" outlineLevel="0" collapsed="false">
      <c r="A430" s="39" t="str">
        <f aca="false">IF($F430="","",ROW())</f>
        <v/>
      </c>
      <c r="B430" s="40" t="str">
        <f aca="false">IF($F430="",IF($D430="","","Falta a atividade"),IF($R430="Cancelada","Cancelada",IF($AB430=1,IF(N($Z430)&gt;0,"Concluída com atraso","Concluída"),IF($R430="Em programação","Em programação",IF($O430="",IF($M430="","Na carteira","Falta a semana"),IF($AC430=1,"VENCIDA",IF($O430&gt;Hoje!$L$1,"Programada",IF($P430&gt;Hoje!$L$1,"Em execução","Fecha hoje"))))))))</f>
        <v/>
      </c>
      <c r="C430" s="41"/>
      <c r="D430" s="42"/>
      <c r="E430" s="42"/>
      <c r="F430" s="42"/>
      <c r="G430" s="43"/>
      <c r="H430" s="43"/>
      <c r="I430" s="44"/>
      <c r="J430" s="44"/>
      <c r="K430" s="44"/>
      <c r="L430" s="45"/>
      <c r="M430" s="46"/>
      <c r="N430" s="45"/>
      <c r="O430" s="47" t="str">
        <f aca="false">IF(OR($L430="",$M430=""),"",(DATE(Semana!$J$3,1,4)-WEEKDAY(DATE(Semana!$J$3,1,4),3))+($L430-1)*7+MATCH($M430,Listas!$F$5:$F$11,0)-1)</f>
        <v/>
      </c>
      <c r="P430" s="47" t="str">
        <f aca="false">IF(OR($F430="",$O430=""),"",$O430+MAX(0,ROUNDUP($AK430*MAX(1,IF($N430="",1,$N430))/MAX(1,$AL430),0)-1))</f>
        <v/>
      </c>
      <c r="Q430" s="48"/>
      <c r="R430" s="43"/>
      <c r="S430" s="49"/>
      <c r="T430" s="42"/>
      <c r="U430" s="42"/>
      <c r="V430" s="39" t="str">
        <f aca="false">IF($F430="","",IF(ISNUMBER(SEARCH("(externo)",$I430&amp;$J430&amp;$K430)),"Terceirizada","Interna"))</f>
        <v/>
      </c>
      <c r="W430" s="47" t="str">
        <f aca="false">IF($O430="","",IF($S430="",$O430,(DATE(Semana!$J$3,1,4)-WEEKDAY(DATE(Semana!$J$3,1,4),3))+($S430-1)*7+IF($M430="",0,MATCH($M430,Listas!$F$5:$F$11,0)-1)))</f>
        <v/>
      </c>
      <c r="X430" s="39" t="str">
        <f aca="false">IF($F430="","",IF(OR($AT430="",$O430=""),0,IF($AT430&lt;=$O430,1,0)))</f>
        <v/>
      </c>
      <c r="Y430" s="39" t="str">
        <f aca="false">IF($F430="","",IF(OR($AT430="",$W430=""),0,IF($AT430&lt;=$W430,1,0)))</f>
        <v/>
      </c>
      <c r="Z430" s="39" t="str">
        <f aca="false">IF(OR($AT430="",$O430=""),"",MAX(0,$AT430-$O430))</f>
        <v/>
      </c>
      <c r="AA430" s="39" t="str">
        <f aca="false">IF($F430="","",IF(AND($S430&lt;&gt;"",$L430&lt;&gt;"",$S430&lt;&gt;$L430),1,0))</f>
        <v/>
      </c>
      <c r="AB430" s="39" t="str">
        <f aca="false">IF($F430="","",IF($R430="Cancelada",0,IF(OR($AT430&lt;&gt;"",$R430="Concluída"),1,0)))</f>
        <v/>
      </c>
      <c r="AC430" s="39" t="n">
        <f aca="false">IF($P430="",0,IF($P430&lt;Hoje!$L$1,1,IF(AND($P430=Hoje!$L$1,Hoje!$L$2&gt;Semana!$M$3),1,0)))</f>
        <v>0</v>
      </c>
      <c r="AD430" s="39" t="str">
        <f aca="false">IF($F430="","",IF(COUNTA($I430:$K430)=0,0,1/COUNTA($I430:$K430)))</f>
        <v/>
      </c>
      <c r="AE430" s="39" t="str">
        <f aca="false">IF($AH430=0,"",SUM($AH$4:$AH430))</f>
        <v/>
      </c>
      <c r="AF430" s="39" t="str">
        <f aca="false">IF($AI430=0,"",SUM($AI$4:$AI430))</f>
        <v/>
      </c>
      <c r="AG430" s="50" t="str">
        <f aca="false">IF($F430="","",$I430&amp;IF($J430="",""," · "&amp;$J430)&amp;IF($K430="",""," · "&amp;$K430))</f>
        <v/>
      </c>
      <c r="AH430" s="39" t="n">
        <f aca="false">IF(AND($F430&lt;&gt;"",$O430&lt;&gt;"",$O430&lt;=Hoje!$C$3,$P430&gt;=Hoje!$C$3,$R430&lt;&gt;"Cancelada"),1,0)</f>
        <v>0</v>
      </c>
      <c r="AI430" s="39" t="n">
        <f aca="false">IF(AND($F430&lt;&gt;"",$P430&lt;&gt;"",$P430&lt;Hoje!$C$3,$AB430=0,$R430&lt;&gt;"Cancelada"),1,0)</f>
        <v>0</v>
      </c>
      <c r="AJ430" s="50" t="str">
        <f aca="false">IF($F430="","",$D430&amp;"|"&amp;$E430&amp;"|"&amp;$L430)</f>
        <v/>
      </c>
      <c r="AK430" s="39" t="str">
        <f aca="false">IF($AJ430="","",COUNTIF($AJ$4:$AJ430,$AJ430))</f>
        <v/>
      </c>
      <c r="AL430" s="39" t="str">
        <f aca="false">IF($AJ430="","",COUNTIF($AJ$4:$AJ$1004,$AJ430))</f>
        <v/>
      </c>
      <c r="AM430" s="42"/>
      <c r="AN430" s="50" t="str">
        <f aca="false">IF($D430="","",IFERROR(T(VLOOKUP($D430,Listas!$B$5:$H$120,7,0)),""))</f>
        <v/>
      </c>
      <c r="AO430" s="50" t="str">
        <f aca="false">IF(OR($F430="",$L430&lt;&gt;"",$R430="Cancelada",$AT430&lt;&gt;""),"",$AN430&amp;"|"&amp;$D430&amp;"|"&amp;IF($C430="","zzz",$C430)&amp;"|"&amp;TEXT(430,"0000"))</f>
        <v/>
      </c>
      <c r="AP430" s="50" t="str">
        <f aca="false">IF($AO430="","",COUNTIF($AO$5:$AO$1004,"&lt;"&amp;$AO430)-(ROWS($AO$5:$AO$1004)-Hoje!$L$5)+1)</f>
        <v/>
      </c>
      <c r="AQ430" s="50" t="n">
        <f aca="false">IF(AND($F430&lt;&gt;"",$D430=Frota!$C$3),1,0)</f>
        <v>0</v>
      </c>
      <c r="AR430" s="50" t="str">
        <f aca="false">IF($AQ430=0,"",SUM($AQ$4:$AQ430))</f>
        <v/>
      </c>
      <c r="AS430" s="50" t="str">
        <f aca="false">IFERROR(INDEX(Hoje!$K$10:$K$29,MATCH(ROW(),Hoje!$J$10:$J$29,0)),"")</f>
        <v/>
      </c>
      <c r="AT430" s="50" t="str">
        <f aca="false">IF($Q430&lt;&gt;"",$Q430,$AS430)</f>
        <v/>
      </c>
    </row>
    <row r="431" customFormat="false" ht="16.5" hidden="false" customHeight="true" outlineLevel="0" collapsed="false">
      <c r="A431" s="39" t="str">
        <f aca="false">IF($F431="","",ROW())</f>
        <v/>
      </c>
      <c r="B431" s="40" t="str">
        <f aca="false">IF($F431="",IF($D431="","","Falta a atividade"),IF($R431="Cancelada","Cancelada",IF($AB431=1,IF(N($Z431)&gt;0,"Concluída com atraso","Concluída"),IF($R431="Em programação","Em programação",IF($O431="",IF($M431="","Na carteira","Falta a semana"),IF($AC431=1,"VENCIDA",IF($O431&gt;Hoje!$L$1,"Programada",IF($P431&gt;Hoje!$L$1,"Em execução","Fecha hoje"))))))))</f>
        <v/>
      </c>
      <c r="C431" s="41"/>
      <c r="D431" s="42"/>
      <c r="E431" s="42"/>
      <c r="F431" s="42"/>
      <c r="G431" s="43"/>
      <c r="H431" s="43"/>
      <c r="I431" s="44"/>
      <c r="J431" s="44"/>
      <c r="K431" s="44"/>
      <c r="L431" s="45"/>
      <c r="M431" s="46"/>
      <c r="N431" s="45"/>
      <c r="O431" s="47" t="str">
        <f aca="false">IF(OR($L431="",$M431=""),"",(DATE(Semana!$J$3,1,4)-WEEKDAY(DATE(Semana!$J$3,1,4),3))+($L431-1)*7+MATCH($M431,Listas!$F$5:$F$11,0)-1)</f>
        <v/>
      </c>
      <c r="P431" s="47" t="str">
        <f aca="false">IF(OR($F431="",$O431=""),"",$O431+MAX(0,ROUNDUP($AK431*MAX(1,IF($N431="",1,$N431))/MAX(1,$AL431),0)-1))</f>
        <v/>
      </c>
      <c r="Q431" s="48"/>
      <c r="R431" s="43"/>
      <c r="S431" s="49"/>
      <c r="T431" s="42"/>
      <c r="U431" s="42"/>
      <c r="V431" s="39" t="str">
        <f aca="false">IF($F431="","",IF(ISNUMBER(SEARCH("(externo)",$I431&amp;$J431&amp;$K431)),"Terceirizada","Interna"))</f>
        <v/>
      </c>
      <c r="W431" s="47" t="str">
        <f aca="false">IF($O431="","",IF($S431="",$O431,(DATE(Semana!$J$3,1,4)-WEEKDAY(DATE(Semana!$J$3,1,4),3))+($S431-1)*7+IF($M431="",0,MATCH($M431,Listas!$F$5:$F$11,0)-1)))</f>
        <v/>
      </c>
      <c r="X431" s="39" t="str">
        <f aca="false">IF($F431="","",IF(OR($AT431="",$O431=""),0,IF($AT431&lt;=$O431,1,0)))</f>
        <v/>
      </c>
      <c r="Y431" s="39" t="str">
        <f aca="false">IF($F431="","",IF(OR($AT431="",$W431=""),0,IF($AT431&lt;=$W431,1,0)))</f>
        <v/>
      </c>
      <c r="Z431" s="39" t="str">
        <f aca="false">IF(OR($AT431="",$O431=""),"",MAX(0,$AT431-$O431))</f>
        <v/>
      </c>
      <c r="AA431" s="39" t="str">
        <f aca="false">IF($F431="","",IF(AND($S431&lt;&gt;"",$L431&lt;&gt;"",$S431&lt;&gt;$L431),1,0))</f>
        <v/>
      </c>
      <c r="AB431" s="39" t="str">
        <f aca="false">IF($F431="","",IF($R431="Cancelada",0,IF(OR($AT431&lt;&gt;"",$R431="Concluída"),1,0)))</f>
        <v/>
      </c>
      <c r="AC431" s="39" t="n">
        <f aca="false">IF($P431="",0,IF($P431&lt;Hoje!$L$1,1,IF(AND($P431=Hoje!$L$1,Hoje!$L$2&gt;Semana!$M$3),1,0)))</f>
        <v>0</v>
      </c>
      <c r="AD431" s="39" t="str">
        <f aca="false">IF($F431="","",IF(COUNTA($I431:$K431)=0,0,1/COUNTA($I431:$K431)))</f>
        <v/>
      </c>
      <c r="AE431" s="39" t="str">
        <f aca="false">IF($AH431=0,"",SUM($AH$4:$AH431))</f>
        <v/>
      </c>
      <c r="AF431" s="39" t="str">
        <f aca="false">IF($AI431=0,"",SUM($AI$4:$AI431))</f>
        <v/>
      </c>
      <c r="AG431" s="50" t="str">
        <f aca="false">IF($F431="","",$I431&amp;IF($J431="",""," · "&amp;$J431)&amp;IF($K431="",""," · "&amp;$K431))</f>
        <v/>
      </c>
      <c r="AH431" s="39" t="n">
        <f aca="false">IF(AND($F431&lt;&gt;"",$O431&lt;&gt;"",$O431&lt;=Hoje!$C$3,$P431&gt;=Hoje!$C$3,$R431&lt;&gt;"Cancelada"),1,0)</f>
        <v>0</v>
      </c>
      <c r="AI431" s="39" t="n">
        <f aca="false">IF(AND($F431&lt;&gt;"",$P431&lt;&gt;"",$P431&lt;Hoje!$C$3,$AB431=0,$R431&lt;&gt;"Cancelada"),1,0)</f>
        <v>0</v>
      </c>
      <c r="AJ431" s="50" t="str">
        <f aca="false">IF($F431="","",$D431&amp;"|"&amp;$E431&amp;"|"&amp;$L431)</f>
        <v/>
      </c>
      <c r="AK431" s="39" t="str">
        <f aca="false">IF($AJ431="","",COUNTIF($AJ$4:$AJ431,$AJ431))</f>
        <v/>
      </c>
      <c r="AL431" s="39" t="str">
        <f aca="false">IF($AJ431="","",COUNTIF($AJ$4:$AJ$1004,$AJ431))</f>
        <v/>
      </c>
      <c r="AM431" s="42"/>
      <c r="AN431" s="50" t="str">
        <f aca="false">IF($D431="","",IFERROR(T(VLOOKUP($D431,Listas!$B$5:$H$120,7,0)),""))</f>
        <v/>
      </c>
      <c r="AO431" s="50" t="str">
        <f aca="false">IF(OR($F431="",$L431&lt;&gt;"",$R431="Cancelada",$AT431&lt;&gt;""),"",$AN431&amp;"|"&amp;$D431&amp;"|"&amp;IF($C431="","zzz",$C431)&amp;"|"&amp;TEXT(431,"0000"))</f>
        <v/>
      </c>
      <c r="AP431" s="50" t="str">
        <f aca="false">IF($AO431="","",COUNTIF($AO$5:$AO$1004,"&lt;"&amp;$AO431)-(ROWS($AO$5:$AO$1004)-Hoje!$L$5)+1)</f>
        <v/>
      </c>
      <c r="AQ431" s="50" t="n">
        <f aca="false">IF(AND($F431&lt;&gt;"",$D431=Frota!$C$3),1,0)</f>
        <v>0</v>
      </c>
      <c r="AR431" s="50" t="str">
        <f aca="false">IF($AQ431=0,"",SUM($AQ$4:$AQ431))</f>
        <v/>
      </c>
      <c r="AS431" s="50" t="str">
        <f aca="false">IFERROR(INDEX(Hoje!$K$10:$K$29,MATCH(ROW(),Hoje!$J$10:$J$29,0)),"")</f>
        <v/>
      </c>
      <c r="AT431" s="50" t="str">
        <f aca="false">IF($Q431&lt;&gt;"",$Q431,$AS431)</f>
        <v/>
      </c>
    </row>
    <row r="432" customFormat="false" ht="16.5" hidden="false" customHeight="true" outlineLevel="0" collapsed="false">
      <c r="A432" s="39" t="str">
        <f aca="false">IF($F432="","",ROW())</f>
        <v/>
      </c>
      <c r="B432" s="40" t="str">
        <f aca="false">IF($F432="",IF($D432="","","Falta a atividade"),IF($R432="Cancelada","Cancelada",IF($AB432=1,IF(N($Z432)&gt;0,"Concluída com atraso","Concluída"),IF($R432="Em programação","Em programação",IF($O432="",IF($M432="","Na carteira","Falta a semana"),IF($AC432=1,"VENCIDA",IF($O432&gt;Hoje!$L$1,"Programada",IF($P432&gt;Hoje!$L$1,"Em execução","Fecha hoje"))))))))</f>
        <v/>
      </c>
      <c r="C432" s="41"/>
      <c r="D432" s="42"/>
      <c r="E432" s="42"/>
      <c r="F432" s="42"/>
      <c r="G432" s="43"/>
      <c r="H432" s="43"/>
      <c r="I432" s="44"/>
      <c r="J432" s="44"/>
      <c r="K432" s="44"/>
      <c r="L432" s="45"/>
      <c r="M432" s="46"/>
      <c r="N432" s="45"/>
      <c r="O432" s="47" t="str">
        <f aca="false">IF(OR($L432="",$M432=""),"",(DATE(Semana!$J$3,1,4)-WEEKDAY(DATE(Semana!$J$3,1,4),3))+($L432-1)*7+MATCH($M432,Listas!$F$5:$F$11,0)-1)</f>
        <v/>
      </c>
      <c r="P432" s="47" t="str">
        <f aca="false">IF(OR($F432="",$O432=""),"",$O432+MAX(0,ROUNDUP($AK432*MAX(1,IF($N432="",1,$N432))/MAX(1,$AL432),0)-1))</f>
        <v/>
      </c>
      <c r="Q432" s="48"/>
      <c r="R432" s="43"/>
      <c r="S432" s="49"/>
      <c r="T432" s="42"/>
      <c r="U432" s="42"/>
      <c r="V432" s="39" t="str">
        <f aca="false">IF($F432="","",IF(ISNUMBER(SEARCH("(externo)",$I432&amp;$J432&amp;$K432)),"Terceirizada","Interna"))</f>
        <v/>
      </c>
      <c r="W432" s="47" t="str">
        <f aca="false">IF($O432="","",IF($S432="",$O432,(DATE(Semana!$J$3,1,4)-WEEKDAY(DATE(Semana!$J$3,1,4),3))+($S432-1)*7+IF($M432="",0,MATCH($M432,Listas!$F$5:$F$11,0)-1)))</f>
        <v/>
      </c>
      <c r="X432" s="39" t="str">
        <f aca="false">IF($F432="","",IF(OR($AT432="",$O432=""),0,IF($AT432&lt;=$O432,1,0)))</f>
        <v/>
      </c>
      <c r="Y432" s="39" t="str">
        <f aca="false">IF($F432="","",IF(OR($AT432="",$W432=""),0,IF($AT432&lt;=$W432,1,0)))</f>
        <v/>
      </c>
      <c r="Z432" s="39" t="str">
        <f aca="false">IF(OR($AT432="",$O432=""),"",MAX(0,$AT432-$O432))</f>
        <v/>
      </c>
      <c r="AA432" s="39" t="str">
        <f aca="false">IF($F432="","",IF(AND($S432&lt;&gt;"",$L432&lt;&gt;"",$S432&lt;&gt;$L432),1,0))</f>
        <v/>
      </c>
      <c r="AB432" s="39" t="str">
        <f aca="false">IF($F432="","",IF($R432="Cancelada",0,IF(OR($AT432&lt;&gt;"",$R432="Concluída"),1,0)))</f>
        <v/>
      </c>
      <c r="AC432" s="39" t="n">
        <f aca="false">IF($P432="",0,IF($P432&lt;Hoje!$L$1,1,IF(AND($P432=Hoje!$L$1,Hoje!$L$2&gt;Semana!$M$3),1,0)))</f>
        <v>0</v>
      </c>
      <c r="AD432" s="39" t="str">
        <f aca="false">IF($F432="","",IF(COUNTA($I432:$K432)=0,0,1/COUNTA($I432:$K432)))</f>
        <v/>
      </c>
      <c r="AE432" s="39" t="str">
        <f aca="false">IF($AH432=0,"",SUM($AH$4:$AH432))</f>
        <v/>
      </c>
      <c r="AF432" s="39" t="str">
        <f aca="false">IF($AI432=0,"",SUM($AI$4:$AI432))</f>
        <v/>
      </c>
      <c r="AG432" s="50" t="str">
        <f aca="false">IF($F432="","",$I432&amp;IF($J432="",""," · "&amp;$J432)&amp;IF($K432="",""," · "&amp;$K432))</f>
        <v/>
      </c>
      <c r="AH432" s="39" t="n">
        <f aca="false">IF(AND($F432&lt;&gt;"",$O432&lt;&gt;"",$O432&lt;=Hoje!$C$3,$P432&gt;=Hoje!$C$3,$R432&lt;&gt;"Cancelada"),1,0)</f>
        <v>0</v>
      </c>
      <c r="AI432" s="39" t="n">
        <f aca="false">IF(AND($F432&lt;&gt;"",$P432&lt;&gt;"",$P432&lt;Hoje!$C$3,$AB432=0,$R432&lt;&gt;"Cancelada"),1,0)</f>
        <v>0</v>
      </c>
      <c r="AJ432" s="50" t="str">
        <f aca="false">IF($F432="","",$D432&amp;"|"&amp;$E432&amp;"|"&amp;$L432)</f>
        <v/>
      </c>
      <c r="AK432" s="39" t="str">
        <f aca="false">IF($AJ432="","",COUNTIF($AJ$4:$AJ432,$AJ432))</f>
        <v/>
      </c>
      <c r="AL432" s="39" t="str">
        <f aca="false">IF($AJ432="","",COUNTIF($AJ$4:$AJ$1004,$AJ432))</f>
        <v/>
      </c>
      <c r="AM432" s="42"/>
      <c r="AN432" s="50" t="str">
        <f aca="false">IF($D432="","",IFERROR(T(VLOOKUP($D432,Listas!$B$5:$H$120,7,0)),""))</f>
        <v/>
      </c>
      <c r="AO432" s="50" t="str">
        <f aca="false">IF(OR($F432="",$L432&lt;&gt;"",$R432="Cancelada",$AT432&lt;&gt;""),"",$AN432&amp;"|"&amp;$D432&amp;"|"&amp;IF($C432="","zzz",$C432)&amp;"|"&amp;TEXT(432,"0000"))</f>
        <v/>
      </c>
      <c r="AP432" s="50" t="str">
        <f aca="false">IF($AO432="","",COUNTIF($AO$5:$AO$1004,"&lt;"&amp;$AO432)-(ROWS($AO$5:$AO$1004)-Hoje!$L$5)+1)</f>
        <v/>
      </c>
      <c r="AQ432" s="50" t="n">
        <f aca="false">IF(AND($F432&lt;&gt;"",$D432=Frota!$C$3),1,0)</f>
        <v>0</v>
      </c>
      <c r="AR432" s="50" t="str">
        <f aca="false">IF($AQ432=0,"",SUM($AQ$4:$AQ432))</f>
        <v/>
      </c>
      <c r="AS432" s="50" t="str">
        <f aca="false">IFERROR(INDEX(Hoje!$K$10:$K$29,MATCH(ROW(),Hoje!$J$10:$J$29,0)),"")</f>
        <v/>
      </c>
      <c r="AT432" s="50" t="str">
        <f aca="false">IF($Q432&lt;&gt;"",$Q432,$AS432)</f>
        <v/>
      </c>
    </row>
    <row r="433" customFormat="false" ht="16.5" hidden="false" customHeight="true" outlineLevel="0" collapsed="false">
      <c r="A433" s="39" t="str">
        <f aca="false">IF($F433="","",ROW())</f>
        <v/>
      </c>
      <c r="B433" s="40" t="str">
        <f aca="false">IF($F433="",IF($D433="","","Falta a atividade"),IF($R433="Cancelada","Cancelada",IF($AB433=1,IF(N($Z433)&gt;0,"Concluída com atraso","Concluída"),IF($R433="Em programação","Em programação",IF($O433="",IF($M433="","Na carteira","Falta a semana"),IF($AC433=1,"VENCIDA",IF($O433&gt;Hoje!$L$1,"Programada",IF($P433&gt;Hoje!$L$1,"Em execução","Fecha hoje"))))))))</f>
        <v/>
      </c>
      <c r="C433" s="41"/>
      <c r="D433" s="42"/>
      <c r="E433" s="42"/>
      <c r="F433" s="42"/>
      <c r="G433" s="43"/>
      <c r="H433" s="43"/>
      <c r="I433" s="44"/>
      <c r="J433" s="44"/>
      <c r="K433" s="44"/>
      <c r="L433" s="45"/>
      <c r="M433" s="46"/>
      <c r="N433" s="45"/>
      <c r="O433" s="47" t="str">
        <f aca="false">IF(OR($L433="",$M433=""),"",(DATE(Semana!$J$3,1,4)-WEEKDAY(DATE(Semana!$J$3,1,4),3))+($L433-1)*7+MATCH($M433,Listas!$F$5:$F$11,0)-1)</f>
        <v/>
      </c>
      <c r="P433" s="47" t="str">
        <f aca="false">IF(OR($F433="",$O433=""),"",$O433+MAX(0,ROUNDUP($AK433*MAX(1,IF($N433="",1,$N433))/MAX(1,$AL433),0)-1))</f>
        <v/>
      </c>
      <c r="Q433" s="48"/>
      <c r="R433" s="43"/>
      <c r="S433" s="49"/>
      <c r="T433" s="42"/>
      <c r="U433" s="42"/>
      <c r="V433" s="39" t="str">
        <f aca="false">IF($F433="","",IF(ISNUMBER(SEARCH("(externo)",$I433&amp;$J433&amp;$K433)),"Terceirizada","Interna"))</f>
        <v/>
      </c>
      <c r="W433" s="47" t="str">
        <f aca="false">IF($O433="","",IF($S433="",$O433,(DATE(Semana!$J$3,1,4)-WEEKDAY(DATE(Semana!$J$3,1,4),3))+($S433-1)*7+IF($M433="",0,MATCH($M433,Listas!$F$5:$F$11,0)-1)))</f>
        <v/>
      </c>
      <c r="X433" s="39" t="str">
        <f aca="false">IF($F433="","",IF(OR($AT433="",$O433=""),0,IF($AT433&lt;=$O433,1,0)))</f>
        <v/>
      </c>
      <c r="Y433" s="39" t="str">
        <f aca="false">IF($F433="","",IF(OR($AT433="",$W433=""),0,IF($AT433&lt;=$W433,1,0)))</f>
        <v/>
      </c>
      <c r="Z433" s="39" t="str">
        <f aca="false">IF(OR($AT433="",$O433=""),"",MAX(0,$AT433-$O433))</f>
        <v/>
      </c>
      <c r="AA433" s="39" t="str">
        <f aca="false">IF($F433="","",IF(AND($S433&lt;&gt;"",$L433&lt;&gt;"",$S433&lt;&gt;$L433),1,0))</f>
        <v/>
      </c>
      <c r="AB433" s="39" t="str">
        <f aca="false">IF($F433="","",IF($R433="Cancelada",0,IF(OR($AT433&lt;&gt;"",$R433="Concluída"),1,0)))</f>
        <v/>
      </c>
      <c r="AC433" s="39" t="n">
        <f aca="false">IF($P433="",0,IF($P433&lt;Hoje!$L$1,1,IF(AND($P433=Hoje!$L$1,Hoje!$L$2&gt;Semana!$M$3),1,0)))</f>
        <v>0</v>
      </c>
      <c r="AD433" s="39" t="str">
        <f aca="false">IF($F433="","",IF(COUNTA($I433:$K433)=0,0,1/COUNTA($I433:$K433)))</f>
        <v/>
      </c>
      <c r="AE433" s="39" t="str">
        <f aca="false">IF($AH433=0,"",SUM($AH$4:$AH433))</f>
        <v/>
      </c>
      <c r="AF433" s="39" t="str">
        <f aca="false">IF($AI433=0,"",SUM($AI$4:$AI433))</f>
        <v/>
      </c>
      <c r="AG433" s="50" t="str">
        <f aca="false">IF($F433="","",$I433&amp;IF($J433="",""," · "&amp;$J433)&amp;IF($K433="",""," · "&amp;$K433))</f>
        <v/>
      </c>
      <c r="AH433" s="39" t="n">
        <f aca="false">IF(AND($F433&lt;&gt;"",$O433&lt;&gt;"",$O433&lt;=Hoje!$C$3,$P433&gt;=Hoje!$C$3,$R433&lt;&gt;"Cancelada"),1,0)</f>
        <v>0</v>
      </c>
      <c r="AI433" s="39" t="n">
        <f aca="false">IF(AND($F433&lt;&gt;"",$P433&lt;&gt;"",$P433&lt;Hoje!$C$3,$AB433=0,$R433&lt;&gt;"Cancelada"),1,0)</f>
        <v>0</v>
      </c>
      <c r="AJ433" s="50" t="str">
        <f aca="false">IF($F433="","",$D433&amp;"|"&amp;$E433&amp;"|"&amp;$L433)</f>
        <v/>
      </c>
      <c r="AK433" s="39" t="str">
        <f aca="false">IF($AJ433="","",COUNTIF($AJ$4:$AJ433,$AJ433))</f>
        <v/>
      </c>
      <c r="AL433" s="39" t="str">
        <f aca="false">IF($AJ433="","",COUNTIF($AJ$4:$AJ$1004,$AJ433))</f>
        <v/>
      </c>
      <c r="AM433" s="42"/>
      <c r="AN433" s="50" t="str">
        <f aca="false">IF($D433="","",IFERROR(T(VLOOKUP($D433,Listas!$B$5:$H$120,7,0)),""))</f>
        <v/>
      </c>
      <c r="AO433" s="50" t="str">
        <f aca="false">IF(OR($F433="",$L433&lt;&gt;"",$R433="Cancelada",$AT433&lt;&gt;""),"",$AN433&amp;"|"&amp;$D433&amp;"|"&amp;IF($C433="","zzz",$C433)&amp;"|"&amp;TEXT(433,"0000"))</f>
        <v/>
      </c>
      <c r="AP433" s="50" t="str">
        <f aca="false">IF($AO433="","",COUNTIF($AO$5:$AO$1004,"&lt;"&amp;$AO433)-(ROWS($AO$5:$AO$1004)-Hoje!$L$5)+1)</f>
        <v/>
      </c>
      <c r="AQ433" s="50" t="n">
        <f aca="false">IF(AND($F433&lt;&gt;"",$D433=Frota!$C$3),1,0)</f>
        <v>0</v>
      </c>
      <c r="AR433" s="50" t="str">
        <f aca="false">IF($AQ433=0,"",SUM($AQ$4:$AQ433))</f>
        <v/>
      </c>
      <c r="AS433" s="50" t="str">
        <f aca="false">IFERROR(INDEX(Hoje!$K$10:$K$29,MATCH(ROW(),Hoje!$J$10:$J$29,0)),"")</f>
        <v/>
      </c>
      <c r="AT433" s="50" t="str">
        <f aca="false">IF($Q433&lt;&gt;"",$Q433,$AS433)</f>
        <v/>
      </c>
    </row>
    <row r="434" customFormat="false" ht="16.5" hidden="false" customHeight="true" outlineLevel="0" collapsed="false">
      <c r="A434" s="39" t="str">
        <f aca="false">IF($F434="","",ROW())</f>
        <v/>
      </c>
      <c r="B434" s="40" t="str">
        <f aca="false">IF($F434="",IF($D434="","","Falta a atividade"),IF($R434="Cancelada","Cancelada",IF($AB434=1,IF(N($Z434)&gt;0,"Concluída com atraso","Concluída"),IF($R434="Em programação","Em programação",IF($O434="",IF($M434="","Na carteira","Falta a semana"),IF($AC434=1,"VENCIDA",IF($O434&gt;Hoje!$L$1,"Programada",IF($P434&gt;Hoje!$L$1,"Em execução","Fecha hoje"))))))))</f>
        <v/>
      </c>
      <c r="C434" s="41"/>
      <c r="D434" s="42"/>
      <c r="E434" s="42"/>
      <c r="F434" s="42"/>
      <c r="G434" s="43"/>
      <c r="H434" s="43"/>
      <c r="I434" s="44"/>
      <c r="J434" s="44"/>
      <c r="K434" s="44"/>
      <c r="L434" s="45"/>
      <c r="M434" s="46"/>
      <c r="N434" s="45"/>
      <c r="O434" s="47" t="str">
        <f aca="false">IF(OR($L434="",$M434=""),"",(DATE(Semana!$J$3,1,4)-WEEKDAY(DATE(Semana!$J$3,1,4),3))+($L434-1)*7+MATCH($M434,Listas!$F$5:$F$11,0)-1)</f>
        <v/>
      </c>
      <c r="P434" s="47" t="str">
        <f aca="false">IF(OR($F434="",$O434=""),"",$O434+MAX(0,ROUNDUP($AK434*MAX(1,IF($N434="",1,$N434))/MAX(1,$AL434),0)-1))</f>
        <v/>
      </c>
      <c r="Q434" s="48"/>
      <c r="R434" s="43"/>
      <c r="S434" s="49"/>
      <c r="T434" s="42"/>
      <c r="U434" s="42"/>
      <c r="V434" s="39" t="str">
        <f aca="false">IF($F434="","",IF(ISNUMBER(SEARCH("(externo)",$I434&amp;$J434&amp;$K434)),"Terceirizada","Interna"))</f>
        <v/>
      </c>
      <c r="W434" s="47" t="str">
        <f aca="false">IF($O434="","",IF($S434="",$O434,(DATE(Semana!$J$3,1,4)-WEEKDAY(DATE(Semana!$J$3,1,4),3))+($S434-1)*7+IF($M434="",0,MATCH($M434,Listas!$F$5:$F$11,0)-1)))</f>
        <v/>
      </c>
      <c r="X434" s="39" t="str">
        <f aca="false">IF($F434="","",IF(OR($AT434="",$O434=""),0,IF($AT434&lt;=$O434,1,0)))</f>
        <v/>
      </c>
      <c r="Y434" s="39" t="str">
        <f aca="false">IF($F434="","",IF(OR($AT434="",$W434=""),0,IF($AT434&lt;=$W434,1,0)))</f>
        <v/>
      </c>
      <c r="Z434" s="39" t="str">
        <f aca="false">IF(OR($AT434="",$O434=""),"",MAX(0,$AT434-$O434))</f>
        <v/>
      </c>
      <c r="AA434" s="39" t="str">
        <f aca="false">IF($F434="","",IF(AND($S434&lt;&gt;"",$L434&lt;&gt;"",$S434&lt;&gt;$L434),1,0))</f>
        <v/>
      </c>
      <c r="AB434" s="39" t="str">
        <f aca="false">IF($F434="","",IF($R434="Cancelada",0,IF(OR($AT434&lt;&gt;"",$R434="Concluída"),1,0)))</f>
        <v/>
      </c>
      <c r="AC434" s="39" t="n">
        <f aca="false">IF($P434="",0,IF($P434&lt;Hoje!$L$1,1,IF(AND($P434=Hoje!$L$1,Hoje!$L$2&gt;Semana!$M$3),1,0)))</f>
        <v>0</v>
      </c>
      <c r="AD434" s="39" t="str">
        <f aca="false">IF($F434="","",IF(COUNTA($I434:$K434)=0,0,1/COUNTA($I434:$K434)))</f>
        <v/>
      </c>
      <c r="AE434" s="39" t="str">
        <f aca="false">IF($AH434=0,"",SUM($AH$4:$AH434))</f>
        <v/>
      </c>
      <c r="AF434" s="39" t="str">
        <f aca="false">IF($AI434=0,"",SUM($AI$4:$AI434))</f>
        <v/>
      </c>
      <c r="AG434" s="50" t="str">
        <f aca="false">IF($F434="","",$I434&amp;IF($J434="",""," · "&amp;$J434)&amp;IF($K434="",""," · "&amp;$K434))</f>
        <v/>
      </c>
      <c r="AH434" s="39" t="n">
        <f aca="false">IF(AND($F434&lt;&gt;"",$O434&lt;&gt;"",$O434&lt;=Hoje!$C$3,$P434&gt;=Hoje!$C$3,$R434&lt;&gt;"Cancelada"),1,0)</f>
        <v>0</v>
      </c>
      <c r="AI434" s="39" t="n">
        <f aca="false">IF(AND($F434&lt;&gt;"",$P434&lt;&gt;"",$P434&lt;Hoje!$C$3,$AB434=0,$R434&lt;&gt;"Cancelada"),1,0)</f>
        <v>0</v>
      </c>
      <c r="AJ434" s="50" t="str">
        <f aca="false">IF($F434="","",$D434&amp;"|"&amp;$E434&amp;"|"&amp;$L434)</f>
        <v/>
      </c>
      <c r="AK434" s="39" t="str">
        <f aca="false">IF($AJ434="","",COUNTIF($AJ$4:$AJ434,$AJ434))</f>
        <v/>
      </c>
      <c r="AL434" s="39" t="str">
        <f aca="false">IF($AJ434="","",COUNTIF($AJ$4:$AJ$1004,$AJ434))</f>
        <v/>
      </c>
      <c r="AM434" s="42"/>
      <c r="AN434" s="50" t="str">
        <f aca="false">IF($D434="","",IFERROR(T(VLOOKUP($D434,Listas!$B$5:$H$120,7,0)),""))</f>
        <v/>
      </c>
      <c r="AO434" s="50" t="str">
        <f aca="false">IF(OR($F434="",$L434&lt;&gt;"",$R434="Cancelada",$AT434&lt;&gt;""),"",$AN434&amp;"|"&amp;$D434&amp;"|"&amp;IF($C434="","zzz",$C434)&amp;"|"&amp;TEXT(434,"0000"))</f>
        <v/>
      </c>
      <c r="AP434" s="50" t="str">
        <f aca="false">IF($AO434="","",COUNTIF($AO$5:$AO$1004,"&lt;"&amp;$AO434)-(ROWS($AO$5:$AO$1004)-Hoje!$L$5)+1)</f>
        <v/>
      </c>
      <c r="AQ434" s="50" t="n">
        <f aca="false">IF(AND($F434&lt;&gt;"",$D434=Frota!$C$3),1,0)</f>
        <v>0</v>
      </c>
      <c r="AR434" s="50" t="str">
        <f aca="false">IF($AQ434=0,"",SUM($AQ$4:$AQ434))</f>
        <v/>
      </c>
      <c r="AS434" s="50" t="str">
        <f aca="false">IFERROR(INDEX(Hoje!$K$10:$K$29,MATCH(ROW(),Hoje!$J$10:$J$29,0)),"")</f>
        <v/>
      </c>
      <c r="AT434" s="50" t="str">
        <f aca="false">IF($Q434&lt;&gt;"",$Q434,$AS434)</f>
        <v/>
      </c>
    </row>
    <row r="435" customFormat="false" ht="16.5" hidden="false" customHeight="true" outlineLevel="0" collapsed="false">
      <c r="A435" s="39" t="str">
        <f aca="false">IF($F435="","",ROW())</f>
        <v/>
      </c>
      <c r="B435" s="40" t="str">
        <f aca="false">IF($F435="",IF($D435="","","Falta a atividade"),IF($R435="Cancelada","Cancelada",IF($AB435=1,IF(N($Z435)&gt;0,"Concluída com atraso","Concluída"),IF($R435="Em programação","Em programação",IF($O435="",IF($M435="","Na carteira","Falta a semana"),IF($AC435=1,"VENCIDA",IF($O435&gt;Hoje!$L$1,"Programada",IF($P435&gt;Hoje!$L$1,"Em execução","Fecha hoje"))))))))</f>
        <v/>
      </c>
      <c r="C435" s="41"/>
      <c r="D435" s="42"/>
      <c r="E435" s="42"/>
      <c r="F435" s="42"/>
      <c r="G435" s="43"/>
      <c r="H435" s="43"/>
      <c r="I435" s="44"/>
      <c r="J435" s="44"/>
      <c r="K435" s="44"/>
      <c r="L435" s="45"/>
      <c r="M435" s="46"/>
      <c r="N435" s="45"/>
      <c r="O435" s="47" t="str">
        <f aca="false">IF(OR($L435="",$M435=""),"",(DATE(Semana!$J$3,1,4)-WEEKDAY(DATE(Semana!$J$3,1,4),3))+($L435-1)*7+MATCH($M435,Listas!$F$5:$F$11,0)-1)</f>
        <v/>
      </c>
      <c r="P435" s="47" t="str">
        <f aca="false">IF(OR($F435="",$O435=""),"",$O435+MAX(0,ROUNDUP($AK435*MAX(1,IF($N435="",1,$N435))/MAX(1,$AL435),0)-1))</f>
        <v/>
      </c>
      <c r="Q435" s="48"/>
      <c r="R435" s="43"/>
      <c r="S435" s="49"/>
      <c r="T435" s="42"/>
      <c r="U435" s="42"/>
      <c r="V435" s="39" t="str">
        <f aca="false">IF($F435="","",IF(ISNUMBER(SEARCH("(externo)",$I435&amp;$J435&amp;$K435)),"Terceirizada","Interna"))</f>
        <v/>
      </c>
      <c r="W435" s="47" t="str">
        <f aca="false">IF($O435="","",IF($S435="",$O435,(DATE(Semana!$J$3,1,4)-WEEKDAY(DATE(Semana!$J$3,1,4),3))+($S435-1)*7+IF($M435="",0,MATCH($M435,Listas!$F$5:$F$11,0)-1)))</f>
        <v/>
      </c>
      <c r="X435" s="39" t="str">
        <f aca="false">IF($F435="","",IF(OR($AT435="",$O435=""),0,IF($AT435&lt;=$O435,1,0)))</f>
        <v/>
      </c>
      <c r="Y435" s="39" t="str">
        <f aca="false">IF($F435="","",IF(OR($AT435="",$W435=""),0,IF($AT435&lt;=$W435,1,0)))</f>
        <v/>
      </c>
      <c r="Z435" s="39" t="str">
        <f aca="false">IF(OR($AT435="",$O435=""),"",MAX(0,$AT435-$O435))</f>
        <v/>
      </c>
      <c r="AA435" s="39" t="str">
        <f aca="false">IF($F435="","",IF(AND($S435&lt;&gt;"",$L435&lt;&gt;"",$S435&lt;&gt;$L435),1,0))</f>
        <v/>
      </c>
      <c r="AB435" s="39" t="str">
        <f aca="false">IF($F435="","",IF($R435="Cancelada",0,IF(OR($AT435&lt;&gt;"",$R435="Concluída"),1,0)))</f>
        <v/>
      </c>
      <c r="AC435" s="39" t="n">
        <f aca="false">IF($P435="",0,IF($P435&lt;Hoje!$L$1,1,IF(AND($P435=Hoje!$L$1,Hoje!$L$2&gt;Semana!$M$3),1,0)))</f>
        <v>0</v>
      </c>
      <c r="AD435" s="39" t="str">
        <f aca="false">IF($F435="","",IF(COUNTA($I435:$K435)=0,0,1/COUNTA($I435:$K435)))</f>
        <v/>
      </c>
      <c r="AE435" s="39" t="str">
        <f aca="false">IF($AH435=0,"",SUM($AH$4:$AH435))</f>
        <v/>
      </c>
      <c r="AF435" s="39" t="str">
        <f aca="false">IF($AI435=0,"",SUM($AI$4:$AI435))</f>
        <v/>
      </c>
      <c r="AG435" s="50" t="str">
        <f aca="false">IF($F435="","",$I435&amp;IF($J435="",""," · "&amp;$J435)&amp;IF($K435="",""," · "&amp;$K435))</f>
        <v/>
      </c>
      <c r="AH435" s="39" t="n">
        <f aca="false">IF(AND($F435&lt;&gt;"",$O435&lt;&gt;"",$O435&lt;=Hoje!$C$3,$P435&gt;=Hoje!$C$3,$R435&lt;&gt;"Cancelada"),1,0)</f>
        <v>0</v>
      </c>
      <c r="AI435" s="39" t="n">
        <f aca="false">IF(AND($F435&lt;&gt;"",$P435&lt;&gt;"",$P435&lt;Hoje!$C$3,$AB435=0,$R435&lt;&gt;"Cancelada"),1,0)</f>
        <v>0</v>
      </c>
      <c r="AJ435" s="50" t="str">
        <f aca="false">IF($F435="","",$D435&amp;"|"&amp;$E435&amp;"|"&amp;$L435)</f>
        <v/>
      </c>
      <c r="AK435" s="39" t="str">
        <f aca="false">IF($AJ435="","",COUNTIF($AJ$4:$AJ435,$AJ435))</f>
        <v/>
      </c>
      <c r="AL435" s="39" t="str">
        <f aca="false">IF($AJ435="","",COUNTIF($AJ$4:$AJ$1004,$AJ435))</f>
        <v/>
      </c>
      <c r="AM435" s="42"/>
      <c r="AN435" s="50" t="str">
        <f aca="false">IF($D435="","",IFERROR(T(VLOOKUP($D435,Listas!$B$5:$H$120,7,0)),""))</f>
        <v/>
      </c>
      <c r="AO435" s="50" t="str">
        <f aca="false">IF(OR($F435="",$L435&lt;&gt;"",$R435="Cancelada",$AT435&lt;&gt;""),"",$AN435&amp;"|"&amp;$D435&amp;"|"&amp;IF($C435="","zzz",$C435)&amp;"|"&amp;TEXT(435,"0000"))</f>
        <v/>
      </c>
      <c r="AP435" s="50" t="str">
        <f aca="false">IF($AO435="","",COUNTIF($AO$5:$AO$1004,"&lt;"&amp;$AO435)-(ROWS($AO$5:$AO$1004)-Hoje!$L$5)+1)</f>
        <v/>
      </c>
      <c r="AQ435" s="50" t="n">
        <f aca="false">IF(AND($F435&lt;&gt;"",$D435=Frota!$C$3),1,0)</f>
        <v>0</v>
      </c>
      <c r="AR435" s="50" t="str">
        <f aca="false">IF($AQ435=0,"",SUM($AQ$4:$AQ435))</f>
        <v/>
      </c>
      <c r="AS435" s="50" t="str">
        <f aca="false">IFERROR(INDEX(Hoje!$K$10:$K$29,MATCH(ROW(),Hoje!$J$10:$J$29,0)),"")</f>
        <v/>
      </c>
      <c r="AT435" s="50" t="str">
        <f aca="false">IF($Q435&lt;&gt;"",$Q435,$AS435)</f>
        <v/>
      </c>
    </row>
    <row r="436" customFormat="false" ht="16.5" hidden="false" customHeight="true" outlineLevel="0" collapsed="false">
      <c r="A436" s="39" t="str">
        <f aca="false">IF($F436="","",ROW())</f>
        <v/>
      </c>
      <c r="B436" s="40" t="str">
        <f aca="false">IF($F436="",IF($D436="","","Falta a atividade"),IF($R436="Cancelada","Cancelada",IF($AB436=1,IF(N($Z436)&gt;0,"Concluída com atraso","Concluída"),IF($R436="Em programação","Em programação",IF($O436="",IF($M436="","Na carteira","Falta a semana"),IF($AC436=1,"VENCIDA",IF($O436&gt;Hoje!$L$1,"Programada",IF($P436&gt;Hoje!$L$1,"Em execução","Fecha hoje"))))))))</f>
        <v/>
      </c>
      <c r="C436" s="41"/>
      <c r="D436" s="42"/>
      <c r="E436" s="42"/>
      <c r="F436" s="42"/>
      <c r="G436" s="43"/>
      <c r="H436" s="43"/>
      <c r="I436" s="44"/>
      <c r="J436" s="44"/>
      <c r="K436" s="44"/>
      <c r="L436" s="45"/>
      <c r="M436" s="46"/>
      <c r="N436" s="45"/>
      <c r="O436" s="47" t="str">
        <f aca="false">IF(OR($L436="",$M436=""),"",(DATE(Semana!$J$3,1,4)-WEEKDAY(DATE(Semana!$J$3,1,4),3))+($L436-1)*7+MATCH($M436,Listas!$F$5:$F$11,0)-1)</f>
        <v/>
      </c>
      <c r="P436" s="47" t="str">
        <f aca="false">IF(OR($F436="",$O436=""),"",$O436+MAX(0,ROUNDUP($AK436*MAX(1,IF($N436="",1,$N436))/MAX(1,$AL436),0)-1))</f>
        <v/>
      </c>
      <c r="Q436" s="48"/>
      <c r="R436" s="43"/>
      <c r="S436" s="49"/>
      <c r="T436" s="42"/>
      <c r="U436" s="42"/>
      <c r="V436" s="39" t="str">
        <f aca="false">IF($F436="","",IF(ISNUMBER(SEARCH("(externo)",$I436&amp;$J436&amp;$K436)),"Terceirizada","Interna"))</f>
        <v/>
      </c>
      <c r="W436" s="47" t="str">
        <f aca="false">IF($O436="","",IF($S436="",$O436,(DATE(Semana!$J$3,1,4)-WEEKDAY(DATE(Semana!$J$3,1,4),3))+($S436-1)*7+IF($M436="",0,MATCH($M436,Listas!$F$5:$F$11,0)-1)))</f>
        <v/>
      </c>
      <c r="X436" s="39" t="str">
        <f aca="false">IF($F436="","",IF(OR($AT436="",$O436=""),0,IF($AT436&lt;=$O436,1,0)))</f>
        <v/>
      </c>
      <c r="Y436" s="39" t="str">
        <f aca="false">IF($F436="","",IF(OR($AT436="",$W436=""),0,IF($AT436&lt;=$W436,1,0)))</f>
        <v/>
      </c>
      <c r="Z436" s="39" t="str">
        <f aca="false">IF(OR($AT436="",$O436=""),"",MAX(0,$AT436-$O436))</f>
        <v/>
      </c>
      <c r="AA436" s="39" t="str">
        <f aca="false">IF($F436="","",IF(AND($S436&lt;&gt;"",$L436&lt;&gt;"",$S436&lt;&gt;$L436),1,0))</f>
        <v/>
      </c>
      <c r="AB436" s="39" t="str">
        <f aca="false">IF($F436="","",IF($R436="Cancelada",0,IF(OR($AT436&lt;&gt;"",$R436="Concluída"),1,0)))</f>
        <v/>
      </c>
      <c r="AC436" s="39" t="n">
        <f aca="false">IF($P436="",0,IF($P436&lt;Hoje!$L$1,1,IF(AND($P436=Hoje!$L$1,Hoje!$L$2&gt;Semana!$M$3),1,0)))</f>
        <v>0</v>
      </c>
      <c r="AD436" s="39" t="str">
        <f aca="false">IF($F436="","",IF(COUNTA($I436:$K436)=0,0,1/COUNTA($I436:$K436)))</f>
        <v/>
      </c>
      <c r="AE436" s="39" t="str">
        <f aca="false">IF($AH436=0,"",SUM($AH$4:$AH436))</f>
        <v/>
      </c>
      <c r="AF436" s="39" t="str">
        <f aca="false">IF($AI436=0,"",SUM($AI$4:$AI436))</f>
        <v/>
      </c>
      <c r="AG436" s="50" t="str">
        <f aca="false">IF($F436="","",$I436&amp;IF($J436="",""," · "&amp;$J436)&amp;IF($K436="",""," · "&amp;$K436))</f>
        <v/>
      </c>
      <c r="AH436" s="39" t="n">
        <f aca="false">IF(AND($F436&lt;&gt;"",$O436&lt;&gt;"",$O436&lt;=Hoje!$C$3,$P436&gt;=Hoje!$C$3,$R436&lt;&gt;"Cancelada"),1,0)</f>
        <v>0</v>
      </c>
      <c r="AI436" s="39" t="n">
        <f aca="false">IF(AND($F436&lt;&gt;"",$P436&lt;&gt;"",$P436&lt;Hoje!$C$3,$AB436=0,$R436&lt;&gt;"Cancelada"),1,0)</f>
        <v>0</v>
      </c>
      <c r="AJ436" s="50" t="str">
        <f aca="false">IF($F436="","",$D436&amp;"|"&amp;$E436&amp;"|"&amp;$L436)</f>
        <v/>
      </c>
      <c r="AK436" s="39" t="str">
        <f aca="false">IF($AJ436="","",COUNTIF($AJ$4:$AJ436,$AJ436))</f>
        <v/>
      </c>
      <c r="AL436" s="39" t="str">
        <f aca="false">IF($AJ436="","",COUNTIF($AJ$4:$AJ$1004,$AJ436))</f>
        <v/>
      </c>
      <c r="AM436" s="42"/>
      <c r="AN436" s="50" t="str">
        <f aca="false">IF($D436="","",IFERROR(T(VLOOKUP($D436,Listas!$B$5:$H$120,7,0)),""))</f>
        <v/>
      </c>
      <c r="AO436" s="50" t="str">
        <f aca="false">IF(OR($F436="",$L436&lt;&gt;"",$R436="Cancelada",$AT436&lt;&gt;""),"",$AN436&amp;"|"&amp;$D436&amp;"|"&amp;IF($C436="","zzz",$C436)&amp;"|"&amp;TEXT(436,"0000"))</f>
        <v/>
      </c>
      <c r="AP436" s="50" t="str">
        <f aca="false">IF($AO436="","",COUNTIF($AO$5:$AO$1004,"&lt;"&amp;$AO436)-(ROWS($AO$5:$AO$1004)-Hoje!$L$5)+1)</f>
        <v/>
      </c>
      <c r="AQ436" s="50" t="n">
        <f aca="false">IF(AND($F436&lt;&gt;"",$D436=Frota!$C$3),1,0)</f>
        <v>0</v>
      </c>
      <c r="AR436" s="50" t="str">
        <f aca="false">IF($AQ436=0,"",SUM($AQ$4:$AQ436))</f>
        <v/>
      </c>
      <c r="AS436" s="50" t="str">
        <f aca="false">IFERROR(INDEX(Hoje!$K$10:$K$29,MATCH(ROW(),Hoje!$J$10:$J$29,0)),"")</f>
        <v/>
      </c>
      <c r="AT436" s="50" t="str">
        <f aca="false">IF($Q436&lt;&gt;"",$Q436,$AS436)</f>
        <v/>
      </c>
    </row>
    <row r="437" customFormat="false" ht="16.5" hidden="false" customHeight="true" outlineLevel="0" collapsed="false">
      <c r="A437" s="39" t="str">
        <f aca="false">IF($F437="","",ROW())</f>
        <v/>
      </c>
      <c r="B437" s="40" t="str">
        <f aca="false">IF($F437="",IF($D437="","","Falta a atividade"),IF($R437="Cancelada","Cancelada",IF($AB437=1,IF(N($Z437)&gt;0,"Concluída com atraso","Concluída"),IF($R437="Em programação","Em programação",IF($O437="",IF($M437="","Na carteira","Falta a semana"),IF($AC437=1,"VENCIDA",IF($O437&gt;Hoje!$L$1,"Programada",IF($P437&gt;Hoje!$L$1,"Em execução","Fecha hoje"))))))))</f>
        <v/>
      </c>
      <c r="C437" s="41"/>
      <c r="D437" s="42"/>
      <c r="E437" s="42"/>
      <c r="F437" s="42"/>
      <c r="G437" s="43"/>
      <c r="H437" s="43"/>
      <c r="I437" s="44"/>
      <c r="J437" s="44"/>
      <c r="K437" s="44"/>
      <c r="L437" s="45"/>
      <c r="M437" s="46"/>
      <c r="N437" s="45"/>
      <c r="O437" s="47" t="str">
        <f aca="false">IF(OR($L437="",$M437=""),"",(DATE(Semana!$J$3,1,4)-WEEKDAY(DATE(Semana!$J$3,1,4),3))+($L437-1)*7+MATCH($M437,Listas!$F$5:$F$11,0)-1)</f>
        <v/>
      </c>
      <c r="P437" s="47" t="str">
        <f aca="false">IF(OR($F437="",$O437=""),"",$O437+MAX(0,ROUNDUP($AK437*MAX(1,IF($N437="",1,$N437))/MAX(1,$AL437),0)-1))</f>
        <v/>
      </c>
      <c r="Q437" s="48"/>
      <c r="R437" s="43"/>
      <c r="S437" s="49"/>
      <c r="T437" s="42"/>
      <c r="U437" s="42"/>
      <c r="V437" s="39" t="str">
        <f aca="false">IF($F437="","",IF(ISNUMBER(SEARCH("(externo)",$I437&amp;$J437&amp;$K437)),"Terceirizada","Interna"))</f>
        <v/>
      </c>
      <c r="W437" s="47" t="str">
        <f aca="false">IF($O437="","",IF($S437="",$O437,(DATE(Semana!$J$3,1,4)-WEEKDAY(DATE(Semana!$J$3,1,4),3))+($S437-1)*7+IF($M437="",0,MATCH($M437,Listas!$F$5:$F$11,0)-1)))</f>
        <v/>
      </c>
      <c r="X437" s="39" t="str">
        <f aca="false">IF($F437="","",IF(OR($AT437="",$O437=""),0,IF($AT437&lt;=$O437,1,0)))</f>
        <v/>
      </c>
      <c r="Y437" s="39" t="str">
        <f aca="false">IF($F437="","",IF(OR($AT437="",$W437=""),0,IF($AT437&lt;=$W437,1,0)))</f>
        <v/>
      </c>
      <c r="Z437" s="39" t="str">
        <f aca="false">IF(OR($AT437="",$O437=""),"",MAX(0,$AT437-$O437))</f>
        <v/>
      </c>
      <c r="AA437" s="39" t="str">
        <f aca="false">IF($F437="","",IF(AND($S437&lt;&gt;"",$L437&lt;&gt;"",$S437&lt;&gt;$L437),1,0))</f>
        <v/>
      </c>
      <c r="AB437" s="39" t="str">
        <f aca="false">IF($F437="","",IF($R437="Cancelada",0,IF(OR($AT437&lt;&gt;"",$R437="Concluída"),1,0)))</f>
        <v/>
      </c>
      <c r="AC437" s="39" t="n">
        <f aca="false">IF($P437="",0,IF($P437&lt;Hoje!$L$1,1,IF(AND($P437=Hoje!$L$1,Hoje!$L$2&gt;Semana!$M$3),1,0)))</f>
        <v>0</v>
      </c>
      <c r="AD437" s="39" t="str">
        <f aca="false">IF($F437="","",IF(COUNTA($I437:$K437)=0,0,1/COUNTA($I437:$K437)))</f>
        <v/>
      </c>
      <c r="AE437" s="39" t="str">
        <f aca="false">IF($AH437=0,"",SUM($AH$4:$AH437))</f>
        <v/>
      </c>
      <c r="AF437" s="39" t="str">
        <f aca="false">IF($AI437=0,"",SUM($AI$4:$AI437))</f>
        <v/>
      </c>
      <c r="AG437" s="50" t="str">
        <f aca="false">IF($F437="","",$I437&amp;IF($J437="",""," · "&amp;$J437)&amp;IF($K437="",""," · "&amp;$K437))</f>
        <v/>
      </c>
      <c r="AH437" s="39" t="n">
        <f aca="false">IF(AND($F437&lt;&gt;"",$O437&lt;&gt;"",$O437&lt;=Hoje!$C$3,$P437&gt;=Hoje!$C$3,$R437&lt;&gt;"Cancelada"),1,0)</f>
        <v>0</v>
      </c>
      <c r="AI437" s="39" t="n">
        <f aca="false">IF(AND($F437&lt;&gt;"",$P437&lt;&gt;"",$P437&lt;Hoje!$C$3,$AB437=0,$R437&lt;&gt;"Cancelada"),1,0)</f>
        <v>0</v>
      </c>
      <c r="AJ437" s="50" t="str">
        <f aca="false">IF($F437="","",$D437&amp;"|"&amp;$E437&amp;"|"&amp;$L437)</f>
        <v/>
      </c>
      <c r="AK437" s="39" t="str">
        <f aca="false">IF($AJ437="","",COUNTIF($AJ$4:$AJ437,$AJ437))</f>
        <v/>
      </c>
      <c r="AL437" s="39" t="str">
        <f aca="false">IF($AJ437="","",COUNTIF($AJ$4:$AJ$1004,$AJ437))</f>
        <v/>
      </c>
      <c r="AM437" s="42"/>
      <c r="AN437" s="50" t="str">
        <f aca="false">IF($D437="","",IFERROR(T(VLOOKUP($D437,Listas!$B$5:$H$120,7,0)),""))</f>
        <v/>
      </c>
      <c r="AO437" s="50" t="str">
        <f aca="false">IF(OR($F437="",$L437&lt;&gt;"",$R437="Cancelada",$AT437&lt;&gt;""),"",$AN437&amp;"|"&amp;$D437&amp;"|"&amp;IF($C437="","zzz",$C437)&amp;"|"&amp;TEXT(437,"0000"))</f>
        <v/>
      </c>
      <c r="AP437" s="50" t="str">
        <f aca="false">IF($AO437="","",COUNTIF($AO$5:$AO$1004,"&lt;"&amp;$AO437)-(ROWS($AO$5:$AO$1004)-Hoje!$L$5)+1)</f>
        <v/>
      </c>
      <c r="AQ437" s="50" t="n">
        <f aca="false">IF(AND($F437&lt;&gt;"",$D437=Frota!$C$3),1,0)</f>
        <v>0</v>
      </c>
      <c r="AR437" s="50" t="str">
        <f aca="false">IF($AQ437=0,"",SUM($AQ$4:$AQ437))</f>
        <v/>
      </c>
      <c r="AS437" s="50" t="str">
        <f aca="false">IFERROR(INDEX(Hoje!$K$10:$K$29,MATCH(ROW(),Hoje!$J$10:$J$29,0)),"")</f>
        <v/>
      </c>
      <c r="AT437" s="50" t="str">
        <f aca="false">IF($Q437&lt;&gt;"",$Q437,$AS437)</f>
        <v/>
      </c>
    </row>
    <row r="438" customFormat="false" ht="16.5" hidden="false" customHeight="true" outlineLevel="0" collapsed="false">
      <c r="A438" s="39" t="str">
        <f aca="false">IF($F438="","",ROW())</f>
        <v/>
      </c>
      <c r="B438" s="40" t="str">
        <f aca="false">IF($F438="",IF($D438="","","Falta a atividade"),IF($R438="Cancelada","Cancelada",IF($AB438=1,IF(N($Z438)&gt;0,"Concluída com atraso","Concluída"),IF($R438="Em programação","Em programação",IF($O438="",IF($M438="","Na carteira","Falta a semana"),IF($AC438=1,"VENCIDA",IF($O438&gt;Hoje!$L$1,"Programada",IF($P438&gt;Hoje!$L$1,"Em execução","Fecha hoje"))))))))</f>
        <v/>
      </c>
      <c r="C438" s="41"/>
      <c r="D438" s="42"/>
      <c r="E438" s="42"/>
      <c r="F438" s="42"/>
      <c r="G438" s="43"/>
      <c r="H438" s="43"/>
      <c r="I438" s="44"/>
      <c r="J438" s="44"/>
      <c r="K438" s="44"/>
      <c r="L438" s="45"/>
      <c r="M438" s="46"/>
      <c r="N438" s="45"/>
      <c r="O438" s="47" t="str">
        <f aca="false">IF(OR($L438="",$M438=""),"",(DATE(Semana!$J$3,1,4)-WEEKDAY(DATE(Semana!$J$3,1,4),3))+($L438-1)*7+MATCH($M438,Listas!$F$5:$F$11,0)-1)</f>
        <v/>
      </c>
      <c r="P438" s="47" t="str">
        <f aca="false">IF(OR($F438="",$O438=""),"",$O438+MAX(0,ROUNDUP($AK438*MAX(1,IF($N438="",1,$N438))/MAX(1,$AL438),0)-1))</f>
        <v/>
      </c>
      <c r="Q438" s="48"/>
      <c r="R438" s="43"/>
      <c r="S438" s="49"/>
      <c r="T438" s="42"/>
      <c r="U438" s="42"/>
      <c r="V438" s="39" t="str">
        <f aca="false">IF($F438="","",IF(ISNUMBER(SEARCH("(externo)",$I438&amp;$J438&amp;$K438)),"Terceirizada","Interna"))</f>
        <v/>
      </c>
      <c r="W438" s="47" t="str">
        <f aca="false">IF($O438="","",IF($S438="",$O438,(DATE(Semana!$J$3,1,4)-WEEKDAY(DATE(Semana!$J$3,1,4),3))+($S438-1)*7+IF($M438="",0,MATCH($M438,Listas!$F$5:$F$11,0)-1)))</f>
        <v/>
      </c>
      <c r="X438" s="39" t="str">
        <f aca="false">IF($F438="","",IF(OR($AT438="",$O438=""),0,IF($AT438&lt;=$O438,1,0)))</f>
        <v/>
      </c>
      <c r="Y438" s="39" t="str">
        <f aca="false">IF($F438="","",IF(OR($AT438="",$W438=""),0,IF($AT438&lt;=$W438,1,0)))</f>
        <v/>
      </c>
      <c r="Z438" s="39" t="str">
        <f aca="false">IF(OR($AT438="",$O438=""),"",MAX(0,$AT438-$O438))</f>
        <v/>
      </c>
      <c r="AA438" s="39" t="str">
        <f aca="false">IF($F438="","",IF(AND($S438&lt;&gt;"",$L438&lt;&gt;"",$S438&lt;&gt;$L438),1,0))</f>
        <v/>
      </c>
      <c r="AB438" s="39" t="str">
        <f aca="false">IF($F438="","",IF($R438="Cancelada",0,IF(OR($AT438&lt;&gt;"",$R438="Concluída"),1,0)))</f>
        <v/>
      </c>
      <c r="AC438" s="39" t="n">
        <f aca="false">IF($P438="",0,IF($P438&lt;Hoje!$L$1,1,IF(AND($P438=Hoje!$L$1,Hoje!$L$2&gt;Semana!$M$3),1,0)))</f>
        <v>0</v>
      </c>
      <c r="AD438" s="39" t="str">
        <f aca="false">IF($F438="","",IF(COUNTA($I438:$K438)=0,0,1/COUNTA($I438:$K438)))</f>
        <v/>
      </c>
      <c r="AE438" s="39" t="str">
        <f aca="false">IF($AH438=0,"",SUM($AH$4:$AH438))</f>
        <v/>
      </c>
      <c r="AF438" s="39" t="str">
        <f aca="false">IF($AI438=0,"",SUM($AI$4:$AI438))</f>
        <v/>
      </c>
      <c r="AG438" s="50" t="str">
        <f aca="false">IF($F438="","",$I438&amp;IF($J438="",""," · "&amp;$J438)&amp;IF($K438="",""," · "&amp;$K438))</f>
        <v/>
      </c>
      <c r="AH438" s="39" t="n">
        <f aca="false">IF(AND($F438&lt;&gt;"",$O438&lt;&gt;"",$O438&lt;=Hoje!$C$3,$P438&gt;=Hoje!$C$3,$R438&lt;&gt;"Cancelada"),1,0)</f>
        <v>0</v>
      </c>
      <c r="AI438" s="39" t="n">
        <f aca="false">IF(AND($F438&lt;&gt;"",$P438&lt;&gt;"",$P438&lt;Hoje!$C$3,$AB438=0,$R438&lt;&gt;"Cancelada"),1,0)</f>
        <v>0</v>
      </c>
      <c r="AJ438" s="50" t="str">
        <f aca="false">IF($F438="","",$D438&amp;"|"&amp;$E438&amp;"|"&amp;$L438)</f>
        <v/>
      </c>
      <c r="AK438" s="39" t="str">
        <f aca="false">IF($AJ438="","",COUNTIF($AJ$4:$AJ438,$AJ438))</f>
        <v/>
      </c>
      <c r="AL438" s="39" t="str">
        <f aca="false">IF($AJ438="","",COUNTIF($AJ$4:$AJ$1004,$AJ438))</f>
        <v/>
      </c>
      <c r="AM438" s="42"/>
      <c r="AN438" s="50" t="str">
        <f aca="false">IF($D438="","",IFERROR(T(VLOOKUP($D438,Listas!$B$5:$H$120,7,0)),""))</f>
        <v/>
      </c>
      <c r="AO438" s="50" t="str">
        <f aca="false">IF(OR($F438="",$L438&lt;&gt;"",$R438="Cancelada",$AT438&lt;&gt;""),"",$AN438&amp;"|"&amp;$D438&amp;"|"&amp;IF($C438="","zzz",$C438)&amp;"|"&amp;TEXT(438,"0000"))</f>
        <v/>
      </c>
      <c r="AP438" s="50" t="str">
        <f aca="false">IF($AO438="","",COUNTIF($AO$5:$AO$1004,"&lt;"&amp;$AO438)-(ROWS($AO$5:$AO$1004)-Hoje!$L$5)+1)</f>
        <v/>
      </c>
      <c r="AQ438" s="50" t="n">
        <f aca="false">IF(AND($F438&lt;&gt;"",$D438=Frota!$C$3),1,0)</f>
        <v>0</v>
      </c>
      <c r="AR438" s="50" t="str">
        <f aca="false">IF($AQ438=0,"",SUM($AQ$4:$AQ438))</f>
        <v/>
      </c>
      <c r="AS438" s="50" t="str">
        <f aca="false">IFERROR(INDEX(Hoje!$K$10:$K$29,MATCH(ROW(),Hoje!$J$10:$J$29,0)),"")</f>
        <v/>
      </c>
      <c r="AT438" s="50" t="str">
        <f aca="false">IF($Q438&lt;&gt;"",$Q438,$AS438)</f>
        <v/>
      </c>
    </row>
    <row r="439" customFormat="false" ht="16.5" hidden="false" customHeight="true" outlineLevel="0" collapsed="false">
      <c r="A439" s="39" t="str">
        <f aca="false">IF($F439="","",ROW())</f>
        <v/>
      </c>
      <c r="B439" s="40" t="str">
        <f aca="false">IF($F439="",IF($D439="","","Falta a atividade"),IF($R439="Cancelada","Cancelada",IF($AB439=1,IF(N($Z439)&gt;0,"Concluída com atraso","Concluída"),IF($R439="Em programação","Em programação",IF($O439="",IF($M439="","Na carteira","Falta a semana"),IF($AC439=1,"VENCIDA",IF($O439&gt;Hoje!$L$1,"Programada",IF($P439&gt;Hoje!$L$1,"Em execução","Fecha hoje"))))))))</f>
        <v/>
      </c>
      <c r="C439" s="41"/>
      <c r="D439" s="42"/>
      <c r="E439" s="42"/>
      <c r="F439" s="42"/>
      <c r="G439" s="43"/>
      <c r="H439" s="43"/>
      <c r="I439" s="44"/>
      <c r="J439" s="44"/>
      <c r="K439" s="44"/>
      <c r="L439" s="45"/>
      <c r="M439" s="46"/>
      <c r="N439" s="45"/>
      <c r="O439" s="47" t="str">
        <f aca="false">IF(OR($L439="",$M439=""),"",(DATE(Semana!$J$3,1,4)-WEEKDAY(DATE(Semana!$J$3,1,4),3))+($L439-1)*7+MATCH($M439,Listas!$F$5:$F$11,0)-1)</f>
        <v/>
      </c>
      <c r="P439" s="47" t="str">
        <f aca="false">IF(OR($F439="",$O439=""),"",$O439+MAX(0,ROUNDUP($AK439*MAX(1,IF($N439="",1,$N439))/MAX(1,$AL439),0)-1))</f>
        <v/>
      </c>
      <c r="Q439" s="48"/>
      <c r="R439" s="43"/>
      <c r="S439" s="49"/>
      <c r="T439" s="42"/>
      <c r="U439" s="42"/>
      <c r="V439" s="39" t="str">
        <f aca="false">IF($F439="","",IF(ISNUMBER(SEARCH("(externo)",$I439&amp;$J439&amp;$K439)),"Terceirizada","Interna"))</f>
        <v/>
      </c>
      <c r="W439" s="47" t="str">
        <f aca="false">IF($O439="","",IF($S439="",$O439,(DATE(Semana!$J$3,1,4)-WEEKDAY(DATE(Semana!$J$3,1,4),3))+($S439-1)*7+IF($M439="",0,MATCH($M439,Listas!$F$5:$F$11,0)-1)))</f>
        <v/>
      </c>
      <c r="X439" s="39" t="str">
        <f aca="false">IF($F439="","",IF(OR($AT439="",$O439=""),0,IF($AT439&lt;=$O439,1,0)))</f>
        <v/>
      </c>
      <c r="Y439" s="39" t="str">
        <f aca="false">IF($F439="","",IF(OR($AT439="",$W439=""),0,IF($AT439&lt;=$W439,1,0)))</f>
        <v/>
      </c>
      <c r="Z439" s="39" t="str">
        <f aca="false">IF(OR($AT439="",$O439=""),"",MAX(0,$AT439-$O439))</f>
        <v/>
      </c>
      <c r="AA439" s="39" t="str">
        <f aca="false">IF($F439="","",IF(AND($S439&lt;&gt;"",$L439&lt;&gt;"",$S439&lt;&gt;$L439),1,0))</f>
        <v/>
      </c>
      <c r="AB439" s="39" t="str">
        <f aca="false">IF($F439="","",IF($R439="Cancelada",0,IF(OR($AT439&lt;&gt;"",$R439="Concluída"),1,0)))</f>
        <v/>
      </c>
      <c r="AC439" s="39" t="n">
        <f aca="false">IF($P439="",0,IF($P439&lt;Hoje!$L$1,1,IF(AND($P439=Hoje!$L$1,Hoje!$L$2&gt;Semana!$M$3),1,0)))</f>
        <v>0</v>
      </c>
      <c r="AD439" s="39" t="str">
        <f aca="false">IF($F439="","",IF(COUNTA($I439:$K439)=0,0,1/COUNTA($I439:$K439)))</f>
        <v/>
      </c>
      <c r="AE439" s="39" t="str">
        <f aca="false">IF($AH439=0,"",SUM($AH$4:$AH439))</f>
        <v/>
      </c>
      <c r="AF439" s="39" t="str">
        <f aca="false">IF($AI439=0,"",SUM($AI$4:$AI439))</f>
        <v/>
      </c>
      <c r="AG439" s="50" t="str">
        <f aca="false">IF($F439="","",$I439&amp;IF($J439="",""," · "&amp;$J439)&amp;IF($K439="",""," · "&amp;$K439))</f>
        <v/>
      </c>
      <c r="AH439" s="39" t="n">
        <f aca="false">IF(AND($F439&lt;&gt;"",$O439&lt;&gt;"",$O439&lt;=Hoje!$C$3,$P439&gt;=Hoje!$C$3,$R439&lt;&gt;"Cancelada"),1,0)</f>
        <v>0</v>
      </c>
      <c r="AI439" s="39" t="n">
        <f aca="false">IF(AND($F439&lt;&gt;"",$P439&lt;&gt;"",$P439&lt;Hoje!$C$3,$AB439=0,$R439&lt;&gt;"Cancelada"),1,0)</f>
        <v>0</v>
      </c>
      <c r="AJ439" s="50" t="str">
        <f aca="false">IF($F439="","",$D439&amp;"|"&amp;$E439&amp;"|"&amp;$L439)</f>
        <v/>
      </c>
      <c r="AK439" s="39" t="str">
        <f aca="false">IF($AJ439="","",COUNTIF($AJ$4:$AJ439,$AJ439))</f>
        <v/>
      </c>
      <c r="AL439" s="39" t="str">
        <f aca="false">IF($AJ439="","",COUNTIF($AJ$4:$AJ$1004,$AJ439))</f>
        <v/>
      </c>
      <c r="AM439" s="42"/>
      <c r="AN439" s="50" t="str">
        <f aca="false">IF($D439="","",IFERROR(T(VLOOKUP($D439,Listas!$B$5:$H$120,7,0)),""))</f>
        <v/>
      </c>
      <c r="AO439" s="50" t="str">
        <f aca="false">IF(OR($F439="",$L439&lt;&gt;"",$R439="Cancelada",$AT439&lt;&gt;""),"",$AN439&amp;"|"&amp;$D439&amp;"|"&amp;IF($C439="","zzz",$C439)&amp;"|"&amp;TEXT(439,"0000"))</f>
        <v/>
      </c>
      <c r="AP439" s="50" t="str">
        <f aca="false">IF($AO439="","",COUNTIF($AO$5:$AO$1004,"&lt;"&amp;$AO439)-(ROWS($AO$5:$AO$1004)-Hoje!$L$5)+1)</f>
        <v/>
      </c>
      <c r="AQ439" s="50" t="n">
        <f aca="false">IF(AND($F439&lt;&gt;"",$D439=Frota!$C$3),1,0)</f>
        <v>0</v>
      </c>
      <c r="AR439" s="50" t="str">
        <f aca="false">IF($AQ439=0,"",SUM($AQ$4:$AQ439))</f>
        <v/>
      </c>
      <c r="AS439" s="50" t="str">
        <f aca="false">IFERROR(INDEX(Hoje!$K$10:$K$29,MATCH(ROW(),Hoje!$J$10:$J$29,0)),"")</f>
        <v/>
      </c>
      <c r="AT439" s="50" t="str">
        <f aca="false">IF($Q439&lt;&gt;"",$Q439,$AS439)</f>
        <v/>
      </c>
    </row>
    <row r="440" customFormat="false" ht="16.5" hidden="false" customHeight="true" outlineLevel="0" collapsed="false">
      <c r="A440" s="39" t="str">
        <f aca="false">IF($F440="","",ROW())</f>
        <v/>
      </c>
      <c r="B440" s="40" t="str">
        <f aca="false">IF($F440="",IF($D440="","","Falta a atividade"),IF($R440="Cancelada","Cancelada",IF($AB440=1,IF(N($Z440)&gt;0,"Concluída com atraso","Concluída"),IF($R440="Em programação","Em programação",IF($O440="",IF($M440="","Na carteira","Falta a semana"),IF($AC440=1,"VENCIDA",IF($O440&gt;Hoje!$L$1,"Programada",IF($P440&gt;Hoje!$L$1,"Em execução","Fecha hoje"))))))))</f>
        <v/>
      </c>
      <c r="C440" s="41"/>
      <c r="D440" s="42"/>
      <c r="E440" s="42"/>
      <c r="F440" s="42"/>
      <c r="G440" s="43"/>
      <c r="H440" s="43"/>
      <c r="I440" s="44"/>
      <c r="J440" s="44"/>
      <c r="K440" s="44"/>
      <c r="L440" s="45"/>
      <c r="M440" s="46"/>
      <c r="N440" s="45"/>
      <c r="O440" s="47" t="str">
        <f aca="false">IF(OR($L440="",$M440=""),"",(DATE(Semana!$J$3,1,4)-WEEKDAY(DATE(Semana!$J$3,1,4),3))+($L440-1)*7+MATCH($M440,Listas!$F$5:$F$11,0)-1)</f>
        <v/>
      </c>
      <c r="P440" s="47" t="str">
        <f aca="false">IF(OR($F440="",$O440=""),"",$O440+MAX(0,ROUNDUP($AK440*MAX(1,IF($N440="",1,$N440))/MAX(1,$AL440),0)-1))</f>
        <v/>
      </c>
      <c r="Q440" s="48"/>
      <c r="R440" s="43"/>
      <c r="S440" s="49"/>
      <c r="T440" s="42"/>
      <c r="U440" s="42"/>
      <c r="V440" s="39" t="str">
        <f aca="false">IF($F440="","",IF(ISNUMBER(SEARCH("(externo)",$I440&amp;$J440&amp;$K440)),"Terceirizada","Interna"))</f>
        <v/>
      </c>
      <c r="W440" s="47" t="str">
        <f aca="false">IF($O440="","",IF($S440="",$O440,(DATE(Semana!$J$3,1,4)-WEEKDAY(DATE(Semana!$J$3,1,4),3))+($S440-1)*7+IF($M440="",0,MATCH($M440,Listas!$F$5:$F$11,0)-1)))</f>
        <v/>
      </c>
      <c r="X440" s="39" t="str">
        <f aca="false">IF($F440="","",IF(OR($AT440="",$O440=""),0,IF($AT440&lt;=$O440,1,0)))</f>
        <v/>
      </c>
      <c r="Y440" s="39" t="str">
        <f aca="false">IF($F440="","",IF(OR($AT440="",$W440=""),0,IF($AT440&lt;=$W440,1,0)))</f>
        <v/>
      </c>
      <c r="Z440" s="39" t="str">
        <f aca="false">IF(OR($AT440="",$O440=""),"",MAX(0,$AT440-$O440))</f>
        <v/>
      </c>
      <c r="AA440" s="39" t="str">
        <f aca="false">IF($F440="","",IF(AND($S440&lt;&gt;"",$L440&lt;&gt;"",$S440&lt;&gt;$L440),1,0))</f>
        <v/>
      </c>
      <c r="AB440" s="39" t="str">
        <f aca="false">IF($F440="","",IF($R440="Cancelada",0,IF(OR($AT440&lt;&gt;"",$R440="Concluída"),1,0)))</f>
        <v/>
      </c>
      <c r="AC440" s="39" t="n">
        <f aca="false">IF($P440="",0,IF($P440&lt;Hoje!$L$1,1,IF(AND($P440=Hoje!$L$1,Hoje!$L$2&gt;Semana!$M$3),1,0)))</f>
        <v>0</v>
      </c>
      <c r="AD440" s="39" t="str">
        <f aca="false">IF($F440="","",IF(COUNTA($I440:$K440)=0,0,1/COUNTA($I440:$K440)))</f>
        <v/>
      </c>
      <c r="AE440" s="39" t="str">
        <f aca="false">IF($AH440=0,"",SUM($AH$4:$AH440))</f>
        <v/>
      </c>
      <c r="AF440" s="39" t="str">
        <f aca="false">IF($AI440=0,"",SUM($AI$4:$AI440))</f>
        <v/>
      </c>
      <c r="AG440" s="50" t="str">
        <f aca="false">IF($F440="","",$I440&amp;IF($J440="",""," · "&amp;$J440)&amp;IF($K440="",""," · "&amp;$K440))</f>
        <v/>
      </c>
      <c r="AH440" s="39" t="n">
        <f aca="false">IF(AND($F440&lt;&gt;"",$O440&lt;&gt;"",$O440&lt;=Hoje!$C$3,$P440&gt;=Hoje!$C$3,$R440&lt;&gt;"Cancelada"),1,0)</f>
        <v>0</v>
      </c>
      <c r="AI440" s="39" t="n">
        <f aca="false">IF(AND($F440&lt;&gt;"",$P440&lt;&gt;"",$P440&lt;Hoje!$C$3,$AB440=0,$R440&lt;&gt;"Cancelada"),1,0)</f>
        <v>0</v>
      </c>
      <c r="AJ440" s="50" t="str">
        <f aca="false">IF($F440="","",$D440&amp;"|"&amp;$E440&amp;"|"&amp;$L440)</f>
        <v/>
      </c>
      <c r="AK440" s="39" t="str">
        <f aca="false">IF($AJ440="","",COUNTIF($AJ$4:$AJ440,$AJ440))</f>
        <v/>
      </c>
      <c r="AL440" s="39" t="str">
        <f aca="false">IF($AJ440="","",COUNTIF($AJ$4:$AJ$1004,$AJ440))</f>
        <v/>
      </c>
      <c r="AM440" s="42"/>
      <c r="AN440" s="50" t="str">
        <f aca="false">IF($D440="","",IFERROR(T(VLOOKUP($D440,Listas!$B$5:$H$120,7,0)),""))</f>
        <v/>
      </c>
      <c r="AO440" s="50" t="str">
        <f aca="false">IF(OR($F440="",$L440&lt;&gt;"",$R440="Cancelada",$AT440&lt;&gt;""),"",$AN440&amp;"|"&amp;$D440&amp;"|"&amp;IF($C440="","zzz",$C440)&amp;"|"&amp;TEXT(440,"0000"))</f>
        <v/>
      </c>
      <c r="AP440" s="50" t="str">
        <f aca="false">IF($AO440="","",COUNTIF($AO$5:$AO$1004,"&lt;"&amp;$AO440)-(ROWS($AO$5:$AO$1004)-Hoje!$L$5)+1)</f>
        <v/>
      </c>
      <c r="AQ440" s="50" t="n">
        <f aca="false">IF(AND($F440&lt;&gt;"",$D440=Frota!$C$3),1,0)</f>
        <v>0</v>
      </c>
      <c r="AR440" s="50" t="str">
        <f aca="false">IF($AQ440=0,"",SUM($AQ$4:$AQ440))</f>
        <v/>
      </c>
      <c r="AS440" s="50" t="str">
        <f aca="false">IFERROR(INDEX(Hoje!$K$10:$K$29,MATCH(ROW(),Hoje!$J$10:$J$29,0)),"")</f>
        <v/>
      </c>
      <c r="AT440" s="50" t="str">
        <f aca="false">IF($Q440&lt;&gt;"",$Q440,$AS440)</f>
        <v/>
      </c>
    </row>
    <row r="441" customFormat="false" ht="16.5" hidden="false" customHeight="true" outlineLevel="0" collapsed="false">
      <c r="A441" s="39" t="str">
        <f aca="false">IF($F441="","",ROW())</f>
        <v/>
      </c>
      <c r="B441" s="40" t="str">
        <f aca="false">IF($F441="",IF($D441="","","Falta a atividade"),IF($R441="Cancelada","Cancelada",IF($AB441=1,IF(N($Z441)&gt;0,"Concluída com atraso","Concluída"),IF($R441="Em programação","Em programação",IF($O441="",IF($M441="","Na carteira","Falta a semana"),IF($AC441=1,"VENCIDA",IF($O441&gt;Hoje!$L$1,"Programada",IF($P441&gt;Hoje!$L$1,"Em execução","Fecha hoje"))))))))</f>
        <v/>
      </c>
      <c r="C441" s="41"/>
      <c r="D441" s="42"/>
      <c r="E441" s="42"/>
      <c r="F441" s="42"/>
      <c r="G441" s="43"/>
      <c r="H441" s="43"/>
      <c r="I441" s="44"/>
      <c r="J441" s="44"/>
      <c r="K441" s="44"/>
      <c r="L441" s="45"/>
      <c r="M441" s="46"/>
      <c r="N441" s="45"/>
      <c r="O441" s="47" t="str">
        <f aca="false">IF(OR($L441="",$M441=""),"",(DATE(Semana!$J$3,1,4)-WEEKDAY(DATE(Semana!$J$3,1,4),3))+($L441-1)*7+MATCH($M441,Listas!$F$5:$F$11,0)-1)</f>
        <v/>
      </c>
      <c r="P441" s="47" t="str">
        <f aca="false">IF(OR($F441="",$O441=""),"",$O441+MAX(0,ROUNDUP($AK441*MAX(1,IF($N441="",1,$N441))/MAX(1,$AL441),0)-1))</f>
        <v/>
      </c>
      <c r="Q441" s="48"/>
      <c r="R441" s="43"/>
      <c r="S441" s="49"/>
      <c r="T441" s="42"/>
      <c r="U441" s="42"/>
      <c r="V441" s="39" t="str">
        <f aca="false">IF($F441="","",IF(ISNUMBER(SEARCH("(externo)",$I441&amp;$J441&amp;$K441)),"Terceirizada","Interna"))</f>
        <v/>
      </c>
      <c r="W441" s="47" t="str">
        <f aca="false">IF($O441="","",IF($S441="",$O441,(DATE(Semana!$J$3,1,4)-WEEKDAY(DATE(Semana!$J$3,1,4),3))+($S441-1)*7+IF($M441="",0,MATCH($M441,Listas!$F$5:$F$11,0)-1)))</f>
        <v/>
      </c>
      <c r="X441" s="39" t="str">
        <f aca="false">IF($F441="","",IF(OR($AT441="",$O441=""),0,IF($AT441&lt;=$O441,1,0)))</f>
        <v/>
      </c>
      <c r="Y441" s="39" t="str">
        <f aca="false">IF($F441="","",IF(OR($AT441="",$W441=""),0,IF($AT441&lt;=$W441,1,0)))</f>
        <v/>
      </c>
      <c r="Z441" s="39" t="str">
        <f aca="false">IF(OR($AT441="",$O441=""),"",MAX(0,$AT441-$O441))</f>
        <v/>
      </c>
      <c r="AA441" s="39" t="str">
        <f aca="false">IF($F441="","",IF(AND($S441&lt;&gt;"",$L441&lt;&gt;"",$S441&lt;&gt;$L441),1,0))</f>
        <v/>
      </c>
      <c r="AB441" s="39" t="str">
        <f aca="false">IF($F441="","",IF($R441="Cancelada",0,IF(OR($AT441&lt;&gt;"",$R441="Concluída"),1,0)))</f>
        <v/>
      </c>
      <c r="AC441" s="39" t="n">
        <f aca="false">IF($P441="",0,IF($P441&lt;Hoje!$L$1,1,IF(AND($P441=Hoje!$L$1,Hoje!$L$2&gt;Semana!$M$3),1,0)))</f>
        <v>0</v>
      </c>
      <c r="AD441" s="39" t="str">
        <f aca="false">IF($F441="","",IF(COUNTA($I441:$K441)=0,0,1/COUNTA($I441:$K441)))</f>
        <v/>
      </c>
      <c r="AE441" s="39" t="str">
        <f aca="false">IF($AH441=0,"",SUM($AH$4:$AH441))</f>
        <v/>
      </c>
      <c r="AF441" s="39" t="str">
        <f aca="false">IF($AI441=0,"",SUM($AI$4:$AI441))</f>
        <v/>
      </c>
      <c r="AG441" s="50" t="str">
        <f aca="false">IF($F441="","",$I441&amp;IF($J441="",""," · "&amp;$J441)&amp;IF($K441="",""," · "&amp;$K441))</f>
        <v/>
      </c>
      <c r="AH441" s="39" t="n">
        <f aca="false">IF(AND($F441&lt;&gt;"",$O441&lt;&gt;"",$O441&lt;=Hoje!$C$3,$P441&gt;=Hoje!$C$3,$R441&lt;&gt;"Cancelada"),1,0)</f>
        <v>0</v>
      </c>
      <c r="AI441" s="39" t="n">
        <f aca="false">IF(AND($F441&lt;&gt;"",$P441&lt;&gt;"",$P441&lt;Hoje!$C$3,$AB441=0,$R441&lt;&gt;"Cancelada"),1,0)</f>
        <v>0</v>
      </c>
      <c r="AJ441" s="50" t="str">
        <f aca="false">IF($F441="","",$D441&amp;"|"&amp;$E441&amp;"|"&amp;$L441)</f>
        <v/>
      </c>
      <c r="AK441" s="39" t="str">
        <f aca="false">IF($AJ441="","",COUNTIF($AJ$4:$AJ441,$AJ441))</f>
        <v/>
      </c>
      <c r="AL441" s="39" t="str">
        <f aca="false">IF($AJ441="","",COUNTIF($AJ$4:$AJ$1004,$AJ441))</f>
        <v/>
      </c>
      <c r="AM441" s="42"/>
      <c r="AN441" s="50" t="str">
        <f aca="false">IF($D441="","",IFERROR(T(VLOOKUP($D441,Listas!$B$5:$H$120,7,0)),""))</f>
        <v/>
      </c>
      <c r="AO441" s="50" t="str">
        <f aca="false">IF(OR($F441="",$L441&lt;&gt;"",$R441="Cancelada",$AT441&lt;&gt;""),"",$AN441&amp;"|"&amp;$D441&amp;"|"&amp;IF($C441="","zzz",$C441)&amp;"|"&amp;TEXT(441,"0000"))</f>
        <v/>
      </c>
      <c r="AP441" s="50" t="str">
        <f aca="false">IF($AO441="","",COUNTIF($AO$5:$AO$1004,"&lt;"&amp;$AO441)-(ROWS($AO$5:$AO$1004)-Hoje!$L$5)+1)</f>
        <v/>
      </c>
      <c r="AQ441" s="50" t="n">
        <f aca="false">IF(AND($F441&lt;&gt;"",$D441=Frota!$C$3),1,0)</f>
        <v>0</v>
      </c>
      <c r="AR441" s="50" t="str">
        <f aca="false">IF($AQ441=0,"",SUM($AQ$4:$AQ441))</f>
        <v/>
      </c>
      <c r="AS441" s="50" t="str">
        <f aca="false">IFERROR(INDEX(Hoje!$K$10:$K$29,MATCH(ROW(),Hoje!$J$10:$J$29,0)),"")</f>
        <v/>
      </c>
      <c r="AT441" s="50" t="str">
        <f aca="false">IF($Q441&lt;&gt;"",$Q441,$AS441)</f>
        <v/>
      </c>
    </row>
    <row r="442" customFormat="false" ht="16.5" hidden="false" customHeight="true" outlineLevel="0" collapsed="false">
      <c r="A442" s="39" t="str">
        <f aca="false">IF($F442="","",ROW())</f>
        <v/>
      </c>
      <c r="B442" s="40" t="str">
        <f aca="false">IF($F442="",IF($D442="","","Falta a atividade"),IF($R442="Cancelada","Cancelada",IF($AB442=1,IF(N($Z442)&gt;0,"Concluída com atraso","Concluída"),IF($R442="Em programação","Em programação",IF($O442="",IF($M442="","Na carteira","Falta a semana"),IF($AC442=1,"VENCIDA",IF($O442&gt;Hoje!$L$1,"Programada",IF($P442&gt;Hoje!$L$1,"Em execução","Fecha hoje"))))))))</f>
        <v/>
      </c>
      <c r="C442" s="41"/>
      <c r="D442" s="42"/>
      <c r="E442" s="42"/>
      <c r="F442" s="42"/>
      <c r="G442" s="43"/>
      <c r="H442" s="43"/>
      <c r="I442" s="44"/>
      <c r="J442" s="44"/>
      <c r="K442" s="44"/>
      <c r="L442" s="45"/>
      <c r="M442" s="46"/>
      <c r="N442" s="45"/>
      <c r="O442" s="47" t="str">
        <f aca="false">IF(OR($L442="",$M442=""),"",(DATE(Semana!$J$3,1,4)-WEEKDAY(DATE(Semana!$J$3,1,4),3))+($L442-1)*7+MATCH($M442,Listas!$F$5:$F$11,0)-1)</f>
        <v/>
      </c>
      <c r="P442" s="47" t="str">
        <f aca="false">IF(OR($F442="",$O442=""),"",$O442+MAX(0,ROUNDUP($AK442*MAX(1,IF($N442="",1,$N442))/MAX(1,$AL442),0)-1))</f>
        <v/>
      </c>
      <c r="Q442" s="48"/>
      <c r="R442" s="43"/>
      <c r="S442" s="49"/>
      <c r="T442" s="42"/>
      <c r="U442" s="42"/>
      <c r="V442" s="39" t="str">
        <f aca="false">IF($F442="","",IF(ISNUMBER(SEARCH("(externo)",$I442&amp;$J442&amp;$K442)),"Terceirizada","Interna"))</f>
        <v/>
      </c>
      <c r="W442" s="47" t="str">
        <f aca="false">IF($O442="","",IF($S442="",$O442,(DATE(Semana!$J$3,1,4)-WEEKDAY(DATE(Semana!$J$3,1,4),3))+($S442-1)*7+IF($M442="",0,MATCH($M442,Listas!$F$5:$F$11,0)-1)))</f>
        <v/>
      </c>
      <c r="X442" s="39" t="str">
        <f aca="false">IF($F442="","",IF(OR($AT442="",$O442=""),0,IF($AT442&lt;=$O442,1,0)))</f>
        <v/>
      </c>
      <c r="Y442" s="39" t="str">
        <f aca="false">IF($F442="","",IF(OR($AT442="",$W442=""),0,IF($AT442&lt;=$W442,1,0)))</f>
        <v/>
      </c>
      <c r="Z442" s="39" t="str">
        <f aca="false">IF(OR($AT442="",$O442=""),"",MAX(0,$AT442-$O442))</f>
        <v/>
      </c>
      <c r="AA442" s="39" t="str">
        <f aca="false">IF($F442="","",IF(AND($S442&lt;&gt;"",$L442&lt;&gt;"",$S442&lt;&gt;$L442),1,0))</f>
        <v/>
      </c>
      <c r="AB442" s="39" t="str">
        <f aca="false">IF($F442="","",IF($R442="Cancelada",0,IF(OR($AT442&lt;&gt;"",$R442="Concluída"),1,0)))</f>
        <v/>
      </c>
      <c r="AC442" s="39" t="n">
        <f aca="false">IF($P442="",0,IF($P442&lt;Hoje!$L$1,1,IF(AND($P442=Hoje!$L$1,Hoje!$L$2&gt;Semana!$M$3),1,0)))</f>
        <v>0</v>
      </c>
      <c r="AD442" s="39" t="str">
        <f aca="false">IF($F442="","",IF(COUNTA($I442:$K442)=0,0,1/COUNTA($I442:$K442)))</f>
        <v/>
      </c>
      <c r="AE442" s="39" t="str">
        <f aca="false">IF($AH442=0,"",SUM($AH$4:$AH442))</f>
        <v/>
      </c>
      <c r="AF442" s="39" t="str">
        <f aca="false">IF($AI442=0,"",SUM($AI$4:$AI442))</f>
        <v/>
      </c>
      <c r="AG442" s="50" t="str">
        <f aca="false">IF($F442="","",$I442&amp;IF($J442="",""," · "&amp;$J442)&amp;IF($K442="",""," · "&amp;$K442))</f>
        <v/>
      </c>
      <c r="AH442" s="39" t="n">
        <f aca="false">IF(AND($F442&lt;&gt;"",$O442&lt;&gt;"",$O442&lt;=Hoje!$C$3,$P442&gt;=Hoje!$C$3,$R442&lt;&gt;"Cancelada"),1,0)</f>
        <v>0</v>
      </c>
      <c r="AI442" s="39" t="n">
        <f aca="false">IF(AND($F442&lt;&gt;"",$P442&lt;&gt;"",$P442&lt;Hoje!$C$3,$AB442=0,$R442&lt;&gt;"Cancelada"),1,0)</f>
        <v>0</v>
      </c>
      <c r="AJ442" s="50" t="str">
        <f aca="false">IF($F442="","",$D442&amp;"|"&amp;$E442&amp;"|"&amp;$L442)</f>
        <v/>
      </c>
      <c r="AK442" s="39" t="str">
        <f aca="false">IF($AJ442="","",COUNTIF($AJ$4:$AJ442,$AJ442))</f>
        <v/>
      </c>
      <c r="AL442" s="39" t="str">
        <f aca="false">IF($AJ442="","",COUNTIF($AJ$4:$AJ$1004,$AJ442))</f>
        <v/>
      </c>
      <c r="AM442" s="42"/>
      <c r="AN442" s="50" t="str">
        <f aca="false">IF($D442="","",IFERROR(T(VLOOKUP($D442,Listas!$B$5:$H$120,7,0)),""))</f>
        <v/>
      </c>
      <c r="AO442" s="50" t="str">
        <f aca="false">IF(OR($F442="",$L442&lt;&gt;"",$R442="Cancelada",$AT442&lt;&gt;""),"",$AN442&amp;"|"&amp;$D442&amp;"|"&amp;IF($C442="","zzz",$C442)&amp;"|"&amp;TEXT(442,"0000"))</f>
        <v/>
      </c>
      <c r="AP442" s="50" t="str">
        <f aca="false">IF($AO442="","",COUNTIF($AO$5:$AO$1004,"&lt;"&amp;$AO442)-(ROWS($AO$5:$AO$1004)-Hoje!$L$5)+1)</f>
        <v/>
      </c>
      <c r="AQ442" s="50" t="n">
        <f aca="false">IF(AND($F442&lt;&gt;"",$D442=Frota!$C$3),1,0)</f>
        <v>0</v>
      </c>
      <c r="AR442" s="50" t="str">
        <f aca="false">IF($AQ442=0,"",SUM($AQ$4:$AQ442))</f>
        <v/>
      </c>
      <c r="AS442" s="50" t="str">
        <f aca="false">IFERROR(INDEX(Hoje!$K$10:$K$29,MATCH(ROW(),Hoje!$J$10:$J$29,0)),"")</f>
        <v/>
      </c>
      <c r="AT442" s="50" t="str">
        <f aca="false">IF($Q442&lt;&gt;"",$Q442,$AS442)</f>
        <v/>
      </c>
    </row>
    <row r="443" customFormat="false" ht="16.5" hidden="false" customHeight="true" outlineLevel="0" collapsed="false">
      <c r="A443" s="39" t="str">
        <f aca="false">IF($F443="","",ROW())</f>
        <v/>
      </c>
      <c r="B443" s="40" t="str">
        <f aca="false">IF($F443="",IF($D443="","","Falta a atividade"),IF($R443="Cancelada","Cancelada",IF($AB443=1,IF(N($Z443)&gt;0,"Concluída com atraso","Concluída"),IF($R443="Em programação","Em programação",IF($O443="",IF($M443="","Na carteira","Falta a semana"),IF($AC443=1,"VENCIDA",IF($O443&gt;Hoje!$L$1,"Programada",IF($P443&gt;Hoje!$L$1,"Em execução","Fecha hoje"))))))))</f>
        <v/>
      </c>
      <c r="C443" s="41"/>
      <c r="D443" s="42"/>
      <c r="E443" s="42"/>
      <c r="F443" s="42"/>
      <c r="G443" s="43"/>
      <c r="H443" s="43"/>
      <c r="I443" s="44"/>
      <c r="J443" s="44"/>
      <c r="K443" s="44"/>
      <c r="L443" s="45"/>
      <c r="M443" s="46"/>
      <c r="N443" s="45"/>
      <c r="O443" s="47" t="str">
        <f aca="false">IF(OR($L443="",$M443=""),"",(DATE(Semana!$J$3,1,4)-WEEKDAY(DATE(Semana!$J$3,1,4),3))+($L443-1)*7+MATCH($M443,Listas!$F$5:$F$11,0)-1)</f>
        <v/>
      </c>
      <c r="P443" s="47" t="str">
        <f aca="false">IF(OR($F443="",$O443=""),"",$O443+MAX(0,ROUNDUP($AK443*MAX(1,IF($N443="",1,$N443))/MAX(1,$AL443),0)-1))</f>
        <v/>
      </c>
      <c r="Q443" s="48"/>
      <c r="R443" s="43"/>
      <c r="S443" s="49"/>
      <c r="T443" s="42"/>
      <c r="U443" s="42"/>
      <c r="V443" s="39" t="str">
        <f aca="false">IF($F443="","",IF(ISNUMBER(SEARCH("(externo)",$I443&amp;$J443&amp;$K443)),"Terceirizada","Interna"))</f>
        <v/>
      </c>
      <c r="W443" s="47" t="str">
        <f aca="false">IF($O443="","",IF($S443="",$O443,(DATE(Semana!$J$3,1,4)-WEEKDAY(DATE(Semana!$J$3,1,4),3))+($S443-1)*7+IF($M443="",0,MATCH($M443,Listas!$F$5:$F$11,0)-1)))</f>
        <v/>
      </c>
      <c r="X443" s="39" t="str">
        <f aca="false">IF($F443="","",IF(OR($AT443="",$O443=""),0,IF($AT443&lt;=$O443,1,0)))</f>
        <v/>
      </c>
      <c r="Y443" s="39" t="str">
        <f aca="false">IF($F443="","",IF(OR($AT443="",$W443=""),0,IF($AT443&lt;=$W443,1,0)))</f>
        <v/>
      </c>
      <c r="Z443" s="39" t="str">
        <f aca="false">IF(OR($AT443="",$O443=""),"",MAX(0,$AT443-$O443))</f>
        <v/>
      </c>
      <c r="AA443" s="39" t="str">
        <f aca="false">IF($F443="","",IF(AND($S443&lt;&gt;"",$L443&lt;&gt;"",$S443&lt;&gt;$L443),1,0))</f>
        <v/>
      </c>
      <c r="AB443" s="39" t="str">
        <f aca="false">IF($F443="","",IF($R443="Cancelada",0,IF(OR($AT443&lt;&gt;"",$R443="Concluída"),1,0)))</f>
        <v/>
      </c>
      <c r="AC443" s="39" t="n">
        <f aca="false">IF($P443="",0,IF($P443&lt;Hoje!$L$1,1,IF(AND($P443=Hoje!$L$1,Hoje!$L$2&gt;Semana!$M$3),1,0)))</f>
        <v>0</v>
      </c>
      <c r="AD443" s="39" t="str">
        <f aca="false">IF($F443="","",IF(COUNTA($I443:$K443)=0,0,1/COUNTA($I443:$K443)))</f>
        <v/>
      </c>
      <c r="AE443" s="39" t="str">
        <f aca="false">IF($AH443=0,"",SUM($AH$4:$AH443))</f>
        <v/>
      </c>
      <c r="AF443" s="39" t="str">
        <f aca="false">IF($AI443=0,"",SUM($AI$4:$AI443))</f>
        <v/>
      </c>
      <c r="AG443" s="50" t="str">
        <f aca="false">IF($F443="","",$I443&amp;IF($J443="",""," · "&amp;$J443)&amp;IF($K443="",""," · "&amp;$K443))</f>
        <v/>
      </c>
      <c r="AH443" s="39" t="n">
        <f aca="false">IF(AND($F443&lt;&gt;"",$O443&lt;&gt;"",$O443&lt;=Hoje!$C$3,$P443&gt;=Hoje!$C$3,$R443&lt;&gt;"Cancelada"),1,0)</f>
        <v>0</v>
      </c>
      <c r="AI443" s="39" t="n">
        <f aca="false">IF(AND($F443&lt;&gt;"",$P443&lt;&gt;"",$P443&lt;Hoje!$C$3,$AB443=0,$R443&lt;&gt;"Cancelada"),1,0)</f>
        <v>0</v>
      </c>
      <c r="AJ443" s="50" t="str">
        <f aca="false">IF($F443="","",$D443&amp;"|"&amp;$E443&amp;"|"&amp;$L443)</f>
        <v/>
      </c>
      <c r="AK443" s="39" t="str">
        <f aca="false">IF($AJ443="","",COUNTIF($AJ$4:$AJ443,$AJ443))</f>
        <v/>
      </c>
      <c r="AL443" s="39" t="str">
        <f aca="false">IF($AJ443="","",COUNTIF($AJ$4:$AJ$1004,$AJ443))</f>
        <v/>
      </c>
      <c r="AM443" s="42"/>
      <c r="AN443" s="50" t="str">
        <f aca="false">IF($D443="","",IFERROR(T(VLOOKUP($D443,Listas!$B$5:$H$120,7,0)),""))</f>
        <v/>
      </c>
      <c r="AO443" s="50" t="str">
        <f aca="false">IF(OR($F443="",$L443&lt;&gt;"",$R443="Cancelada",$AT443&lt;&gt;""),"",$AN443&amp;"|"&amp;$D443&amp;"|"&amp;IF($C443="","zzz",$C443)&amp;"|"&amp;TEXT(443,"0000"))</f>
        <v/>
      </c>
      <c r="AP443" s="50" t="str">
        <f aca="false">IF($AO443="","",COUNTIF($AO$5:$AO$1004,"&lt;"&amp;$AO443)-(ROWS($AO$5:$AO$1004)-Hoje!$L$5)+1)</f>
        <v/>
      </c>
      <c r="AQ443" s="50" t="n">
        <f aca="false">IF(AND($F443&lt;&gt;"",$D443=Frota!$C$3),1,0)</f>
        <v>0</v>
      </c>
      <c r="AR443" s="50" t="str">
        <f aca="false">IF($AQ443=0,"",SUM($AQ$4:$AQ443))</f>
        <v/>
      </c>
      <c r="AS443" s="50" t="str">
        <f aca="false">IFERROR(INDEX(Hoje!$K$10:$K$29,MATCH(ROW(),Hoje!$J$10:$J$29,0)),"")</f>
        <v/>
      </c>
      <c r="AT443" s="50" t="str">
        <f aca="false">IF($Q443&lt;&gt;"",$Q443,$AS443)</f>
        <v/>
      </c>
    </row>
    <row r="444" customFormat="false" ht="16.5" hidden="false" customHeight="true" outlineLevel="0" collapsed="false">
      <c r="A444" s="39" t="str">
        <f aca="false">IF($F444="","",ROW())</f>
        <v/>
      </c>
      <c r="B444" s="40" t="str">
        <f aca="false">IF($F444="",IF($D444="","","Falta a atividade"),IF($R444="Cancelada","Cancelada",IF($AB444=1,IF(N($Z444)&gt;0,"Concluída com atraso","Concluída"),IF($R444="Em programação","Em programação",IF($O444="",IF($M444="","Na carteira","Falta a semana"),IF($AC444=1,"VENCIDA",IF($O444&gt;Hoje!$L$1,"Programada",IF($P444&gt;Hoje!$L$1,"Em execução","Fecha hoje"))))))))</f>
        <v/>
      </c>
      <c r="C444" s="41"/>
      <c r="D444" s="42"/>
      <c r="E444" s="42"/>
      <c r="F444" s="42"/>
      <c r="G444" s="43"/>
      <c r="H444" s="43"/>
      <c r="I444" s="44"/>
      <c r="J444" s="44"/>
      <c r="K444" s="44"/>
      <c r="L444" s="45"/>
      <c r="M444" s="46"/>
      <c r="N444" s="45"/>
      <c r="O444" s="47" t="str">
        <f aca="false">IF(OR($L444="",$M444=""),"",(DATE(Semana!$J$3,1,4)-WEEKDAY(DATE(Semana!$J$3,1,4),3))+($L444-1)*7+MATCH($M444,Listas!$F$5:$F$11,0)-1)</f>
        <v/>
      </c>
      <c r="P444" s="47" t="str">
        <f aca="false">IF(OR($F444="",$O444=""),"",$O444+MAX(0,ROUNDUP($AK444*MAX(1,IF($N444="",1,$N444))/MAX(1,$AL444),0)-1))</f>
        <v/>
      </c>
      <c r="Q444" s="48"/>
      <c r="R444" s="43"/>
      <c r="S444" s="49"/>
      <c r="T444" s="42"/>
      <c r="U444" s="42"/>
      <c r="V444" s="39" t="str">
        <f aca="false">IF($F444="","",IF(ISNUMBER(SEARCH("(externo)",$I444&amp;$J444&amp;$K444)),"Terceirizada","Interna"))</f>
        <v/>
      </c>
      <c r="W444" s="47" t="str">
        <f aca="false">IF($O444="","",IF($S444="",$O444,(DATE(Semana!$J$3,1,4)-WEEKDAY(DATE(Semana!$J$3,1,4),3))+($S444-1)*7+IF($M444="",0,MATCH($M444,Listas!$F$5:$F$11,0)-1)))</f>
        <v/>
      </c>
      <c r="X444" s="39" t="str">
        <f aca="false">IF($F444="","",IF(OR($AT444="",$O444=""),0,IF($AT444&lt;=$O444,1,0)))</f>
        <v/>
      </c>
      <c r="Y444" s="39" t="str">
        <f aca="false">IF($F444="","",IF(OR($AT444="",$W444=""),0,IF($AT444&lt;=$W444,1,0)))</f>
        <v/>
      </c>
      <c r="Z444" s="39" t="str">
        <f aca="false">IF(OR($AT444="",$O444=""),"",MAX(0,$AT444-$O444))</f>
        <v/>
      </c>
      <c r="AA444" s="39" t="str">
        <f aca="false">IF($F444="","",IF(AND($S444&lt;&gt;"",$L444&lt;&gt;"",$S444&lt;&gt;$L444),1,0))</f>
        <v/>
      </c>
      <c r="AB444" s="39" t="str">
        <f aca="false">IF($F444="","",IF($R444="Cancelada",0,IF(OR($AT444&lt;&gt;"",$R444="Concluída"),1,0)))</f>
        <v/>
      </c>
      <c r="AC444" s="39" t="n">
        <f aca="false">IF($P444="",0,IF($P444&lt;Hoje!$L$1,1,IF(AND($P444=Hoje!$L$1,Hoje!$L$2&gt;Semana!$M$3),1,0)))</f>
        <v>0</v>
      </c>
      <c r="AD444" s="39" t="str">
        <f aca="false">IF($F444="","",IF(COUNTA($I444:$K444)=0,0,1/COUNTA($I444:$K444)))</f>
        <v/>
      </c>
      <c r="AE444" s="39" t="str">
        <f aca="false">IF($AH444=0,"",SUM($AH$4:$AH444))</f>
        <v/>
      </c>
      <c r="AF444" s="39" t="str">
        <f aca="false">IF($AI444=0,"",SUM($AI$4:$AI444))</f>
        <v/>
      </c>
      <c r="AG444" s="50" t="str">
        <f aca="false">IF($F444="","",$I444&amp;IF($J444="",""," · "&amp;$J444)&amp;IF($K444="",""," · "&amp;$K444))</f>
        <v/>
      </c>
      <c r="AH444" s="39" t="n">
        <f aca="false">IF(AND($F444&lt;&gt;"",$O444&lt;&gt;"",$O444&lt;=Hoje!$C$3,$P444&gt;=Hoje!$C$3,$R444&lt;&gt;"Cancelada"),1,0)</f>
        <v>0</v>
      </c>
      <c r="AI444" s="39" t="n">
        <f aca="false">IF(AND($F444&lt;&gt;"",$P444&lt;&gt;"",$P444&lt;Hoje!$C$3,$AB444=0,$R444&lt;&gt;"Cancelada"),1,0)</f>
        <v>0</v>
      </c>
      <c r="AJ444" s="50" t="str">
        <f aca="false">IF($F444="","",$D444&amp;"|"&amp;$E444&amp;"|"&amp;$L444)</f>
        <v/>
      </c>
      <c r="AK444" s="39" t="str">
        <f aca="false">IF($AJ444="","",COUNTIF($AJ$4:$AJ444,$AJ444))</f>
        <v/>
      </c>
      <c r="AL444" s="39" t="str">
        <f aca="false">IF($AJ444="","",COUNTIF($AJ$4:$AJ$1004,$AJ444))</f>
        <v/>
      </c>
      <c r="AM444" s="42"/>
      <c r="AN444" s="50" t="str">
        <f aca="false">IF($D444="","",IFERROR(T(VLOOKUP($D444,Listas!$B$5:$H$120,7,0)),""))</f>
        <v/>
      </c>
      <c r="AO444" s="50" t="str">
        <f aca="false">IF(OR($F444="",$L444&lt;&gt;"",$R444="Cancelada",$AT444&lt;&gt;""),"",$AN444&amp;"|"&amp;$D444&amp;"|"&amp;IF($C444="","zzz",$C444)&amp;"|"&amp;TEXT(444,"0000"))</f>
        <v/>
      </c>
      <c r="AP444" s="50" t="str">
        <f aca="false">IF($AO444="","",COUNTIF($AO$5:$AO$1004,"&lt;"&amp;$AO444)-(ROWS($AO$5:$AO$1004)-Hoje!$L$5)+1)</f>
        <v/>
      </c>
      <c r="AQ444" s="50" t="n">
        <f aca="false">IF(AND($F444&lt;&gt;"",$D444=Frota!$C$3),1,0)</f>
        <v>0</v>
      </c>
      <c r="AR444" s="50" t="str">
        <f aca="false">IF($AQ444=0,"",SUM($AQ$4:$AQ444))</f>
        <v/>
      </c>
      <c r="AS444" s="50" t="str">
        <f aca="false">IFERROR(INDEX(Hoje!$K$10:$K$29,MATCH(ROW(),Hoje!$J$10:$J$29,0)),"")</f>
        <v/>
      </c>
      <c r="AT444" s="50" t="str">
        <f aca="false">IF($Q444&lt;&gt;"",$Q444,$AS444)</f>
        <v/>
      </c>
    </row>
    <row r="445" customFormat="false" ht="16.5" hidden="false" customHeight="true" outlineLevel="0" collapsed="false">
      <c r="A445" s="39" t="str">
        <f aca="false">IF($F445="","",ROW())</f>
        <v/>
      </c>
      <c r="B445" s="40" t="str">
        <f aca="false">IF($F445="",IF($D445="","","Falta a atividade"),IF($R445="Cancelada","Cancelada",IF($AB445=1,IF(N($Z445)&gt;0,"Concluída com atraso","Concluída"),IF($R445="Em programação","Em programação",IF($O445="",IF($M445="","Na carteira","Falta a semana"),IF($AC445=1,"VENCIDA",IF($O445&gt;Hoje!$L$1,"Programada",IF($P445&gt;Hoje!$L$1,"Em execução","Fecha hoje"))))))))</f>
        <v/>
      </c>
      <c r="C445" s="41"/>
      <c r="D445" s="42"/>
      <c r="E445" s="42"/>
      <c r="F445" s="42"/>
      <c r="G445" s="43"/>
      <c r="H445" s="43"/>
      <c r="I445" s="44"/>
      <c r="J445" s="44"/>
      <c r="K445" s="44"/>
      <c r="L445" s="45"/>
      <c r="M445" s="46"/>
      <c r="N445" s="45"/>
      <c r="O445" s="47" t="str">
        <f aca="false">IF(OR($L445="",$M445=""),"",(DATE(Semana!$J$3,1,4)-WEEKDAY(DATE(Semana!$J$3,1,4),3))+($L445-1)*7+MATCH($M445,Listas!$F$5:$F$11,0)-1)</f>
        <v/>
      </c>
      <c r="P445" s="47" t="str">
        <f aca="false">IF(OR($F445="",$O445=""),"",$O445+MAX(0,ROUNDUP($AK445*MAX(1,IF($N445="",1,$N445))/MAX(1,$AL445),0)-1))</f>
        <v/>
      </c>
      <c r="Q445" s="48"/>
      <c r="R445" s="43"/>
      <c r="S445" s="49"/>
      <c r="T445" s="42"/>
      <c r="U445" s="42"/>
      <c r="V445" s="39" t="str">
        <f aca="false">IF($F445="","",IF(ISNUMBER(SEARCH("(externo)",$I445&amp;$J445&amp;$K445)),"Terceirizada","Interna"))</f>
        <v/>
      </c>
      <c r="W445" s="47" t="str">
        <f aca="false">IF($O445="","",IF($S445="",$O445,(DATE(Semana!$J$3,1,4)-WEEKDAY(DATE(Semana!$J$3,1,4),3))+($S445-1)*7+IF($M445="",0,MATCH($M445,Listas!$F$5:$F$11,0)-1)))</f>
        <v/>
      </c>
      <c r="X445" s="39" t="str">
        <f aca="false">IF($F445="","",IF(OR($AT445="",$O445=""),0,IF($AT445&lt;=$O445,1,0)))</f>
        <v/>
      </c>
      <c r="Y445" s="39" t="str">
        <f aca="false">IF($F445="","",IF(OR($AT445="",$W445=""),0,IF($AT445&lt;=$W445,1,0)))</f>
        <v/>
      </c>
      <c r="Z445" s="39" t="str">
        <f aca="false">IF(OR($AT445="",$O445=""),"",MAX(0,$AT445-$O445))</f>
        <v/>
      </c>
      <c r="AA445" s="39" t="str">
        <f aca="false">IF($F445="","",IF(AND($S445&lt;&gt;"",$L445&lt;&gt;"",$S445&lt;&gt;$L445),1,0))</f>
        <v/>
      </c>
      <c r="AB445" s="39" t="str">
        <f aca="false">IF($F445="","",IF($R445="Cancelada",0,IF(OR($AT445&lt;&gt;"",$R445="Concluída"),1,0)))</f>
        <v/>
      </c>
      <c r="AC445" s="39" t="n">
        <f aca="false">IF($P445="",0,IF($P445&lt;Hoje!$L$1,1,IF(AND($P445=Hoje!$L$1,Hoje!$L$2&gt;Semana!$M$3),1,0)))</f>
        <v>0</v>
      </c>
      <c r="AD445" s="39" t="str">
        <f aca="false">IF($F445="","",IF(COUNTA($I445:$K445)=0,0,1/COUNTA($I445:$K445)))</f>
        <v/>
      </c>
      <c r="AE445" s="39" t="str">
        <f aca="false">IF($AH445=0,"",SUM($AH$4:$AH445))</f>
        <v/>
      </c>
      <c r="AF445" s="39" t="str">
        <f aca="false">IF($AI445=0,"",SUM($AI$4:$AI445))</f>
        <v/>
      </c>
      <c r="AG445" s="50" t="str">
        <f aca="false">IF($F445="","",$I445&amp;IF($J445="",""," · "&amp;$J445)&amp;IF($K445="",""," · "&amp;$K445))</f>
        <v/>
      </c>
      <c r="AH445" s="39" t="n">
        <f aca="false">IF(AND($F445&lt;&gt;"",$O445&lt;&gt;"",$O445&lt;=Hoje!$C$3,$P445&gt;=Hoje!$C$3,$R445&lt;&gt;"Cancelada"),1,0)</f>
        <v>0</v>
      </c>
      <c r="AI445" s="39" t="n">
        <f aca="false">IF(AND($F445&lt;&gt;"",$P445&lt;&gt;"",$P445&lt;Hoje!$C$3,$AB445=0,$R445&lt;&gt;"Cancelada"),1,0)</f>
        <v>0</v>
      </c>
      <c r="AJ445" s="50" t="str">
        <f aca="false">IF($F445="","",$D445&amp;"|"&amp;$E445&amp;"|"&amp;$L445)</f>
        <v/>
      </c>
      <c r="AK445" s="39" t="str">
        <f aca="false">IF($AJ445="","",COUNTIF($AJ$4:$AJ445,$AJ445))</f>
        <v/>
      </c>
      <c r="AL445" s="39" t="str">
        <f aca="false">IF($AJ445="","",COUNTIF($AJ$4:$AJ$1004,$AJ445))</f>
        <v/>
      </c>
      <c r="AM445" s="42"/>
      <c r="AN445" s="50" t="str">
        <f aca="false">IF($D445="","",IFERROR(T(VLOOKUP($D445,Listas!$B$5:$H$120,7,0)),""))</f>
        <v/>
      </c>
      <c r="AO445" s="50" t="str">
        <f aca="false">IF(OR($F445="",$L445&lt;&gt;"",$R445="Cancelada",$AT445&lt;&gt;""),"",$AN445&amp;"|"&amp;$D445&amp;"|"&amp;IF($C445="","zzz",$C445)&amp;"|"&amp;TEXT(445,"0000"))</f>
        <v/>
      </c>
      <c r="AP445" s="50" t="str">
        <f aca="false">IF($AO445="","",COUNTIF($AO$5:$AO$1004,"&lt;"&amp;$AO445)-(ROWS($AO$5:$AO$1004)-Hoje!$L$5)+1)</f>
        <v/>
      </c>
      <c r="AQ445" s="50" t="n">
        <f aca="false">IF(AND($F445&lt;&gt;"",$D445=Frota!$C$3),1,0)</f>
        <v>0</v>
      </c>
      <c r="AR445" s="50" t="str">
        <f aca="false">IF($AQ445=0,"",SUM($AQ$4:$AQ445))</f>
        <v/>
      </c>
      <c r="AS445" s="50" t="str">
        <f aca="false">IFERROR(INDEX(Hoje!$K$10:$K$29,MATCH(ROW(),Hoje!$J$10:$J$29,0)),"")</f>
        <v/>
      </c>
      <c r="AT445" s="50" t="str">
        <f aca="false">IF($Q445&lt;&gt;"",$Q445,$AS445)</f>
        <v/>
      </c>
    </row>
    <row r="446" customFormat="false" ht="16.5" hidden="false" customHeight="true" outlineLevel="0" collapsed="false">
      <c r="A446" s="39" t="str">
        <f aca="false">IF($F446="","",ROW())</f>
        <v/>
      </c>
      <c r="B446" s="40" t="str">
        <f aca="false">IF($F446="",IF($D446="","","Falta a atividade"),IF($R446="Cancelada","Cancelada",IF($AB446=1,IF(N($Z446)&gt;0,"Concluída com atraso","Concluída"),IF($R446="Em programação","Em programação",IF($O446="",IF($M446="","Na carteira","Falta a semana"),IF($AC446=1,"VENCIDA",IF($O446&gt;Hoje!$L$1,"Programada",IF($P446&gt;Hoje!$L$1,"Em execução","Fecha hoje"))))))))</f>
        <v/>
      </c>
      <c r="C446" s="41"/>
      <c r="D446" s="42"/>
      <c r="E446" s="42"/>
      <c r="F446" s="42"/>
      <c r="G446" s="43"/>
      <c r="H446" s="43"/>
      <c r="I446" s="44"/>
      <c r="J446" s="44"/>
      <c r="K446" s="44"/>
      <c r="L446" s="45"/>
      <c r="M446" s="46"/>
      <c r="N446" s="45"/>
      <c r="O446" s="47" t="str">
        <f aca="false">IF(OR($L446="",$M446=""),"",(DATE(Semana!$J$3,1,4)-WEEKDAY(DATE(Semana!$J$3,1,4),3))+($L446-1)*7+MATCH($M446,Listas!$F$5:$F$11,0)-1)</f>
        <v/>
      </c>
      <c r="P446" s="47" t="str">
        <f aca="false">IF(OR($F446="",$O446=""),"",$O446+MAX(0,ROUNDUP($AK446*MAX(1,IF($N446="",1,$N446))/MAX(1,$AL446),0)-1))</f>
        <v/>
      </c>
      <c r="Q446" s="48"/>
      <c r="R446" s="43"/>
      <c r="S446" s="49"/>
      <c r="T446" s="42"/>
      <c r="U446" s="42"/>
      <c r="V446" s="39" t="str">
        <f aca="false">IF($F446="","",IF(ISNUMBER(SEARCH("(externo)",$I446&amp;$J446&amp;$K446)),"Terceirizada","Interna"))</f>
        <v/>
      </c>
      <c r="W446" s="47" t="str">
        <f aca="false">IF($O446="","",IF($S446="",$O446,(DATE(Semana!$J$3,1,4)-WEEKDAY(DATE(Semana!$J$3,1,4),3))+($S446-1)*7+IF($M446="",0,MATCH($M446,Listas!$F$5:$F$11,0)-1)))</f>
        <v/>
      </c>
      <c r="X446" s="39" t="str">
        <f aca="false">IF($F446="","",IF(OR($AT446="",$O446=""),0,IF($AT446&lt;=$O446,1,0)))</f>
        <v/>
      </c>
      <c r="Y446" s="39" t="str">
        <f aca="false">IF($F446="","",IF(OR($AT446="",$W446=""),0,IF($AT446&lt;=$W446,1,0)))</f>
        <v/>
      </c>
      <c r="Z446" s="39" t="str">
        <f aca="false">IF(OR($AT446="",$O446=""),"",MAX(0,$AT446-$O446))</f>
        <v/>
      </c>
      <c r="AA446" s="39" t="str">
        <f aca="false">IF($F446="","",IF(AND($S446&lt;&gt;"",$L446&lt;&gt;"",$S446&lt;&gt;$L446),1,0))</f>
        <v/>
      </c>
      <c r="AB446" s="39" t="str">
        <f aca="false">IF($F446="","",IF($R446="Cancelada",0,IF(OR($AT446&lt;&gt;"",$R446="Concluída"),1,0)))</f>
        <v/>
      </c>
      <c r="AC446" s="39" t="n">
        <f aca="false">IF($P446="",0,IF($P446&lt;Hoje!$L$1,1,IF(AND($P446=Hoje!$L$1,Hoje!$L$2&gt;Semana!$M$3),1,0)))</f>
        <v>0</v>
      </c>
      <c r="AD446" s="39" t="str">
        <f aca="false">IF($F446="","",IF(COUNTA($I446:$K446)=0,0,1/COUNTA($I446:$K446)))</f>
        <v/>
      </c>
      <c r="AE446" s="39" t="str">
        <f aca="false">IF($AH446=0,"",SUM($AH$4:$AH446))</f>
        <v/>
      </c>
      <c r="AF446" s="39" t="str">
        <f aca="false">IF($AI446=0,"",SUM($AI$4:$AI446))</f>
        <v/>
      </c>
      <c r="AG446" s="50" t="str">
        <f aca="false">IF($F446="","",$I446&amp;IF($J446="",""," · "&amp;$J446)&amp;IF($K446="",""," · "&amp;$K446))</f>
        <v/>
      </c>
      <c r="AH446" s="39" t="n">
        <f aca="false">IF(AND($F446&lt;&gt;"",$O446&lt;&gt;"",$O446&lt;=Hoje!$C$3,$P446&gt;=Hoje!$C$3,$R446&lt;&gt;"Cancelada"),1,0)</f>
        <v>0</v>
      </c>
      <c r="AI446" s="39" t="n">
        <f aca="false">IF(AND($F446&lt;&gt;"",$P446&lt;&gt;"",$P446&lt;Hoje!$C$3,$AB446=0,$R446&lt;&gt;"Cancelada"),1,0)</f>
        <v>0</v>
      </c>
      <c r="AJ446" s="50" t="str">
        <f aca="false">IF($F446="","",$D446&amp;"|"&amp;$E446&amp;"|"&amp;$L446)</f>
        <v/>
      </c>
      <c r="AK446" s="39" t="str">
        <f aca="false">IF($AJ446="","",COUNTIF($AJ$4:$AJ446,$AJ446))</f>
        <v/>
      </c>
      <c r="AL446" s="39" t="str">
        <f aca="false">IF($AJ446="","",COUNTIF($AJ$4:$AJ$1004,$AJ446))</f>
        <v/>
      </c>
      <c r="AM446" s="42"/>
      <c r="AN446" s="50" t="str">
        <f aca="false">IF($D446="","",IFERROR(T(VLOOKUP($D446,Listas!$B$5:$H$120,7,0)),""))</f>
        <v/>
      </c>
      <c r="AO446" s="50" t="str">
        <f aca="false">IF(OR($F446="",$L446&lt;&gt;"",$R446="Cancelada",$AT446&lt;&gt;""),"",$AN446&amp;"|"&amp;$D446&amp;"|"&amp;IF($C446="","zzz",$C446)&amp;"|"&amp;TEXT(446,"0000"))</f>
        <v/>
      </c>
      <c r="AP446" s="50" t="str">
        <f aca="false">IF($AO446="","",COUNTIF($AO$5:$AO$1004,"&lt;"&amp;$AO446)-(ROWS($AO$5:$AO$1004)-Hoje!$L$5)+1)</f>
        <v/>
      </c>
      <c r="AQ446" s="50" t="n">
        <f aca="false">IF(AND($F446&lt;&gt;"",$D446=Frota!$C$3),1,0)</f>
        <v>0</v>
      </c>
      <c r="AR446" s="50" t="str">
        <f aca="false">IF($AQ446=0,"",SUM($AQ$4:$AQ446))</f>
        <v/>
      </c>
      <c r="AS446" s="50" t="str">
        <f aca="false">IFERROR(INDEX(Hoje!$K$10:$K$29,MATCH(ROW(),Hoje!$J$10:$J$29,0)),"")</f>
        <v/>
      </c>
      <c r="AT446" s="50" t="str">
        <f aca="false">IF($Q446&lt;&gt;"",$Q446,$AS446)</f>
        <v/>
      </c>
    </row>
    <row r="447" customFormat="false" ht="16.5" hidden="false" customHeight="true" outlineLevel="0" collapsed="false">
      <c r="A447" s="39" t="str">
        <f aca="false">IF($F447="","",ROW())</f>
        <v/>
      </c>
      <c r="B447" s="40" t="str">
        <f aca="false">IF($F447="",IF($D447="","","Falta a atividade"),IF($R447="Cancelada","Cancelada",IF($AB447=1,IF(N($Z447)&gt;0,"Concluída com atraso","Concluída"),IF($R447="Em programação","Em programação",IF($O447="",IF($M447="","Na carteira","Falta a semana"),IF($AC447=1,"VENCIDA",IF($O447&gt;Hoje!$L$1,"Programada",IF($P447&gt;Hoje!$L$1,"Em execução","Fecha hoje"))))))))</f>
        <v/>
      </c>
      <c r="C447" s="41"/>
      <c r="D447" s="42"/>
      <c r="E447" s="42"/>
      <c r="F447" s="42"/>
      <c r="G447" s="43"/>
      <c r="H447" s="43"/>
      <c r="I447" s="44"/>
      <c r="J447" s="44"/>
      <c r="K447" s="44"/>
      <c r="L447" s="45"/>
      <c r="M447" s="46"/>
      <c r="N447" s="45"/>
      <c r="O447" s="47" t="str">
        <f aca="false">IF(OR($L447="",$M447=""),"",(DATE(Semana!$J$3,1,4)-WEEKDAY(DATE(Semana!$J$3,1,4),3))+($L447-1)*7+MATCH($M447,Listas!$F$5:$F$11,0)-1)</f>
        <v/>
      </c>
      <c r="P447" s="47" t="str">
        <f aca="false">IF(OR($F447="",$O447=""),"",$O447+MAX(0,ROUNDUP($AK447*MAX(1,IF($N447="",1,$N447))/MAX(1,$AL447),0)-1))</f>
        <v/>
      </c>
      <c r="Q447" s="48"/>
      <c r="R447" s="43"/>
      <c r="S447" s="49"/>
      <c r="T447" s="42"/>
      <c r="U447" s="42"/>
      <c r="V447" s="39" t="str">
        <f aca="false">IF($F447="","",IF(ISNUMBER(SEARCH("(externo)",$I447&amp;$J447&amp;$K447)),"Terceirizada","Interna"))</f>
        <v/>
      </c>
      <c r="W447" s="47" t="str">
        <f aca="false">IF($O447="","",IF($S447="",$O447,(DATE(Semana!$J$3,1,4)-WEEKDAY(DATE(Semana!$J$3,1,4),3))+($S447-1)*7+IF($M447="",0,MATCH($M447,Listas!$F$5:$F$11,0)-1)))</f>
        <v/>
      </c>
      <c r="X447" s="39" t="str">
        <f aca="false">IF($F447="","",IF(OR($AT447="",$O447=""),0,IF($AT447&lt;=$O447,1,0)))</f>
        <v/>
      </c>
      <c r="Y447" s="39" t="str">
        <f aca="false">IF($F447="","",IF(OR($AT447="",$W447=""),0,IF($AT447&lt;=$W447,1,0)))</f>
        <v/>
      </c>
      <c r="Z447" s="39" t="str">
        <f aca="false">IF(OR($AT447="",$O447=""),"",MAX(0,$AT447-$O447))</f>
        <v/>
      </c>
      <c r="AA447" s="39" t="str">
        <f aca="false">IF($F447="","",IF(AND($S447&lt;&gt;"",$L447&lt;&gt;"",$S447&lt;&gt;$L447),1,0))</f>
        <v/>
      </c>
      <c r="AB447" s="39" t="str">
        <f aca="false">IF($F447="","",IF($R447="Cancelada",0,IF(OR($AT447&lt;&gt;"",$R447="Concluída"),1,0)))</f>
        <v/>
      </c>
      <c r="AC447" s="39" t="n">
        <f aca="false">IF($P447="",0,IF($P447&lt;Hoje!$L$1,1,IF(AND($P447=Hoje!$L$1,Hoje!$L$2&gt;Semana!$M$3),1,0)))</f>
        <v>0</v>
      </c>
      <c r="AD447" s="39" t="str">
        <f aca="false">IF($F447="","",IF(COUNTA($I447:$K447)=0,0,1/COUNTA($I447:$K447)))</f>
        <v/>
      </c>
      <c r="AE447" s="39" t="str">
        <f aca="false">IF($AH447=0,"",SUM($AH$4:$AH447))</f>
        <v/>
      </c>
      <c r="AF447" s="39" t="str">
        <f aca="false">IF($AI447=0,"",SUM($AI$4:$AI447))</f>
        <v/>
      </c>
      <c r="AG447" s="50" t="str">
        <f aca="false">IF($F447="","",$I447&amp;IF($J447="",""," · "&amp;$J447)&amp;IF($K447="",""," · "&amp;$K447))</f>
        <v/>
      </c>
      <c r="AH447" s="39" t="n">
        <f aca="false">IF(AND($F447&lt;&gt;"",$O447&lt;&gt;"",$O447&lt;=Hoje!$C$3,$P447&gt;=Hoje!$C$3,$R447&lt;&gt;"Cancelada"),1,0)</f>
        <v>0</v>
      </c>
      <c r="AI447" s="39" t="n">
        <f aca="false">IF(AND($F447&lt;&gt;"",$P447&lt;&gt;"",$P447&lt;Hoje!$C$3,$AB447=0,$R447&lt;&gt;"Cancelada"),1,0)</f>
        <v>0</v>
      </c>
      <c r="AJ447" s="50" t="str">
        <f aca="false">IF($F447="","",$D447&amp;"|"&amp;$E447&amp;"|"&amp;$L447)</f>
        <v/>
      </c>
      <c r="AK447" s="39" t="str">
        <f aca="false">IF($AJ447="","",COUNTIF($AJ$4:$AJ447,$AJ447))</f>
        <v/>
      </c>
      <c r="AL447" s="39" t="str">
        <f aca="false">IF($AJ447="","",COUNTIF($AJ$4:$AJ$1004,$AJ447))</f>
        <v/>
      </c>
      <c r="AM447" s="42"/>
      <c r="AN447" s="50" t="str">
        <f aca="false">IF($D447="","",IFERROR(T(VLOOKUP($D447,Listas!$B$5:$H$120,7,0)),""))</f>
        <v/>
      </c>
      <c r="AO447" s="50" t="str">
        <f aca="false">IF(OR($F447="",$L447&lt;&gt;"",$R447="Cancelada",$AT447&lt;&gt;""),"",$AN447&amp;"|"&amp;$D447&amp;"|"&amp;IF($C447="","zzz",$C447)&amp;"|"&amp;TEXT(447,"0000"))</f>
        <v/>
      </c>
      <c r="AP447" s="50" t="str">
        <f aca="false">IF($AO447="","",COUNTIF($AO$5:$AO$1004,"&lt;"&amp;$AO447)-(ROWS($AO$5:$AO$1004)-Hoje!$L$5)+1)</f>
        <v/>
      </c>
      <c r="AQ447" s="50" t="n">
        <f aca="false">IF(AND($F447&lt;&gt;"",$D447=Frota!$C$3),1,0)</f>
        <v>0</v>
      </c>
      <c r="AR447" s="50" t="str">
        <f aca="false">IF($AQ447=0,"",SUM($AQ$4:$AQ447))</f>
        <v/>
      </c>
      <c r="AS447" s="50" t="str">
        <f aca="false">IFERROR(INDEX(Hoje!$K$10:$K$29,MATCH(ROW(),Hoje!$J$10:$J$29,0)),"")</f>
        <v/>
      </c>
      <c r="AT447" s="50" t="str">
        <f aca="false">IF($Q447&lt;&gt;"",$Q447,$AS447)</f>
        <v/>
      </c>
    </row>
    <row r="448" customFormat="false" ht="16.5" hidden="false" customHeight="true" outlineLevel="0" collapsed="false">
      <c r="A448" s="39" t="str">
        <f aca="false">IF($F448="","",ROW())</f>
        <v/>
      </c>
      <c r="B448" s="40" t="str">
        <f aca="false">IF($F448="",IF($D448="","","Falta a atividade"),IF($R448="Cancelada","Cancelada",IF($AB448=1,IF(N($Z448)&gt;0,"Concluída com atraso","Concluída"),IF($R448="Em programação","Em programação",IF($O448="",IF($M448="","Na carteira","Falta a semana"),IF($AC448=1,"VENCIDA",IF($O448&gt;Hoje!$L$1,"Programada",IF($P448&gt;Hoje!$L$1,"Em execução","Fecha hoje"))))))))</f>
        <v/>
      </c>
      <c r="C448" s="41"/>
      <c r="D448" s="42"/>
      <c r="E448" s="42"/>
      <c r="F448" s="42"/>
      <c r="G448" s="43"/>
      <c r="H448" s="43"/>
      <c r="I448" s="44"/>
      <c r="J448" s="44"/>
      <c r="K448" s="44"/>
      <c r="L448" s="45"/>
      <c r="M448" s="46"/>
      <c r="N448" s="45"/>
      <c r="O448" s="47" t="str">
        <f aca="false">IF(OR($L448="",$M448=""),"",(DATE(Semana!$J$3,1,4)-WEEKDAY(DATE(Semana!$J$3,1,4),3))+($L448-1)*7+MATCH($M448,Listas!$F$5:$F$11,0)-1)</f>
        <v/>
      </c>
      <c r="P448" s="47" t="str">
        <f aca="false">IF(OR($F448="",$O448=""),"",$O448+MAX(0,ROUNDUP($AK448*MAX(1,IF($N448="",1,$N448))/MAX(1,$AL448),0)-1))</f>
        <v/>
      </c>
      <c r="Q448" s="48"/>
      <c r="R448" s="43"/>
      <c r="S448" s="49"/>
      <c r="T448" s="42"/>
      <c r="U448" s="42"/>
      <c r="V448" s="39" t="str">
        <f aca="false">IF($F448="","",IF(ISNUMBER(SEARCH("(externo)",$I448&amp;$J448&amp;$K448)),"Terceirizada","Interna"))</f>
        <v/>
      </c>
      <c r="W448" s="47" t="str">
        <f aca="false">IF($O448="","",IF($S448="",$O448,(DATE(Semana!$J$3,1,4)-WEEKDAY(DATE(Semana!$J$3,1,4),3))+($S448-1)*7+IF($M448="",0,MATCH($M448,Listas!$F$5:$F$11,0)-1)))</f>
        <v/>
      </c>
      <c r="X448" s="39" t="str">
        <f aca="false">IF($F448="","",IF(OR($AT448="",$O448=""),0,IF($AT448&lt;=$O448,1,0)))</f>
        <v/>
      </c>
      <c r="Y448" s="39" t="str">
        <f aca="false">IF($F448="","",IF(OR($AT448="",$W448=""),0,IF($AT448&lt;=$W448,1,0)))</f>
        <v/>
      </c>
      <c r="Z448" s="39" t="str">
        <f aca="false">IF(OR($AT448="",$O448=""),"",MAX(0,$AT448-$O448))</f>
        <v/>
      </c>
      <c r="AA448" s="39" t="str">
        <f aca="false">IF($F448="","",IF(AND($S448&lt;&gt;"",$L448&lt;&gt;"",$S448&lt;&gt;$L448),1,0))</f>
        <v/>
      </c>
      <c r="AB448" s="39" t="str">
        <f aca="false">IF($F448="","",IF($R448="Cancelada",0,IF(OR($AT448&lt;&gt;"",$R448="Concluída"),1,0)))</f>
        <v/>
      </c>
      <c r="AC448" s="39" t="n">
        <f aca="false">IF($P448="",0,IF($P448&lt;Hoje!$L$1,1,IF(AND($P448=Hoje!$L$1,Hoje!$L$2&gt;Semana!$M$3),1,0)))</f>
        <v>0</v>
      </c>
      <c r="AD448" s="39" t="str">
        <f aca="false">IF($F448="","",IF(COUNTA($I448:$K448)=0,0,1/COUNTA($I448:$K448)))</f>
        <v/>
      </c>
      <c r="AE448" s="39" t="str">
        <f aca="false">IF($AH448=0,"",SUM($AH$4:$AH448))</f>
        <v/>
      </c>
      <c r="AF448" s="39" t="str">
        <f aca="false">IF($AI448=0,"",SUM($AI$4:$AI448))</f>
        <v/>
      </c>
      <c r="AG448" s="50" t="str">
        <f aca="false">IF($F448="","",$I448&amp;IF($J448="",""," · "&amp;$J448)&amp;IF($K448="",""," · "&amp;$K448))</f>
        <v/>
      </c>
      <c r="AH448" s="39" t="n">
        <f aca="false">IF(AND($F448&lt;&gt;"",$O448&lt;&gt;"",$O448&lt;=Hoje!$C$3,$P448&gt;=Hoje!$C$3,$R448&lt;&gt;"Cancelada"),1,0)</f>
        <v>0</v>
      </c>
      <c r="AI448" s="39" t="n">
        <f aca="false">IF(AND($F448&lt;&gt;"",$P448&lt;&gt;"",$P448&lt;Hoje!$C$3,$AB448=0,$R448&lt;&gt;"Cancelada"),1,0)</f>
        <v>0</v>
      </c>
      <c r="AJ448" s="50" t="str">
        <f aca="false">IF($F448="","",$D448&amp;"|"&amp;$E448&amp;"|"&amp;$L448)</f>
        <v/>
      </c>
      <c r="AK448" s="39" t="str">
        <f aca="false">IF($AJ448="","",COUNTIF($AJ$4:$AJ448,$AJ448))</f>
        <v/>
      </c>
      <c r="AL448" s="39" t="str">
        <f aca="false">IF($AJ448="","",COUNTIF($AJ$4:$AJ$1004,$AJ448))</f>
        <v/>
      </c>
      <c r="AM448" s="42"/>
      <c r="AN448" s="50" t="str">
        <f aca="false">IF($D448="","",IFERROR(T(VLOOKUP($D448,Listas!$B$5:$H$120,7,0)),""))</f>
        <v/>
      </c>
      <c r="AO448" s="50" t="str">
        <f aca="false">IF(OR($F448="",$L448&lt;&gt;"",$R448="Cancelada",$AT448&lt;&gt;""),"",$AN448&amp;"|"&amp;$D448&amp;"|"&amp;IF($C448="","zzz",$C448)&amp;"|"&amp;TEXT(448,"0000"))</f>
        <v/>
      </c>
      <c r="AP448" s="50" t="str">
        <f aca="false">IF($AO448="","",COUNTIF($AO$5:$AO$1004,"&lt;"&amp;$AO448)-(ROWS($AO$5:$AO$1004)-Hoje!$L$5)+1)</f>
        <v/>
      </c>
      <c r="AQ448" s="50" t="n">
        <f aca="false">IF(AND($F448&lt;&gt;"",$D448=Frota!$C$3),1,0)</f>
        <v>0</v>
      </c>
      <c r="AR448" s="50" t="str">
        <f aca="false">IF($AQ448=0,"",SUM($AQ$4:$AQ448))</f>
        <v/>
      </c>
      <c r="AS448" s="50" t="str">
        <f aca="false">IFERROR(INDEX(Hoje!$K$10:$K$29,MATCH(ROW(),Hoje!$J$10:$J$29,0)),"")</f>
        <v/>
      </c>
      <c r="AT448" s="50" t="str">
        <f aca="false">IF($Q448&lt;&gt;"",$Q448,$AS448)</f>
        <v/>
      </c>
    </row>
    <row r="449" customFormat="false" ht="16.5" hidden="false" customHeight="true" outlineLevel="0" collapsed="false">
      <c r="A449" s="39" t="str">
        <f aca="false">IF($F449="","",ROW())</f>
        <v/>
      </c>
      <c r="B449" s="40" t="str">
        <f aca="false">IF($F449="",IF($D449="","","Falta a atividade"),IF($R449="Cancelada","Cancelada",IF($AB449=1,IF(N($Z449)&gt;0,"Concluída com atraso","Concluída"),IF($R449="Em programação","Em programação",IF($O449="",IF($M449="","Na carteira","Falta a semana"),IF($AC449=1,"VENCIDA",IF($O449&gt;Hoje!$L$1,"Programada",IF($P449&gt;Hoje!$L$1,"Em execução","Fecha hoje"))))))))</f>
        <v/>
      </c>
      <c r="C449" s="41"/>
      <c r="D449" s="42"/>
      <c r="E449" s="42"/>
      <c r="F449" s="42"/>
      <c r="G449" s="43"/>
      <c r="H449" s="43"/>
      <c r="I449" s="44"/>
      <c r="J449" s="44"/>
      <c r="K449" s="44"/>
      <c r="L449" s="45"/>
      <c r="M449" s="46"/>
      <c r="N449" s="45"/>
      <c r="O449" s="47" t="str">
        <f aca="false">IF(OR($L449="",$M449=""),"",(DATE(Semana!$J$3,1,4)-WEEKDAY(DATE(Semana!$J$3,1,4),3))+($L449-1)*7+MATCH($M449,Listas!$F$5:$F$11,0)-1)</f>
        <v/>
      </c>
      <c r="P449" s="47" t="str">
        <f aca="false">IF(OR($F449="",$O449=""),"",$O449+MAX(0,ROUNDUP($AK449*MAX(1,IF($N449="",1,$N449))/MAX(1,$AL449),0)-1))</f>
        <v/>
      </c>
      <c r="Q449" s="48"/>
      <c r="R449" s="43"/>
      <c r="S449" s="49"/>
      <c r="T449" s="42"/>
      <c r="U449" s="42"/>
      <c r="V449" s="39" t="str">
        <f aca="false">IF($F449="","",IF(ISNUMBER(SEARCH("(externo)",$I449&amp;$J449&amp;$K449)),"Terceirizada","Interna"))</f>
        <v/>
      </c>
      <c r="W449" s="47" t="str">
        <f aca="false">IF($O449="","",IF($S449="",$O449,(DATE(Semana!$J$3,1,4)-WEEKDAY(DATE(Semana!$J$3,1,4),3))+($S449-1)*7+IF($M449="",0,MATCH($M449,Listas!$F$5:$F$11,0)-1)))</f>
        <v/>
      </c>
      <c r="X449" s="39" t="str">
        <f aca="false">IF($F449="","",IF(OR($AT449="",$O449=""),0,IF($AT449&lt;=$O449,1,0)))</f>
        <v/>
      </c>
      <c r="Y449" s="39" t="str">
        <f aca="false">IF($F449="","",IF(OR($AT449="",$W449=""),0,IF($AT449&lt;=$W449,1,0)))</f>
        <v/>
      </c>
      <c r="Z449" s="39" t="str">
        <f aca="false">IF(OR($AT449="",$O449=""),"",MAX(0,$AT449-$O449))</f>
        <v/>
      </c>
      <c r="AA449" s="39" t="str">
        <f aca="false">IF($F449="","",IF(AND($S449&lt;&gt;"",$L449&lt;&gt;"",$S449&lt;&gt;$L449),1,0))</f>
        <v/>
      </c>
      <c r="AB449" s="39" t="str">
        <f aca="false">IF($F449="","",IF($R449="Cancelada",0,IF(OR($AT449&lt;&gt;"",$R449="Concluída"),1,0)))</f>
        <v/>
      </c>
      <c r="AC449" s="39" t="n">
        <f aca="false">IF($P449="",0,IF($P449&lt;Hoje!$L$1,1,IF(AND($P449=Hoje!$L$1,Hoje!$L$2&gt;Semana!$M$3),1,0)))</f>
        <v>0</v>
      </c>
      <c r="AD449" s="39" t="str">
        <f aca="false">IF($F449="","",IF(COUNTA($I449:$K449)=0,0,1/COUNTA($I449:$K449)))</f>
        <v/>
      </c>
      <c r="AE449" s="39" t="str">
        <f aca="false">IF($AH449=0,"",SUM($AH$4:$AH449))</f>
        <v/>
      </c>
      <c r="AF449" s="39" t="str">
        <f aca="false">IF($AI449=0,"",SUM($AI$4:$AI449))</f>
        <v/>
      </c>
      <c r="AG449" s="50" t="str">
        <f aca="false">IF($F449="","",$I449&amp;IF($J449="",""," · "&amp;$J449)&amp;IF($K449="",""," · "&amp;$K449))</f>
        <v/>
      </c>
      <c r="AH449" s="39" t="n">
        <f aca="false">IF(AND($F449&lt;&gt;"",$O449&lt;&gt;"",$O449&lt;=Hoje!$C$3,$P449&gt;=Hoje!$C$3,$R449&lt;&gt;"Cancelada"),1,0)</f>
        <v>0</v>
      </c>
      <c r="AI449" s="39" t="n">
        <f aca="false">IF(AND($F449&lt;&gt;"",$P449&lt;&gt;"",$P449&lt;Hoje!$C$3,$AB449=0,$R449&lt;&gt;"Cancelada"),1,0)</f>
        <v>0</v>
      </c>
      <c r="AJ449" s="50" t="str">
        <f aca="false">IF($F449="","",$D449&amp;"|"&amp;$E449&amp;"|"&amp;$L449)</f>
        <v/>
      </c>
      <c r="AK449" s="39" t="str">
        <f aca="false">IF($AJ449="","",COUNTIF($AJ$4:$AJ449,$AJ449))</f>
        <v/>
      </c>
      <c r="AL449" s="39" t="str">
        <f aca="false">IF($AJ449="","",COUNTIF($AJ$4:$AJ$1004,$AJ449))</f>
        <v/>
      </c>
      <c r="AM449" s="42"/>
      <c r="AN449" s="50" t="str">
        <f aca="false">IF($D449="","",IFERROR(T(VLOOKUP($D449,Listas!$B$5:$H$120,7,0)),""))</f>
        <v/>
      </c>
      <c r="AO449" s="50" t="str">
        <f aca="false">IF(OR($F449="",$L449&lt;&gt;"",$R449="Cancelada",$AT449&lt;&gt;""),"",$AN449&amp;"|"&amp;$D449&amp;"|"&amp;IF($C449="","zzz",$C449)&amp;"|"&amp;TEXT(449,"0000"))</f>
        <v/>
      </c>
      <c r="AP449" s="50" t="str">
        <f aca="false">IF($AO449="","",COUNTIF($AO$5:$AO$1004,"&lt;"&amp;$AO449)-(ROWS($AO$5:$AO$1004)-Hoje!$L$5)+1)</f>
        <v/>
      </c>
      <c r="AQ449" s="50" t="n">
        <f aca="false">IF(AND($F449&lt;&gt;"",$D449=Frota!$C$3),1,0)</f>
        <v>0</v>
      </c>
      <c r="AR449" s="50" t="str">
        <f aca="false">IF($AQ449=0,"",SUM($AQ$4:$AQ449))</f>
        <v/>
      </c>
      <c r="AS449" s="50" t="str">
        <f aca="false">IFERROR(INDEX(Hoje!$K$10:$K$29,MATCH(ROW(),Hoje!$J$10:$J$29,0)),"")</f>
        <v/>
      </c>
      <c r="AT449" s="50" t="str">
        <f aca="false">IF($Q449&lt;&gt;"",$Q449,$AS449)</f>
        <v/>
      </c>
    </row>
    <row r="450" customFormat="false" ht="16.5" hidden="false" customHeight="true" outlineLevel="0" collapsed="false">
      <c r="A450" s="39" t="str">
        <f aca="false">IF($F450="","",ROW())</f>
        <v/>
      </c>
      <c r="B450" s="40" t="str">
        <f aca="false">IF($F450="",IF($D450="","","Falta a atividade"),IF($R450="Cancelada","Cancelada",IF($AB450=1,IF(N($Z450)&gt;0,"Concluída com atraso","Concluída"),IF($R450="Em programação","Em programação",IF($O450="",IF($M450="","Na carteira","Falta a semana"),IF($AC450=1,"VENCIDA",IF($O450&gt;Hoje!$L$1,"Programada",IF($P450&gt;Hoje!$L$1,"Em execução","Fecha hoje"))))))))</f>
        <v/>
      </c>
      <c r="C450" s="41"/>
      <c r="D450" s="42"/>
      <c r="E450" s="42"/>
      <c r="F450" s="42"/>
      <c r="G450" s="43"/>
      <c r="H450" s="43"/>
      <c r="I450" s="44"/>
      <c r="J450" s="44"/>
      <c r="K450" s="44"/>
      <c r="L450" s="45"/>
      <c r="M450" s="46"/>
      <c r="N450" s="45"/>
      <c r="O450" s="47" t="str">
        <f aca="false">IF(OR($L450="",$M450=""),"",(DATE(Semana!$J$3,1,4)-WEEKDAY(DATE(Semana!$J$3,1,4),3))+($L450-1)*7+MATCH($M450,Listas!$F$5:$F$11,0)-1)</f>
        <v/>
      </c>
      <c r="P450" s="47" t="str">
        <f aca="false">IF(OR($F450="",$O450=""),"",$O450+MAX(0,ROUNDUP($AK450*MAX(1,IF($N450="",1,$N450))/MAX(1,$AL450),0)-1))</f>
        <v/>
      </c>
      <c r="Q450" s="48"/>
      <c r="R450" s="43"/>
      <c r="S450" s="49"/>
      <c r="T450" s="42"/>
      <c r="U450" s="42"/>
      <c r="V450" s="39" t="str">
        <f aca="false">IF($F450="","",IF(ISNUMBER(SEARCH("(externo)",$I450&amp;$J450&amp;$K450)),"Terceirizada","Interna"))</f>
        <v/>
      </c>
      <c r="W450" s="47" t="str">
        <f aca="false">IF($O450="","",IF($S450="",$O450,(DATE(Semana!$J$3,1,4)-WEEKDAY(DATE(Semana!$J$3,1,4),3))+($S450-1)*7+IF($M450="",0,MATCH($M450,Listas!$F$5:$F$11,0)-1)))</f>
        <v/>
      </c>
      <c r="X450" s="39" t="str">
        <f aca="false">IF($F450="","",IF(OR($AT450="",$O450=""),0,IF($AT450&lt;=$O450,1,0)))</f>
        <v/>
      </c>
      <c r="Y450" s="39" t="str">
        <f aca="false">IF($F450="","",IF(OR($AT450="",$W450=""),0,IF($AT450&lt;=$W450,1,0)))</f>
        <v/>
      </c>
      <c r="Z450" s="39" t="str">
        <f aca="false">IF(OR($AT450="",$O450=""),"",MAX(0,$AT450-$O450))</f>
        <v/>
      </c>
      <c r="AA450" s="39" t="str">
        <f aca="false">IF($F450="","",IF(AND($S450&lt;&gt;"",$L450&lt;&gt;"",$S450&lt;&gt;$L450),1,0))</f>
        <v/>
      </c>
      <c r="AB450" s="39" t="str">
        <f aca="false">IF($F450="","",IF($R450="Cancelada",0,IF(OR($AT450&lt;&gt;"",$R450="Concluída"),1,0)))</f>
        <v/>
      </c>
      <c r="AC450" s="39" t="n">
        <f aca="false">IF($P450="",0,IF($P450&lt;Hoje!$L$1,1,IF(AND($P450=Hoje!$L$1,Hoje!$L$2&gt;Semana!$M$3),1,0)))</f>
        <v>0</v>
      </c>
      <c r="AD450" s="39" t="str">
        <f aca="false">IF($F450="","",IF(COUNTA($I450:$K450)=0,0,1/COUNTA($I450:$K450)))</f>
        <v/>
      </c>
      <c r="AE450" s="39" t="str">
        <f aca="false">IF($AH450=0,"",SUM($AH$4:$AH450))</f>
        <v/>
      </c>
      <c r="AF450" s="39" t="str">
        <f aca="false">IF($AI450=0,"",SUM($AI$4:$AI450))</f>
        <v/>
      </c>
      <c r="AG450" s="50" t="str">
        <f aca="false">IF($F450="","",$I450&amp;IF($J450="",""," · "&amp;$J450)&amp;IF($K450="",""," · "&amp;$K450))</f>
        <v/>
      </c>
      <c r="AH450" s="39" t="n">
        <f aca="false">IF(AND($F450&lt;&gt;"",$O450&lt;&gt;"",$O450&lt;=Hoje!$C$3,$P450&gt;=Hoje!$C$3,$R450&lt;&gt;"Cancelada"),1,0)</f>
        <v>0</v>
      </c>
      <c r="AI450" s="39" t="n">
        <f aca="false">IF(AND($F450&lt;&gt;"",$P450&lt;&gt;"",$P450&lt;Hoje!$C$3,$AB450=0,$R450&lt;&gt;"Cancelada"),1,0)</f>
        <v>0</v>
      </c>
      <c r="AJ450" s="50" t="str">
        <f aca="false">IF($F450="","",$D450&amp;"|"&amp;$E450&amp;"|"&amp;$L450)</f>
        <v/>
      </c>
      <c r="AK450" s="39" t="str">
        <f aca="false">IF($AJ450="","",COUNTIF($AJ$4:$AJ450,$AJ450))</f>
        <v/>
      </c>
      <c r="AL450" s="39" t="str">
        <f aca="false">IF($AJ450="","",COUNTIF($AJ$4:$AJ$1004,$AJ450))</f>
        <v/>
      </c>
      <c r="AM450" s="42"/>
      <c r="AN450" s="50" t="str">
        <f aca="false">IF($D450="","",IFERROR(T(VLOOKUP($D450,Listas!$B$5:$H$120,7,0)),""))</f>
        <v/>
      </c>
      <c r="AO450" s="50" t="str">
        <f aca="false">IF(OR($F450="",$L450&lt;&gt;"",$R450="Cancelada",$AT450&lt;&gt;""),"",$AN450&amp;"|"&amp;$D450&amp;"|"&amp;IF($C450="","zzz",$C450)&amp;"|"&amp;TEXT(450,"0000"))</f>
        <v/>
      </c>
      <c r="AP450" s="50" t="str">
        <f aca="false">IF($AO450="","",COUNTIF($AO$5:$AO$1004,"&lt;"&amp;$AO450)-(ROWS($AO$5:$AO$1004)-Hoje!$L$5)+1)</f>
        <v/>
      </c>
      <c r="AQ450" s="50" t="n">
        <f aca="false">IF(AND($F450&lt;&gt;"",$D450=Frota!$C$3),1,0)</f>
        <v>0</v>
      </c>
      <c r="AR450" s="50" t="str">
        <f aca="false">IF($AQ450=0,"",SUM($AQ$4:$AQ450))</f>
        <v/>
      </c>
      <c r="AS450" s="50" t="str">
        <f aca="false">IFERROR(INDEX(Hoje!$K$10:$K$29,MATCH(ROW(),Hoje!$J$10:$J$29,0)),"")</f>
        <v/>
      </c>
      <c r="AT450" s="50" t="str">
        <f aca="false">IF($Q450&lt;&gt;"",$Q450,$AS450)</f>
        <v/>
      </c>
    </row>
    <row r="451" customFormat="false" ht="16.5" hidden="false" customHeight="true" outlineLevel="0" collapsed="false">
      <c r="A451" s="39" t="str">
        <f aca="false">IF($F451="","",ROW())</f>
        <v/>
      </c>
      <c r="B451" s="40" t="str">
        <f aca="false">IF($F451="",IF($D451="","","Falta a atividade"),IF($R451="Cancelada","Cancelada",IF($AB451=1,IF(N($Z451)&gt;0,"Concluída com atraso","Concluída"),IF($R451="Em programação","Em programação",IF($O451="",IF($M451="","Na carteira","Falta a semana"),IF($AC451=1,"VENCIDA",IF($O451&gt;Hoje!$L$1,"Programada",IF($P451&gt;Hoje!$L$1,"Em execução","Fecha hoje"))))))))</f>
        <v/>
      </c>
      <c r="C451" s="41"/>
      <c r="D451" s="42"/>
      <c r="E451" s="42"/>
      <c r="F451" s="42"/>
      <c r="G451" s="43"/>
      <c r="H451" s="43"/>
      <c r="I451" s="44"/>
      <c r="J451" s="44"/>
      <c r="K451" s="44"/>
      <c r="L451" s="45"/>
      <c r="M451" s="46"/>
      <c r="N451" s="45"/>
      <c r="O451" s="47" t="str">
        <f aca="false">IF(OR($L451="",$M451=""),"",(DATE(Semana!$J$3,1,4)-WEEKDAY(DATE(Semana!$J$3,1,4),3))+($L451-1)*7+MATCH($M451,Listas!$F$5:$F$11,0)-1)</f>
        <v/>
      </c>
      <c r="P451" s="47" t="str">
        <f aca="false">IF(OR($F451="",$O451=""),"",$O451+MAX(0,ROUNDUP($AK451*MAX(1,IF($N451="",1,$N451))/MAX(1,$AL451),0)-1))</f>
        <v/>
      </c>
      <c r="Q451" s="48"/>
      <c r="R451" s="43"/>
      <c r="S451" s="49"/>
      <c r="T451" s="42"/>
      <c r="U451" s="42"/>
      <c r="V451" s="39" t="str">
        <f aca="false">IF($F451="","",IF(ISNUMBER(SEARCH("(externo)",$I451&amp;$J451&amp;$K451)),"Terceirizada","Interna"))</f>
        <v/>
      </c>
      <c r="W451" s="47" t="str">
        <f aca="false">IF($O451="","",IF($S451="",$O451,(DATE(Semana!$J$3,1,4)-WEEKDAY(DATE(Semana!$J$3,1,4),3))+($S451-1)*7+IF($M451="",0,MATCH($M451,Listas!$F$5:$F$11,0)-1)))</f>
        <v/>
      </c>
      <c r="X451" s="39" t="str">
        <f aca="false">IF($F451="","",IF(OR($AT451="",$O451=""),0,IF($AT451&lt;=$O451,1,0)))</f>
        <v/>
      </c>
      <c r="Y451" s="39" t="str">
        <f aca="false">IF($F451="","",IF(OR($AT451="",$W451=""),0,IF($AT451&lt;=$W451,1,0)))</f>
        <v/>
      </c>
      <c r="Z451" s="39" t="str">
        <f aca="false">IF(OR($AT451="",$O451=""),"",MAX(0,$AT451-$O451))</f>
        <v/>
      </c>
      <c r="AA451" s="39" t="str">
        <f aca="false">IF($F451="","",IF(AND($S451&lt;&gt;"",$L451&lt;&gt;"",$S451&lt;&gt;$L451),1,0))</f>
        <v/>
      </c>
      <c r="AB451" s="39" t="str">
        <f aca="false">IF($F451="","",IF($R451="Cancelada",0,IF(OR($AT451&lt;&gt;"",$R451="Concluída"),1,0)))</f>
        <v/>
      </c>
      <c r="AC451" s="39" t="n">
        <f aca="false">IF($P451="",0,IF($P451&lt;Hoje!$L$1,1,IF(AND($P451=Hoje!$L$1,Hoje!$L$2&gt;Semana!$M$3),1,0)))</f>
        <v>0</v>
      </c>
      <c r="AD451" s="39" t="str">
        <f aca="false">IF($F451="","",IF(COUNTA($I451:$K451)=0,0,1/COUNTA($I451:$K451)))</f>
        <v/>
      </c>
      <c r="AE451" s="39" t="str">
        <f aca="false">IF($AH451=0,"",SUM($AH$4:$AH451))</f>
        <v/>
      </c>
      <c r="AF451" s="39" t="str">
        <f aca="false">IF($AI451=0,"",SUM($AI$4:$AI451))</f>
        <v/>
      </c>
      <c r="AG451" s="50" t="str">
        <f aca="false">IF($F451="","",$I451&amp;IF($J451="",""," · "&amp;$J451)&amp;IF($K451="",""," · "&amp;$K451))</f>
        <v/>
      </c>
      <c r="AH451" s="39" t="n">
        <f aca="false">IF(AND($F451&lt;&gt;"",$O451&lt;&gt;"",$O451&lt;=Hoje!$C$3,$P451&gt;=Hoje!$C$3,$R451&lt;&gt;"Cancelada"),1,0)</f>
        <v>0</v>
      </c>
      <c r="AI451" s="39" t="n">
        <f aca="false">IF(AND($F451&lt;&gt;"",$P451&lt;&gt;"",$P451&lt;Hoje!$C$3,$AB451=0,$R451&lt;&gt;"Cancelada"),1,0)</f>
        <v>0</v>
      </c>
      <c r="AJ451" s="50" t="str">
        <f aca="false">IF($F451="","",$D451&amp;"|"&amp;$E451&amp;"|"&amp;$L451)</f>
        <v/>
      </c>
      <c r="AK451" s="39" t="str">
        <f aca="false">IF($AJ451="","",COUNTIF($AJ$4:$AJ451,$AJ451))</f>
        <v/>
      </c>
      <c r="AL451" s="39" t="str">
        <f aca="false">IF($AJ451="","",COUNTIF($AJ$4:$AJ$1004,$AJ451))</f>
        <v/>
      </c>
      <c r="AM451" s="42"/>
      <c r="AN451" s="50" t="str">
        <f aca="false">IF($D451="","",IFERROR(T(VLOOKUP($D451,Listas!$B$5:$H$120,7,0)),""))</f>
        <v/>
      </c>
      <c r="AO451" s="50" t="str">
        <f aca="false">IF(OR($F451="",$L451&lt;&gt;"",$R451="Cancelada",$AT451&lt;&gt;""),"",$AN451&amp;"|"&amp;$D451&amp;"|"&amp;IF($C451="","zzz",$C451)&amp;"|"&amp;TEXT(451,"0000"))</f>
        <v/>
      </c>
      <c r="AP451" s="50" t="str">
        <f aca="false">IF($AO451="","",COUNTIF($AO$5:$AO$1004,"&lt;"&amp;$AO451)-(ROWS($AO$5:$AO$1004)-Hoje!$L$5)+1)</f>
        <v/>
      </c>
      <c r="AQ451" s="50" t="n">
        <f aca="false">IF(AND($F451&lt;&gt;"",$D451=Frota!$C$3),1,0)</f>
        <v>0</v>
      </c>
      <c r="AR451" s="50" t="str">
        <f aca="false">IF($AQ451=0,"",SUM($AQ$4:$AQ451))</f>
        <v/>
      </c>
      <c r="AS451" s="50" t="str">
        <f aca="false">IFERROR(INDEX(Hoje!$K$10:$K$29,MATCH(ROW(),Hoje!$J$10:$J$29,0)),"")</f>
        <v/>
      </c>
      <c r="AT451" s="50" t="str">
        <f aca="false">IF($Q451&lt;&gt;"",$Q451,$AS451)</f>
        <v/>
      </c>
    </row>
    <row r="452" customFormat="false" ht="16.5" hidden="false" customHeight="true" outlineLevel="0" collapsed="false">
      <c r="A452" s="39" t="str">
        <f aca="false">IF($F452="","",ROW())</f>
        <v/>
      </c>
      <c r="B452" s="40" t="str">
        <f aca="false">IF($F452="",IF($D452="","","Falta a atividade"),IF($R452="Cancelada","Cancelada",IF($AB452=1,IF(N($Z452)&gt;0,"Concluída com atraso","Concluída"),IF($R452="Em programação","Em programação",IF($O452="",IF($M452="","Na carteira","Falta a semana"),IF($AC452=1,"VENCIDA",IF($O452&gt;Hoje!$L$1,"Programada",IF($P452&gt;Hoje!$L$1,"Em execução","Fecha hoje"))))))))</f>
        <v/>
      </c>
      <c r="C452" s="41"/>
      <c r="D452" s="42"/>
      <c r="E452" s="42"/>
      <c r="F452" s="42"/>
      <c r="G452" s="43"/>
      <c r="H452" s="43"/>
      <c r="I452" s="44"/>
      <c r="J452" s="44"/>
      <c r="K452" s="44"/>
      <c r="L452" s="45"/>
      <c r="M452" s="46"/>
      <c r="N452" s="45"/>
      <c r="O452" s="47" t="str">
        <f aca="false">IF(OR($L452="",$M452=""),"",(DATE(Semana!$J$3,1,4)-WEEKDAY(DATE(Semana!$J$3,1,4),3))+($L452-1)*7+MATCH($M452,Listas!$F$5:$F$11,0)-1)</f>
        <v/>
      </c>
      <c r="P452" s="47" t="str">
        <f aca="false">IF(OR($F452="",$O452=""),"",$O452+MAX(0,ROUNDUP($AK452*MAX(1,IF($N452="",1,$N452))/MAX(1,$AL452),0)-1))</f>
        <v/>
      </c>
      <c r="Q452" s="48"/>
      <c r="R452" s="43"/>
      <c r="S452" s="49"/>
      <c r="T452" s="42"/>
      <c r="U452" s="42"/>
      <c r="V452" s="39" t="str">
        <f aca="false">IF($F452="","",IF(ISNUMBER(SEARCH("(externo)",$I452&amp;$J452&amp;$K452)),"Terceirizada","Interna"))</f>
        <v/>
      </c>
      <c r="W452" s="47" t="str">
        <f aca="false">IF($O452="","",IF($S452="",$O452,(DATE(Semana!$J$3,1,4)-WEEKDAY(DATE(Semana!$J$3,1,4),3))+($S452-1)*7+IF($M452="",0,MATCH($M452,Listas!$F$5:$F$11,0)-1)))</f>
        <v/>
      </c>
      <c r="X452" s="39" t="str">
        <f aca="false">IF($F452="","",IF(OR($AT452="",$O452=""),0,IF($AT452&lt;=$O452,1,0)))</f>
        <v/>
      </c>
      <c r="Y452" s="39" t="str">
        <f aca="false">IF($F452="","",IF(OR($AT452="",$W452=""),0,IF($AT452&lt;=$W452,1,0)))</f>
        <v/>
      </c>
      <c r="Z452" s="39" t="str">
        <f aca="false">IF(OR($AT452="",$O452=""),"",MAX(0,$AT452-$O452))</f>
        <v/>
      </c>
      <c r="AA452" s="39" t="str">
        <f aca="false">IF($F452="","",IF(AND($S452&lt;&gt;"",$L452&lt;&gt;"",$S452&lt;&gt;$L452),1,0))</f>
        <v/>
      </c>
      <c r="AB452" s="39" t="str">
        <f aca="false">IF($F452="","",IF($R452="Cancelada",0,IF(OR($AT452&lt;&gt;"",$R452="Concluída"),1,0)))</f>
        <v/>
      </c>
      <c r="AC452" s="39" t="n">
        <f aca="false">IF($P452="",0,IF($P452&lt;Hoje!$L$1,1,IF(AND($P452=Hoje!$L$1,Hoje!$L$2&gt;Semana!$M$3),1,0)))</f>
        <v>0</v>
      </c>
      <c r="AD452" s="39" t="str">
        <f aca="false">IF($F452="","",IF(COUNTA($I452:$K452)=0,0,1/COUNTA($I452:$K452)))</f>
        <v/>
      </c>
      <c r="AE452" s="39" t="str">
        <f aca="false">IF($AH452=0,"",SUM($AH$4:$AH452))</f>
        <v/>
      </c>
      <c r="AF452" s="39" t="str">
        <f aca="false">IF($AI452=0,"",SUM($AI$4:$AI452))</f>
        <v/>
      </c>
      <c r="AG452" s="50" t="str">
        <f aca="false">IF($F452="","",$I452&amp;IF($J452="",""," · "&amp;$J452)&amp;IF($K452="",""," · "&amp;$K452))</f>
        <v/>
      </c>
      <c r="AH452" s="39" t="n">
        <f aca="false">IF(AND($F452&lt;&gt;"",$O452&lt;&gt;"",$O452&lt;=Hoje!$C$3,$P452&gt;=Hoje!$C$3,$R452&lt;&gt;"Cancelada"),1,0)</f>
        <v>0</v>
      </c>
      <c r="AI452" s="39" t="n">
        <f aca="false">IF(AND($F452&lt;&gt;"",$P452&lt;&gt;"",$P452&lt;Hoje!$C$3,$AB452=0,$R452&lt;&gt;"Cancelada"),1,0)</f>
        <v>0</v>
      </c>
      <c r="AJ452" s="50" t="str">
        <f aca="false">IF($F452="","",$D452&amp;"|"&amp;$E452&amp;"|"&amp;$L452)</f>
        <v/>
      </c>
      <c r="AK452" s="39" t="str">
        <f aca="false">IF($AJ452="","",COUNTIF($AJ$4:$AJ452,$AJ452))</f>
        <v/>
      </c>
      <c r="AL452" s="39" t="str">
        <f aca="false">IF($AJ452="","",COUNTIF($AJ$4:$AJ$1004,$AJ452))</f>
        <v/>
      </c>
      <c r="AM452" s="42"/>
      <c r="AN452" s="50" t="str">
        <f aca="false">IF($D452="","",IFERROR(T(VLOOKUP($D452,Listas!$B$5:$H$120,7,0)),""))</f>
        <v/>
      </c>
      <c r="AO452" s="50" t="str">
        <f aca="false">IF(OR($F452="",$L452&lt;&gt;"",$R452="Cancelada",$AT452&lt;&gt;""),"",$AN452&amp;"|"&amp;$D452&amp;"|"&amp;IF($C452="","zzz",$C452)&amp;"|"&amp;TEXT(452,"0000"))</f>
        <v/>
      </c>
      <c r="AP452" s="50" t="str">
        <f aca="false">IF($AO452="","",COUNTIF($AO$5:$AO$1004,"&lt;"&amp;$AO452)-(ROWS($AO$5:$AO$1004)-Hoje!$L$5)+1)</f>
        <v/>
      </c>
      <c r="AQ452" s="50" t="n">
        <f aca="false">IF(AND($F452&lt;&gt;"",$D452=Frota!$C$3),1,0)</f>
        <v>0</v>
      </c>
      <c r="AR452" s="50" t="str">
        <f aca="false">IF($AQ452=0,"",SUM($AQ$4:$AQ452))</f>
        <v/>
      </c>
      <c r="AS452" s="50" t="str">
        <f aca="false">IFERROR(INDEX(Hoje!$K$10:$K$29,MATCH(ROW(),Hoje!$J$10:$J$29,0)),"")</f>
        <v/>
      </c>
      <c r="AT452" s="50" t="str">
        <f aca="false">IF($Q452&lt;&gt;"",$Q452,$AS452)</f>
        <v/>
      </c>
    </row>
    <row r="453" customFormat="false" ht="16.5" hidden="false" customHeight="true" outlineLevel="0" collapsed="false">
      <c r="A453" s="39" t="str">
        <f aca="false">IF($F453="","",ROW())</f>
        <v/>
      </c>
      <c r="B453" s="40" t="str">
        <f aca="false">IF($F453="",IF($D453="","","Falta a atividade"),IF($R453="Cancelada","Cancelada",IF($AB453=1,IF(N($Z453)&gt;0,"Concluída com atraso","Concluída"),IF($R453="Em programação","Em programação",IF($O453="",IF($M453="","Na carteira","Falta a semana"),IF($AC453=1,"VENCIDA",IF($O453&gt;Hoje!$L$1,"Programada",IF($P453&gt;Hoje!$L$1,"Em execução","Fecha hoje"))))))))</f>
        <v/>
      </c>
      <c r="C453" s="41"/>
      <c r="D453" s="42"/>
      <c r="E453" s="42"/>
      <c r="F453" s="42"/>
      <c r="G453" s="43"/>
      <c r="H453" s="43"/>
      <c r="I453" s="44"/>
      <c r="J453" s="44"/>
      <c r="K453" s="44"/>
      <c r="L453" s="45"/>
      <c r="M453" s="46"/>
      <c r="N453" s="45"/>
      <c r="O453" s="47" t="str">
        <f aca="false">IF(OR($L453="",$M453=""),"",(DATE(Semana!$J$3,1,4)-WEEKDAY(DATE(Semana!$J$3,1,4),3))+($L453-1)*7+MATCH($M453,Listas!$F$5:$F$11,0)-1)</f>
        <v/>
      </c>
      <c r="P453" s="47" t="str">
        <f aca="false">IF(OR($F453="",$O453=""),"",$O453+MAX(0,ROUNDUP($AK453*MAX(1,IF($N453="",1,$N453))/MAX(1,$AL453),0)-1))</f>
        <v/>
      </c>
      <c r="Q453" s="48"/>
      <c r="R453" s="43"/>
      <c r="S453" s="49"/>
      <c r="T453" s="42"/>
      <c r="U453" s="42"/>
      <c r="V453" s="39" t="str">
        <f aca="false">IF($F453="","",IF(ISNUMBER(SEARCH("(externo)",$I453&amp;$J453&amp;$K453)),"Terceirizada","Interna"))</f>
        <v/>
      </c>
      <c r="W453" s="47" t="str">
        <f aca="false">IF($O453="","",IF($S453="",$O453,(DATE(Semana!$J$3,1,4)-WEEKDAY(DATE(Semana!$J$3,1,4),3))+($S453-1)*7+IF($M453="",0,MATCH($M453,Listas!$F$5:$F$11,0)-1)))</f>
        <v/>
      </c>
      <c r="X453" s="39" t="str">
        <f aca="false">IF($F453="","",IF(OR($AT453="",$O453=""),0,IF($AT453&lt;=$O453,1,0)))</f>
        <v/>
      </c>
      <c r="Y453" s="39" t="str">
        <f aca="false">IF($F453="","",IF(OR($AT453="",$W453=""),0,IF($AT453&lt;=$W453,1,0)))</f>
        <v/>
      </c>
      <c r="Z453" s="39" t="str">
        <f aca="false">IF(OR($AT453="",$O453=""),"",MAX(0,$AT453-$O453))</f>
        <v/>
      </c>
      <c r="AA453" s="39" t="str">
        <f aca="false">IF($F453="","",IF(AND($S453&lt;&gt;"",$L453&lt;&gt;"",$S453&lt;&gt;$L453),1,0))</f>
        <v/>
      </c>
      <c r="AB453" s="39" t="str">
        <f aca="false">IF($F453="","",IF($R453="Cancelada",0,IF(OR($AT453&lt;&gt;"",$R453="Concluída"),1,0)))</f>
        <v/>
      </c>
      <c r="AC453" s="39" t="n">
        <f aca="false">IF($P453="",0,IF($P453&lt;Hoje!$L$1,1,IF(AND($P453=Hoje!$L$1,Hoje!$L$2&gt;Semana!$M$3),1,0)))</f>
        <v>0</v>
      </c>
      <c r="AD453" s="39" t="str">
        <f aca="false">IF($F453="","",IF(COUNTA($I453:$K453)=0,0,1/COUNTA($I453:$K453)))</f>
        <v/>
      </c>
      <c r="AE453" s="39" t="str">
        <f aca="false">IF($AH453=0,"",SUM($AH$4:$AH453))</f>
        <v/>
      </c>
      <c r="AF453" s="39" t="str">
        <f aca="false">IF($AI453=0,"",SUM($AI$4:$AI453))</f>
        <v/>
      </c>
      <c r="AG453" s="50" t="str">
        <f aca="false">IF($F453="","",$I453&amp;IF($J453="",""," · "&amp;$J453)&amp;IF($K453="",""," · "&amp;$K453))</f>
        <v/>
      </c>
      <c r="AH453" s="39" t="n">
        <f aca="false">IF(AND($F453&lt;&gt;"",$O453&lt;&gt;"",$O453&lt;=Hoje!$C$3,$P453&gt;=Hoje!$C$3,$R453&lt;&gt;"Cancelada"),1,0)</f>
        <v>0</v>
      </c>
      <c r="AI453" s="39" t="n">
        <f aca="false">IF(AND($F453&lt;&gt;"",$P453&lt;&gt;"",$P453&lt;Hoje!$C$3,$AB453=0,$R453&lt;&gt;"Cancelada"),1,0)</f>
        <v>0</v>
      </c>
      <c r="AJ453" s="50" t="str">
        <f aca="false">IF($F453="","",$D453&amp;"|"&amp;$E453&amp;"|"&amp;$L453)</f>
        <v/>
      </c>
      <c r="AK453" s="39" t="str">
        <f aca="false">IF($AJ453="","",COUNTIF($AJ$4:$AJ453,$AJ453))</f>
        <v/>
      </c>
      <c r="AL453" s="39" t="str">
        <f aca="false">IF($AJ453="","",COUNTIF($AJ$4:$AJ$1004,$AJ453))</f>
        <v/>
      </c>
      <c r="AM453" s="42"/>
      <c r="AN453" s="50" t="str">
        <f aca="false">IF($D453="","",IFERROR(T(VLOOKUP($D453,Listas!$B$5:$H$120,7,0)),""))</f>
        <v/>
      </c>
      <c r="AO453" s="50" t="str">
        <f aca="false">IF(OR($F453="",$L453&lt;&gt;"",$R453="Cancelada",$AT453&lt;&gt;""),"",$AN453&amp;"|"&amp;$D453&amp;"|"&amp;IF($C453="","zzz",$C453)&amp;"|"&amp;TEXT(453,"0000"))</f>
        <v/>
      </c>
      <c r="AP453" s="50" t="str">
        <f aca="false">IF($AO453="","",COUNTIF($AO$5:$AO$1004,"&lt;"&amp;$AO453)-(ROWS($AO$5:$AO$1004)-Hoje!$L$5)+1)</f>
        <v/>
      </c>
      <c r="AQ453" s="50" t="n">
        <f aca="false">IF(AND($F453&lt;&gt;"",$D453=Frota!$C$3),1,0)</f>
        <v>0</v>
      </c>
      <c r="AR453" s="50" t="str">
        <f aca="false">IF($AQ453=0,"",SUM($AQ$4:$AQ453))</f>
        <v/>
      </c>
      <c r="AS453" s="50" t="str">
        <f aca="false">IFERROR(INDEX(Hoje!$K$10:$K$29,MATCH(ROW(),Hoje!$J$10:$J$29,0)),"")</f>
        <v/>
      </c>
      <c r="AT453" s="50" t="str">
        <f aca="false">IF($Q453&lt;&gt;"",$Q453,$AS453)</f>
        <v/>
      </c>
    </row>
    <row r="454" customFormat="false" ht="16.5" hidden="false" customHeight="true" outlineLevel="0" collapsed="false">
      <c r="A454" s="39" t="str">
        <f aca="false">IF($F454="","",ROW())</f>
        <v/>
      </c>
      <c r="B454" s="40" t="str">
        <f aca="false">IF($F454="",IF($D454="","","Falta a atividade"),IF($R454="Cancelada","Cancelada",IF($AB454=1,IF(N($Z454)&gt;0,"Concluída com atraso","Concluída"),IF($R454="Em programação","Em programação",IF($O454="",IF($M454="","Na carteira","Falta a semana"),IF($AC454=1,"VENCIDA",IF($O454&gt;Hoje!$L$1,"Programada",IF($P454&gt;Hoje!$L$1,"Em execução","Fecha hoje"))))))))</f>
        <v/>
      </c>
      <c r="C454" s="41"/>
      <c r="D454" s="42"/>
      <c r="E454" s="42"/>
      <c r="F454" s="42"/>
      <c r="G454" s="43"/>
      <c r="H454" s="43"/>
      <c r="I454" s="44"/>
      <c r="J454" s="44"/>
      <c r="K454" s="44"/>
      <c r="L454" s="45"/>
      <c r="M454" s="46"/>
      <c r="N454" s="45"/>
      <c r="O454" s="47" t="str">
        <f aca="false">IF(OR($L454="",$M454=""),"",(DATE(Semana!$J$3,1,4)-WEEKDAY(DATE(Semana!$J$3,1,4),3))+($L454-1)*7+MATCH($M454,Listas!$F$5:$F$11,0)-1)</f>
        <v/>
      </c>
      <c r="P454" s="47" t="str">
        <f aca="false">IF(OR($F454="",$O454=""),"",$O454+MAX(0,ROUNDUP($AK454*MAX(1,IF($N454="",1,$N454))/MAX(1,$AL454),0)-1))</f>
        <v/>
      </c>
      <c r="Q454" s="48"/>
      <c r="R454" s="43"/>
      <c r="S454" s="49"/>
      <c r="T454" s="42"/>
      <c r="U454" s="42"/>
      <c r="V454" s="39" t="str">
        <f aca="false">IF($F454="","",IF(ISNUMBER(SEARCH("(externo)",$I454&amp;$J454&amp;$K454)),"Terceirizada","Interna"))</f>
        <v/>
      </c>
      <c r="W454" s="47" t="str">
        <f aca="false">IF($O454="","",IF($S454="",$O454,(DATE(Semana!$J$3,1,4)-WEEKDAY(DATE(Semana!$J$3,1,4),3))+($S454-1)*7+IF($M454="",0,MATCH($M454,Listas!$F$5:$F$11,0)-1)))</f>
        <v/>
      </c>
      <c r="X454" s="39" t="str">
        <f aca="false">IF($F454="","",IF(OR($AT454="",$O454=""),0,IF($AT454&lt;=$O454,1,0)))</f>
        <v/>
      </c>
      <c r="Y454" s="39" t="str">
        <f aca="false">IF($F454="","",IF(OR($AT454="",$W454=""),0,IF($AT454&lt;=$W454,1,0)))</f>
        <v/>
      </c>
      <c r="Z454" s="39" t="str">
        <f aca="false">IF(OR($AT454="",$O454=""),"",MAX(0,$AT454-$O454))</f>
        <v/>
      </c>
      <c r="AA454" s="39" t="str">
        <f aca="false">IF($F454="","",IF(AND($S454&lt;&gt;"",$L454&lt;&gt;"",$S454&lt;&gt;$L454),1,0))</f>
        <v/>
      </c>
      <c r="AB454" s="39" t="str">
        <f aca="false">IF($F454="","",IF($R454="Cancelada",0,IF(OR($AT454&lt;&gt;"",$R454="Concluída"),1,0)))</f>
        <v/>
      </c>
      <c r="AC454" s="39" t="n">
        <f aca="false">IF($P454="",0,IF($P454&lt;Hoje!$L$1,1,IF(AND($P454=Hoje!$L$1,Hoje!$L$2&gt;Semana!$M$3),1,0)))</f>
        <v>0</v>
      </c>
      <c r="AD454" s="39" t="str">
        <f aca="false">IF($F454="","",IF(COUNTA($I454:$K454)=0,0,1/COUNTA($I454:$K454)))</f>
        <v/>
      </c>
      <c r="AE454" s="39" t="str">
        <f aca="false">IF($AH454=0,"",SUM($AH$4:$AH454))</f>
        <v/>
      </c>
      <c r="AF454" s="39" t="str">
        <f aca="false">IF($AI454=0,"",SUM($AI$4:$AI454))</f>
        <v/>
      </c>
      <c r="AG454" s="50" t="str">
        <f aca="false">IF($F454="","",$I454&amp;IF($J454="",""," · "&amp;$J454)&amp;IF($K454="",""," · "&amp;$K454))</f>
        <v/>
      </c>
      <c r="AH454" s="39" t="n">
        <f aca="false">IF(AND($F454&lt;&gt;"",$O454&lt;&gt;"",$O454&lt;=Hoje!$C$3,$P454&gt;=Hoje!$C$3,$R454&lt;&gt;"Cancelada"),1,0)</f>
        <v>0</v>
      </c>
      <c r="AI454" s="39" t="n">
        <f aca="false">IF(AND($F454&lt;&gt;"",$P454&lt;&gt;"",$P454&lt;Hoje!$C$3,$AB454=0,$R454&lt;&gt;"Cancelada"),1,0)</f>
        <v>0</v>
      </c>
      <c r="AJ454" s="50" t="str">
        <f aca="false">IF($F454="","",$D454&amp;"|"&amp;$E454&amp;"|"&amp;$L454)</f>
        <v/>
      </c>
      <c r="AK454" s="39" t="str">
        <f aca="false">IF($AJ454="","",COUNTIF($AJ$4:$AJ454,$AJ454))</f>
        <v/>
      </c>
      <c r="AL454" s="39" t="str">
        <f aca="false">IF($AJ454="","",COUNTIF($AJ$4:$AJ$1004,$AJ454))</f>
        <v/>
      </c>
      <c r="AM454" s="42"/>
      <c r="AN454" s="50" t="str">
        <f aca="false">IF($D454="","",IFERROR(T(VLOOKUP($D454,Listas!$B$5:$H$120,7,0)),""))</f>
        <v/>
      </c>
      <c r="AO454" s="50" t="str">
        <f aca="false">IF(OR($F454="",$L454&lt;&gt;"",$R454="Cancelada",$AT454&lt;&gt;""),"",$AN454&amp;"|"&amp;$D454&amp;"|"&amp;IF($C454="","zzz",$C454)&amp;"|"&amp;TEXT(454,"0000"))</f>
        <v/>
      </c>
      <c r="AP454" s="50" t="str">
        <f aca="false">IF($AO454="","",COUNTIF($AO$5:$AO$1004,"&lt;"&amp;$AO454)-(ROWS($AO$5:$AO$1004)-Hoje!$L$5)+1)</f>
        <v/>
      </c>
      <c r="AQ454" s="50" t="n">
        <f aca="false">IF(AND($F454&lt;&gt;"",$D454=Frota!$C$3),1,0)</f>
        <v>0</v>
      </c>
      <c r="AR454" s="50" t="str">
        <f aca="false">IF($AQ454=0,"",SUM($AQ$4:$AQ454))</f>
        <v/>
      </c>
      <c r="AS454" s="50" t="str">
        <f aca="false">IFERROR(INDEX(Hoje!$K$10:$K$29,MATCH(ROW(),Hoje!$J$10:$J$29,0)),"")</f>
        <v/>
      </c>
      <c r="AT454" s="50" t="str">
        <f aca="false">IF($Q454&lt;&gt;"",$Q454,$AS454)</f>
        <v/>
      </c>
    </row>
    <row r="455" customFormat="false" ht="16.5" hidden="false" customHeight="true" outlineLevel="0" collapsed="false">
      <c r="A455" s="39" t="str">
        <f aca="false">IF($F455="","",ROW())</f>
        <v/>
      </c>
      <c r="B455" s="40" t="str">
        <f aca="false">IF($F455="",IF($D455="","","Falta a atividade"),IF($R455="Cancelada","Cancelada",IF($AB455=1,IF(N($Z455)&gt;0,"Concluída com atraso","Concluída"),IF($R455="Em programação","Em programação",IF($O455="",IF($M455="","Na carteira","Falta a semana"),IF($AC455=1,"VENCIDA",IF($O455&gt;Hoje!$L$1,"Programada",IF($P455&gt;Hoje!$L$1,"Em execução","Fecha hoje"))))))))</f>
        <v/>
      </c>
      <c r="C455" s="41"/>
      <c r="D455" s="42"/>
      <c r="E455" s="42"/>
      <c r="F455" s="42"/>
      <c r="G455" s="43"/>
      <c r="H455" s="43"/>
      <c r="I455" s="44"/>
      <c r="J455" s="44"/>
      <c r="K455" s="44"/>
      <c r="L455" s="45"/>
      <c r="M455" s="46"/>
      <c r="N455" s="45"/>
      <c r="O455" s="47" t="str">
        <f aca="false">IF(OR($L455="",$M455=""),"",(DATE(Semana!$J$3,1,4)-WEEKDAY(DATE(Semana!$J$3,1,4),3))+($L455-1)*7+MATCH($M455,Listas!$F$5:$F$11,0)-1)</f>
        <v/>
      </c>
      <c r="P455" s="47" t="str">
        <f aca="false">IF(OR($F455="",$O455=""),"",$O455+MAX(0,ROUNDUP($AK455*MAX(1,IF($N455="",1,$N455))/MAX(1,$AL455),0)-1))</f>
        <v/>
      </c>
      <c r="Q455" s="48"/>
      <c r="R455" s="43"/>
      <c r="S455" s="49"/>
      <c r="T455" s="42"/>
      <c r="U455" s="42"/>
      <c r="V455" s="39" t="str">
        <f aca="false">IF($F455="","",IF(ISNUMBER(SEARCH("(externo)",$I455&amp;$J455&amp;$K455)),"Terceirizada","Interna"))</f>
        <v/>
      </c>
      <c r="W455" s="47" t="str">
        <f aca="false">IF($O455="","",IF($S455="",$O455,(DATE(Semana!$J$3,1,4)-WEEKDAY(DATE(Semana!$J$3,1,4),3))+($S455-1)*7+IF($M455="",0,MATCH($M455,Listas!$F$5:$F$11,0)-1)))</f>
        <v/>
      </c>
      <c r="X455" s="39" t="str">
        <f aca="false">IF($F455="","",IF(OR($AT455="",$O455=""),0,IF($AT455&lt;=$O455,1,0)))</f>
        <v/>
      </c>
      <c r="Y455" s="39" t="str">
        <f aca="false">IF($F455="","",IF(OR($AT455="",$W455=""),0,IF($AT455&lt;=$W455,1,0)))</f>
        <v/>
      </c>
      <c r="Z455" s="39" t="str">
        <f aca="false">IF(OR($AT455="",$O455=""),"",MAX(0,$AT455-$O455))</f>
        <v/>
      </c>
      <c r="AA455" s="39" t="str">
        <f aca="false">IF($F455="","",IF(AND($S455&lt;&gt;"",$L455&lt;&gt;"",$S455&lt;&gt;$L455),1,0))</f>
        <v/>
      </c>
      <c r="AB455" s="39" t="str">
        <f aca="false">IF($F455="","",IF($R455="Cancelada",0,IF(OR($AT455&lt;&gt;"",$R455="Concluída"),1,0)))</f>
        <v/>
      </c>
      <c r="AC455" s="39" t="n">
        <f aca="false">IF($P455="",0,IF($P455&lt;Hoje!$L$1,1,IF(AND($P455=Hoje!$L$1,Hoje!$L$2&gt;Semana!$M$3),1,0)))</f>
        <v>0</v>
      </c>
      <c r="AD455" s="39" t="str">
        <f aca="false">IF($F455="","",IF(COUNTA($I455:$K455)=0,0,1/COUNTA($I455:$K455)))</f>
        <v/>
      </c>
      <c r="AE455" s="39" t="str">
        <f aca="false">IF($AH455=0,"",SUM($AH$4:$AH455))</f>
        <v/>
      </c>
      <c r="AF455" s="39" t="str">
        <f aca="false">IF($AI455=0,"",SUM($AI$4:$AI455))</f>
        <v/>
      </c>
      <c r="AG455" s="50" t="str">
        <f aca="false">IF($F455="","",$I455&amp;IF($J455="",""," · "&amp;$J455)&amp;IF($K455="",""," · "&amp;$K455))</f>
        <v/>
      </c>
      <c r="AH455" s="39" t="n">
        <f aca="false">IF(AND($F455&lt;&gt;"",$O455&lt;&gt;"",$O455&lt;=Hoje!$C$3,$P455&gt;=Hoje!$C$3,$R455&lt;&gt;"Cancelada"),1,0)</f>
        <v>0</v>
      </c>
      <c r="AI455" s="39" t="n">
        <f aca="false">IF(AND($F455&lt;&gt;"",$P455&lt;&gt;"",$P455&lt;Hoje!$C$3,$AB455=0,$R455&lt;&gt;"Cancelada"),1,0)</f>
        <v>0</v>
      </c>
      <c r="AJ455" s="50" t="str">
        <f aca="false">IF($F455="","",$D455&amp;"|"&amp;$E455&amp;"|"&amp;$L455)</f>
        <v/>
      </c>
      <c r="AK455" s="39" t="str">
        <f aca="false">IF($AJ455="","",COUNTIF($AJ$4:$AJ455,$AJ455))</f>
        <v/>
      </c>
      <c r="AL455" s="39" t="str">
        <f aca="false">IF($AJ455="","",COUNTIF($AJ$4:$AJ$1004,$AJ455))</f>
        <v/>
      </c>
      <c r="AM455" s="42"/>
      <c r="AN455" s="50" t="str">
        <f aca="false">IF($D455="","",IFERROR(T(VLOOKUP($D455,Listas!$B$5:$H$120,7,0)),""))</f>
        <v/>
      </c>
      <c r="AO455" s="50" t="str">
        <f aca="false">IF(OR($F455="",$L455&lt;&gt;"",$R455="Cancelada",$AT455&lt;&gt;""),"",$AN455&amp;"|"&amp;$D455&amp;"|"&amp;IF($C455="","zzz",$C455)&amp;"|"&amp;TEXT(455,"0000"))</f>
        <v/>
      </c>
      <c r="AP455" s="50" t="str">
        <f aca="false">IF($AO455="","",COUNTIF($AO$5:$AO$1004,"&lt;"&amp;$AO455)-(ROWS($AO$5:$AO$1004)-Hoje!$L$5)+1)</f>
        <v/>
      </c>
      <c r="AQ455" s="50" t="n">
        <f aca="false">IF(AND($F455&lt;&gt;"",$D455=Frota!$C$3),1,0)</f>
        <v>0</v>
      </c>
      <c r="AR455" s="50" t="str">
        <f aca="false">IF($AQ455=0,"",SUM($AQ$4:$AQ455))</f>
        <v/>
      </c>
      <c r="AS455" s="50" t="str">
        <f aca="false">IFERROR(INDEX(Hoje!$K$10:$K$29,MATCH(ROW(),Hoje!$J$10:$J$29,0)),"")</f>
        <v/>
      </c>
      <c r="AT455" s="50" t="str">
        <f aca="false">IF($Q455&lt;&gt;"",$Q455,$AS455)</f>
        <v/>
      </c>
    </row>
    <row r="456" customFormat="false" ht="16.5" hidden="false" customHeight="true" outlineLevel="0" collapsed="false">
      <c r="A456" s="39" t="str">
        <f aca="false">IF($F456="","",ROW())</f>
        <v/>
      </c>
      <c r="B456" s="40" t="str">
        <f aca="false">IF($F456="",IF($D456="","","Falta a atividade"),IF($R456="Cancelada","Cancelada",IF($AB456=1,IF(N($Z456)&gt;0,"Concluída com atraso","Concluída"),IF($R456="Em programação","Em programação",IF($O456="",IF($M456="","Na carteira","Falta a semana"),IF($AC456=1,"VENCIDA",IF($O456&gt;Hoje!$L$1,"Programada",IF($P456&gt;Hoje!$L$1,"Em execução","Fecha hoje"))))))))</f>
        <v/>
      </c>
      <c r="C456" s="41"/>
      <c r="D456" s="42"/>
      <c r="E456" s="42"/>
      <c r="F456" s="42"/>
      <c r="G456" s="43"/>
      <c r="H456" s="43"/>
      <c r="I456" s="44"/>
      <c r="J456" s="44"/>
      <c r="K456" s="44"/>
      <c r="L456" s="45"/>
      <c r="M456" s="46"/>
      <c r="N456" s="45"/>
      <c r="O456" s="47" t="str">
        <f aca="false">IF(OR($L456="",$M456=""),"",(DATE(Semana!$J$3,1,4)-WEEKDAY(DATE(Semana!$J$3,1,4),3))+($L456-1)*7+MATCH($M456,Listas!$F$5:$F$11,0)-1)</f>
        <v/>
      </c>
      <c r="P456" s="47" t="str">
        <f aca="false">IF(OR($F456="",$O456=""),"",$O456+MAX(0,ROUNDUP($AK456*MAX(1,IF($N456="",1,$N456))/MAX(1,$AL456),0)-1))</f>
        <v/>
      </c>
      <c r="Q456" s="48"/>
      <c r="R456" s="43"/>
      <c r="S456" s="49"/>
      <c r="T456" s="42"/>
      <c r="U456" s="42"/>
      <c r="V456" s="39" t="str">
        <f aca="false">IF($F456="","",IF(ISNUMBER(SEARCH("(externo)",$I456&amp;$J456&amp;$K456)),"Terceirizada","Interna"))</f>
        <v/>
      </c>
      <c r="W456" s="47" t="str">
        <f aca="false">IF($O456="","",IF($S456="",$O456,(DATE(Semana!$J$3,1,4)-WEEKDAY(DATE(Semana!$J$3,1,4),3))+($S456-1)*7+IF($M456="",0,MATCH($M456,Listas!$F$5:$F$11,0)-1)))</f>
        <v/>
      </c>
      <c r="X456" s="39" t="str">
        <f aca="false">IF($F456="","",IF(OR($AT456="",$O456=""),0,IF($AT456&lt;=$O456,1,0)))</f>
        <v/>
      </c>
      <c r="Y456" s="39" t="str">
        <f aca="false">IF($F456="","",IF(OR($AT456="",$W456=""),0,IF($AT456&lt;=$W456,1,0)))</f>
        <v/>
      </c>
      <c r="Z456" s="39" t="str">
        <f aca="false">IF(OR($AT456="",$O456=""),"",MAX(0,$AT456-$O456))</f>
        <v/>
      </c>
      <c r="AA456" s="39" t="str">
        <f aca="false">IF($F456="","",IF(AND($S456&lt;&gt;"",$L456&lt;&gt;"",$S456&lt;&gt;$L456),1,0))</f>
        <v/>
      </c>
      <c r="AB456" s="39" t="str">
        <f aca="false">IF($F456="","",IF($R456="Cancelada",0,IF(OR($AT456&lt;&gt;"",$R456="Concluída"),1,0)))</f>
        <v/>
      </c>
      <c r="AC456" s="39" t="n">
        <f aca="false">IF($P456="",0,IF($P456&lt;Hoje!$L$1,1,IF(AND($P456=Hoje!$L$1,Hoje!$L$2&gt;Semana!$M$3),1,0)))</f>
        <v>0</v>
      </c>
      <c r="AD456" s="39" t="str">
        <f aca="false">IF($F456="","",IF(COUNTA($I456:$K456)=0,0,1/COUNTA($I456:$K456)))</f>
        <v/>
      </c>
      <c r="AE456" s="39" t="str">
        <f aca="false">IF($AH456=0,"",SUM($AH$4:$AH456))</f>
        <v/>
      </c>
      <c r="AF456" s="39" t="str">
        <f aca="false">IF($AI456=0,"",SUM($AI$4:$AI456))</f>
        <v/>
      </c>
      <c r="AG456" s="50" t="str">
        <f aca="false">IF($F456="","",$I456&amp;IF($J456="",""," · "&amp;$J456)&amp;IF($K456="",""," · "&amp;$K456))</f>
        <v/>
      </c>
      <c r="AH456" s="39" t="n">
        <f aca="false">IF(AND($F456&lt;&gt;"",$O456&lt;&gt;"",$O456&lt;=Hoje!$C$3,$P456&gt;=Hoje!$C$3,$R456&lt;&gt;"Cancelada"),1,0)</f>
        <v>0</v>
      </c>
      <c r="AI456" s="39" t="n">
        <f aca="false">IF(AND($F456&lt;&gt;"",$P456&lt;&gt;"",$P456&lt;Hoje!$C$3,$AB456=0,$R456&lt;&gt;"Cancelada"),1,0)</f>
        <v>0</v>
      </c>
      <c r="AJ456" s="50" t="str">
        <f aca="false">IF($F456="","",$D456&amp;"|"&amp;$E456&amp;"|"&amp;$L456)</f>
        <v/>
      </c>
      <c r="AK456" s="39" t="str">
        <f aca="false">IF($AJ456="","",COUNTIF($AJ$4:$AJ456,$AJ456))</f>
        <v/>
      </c>
      <c r="AL456" s="39" t="str">
        <f aca="false">IF($AJ456="","",COUNTIF($AJ$4:$AJ$1004,$AJ456))</f>
        <v/>
      </c>
      <c r="AM456" s="42"/>
      <c r="AN456" s="50" t="str">
        <f aca="false">IF($D456="","",IFERROR(T(VLOOKUP($D456,Listas!$B$5:$H$120,7,0)),""))</f>
        <v/>
      </c>
      <c r="AO456" s="50" t="str">
        <f aca="false">IF(OR($F456="",$L456&lt;&gt;"",$R456="Cancelada",$AT456&lt;&gt;""),"",$AN456&amp;"|"&amp;$D456&amp;"|"&amp;IF($C456="","zzz",$C456)&amp;"|"&amp;TEXT(456,"0000"))</f>
        <v/>
      </c>
      <c r="AP456" s="50" t="str">
        <f aca="false">IF($AO456="","",COUNTIF($AO$5:$AO$1004,"&lt;"&amp;$AO456)-(ROWS($AO$5:$AO$1004)-Hoje!$L$5)+1)</f>
        <v/>
      </c>
      <c r="AQ456" s="50" t="n">
        <f aca="false">IF(AND($F456&lt;&gt;"",$D456=Frota!$C$3),1,0)</f>
        <v>0</v>
      </c>
      <c r="AR456" s="50" t="str">
        <f aca="false">IF($AQ456=0,"",SUM($AQ$4:$AQ456))</f>
        <v/>
      </c>
      <c r="AS456" s="50" t="str">
        <f aca="false">IFERROR(INDEX(Hoje!$K$10:$K$29,MATCH(ROW(),Hoje!$J$10:$J$29,0)),"")</f>
        <v/>
      </c>
      <c r="AT456" s="50" t="str">
        <f aca="false">IF($Q456&lt;&gt;"",$Q456,$AS456)</f>
        <v/>
      </c>
    </row>
    <row r="457" customFormat="false" ht="16.5" hidden="false" customHeight="true" outlineLevel="0" collapsed="false">
      <c r="A457" s="39" t="str">
        <f aca="false">IF($F457="","",ROW())</f>
        <v/>
      </c>
      <c r="B457" s="40" t="str">
        <f aca="false">IF($F457="",IF($D457="","","Falta a atividade"),IF($R457="Cancelada","Cancelada",IF($AB457=1,IF(N($Z457)&gt;0,"Concluída com atraso","Concluída"),IF($R457="Em programação","Em programação",IF($O457="",IF($M457="","Na carteira","Falta a semana"),IF($AC457=1,"VENCIDA",IF($O457&gt;Hoje!$L$1,"Programada",IF($P457&gt;Hoje!$L$1,"Em execução","Fecha hoje"))))))))</f>
        <v/>
      </c>
      <c r="C457" s="41"/>
      <c r="D457" s="42"/>
      <c r="E457" s="42"/>
      <c r="F457" s="42"/>
      <c r="G457" s="43"/>
      <c r="H457" s="43"/>
      <c r="I457" s="44"/>
      <c r="J457" s="44"/>
      <c r="K457" s="44"/>
      <c r="L457" s="45"/>
      <c r="M457" s="46"/>
      <c r="N457" s="45"/>
      <c r="O457" s="47" t="str">
        <f aca="false">IF(OR($L457="",$M457=""),"",(DATE(Semana!$J$3,1,4)-WEEKDAY(DATE(Semana!$J$3,1,4),3))+($L457-1)*7+MATCH($M457,Listas!$F$5:$F$11,0)-1)</f>
        <v/>
      </c>
      <c r="P457" s="47" t="str">
        <f aca="false">IF(OR($F457="",$O457=""),"",$O457+MAX(0,ROUNDUP($AK457*MAX(1,IF($N457="",1,$N457))/MAX(1,$AL457),0)-1))</f>
        <v/>
      </c>
      <c r="Q457" s="48"/>
      <c r="R457" s="43"/>
      <c r="S457" s="49"/>
      <c r="T457" s="42"/>
      <c r="U457" s="42"/>
      <c r="V457" s="39" t="str">
        <f aca="false">IF($F457="","",IF(ISNUMBER(SEARCH("(externo)",$I457&amp;$J457&amp;$K457)),"Terceirizada","Interna"))</f>
        <v/>
      </c>
      <c r="W457" s="47" t="str">
        <f aca="false">IF($O457="","",IF($S457="",$O457,(DATE(Semana!$J$3,1,4)-WEEKDAY(DATE(Semana!$J$3,1,4),3))+($S457-1)*7+IF($M457="",0,MATCH($M457,Listas!$F$5:$F$11,0)-1)))</f>
        <v/>
      </c>
      <c r="X457" s="39" t="str">
        <f aca="false">IF($F457="","",IF(OR($AT457="",$O457=""),0,IF($AT457&lt;=$O457,1,0)))</f>
        <v/>
      </c>
      <c r="Y457" s="39" t="str">
        <f aca="false">IF($F457="","",IF(OR($AT457="",$W457=""),0,IF($AT457&lt;=$W457,1,0)))</f>
        <v/>
      </c>
      <c r="Z457" s="39" t="str">
        <f aca="false">IF(OR($AT457="",$O457=""),"",MAX(0,$AT457-$O457))</f>
        <v/>
      </c>
      <c r="AA457" s="39" t="str">
        <f aca="false">IF($F457="","",IF(AND($S457&lt;&gt;"",$L457&lt;&gt;"",$S457&lt;&gt;$L457),1,0))</f>
        <v/>
      </c>
      <c r="AB457" s="39" t="str">
        <f aca="false">IF($F457="","",IF($R457="Cancelada",0,IF(OR($AT457&lt;&gt;"",$R457="Concluída"),1,0)))</f>
        <v/>
      </c>
      <c r="AC457" s="39" t="n">
        <f aca="false">IF($P457="",0,IF($P457&lt;Hoje!$L$1,1,IF(AND($P457=Hoje!$L$1,Hoje!$L$2&gt;Semana!$M$3),1,0)))</f>
        <v>0</v>
      </c>
      <c r="AD457" s="39" t="str">
        <f aca="false">IF($F457="","",IF(COUNTA($I457:$K457)=0,0,1/COUNTA($I457:$K457)))</f>
        <v/>
      </c>
      <c r="AE457" s="39" t="str">
        <f aca="false">IF($AH457=0,"",SUM($AH$4:$AH457))</f>
        <v/>
      </c>
      <c r="AF457" s="39" t="str">
        <f aca="false">IF($AI457=0,"",SUM($AI$4:$AI457))</f>
        <v/>
      </c>
      <c r="AG457" s="50" t="str">
        <f aca="false">IF($F457="","",$I457&amp;IF($J457="",""," · "&amp;$J457)&amp;IF($K457="",""," · "&amp;$K457))</f>
        <v/>
      </c>
      <c r="AH457" s="39" t="n">
        <f aca="false">IF(AND($F457&lt;&gt;"",$O457&lt;&gt;"",$O457&lt;=Hoje!$C$3,$P457&gt;=Hoje!$C$3,$R457&lt;&gt;"Cancelada"),1,0)</f>
        <v>0</v>
      </c>
      <c r="AI457" s="39" t="n">
        <f aca="false">IF(AND($F457&lt;&gt;"",$P457&lt;&gt;"",$P457&lt;Hoje!$C$3,$AB457=0,$R457&lt;&gt;"Cancelada"),1,0)</f>
        <v>0</v>
      </c>
      <c r="AJ457" s="50" t="str">
        <f aca="false">IF($F457="","",$D457&amp;"|"&amp;$E457&amp;"|"&amp;$L457)</f>
        <v/>
      </c>
      <c r="AK457" s="39" t="str">
        <f aca="false">IF($AJ457="","",COUNTIF($AJ$4:$AJ457,$AJ457))</f>
        <v/>
      </c>
      <c r="AL457" s="39" t="str">
        <f aca="false">IF($AJ457="","",COUNTIF($AJ$4:$AJ$1004,$AJ457))</f>
        <v/>
      </c>
      <c r="AM457" s="42"/>
      <c r="AN457" s="50" t="str">
        <f aca="false">IF($D457="","",IFERROR(T(VLOOKUP($D457,Listas!$B$5:$H$120,7,0)),""))</f>
        <v/>
      </c>
      <c r="AO457" s="50" t="str">
        <f aca="false">IF(OR($F457="",$L457&lt;&gt;"",$R457="Cancelada",$AT457&lt;&gt;""),"",$AN457&amp;"|"&amp;$D457&amp;"|"&amp;IF($C457="","zzz",$C457)&amp;"|"&amp;TEXT(457,"0000"))</f>
        <v/>
      </c>
      <c r="AP457" s="50" t="str">
        <f aca="false">IF($AO457="","",COUNTIF($AO$5:$AO$1004,"&lt;"&amp;$AO457)-(ROWS($AO$5:$AO$1004)-Hoje!$L$5)+1)</f>
        <v/>
      </c>
      <c r="AQ457" s="50" t="n">
        <f aca="false">IF(AND($F457&lt;&gt;"",$D457=Frota!$C$3),1,0)</f>
        <v>0</v>
      </c>
      <c r="AR457" s="50" t="str">
        <f aca="false">IF($AQ457=0,"",SUM($AQ$4:$AQ457))</f>
        <v/>
      </c>
      <c r="AS457" s="50" t="str">
        <f aca="false">IFERROR(INDEX(Hoje!$K$10:$K$29,MATCH(ROW(),Hoje!$J$10:$J$29,0)),"")</f>
        <v/>
      </c>
      <c r="AT457" s="50" t="str">
        <f aca="false">IF($Q457&lt;&gt;"",$Q457,$AS457)</f>
        <v/>
      </c>
    </row>
    <row r="458" customFormat="false" ht="16.5" hidden="false" customHeight="true" outlineLevel="0" collapsed="false">
      <c r="A458" s="39" t="str">
        <f aca="false">IF($F458="","",ROW())</f>
        <v/>
      </c>
      <c r="B458" s="40" t="str">
        <f aca="false">IF($F458="",IF($D458="","","Falta a atividade"),IF($R458="Cancelada","Cancelada",IF($AB458=1,IF(N($Z458)&gt;0,"Concluída com atraso","Concluída"),IF($R458="Em programação","Em programação",IF($O458="",IF($M458="","Na carteira","Falta a semana"),IF($AC458=1,"VENCIDA",IF($O458&gt;Hoje!$L$1,"Programada",IF($P458&gt;Hoje!$L$1,"Em execução","Fecha hoje"))))))))</f>
        <v/>
      </c>
      <c r="C458" s="41"/>
      <c r="D458" s="42"/>
      <c r="E458" s="42"/>
      <c r="F458" s="42"/>
      <c r="G458" s="43"/>
      <c r="H458" s="43"/>
      <c r="I458" s="44"/>
      <c r="J458" s="44"/>
      <c r="K458" s="44"/>
      <c r="L458" s="45"/>
      <c r="M458" s="46"/>
      <c r="N458" s="45"/>
      <c r="O458" s="47" t="str">
        <f aca="false">IF(OR($L458="",$M458=""),"",(DATE(Semana!$J$3,1,4)-WEEKDAY(DATE(Semana!$J$3,1,4),3))+($L458-1)*7+MATCH($M458,Listas!$F$5:$F$11,0)-1)</f>
        <v/>
      </c>
      <c r="P458" s="47" t="str">
        <f aca="false">IF(OR($F458="",$O458=""),"",$O458+MAX(0,ROUNDUP($AK458*MAX(1,IF($N458="",1,$N458))/MAX(1,$AL458),0)-1))</f>
        <v/>
      </c>
      <c r="Q458" s="48"/>
      <c r="R458" s="43"/>
      <c r="S458" s="49"/>
      <c r="T458" s="42"/>
      <c r="U458" s="42"/>
      <c r="V458" s="39" t="str">
        <f aca="false">IF($F458="","",IF(ISNUMBER(SEARCH("(externo)",$I458&amp;$J458&amp;$K458)),"Terceirizada","Interna"))</f>
        <v/>
      </c>
      <c r="W458" s="47" t="str">
        <f aca="false">IF($O458="","",IF($S458="",$O458,(DATE(Semana!$J$3,1,4)-WEEKDAY(DATE(Semana!$J$3,1,4),3))+($S458-1)*7+IF($M458="",0,MATCH($M458,Listas!$F$5:$F$11,0)-1)))</f>
        <v/>
      </c>
      <c r="X458" s="39" t="str">
        <f aca="false">IF($F458="","",IF(OR($AT458="",$O458=""),0,IF($AT458&lt;=$O458,1,0)))</f>
        <v/>
      </c>
      <c r="Y458" s="39" t="str">
        <f aca="false">IF($F458="","",IF(OR($AT458="",$W458=""),0,IF($AT458&lt;=$W458,1,0)))</f>
        <v/>
      </c>
      <c r="Z458" s="39" t="str">
        <f aca="false">IF(OR($AT458="",$O458=""),"",MAX(0,$AT458-$O458))</f>
        <v/>
      </c>
      <c r="AA458" s="39" t="str">
        <f aca="false">IF($F458="","",IF(AND($S458&lt;&gt;"",$L458&lt;&gt;"",$S458&lt;&gt;$L458),1,0))</f>
        <v/>
      </c>
      <c r="AB458" s="39" t="str">
        <f aca="false">IF($F458="","",IF($R458="Cancelada",0,IF(OR($AT458&lt;&gt;"",$R458="Concluída"),1,0)))</f>
        <v/>
      </c>
      <c r="AC458" s="39" t="n">
        <f aca="false">IF($P458="",0,IF($P458&lt;Hoje!$L$1,1,IF(AND($P458=Hoje!$L$1,Hoje!$L$2&gt;Semana!$M$3),1,0)))</f>
        <v>0</v>
      </c>
      <c r="AD458" s="39" t="str">
        <f aca="false">IF($F458="","",IF(COUNTA($I458:$K458)=0,0,1/COUNTA($I458:$K458)))</f>
        <v/>
      </c>
      <c r="AE458" s="39" t="str">
        <f aca="false">IF($AH458=0,"",SUM($AH$4:$AH458))</f>
        <v/>
      </c>
      <c r="AF458" s="39" t="str">
        <f aca="false">IF($AI458=0,"",SUM($AI$4:$AI458))</f>
        <v/>
      </c>
      <c r="AG458" s="50" t="str">
        <f aca="false">IF($F458="","",$I458&amp;IF($J458="",""," · "&amp;$J458)&amp;IF($K458="",""," · "&amp;$K458))</f>
        <v/>
      </c>
      <c r="AH458" s="39" t="n">
        <f aca="false">IF(AND($F458&lt;&gt;"",$O458&lt;&gt;"",$O458&lt;=Hoje!$C$3,$P458&gt;=Hoje!$C$3,$R458&lt;&gt;"Cancelada"),1,0)</f>
        <v>0</v>
      </c>
      <c r="AI458" s="39" t="n">
        <f aca="false">IF(AND($F458&lt;&gt;"",$P458&lt;&gt;"",$P458&lt;Hoje!$C$3,$AB458=0,$R458&lt;&gt;"Cancelada"),1,0)</f>
        <v>0</v>
      </c>
      <c r="AJ458" s="50" t="str">
        <f aca="false">IF($F458="","",$D458&amp;"|"&amp;$E458&amp;"|"&amp;$L458)</f>
        <v/>
      </c>
      <c r="AK458" s="39" t="str">
        <f aca="false">IF($AJ458="","",COUNTIF($AJ$4:$AJ458,$AJ458))</f>
        <v/>
      </c>
      <c r="AL458" s="39" t="str">
        <f aca="false">IF($AJ458="","",COUNTIF($AJ$4:$AJ$1004,$AJ458))</f>
        <v/>
      </c>
      <c r="AM458" s="42"/>
      <c r="AN458" s="50" t="str">
        <f aca="false">IF($D458="","",IFERROR(T(VLOOKUP($D458,Listas!$B$5:$H$120,7,0)),""))</f>
        <v/>
      </c>
      <c r="AO458" s="50" t="str">
        <f aca="false">IF(OR($F458="",$L458&lt;&gt;"",$R458="Cancelada",$AT458&lt;&gt;""),"",$AN458&amp;"|"&amp;$D458&amp;"|"&amp;IF($C458="","zzz",$C458)&amp;"|"&amp;TEXT(458,"0000"))</f>
        <v/>
      </c>
      <c r="AP458" s="50" t="str">
        <f aca="false">IF($AO458="","",COUNTIF($AO$5:$AO$1004,"&lt;"&amp;$AO458)-(ROWS($AO$5:$AO$1004)-Hoje!$L$5)+1)</f>
        <v/>
      </c>
      <c r="AQ458" s="50" t="n">
        <f aca="false">IF(AND($F458&lt;&gt;"",$D458=Frota!$C$3),1,0)</f>
        <v>0</v>
      </c>
      <c r="AR458" s="50" t="str">
        <f aca="false">IF($AQ458=0,"",SUM($AQ$4:$AQ458))</f>
        <v/>
      </c>
      <c r="AS458" s="50" t="str">
        <f aca="false">IFERROR(INDEX(Hoje!$K$10:$K$29,MATCH(ROW(),Hoje!$J$10:$J$29,0)),"")</f>
        <v/>
      </c>
      <c r="AT458" s="50" t="str">
        <f aca="false">IF($Q458&lt;&gt;"",$Q458,$AS458)</f>
        <v/>
      </c>
    </row>
    <row r="459" customFormat="false" ht="16.5" hidden="false" customHeight="true" outlineLevel="0" collapsed="false">
      <c r="A459" s="39" t="str">
        <f aca="false">IF($F459="","",ROW())</f>
        <v/>
      </c>
      <c r="B459" s="40" t="str">
        <f aca="false">IF($F459="",IF($D459="","","Falta a atividade"),IF($R459="Cancelada","Cancelada",IF($AB459=1,IF(N($Z459)&gt;0,"Concluída com atraso","Concluída"),IF($R459="Em programação","Em programação",IF($O459="",IF($M459="","Na carteira","Falta a semana"),IF($AC459=1,"VENCIDA",IF($O459&gt;Hoje!$L$1,"Programada",IF($P459&gt;Hoje!$L$1,"Em execução","Fecha hoje"))))))))</f>
        <v/>
      </c>
      <c r="C459" s="41"/>
      <c r="D459" s="42"/>
      <c r="E459" s="42"/>
      <c r="F459" s="42"/>
      <c r="G459" s="43"/>
      <c r="H459" s="43"/>
      <c r="I459" s="44"/>
      <c r="J459" s="44"/>
      <c r="K459" s="44"/>
      <c r="L459" s="45"/>
      <c r="M459" s="46"/>
      <c r="N459" s="45"/>
      <c r="O459" s="47" t="str">
        <f aca="false">IF(OR($L459="",$M459=""),"",(DATE(Semana!$J$3,1,4)-WEEKDAY(DATE(Semana!$J$3,1,4),3))+($L459-1)*7+MATCH($M459,Listas!$F$5:$F$11,0)-1)</f>
        <v/>
      </c>
      <c r="P459" s="47" t="str">
        <f aca="false">IF(OR($F459="",$O459=""),"",$O459+MAX(0,ROUNDUP($AK459*MAX(1,IF($N459="",1,$N459))/MAX(1,$AL459),0)-1))</f>
        <v/>
      </c>
      <c r="Q459" s="48"/>
      <c r="R459" s="43"/>
      <c r="S459" s="49"/>
      <c r="T459" s="42"/>
      <c r="U459" s="42"/>
      <c r="V459" s="39" t="str">
        <f aca="false">IF($F459="","",IF(ISNUMBER(SEARCH("(externo)",$I459&amp;$J459&amp;$K459)),"Terceirizada","Interna"))</f>
        <v/>
      </c>
      <c r="W459" s="47" t="str">
        <f aca="false">IF($O459="","",IF($S459="",$O459,(DATE(Semana!$J$3,1,4)-WEEKDAY(DATE(Semana!$J$3,1,4),3))+($S459-1)*7+IF($M459="",0,MATCH($M459,Listas!$F$5:$F$11,0)-1)))</f>
        <v/>
      </c>
      <c r="X459" s="39" t="str">
        <f aca="false">IF($F459="","",IF(OR($AT459="",$O459=""),0,IF($AT459&lt;=$O459,1,0)))</f>
        <v/>
      </c>
      <c r="Y459" s="39" t="str">
        <f aca="false">IF($F459="","",IF(OR($AT459="",$W459=""),0,IF($AT459&lt;=$W459,1,0)))</f>
        <v/>
      </c>
      <c r="Z459" s="39" t="str">
        <f aca="false">IF(OR($AT459="",$O459=""),"",MAX(0,$AT459-$O459))</f>
        <v/>
      </c>
      <c r="AA459" s="39" t="str">
        <f aca="false">IF($F459="","",IF(AND($S459&lt;&gt;"",$L459&lt;&gt;"",$S459&lt;&gt;$L459),1,0))</f>
        <v/>
      </c>
      <c r="AB459" s="39" t="str">
        <f aca="false">IF($F459="","",IF($R459="Cancelada",0,IF(OR($AT459&lt;&gt;"",$R459="Concluída"),1,0)))</f>
        <v/>
      </c>
      <c r="AC459" s="39" t="n">
        <f aca="false">IF($P459="",0,IF($P459&lt;Hoje!$L$1,1,IF(AND($P459=Hoje!$L$1,Hoje!$L$2&gt;Semana!$M$3),1,0)))</f>
        <v>0</v>
      </c>
      <c r="AD459" s="39" t="str">
        <f aca="false">IF($F459="","",IF(COUNTA($I459:$K459)=0,0,1/COUNTA($I459:$K459)))</f>
        <v/>
      </c>
      <c r="AE459" s="39" t="str">
        <f aca="false">IF($AH459=0,"",SUM($AH$4:$AH459))</f>
        <v/>
      </c>
      <c r="AF459" s="39" t="str">
        <f aca="false">IF($AI459=0,"",SUM($AI$4:$AI459))</f>
        <v/>
      </c>
      <c r="AG459" s="50" t="str">
        <f aca="false">IF($F459="","",$I459&amp;IF($J459="",""," · "&amp;$J459)&amp;IF($K459="",""," · "&amp;$K459))</f>
        <v/>
      </c>
      <c r="AH459" s="39" t="n">
        <f aca="false">IF(AND($F459&lt;&gt;"",$O459&lt;&gt;"",$O459&lt;=Hoje!$C$3,$P459&gt;=Hoje!$C$3,$R459&lt;&gt;"Cancelada"),1,0)</f>
        <v>0</v>
      </c>
      <c r="AI459" s="39" t="n">
        <f aca="false">IF(AND($F459&lt;&gt;"",$P459&lt;&gt;"",$P459&lt;Hoje!$C$3,$AB459=0,$R459&lt;&gt;"Cancelada"),1,0)</f>
        <v>0</v>
      </c>
      <c r="AJ459" s="50" t="str">
        <f aca="false">IF($F459="","",$D459&amp;"|"&amp;$E459&amp;"|"&amp;$L459)</f>
        <v/>
      </c>
      <c r="AK459" s="39" t="str">
        <f aca="false">IF($AJ459="","",COUNTIF($AJ$4:$AJ459,$AJ459))</f>
        <v/>
      </c>
      <c r="AL459" s="39" t="str">
        <f aca="false">IF($AJ459="","",COUNTIF($AJ$4:$AJ$1004,$AJ459))</f>
        <v/>
      </c>
      <c r="AM459" s="42"/>
      <c r="AN459" s="50" t="str">
        <f aca="false">IF($D459="","",IFERROR(T(VLOOKUP($D459,Listas!$B$5:$H$120,7,0)),""))</f>
        <v/>
      </c>
      <c r="AO459" s="50" t="str">
        <f aca="false">IF(OR($F459="",$L459&lt;&gt;"",$R459="Cancelada",$AT459&lt;&gt;""),"",$AN459&amp;"|"&amp;$D459&amp;"|"&amp;IF($C459="","zzz",$C459)&amp;"|"&amp;TEXT(459,"0000"))</f>
        <v/>
      </c>
      <c r="AP459" s="50" t="str">
        <f aca="false">IF($AO459="","",COUNTIF($AO$5:$AO$1004,"&lt;"&amp;$AO459)-(ROWS($AO$5:$AO$1004)-Hoje!$L$5)+1)</f>
        <v/>
      </c>
      <c r="AQ459" s="50" t="n">
        <f aca="false">IF(AND($F459&lt;&gt;"",$D459=Frota!$C$3),1,0)</f>
        <v>0</v>
      </c>
      <c r="AR459" s="50" t="str">
        <f aca="false">IF($AQ459=0,"",SUM($AQ$4:$AQ459))</f>
        <v/>
      </c>
      <c r="AS459" s="50" t="str">
        <f aca="false">IFERROR(INDEX(Hoje!$K$10:$K$29,MATCH(ROW(),Hoje!$J$10:$J$29,0)),"")</f>
        <v/>
      </c>
      <c r="AT459" s="50" t="str">
        <f aca="false">IF($Q459&lt;&gt;"",$Q459,$AS459)</f>
        <v/>
      </c>
    </row>
    <row r="460" customFormat="false" ht="16.5" hidden="false" customHeight="true" outlineLevel="0" collapsed="false">
      <c r="A460" s="39" t="str">
        <f aca="false">IF($F460="","",ROW())</f>
        <v/>
      </c>
      <c r="B460" s="40" t="str">
        <f aca="false">IF($F460="",IF($D460="","","Falta a atividade"),IF($R460="Cancelada","Cancelada",IF($AB460=1,IF(N($Z460)&gt;0,"Concluída com atraso","Concluída"),IF($R460="Em programação","Em programação",IF($O460="",IF($M460="","Na carteira","Falta a semana"),IF($AC460=1,"VENCIDA",IF($O460&gt;Hoje!$L$1,"Programada",IF($P460&gt;Hoje!$L$1,"Em execução","Fecha hoje"))))))))</f>
        <v/>
      </c>
      <c r="C460" s="41"/>
      <c r="D460" s="42"/>
      <c r="E460" s="42"/>
      <c r="F460" s="42"/>
      <c r="G460" s="43"/>
      <c r="H460" s="43"/>
      <c r="I460" s="44"/>
      <c r="J460" s="44"/>
      <c r="K460" s="44"/>
      <c r="L460" s="45"/>
      <c r="M460" s="46"/>
      <c r="N460" s="45"/>
      <c r="O460" s="47" t="str">
        <f aca="false">IF(OR($L460="",$M460=""),"",(DATE(Semana!$J$3,1,4)-WEEKDAY(DATE(Semana!$J$3,1,4),3))+($L460-1)*7+MATCH($M460,Listas!$F$5:$F$11,0)-1)</f>
        <v/>
      </c>
      <c r="P460" s="47" t="str">
        <f aca="false">IF(OR($F460="",$O460=""),"",$O460+MAX(0,ROUNDUP($AK460*MAX(1,IF($N460="",1,$N460))/MAX(1,$AL460),0)-1))</f>
        <v/>
      </c>
      <c r="Q460" s="48"/>
      <c r="R460" s="43"/>
      <c r="S460" s="49"/>
      <c r="T460" s="42"/>
      <c r="U460" s="42"/>
      <c r="V460" s="39" t="str">
        <f aca="false">IF($F460="","",IF(ISNUMBER(SEARCH("(externo)",$I460&amp;$J460&amp;$K460)),"Terceirizada","Interna"))</f>
        <v/>
      </c>
      <c r="W460" s="47" t="str">
        <f aca="false">IF($O460="","",IF($S460="",$O460,(DATE(Semana!$J$3,1,4)-WEEKDAY(DATE(Semana!$J$3,1,4),3))+($S460-1)*7+IF($M460="",0,MATCH($M460,Listas!$F$5:$F$11,0)-1)))</f>
        <v/>
      </c>
      <c r="X460" s="39" t="str">
        <f aca="false">IF($F460="","",IF(OR($AT460="",$O460=""),0,IF($AT460&lt;=$O460,1,0)))</f>
        <v/>
      </c>
      <c r="Y460" s="39" t="str">
        <f aca="false">IF($F460="","",IF(OR($AT460="",$W460=""),0,IF($AT460&lt;=$W460,1,0)))</f>
        <v/>
      </c>
      <c r="Z460" s="39" t="str">
        <f aca="false">IF(OR($AT460="",$O460=""),"",MAX(0,$AT460-$O460))</f>
        <v/>
      </c>
      <c r="AA460" s="39" t="str">
        <f aca="false">IF($F460="","",IF(AND($S460&lt;&gt;"",$L460&lt;&gt;"",$S460&lt;&gt;$L460),1,0))</f>
        <v/>
      </c>
      <c r="AB460" s="39" t="str">
        <f aca="false">IF($F460="","",IF($R460="Cancelada",0,IF(OR($AT460&lt;&gt;"",$R460="Concluída"),1,0)))</f>
        <v/>
      </c>
      <c r="AC460" s="39" t="n">
        <f aca="false">IF($P460="",0,IF($P460&lt;Hoje!$L$1,1,IF(AND($P460=Hoje!$L$1,Hoje!$L$2&gt;Semana!$M$3),1,0)))</f>
        <v>0</v>
      </c>
      <c r="AD460" s="39" t="str">
        <f aca="false">IF($F460="","",IF(COUNTA($I460:$K460)=0,0,1/COUNTA($I460:$K460)))</f>
        <v/>
      </c>
      <c r="AE460" s="39" t="str">
        <f aca="false">IF($AH460=0,"",SUM($AH$4:$AH460))</f>
        <v/>
      </c>
      <c r="AF460" s="39" t="str">
        <f aca="false">IF($AI460=0,"",SUM($AI$4:$AI460))</f>
        <v/>
      </c>
      <c r="AG460" s="50" t="str">
        <f aca="false">IF($F460="","",$I460&amp;IF($J460="",""," · "&amp;$J460)&amp;IF($K460="",""," · "&amp;$K460))</f>
        <v/>
      </c>
      <c r="AH460" s="39" t="n">
        <f aca="false">IF(AND($F460&lt;&gt;"",$O460&lt;&gt;"",$O460&lt;=Hoje!$C$3,$P460&gt;=Hoje!$C$3,$R460&lt;&gt;"Cancelada"),1,0)</f>
        <v>0</v>
      </c>
      <c r="AI460" s="39" t="n">
        <f aca="false">IF(AND($F460&lt;&gt;"",$P460&lt;&gt;"",$P460&lt;Hoje!$C$3,$AB460=0,$R460&lt;&gt;"Cancelada"),1,0)</f>
        <v>0</v>
      </c>
      <c r="AJ460" s="50" t="str">
        <f aca="false">IF($F460="","",$D460&amp;"|"&amp;$E460&amp;"|"&amp;$L460)</f>
        <v/>
      </c>
      <c r="AK460" s="39" t="str">
        <f aca="false">IF($AJ460="","",COUNTIF($AJ$4:$AJ460,$AJ460))</f>
        <v/>
      </c>
      <c r="AL460" s="39" t="str">
        <f aca="false">IF($AJ460="","",COUNTIF($AJ$4:$AJ$1004,$AJ460))</f>
        <v/>
      </c>
      <c r="AM460" s="42"/>
      <c r="AN460" s="50" t="str">
        <f aca="false">IF($D460="","",IFERROR(T(VLOOKUP($D460,Listas!$B$5:$H$120,7,0)),""))</f>
        <v/>
      </c>
      <c r="AO460" s="50" t="str">
        <f aca="false">IF(OR($F460="",$L460&lt;&gt;"",$R460="Cancelada",$AT460&lt;&gt;""),"",$AN460&amp;"|"&amp;$D460&amp;"|"&amp;IF($C460="","zzz",$C460)&amp;"|"&amp;TEXT(460,"0000"))</f>
        <v/>
      </c>
      <c r="AP460" s="50" t="str">
        <f aca="false">IF($AO460="","",COUNTIF($AO$5:$AO$1004,"&lt;"&amp;$AO460)-(ROWS($AO$5:$AO$1004)-Hoje!$L$5)+1)</f>
        <v/>
      </c>
      <c r="AQ460" s="50" t="n">
        <f aca="false">IF(AND($F460&lt;&gt;"",$D460=Frota!$C$3),1,0)</f>
        <v>0</v>
      </c>
      <c r="AR460" s="50" t="str">
        <f aca="false">IF($AQ460=0,"",SUM($AQ$4:$AQ460))</f>
        <v/>
      </c>
      <c r="AS460" s="50" t="str">
        <f aca="false">IFERROR(INDEX(Hoje!$K$10:$K$29,MATCH(ROW(),Hoje!$J$10:$J$29,0)),"")</f>
        <v/>
      </c>
      <c r="AT460" s="50" t="str">
        <f aca="false">IF($Q460&lt;&gt;"",$Q460,$AS460)</f>
        <v/>
      </c>
    </row>
    <row r="461" customFormat="false" ht="16.5" hidden="false" customHeight="true" outlineLevel="0" collapsed="false">
      <c r="A461" s="39" t="str">
        <f aca="false">IF($F461="","",ROW())</f>
        <v/>
      </c>
      <c r="B461" s="40" t="str">
        <f aca="false">IF($F461="",IF($D461="","","Falta a atividade"),IF($R461="Cancelada","Cancelada",IF($AB461=1,IF(N($Z461)&gt;0,"Concluída com atraso","Concluída"),IF($R461="Em programação","Em programação",IF($O461="",IF($M461="","Na carteira","Falta a semana"),IF($AC461=1,"VENCIDA",IF($O461&gt;Hoje!$L$1,"Programada",IF($P461&gt;Hoje!$L$1,"Em execução","Fecha hoje"))))))))</f>
        <v/>
      </c>
      <c r="C461" s="41"/>
      <c r="D461" s="42"/>
      <c r="E461" s="42"/>
      <c r="F461" s="42"/>
      <c r="G461" s="43"/>
      <c r="H461" s="43"/>
      <c r="I461" s="44"/>
      <c r="J461" s="44"/>
      <c r="K461" s="44"/>
      <c r="L461" s="45"/>
      <c r="M461" s="46"/>
      <c r="N461" s="45"/>
      <c r="O461" s="47" t="str">
        <f aca="false">IF(OR($L461="",$M461=""),"",(DATE(Semana!$J$3,1,4)-WEEKDAY(DATE(Semana!$J$3,1,4),3))+($L461-1)*7+MATCH($M461,Listas!$F$5:$F$11,0)-1)</f>
        <v/>
      </c>
      <c r="P461" s="47" t="str">
        <f aca="false">IF(OR($F461="",$O461=""),"",$O461+MAX(0,ROUNDUP($AK461*MAX(1,IF($N461="",1,$N461))/MAX(1,$AL461),0)-1))</f>
        <v/>
      </c>
      <c r="Q461" s="48"/>
      <c r="R461" s="43"/>
      <c r="S461" s="49"/>
      <c r="T461" s="42"/>
      <c r="U461" s="42"/>
      <c r="V461" s="39" t="str">
        <f aca="false">IF($F461="","",IF(ISNUMBER(SEARCH("(externo)",$I461&amp;$J461&amp;$K461)),"Terceirizada","Interna"))</f>
        <v/>
      </c>
      <c r="W461" s="47" t="str">
        <f aca="false">IF($O461="","",IF($S461="",$O461,(DATE(Semana!$J$3,1,4)-WEEKDAY(DATE(Semana!$J$3,1,4),3))+($S461-1)*7+IF($M461="",0,MATCH($M461,Listas!$F$5:$F$11,0)-1)))</f>
        <v/>
      </c>
      <c r="X461" s="39" t="str">
        <f aca="false">IF($F461="","",IF(OR($AT461="",$O461=""),0,IF($AT461&lt;=$O461,1,0)))</f>
        <v/>
      </c>
      <c r="Y461" s="39" t="str">
        <f aca="false">IF($F461="","",IF(OR($AT461="",$W461=""),0,IF($AT461&lt;=$W461,1,0)))</f>
        <v/>
      </c>
      <c r="Z461" s="39" t="str">
        <f aca="false">IF(OR($AT461="",$O461=""),"",MAX(0,$AT461-$O461))</f>
        <v/>
      </c>
      <c r="AA461" s="39" t="str">
        <f aca="false">IF($F461="","",IF(AND($S461&lt;&gt;"",$L461&lt;&gt;"",$S461&lt;&gt;$L461),1,0))</f>
        <v/>
      </c>
      <c r="AB461" s="39" t="str">
        <f aca="false">IF($F461="","",IF($R461="Cancelada",0,IF(OR($AT461&lt;&gt;"",$R461="Concluída"),1,0)))</f>
        <v/>
      </c>
      <c r="AC461" s="39" t="n">
        <f aca="false">IF($P461="",0,IF($P461&lt;Hoje!$L$1,1,IF(AND($P461=Hoje!$L$1,Hoje!$L$2&gt;Semana!$M$3),1,0)))</f>
        <v>0</v>
      </c>
      <c r="AD461" s="39" t="str">
        <f aca="false">IF($F461="","",IF(COUNTA($I461:$K461)=0,0,1/COUNTA($I461:$K461)))</f>
        <v/>
      </c>
      <c r="AE461" s="39" t="str">
        <f aca="false">IF($AH461=0,"",SUM($AH$4:$AH461))</f>
        <v/>
      </c>
      <c r="AF461" s="39" t="str">
        <f aca="false">IF($AI461=0,"",SUM($AI$4:$AI461))</f>
        <v/>
      </c>
      <c r="AG461" s="50" t="str">
        <f aca="false">IF($F461="","",$I461&amp;IF($J461="",""," · "&amp;$J461)&amp;IF($K461="",""," · "&amp;$K461))</f>
        <v/>
      </c>
      <c r="AH461" s="39" t="n">
        <f aca="false">IF(AND($F461&lt;&gt;"",$O461&lt;&gt;"",$O461&lt;=Hoje!$C$3,$P461&gt;=Hoje!$C$3,$R461&lt;&gt;"Cancelada"),1,0)</f>
        <v>0</v>
      </c>
      <c r="AI461" s="39" t="n">
        <f aca="false">IF(AND($F461&lt;&gt;"",$P461&lt;&gt;"",$P461&lt;Hoje!$C$3,$AB461=0,$R461&lt;&gt;"Cancelada"),1,0)</f>
        <v>0</v>
      </c>
      <c r="AJ461" s="50" t="str">
        <f aca="false">IF($F461="","",$D461&amp;"|"&amp;$E461&amp;"|"&amp;$L461)</f>
        <v/>
      </c>
      <c r="AK461" s="39" t="str">
        <f aca="false">IF($AJ461="","",COUNTIF($AJ$4:$AJ461,$AJ461))</f>
        <v/>
      </c>
      <c r="AL461" s="39" t="str">
        <f aca="false">IF($AJ461="","",COUNTIF($AJ$4:$AJ$1004,$AJ461))</f>
        <v/>
      </c>
      <c r="AM461" s="42"/>
      <c r="AN461" s="50" t="str">
        <f aca="false">IF($D461="","",IFERROR(T(VLOOKUP($D461,Listas!$B$5:$H$120,7,0)),""))</f>
        <v/>
      </c>
      <c r="AO461" s="50" t="str">
        <f aca="false">IF(OR($F461="",$L461&lt;&gt;"",$R461="Cancelada",$AT461&lt;&gt;""),"",$AN461&amp;"|"&amp;$D461&amp;"|"&amp;IF($C461="","zzz",$C461)&amp;"|"&amp;TEXT(461,"0000"))</f>
        <v/>
      </c>
      <c r="AP461" s="50" t="str">
        <f aca="false">IF($AO461="","",COUNTIF($AO$5:$AO$1004,"&lt;"&amp;$AO461)-(ROWS($AO$5:$AO$1004)-Hoje!$L$5)+1)</f>
        <v/>
      </c>
      <c r="AQ461" s="50" t="n">
        <f aca="false">IF(AND($F461&lt;&gt;"",$D461=Frota!$C$3),1,0)</f>
        <v>0</v>
      </c>
      <c r="AR461" s="50" t="str">
        <f aca="false">IF($AQ461=0,"",SUM($AQ$4:$AQ461))</f>
        <v/>
      </c>
      <c r="AS461" s="50" t="str">
        <f aca="false">IFERROR(INDEX(Hoje!$K$10:$K$29,MATCH(ROW(),Hoje!$J$10:$J$29,0)),"")</f>
        <v/>
      </c>
      <c r="AT461" s="50" t="str">
        <f aca="false">IF($Q461&lt;&gt;"",$Q461,$AS461)</f>
        <v/>
      </c>
    </row>
    <row r="462" customFormat="false" ht="16.5" hidden="false" customHeight="true" outlineLevel="0" collapsed="false">
      <c r="A462" s="39" t="str">
        <f aca="false">IF($F462="","",ROW())</f>
        <v/>
      </c>
      <c r="B462" s="40" t="str">
        <f aca="false">IF($F462="",IF($D462="","","Falta a atividade"),IF($R462="Cancelada","Cancelada",IF($AB462=1,IF(N($Z462)&gt;0,"Concluída com atraso","Concluída"),IF($R462="Em programação","Em programação",IF($O462="",IF($M462="","Na carteira","Falta a semana"),IF($AC462=1,"VENCIDA",IF($O462&gt;Hoje!$L$1,"Programada",IF($P462&gt;Hoje!$L$1,"Em execução","Fecha hoje"))))))))</f>
        <v/>
      </c>
      <c r="C462" s="41"/>
      <c r="D462" s="42"/>
      <c r="E462" s="42"/>
      <c r="F462" s="42"/>
      <c r="G462" s="43"/>
      <c r="H462" s="43"/>
      <c r="I462" s="44"/>
      <c r="J462" s="44"/>
      <c r="K462" s="44"/>
      <c r="L462" s="45"/>
      <c r="M462" s="46"/>
      <c r="N462" s="45"/>
      <c r="O462" s="47" t="str">
        <f aca="false">IF(OR($L462="",$M462=""),"",(DATE(Semana!$J$3,1,4)-WEEKDAY(DATE(Semana!$J$3,1,4),3))+($L462-1)*7+MATCH($M462,Listas!$F$5:$F$11,0)-1)</f>
        <v/>
      </c>
      <c r="P462" s="47" t="str">
        <f aca="false">IF(OR($F462="",$O462=""),"",$O462+MAX(0,ROUNDUP($AK462*MAX(1,IF($N462="",1,$N462))/MAX(1,$AL462),0)-1))</f>
        <v/>
      </c>
      <c r="Q462" s="48"/>
      <c r="R462" s="43"/>
      <c r="S462" s="49"/>
      <c r="T462" s="42"/>
      <c r="U462" s="42"/>
      <c r="V462" s="39" t="str">
        <f aca="false">IF($F462="","",IF(ISNUMBER(SEARCH("(externo)",$I462&amp;$J462&amp;$K462)),"Terceirizada","Interna"))</f>
        <v/>
      </c>
      <c r="W462" s="47" t="str">
        <f aca="false">IF($O462="","",IF($S462="",$O462,(DATE(Semana!$J$3,1,4)-WEEKDAY(DATE(Semana!$J$3,1,4),3))+($S462-1)*7+IF($M462="",0,MATCH($M462,Listas!$F$5:$F$11,0)-1)))</f>
        <v/>
      </c>
      <c r="X462" s="39" t="str">
        <f aca="false">IF($F462="","",IF(OR($AT462="",$O462=""),0,IF($AT462&lt;=$O462,1,0)))</f>
        <v/>
      </c>
      <c r="Y462" s="39" t="str">
        <f aca="false">IF($F462="","",IF(OR($AT462="",$W462=""),0,IF($AT462&lt;=$W462,1,0)))</f>
        <v/>
      </c>
      <c r="Z462" s="39" t="str">
        <f aca="false">IF(OR($AT462="",$O462=""),"",MAX(0,$AT462-$O462))</f>
        <v/>
      </c>
      <c r="AA462" s="39" t="str">
        <f aca="false">IF($F462="","",IF(AND($S462&lt;&gt;"",$L462&lt;&gt;"",$S462&lt;&gt;$L462),1,0))</f>
        <v/>
      </c>
      <c r="AB462" s="39" t="str">
        <f aca="false">IF($F462="","",IF($R462="Cancelada",0,IF(OR($AT462&lt;&gt;"",$R462="Concluída"),1,0)))</f>
        <v/>
      </c>
      <c r="AC462" s="39" t="n">
        <f aca="false">IF($P462="",0,IF($P462&lt;Hoje!$L$1,1,IF(AND($P462=Hoje!$L$1,Hoje!$L$2&gt;Semana!$M$3),1,0)))</f>
        <v>0</v>
      </c>
      <c r="AD462" s="39" t="str">
        <f aca="false">IF($F462="","",IF(COUNTA($I462:$K462)=0,0,1/COUNTA($I462:$K462)))</f>
        <v/>
      </c>
      <c r="AE462" s="39" t="str">
        <f aca="false">IF($AH462=0,"",SUM($AH$4:$AH462))</f>
        <v/>
      </c>
      <c r="AF462" s="39" t="str">
        <f aca="false">IF($AI462=0,"",SUM($AI$4:$AI462))</f>
        <v/>
      </c>
      <c r="AG462" s="50" t="str">
        <f aca="false">IF($F462="","",$I462&amp;IF($J462="",""," · "&amp;$J462)&amp;IF($K462="",""," · "&amp;$K462))</f>
        <v/>
      </c>
      <c r="AH462" s="39" t="n">
        <f aca="false">IF(AND($F462&lt;&gt;"",$O462&lt;&gt;"",$O462&lt;=Hoje!$C$3,$P462&gt;=Hoje!$C$3,$R462&lt;&gt;"Cancelada"),1,0)</f>
        <v>0</v>
      </c>
      <c r="AI462" s="39" t="n">
        <f aca="false">IF(AND($F462&lt;&gt;"",$P462&lt;&gt;"",$P462&lt;Hoje!$C$3,$AB462=0,$R462&lt;&gt;"Cancelada"),1,0)</f>
        <v>0</v>
      </c>
      <c r="AJ462" s="50" t="str">
        <f aca="false">IF($F462="","",$D462&amp;"|"&amp;$E462&amp;"|"&amp;$L462)</f>
        <v/>
      </c>
      <c r="AK462" s="39" t="str">
        <f aca="false">IF($AJ462="","",COUNTIF($AJ$4:$AJ462,$AJ462))</f>
        <v/>
      </c>
      <c r="AL462" s="39" t="str">
        <f aca="false">IF($AJ462="","",COUNTIF($AJ$4:$AJ$1004,$AJ462))</f>
        <v/>
      </c>
      <c r="AM462" s="42"/>
      <c r="AN462" s="50" t="str">
        <f aca="false">IF($D462="","",IFERROR(T(VLOOKUP($D462,Listas!$B$5:$H$120,7,0)),""))</f>
        <v/>
      </c>
      <c r="AO462" s="50" t="str">
        <f aca="false">IF(OR($F462="",$L462&lt;&gt;"",$R462="Cancelada",$AT462&lt;&gt;""),"",$AN462&amp;"|"&amp;$D462&amp;"|"&amp;IF($C462="","zzz",$C462)&amp;"|"&amp;TEXT(462,"0000"))</f>
        <v/>
      </c>
      <c r="AP462" s="50" t="str">
        <f aca="false">IF($AO462="","",COUNTIF($AO$5:$AO$1004,"&lt;"&amp;$AO462)-(ROWS($AO$5:$AO$1004)-Hoje!$L$5)+1)</f>
        <v/>
      </c>
      <c r="AQ462" s="50" t="n">
        <f aca="false">IF(AND($F462&lt;&gt;"",$D462=Frota!$C$3),1,0)</f>
        <v>0</v>
      </c>
      <c r="AR462" s="50" t="str">
        <f aca="false">IF($AQ462=0,"",SUM($AQ$4:$AQ462))</f>
        <v/>
      </c>
      <c r="AS462" s="50" t="str">
        <f aca="false">IFERROR(INDEX(Hoje!$K$10:$K$29,MATCH(ROW(),Hoje!$J$10:$J$29,0)),"")</f>
        <v/>
      </c>
      <c r="AT462" s="50" t="str">
        <f aca="false">IF($Q462&lt;&gt;"",$Q462,$AS462)</f>
        <v/>
      </c>
    </row>
    <row r="463" customFormat="false" ht="16.5" hidden="false" customHeight="true" outlineLevel="0" collapsed="false">
      <c r="A463" s="39" t="str">
        <f aca="false">IF($F463="","",ROW())</f>
        <v/>
      </c>
      <c r="B463" s="40" t="str">
        <f aca="false">IF($F463="",IF($D463="","","Falta a atividade"),IF($R463="Cancelada","Cancelada",IF($AB463=1,IF(N($Z463)&gt;0,"Concluída com atraso","Concluída"),IF($R463="Em programação","Em programação",IF($O463="",IF($M463="","Na carteira","Falta a semana"),IF($AC463=1,"VENCIDA",IF($O463&gt;Hoje!$L$1,"Programada",IF($P463&gt;Hoje!$L$1,"Em execução","Fecha hoje"))))))))</f>
        <v/>
      </c>
      <c r="C463" s="41"/>
      <c r="D463" s="42"/>
      <c r="E463" s="42"/>
      <c r="F463" s="42"/>
      <c r="G463" s="43"/>
      <c r="H463" s="43"/>
      <c r="I463" s="44"/>
      <c r="J463" s="44"/>
      <c r="K463" s="44"/>
      <c r="L463" s="45"/>
      <c r="M463" s="46"/>
      <c r="N463" s="45"/>
      <c r="O463" s="47" t="str">
        <f aca="false">IF(OR($L463="",$M463=""),"",(DATE(Semana!$J$3,1,4)-WEEKDAY(DATE(Semana!$J$3,1,4),3))+($L463-1)*7+MATCH($M463,Listas!$F$5:$F$11,0)-1)</f>
        <v/>
      </c>
      <c r="P463" s="47" t="str">
        <f aca="false">IF(OR($F463="",$O463=""),"",$O463+MAX(0,ROUNDUP($AK463*MAX(1,IF($N463="",1,$N463))/MAX(1,$AL463),0)-1))</f>
        <v/>
      </c>
      <c r="Q463" s="48"/>
      <c r="R463" s="43"/>
      <c r="S463" s="49"/>
      <c r="T463" s="42"/>
      <c r="U463" s="42"/>
      <c r="V463" s="39" t="str">
        <f aca="false">IF($F463="","",IF(ISNUMBER(SEARCH("(externo)",$I463&amp;$J463&amp;$K463)),"Terceirizada","Interna"))</f>
        <v/>
      </c>
      <c r="W463" s="47" t="str">
        <f aca="false">IF($O463="","",IF($S463="",$O463,(DATE(Semana!$J$3,1,4)-WEEKDAY(DATE(Semana!$J$3,1,4),3))+($S463-1)*7+IF($M463="",0,MATCH($M463,Listas!$F$5:$F$11,0)-1)))</f>
        <v/>
      </c>
      <c r="X463" s="39" t="str">
        <f aca="false">IF($F463="","",IF(OR($AT463="",$O463=""),0,IF($AT463&lt;=$O463,1,0)))</f>
        <v/>
      </c>
      <c r="Y463" s="39" t="str">
        <f aca="false">IF($F463="","",IF(OR($AT463="",$W463=""),0,IF($AT463&lt;=$W463,1,0)))</f>
        <v/>
      </c>
      <c r="Z463" s="39" t="str">
        <f aca="false">IF(OR($AT463="",$O463=""),"",MAX(0,$AT463-$O463))</f>
        <v/>
      </c>
      <c r="AA463" s="39" t="str">
        <f aca="false">IF($F463="","",IF(AND($S463&lt;&gt;"",$L463&lt;&gt;"",$S463&lt;&gt;$L463),1,0))</f>
        <v/>
      </c>
      <c r="AB463" s="39" t="str">
        <f aca="false">IF($F463="","",IF($R463="Cancelada",0,IF(OR($AT463&lt;&gt;"",$R463="Concluída"),1,0)))</f>
        <v/>
      </c>
      <c r="AC463" s="39" t="n">
        <f aca="false">IF($P463="",0,IF($P463&lt;Hoje!$L$1,1,IF(AND($P463=Hoje!$L$1,Hoje!$L$2&gt;Semana!$M$3),1,0)))</f>
        <v>0</v>
      </c>
      <c r="AD463" s="39" t="str">
        <f aca="false">IF($F463="","",IF(COUNTA($I463:$K463)=0,0,1/COUNTA($I463:$K463)))</f>
        <v/>
      </c>
      <c r="AE463" s="39" t="str">
        <f aca="false">IF($AH463=0,"",SUM($AH$4:$AH463))</f>
        <v/>
      </c>
      <c r="AF463" s="39" t="str">
        <f aca="false">IF($AI463=0,"",SUM($AI$4:$AI463))</f>
        <v/>
      </c>
      <c r="AG463" s="50" t="str">
        <f aca="false">IF($F463="","",$I463&amp;IF($J463="",""," · "&amp;$J463)&amp;IF($K463="",""," · "&amp;$K463))</f>
        <v/>
      </c>
      <c r="AH463" s="39" t="n">
        <f aca="false">IF(AND($F463&lt;&gt;"",$O463&lt;&gt;"",$O463&lt;=Hoje!$C$3,$P463&gt;=Hoje!$C$3,$R463&lt;&gt;"Cancelada"),1,0)</f>
        <v>0</v>
      </c>
      <c r="AI463" s="39" t="n">
        <f aca="false">IF(AND($F463&lt;&gt;"",$P463&lt;&gt;"",$P463&lt;Hoje!$C$3,$AB463=0,$R463&lt;&gt;"Cancelada"),1,0)</f>
        <v>0</v>
      </c>
      <c r="AJ463" s="50" t="str">
        <f aca="false">IF($F463="","",$D463&amp;"|"&amp;$E463&amp;"|"&amp;$L463)</f>
        <v/>
      </c>
      <c r="AK463" s="39" t="str">
        <f aca="false">IF($AJ463="","",COUNTIF($AJ$4:$AJ463,$AJ463))</f>
        <v/>
      </c>
      <c r="AL463" s="39" t="str">
        <f aca="false">IF($AJ463="","",COUNTIF($AJ$4:$AJ$1004,$AJ463))</f>
        <v/>
      </c>
      <c r="AM463" s="42"/>
      <c r="AN463" s="50" t="str">
        <f aca="false">IF($D463="","",IFERROR(T(VLOOKUP($D463,Listas!$B$5:$H$120,7,0)),""))</f>
        <v/>
      </c>
      <c r="AO463" s="50" t="str">
        <f aca="false">IF(OR($F463="",$L463&lt;&gt;"",$R463="Cancelada",$AT463&lt;&gt;""),"",$AN463&amp;"|"&amp;$D463&amp;"|"&amp;IF($C463="","zzz",$C463)&amp;"|"&amp;TEXT(463,"0000"))</f>
        <v/>
      </c>
      <c r="AP463" s="50" t="str">
        <f aca="false">IF($AO463="","",COUNTIF($AO$5:$AO$1004,"&lt;"&amp;$AO463)-(ROWS($AO$5:$AO$1004)-Hoje!$L$5)+1)</f>
        <v/>
      </c>
      <c r="AQ463" s="50" t="n">
        <f aca="false">IF(AND($F463&lt;&gt;"",$D463=Frota!$C$3),1,0)</f>
        <v>0</v>
      </c>
      <c r="AR463" s="50" t="str">
        <f aca="false">IF($AQ463=0,"",SUM($AQ$4:$AQ463))</f>
        <v/>
      </c>
      <c r="AS463" s="50" t="str">
        <f aca="false">IFERROR(INDEX(Hoje!$K$10:$K$29,MATCH(ROW(),Hoje!$J$10:$J$29,0)),"")</f>
        <v/>
      </c>
      <c r="AT463" s="50" t="str">
        <f aca="false">IF($Q463&lt;&gt;"",$Q463,$AS463)</f>
        <v/>
      </c>
    </row>
    <row r="464" customFormat="false" ht="16.5" hidden="false" customHeight="true" outlineLevel="0" collapsed="false">
      <c r="A464" s="39" t="str">
        <f aca="false">IF($F464="","",ROW())</f>
        <v/>
      </c>
      <c r="B464" s="40" t="str">
        <f aca="false">IF($F464="",IF($D464="","","Falta a atividade"),IF($R464="Cancelada","Cancelada",IF($AB464=1,IF(N($Z464)&gt;0,"Concluída com atraso","Concluída"),IF($R464="Em programação","Em programação",IF($O464="",IF($M464="","Na carteira","Falta a semana"),IF($AC464=1,"VENCIDA",IF($O464&gt;Hoje!$L$1,"Programada",IF($P464&gt;Hoje!$L$1,"Em execução","Fecha hoje"))))))))</f>
        <v/>
      </c>
      <c r="C464" s="41"/>
      <c r="D464" s="42"/>
      <c r="E464" s="42"/>
      <c r="F464" s="42"/>
      <c r="G464" s="43"/>
      <c r="H464" s="43"/>
      <c r="I464" s="44"/>
      <c r="J464" s="44"/>
      <c r="K464" s="44"/>
      <c r="L464" s="45"/>
      <c r="M464" s="46"/>
      <c r="N464" s="45"/>
      <c r="O464" s="47" t="str">
        <f aca="false">IF(OR($L464="",$M464=""),"",(DATE(Semana!$J$3,1,4)-WEEKDAY(DATE(Semana!$J$3,1,4),3))+($L464-1)*7+MATCH($M464,Listas!$F$5:$F$11,0)-1)</f>
        <v/>
      </c>
      <c r="P464" s="47" t="str">
        <f aca="false">IF(OR($F464="",$O464=""),"",$O464+MAX(0,ROUNDUP($AK464*MAX(1,IF($N464="",1,$N464))/MAX(1,$AL464),0)-1))</f>
        <v/>
      </c>
      <c r="Q464" s="48"/>
      <c r="R464" s="43"/>
      <c r="S464" s="49"/>
      <c r="T464" s="42"/>
      <c r="U464" s="42"/>
      <c r="V464" s="39" t="str">
        <f aca="false">IF($F464="","",IF(ISNUMBER(SEARCH("(externo)",$I464&amp;$J464&amp;$K464)),"Terceirizada","Interna"))</f>
        <v/>
      </c>
      <c r="W464" s="47" t="str">
        <f aca="false">IF($O464="","",IF($S464="",$O464,(DATE(Semana!$J$3,1,4)-WEEKDAY(DATE(Semana!$J$3,1,4),3))+($S464-1)*7+IF($M464="",0,MATCH($M464,Listas!$F$5:$F$11,0)-1)))</f>
        <v/>
      </c>
      <c r="X464" s="39" t="str">
        <f aca="false">IF($F464="","",IF(OR($AT464="",$O464=""),0,IF($AT464&lt;=$O464,1,0)))</f>
        <v/>
      </c>
      <c r="Y464" s="39" t="str">
        <f aca="false">IF($F464="","",IF(OR($AT464="",$W464=""),0,IF($AT464&lt;=$W464,1,0)))</f>
        <v/>
      </c>
      <c r="Z464" s="39" t="str">
        <f aca="false">IF(OR($AT464="",$O464=""),"",MAX(0,$AT464-$O464))</f>
        <v/>
      </c>
      <c r="AA464" s="39" t="str">
        <f aca="false">IF($F464="","",IF(AND($S464&lt;&gt;"",$L464&lt;&gt;"",$S464&lt;&gt;$L464),1,0))</f>
        <v/>
      </c>
      <c r="AB464" s="39" t="str">
        <f aca="false">IF($F464="","",IF($R464="Cancelada",0,IF(OR($AT464&lt;&gt;"",$R464="Concluída"),1,0)))</f>
        <v/>
      </c>
      <c r="AC464" s="39" t="n">
        <f aca="false">IF($P464="",0,IF($P464&lt;Hoje!$L$1,1,IF(AND($P464=Hoje!$L$1,Hoje!$L$2&gt;Semana!$M$3),1,0)))</f>
        <v>0</v>
      </c>
      <c r="AD464" s="39" t="str">
        <f aca="false">IF($F464="","",IF(COUNTA($I464:$K464)=0,0,1/COUNTA($I464:$K464)))</f>
        <v/>
      </c>
      <c r="AE464" s="39" t="str">
        <f aca="false">IF($AH464=0,"",SUM($AH$4:$AH464))</f>
        <v/>
      </c>
      <c r="AF464" s="39" t="str">
        <f aca="false">IF($AI464=0,"",SUM($AI$4:$AI464))</f>
        <v/>
      </c>
      <c r="AG464" s="50" t="str">
        <f aca="false">IF($F464="","",$I464&amp;IF($J464="",""," · "&amp;$J464)&amp;IF($K464="",""," · "&amp;$K464))</f>
        <v/>
      </c>
      <c r="AH464" s="39" t="n">
        <f aca="false">IF(AND($F464&lt;&gt;"",$O464&lt;&gt;"",$O464&lt;=Hoje!$C$3,$P464&gt;=Hoje!$C$3,$R464&lt;&gt;"Cancelada"),1,0)</f>
        <v>0</v>
      </c>
      <c r="AI464" s="39" t="n">
        <f aca="false">IF(AND($F464&lt;&gt;"",$P464&lt;&gt;"",$P464&lt;Hoje!$C$3,$AB464=0,$R464&lt;&gt;"Cancelada"),1,0)</f>
        <v>0</v>
      </c>
      <c r="AJ464" s="50" t="str">
        <f aca="false">IF($F464="","",$D464&amp;"|"&amp;$E464&amp;"|"&amp;$L464)</f>
        <v/>
      </c>
      <c r="AK464" s="39" t="str">
        <f aca="false">IF($AJ464="","",COUNTIF($AJ$4:$AJ464,$AJ464))</f>
        <v/>
      </c>
      <c r="AL464" s="39" t="str">
        <f aca="false">IF($AJ464="","",COUNTIF($AJ$4:$AJ$1004,$AJ464))</f>
        <v/>
      </c>
      <c r="AM464" s="42"/>
      <c r="AN464" s="50" t="str">
        <f aca="false">IF($D464="","",IFERROR(T(VLOOKUP($D464,Listas!$B$5:$H$120,7,0)),""))</f>
        <v/>
      </c>
      <c r="AO464" s="50" t="str">
        <f aca="false">IF(OR($F464="",$L464&lt;&gt;"",$R464="Cancelada",$AT464&lt;&gt;""),"",$AN464&amp;"|"&amp;$D464&amp;"|"&amp;IF($C464="","zzz",$C464)&amp;"|"&amp;TEXT(464,"0000"))</f>
        <v/>
      </c>
      <c r="AP464" s="50" t="str">
        <f aca="false">IF($AO464="","",COUNTIF($AO$5:$AO$1004,"&lt;"&amp;$AO464)-(ROWS($AO$5:$AO$1004)-Hoje!$L$5)+1)</f>
        <v/>
      </c>
      <c r="AQ464" s="50" t="n">
        <f aca="false">IF(AND($F464&lt;&gt;"",$D464=Frota!$C$3),1,0)</f>
        <v>0</v>
      </c>
      <c r="AR464" s="50" t="str">
        <f aca="false">IF($AQ464=0,"",SUM($AQ$4:$AQ464))</f>
        <v/>
      </c>
      <c r="AS464" s="50" t="str">
        <f aca="false">IFERROR(INDEX(Hoje!$K$10:$K$29,MATCH(ROW(),Hoje!$J$10:$J$29,0)),"")</f>
        <v/>
      </c>
      <c r="AT464" s="50" t="str">
        <f aca="false">IF($Q464&lt;&gt;"",$Q464,$AS464)</f>
        <v/>
      </c>
    </row>
    <row r="465" customFormat="false" ht="16.5" hidden="false" customHeight="true" outlineLevel="0" collapsed="false">
      <c r="A465" s="39" t="str">
        <f aca="false">IF($F465="","",ROW())</f>
        <v/>
      </c>
      <c r="B465" s="40" t="str">
        <f aca="false">IF($F465="",IF($D465="","","Falta a atividade"),IF($R465="Cancelada","Cancelada",IF($AB465=1,IF(N($Z465)&gt;0,"Concluída com atraso","Concluída"),IF($R465="Em programação","Em programação",IF($O465="",IF($M465="","Na carteira","Falta a semana"),IF($AC465=1,"VENCIDA",IF($O465&gt;Hoje!$L$1,"Programada",IF($P465&gt;Hoje!$L$1,"Em execução","Fecha hoje"))))))))</f>
        <v/>
      </c>
      <c r="C465" s="41"/>
      <c r="D465" s="42"/>
      <c r="E465" s="42"/>
      <c r="F465" s="42"/>
      <c r="G465" s="43"/>
      <c r="H465" s="43"/>
      <c r="I465" s="44"/>
      <c r="J465" s="44"/>
      <c r="K465" s="44"/>
      <c r="L465" s="45"/>
      <c r="M465" s="46"/>
      <c r="N465" s="45"/>
      <c r="O465" s="47" t="str">
        <f aca="false">IF(OR($L465="",$M465=""),"",(DATE(Semana!$J$3,1,4)-WEEKDAY(DATE(Semana!$J$3,1,4),3))+($L465-1)*7+MATCH($M465,Listas!$F$5:$F$11,0)-1)</f>
        <v/>
      </c>
      <c r="P465" s="47" t="str">
        <f aca="false">IF(OR($F465="",$O465=""),"",$O465+MAX(0,ROUNDUP($AK465*MAX(1,IF($N465="",1,$N465))/MAX(1,$AL465),0)-1))</f>
        <v/>
      </c>
      <c r="Q465" s="48"/>
      <c r="R465" s="43"/>
      <c r="S465" s="49"/>
      <c r="T465" s="42"/>
      <c r="U465" s="42"/>
      <c r="V465" s="39" t="str">
        <f aca="false">IF($F465="","",IF(ISNUMBER(SEARCH("(externo)",$I465&amp;$J465&amp;$K465)),"Terceirizada","Interna"))</f>
        <v/>
      </c>
      <c r="W465" s="47" t="str">
        <f aca="false">IF($O465="","",IF($S465="",$O465,(DATE(Semana!$J$3,1,4)-WEEKDAY(DATE(Semana!$J$3,1,4),3))+($S465-1)*7+IF($M465="",0,MATCH($M465,Listas!$F$5:$F$11,0)-1)))</f>
        <v/>
      </c>
      <c r="X465" s="39" t="str">
        <f aca="false">IF($F465="","",IF(OR($AT465="",$O465=""),0,IF($AT465&lt;=$O465,1,0)))</f>
        <v/>
      </c>
      <c r="Y465" s="39" t="str">
        <f aca="false">IF($F465="","",IF(OR($AT465="",$W465=""),0,IF($AT465&lt;=$W465,1,0)))</f>
        <v/>
      </c>
      <c r="Z465" s="39" t="str">
        <f aca="false">IF(OR($AT465="",$O465=""),"",MAX(0,$AT465-$O465))</f>
        <v/>
      </c>
      <c r="AA465" s="39" t="str">
        <f aca="false">IF($F465="","",IF(AND($S465&lt;&gt;"",$L465&lt;&gt;"",$S465&lt;&gt;$L465),1,0))</f>
        <v/>
      </c>
      <c r="AB465" s="39" t="str">
        <f aca="false">IF($F465="","",IF($R465="Cancelada",0,IF(OR($AT465&lt;&gt;"",$R465="Concluída"),1,0)))</f>
        <v/>
      </c>
      <c r="AC465" s="39" t="n">
        <f aca="false">IF($P465="",0,IF($P465&lt;Hoje!$L$1,1,IF(AND($P465=Hoje!$L$1,Hoje!$L$2&gt;Semana!$M$3),1,0)))</f>
        <v>0</v>
      </c>
      <c r="AD465" s="39" t="str">
        <f aca="false">IF($F465="","",IF(COUNTA($I465:$K465)=0,0,1/COUNTA($I465:$K465)))</f>
        <v/>
      </c>
      <c r="AE465" s="39" t="str">
        <f aca="false">IF($AH465=0,"",SUM($AH$4:$AH465))</f>
        <v/>
      </c>
      <c r="AF465" s="39" t="str">
        <f aca="false">IF($AI465=0,"",SUM($AI$4:$AI465))</f>
        <v/>
      </c>
      <c r="AG465" s="50" t="str">
        <f aca="false">IF($F465="","",$I465&amp;IF($J465="",""," · "&amp;$J465)&amp;IF($K465="",""," · "&amp;$K465))</f>
        <v/>
      </c>
      <c r="AH465" s="39" t="n">
        <f aca="false">IF(AND($F465&lt;&gt;"",$O465&lt;&gt;"",$O465&lt;=Hoje!$C$3,$P465&gt;=Hoje!$C$3,$R465&lt;&gt;"Cancelada"),1,0)</f>
        <v>0</v>
      </c>
      <c r="AI465" s="39" t="n">
        <f aca="false">IF(AND($F465&lt;&gt;"",$P465&lt;&gt;"",$P465&lt;Hoje!$C$3,$AB465=0,$R465&lt;&gt;"Cancelada"),1,0)</f>
        <v>0</v>
      </c>
      <c r="AJ465" s="50" t="str">
        <f aca="false">IF($F465="","",$D465&amp;"|"&amp;$E465&amp;"|"&amp;$L465)</f>
        <v/>
      </c>
      <c r="AK465" s="39" t="str">
        <f aca="false">IF($AJ465="","",COUNTIF($AJ$4:$AJ465,$AJ465))</f>
        <v/>
      </c>
      <c r="AL465" s="39" t="str">
        <f aca="false">IF($AJ465="","",COUNTIF($AJ$4:$AJ$1004,$AJ465))</f>
        <v/>
      </c>
      <c r="AM465" s="42"/>
      <c r="AN465" s="50" t="str">
        <f aca="false">IF($D465="","",IFERROR(T(VLOOKUP($D465,Listas!$B$5:$H$120,7,0)),""))</f>
        <v/>
      </c>
      <c r="AO465" s="50" t="str">
        <f aca="false">IF(OR($F465="",$L465&lt;&gt;"",$R465="Cancelada",$AT465&lt;&gt;""),"",$AN465&amp;"|"&amp;$D465&amp;"|"&amp;IF($C465="","zzz",$C465)&amp;"|"&amp;TEXT(465,"0000"))</f>
        <v/>
      </c>
      <c r="AP465" s="50" t="str">
        <f aca="false">IF($AO465="","",COUNTIF($AO$5:$AO$1004,"&lt;"&amp;$AO465)-(ROWS($AO$5:$AO$1004)-Hoje!$L$5)+1)</f>
        <v/>
      </c>
      <c r="AQ465" s="50" t="n">
        <f aca="false">IF(AND($F465&lt;&gt;"",$D465=Frota!$C$3),1,0)</f>
        <v>0</v>
      </c>
      <c r="AR465" s="50" t="str">
        <f aca="false">IF($AQ465=0,"",SUM($AQ$4:$AQ465))</f>
        <v/>
      </c>
      <c r="AS465" s="50" t="str">
        <f aca="false">IFERROR(INDEX(Hoje!$K$10:$K$29,MATCH(ROW(),Hoje!$J$10:$J$29,0)),"")</f>
        <v/>
      </c>
      <c r="AT465" s="50" t="str">
        <f aca="false">IF($Q465&lt;&gt;"",$Q465,$AS465)</f>
        <v/>
      </c>
    </row>
    <row r="466" customFormat="false" ht="16.5" hidden="false" customHeight="true" outlineLevel="0" collapsed="false">
      <c r="A466" s="39" t="str">
        <f aca="false">IF($F466="","",ROW())</f>
        <v/>
      </c>
      <c r="B466" s="40" t="str">
        <f aca="false">IF($F466="",IF($D466="","","Falta a atividade"),IF($R466="Cancelada","Cancelada",IF($AB466=1,IF(N($Z466)&gt;0,"Concluída com atraso","Concluída"),IF($R466="Em programação","Em programação",IF($O466="",IF($M466="","Na carteira","Falta a semana"),IF($AC466=1,"VENCIDA",IF($O466&gt;Hoje!$L$1,"Programada",IF($P466&gt;Hoje!$L$1,"Em execução","Fecha hoje"))))))))</f>
        <v/>
      </c>
      <c r="C466" s="41"/>
      <c r="D466" s="42"/>
      <c r="E466" s="42"/>
      <c r="F466" s="42"/>
      <c r="G466" s="43"/>
      <c r="H466" s="43"/>
      <c r="I466" s="44"/>
      <c r="J466" s="44"/>
      <c r="K466" s="44"/>
      <c r="L466" s="45"/>
      <c r="M466" s="46"/>
      <c r="N466" s="45"/>
      <c r="O466" s="47" t="str">
        <f aca="false">IF(OR($L466="",$M466=""),"",(DATE(Semana!$J$3,1,4)-WEEKDAY(DATE(Semana!$J$3,1,4),3))+($L466-1)*7+MATCH($M466,Listas!$F$5:$F$11,0)-1)</f>
        <v/>
      </c>
      <c r="P466" s="47" t="str">
        <f aca="false">IF(OR($F466="",$O466=""),"",$O466+MAX(0,ROUNDUP($AK466*MAX(1,IF($N466="",1,$N466))/MAX(1,$AL466),0)-1))</f>
        <v/>
      </c>
      <c r="Q466" s="48"/>
      <c r="R466" s="43"/>
      <c r="S466" s="49"/>
      <c r="T466" s="42"/>
      <c r="U466" s="42"/>
      <c r="V466" s="39" t="str">
        <f aca="false">IF($F466="","",IF(ISNUMBER(SEARCH("(externo)",$I466&amp;$J466&amp;$K466)),"Terceirizada","Interna"))</f>
        <v/>
      </c>
      <c r="W466" s="47" t="str">
        <f aca="false">IF($O466="","",IF($S466="",$O466,(DATE(Semana!$J$3,1,4)-WEEKDAY(DATE(Semana!$J$3,1,4),3))+($S466-1)*7+IF($M466="",0,MATCH($M466,Listas!$F$5:$F$11,0)-1)))</f>
        <v/>
      </c>
      <c r="X466" s="39" t="str">
        <f aca="false">IF($F466="","",IF(OR($AT466="",$O466=""),0,IF($AT466&lt;=$O466,1,0)))</f>
        <v/>
      </c>
      <c r="Y466" s="39" t="str">
        <f aca="false">IF($F466="","",IF(OR($AT466="",$W466=""),0,IF($AT466&lt;=$W466,1,0)))</f>
        <v/>
      </c>
      <c r="Z466" s="39" t="str">
        <f aca="false">IF(OR($AT466="",$O466=""),"",MAX(0,$AT466-$O466))</f>
        <v/>
      </c>
      <c r="AA466" s="39" t="str">
        <f aca="false">IF($F466="","",IF(AND($S466&lt;&gt;"",$L466&lt;&gt;"",$S466&lt;&gt;$L466),1,0))</f>
        <v/>
      </c>
      <c r="AB466" s="39" t="str">
        <f aca="false">IF($F466="","",IF($R466="Cancelada",0,IF(OR($AT466&lt;&gt;"",$R466="Concluída"),1,0)))</f>
        <v/>
      </c>
      <c r="AC466" s="39" t="n">
        <f aca="false">IF($P466="",0,IF($P466&lt;Hoje!$L$1,1,IF(AND($P466=Hoje!$L$1,Hoje!$L$2&gt;Semana!$M$3),1,0)))</f>
        <v>0</v>
      </c>
      <c r="AD466" s="39" t="str">
        <f aca="false">IF($F466="","",IF(COUNTA($I466:$K466)=0,0,1/COUNTA($I466:$K466)))</f>
        <v/>
      </c>
      <c r="AE466" s="39" t="str">
        <f aca="false">IF($AH466=0,"",SUM($AH$4:$AH466))</f>
        <v/>
      </c>
      <c r="AF466" s="39" t="str">
        <f aca="false">IF($AI466=0,"",SUM($AI$4:$AI466))</f>
        <v/>
      </c>
      <c r="AG466" s="50" t="str">
        <f aca="false">IF($F466="","",$I466&amp;IF($J466="",""," · "&amp;$J466)&amp;IF($K466="",""," · "&amp;$K466))</f>
        <v/>
      </c>
      <c r="AH466" s="39" t="n">
        <f aca="false">IF(AND($F466&lt;&gt;"",$O466&lt;&gt;"",$O466&lt;=Hoje!$C$3,$P466&gt;=Hoje!$C$3,$R466&lt;&gt;"Cancelada"),1,0)</f>
        <v>0</v>
      </c>
      <c r="AI466" s="39" t="n">
        <f aca="false">IF(AND($F466&lt;&gt;"",$P466&lt;&gt;"",$P466&lt;Hoje!$C$3,$AB466=0,$R466&lt;&gt;"Cancelada"),1,0)</f>
        <v>0</v>
      </c>
      <c r="AJ466" s="50" t="str">
        <f aca="false">IF($F466="","",$D466&amp;"|"&amp;$E466&amp;"|"&amp;$L466)</f>
        <v/>
      </c>
      <c r="AK466" s="39" t="str">
        <f aca="false">IF($AJ466="","",COUNTIF($AJ$4:$AJ466,$AJ466))</f>
        <v/>
      </c>
      <c r="AL466" s="39" t="str">
        <f aca="false">IF($AJ466="","",COUNTIF($AJ$4:$AJ$1004,$AJ466))</f>
        <v/>
      </c>
      <c r="AM466" s="42"/>
      <c r="AN466" s="50" t="str">
        <f aca="false">IF($D466="","",IFERROR(T(VLOOKUP($D466,Listas!$B$5:$H$120,7,0)),""))</f>
        <v/>
      </c>
      <c r="AO466" s="50" t="str">
        <f aca="false">IF(OR($F466="",$L466&lt;&gt;"",$R466="Cancelada",$AT466&lt;&gt;""),"",$AN466&amp;"|"&amp;$D466&amp;"|"&amp;IF($C466="","zzz",$C466)&amp;"|"&amp;TEXT(466,"0000"))</f>
        <v/>
      </c>
      <c r="AP466" s="50" t="str">
        <f aca="false">IF($AO466="","",COUNTIF($AO$5:$AO$1004,"&lt;"&amp;$AO466)-(ROWS($AO$5:$AO$1004)-Hoje!$L$5)+1)</f>
        <v/>
      </c>
      <c r="AQ466" s="50" t="n">
        <f aca="false">IF(AND($F466&lt;&gt;"",$D466=Frota!$C$3),1,0)</f>
        <v>0</v>
      </c>
      <c r="AR466" s="50" t="str">
        <f aca="false">IF($AQ466=0,"",SUM($AQ$4:$AQ466))</f>
        <v/>
      </c>
      <c r="AS466" s="50" t="str">
        <f aca="false">IFERROR(INDEX(Hoje!$K$10:$K$29,MATCH(ROW(),Hoje!$J$10:$J$29,0)),"")</f>
        <v/>
      </c>
      <c r="AT466" s="50" t="str">
        <f aca="false">IF($Q466&lt;&gt;"",$Q466,$AS466)</f>
        <v/>
      </c>
    </row>
    <row r="467" customFormat="false" ht="16.5" hidden="false" customHeight="true" outlineLevel="0" collapsed="false">
      <c r="A467" s="39" t="str">
        <f aca="false">IF($F467="","",ROW())</f>
        <v/>
      </c>
      <c r="B467" s="40" t="str">
        <f aca="false">IF($F467="",IF($D467="","","Falta a atividade"),IF($R467="Cancelada","Cancelada",IF($AB467=1,IF(N($Z467)&gt;0,"Concluída com atraso","Concluída"),IF($R467="Em programação","Em programação",IF($O467="",IF($M467="","Na carteira","Falta a semana"),IF($AC467=1,"VENCIDA",IF($O467&gt;Hoje!$L$1,"Programada",IF($P467&gt;Hoje!$L$1,"Em execução","Fecha hoje"))))))))</f>
        <v/>
      </c>
      <c r="C467" s="41"/>
      <c r="D467" s="42"/>
      <c r="E467" s="42"/>
      <c r="F467" s="42"/>
      <c r="G467" s="43"/>
      <c r="H467" s="43"/>
      <c r="I467" s="44"/>
      <c r="J467" s="44"/>
      <c r="K467" s="44"/>
      <c r="L467" s="45"/>
      <c r="M467" s="46"/>
      <c r="N467" s="45"/>
      <c r="O467" s="47" t="str">
        <f aca="false">IF(OR($L467="",$M467=""),"",(DATE(Semana!$J$3,1,4)-WEEKDAY(DATE(Semana!$J$3,1,4),3))+($L467-1)*7+MATCH($M467,Listas!$F$5:$F$11,0)-1)</f>
        <v/>
      </c>
      <c r="P467" s="47" t="str">
        <f aca="false">IF(OR($F467="",$O467=""),"",$O467+MAX(0,ROUNDUP($AK467*MAX(1,IF($N467="",1,$N467))/MAX(1,$AL467),0)-1))</f>
        <v/>
      </c>
      <c r="Q467" s="48"/>
      <c r="R467" s="43"/>
      <c r="S467" s="49"/>
      <c r="T467" s="42"/>
      <c r="U467" s="42"/>
      <c r="V467" s="39" t="str">
        <f aca="false">IF($F467="","",IF(ISNUMBER(SEARCH("(externo)",$I467&amp;$J467&amp;$K467)),"Terceirizada","Interna"))</f>
        <v/>
      </c>
      <c r="W467" s="47" t="str">
        <f aca="false">IF($O467="","",IF($S467="",$O467,(DATE(Semana!$J$3,1,4)-WEEKDAY(DATE(Semana!$J$3,1,4),3))+($S467-1)*7+IF($M467="",0,MATCH($M467,Listas!$F$5:$F$11,0)-1)))</f>
        <v/>
      </c>
      <c r="X467" s="39" t="str">
        <f aca="false">IF($F467="","",IF(OR($AT467="",$O467=""),0,IF($AT467&lt;=$O467,1,0)))</f>
        <v/>
      </c>
      <c r="Y467" s="39" t="str">
        <f aca="false">IF($F467="","",IF(OR($AT467="",$W467=""),0,IF($AT467&lt;=$W467,1,0)))</f>
        <v/>
      </c>
      <c r="Z467" s="39" t="str">
        <f aca="false">IF(OR($AT467="",$O467=""),"",MAX(0,$AT467-$O467))</f>
        <v/>
      </c>
      <c r="AA467" s="39" t="str">
        <f aca="false">IF($F467="","",IF(AND($S467&lt;&gt;"",$L467&lt;&gt;"",$S467&lt;&gt;$L467),1,0))</f>
        <v/>
      </c>
      <c r="AB467" s="39" t="str">
        <f aca="false">IF($F467="","",IF($R467="Cancelada",0,IF(OR($AT467&lt;&gt;"",$R467="Concluída"),1,0)))</f>
        <v/>
      </c>
      <c r="AC467" s="39" t="n">
        <f aca="false">IF($P467="",0,IF($P467&lt;Hoje!$L$1,1,IF(AND($P467=Hoje!$L$1,Hoje!$L$2&gt;Semana!$M$3),1,0)))</f>
        <v>0</v>
      </c>
      <c r="AD467" s="39" t="str">
        <f aca="false">IF($F467="","",IF(COUNTA($I467:$K467)=0,0,1/COUNTA($I467:$K467)))</f>
        <v/>
      </c>
      <c r="AE467" s="39" t="str">
        <f aca="false">IF($AH467=0,"",SUM($AH$4:$AH467))</f>
        <v/>
      </c>
      <c r="AF467" s="39" t="str">
        <f aca="false">IF($AI467=0,"",SUM($AI$4:$AI467))</f>
        <v/>
      </c>
      <c r="AG467" s="50" t="str">
        <f aca="false">IF($F467="","",$I467&amp;IF($J467="",""," · "&amp;$J467)&amp;IF($K467="",""," · "&amp;$K467))</f>
        <v/>
      </c>
      <c r="AH467" s="39" t="n">
        <f aca="false">IF(AND($F467&lt;&gt;"",$O467&lt;&gt;"",$O467&lt;=Hoje!$C$3,$P467&gt;=Hoje!$C$3,$R467&lt;&gt;"Cancelada"),1,0)</f>
        <v>0</v>
      </c>
      <c r="AI467" s="39" t="n">
        <f aca="false">IF(AND($F467&lt;&gt;"",$P467&lt;&gt;"",$P467&lt;Hoje!$C$3,$AB467=0,$R467&lt;&gt;"Cancelada"),1,0)</f>
        <v>0</v>
      </c>
      <c r="AJ467" s="50" t="str">
        <f aca="false">IF($F467="","",$D467&amp;"|"&amp;$E467&amp;"|"&amp;$L467)</f>
        <v/>
      </c>
      <c r="AK467" s="39" t="str">
        <f aca="false">IF($AJ467="","",COUNTIF($AJ$4:$AJ467,$AJ467))</f>
        <v/>
      </c>
      <c r="AL467" s="39" t="str">
        <f aca="false">IF($AJ467="","",COUNTIF($AJ$4:$AJ$1004,$AJ467))</f>
        <v/>
      </c>
      <c r="AM467" s="42"/>
      <c r="AN467" s="50" t="str">
        <f aca="false">IF($D467="","",IFERROR(T(VLOOKUP($D467,Listas!$B$5:$H$120,7,0)),""))</f>
        <v/>
      </c>
      <c r="AO467" s="50" t="str">
        <f aca="false">IF(OR($F467="",$L467&lt;&gt;"",$R467="Cancelada",$AT467&lt;&gt;""),"",$AN467&amp;"|"&amp;$D467&amp;"|"&amp;IF($C467="","zzz",$C467)&amp;"|"&amp;TEXT(467,"0000"))</f>
        <v/>
      </c>
      <c r="AP467" s="50" t="str">
        <f aca="false">IF($AO467="","",COUNTIF($AO$5:$AO$1004,"&lt;"&amp;$AO467)-(ROWS($AO$5:$AO$1004)-Hoje!$L$5)+1)</f>
        <v/>
      </c>
      <c r="AQ467" s="50" t="n">
        <f aca="false">IF(AND($F467&lt;&gt;"",$D467=Frota!$C$3),1,0)</f>
        <v>0</v>
      </c>
      <c r="AR467" s="50" t="str">
        <f aca="false">IF($AQ467=0,"",SUM($AQ$4:$AQ467))</f>
        <v/>
      </c>
      <c r="AS467" s="50" t="str">
        <f aca="false">IFERROR(INDEX(Hoje!$K$10:$K$29,MATCH(ROW(),Hoje!$J$10:$J$29,0)),"")</f>
        <v/>
      </c>
      <c r="AT467" s="50" t="str">
        <f aca="false">IF($Q467&lt;&gt;"",$Q467,$AS467)</f>
        <v/>
      </c>
    </row>
    <row r="468" customFormat="false" ht="16.5" hidden="false" customHeight="true" outlineLevel="0" collapsed="false">
      <c r="A468" s="39" t="str">
        <f aca="false">IF($F468="","",ROW())</f>
        <v/>
      </c>
      <c r="B468" s="40" t="str">
        <f aca="false">IF($F468="",IF($D468="","","Falta a atividade"),IF($R468="Cancelada","Cancelada",IF($AB468=1,IF(N($Z468)&gt;0,"Concluída com atraso","Concluída"),IF($R468="Em programação","Em programação",IF($O468="",IF($M468="","Na carteira","Falta a semana"),IF($AC468=1,"VENCIDA",IF($O468&gt;Hoje!$L$1,"Programada",IF($P468&gt;Hoje!$L$1,"Em execução","Fecha hoje"))))))))</f>
        <v/>
      </c>
      <c r="C468" s="41"/>
      <c r="D468" s="42"/>
      <c r="E468" s="42"/>
      <c r="F468" s="42"/>
      <c r="G468" s="43"/>
      <c r="H468" s="43"/>
      <c r="I468" s="44"/>
      <c r="J468" s="44"/>
      <c r="K468" s="44"/>
      <c r="L468" s="45"/>
      <c r="M468" s="46"/>
      <c r="N468" s="45"/>
      <c r="O468" s="47" t="str">
        <f aca="false">IF(OR($L468="",$M468=""),"",(DATE(Semana!$J$3,1,4)-WEEKDAY(DATE(Semana!$J$3,1,4),3))+($L468-1)*7+MATCH($M468,Listas!$F$5:$F$11,0)-1)</f>
        <v/>
      </c>
      <c r="P468" s="47" t="str">
        <f aca="false">IF(OR($F468="",$O468=""),"",$O468+MAX(0,ROUNDUP($AK468*MAX(1,IF($N468="",1,$N468))/MAX(1,$AL468),0)-1))</f>
        <v/>
      </c>
      <c r="Q468" s="48"/>
      <c r="R468" s="43"/>
      <c r="S468" s="49"/>
      <c r="T468" s="42"/>
      <c r="U468" s="42"/>
      <c r="V468" s="39" t="str">
        <f aca="false">IF($F468="","",IF(ISNUMBER(SEARCH("(externo)",$I468&amp;$J468&amp;$K468)),"Terceirizada","Interna"))</f>
        <v/>
      </c>
      <c r="W468" s="47" t="str">
        <f aca="false">IF($O468="","",IF($S468="",$O468,(DATE(Semana!$J$3,1,4)-WEEKDAY(DATE(Semana!$J$3,1,4),3))+($S468-1)*7+IF($M468="",0,MATCH($M468,Listas!$F$5:$F$11,0)-1)))</f>
        <v/>
      </c>
      <c r="X468" s="39" t="str">
        <f aca="false">IF($F468="","",IF(OR($AT468="",$O468=""),0,IF($AT468&lt;=$O468,1,0)))</f>
        <v/>
      </c>
      <c r="Y468" s="39" t="str">
        <f aca="false">IF($F468="","",IF(OR($AT468="",$W468=""),0,IF($AT468&lt;=$W468,1,0)))</f>
        <v/>
      </c>
      <c r="Z468" s="39" t="str">
        <f aca="false">IF(OR($AT468="",$O468=""),"",MAX(0,$AT468-$O468))</f>
        <v/>
      </c>
      <c r="AA468" s="39" t="str">
        <f aca="false">IF($F468="","",IF(AND($S468&lt;&gt;"",$L468&lt;&gt;"",$S468&lt;&gt;$L468),1,0))</f>
        <v/>
      </c>
      <c r="AB468" s="39" t="str">
        <f aca="false">IF($F468="","",IF($R468="Cancelada",0,IF(OR($AT468&lt;&gt;"",$R468="Concluída"),1,0)))</f>
        <v/>
      </c>
      <c r="AC468" s="39" t="n">
        <f aca="false">IF($P468="",0,IF($P468&lt;Hoje!$L$1,1,IF(AND($P468=Hoje!$L$1,Hoje!$L$2&gt;Semana!$M$3),1,0)))</f>
        <v>0</v>
      </c>
      <c r="AD468" s="39" t="str">
        <f aca="false">IF($F468="","",IF(COUNTA($I468:$K468)=0,0,1/COUNTA($I468:$K468)))</f>
        <v/>
      </c>
      <c r="AE468" s="39" t="str">
        <f aca="false">IF($AH468=0,"",SUM($AH$4:$AH468))</f>
        <v/>
      </c>
      <c r="AF468" s="39" t="str">
        <f aca="false">IF($AI468=0,"",SUM($AI$4:$AI468))</f>
        <v/>
      </c>
      <c r="AG468" s="50" t="str">
        <f aca="false">IF($F468="","",$I468&amp;IF($J468="",""," · "&amp;$J468)&amp;IF($K468="",""," · "&amp;$K468))</f>
        <v/>
      </c>
      <c r="AH468" s="39" t="n">
        <f aca="false">IF(AND($F468&lt;&gt;"",$O468&lt;&gt;"",$O468&lt;=Hoje!$C$3,$P468&gt;=Hoje!$C$3,$R468&lt;&gt;"Cancelada"),1,0)</f>
        <v>0</v>
      </c>
      <c r="AI468" s="39" t="n">
        <f aca="false">IF(AND($F468&lt;&gt;"",$P468&lt;&gt;"",$P468&lt;Hoje!$C$3,$AB468=0,$R468&lt;&gt;"Cancelada"),1,0)</f>
        <v>0</v>
      </c>
      <c r="AJ468" s="50" t="str">
        <f aca="false">IF($F468="","",$D468&amp;"|"&amp;$E468&amp;"|"&amp;$L468)</f>
        <v/>
      </c>
      <c r="AK468" s="39" t="str">
        <f aca="false">IF($AJ468="","",COUNTIF($AJ$4:$AJ468,$AJ468))</f>
        <v/>
      </c>
      <c r="AL468" s="39" t="str">
        <f aca="false">IF($AJ468="","",COUNTIF($AJ$4:$AJ$1004,$AJ468))</f>
        <v/>
      </c>
      <c r="AM468" s="42"/>
      <c r="AN468" s="50" t="str">
        <f aca="false">IF($D468="","",IFERROR(T(VLOOKUP($D468,Listas!$B$5:$H$120,7,0)),""))</f>
        <v/>
      </c>
      <c r="AO468" s="50" t="str">
        <f aca="false">IF(OR($F468="",$L468&lt;&gt;"",$R468="Cancelada",$AT468&lt;&gt;""),"",$AN468&amp;"|"&amp;$D468&amp;"|"&amp;IF($C468="","zzz",$C468)&amp;"|"&amp;TEXT(468,"0000"))</f>
        <v/>
      </c>
      <c r="AP468" s="50" t="str">
        <f aca="false">IF($AO468="","",COUNTIF($AO$5:$AO$1004,"&lt;"&amp;$AO468)-(ROWS($AO$5:$AO$1004)-Hoje!$L$5)+1)</f>
        <v/>
      </c>
      <c r="AQ468" s="50" t="n">
        <f aca="false">IF(AND($F468&lt;&gt;"",$D468=Frota!$C$3),1,0)</f>
        <v>0</v>
      </c>
      <c r="AR468" s="50" t="str">
        <f aca="false">IF($AQ468=0,"",SUM($AQ$4:$AQ468))</f>
        <v/>
      </c>
      <c r="AS468" s="50" t="str">
        <f aca="false">IFERROR(INDEX(Hoje!$K$10:$K$29,MATCH(ROW(),Hoje!$J$10:$J$29,0)),"")</f>
        <v/>
      </c>
      <c r="AT468" s="50" t="str">
        <f aca="false">IF($Q468&lt;&gt;"",$Q468,$AS468)</f>
        <v/>
      </c>
    </row>
    <row r="469" customFormat="false" ht="16.5" hidden="false" customHeight="true" outlineLevel="0" collapsed="false">
      <c r="A469" s="39" t="str">
        <f aca="false">IF($F469="","",ROW())</f>
        <v/>
      </c>
      <c r="B469" s="40" t="str">
        <f aca="false">IF($F469="",IF($D469="","","Falta a atividade"),IF($R469="Cancelada","Cancelada",IF($AB469=1,IF(N($Z469)&gt;0,"Concluída com atraso","Concluída"),IF($R469="Em programação","Em programação",IF($O469="",IF($M469="","Na carteira","Falta a semana"),IF($AC469=1,"VENCIDA",IF($O469&gt;Hoje!$L$1,"Programada",IF($P469&gt;Hoje!$L$1,"Em execução","Fecha hoje"))))))))</f>
        <v/>
      </c>
      <c r="C469" s="41"/>
      <c r="D469" s="42"/>
      <c r="E469" s="42"/>
      <c r="F469" s="42"/>
      <c r="G469" s="43"/>
      <c r="H469" s="43"/>
      <c r="I469" s="44"/>
      <c r="J469" s="44"/>
      <c r="K469" s="44"/>
      <c r="L469" s="45"/>
      <c r="M469" s="46"/>
      <c r="N469" s="45"/>
      <c r="O469" s="47" t="str">
        <f aca="false">IF(OR($L469="",$M469=""),"",(DATE(Semana!$J$3,1,4)-WEEKDAY(DATE(Semana!$J$3,1,4),3))+($L469-1)*7+MATCH($M469,Listas!$F$5:$F$11,0)-1)</f>
        <v/>
      </c>
      <c r="P469" s="47" t="str">
        <f aca="false">IF(OR($F469="",$O469=""),"",$O469+MAX(0,ROUNDUP($AK469*MAX(1,IF($N469="",1,$N469))/MAX(1,$AL469),0)-1))</f>
        <v/>
      </c>
      <c r="Q469" s="48"/>
      <c r="R469" s="43"/>
      <c r="S469" s="49"/>
      <c r="T469" s="42"/>
      <c r="U469" s="42"/>
      <c r="V469" s="39" t="str">
        <f aca="false">IF($F469="","",IF(ISNUMBER(SEARCH("(externo)",$I469&amp;$J469&amp;$K469)),"Terceirizada","Interna"))</f>
        <v/>
      </c>
      <c r="W469" s="47" t="str">
        <f aca="false">IF($O469="","",IF($S469="",$O469,(DATE(Semana!$J$3,1,4)-WEEKDAY(DATE(Semana!$J$3,1,4),3))+($S469-1)*7+IF($M469="",0,MATCH($M469,Listas!$F$5:$F$11,0)-1)))</f>
        <v/>
      </c>
      <c r="X469" s="39" t="str">
        <f aca="false">IF($F469="","",IF(OR($AT469="",$O469=""),0,IF($AT469&lt;=$O469,1,0)))</f>
        <v/>
      </c>
      <c r="Y469" s="39" t="str">
        <f aca="false">IF($F469="","",IF(OR($AT469="",$W469=""),0,IF($AT469&lt;=$W469,1,0)))</f>
        <v/>
      </c>
      <c r="Z469" s="39" t="str">
        <f aca="false">IF(OR($AT469="",$O469=""),"",MAX(0,$AT469-$O469))</f>
        <v/>
      </c>
      <c r="AA469" s="39" t="str">
        <f aca="false">IF($F469="","",IF(AND($S469&lt;&gt;"",$L469&lt;&gt;"",$S469&lt;&gt;$L469),1,0))</f>
        <v/>
      </c>
      <c r="AB469" s="39" t="str">
        <f aca="false">IF($F469="","",IF($R469="Cancelada",0,IF(OR($AT469&lt;&gt;"",$R469="Concluída"),1,0)))</f>
        <v/>
      </c>
      <c r="AC469" s="39" t="n">
        <f aca="false">IF($P469="",0,IF($P469&lt;Hoje!$L$1,1,IF(AND($P469=Hoje!$L$1,Hoje!$L$2&gt;Semana!$M$3),1,0)))</f>
        <v>0</v>
      </c>
      <c r="AD469" s="39" t="str">
        <f aca="false">IF($F469="","",IF(COUNTA($I469:$K469)=0,0,1/COUNTA($I469:$K469)))</f>
        <v/>
      </c>
      <c r="AE469" s="39" t="str">
        <f aca="false">IF($AH469=0,"",SUM($AH$4:$AH469))</f>
        <v/>
      </c>
      <c r="AF469" s="39" t="str">
        <f aca="false">IF($AI469=0,"",SUM($AI$4:$AI469))</f>
        <v/>
      </c>
      <c r="AG469" s="50" t="str">
        <f aca="false">IF($F469="","",$I469&amp;IF($J469="",""," · "&amp;$J469)&amp;IF($K469="",""," · "&amp;$K469))</f>
        <v/>
      </c>
      <c r="AH469" s="39" t="n">
        <f aca="false">IF(AND($F469&lt;&gt;"",$O469&lt;&gt;"",$O469&lt;=Hoje!$C$3,$P469&gt;=Hoje!$C$3,$R469&lt;&gt;"Cancelada"),1,0)</f>
        <v>0</v>
      </c>
      <c r="AI469" s="39" t="n">
        <f aca="false">IF(AND($F469&lt;&gt;"",$P469&lt;&gt;"",$P469&lt;Hoje!$C$3,$AB469=0,$R469&lt;&gt;"Cancelada"),1,0)</f>
        <v>0</v>
      </c>
      <c r="AJ469" s="50" t="str">
        <f aca="false">IF($F469="","",$D469&amp;"|"&amp;$E469&amp;"|"&amp;$L469)</f>
        <v/>
      </c>
      <c r="AK469" s="39" t="str">
        <f aca="false">IF($AJ469="","",COUNTIF($AJ$4:$AJ469,$AJ469))</f>
        <v/>
      </c>
      <c r="AL469" s="39" t="str">
        <f aca="false">IF($AJ469="","",COUNTIF($AJ$4:$AJ$1004,$AJ469))</f>
        <v/>
      </c>
      <c r="AM469" s="42"/>
      <c r="AN469" s="50" t="str">
        <f aca="false">IF($D469="","",IFERROR(T(VLOOKUP($D469,Listas!$B$5:$H$120,7,0)),""))</f>
        <v/>
      </c>
      <c r="AO469" s="50" t="str">
        <f aca="false">IF(OR($F469="",$L469&lt;&gt;"",$R469="Cancelada",$AT469&lt;&gt;""),"",$AN469&amp;"|"&amp;$D469&amp;"|"&amp;IF($C469="","zzz",$C469)&amp;"|"&amp;TEXT(469,"0000"))</f>
        <v/>
      </c>
      <c r="AP469" s="50" t="str">
        <f aca="false">IF($AO469="","",COUNTIF($AO$5:$AO$1004,"&lt;"&amp;$AO469)-(ROWS($AO$5:$AO$1004)-Hoje!$L$5)+1)</f>
        <v/>
      </c>
      <c r="AQ469" s="50" t="n">
        <f aca="false">IF(AND($F469&lt;&gt;"",$D469=Frota!$C$3),1,0)</f>
        <v>0</v>
      </c>
      <c r="AR469" s="50" t="str">
        <f aca="false">IF($AQ469=0,"",SUM($AQ$4:$AQ469))</f>
        <v/>
      </c>
      <c r="AS469" s="50" t="str">
        <f aca="false">IFERROR(INDEX(Hoje!$K$10:$K$29,MATCH(ROW(),Hoje!$J$10:$J$29,0)),"")</f>
        <v/>
      </c>
      <c r="AT469" s="50" t="str">
        <f aca="false">IF($Q469&lt;&gt;"",$Q469,$AS469)</f>
        <v/>
      </c>
    </row>
    <row r="470" customFormat="false" ht="16.5" hidden="false" customHeight="true" outlineLevel="0" collapsed="false">
      <c r="A470" s="39" t="str">
        <f aca="false">IF($F470="","",ROW())</f>
        <v/>
      </c>
      <c r="B470" s="40" t="str">
        <f aca="false">IF($F470="",IF($D470="","","Falta a atividade"),IF($R470="Cancelada","Cancelada",IF($AB470=1,IF(N($Z470)&gt;0,"Concluída com atraso","Concluída"),IF($R470="Em programação","Em programação",IF($O470="",IF($M470="","Na carteira","Falta a semana"),IF($AC470=1,"VENCIDA",IF($O470&gt;Hoje!$L$1,"Programada",IF($P470&gt;Hoje!$L$1,"Em execução","Fecha hoje"))))))))</f>
        <v/>
      </c>
      <c r="C470" s="41"/>
      <c r="D470" s="42"/>
      <c r="E470" s="42"/>
      <c r="F470" s="42"/>
      <c r="G470" s="43"/>
      <c r="H470" s="43"/>
      <c r="I470" s="44"/>
      <c r="J470" s="44"/>
      <c r="K470" s="44"/>
      <c r="L470" s="45"/>
      <c r="M470" s="46"/>
      <c r="N470" s="45"/>
      <c r="O470" s="47" t="str">
        <f aca="false">IF(OR($L470="",$M470=""),"",(DATE(Semana!$J$3,1,4)-WEEKDAY(DATE(Semana!$J$3,1,4),3))+($L470-1)*7+MATCH($M470,Listas!$F$5:$F$11,0)-1)</f>
        <v/>
      </c>
      <c r="P470" s="47" t="str">
        <f aca="false">IF(OR($F470="",$O470=""),"",$O470+MAX(0,ROUNDUP($AK470*MAX(1,IF($N470="",1,$N470))/MAX(1,$AL470),0)-1))</f>
        <v/>
      </c>
      <c r="Q470" s="48"/>
      <c r="R470" s="43"/>
      <c r="S470" s="49"/>
      <c r="T470" s="42"/>
      <c r="U470" s="42"/>
      <c r="V470" s="39" t="str">
        <f aca="false">IF($F470="","",IF(ISNUMBER(SEARCH("(externo)",$I470&amp;$J470&amp;$K470)),"Terceirizada","Interna"))</f>
        <v/>
      </c>
      <c r="W470" s="47" t="str">
        <f aca="false">IF($O470="","",IF($S470="",$O470,(DATE(Semana!$J$3,1,4)-WEEKDAY(DATE(Semana!$J$3,1,4),3))+($S470-1)*7+IF($M470="",0,MATCH($M470,Listas!$F$5:$F$11,0)-1)))</f>
        <v/>
      </c>
      <c r="X470" s="39" t="str">
        <f aca="false">IF($F470="","",IF(OR($AT470="",$O470=""),0,IF($AT470&lt;=$O470,1,0)))</f>
        <v/>
      </c>
      <c r="Y470" s="39" t="str">
        <f aca="false">IF($F470="","",IF(OR($AT470="",$W470=""),0,IF($AT470&lt;=$W470,1,0)))</f>
        <v/>
      </c>
      <c r="Z470" s="39" t="str">
        <f aca="false">IF(OR($AT470="",$O470=""),"",MAX(0,$AT470-$O470))</f>
        <v/>
      </c>
      <c r="AA470" s="39" t="str">
        <f aca="false">IF($F470="","",IF(AND($S470&lt;&gt;"",$L470&lt;&gt;"",$S470&lt;&gt;$L470),1,0))</f>
        <v/>
      </c>
      <c r="AB470" s="39" t="str">
        <f aca="false">IF($F470="","",IF($R470="Cancelada",0,IF(OR($AT470&lt;&gt;"",$R470="Concluída"),1,0)))</f>
        <v/>
      </c>
      <c r="AC470" s="39" t="n">
        <f aca="false">IF($P470="",0,IF($P470&lt;Hoje!$L$1,1,IF(AND($P470=Hoje!$L$1,Hoje!$L$2&gt;Semana!$M$3),1,0)))</f>
        <v>0</v>
      </c>
      <c r="AD470" s="39" t="str">
        <f aca="false">IF($F470="","",IF(COUNTA($I470:$K470)=0,0,1/COUNTA($I470:$K470)))</f>
        <v/>
      </c>
      <c r="AE470" s="39" t="str">
        <f aca="false">IF($AH470=0,"",SUM($AH$4:$AH470))</f>
        <v/>
      </c>
      <c r="AF470" s="39" t="str">
        <f aca="false">IF($AI470=0,"",SUM($AI$4:$AI470))</f>
        <v/>
      </c>
      <c r="AG470" s="50" t="str">
        <f aca="false">IF($F470="","",$I470&amp;IF($J470="",""," · "&amp;$J470)&amp;IF($K470="",""," · "&amp;$K470))</f>
        <v/>
      </c>
      <c r="AH470" s="39" t="n">
        <f aca="false">IF(AND($F470&lt;&gt;"",$O470&lt;&gt;"",$O470&lt;=Hoje!$C$3,$P470&gt;=Hoje!$C$3,$R470&lt;&gt;"Cancelada"),1,0)</f>
        <v>0</v>
      </c>
      <c r="AI470" s="39" t="n">
        <f aca="false">IF(AND($F470&lt;&gt;"",$P470&lt;&gt;"",$P470&lt;Hoje!$C$3,$AB470=0,$R470&lt;&gt;"Cancelada"),1,0)</f>
        <v>0</v>
      </c>
      <c r="AJ470" s="50" t="str">
        <f aca="false">IF($F470="","",$D470&amp;"|"&amp;$E470&amp;"|"&amp;$L470)</f>
        <v/>
      </c>
      <c r="AK470" s="39" t="str">
        <f aca="false">IF($AJ470="","",COUNTIF($AJ$4:$AJ470,$AJ470))</f>
        <v/>
      </c>
      <c r="AL470" s="39" t="str">
        <f aca="false">IF($AJ470="","",COUNTIF($AJ$4:$AJ$1004,$AJ470))</f>
        <v/>
      </c>
      <c r="AM470" s="42"/>
      <c r="AN470" s="50" t="str">
        <f aca="false">IF($D470="","",IFERROR(T(VLOOKUP($D470,Listas!$B$5:$H$120,7,0)),""))</f>
        <v/>
      </c>
      <c r="AO470" s="50" t="str">
        <f aca="false">IF(OR($F470="",$L470&lt;&gt;"",$R470="Cancelada",$AT470&lt;&gt;""),"",$AN470&amp;"|"&amp;$D470&amp;"|"&amp;IF($C470="","zzz",$C470)&amp;"|"&amp;TEXT(470,"0000"))</f>
        <v/>
      </c>
      <c r="AP470" s="50" t="str">
        <f aca="false">IF($AO470="","",COUNTIF($AO$5:$AO$1004,"&lt;"&amp;$AO470)-(ROWS($AO$5:$AO$1004)-Hoje!$L$5)+1)</f>
        <v/>
      </c>
      <c r="AQ470" s="50" t="n">
        <f aca="false">IF(AND($F470&lt;&gt;"",$D470=Frota!$C$3),1,0)</f>
        <v>0</v>
      </c>
      <c r="AR470" s="50" t="str">
        <f aca="false">IF($AQ470=0,"",SUM($AQ$4:$AQ470))</f>
        <v/>
      </c>
      <c r="AS470" s="50" t="str">
        <f aca="false">IFERROR(INDEX(Hoje!$K$10:$K$29,MATCH(ROW(),Hoje!$J$10:$J$29,0)),"")</f>
        <v/>
      </c>
      <c r="AT470" s="50" t="str">
        <f aca="false">IF($Q470&lt;&gt;"",$Q470,$AS470)</f>
        <v/>
      </c>
    </row>
    <row r="471" customFormat="false" ht="16.5" hidden="false" customHeight="true" outlineLevel="0" collapsed="false">
      <c r="A471" s="39" t="str">
        <f aca="false">IF($F471="","",ROW())</f>
        <v/>
      </c>
      <c r="B471" s="40" t="str">
        <f aca="false">IF($F471="",IF($D471="","","Falta a atividade"),IF($R471="Cancelada","Cancelada",IF($AB471=1,IF(N($Z471)&gt;0,"Concluída com atraso","Concluída"),IF($R471="Em programação","Em programação",IF($O471="",IF($M471="","Na carteira","Falta a semana"),IF($AC471=1,"VENCIDA",IF($O471&gt;Hoje!$L$1,"Programada",IF($P471&gt;Hoje!$L$1,"Em execução","Fecha hoje"))))))))</f>
        <v/>
      </c>
      <c r="C471" s="41"/>
      <c r="D471" s="42"/>
      <c r="E471" s="42"/>
      <c r="F471" s="42"/>
      <c r="G471" s="43"/>
      <c r="H471" s="43"/>
      <c r="I471" s="44"/>
      <c r="J471" s="44"/>
      <c r="K471" s="44"/>
      <c r="L471" s="45"/>
      <c r="M471" s="46"/>
      <c r="N471" s="45"/>
      <c r="O471" s="47" t="str">
        <f aca="false">IF(OR($L471="",$M471=""),"",(DATE(Semana!$J$3,1,4)-WEEKDAY(DATE(Semana!$J$3,1,4),3))+($L471-1)*7+MATCH($M471,Listas!$F$5:$F$11,0)-1)</f>
        <v/>
      </c>
      <c r="P471" s="47" t="str">
        <f aca="false">IF(OR($F471="",$O471=""),"",$O471+MAX(0,ROUNDUP($AK471*MAX(1,IF($N471="",1,$N471))/MAX(1,$AL471),0)-1))</f>
        <v/>
      </c>
      <c r="Q471" s="48"/>
      <c r="R471" s="43"/>
      <c r="S471" s="49"/>
      <c r="T471" s="42"/>
      <c r="U471" s="42"/>
      <c r="V471" s="39" t="str">
        <f aca="false">IF($F471="","",IF(ISNUMBER(SEARCH("(externo)",$I471&amp;$J471&amp;$K471)),"Terceirizada","Interna"))</f>
        <v/>
      </c>
      <c r="W471" s="47" t="str">
        <f aca="false">IF($O471="","",IF($S471="",$O471,(DATE(Semana!$J$3,1,4)-WEEKDAY(DATE(Semana!$J$3,1,4),3))+($S471-1)*7+IF($M471="",0,MATCH($M471,Listas!$F$5:$F$11,0)-1)))</f>
        <v/>
      </c>
      <c r="X471" s="39" t="str">
        <f aca="false">IF($F471="","",IF(OR($AT471="",$O471=""),0,IF($AT471&lt;=$O471,1,0)))</f>
        <v/>
      </c>
      <c r="Y471" s="39" t="str">
        <f aca="false">IF($F471="","",IF(OR($AT471="",$W471=""),0,IF($AT471&lt;=$W471,1,0)))</f>
        <v/>
      </c>
      <c r="Z471" s="39" t="str">
        <f aca="false">IF(OR($AT471="",$O471=""),"",MAX(0,$AT471-$O471))</f>
        <v/>
      </c>
      <c r="AA471" s="39" t="str">
        <f aca="false">IF($F471="","",IF(AND($S471&lt;&gt;"",$L471&lt;&gt;"",$S471&lt;&gt;$L471),1,0))</f>
        <v/>
      </c>
      <c r="AB471" s="39" t="str">
        <f aca="false">IF($F471="","",IF($R471="Cancelada",0,IF(OR($AT471&lt;&gt;"",$R471="Concluída"),1,0)))</f>
        <v/>
      </c>
      <c r="AC471" s="39" t="n">
        <f aca="false">IF($P471="",0,IF($P471&lt;Hoje!$L$1,1,IF(AND($P471=Hoje!$L$1,Hoje!$L$2&gt;Semana!$M$3),1,0)))</f>
        <v>0</v>
      </c>
      <c r="AD471" s="39" t="str">
        <f aca="false">IF($F471="","",IF(COUNTA($I471:$K471)=0,0,1/COUNTA($I471:$K471)))</f>
        <v/>
      </c>
      <c r="AE471" s="39" t="str">
        <f aca="false">IF($AH471=0,"",SUM($AH$4:$AH471))</f>
        <v/>
      </c>
      <c r="AF471" s="39" t="str">
        <f aca="false">IF($AI471=0,"",SUM($AI$4:$AI471))</f>
        <v/>
      </c>
      <c r="AG471" s="50" t="str">
        <f aca="false">IF($F471="","",$I471&amp;IF($J471="",""," · "&amp;$J471)&amp;IF($K471="",""," · "&amp;$K471))</f>
        <v/>
      </c>
      <c r="AH471" s="39" t="n">
        <f aca="false">IF(AND($F471&lt;&gt;"",$O471&lt;&gt;"",$O471&lt;=Hoje!$C$3,$P471&gt;=Hoje!$C$3,$R471&lt;&gt;"Cancelada"),1,0)</f>
        <v>0</v>
      </c>
      <c r="AI471" s="39" t="n">
        <f aca="false">IF(AND($F471&lt;&gt;"",$P471&lt;&gt;"",$P471&lt;Hoje!$C$3,$AB471=0,$R471&lt;&gt;"Cancelada"),1,0)</f>
        <v>0</v>
      </c>
      <c r="AJ471" s="50" t="str">
        <f aca="false">IF($F471="","",$D471&amp;"|"&amp;$E471&amp;"|"&amp;$L471)</f>
        <v/>
      </c>
      <c r="AK471" s="39" t="str">
        <f aca="false">IF($AJ471="","",COUNTIF($AJ$4:$AJ471,$AJ471))</f>
        <v/>
      </c>
      <c r="AL471" s="39" t="str">
        <f aca="false">IF($AJ471="","",COUNTIF($AJ$4:$AJ$1004,$AJ471))</f>
        <v/>
      </c>
      <c r="AM471" s="42"/>
      <c r="AN471" s="50" t="str">
        <f aca="false">IF($D471="","",IFERROR(T(VLOOKUP($D471,Listas!$B$5:$H$120,7,0)),""))</f>
        <v/>
      </c>
      <c r="AO471" s="50" t="str">
        <f aca="false">IF(OR($F471="",$L471&lt;&gt;"",$R471="Cancelada",$AT471&lt;&gt;""),"",$AN471&amp;"|"&amp;$D471&amp;"|"&amp;IF($C471="","zzz",$C471)&amp;"|"&amp;TEXT(471,"0000"))</f>
        <v/>
      </c>
      <c r="AP471" s="50" t="str">
        <f aca="false">IF($AO471="","",COUNTIF($AO$5:$AO$1004,"&lt;"&amp;$AO471)-(ROWS($AO$5:$AO$1004)-Hoje!$L$5)+1)</f>
        <v/>
      </c>
      <c r="AQ471" s="50" t="n">
        <f aca="false">IF(AND($F471&lt;&gt;"",$D471=Frota!$C$3),1,0)</f>
        <v>0</v>
      </c>
      <c r="AR471" s="50" t="str">
        <f aca="false">IF($AQ471=0,"",SUM($AQ$4:$AQ471))</f>
        <v/>
      </c>
      <c r="AS471" s="50" t="str">
        <f aca="false">IFERROR(INDEX(Hoje!$K$10:$K$29,MATCH(ROW(),Hoje!$J$10:$J$29,0)),"")</f>
        <v/>
      </c>
      <c r="AT471" s="50" t="str">
        <f aca="false">IF($Q471&lt;&gt;"",$Q471,$AS471)</f>
        <v/>
      </c>
    </row>
    <row r="472" customFormat="false" ht="16.5" hidden="false" customHeight="true" outlineLevel="0" collapsed="false">
      <c r="A472" s="39" t="str">
        <f aca="false">IF($F472="","",ROW())</f>
        <v/>
      </c>
      <c r="B472" s="40" t="str">
        <f aca="false">IF($F472="",IF($D472="","","Falta a atividade"),IF($R472="Cancelada","Cancelada",IF($AB472=1,IF(N($Z472)&gt;0,"Concluída com atraso","Concluída"),IF($R472="Em programação","Em programação",IF($O472="",IF($M472="","Na carteira","Falta a semana"),IF($AC472=1,"VENCIDA",IF($O472&gt;Hoje!$L$1,"Programada",IF($P472&gt;Hoje!$L$1,"Em execução","Fecha hoje"))))))))</f>
        <v/>
      </c>
      <c r="C472" s="41"/>
      <c r="D472" s="42"/>
      <c r="E472" s="42"/>
      <c r="F472" s="42"/>
      <c r="G472" s="43"/>
      <c r="H472" s="43"/>
      <c r="I472" s="44"/>
      <c r="J472" s="44"/>
      <c r="K472" s="44"/>
      <c r="L472" s="45"/>
      <c r="M472" s="46"/>
      <c r="N472" s="45"/>
      <c r="O472" s="47" t="str">
        <f aca="false">IF(OR($L472="",$M472=""),"",(DATE(Semana!$J$3,1,4)-WEEKDAY(DATE(Semana!$J$3,1,4),3))+($L472-1)*7+MATCH($M472,Listas!$F$5:$F$11,0)-1)</f>
        <v/>
      </c>
      <c r="P472" s="47" t="str">
        <f aca="false">IF(OR($F472="",$O472=""),"",$O472+MAX(0,ROUNDUP($AK472*MAX(1,IF($N472="",1,$N472))/MAX(1,$AL472),0)-1))</f>
        <v/>
      </c>
      <c r="Q472" s="48"/>
      <c r="R472" s="43"/>
      <c r="S472" s="49"/>
      <c r="T472" s="42"/>
      <c r="U472" s="42"/>
      <c r="V472" s="39" t="str">
        <f aca="false">IF($F472="","",IF(ISNUMBER(SEARCH("(externo)",$I472&amp;$J472&amp;$K472)),"Terceirizada","Interna"))</f>
        <v/>
      </c>
      <c r="W472" s="47" t="str">
        <f aca="false">IF($O472="","",IF($S472="",$O472,(DATE(Semana!$J$3,1,4)-WEEKDAY(DATE(Semana!$J$3,1,4),3))+($S472-1)*7+IF($M472="",0,MATCH($M472,Listas!$F$5:$F$11,0)-1)))</f>
        <v/>
      </c>
      <c r="X472" s="39" t="str">
        <f aca="false">IF($F472="","",IF(OR($AT472="",$O472=""),0,IF($AT472&lt;=$O472,1,0)))</f>
        <v/>
      </c>
      <c r="Y472" s="39" t="str">
        <f aca="false">IF($F472="","",IF(OR($AT472="",$W472=""),0,IF($AT472&lt;=$W472,1,0)))</f>
        <v/>
      </c>
      <c r="Z472" s="39" t="str">
        <f aca="false">IF(OR($AT472="",$O472=""),"",MAX(0,$AT472-$O472))</f>
        <v/>
      </c>
      <c r="AA472" s="39" t="str">
        <f aca="false">IF($F472="","",IF(AND($S472&lt;&gt;"",$L472&lt;&gt;"",$S472&lt;&gt;$L472),1,0))</f>
        <v/>
      </c>
      <c r="AB472" s="39" t="str">
        <f aca="false">IF($F472="","",IF($R472="Cancelada",0,IF(OR($AT472&lt;&gt;"",$R472="Concluída"),1,0)))</f>
        <v/>
      </c>
      <c r="AC472" s="39" t="n">
        <f aca="false">IF($P472="",0,IF($P472&lt;Hoje!$L$1,1,IF(AND($P472=Hoje!$L$1,Hoje!$L$2&gt;Semana!$M$3),1,0)))</f>
        <v>0</v>
      </c>
      <c r="AD472" s="39" t="str">
        <f aca="false">IF($F472="","",IF(COUNTA($I472:$K472)=0,0,1/COUNTA($I472:$K472)))</f>
        <v/>
      </c>
      <c r="AE472" s="39" t="str">
        <f aca="false">IF($AH472=0,"",SUM($AH$4:$AH472))</f>
        <v/>
      </c>
      <c r="AF472" s="39" t="str">
        <f aca="false">IF($AI472=0,"",SUM($AI$4:$AI472))</f>
        <v/>
      </c>
      <c r="AG472" s="50" t="str">
        <f aca="false">IF($F472="","",$I472&amp;IF($J472="",""," · "&amp;$J472)&amp;IF($K472="",""," · "&amp;$K472))</f>
        <v/>
      </c>
      <c r="AH472" s="39" t="n">
        <f aca="false">IF(AND($F472&lt;&gt;"",$O472&lt;&gt;"",$O472&lt;=Hoje!$C$3,$P472&gt;=Hoje!$C$3,$R472&lt;&gt;"Cancelada"),1,0)</f>
        <v>0</v>
      </c>
      <c r="AI472" s="39" t="n">
        <f aca="false">IF(AND($F472&lt;&gt;"",$P472&lt;&gt;"",$P472&lt;Hoje!$C$3,$AB472=0,$R472&lt;&gt;"Cancelada"),1,0)</f>
        <v>0</v>
      </c>
      <c r="AJ472" s="50" t="str">
        <f aca="false">IF($F472="","",$D472&amp;"|"&amp;$E472&amp;"|"&amp;$L472)</f>
        <v/>
      </c>
      <c r="AK472" s="39" t="str">
        <f aca="false">IF($AJ472="","",COUNTIF($AJ$4:$AJ472,$AJ472))</f>
        <v/>
      </c>
      <c r="AL472" s="39" t="str">
        <f aca="false">IF($AJ472="","",COUNTIF($AJ$4:$AJ$1004,$AJ472))</f>
        <v/>
      </c>
      <c r="AM472" s="42"/>
      <c r="AN472" s="50" t="str">
        <f aca="false">IF($D472="","",IFERROR(T(VLOOKUP($D472,Listas!$B$5:$H$120,7,0)),""))</f>
        <v/>
      </c>
      <c r="AO472" s="50" t="str">
        <f aca="false">IF(OR($F472="",$L472&lt;&gt;"",$R472="Cancelada",$AT472&lt;&gt;""),"",$AN472&amp;"|"&amp;$D472&amp;"|"&amp;IF($C472="","zzz",$C472)&amp;"|"&amp;TEXT(472,"0000"))</f>
        <v/>
      </c>
      <c r="AP472" s="50" t="str">
        <f aca="false">IF($AO472="","",COUNTIF($AO$5:$AO$1004,"&lt;"&amp;$AO472)-(ROWS($AO$5:$AO$1004)-Hoje!$L$5)+1)</f>
        <v/>
      </c>
      <c r="AQ472" s="50" t="n">
        <f aca="false">IF(AND($F472&lt;&gt;"",$D472=Frota!$C$3),1,0)</f>
        <v>0</v>
      </c>
      <c r="AR472" s="50" t="str">
        <f aca="false">IF($AQ472=0,"",SUM($AQ$4:$AQ472))</f>
        <v/>
      </c>
      <c r="AS472" s="50" t="str">
        <f aca="false">IFERROR(INDEX(Hoje!$K$10:$K$29,MATCH(ROW(),Hoje!$J$10:$J$29,0)),"")</f>
        <v/>
      </c>
      <c r="AT472" s="50" t="str">
        <f aca="false">IF($Q472&lt;&gt;"",$Q472,$AS472)</f>
        <v/>
      </c>
    </row>
    <row r="473" customFormat="false" ht="16.5" hidden="false" customHeight="true" outlineLevel="0" collapsed="false">
      <c r="A473" s="39" t="str">
        <f aca="false">IF($F473="","",ROW())</f>
        <v/>
      </c>
      <c r="B473" s="40" t="str">
        <f aca="false">IF($F473="",IF($D473="","","Falta a atividade"),IF($R473="Cancelada","Cancelada",IF($AB473=1,IF(N($Z473)&gt;0,"Concluída com atraso","Concluída"),IF($R473="Em programação","Em programação",IF($O473="",IF($M473="","Na carteira","Falta a semana"),IF($AC473=1,"VENCIDA",IF($O473&gt;Hoje!$L$1,"Programada",IF($P473&gt;Hoje!$L$1,"Em execução","Fecha hoje"))))))))</f>
        <v/>
      </c>
      <c r="C473" s="41"/>
      <c r="D473" s="42"/>
      <c r="E473" s="42"/>
      <c r="F473" s="42"/>
      <c r="G473" s="43"/>
      <c r="H473" s="43"/>
      <c r="I473" s="44"/>
      <c r="J473" s="44"/>
      <c r="K473" s="44"/>
      <c r="L473" s="45"/>
      <c r="M473" s="46"/>
      <c r="N473" s="45"/>
      <c r="O473" s="47" t="str">
        <f aca="false">IF(OR($L473="",$M473=""),"",(DATE(Semana!$J$3,1,4)-WEEKDAY(DATE(Semana!$J$3,1,4),3))+($L473-1)*7+MATCH($M473,Listas!$F$5:$F$11,0)-1)</f>
        <v/>
      </c>
      <c r="P473" s="47" t="str">
        <f aca="false">IF(OR($F473="",$O473=""),"",$O473+MAX(0,ROUNDUP($AK473*MAX(1,IF($N473="",1,$N473))/MAX(1,$AL473),0)-1))</f>
        <v/>
      </c>
      <c r="Q473" s="48"/>
      <c r="R473" s="43"/>
      <c r="S473" s="49"/>
      <c r="T473" s="42"/>
      <c r="U473" s="42"/>
      <c r="V473" s="39" t="str">
        <f aca="false">IF($F473="","",IF(ISNUMBER(SEARCH("(externo)",$I473&amp;$J473&amp;$K473)),"Terceirizada","Interna"))</f>
        <v/>
      </c>
      <c r="W473" s="47" t="str">
        <f aca="false">IF($O473="","",IF($S473="",$O473,(DATE(Semana!$J$3,1,4)-WEEKDAY(DATE(Semana!$J$3,1,4),3))+($S473-1)*7+IF($M473="",0,MATCH($M473,Listas!$F$5:$F$11,0)-1)))</f>
        <v/>
      </c>
      <c r="X473" s="39" t="str">
        <f aca="false">IF($F473="","",IF(OR($AT473="",$O473=""),0,IF($AT473&lt;=$O473,1,0)))</f>
        <v/>
      </c>
      <c r="Y473" s="39" t="str">
        <f aca="false">IF($F473="","",IF(OR($AT473="",$W473=""),0,IF($AT473&lt;=$W473,1,0)))</f>
        <v/>
      </c>
      <c r="Z473" s="39" t="str">
        <f aca="false">IF(OR($AT473="",$O473=""),"",MAX(0,$AT473-$O473))</f>
        <v/>
      </c>
      <c r="AA473" s="39" t="str">
        <f aca="false">IF($F473="","",IF(AND($S473&lt;&gt;"",$L473&lt;&gt;"",$S473&lt;&gt;$L473),1,0))</f>
        <v/>
      </c>
      <c r="AB473" s="39" t="str">
        <f aca="false">IF($F473="","",IF($R473="Cancelada",0,IF(OR($AT473&lt;&gt;"",$R473="Concluída"),1,0)))</f>
        <v/>
      </c>
      <c r="AC473" s="39" t="n">
        <f aca="false">IF($P473="",0,IF($P473&lt;Hoje!$L$1,1,IF(AND($P473=Hoje!$L$1,Hoje!$L$2&gt;Semana!$M$3),1,0)))</f>
        <v>0</v>
      </c>
      <c r="AD473" s="39" t="str">
        <f aca="false">IF($F473="","",IF(COUNTA($I473:$K473)=0,0,1/COUNTA($I473:$K473)))</f>
        <v/>
      </c>
      <c r="AE473" s="39" t="str">
        <f aca="false">IF($AH473=0,"",SUM($AH$4:$AH473))</f>
        <v/>
      </c>
      <c r="AF473" s="39" t="str">
        <f aca="false">IF($AI473=0,"",SUM($AI$4:$AI473))</f>
        <v/>
      </c>
      <c r="AG473" s="50" t="str">
        <f aca="false">IF($F473="","",$I473&amp;IF($J473="",""," · "&amp;$J473)&amp;IF($K473="",""," · "&amp;$K473))</f>
        <v/>
      </c>
      <c r="AH473" s="39" t="n">
        <f aca="false">IF(AND($F473&lt;&gt;"",$O473&lt;&gt;"",$O473&lt;=Hoje!$C$3,$P473&gt;=Hoje!$C$3,$R473&lt;&gt;"Cancelada"),1,0)</f>
        <v>0</v>
      </c>
      <c r="AI473" s="39" t="n">
        <f aca="false">IF(AND($F473&lt;&gt;"",$P473&lt;&gt;"",$P473&lt;Hoje!$C$3,$AB473=0,$R473&lt;&gt;"Cancelada"),1,0)</f>
        <v>0</v>
      </c>
      <c r="AJ473" s="50" t="str">
        <f aca="false">IF($F473="","",$D473&amp;"|"&amp;$E473&amp;"|"&amp;$L473)</f>
        <v/>
      </c>
      <c r="AK473" s="39" t="str">
        <f aca="false">IF($AJ473="","",COUNTIF($AJ$4:$AJ473,$AJ473))</f>
        <v/>
      </c>
      <c r="AL473" s="39" t="str">
        <f aca="false">IF($AJ473="","",COUNTIF($AJ$4:$AJ$1004,$AJ473))</f>
        <v/>
      </c>
      <c r="AM473" s="42"/>
      <c r="AN473" s="50" t="str">
        <f aca="false">IF($D473="","",IFERROR(T(VLOOKUP($D473,Listas!$B$5:$H$120,7,0)),""))</f>
        <v/>
      </c>
      <c r="AO473" s="50" t="str">
        <f aca="false">IF(OR($F473="",$L473&lt;&gt;"",$R473="Cancelada",$AT473&lt;&gt;""),"",$AN473&amp;"|"&amp;$D473&amp;"|"&amp;IF($C473="","zzz",$C473)&amp;"|"&amp;TEXT(473,"0000"))</f>
        <v/>
      </c>
      <c r="AP473" s="50" t="str">
        <f aca="false">IF($AO473="","",COUNTIF($AO$5:$AO$1004,"&lt;"&amp;$AO473)-(ROWS($AO$5:$AO$1004)-Hoje!$L$5)+1)</f>
        <v/>
      </c>
      <c r="AQ473" s="50" t="n">
        <f aca="false">IF(AND($F473&lt;&gt;"",$D473=Frota!$C$3),1,0)</f>
        <v>0</v>
      </c>
      <c r="AR473" s="50" t="str">
        <f aca="false">IF($AQ473=0,"",SUM($AQ$4:$AQ473))</f>
        <v/>
      </c>
      <c r="AS473" s="50" t="str">
        <f aca="false">IFERROR(INDEX(Hoje!$K$10:$K$29,MATCH(ROW(),Hoje!$J$10:$J$29,0)),"")</f>
        <v/>
      </c>
      <c r="AT473" s="50" t="str">
        <f aca="false">IF($Q473&lt;&gt;"",$Q473,$AS473)</f>
        <v/>
      </c>
    </row>
    <row r="474" customFormat="false" ht="16.5" hidden="false" customHeight="true" outlineLevel="0" collapsed="false">
      <c r="A474" s="39" t="str">
        <f aca="false">IF($F474="","",ROW())</f>
        <v/>
      </c>
      <c r="B474" s="40" t="str">
        <f aca="false">IF($F474="",IF($D474="","","Falta a atividade"),IF($R474="Cancelada","Cancelada",IF($AB474=1,IF(N($Z474)&gt;0,"Concluída com atraso","Concluída"),IF($R474="Em programação","Em programação",IF($O474="",IF($M474="","Na carteira","Falta a semana"),IF($AC474=1,"VENCIDA",IF($O474&gt;Hoje!$L$1,"Programada",IF($P474&gt;Hoje!$L$1,"Em execução","Fecha hoje"))))))))</f>
        <v/>
      </c>
      <c r="C474" s="41"/>
      <c r="D474" s="42"/>
      <c r="E474" s="42"/>
      <c r="F474" s="42"/>
      <c r="G474" s="43"/>
      <c r="H474" s="43"/>
      <c r="I474" s="44"/>
      <c r="J474" s="44"/>
      <c r="K474" s="44"/>
      <c r="L474" s="45"/>
      <c r="M474" s="46"/>
      <c r="N474" s="45"/>
      <c r="O474" s="47" t="str">
        <f aca="false">IF(OR($L474="",$M474=""),"",(DATE(Semana!$J$3,1,4)-WEEKDAY(DATE(Semana!$J$3,1,4),3))+($L474-1)*7+MATCH($M474,Listas!$F$5:$F$11,0)-1)</f>
        <v/>
      </c>
      <c r="P474" s="47" t="str">
        <f aca="false">IF(OR($F474="",$O474=""),"",$O474+MAX(0,ROUNDUP($AK474*MAX(1,IF($N474="",1,$N474))/MAX(1,$AL474),0)-1))</f>
        <v/>
      </c>
      <c r="Q474" s="48"/>
      <c r="R474" s="43"/>
      <c r="S474" s="49"/>
      <c r="T474" s="42"/>
      <c r="U474" s="42"/>
      <c r="V474" s="39" t="str">
        <f aca="false">IF($F474="","",IF(ISNUMBER(SEARCH("(externo)",$I474&amp;$J474&amp;$K474)),"Terceirizada","Interna"))</f>
        <v/>
      </c>
      <c r="W474" s="47" t="str">
        <f aca="false">IF($O474="","",IF($S474="",$O474,(DATE(Semana!$J$3,1,4)-WEEKDAY(DATE(Semana!$J$3,1,4),3))+($S474-1)*7+IF($M474="",0,MATCH($M474,Listas!$F$5:$F$11,0)-1)))</f>
        <v/>
      </c>
      <c r="X474" s="39" t="str">
        <f aca="false">IF($F474="","",IF(OR($AT474="",$O474=""),0,IF($AT474&lt;=$O474,1,0)))</f>
        <v/>
      </c>
      <c r="Y474" s="39" t="str">
        <f aca="false">IF($F474="","",IF(OR($AT474="",$W474=""),0,IF($AT474&lt;=$W474,1,0)))</f>
        <v/>
      </c>
      <c r="Z474" s="39" t="str">
        <f aca="false">IF(OR($AT474="",$O474=""),"",MAX(0,$AT474-$O474))</f>
        <v/>
      </c>
      <c r="AA474" s="39" t="str">
        <f aca="false">IF($F474="","",IF(AND($S474&lt;&gt;"",$L474&lt;&gt;"",$S474&lt;&gt;$L474),1,0))</f>
        <v/>
      </c>
      <c r="AB474" s="39" t="str">
        <f aca="false">IF($F474="","",IF($R474="Cancelada",0,IF(OR($AT474&lt;&gt;"",$R474="Concluída"),1,0)))</f>
        <v/>
      </c>
      <c r="AC474" s="39" t="n">
        <f aca="false">IF($P474="",0,IF($P474&lt;Hoje!$L$1,1,IF(AND($P474=Hoje!$L$1,Hoje!$L$2&gt;Semana!$M$3),1,0)))</f>
        <v>0</v>
      </c>
      <c r="AD474" s="39" t="str">
        <f aca="false">IF($F474="","",IF(COUNTA($I474:$K474)=0,0,1/COUNTA($I474:$K474)))</f>
        <v/>
      </c>
      <c r="AE474" s="39" t="str">
        <f aca="false">IF($AH474=0,"",SUM($AH$4:$AH474))</f>
        <v/>
      </c>
      <c r="AF474" s="39" t="str">
        <f aca="false">IF($AI474=0,"",SUM($AI$4:$AI474))</f>
        <v/>
      </c>
      <c r="AG474" s="50" t="str">
        <f aca="false">IF($F474="","",$I474&amp;IF($J474="",""," · "&amp;$J474)&amp;IF($K474="",""," · "&amp;$K474))</f>
        <v/>
      </c>
      <c r="AH474" s="39" t="n">
        <f aca="false">IF(AND($F474&lt;&gt;"",$O474&lt;&gt;"",$O474&lt;=Hoje!$C$3,$P474&gt;=Hoje!$C$3,$R474&lt;&gt;"Cancelada"),1,0)</f>
        <v>0</v>
      </c>
      <c r="AI474" s="39" t="n">
        <f aca="false">IF(AND($F474&lt;&gt;"",$P474&lt;&gt;"",$P474&lt;Hoje!$C$3,$AB474=0,$R474&lt;&gt;"Cancelada"),1,0)</f>
        <v>0</v>
      </c>
      <c r="AJ474" s="50" t="str">
        <f aca="false">IF($F474="","",$D474&amp;"|"&amp;$E474&amp;"|"&amp;$L474)</f>
        <v/>
      </c>
      <c r="AK474" s="39" t="str">
        <f aca="false">IF($AJ474="","",COUNTIF($AJ$4:$AJ474,$AJ474))</f>
        <v/>
      </c>
      <c r="AL474" s="39" t="str">
        <f aca="false">IF($AJ474="","",COUNTIF($AJ$4:$AJ$1004,$AJ474))</f>
        <v/>
      </c>
      <c r="AM474" s="42"/>
      <c r="AN474" s="50" t="str">
        <f aca="false">IF($D474="","",IFERROR(T(VLOOKUP($D474,Listas!$B$5:$H$120,7,0)),""))</f>
        <v/>
      </c>
      <c r="AO474" s="50" t="str">
        <f aca="false">IF(OR($F474="",$L474&lt;&gt;"",$R474="Cancelada",$AT474&lt;&gt;""),"",$AN474&amp;"|"&amp;$D474&amp;"|"&amp;IF($C474="","zzz",$C474)&amp;"|"&amp;TEXT(474,"0000"))</f>
        <v/>
      </c>
      <c r="AP474" s="50" t="str">
        <f aca="false">IF($AO474="","",COUNTIF($AO$5:$AO$1004,"&lt;"&amp;$AO474)-(ROWS($AO$5:$AO$1004)-Hoje!$L$5)+1)</f>
        <v/>
      </c>
      <c r="AQ474" s="50" t="n">
        <f aca="false">IF(AND($F474&lt;&gt;"",$D474=Frota!$C$3),1,0)</f>
        <v>0</v>
      </c>
      <c r="AR474" s="50" t="str">
        <f aca="false">IF($AQ474=0,"",SUM($AQ$4:$AQ474))</f>
        <v/>
      </c>
      <c r="AS474" s="50" t="str">
        <f aca="false">IFERROR(INDEX(Hoje!$K$10:$K$29,MATCH(ROW(),Hoje!$J$10:$J$29,0)),"")</f>
        <v/>
      </c>
      <c r="AT474" s="50" t="str">
        <f aca="false">IF($Q474&lt;&gt;"",$Q474,$AS474)</f>
        <v/>
      </c>
    </row>
    <row r="475" customFormat="false" ht="16.5" hidden="false" customHeight="true" outlineLevel="0" collapsed="false">
      <c r="A475" s="39" t="str">
        <f aca="false">IF($F475="","",ROW())</f>
        <v/>
      </c>
      <c r="B475" s="40" t="str">
        <f aca="false">IF($F475="",IF($D475="","","Falta a atividade"),IF($R475="Cancelada","Cancelada",IF($AB475=1,IF(N($Z475)&gt;0,"Concluída com atraso","Concluída"),IF($R475="Em programação","Em programação",IF($O475="",IF($M475="","Na carteira","Falta a semana"),IF($AC475=1,"VENCIDA",IF($O475&gt;Hoje!$L$1,"Programada",IF($P475&gt;Hoje!$L$1,"Em execução","Fecha hoje"))))))))</f>
        <v/>
      </c>
      <c r="C475" s="41"/>
      <c r="D475" s="42"/>
      <c r="E475" s="42"/>
      <c r="F475" s="42"/>
      <c r="G475" s="43"/>
      <c r="H475" s="43"/>
      <c r="I475" s="44"/>
      <c r="J475" s="44"/>
      <c r="K475" s="44"/>
      <c r="L475" s="45"/>
      <c r="M475" s="46"/>
      <c r="N475" s="45"/>
      <c r="O475" s="47" t="str">
        <f aca="false">IF(OR($L475="",$M475=""),"",(DATE(Semana!$J$3,1,4)-WEEKDAY(DATE(Semana!$J$3,1,4),3))+($L475-1)*7+MATCH($M475,Listas!$F$5:$F$11,0)-1)</f>
        <v/>
      </c>
      <c r="P475" s="47" t="str">
        <f aca="false">IF(OR($F475="",$O475=""),"",$O475+MAX(0,ROUNDUP($AK475*MAX(1,IF($N475="",1,$N475))/MAX(1,$AL475),0)-1))</f>
        <v/>
      </c>
      <c r="Q475" s="48"/>
      <c r="R475" s="43"/>
      <c r="S475" s="49"/>
      <c r="T475" s="42"/>
      <c r="U475" s="42"/>
      <c r="V475" s="39" t="str">
        <f aca="false">IF($F475="","",IF(ISNUMBER(SEARCH("(externo)",$I475&amp;$J475&amp;$K475)),"Terceirizada","Interna"))</f>
        <v/>
      </c>
      <c r="W475" s="47" t="str">
        <f aca="false">IF($O475="","",IF($S475="",$O475,(DATE(Semana!$J$3,1,4)-WEEKDAY(DATE(Semana!$J$3,1,4),3))+($S475-1)*7+IF($M475="",0,MATCH($M475,Listas!$F$5:$F$11,0)-1)))</f>
        <v/>
      </c>
      <c r="X475" s="39" t="str">
        <f aca="false">IF($F475="","",IF(OR($AT475="",$O475=""),0,IF($AT475&lt;=$O475,1,0)))</f>
        <v/>
      </c>
      <c r="Y475" s="39" t="str">
        <f aca="false">IF($F475="","",IF(OR($AT475="",$W475=""),0,IF($AT475&lt;=$W475,1,0)))</f>
        <v/>
      </c>
      <c r="Z475" s="39" t="str">
        <f aca="false">IF(OR($AT475="",$O475=""),"",MAX(0,$AT475-$O475))</f>
        <v/>
      </c>
      <c r="AA475" s="39" t="str">
        <f aca="false">IF($F475="","",IF(AND($S475&lt;&gt;"",$L475&lt;&gt;"",$S475&lt;&gt;$L475),1,0))</f>
        <v/>
      </c>
      <c r="AB475" s="39" t="str">
        <f aca="false">IF($F475="","",IF($R475="Cancelada",0,IF(OR($AT475&lt;&gt;"",$R475="Concluída"),1,0)))</f>
        <v/>
      </c>
      <c r="AC475" s="39" t="n">
        <f aca="false">IF($P475="",0,IF($P475&lt;Hoje!$L$1,1,IF(AND($P475=Hoje!$L$1,Hoje!$L$2&gt;Semana!$M$3),1,0)))</f>
        <v>0</v>
      </c>
      <c r="AD475" s="39" t="str">
        <f aca="false">IF($F475="","",IF(COUNTA($I475:$K475)=0,0,1/COUNTA($I475:$K475)))</f>
        <v/>
      </c>
      <c r="AE475" s="39" t="str">
        <f aca="false">IF($AH475=0,"",SUM($AH$4:$AH475))</f>
        <v/>
      </c>
      <c r="AF475" s="39" t="str">
        <f aca="false">IF($AI475=0,"",SUM($AI$4:$AI475))</f>
        <v/>
      </c>
      <c r="AG475" s="50" t="str">
        <f aca="false">IF($F475="","",$I475&amp;IF($J475="",""," · "&amp;$J475)&amp;IF($K475="",""," · "&amp;$K475))</f>
        <v/>
      </c>
      <c r="AH475" s="39" t="n">
        <f aca="false">IF(AND($F475&lt;&gt;"",$O475&lt;&gt;"",$O475&lt;=Hoje!$C$3,$P475&gt;=Hoje!$C$3,$R475&lt;&gt;"Cancelada"),1,0)</f>
        <v>0</v>
      </c>
      <c r="AI475" s="39" t="n">
        <f aca="false">IF(AND($F475&lt;&gt;"",$P475&lt;&gt;"",$P475&lt;Hoje!$C$3,$AB475=0,$R475&lt;&gt;"Cancelada"),1,0)</f>
        <v>0</v>
      </c>
      <c r="AJ475" s="50" t="str">
        <f aca="false">IF($F475="","",$D475&amp;"|"&amp;$E475&amp;"|"&amp;$L475)</f>
        <v/>
      </c>
      <c r="AK475" s="39" t="str">
        <f aca="false">IF($AJ475="","",COUNTIF($AJ$4:$AJ475,$AJ475))</f>
        <v/>
      </c>
      <c r="AL475" s="39" t="str">
        <f aca="false">IF($AJ475="","",COUNTIF($AJ$4:$AJ$1004,$AJ475))</f>
        <v/>
      </c>
      <c r="AM475" s="42"/>
      <c r="AN475" s="50" t="str">
        <f aca="false">IF($D475="","",IFERROR(T(VLOOKUP($D475,Listas!$B$5:$H$120,7,0)),""))</f>
        <v/>
      </c>
      <c r="AO475" s="50" t="str">
        <f aca="false">IF(OR($F475="",$L475&lt;&gt;"",$R475="Cancelada",$AT475&lt;&gt;""),"",$AN475&amp;"|"&amp;$D475&amp;"|"&amp;IF($C475="","zzz",$C475)&amp;"|"&amp;TEXT(475,"0000"))</f>
        <v/>
      </c>
      <c r="AP475" s="50" t="str">
        <f aca="false">IF($AO475="","",COUNTIF($AO$5:$AO$1004,"&lt;"&amp;$AO475)-(ROWS($AO$5:$AO$1004)-Hoje!$L$5)+1)</f>
        <v/>
      </c>
      <c r="AQ475" s="50" t="n">
        <f aca="false">IF(AND($F475&lt;&gt;"",$D475=Frota!$C$3),1,0)</f>
        <v>0</v>
      </c>
      <c r="AR475" s="50" t="str">
        <f aca="false">IF($AQ475=0,"",SUM($AQ$4:$AQ475))</f>
        <v/>
      </c>
      <c r="AS475" s="50" t="str">
        <f aca="false">IFERROR(INDEX(Hoje!$K$10:$K$29,MATCH(ROW(),Hoje!$J$10:$J$29,0)),"")</f>
        <v/>
      </c>
      <c r="AT475" s="50" t="str">
        <f aca="false">IF($Q475&lt;&gt;"",$Q475,$AS475)</f>
        <v/>
      </c>
    </row>
    <row r="476" customFormat="false" ht="16.5" hidden="false" customHeight="true" outlineLevel="0" collapsed="false">
      <c r="A476" s="39" t="str">
        <f aca="false">IF($F476="","",ROW())</f>
        <v/>
      </c>
      <c r="B476" s="40" t="str">
        <f aca="false">IF($F476="",IF($D476="","","Falta a atividade"),IF($R476="Cancelada","Cancelada",IF($AB476=1,IF(N($Z476)&gt;0,"Concluída com atraso","Concluída"),IF($R476="Em programação","Em programação",IF($O476="",IF($M476="","Na carteira","Falta a semana"),IF($AC476=1,"VENCIDA",IF($O476&gt;Hoje!$L$1,"Programada",IF($P476&gt;Hoje!$L$1,"Em execução","Fecha hoje"))))))))</f>
        <v/>
      </c>
      <c r="C476" s="41"/>
      <c r="D476" s="42"/>
      <c r="E476" s="42"/>
      <c r="F476" s="42"/>
      <c r="G476" s="43"/>
      <c r="H476" s="43"/>
      <c r="I476" s="44"/>
      <c r="J476" s="44"/>
      <c r="K476" s="44"/>
      <c r="L476" s="45"/>
      <c r="M476" s="46"/>
      <c r="N476" s="45"/>
      <c r="O476" s="47" t="str">
        <f aca="false">IF(OR($L476="",$M476=""),"",(DATE(Semana!$J$3,1,4)-WEEKDAY(DATE(Semana!$J$3,1,4),3))+($L476-1)*7+MATCH($M476,Listas!$F$5:$F$11,0)-1)</f>
        <v/>
      </c>
      <c r="P476" s="47" t="str">
        <f aca="false">IF(OR($F476="",$O476=""),"",$O476+MAX(0,ROUNDUP($AK476*MAX(1,IF($N476="",1,$N476))/MAX(1,$AL476),0)-1))</f>
        <v/>
      </c>
      <c r="Q476" s="48"/>
      <c r="R476" s="43"/>
      <c r="S476" s="49"/>
      <c r="T476" s="42"/>
      <c r="U476" s="42"/>
      <c r="V476" s="39" t="str">
        <f aca="false">IF($F476="","",IF(ISNUMBER(SEARCH("(externo)",$I476&amp;$J476&amp;$K476)),"Terceirizada","Interna"))</f>
        <v/>
      </c>
      <c r="W476" s="47" t="str">
        <f aca="false">IF($O476="","",IF($S476="",$O476,(DATE(Semana!$J$3,1,4)-WEEKDAY(DATE(Semana!$J$3,1,4),3))+($S476-1)*7+IF($M476="",0,MATCH($M476,Listas!$F$5:$F$11,0)-1)))</f>
        <v/>
      </c>
      <c r="X476" s="39" t="str">
        <f aca="false">IF($F476="","",IF(OR($AT476="",$O476=""),0,IF($AT476&lt;=$O476,1,0)))</f>
        <v/>
      </c>
      <c r="Y476" s="39" t="str">
        <f aca="false">IF($F476="","",IF(OR($AT476="",$W476=""),0,IF($AT476&lt;=$W476,1,0)))</f>
        <v/>
      </c>
      <c r="Z476" s="39" t="str">
        <f aca="false">IF(OR($AT476="",$O476=""),"",MAX(0,$AT476-$O476))</f>
        <v/>
      </c>
      <c r="AA476" s="39" t="str">
        <f aca="false">IF($F476="","",IF(AND($S476&lt;&gt;"",$L476&lt;&gt;"",$S476&lt;&gt;$L476),1,0))</f>
        <v/>
      </c>
      <c r="AB476" s="39" t="str">
        <f aca="false">IF($F476="","",IF($R476="Cancelada",0,IF(OR($AT476&lt;&gt;"",$R476="Concluída"),1,0)))</f>
        <v/>
      </c>
      <c r="AC476" s="39" t="n">
        <f aca="false">IF($P476="",0,IF($P476&lt;Hoje!$L$1,1,IF(AND($P476=Hoje!$L$1,Hoje!$L$2&gt;Semana!$M$3),1,0)))</f>
        <v>0</v>
      </c>
      <c r="AD476" s="39" t="str">
        <f aca="false">IF($F476="","",IF(COUNTA($I476:$K476)=0,0,1/COUNTA($I476:$K476)))</f>
        <v/>
      </c>
      <c r="AE476" s="39" t="str">
        <f aca="false">IF($AH476=0,"",SUM($AH$4:$AH476))</f>
        <v/>
      </c>
      <c r="AF476" s="39" t="str">
        <f aca="false">IF($AI476=0,"",SUM($AI$4:$AI476))</f>
        <v/>
      </c>
      <c r="AG476" s="50" t="str">
        <f aca="false">IF($F476="","",$I476&amp;IF($J476="",""," · "&amp;$J476)&amp;IF($K476="",""," · "&amp;$K476))</f>
        <v/>
      </c>
      <c r="AH476" s="39" t="n">
        <f aca="false">IF(AND($F476&lt;&gt;"",$O476&lt;&gt;"",$O476&lt;=Hoje!$C$3,$P476&gt;=Hoje!$C$3,$R476&lt;&gt;"Cancelada"),1,0)</f>
        <v>0</v>
      </c>
      <c r="AI476" s="39" t="n">
        <f aca="false">IF(AND($F476&lt;&gt;"",$P476&lt;&gt;"",$P476&lt;Hoje!$C$3,$AB476=0,$R476&lt;&gt;"Cancelada"),1,0)</f>
        <v>0</v>
      </c>
      <c r="AJ476" s="50" t="str">
        <f aca="false">IF($F476="","",$D476&amp;"|"&amp;$E476&amp;"|"&amp;$L476)</f>
        <v/>
      </c>
      <c r="AK476" s="39" t="str">
        <f aca="false">IF($AJ476="","",COUNTIF($AJ$4:$AJ476,$AJ476))</f>
        <v/>
      </c>
      <c r="AL476" s="39" t="str">
        <f aca="false">IF($AJ476="","",COUNTIF($AJ$4:$AJ$1004,$AJ476))</f>
        <v/>
      </c>
      <c r="AM476" s="42"/>
      <c r="AN476" s="50" t="str">
        <f aca="false">IF($D476="","",IFERROR(T(VLOOKUP($D476,Listas!$B$5:$H$120,7,0)),""))</f>
        <v/>
      </c>
      <c r="AO476" s="50" t="str">
        <f aca="false">IF(OR($F476="",$L476&lt;&gt;"",$R476="Cancelada",$AT476&lt;&gt;""),"",$AN476&amp;"|"&amp;$D476&amp;"|"&amp;IF($C476="","zzz",$C476)&amp;"|"&amp;TEXT(476,"0000"))</f>
        <v/>
      </c>
      <c r="AP476" s="50" t="str">
        <f aca="false">IF($AO476="","",COUNTIF($AO$5:$AO$1004,"&lt;"&amp;$AO476)-(ROWS($AO$5:$AO$1004)-Hoje!$L$5)+1)</f>
        <v/>
      </c>
      <c r="AQ476" s="50" t="n">
        <f aca="false">IF(AND($F476&lt;&gt;"",$D476=Frota!$C$3),1,0)</f>
        <v>0</v>
      </c>
      <c r="AR476" s="50" t="str">
        <f aca="false">IF($AQ476=0,"",SUM($AQ$4:$AQ476))</f>
        <v/>
      </c>
      <c r="AS476" s="50" t="str">
        <f aca="false">IFERROR(INDEX(Hoje!$K$10:$K$29,MATCH(ROW(),Hoje!$J$10:$J$29,0)),"")</f>
        <v/>
      </c>
      <c r="AT476" s="50" t="str">
        <f aca="false">IF($Q476&lt;&gt;"",$Q476,$AS476)</f>
        <v/>
      </c>
    </row>
    <row r="477" customFormat="false" ht="16.5" hidden="false" customHeight="true" outlineLevel="0" collapsed="false">
      <c r="A477" s="39" t="str">
        <f aca="false">IF($F477="","",ROW())</f>
        <v/>
      </c>
      <c r="B477" s="40" t="str">
        <f aca="false">IF($F477="",IF($D477="","","Falta a atividade"),IF($R477="Cancelada","Cancelada",IF($AB477=1,IF(N($Z477)&gt;0,"Concluída com atraso","Concluída"),IF($R477="Em programação","Em programação",IF($O477="",IF($M477="","Na carteira","Falta a semana"),IF($AC477=1,"VENCIDA",IF($O477&gt;Hoje!$L$1,"Programada",IF($P477&gt;Hoje!$L$1,"Em execução","Fecha hoje"))))))))</f>
        <v/>
      </c>
      <c r="C477" s="41"/>
      <c r="D477" s="42"/>
      <c r="E477" s="42"/>
      <c r="F477" s="42"/>
      <c r="G477" s="43"/>
      <c r="H477" s="43"/>
      <c r="I477" s="44"/>
      <c r="J477" s="44"/>
      <c r="K477" s="44"/>
      <c r="L477" s="45"/>
      <c r="M477" s="46"/>
      <c r="N477" s="45"/>
      <c r="O477" s="47" t="str">
        <f aca="false">IF(OR($L477="",$M477=""),"",(DATE(Semana!$J$3,1,4)-WEEKDAY(DATE(Semana!$J$3,1,4),3))+($L477-1)*7+MATCH($M477,Listas!$F$5:$F$11,0)-1)</f>
        <v/>
      </c>
      <c r="P477" s="47" t="str">
        <f aca="false">IF(OR($F477="",$O477=""),"",$O477+MAX(0,ROUNDUP($AK477*MAX(1,IF($N477="",1,$N477))/MAX(1,$AL477),0)-1))</f>
        <v/>
      </c>
      <c r="Q477" s="48"/>
      <c r="R477" s="43"/>
      <c r="S477" s="49"/>
      <c r="T477" s="42"/>
      <c r="U477" s="42"/>
      <c r="V477" s="39" t="str">
        <f aca="false">IF($F477="","",IF(ISNUMBER(SEARCH("(externo)",$I477&amp;$J477&amp;$K477)),"Terceirizada","Interna"))</f>
        <v/>
      </c>
      <c r="W477" s="47" t="str">
        <f aca="false">IF($O477="","",IF($S477="",$O477,(DATE(Semana!$J$3,1,4)-WEEKDAY(DATE(Semana!$J$3,1,4),3))+($S477-1)*7+IF($M477="",0,MATCH($M477,Listas!$F$5:$F$11,0)-1)))</f>
        <v/>
      </c>
      <c r="X477" s="39" t="str">
        <f aca="false">IF($F477="","",IF(OR($AT477="",$O477=""),0,IF($AT477&lt;=$O477,1,0)))</f>
        <v/>
      </c>
      <c r="Y477" s="39" t="str">
        <f aca="false">IF($F477="","",IF(OR($AT477="",$W477=""),0,IF($AT477&lt;=$W477,1,0)))</f>
        <v/>
      </c>
      <c r="Z477" s="39" t="str">
        <f aca="false">IF(OR($AT477="",$O477=""),"",MAX(0,$AT477-$O477))</f>
        <v/>
      </c>
      <c r="AA477" s="39" t="str">
        <f aca="false">IF($F477="","",IF(AND($S477&lt;&gt;"",$L477&lt;&gt;"",$S477&lt;&gt;$L477),1,0))</f>
        <v/>
      </c>
      <c r="AB477" s="39" t="str">
        <f aca="false">IF($F477="","",IF($R477="Cancelada",0,IF(OR($AT477&lt;&gt;"",$R477="Concluída"),1,0)))</f>
        <v/>
      </c>
      <c r="AC477" s="39" t="n">
        <f aca="false">IF($P477="",0,IF($P477&lt;Hoje!$L$1,1,IF(AND($P477=Hoje!$L$1,Hoje!$L$2&gt;Semana!$M$3),1,0)))</f>
        <v>0</v>
      </c>
      <c r="AD477" s="39" t="str">
        <f aca="false">IF($F477="","",IF(COUNTA($I477:$K477)=0,0,1/COUNTA($I477:$K477)))</f>
        <v/>
      </c>
      <c r="AE477" s="39" t="str">
        <f aca="false">IF($AH477=0,"",SUM($AH$4:$AH477))</f>
        <v/>
      </c>
      <c r="AF477" s="39" t="str">
        <f aca="false">IF($AI477=0,"",SUM($AI$4:$AI477))</f>
        <v/>
      </c>
      <c r="AG477" s="50" t="str">
        <f aca="false">IF($F477="","",$I477&amp;IF($J477="",""," · "&amp;$J477)&amp;IF($K477="",""," · "&amp;$K477))</f>
        <v/>
      </c>
      <c r="AH477" s="39" t="n">
        <f aca="false">IF(AND($F477&lt;&gt;"",$O477&lt;&gt;"",$O477&lt;=Hoje!$C$3,$P477&gt;=Hoje!$C$3,$R477&lt;&gt;"Cancelada"),1,0)</f>
        <v>0</v>
      </c>
      <c r="AI477" s="39" t="n">
        <f aca="false">IF(AND($F477&lt;&gt;"",$P477&lt;&gt;"",$P477&lt;Hoje!$C$3,$AB477=0,$R477&lt;&gt;"Cancelada"),1,0)</f>
        <v>0</v>
      </c>
      <c r="AJ477" s="50" t="str">
        <f aca="false">IF($F477="","",$D477&amp;"|"&amp;$E477&amp;"|"&amp;$L477)</f>
        <v/>
      </c>
      <c r="AK477" s="39" t="str">
        <f aca="false">IF($AJ477="","",COUNTIF($AJ$4:$AJ477,$AJ477))</f>
        <v/>
      </c>
      <c r="AL477" s="39" t="str">
        <f aca="false">IF($AJ477="","",COUNTIF($AJ$4:$AJ$1004,$AJ477))</f>
        <v/>
      </c>
      <c r="AM477" s="42"/>
      <c r="AN477" s="50" t="str">
        <f aca="false">IF($D477="","",IFERROR(T(VLOOKUP($D477,Listas!$B$5:$H$120,7,0)),""))</f>
        <v/>
      </c>
      <c r="AO477" s="50" t="str">
        <f aca="false">IF(OR($F477="",$L477&lt;&gt;"",$R477="Cancelada",$AT477&lt;&gt;""),"",$AN477&amp;"|"&amp;$D477&amp;"|"&amp;IF($C477="","zzz",$C477)&amp;"|"&amp;TEXT(477,"0000"))</f>
        <v/>
      </c>
      <c r="AP477" s="50" t="str">
        <f aca="false">IF($AO477="","",COUNTIF($AO$5:$AO$1004,"&lt;"&amp;$AO477)-(ROWS($AO$5:$AO$1004)-Hoje!$L$5)+1)</f>
        <v/>
      </c>
      <c r="AQ477" s="50" t="n">
        <f aca="false">IF(AND($F477&lt;&gt;"",$D477=Frota!$C$3),1,0)</f>
        <v>0</v>
      </c>
      <c r="AR477" s="50" t="str">
        <f aca="false">IF($AQ477=0,"",SUM($AQ$4:$AQ477))</f>
        <v/>
      </c>
      <c r="AS477" s="50" t="str">
        <f aca="false">IFERROR(INDEX(Hoje!$K$10:$K$29,MATCH(ROW(),Hoje!$J$10:$J$29,0)),"")</f>
        <v/>
      </c>
      <c r="AT477" s="50" t="str">
        <f aca="false">IF($Q477&lt;&gt;"",$Q477,$AS477)</f>
        <v/>
      </c>
    </row>
    <row r="478" customFormat="false" ht="16.5" hidden="false" customHeight="true" outlineLevel="0" collapsed="false">
      <c r="A478" s="39" t="str">
        <f aca="false">IF($F478="","",ROW())</f>
        <v/>
      </c>
      <c r="B478" s="40" t="str">
        <f aca="false">IF($F478="",IF($D478="","","Falta a atividade"),IF($R478="Cancelada","Cancelada",IF($AB478=1,IF(N($Z478)&gt;0,"Concluída com atraso","Concluída"),IF($R478="Em programação","Em programação",IF($O478="",IF($M478="","Na carteira","Falta a semana"),IF($AC478=1,"VENCIDA",IF($O478&gt;Hoje!$L$1,"Programada",IF($P478&gt;Hoje!$L$1,"Em execução","Fecha hoje"))))))))</f>
        <v/>
      </c>
      <c r="C478" s="41"/>
      <c r="D478" s="42"/>
      <c r="E478" s="42"/>
      <c r="F478" s="42"/>
      <c r="G478" s="43"/>
      <c r="H478" s="43"/>
      <c r="I478" s="44"/>
      <c r="J478" s="44"/>
      <c r="K478" s="44"/>
      <c r="L478" s="45"/>
      <c r="M478" s="46"/>
      <c r="N478" s="45"/>
      <c r="O478" s="47" t="str">
        <f aca="false">IF(OR($L478="",$M478=""),"",(DATE(Semana!$J$3,1,4)-WEEKDAY(DATE(Semana!$J$3,1,4),3))+($L478-1)*7+MATCH($M478,Listas!$F$5:$F$11,0)-1)</f>
        <v/>
      </c>
      <c r="P478" s="47" t="str">
        <f aca="false">IF(OR($F478="",$O478=""),"",$O478+MAX(0,ROUNDUP($AK478*MAX(1,IF($N478="",1,$N478))/MAX(1,$AL478),0)-1))</f>
        <v/>
      </c>
      <c r="Q478" s="48"/>
      <c r="R478" s="43"/>
      <c r="S478" s="49"/>
      <c r="T478" s="42"/>
      <c r="U478" s="42"/>
      <c r="V478" s="39" t="str">
        <f aca="false">IF($F478="","",IF(ISNUMBER(SEARCH("(externo)",$I478&amp;$J478&amp;$K478)),"Terceirizada","Interna"))</f>
        <v/>
      </c>
      <c r="W478" s="47" t="str">
        <f aca="false">IF($O478="","",IF($S478="",$O478,(DATE(Semana!$J$3,1,4)-WEEKDAY(DATE(Semana!$J$3,1,4),3))+($S478-1)*7+IF($M478="",0,MATCH($M478,Listas!$F$5:$F$11,0)-1)))</f>
        <v/>
      </c>
      <c r="X478" s="39" t="str">
        <f aca="false">IF($F478="","",IF(OR($AT478="",$O478=""),0,IF($AT478&lt;=$O478,1,0)))</f>
        <v/>
      </c>
      <c r="Y478" s="39" t="str">
        <f aca="false">IF($F478="","",IF(OR($AT478="",$W478=""),0,IF($AT478&lt;=$W478,1,0)))</f>
        <v/>
      </c>
      <c r="Z478" s="39" t="str">
        <f aca="false">IF(OR($AT478="",$O478=""),"",MAX(0,$AT478-$O478))</f>
        <v/>
      </c>
      <c r="AA478" s="39" t="str">
        <f aca="false">IF($F478="","",IF(AND($S478&lt;&gt;"",$L478&lt;&gt;"",$S478&lt;&gt;$L478),1,0))</f>
        <v/>
      </c>
      <c r="AB478" s="39" t="str">
        <f aca="false">IF($F478="","",IF($R478="Cancelada",0,IF(OR($AT478&lt;&gt;"",$R478="Concluída"),1,0)))</f>
        <v/>
      </c>
      <c r="AC478" s="39" t="n">
        <f aca="false">IF($P478="",0,IF($P478&lt;Hoje!$L$1,1,IF(AND($P478=Hoje!$L$1,Hoje!$L$2&gt;Semana!$M$3),1,0)))</f>
        <v>0</v>
      </c>
      <c r="AD478" s="39" t="str">
        <f aca="false">IF($F478="","",IF(COUNTA($I478:$K478)=0,0,1/COUNTA($I478:$K478)))</f>
        <v/>
      </c>
      <c r="AE478" s="39" t="str">
        <f aca="false">IF($AH478=0,"",SUM($AH$4:$AH478))</f>
        <v/>
      </c>
      <c r="AF478" s="39" t="str">
        <f aca="false">IF($AI478=0,"",SUM($AI$4:$AI478))</f>
        <v/>
      </c>
      <c r="AG478" s="50" t="str">
        <f aca="false">IF($F478="","",$I478&amp;IF($J478="",""," · "&amp;$J478)&amp;IF($K478="",""," · "&amp;$K478))</f>
        <v/>
      </c>
      <c r="AH478" s="39" t="n">
        <f aca="false">IF(AND($F478&lt;&gt;"",$O478&lt;&gt;"",$O478&lt;=Hoje!$C$3,$P478&gt;=Hoje!$C$3,$R478&lt;&gt;"Cancelada"),1,0)</f>
        <v>0</v>
      </c>
      <c r="AI478" s="39" t="n">
        <f aca="false">IF(AND($F478&lt;&gt;"",$P478&lt;&gt;"",$P478&lt;Hoje!$C$3,$AB478=0,$R478&lt;&gt;"Cancelada"),1,0)</f>
        <v>0</v>
      </c>
      <c r="AJ478" s="50" t="str">
        <f aca="false">IF($F478="","",$D478&amp;"|"&amp;$E478&amp;"|"&amp;$L478)</f>
        <v/>
      </c>
      <c r="AK478" s="39" t="str">
        <f aca="false">IF($AJ478="","",COUNTIF($AJ$4:$AJ478,$AJ478))</f>
        <v/>
      </c>
      <c r="AL478" s="39" t="str">
        <f aca="false">IF($AJ478="","",COUNTIF($AJ$4:$AJ$1004,$AJ478))</f>
        <v/>
      </c>
      <c r="AM478" s="42"/>
      <c r="AN478" s="50" t="str">
        <f aca="false">IF($D478="","",IFERROR(T(VLOOKUP($D478,Listas!$B$5:$H$120,7,0)),""))</f>
        <v/>
      </c>
      <c r="AO478" s="50" t="str">
        <f aca="false">IF(OR($F478="",$L478&lt;&gt;"",$R478="Cancelada",$AT478&lt;&gt;""),"",$AN478&amp;"|"&amp;$D478&amp;"|"&amp;IF($C478="","zzz",$C478)&amp;"|"&amp;TEXT(478,"0000"))</f>
        <v/>
      </c>
      <c r="AP478" s="50" t="str">
        <f aca="false">IF($AO478="","",COUNTIF($AO$5:$AO$1004,"&lt;"&amp;$AO478)-(ROWS($AO$5:$AO$1004)-Hoje!$L$5)+1)</f>
        <v/>
      </c>
      <c r="AQ478" s="50" t="n">
        <f aca="false">IF(AND($F478&lt;&gt;"",$D478=Frota!$C$3),1,0)</f>
        <v>0</v>
      </c>
      <c r="AR478" s="50" t="str">
        <f aca="false">IF($AQ478=0,"",SUM($AQ$4:$AQ478))</f>
        <v/>
      </c>
      <c r="AS478" s="50" t="str">
        <f aca="false">IFERROR(INDEX(Hoje!$K$10:$K$29,MATCH(ROW(),Hoje!$J$10:$J$29,0)),"")</f>
        <v/>
      </c>
      <c r="AT478" s="50" t="str">
        <f aca="false">IF($Q478&lt;&gt;"",$Q478,$AS478)</f>
        <v/>
      </c>
    </row>
    <row r="479" customFormat="false" ht="16.5" hidden="false" customHeight="true" outlineLevel="0" collapsed="false">
      <c r="A479" s="39" t="str">
        <f aca="false">IF($F479="","",ROW())</f>
        <v/>
      </c>
      <c r="B479" s="40" t="str">
        <f aca="false">IF($F479="",IF($D479="","","Falta a atividade"),IF($R479="Cancelada","Cancelada",IF($AB479=1,IF(N($Z479)&gt;0,"Concluída com atraso","Concluída"),IF($R479="Em programação","Em programação",IF($O479="",IF($M479="","Na carteira","Falta a semana"),IF($AC479=1,"VENCIDA",IF($O479&gt;Hoje!$L$1,"Programada",IF($P479&gt;Hoje!$L$1,"Em execução","Fecha hoje"))))))))</f>
        <v/>
      </c>
      <c r="C479" s="41"/>
      <c r="D479" s="42"/>
      <c r="E479" s="42"/>
      <c r="F479" s="42"/>
      <c r="G479" s="43"/>
      <c r="H479" s="43"/>
      <c r="I479" s="44"/>
      <c r="J479" s="44"/>
      <c r="K479" s="44"/>
      <c r="L479" s="45"/>
      <c r="M479" s="46"/>
      <c r="N479" s="45"/>
      <c r="O479" s="47" t="str">
        <f aca="false">IF(OR($L479="",$M479=""),"",(DATE(Semana!$J$3,1,4)-WEEKDAY(DATE(Semana!$J$3,1,4),3))+($L479-1)*7+MATCH($M479,Listas!$F$5:$F$11,0)-1)</f>
        <v/>
      </c>
      <c r="P479" s="47" t="str">
        <f aca="false">IF(OR($F479="",$O479=""),"",$O479+MAX(0,ROUNDUP($AK479*MAX(1,IF($N479="",1,$N479))/MAX(1,$AL479),0)-1))</f>
        <v/>
      </c>
      <c r="Q479" s="48"/>
      <c r="R479" s="43"/>
      <c r="S479" s="49"/>
      <c r="T479" s="42"/>
      <c r="U479" s="42"/>
      <c r="V479" s="39" t="str">
        <f aca="false">IF($F479="","",IF(ISNUMBER(SEARCH("(externo)",$I479&amp;$J479&amp;$K479)),"Terceirizada","Interna"))</f>
        <v/>
      </c>
      <c r="W479" s="47" t="str">
        <f aca="false">IF($O479="","",IF($S479="",$O479,(DATE(Semana!$J$3,1,4)-WEEKDAY(DATE(Semana!$J$3,1,4),3))+($S479-1)*7+IF($M479="",0,MATCH($M479,Listas!$F$5:$F$11,0)-1)))</f>
        <v/>
      </c>
      <c r="X479" s="39" t="str">
        <f aca="false">IF($F479="","",IF(OR($AT479="",$O479=""),0,IF($AT479&lt;=$O479,1,0)))</f>
        <v/>
      </c>
      <c r="Y479" s="39" t="str">
        <f aca="false">IF($F479="","",IF(OR($AT479="",$W479=""),0,IF($AT479&lt;=$W479,1,0)))</f>
        <v/>
      </c>
      <c r="Z479" s="39" t="str">
        <f aca="false">IF(OR($AT479="",$O479=""),"",MAX(0,$AT479-$O479))</f>
        <v/>
      </c>
      <c r="AA479" s="39" t="str">
        <f aca="false">IF($F479="","",IF(AND($S479&lt;&gt;"",$L479&lt;&gt;"",$S479&lt;&gt;$L479),1,0))</f>
        <v/>
      </c>
      <c r="AB479" s="39" t="str">
        <f aca="false">IF($F479="","",IF($R479="Cancelada",0,IF(OR($AT479&lt;&gt;"",$R479="Concluída"),1,0)))</f>
        <v/>
      </c>
      <c r="AC479" s="39" t="n">
        <f aca="false">IF($P479="",0,IF($P479&lt;Hoje!$L$1,1,IF(AND($P479=Hoje!$L$1,Hoje!$L$2&gt;Semana!$M$3),1,0)))</f>
        <v>0</v>
      </c>
      <c r="AD479" s="39" t="str">
        <f aca="false">IF($F479="","",IF(COUNTA($I479:$K479)=0,0,1/COUNTA($I479:$K479)))</f>
        <v/>
      </c>
      <c r="AE479" s="39" t="str">
        <f aca="false">IF($AH479=0,"",SUM($AH$4:$AH479))</f>
        <v/>
      </c>
      <c r="AF479" s="39" t="str">
        <f aca="false">IF($AI479=0,"",SUM($AI$4:$AI479))</f>
        <v/>
      </c>
      <c r="AG479" s="50" t="str">
        <f aca="false">IF($F479="","",$I479&amp;IF($J479="",""," · "&amp;$J479)&amp;IF($K479="",""," · "&amp;$K479))</f>
        <v/>
      </c>
      <c r="AH479" s="39" t="n">
        <f aca="false">IF(AND($F479&lt;&gt;"",$O479&lt;&gt;"",$O479&lt;=Hoje!$C$3,$P479&gt;=Hoje!$C$3,$R479&lt;&gt;"Cancelada"),1,0)</f>
        <v>0</v>
      </c>
      <c r="AI479" s="39" t="n">
        <f aca="false">IF(AND($F479&lt;&gt;"",$P479&lt;&gt;"",$P479&lt;Hoje!$C$3,$AB479=0,$R479&lt;&gt;"Cancelada"),1,0)</f>
        <v>0</v>
      </c>
      <c r="AJ479" s="50" t="str">
        <f aca="false">IF($F479="","",$D479&amp;"|"&amp;$E479&amp;"|"&amp;$L479)</f>
        <v/>
      </c>
      <c r="AK479" s="39" t="str">
        <f aca="false">IF($AJ479="","",COUNTIF($AJ$4:$AJ479,$AJ479))</f>
        <v/>
      </c>
      <c r="AL479" s="39" t="str">
        <f aca="false">IF($AJ479="","",COUNTIF($AJ$4:$AJ$1004,$AJ479))</f>
        <v/>
      </c>
      <c r="AM479" s="42"/>
      <c r="AN479" s="50" t="str">
        <f aca="false">IF($D479="","",IFERROR(T(VLOOKUP($D479,Listas!$B$5:$H$120,7,0)),""))</f>
        <v/>
      </c>
      <c r="AO479" s="50" t="str">
        <f aca="false">IF(OR($F479="",$L479&lt;&gt;"",$R479="Cancelada",$AT479&lt;&gt;""),"",$AN479&amp;"|"&amp;$D479&amp;"|"&amp;IF($C479="","zzz",$C479)&amp;"|"&amp;TEXT(479,"0000"))</f>
        <v/>
      </c>
      <c r="AP479" s="50" t="str">
        <f aca="false">IF($AO479="","",COUNTIF($AO$5:$AO$1004,"&lt;"&amp;$AO479)-(ROWS($AO$5:$AO$1004)-Hoje!$L$5)+1)</f>
        <v/>
      </c>
      <c r="AQ479" s="50" t="n">
        <f aca="false">IF(AND($F479&lt;&gt;"",$D479=Frota!$C$3),1,0)</f>
        <v>0</v>
      </c>
      <c r="AR479" s="50" t="str">
        <f aca="false">IF($AQ479=0,"",SUM($AQ$4:$AQ479))</f>
        <v/>
      </c>
      <c r="AS479" s="50" t="str">
        <f aca="false">IFERROR(INDEX(Hoje!$K$10:$K$29,MATCH(ROW(),Hoje!$J$10:$J$29,0)),"")</f>
        <v/>
      </c>
      <c r="AT479" s="50" t="str">
        <f aca="false">IF($Q479&lt;&gt;"",$Q479,$AS479)</f>
        <v/>
      </c>
    </row>
    <row r="480" customFormat="false" ht="16.5" hidden="false" customHeight="true" outlineLevel="0" collapsed="false">
      <c r="A480" s="39" t="str">
        <f aca="false">IF($F480="","",ROW())</f>
        <v/>
      </c>
      <c r="B480" s="40" t="str">
        <f aca="false">IF($F480="",IF($D480="","","Falta a atividade"),IF($R480="Cancelada","Cancelada",IF($AB480=1,IF(N($Z480)&gt;0,"Concluída com atraso","Concluída"),IF($R480="Em programação","Em programação",IF($O480="",IF($M480="","Na carteira","Falta a semana"),IF($AC480=1,"VENCIDA",IF($O480&gt;Hoje!$L$1,"Programada",IF($P480&gt;Hoje!$L$1,"Em execução","Fecha hoje"))))))))</f>
        <v/>
      </c>
      <c r="C480" s="41"/>
      <c r="D480" s="42"/>
      <c r="E480" s="42"/>
      <c r="F480" s="42"/>
      <c r="G480" s="43"/>
      <c r="H480" s="43"/>
      <c r="I480" s="44"/>
      <c r="J480" s="44"/>
      <c r="K480" s="44"/>
      <c r="L480" s="45"/>
      <c r="M480" s="46"/>
      <c r="N480" s="45"/>
      <c r="O480" s="47" t="str">
        <f aca="false">IF(OR($L480="",$M480=""),"",(DATE(Semana!$J$3,1,4)-WEEKDAY(DATE(Semana!$J$3,1,4),3))+($L480-1)*7+MATCH($M480,Listas!$F$5:$F$11,0)-1)</f>
        <v/>
      </c>
      <c r="P480" s="47" t="str">
        <f aca="false">IF(OR($F480="",$O480=""),"",$O480+MAX(0,ROUNDUP($AK480*MAX(1,IF($N480="",1,$N480))/MAX(1,$AL480),0)-1))</f>
        <v/>
      </c>
      <c r="Q480" s="48"/>
      <c r="R480" s="43"/>
      <c r="S480" s="49"/>
      <c r="T480" s="42"/>
      <c r="U480" s="42"/>
      <c r="V480" s="39" t="str">
        <f aca="false">IF($F480="","",IF(ISNUMBER(SEARCH("(externo)",$I480&amp;$J480&amp;$K480)),"Terceirizada","Interna"))</f>
        <v/>
      </c>
      <c r="W480" s="47" t="str">
        <f aca="false">IF($O480="","",IF($S480="",$O480,(DATE(Semana!$J$3,1,4)-WEEKDAY(DATE(Semana!$J$3,1,4),3))+($S480-1)*7+IF($M480="",0,MATCH($M480,Listas!$F$5:$F$11,0)-1)))</f>
        <v/>
      </c>
      <c r="X480" s="39" t="str">
        <f aca="false">IF($F480="","",IF(OR($AT480="",$O480=""),0,IF($AT480&lt;=$O480,1,0)))</f>
        <v/>
      </c>
      <c r="Y480" s="39" t="str">
        <f aca="false">IF($F480="","",IF(OR($AT480="",$W480=""),0,IF($AT480&lt;=$W480,1,0)))</f>
        <v/>
      </c>
      <c r="Z480" s="39" t="str">
        <f aca="false">IF(OR($AT480="",$O480=""),"",MAX(0,$AT480-$O480))</f>
        <v/>
      </c>
      <c r="AA480" s="39" t="str">
        <f aca="false">IF($F480="","",IF(AND($S480&lt;&gt;"",$L480&lt;&gt;"",$S480&lt;&gt;$L480),1,0))</f>
        <v/>
      </c>
      <c r="AB480" s="39" t="str">
        <f aca="false">IF($F480="","",IF($R480="Cancelada",0,IF(OR($AT480&lt;&gt;"",$R480="Concluída"),1,0)))</f>
        <v/>
      </c>
      <c r="AC480" s="39" t="n">
        <f aca="false">IF($P480="",0,IF($P480&lt;Hoje!$L$1,1,IF(AND($P480=Hoje!$L$1,Hoje!$L$2&gt;Semana!$M$3),1,0)))</f>
        <v>0</v>
      </c>
      <c r="AD480" s="39" t="str">
        <f aca="false">IF($F480="","",IF(COUNTA($I480:$K480)=0,0,1/COUNTA($I480:$K480)))</f>
        <v/>
      </c>
      <c r="AE480" s="39" t="str">
        <f aca="false">IF($AH480=0,"",SUM($AH$4:$AH480))</f>
        <v/>
      </c>
      <c r="AF480" s="39" t="str">
        <f aca="false">IF($AI480=0,"",SUM($AI$4:$AI480))</f>
        <v/>
      </c>
      <c r="AG480" s="50" t="str">
        <f aca="false">IF($F480="","",$I480&amp;IF($J480="",""," · "&amp;$J480)&amp;IF($K480="",""," · "&amp;$K480))</f>
        <v/>
      </c>
      <c r="AH480" s="39" t="n">
        <f aca="false">IF(AND($F480&lt;&gt;"",$O480&lt;&gt;"",$O480&lt;=Hoje!$C$3,$P480&gt;=Hoje!$C$3,$R480&lt;&gt;"Cancelada"),1,0)</f>
        <v>0</v>
      </c>
      <c r="AI480" s="39" t="n">
        <f aca="false">IF(AND($F480&lt;&gt;"",$P480&lt;&gt;"",$P480&lt;Hoje!$C$3,$AB480=0,$R480&lt;&gt;"Cancelada"),1,0)</f>
        <v>0</v>
      </c>
      <c r="AJ480" s="50" t="str">
        <f aca="false">IF($F480="","",$D480&amp;"|"&amp;$E480&amp;"|"&amp;$L480)</f>
        <v/>
      </c>
      <c r="AK480" s="39" t="str">
        <f aca="false">IF($AJ480="","",COUNTIF($AJ$4:$AJ480,$AJ480))</f>
        <v/>
      </c>
      <c r="AL480" s="39" t="str">
        <f aca="false">IF($AJ480="","",COUNTIF($AJ$4:$AJ$1004,$AJ480))</f>
        <v/>
      </c>
      <c r="AM480" s="42"/>
      <c r="AN480" s="50" t="str">
        <f aca="false">IF($D480="","",IFERROR(T(VLOOKUP($D480,Listas!$B$5:$H$120,7,0)),""))</f>
        <v/>
      </c>
      <c r="AO480" s="50" t="str">
        <f aca="false">IF(OR($F480="",$L480&lt;&gt;"",$R480="Cancelada",$AT480&lt;&gt;""),"",$AN480&amp;"|"&amp;$D480&amp;"|"&amp;IF($C480="","zzz",$C480)&amp;"|"&amp;TEXT(480,"0000"))</f>
        <v/>
      </c>
      <c r="AP480" s="50" t="str">
        <f aca="false">IF($AO480="","",COUNTIF($AO$5:$AO$1004,"&lt;"&amp;$AO480)-(ROWS($AO$5:$AO$1004)-Hoje!$L$5)+1)</f>
        <v/>
      </c>
      <c r="AQ480" s="50" t="n">
        <f aca="false">IF(AND($F480&lt;&gt;"",$D480=Frota!$C$3),1,0)</f>
        <v>0</v>
      </c>
      <c r="AR480" s="50" t="str">
        <f aca="false">IF($AQ480=0,"",SUM($AQ$4:$AQ480))</f>
        <v/>
      </c>
      <c r="AS480" s="50" t="str">
        <f aca="false">IFERROR(INDEX(Hoje!$K$10:$K$29,MATCH(ROW(),Hoje!$J$10:$J$29,0)),"")</f>
        <v/>
      </c>
      <c r="AT480" s="50" t="str">
        <f aca="false">IF($Q480&lt;&gt;"",$Q480,$AS480)</f>
        <v/>
      </c>
    </row>
    <row r="481" customFormat="false" ht="16.5" hidden="false" customHeight="true" outlineLevel="0" collapsed="false">
      <c r="A481" s="39" t="str">
        <f aca="false">IF($F481="","",ROW())</f>
        <v/>
      </c>
      <c r="B481" s="40" t="str">
        <f aca="false">IF($F481="",IF($D481="","","Falta a atividade"),IF($R481="Cancelada","Cancelada",IF($AB481=1,IF(N($Z481)&gt;0,"Concluída com atraso","Concluída"),IF($R481="Em programação","Em programação",IF($O481="",IF($M481="","Na carteira","Falta a semana"),IF($AC481=1,"VENCIDA",IF($O481&gt;Hoje!$L$1,"Programada",IF($P481&gt;Hoje!$L$1,"Em execução","Fecha hoje"))))))))</f>
        <v/>
      </c>
      <c r="C481" s="41"/>
      <c r="D481" s="42"/>
      <c r="E481" s="42"/>
      <c r="F481" s="42"/>
      <c r="G481" s="43"/>
      <c r="H481" s="43"/>
      <c r="I481" s="44"/>
      <c r="J481" s="44"/>
      <c r="K481" s="44"/>
      <c r="L481" s="45"/>
      <c r="M481" s="46"/>
      <c r="N481" s="45"/>
      <c r="O481" s="47" t="str">
        <f aca="false">IF(OR($L481="",$M481=""),"",(DATE(Semana!$J$3,1,4)-WEEKDAY(DATE(Semana!$J$3,1,4),3))+($L481-1)*7+MATCH($M481,Listas!$F$5:$F$11,0)-1)</f>
        <v/>
      </c>
      <c r="P481" s="47" t="str">
        <f aca="false">IF(OR($F481="",$O481=""),"",$O481+MAX(0,ROUNDUP($AK481*MAX(1,IF($N481="",1,$N481))/MAX(1,$AL481),0)-1))</f>
        <v/>
      </c>
      <c r="Q481" s="48"/>
      <c r="R481" s="43"/>
      <c r="S481" s="49"/>
      <c r="T481" s="42"/>
      <c r="U481" s="42"/>
      <c r="V481" s="39" t="str">
        <f aca="false">IF($F481="","",IF(ISNUMBER(SEARCH("(externo)",$I481&amp;$J481&amp;$K481)),"Terceirizada","Interna"))</f>
        <v/>
      </c>
      <c r="W481" s="47" t="str">
        <f aca="false">IF($O481="","",IF($S481="",$O481,(DATE(Semana!$J$3,1,4)-WEEKDAY(DATE(Semana!$J$3,1,4),3))+($S481-1)*7+IF($M481="",0,MATCH($M481,Listas!$F$5:$F$11,0)-1)))</f>
        <v/>
      </c>
      <c r="X481" s="39" t="str">
        <f aca="false">IF($F481="","",IF(OR($AT481="",$O481=""),0,IF($AT481&lt;=$O481,1,0)))</f>
        <v/>
      </c>
      <c r="Y481" s="39" t="str">
        <f aca="false">IF($F481="","",IF(OR($AT481="",$W481=""),0,IF($AT481&lt;=$W481,1,0)))</f>
        <v/>
      </c>
      <c r="Z481" s="39" t="str">
        <f aca="false">IF(OR($AT481="",$O481=""),"",MAX(0,$AT481-$O481))</f>
        <v/>
      </c>
      <c r="AA481" s="39" t="str">
        <f aca="false">IF($F481="","",IF(AND($S481&lt;&gt;"",$L481&lt;&gt;"",$S481&lt;&gt;$L481),1,0))</f>
        <v/>
      </c>
      <c r="AB481" s="39" t="str">
        <f aca="false">IF($F481="","",IF($R481="Cancelada",0,IF(OR($AT481&lt;&gt;"",$R481="Concluída"),1,0)))</f>
        <v/>
      </c>
      <c r="AC481" s="39" t="n">
        <f aca="false">IF($P481="",0,IF($P481&lt;Hoje!$L$1,1,IF(AND($P481=Hoje!$L$1,Hoje!$L$2&gt;Semana!$M$3),1,0)))</f>
        <v>0</v>
      </c>
      <c r="AD481" s="39" t="str">
        <f aca="false">IF($F481="","",IF(COUNTA($I481:$K481)=0,0,1/COUNTA($I481:$K481)))</f>
        <v/>
      </c>
      <c r="AE481" s="39" t="str">
        <f aca="false">IF($AH481=0,"",SUM($AH$4:$AH481))</f>
        <v/>
      </c>
      <c r="AF481" s="39" t="str">
        <f aca="false">IF($AI481=0,"",SUM($AI$4:$AI481))</f>
        <v/>
      </c>
      <c r="AG481" s="50" t="str">
        <f aca="false">IF($F481="","",$I481&amp;IF($J481="",""," · "&amp;$J481)&amp;IF($K481="",""," · "&amp;$K481))</f>
        <v/>
      </c>
      <c r="AH481" s="39" t="n">
        <f aca="false">IF(AND($F481&lt;&gt;"",$O481&lt;&gt;"",$O481&lt;=Hoje!$C$3,$P481&gt;=Hoje!$C$3,$R481&lt;&gt;"Cancelada"),1,0)</f>
        <v>0</v>
      </c>
      <c r="AI481" s="39" t="n">
        <f aca="false">IF(AND($F481&lt;&gt;"",$P481&lt;&gt;"",$P481&lt;Hoje!$C$3,$AB481=0,$R481&lt;&gt;"Cancelada"),1,0)</f>
        <v>0</v>
      </c>
      <c r="AJ481" s="50" t="str">
        <f aca="false">IF($F481="","",$D481&amp;"|"&amp;$E481&amp;"|"&amp;$L481)</f>
        <v/>
      </c>
      <c r="AK481" s="39" t="str">
        <f aca="false">IF($AJ481="","",COUNTIF($AJ$4:$AJ481,$AJ481))</f>
        <v/>
      </c>
      <c r="AL481" s="39" t="str">
        <f aca="false">IF($AJ481="","",COUNTIF($AJ$4:$AJ$1004,$AJ481))</f>
        <v/>
      </c>
      <c r="AM481" s="42"/>
      <c r="AN481" s="50" t="str">
        <f aca="false">IF($D481="","",IFERROR(T(VLOOKUP($D481,Listas!$B$5:$H$120,7,0)),""))</f>
        <v/>
      </c>
      <c r="AO481" s="50" t="str">
        <f aca="false">IF(OR($F481="",$L481&lt;&gt;"",$R481="Cancelada",$AT481&lt;&gt;""),"",$AN481&amp;"|"&amp;$D481&amp;"|"&amp;IF($C481="","zzz",$C481)&amp;"|"&amp;TEXT(481,"0000"))</f>
        <v/>
      </c>
      <c r="AP481" s="50" t="str">
        <f aca="false">IF($AO481="","",COUNTIF($AO$5:$AO$1004,"&lt;"&amp;$AO481)-(ROWS($AO$5:$AO$1004)-Hoje!$L$5)+1)</f>
        <v/>
      </c>
      <c r="AQ481" s="50" t="n">
        <f aca="false">IF(AND($F481&lt;&gt;"",$D481=Frota!$C$3),1,0)</f>
        <v>0</v>
      </c>
      <c r="AR481" s="50" t="str">
        <f aca="false">IF($AQ481=0,"",SUM($AQ$4:$AQ481))</f>
        <v/>
      </c>
      <c r="AS481" s="50" t="str">
        <f aca="false">IFERROR(INDEX(Hoje!$K$10:$K$29,MATCH(ROW(),Hoje!$J$10:$J$29,0)),"")</f>
        <v/>
      </c>
      <c r="AT481" s="50" t="str">
        <f aca="false">IF($Q481&lt;&gt;"",$Q481,$AS481)</f>
        <v/>
      </c>
    </row>
    <row r="482" customFormat="false" ht="16.5" hidden="false" customHeight="true" outlineLevel="0" collapsed="false">
      <c r="A482" s="39" t="str">
        <f aca="false">IF($F482="","",ROW())</f>
        <v/>
      </c>
      <c r="B482" s="40" t="str">
        <f aca="false">IF($F482="",IF($D482="","","Falta a atividade"),IF($R482="Cancelada","Cancelada",IF($AB482=1,IF(N($Z482)&gt;0,"Concluída com atraso","Concluída"),IF($R482="Em programação","Em programação",IF($O482="",IF($M482="","Na carteira","Falta a semana"),IF($AC482=1,"VENCIDA",IF($O482&gt;Hoje!$L$1,"Programada",IF($P482&gt;Hoje!$L$1,"Em execução","Fecha hoje"))))))))</f>
        <v/>
      </c>
      <c r="C482" s="41"/>
      <c r="D482" s="42"/>
      <c r="E482" s="42"/>
      <c r="F482" s="42"/>
      <c r="G482" s="43"/>
      <c r="H482" s="43"/>
      <c r="I482" s="44"/>
      <c r="J482" s="44"/>
      <c r="K482" s="44"/>
      <c r="L482" s="45"/>
      <c r="M482" s="46"/>
      <c r="N482" s="45"/>
      <c r="O482" s="47" t="str">
        <f aca="false">IF(OR($L482="",$M482=""),"",(DATE(Semana!$J$3,1,4)-WEEKDAY(DATE(Semana!$J$3,1,4),3))+($L482-1)*7+MATCH($M482,Listas!$F$5:$F$11,0)-1)</f>
        <v/>
      </c>
      <c r="P482" s="47" t="str">
        <f aca="false">IF(OR($F482="",$O482=""),"",$O482+MAX(0,ROUNDUP($AK482*MAX(1,IF($N482="",1,$N482))/MAX(1,$AL482),0)-1))</f>
        <v/>
      </c>
      <c r="Q482" s="48"/>
      <c r="R482" s="43"/>
      <c r="S482" s="49"/>
      <c r="T482" s="42"/>
      <c r="U482" s="42"/>
      <c r="V482" s="39" t="str">
        <f aca="false">IF($F482="","",IF(ISNUMBER(SEARCH("(externo)",$I482&amp;$J482&amp;$K482)),"Terceirizada","Interna"))</f>
        <v/>
      </c>
      <c r="W482" s="47" t="str">
        <f aca="false">IF($O482="","",IF($S482="",$O482,(DATE(Semana!$J$3,1,4)-WEEKDAY(DATE(Semana!$J$3,1,4),3))+($S482-1)*7+IF($M482="",0,MATCH($M482,Listas!$F$5:$F$11,0)-1)))</f>
        <v/>
      </c>
      <c r="X482" s="39" t="str">
        <f aca="false">IF($F482="","",IF(OR($AT482="",$O482=""),0,IF($AT482&lt;=$O482,1,0)))</f>
        <v/>
      </c>
      <c r="Y482" s="39" t="str">
        <f aca="false">IF($F482="","",IF(OR($AT482="",$W482=""),0,IF($AT482&lt;=$W482,1,0)))</f>
        <v/>
      </c>
      <c r="Z482" s="39" t="str">
        <f aca="false">IF(OR($AT482="",$O482=""),"",MAX(0,$AT482-$O482))</f>
        <v/>
      </c>
      <c r="AA482" s="39" t="str">
        <f aca="false">IF($F482="","",IF(AND($S482&lt;&gt;"",$L482&lt;&gt;"",$S482&lt;&gt;$L482),1,0))</f>
        <v/>
      </c>
      <c r="AB482" s="39" t="str">
        <f aca="false">IF($F482="","",IF($R482="Cancelada",0,IF(OR($AT482&lt;&gt;"",$R482="Concluída"),1,0)))</f>
        <v/>
      </c>
      <c r="AC482" s="39" t="n">
        <f aca="false">IF($P482="",0,IF($P482&lt;Hoje!$L$1,1,IF(AND($P482=Hoje!$L$1,Hoje!$L$2&gt;Semana!$M$3),1,0)))</f>
        <v>0</v>
      </c>
      <c r="AD482" s="39" t="str">
        <f aca="false">IF($F482="","",IF(COUNTA($I482:$K482)=0,0,1/COUNTA($I482:$K482)))</f>
        <v/>
      </c>
      <c r="AE482" s="39" t="str">
        <f aca="false">IF($AH482=0,"",SUM($AH$4:$AH482))</f>
        <v/>
      </c>
      <c r="AF482" s="39" t="str">
        <f aca="false">IF($AI482=0,"",SUM($AI$4:$AI482))</f>
        <v/>
      </c>
      <c r="AG482" s="50" t="str">
        <f aca="false">IF($F482="","",$I482&amp;IF($J482="",""," · "&amp;$J482)&amp;IF($K482="",""," · "&amp;$K482))</f>
        <v/>
      </c>
      <c r="AH482" s="39" t="n">
        <f aca="false">IF(AND($F482&lt;&gt;"",$O482&lt;&gt;"",$O482&lt;=Hoje!$C$3,$P482&gt;=Hoje!$C$3,$R482&lt;&gt;"Cancelada"),1,0)</f>
        <v>0</v>
      </c>
      <c r="AI482" s="39" t="n">
        <f aca="false">IF(AND($F482&lt;&gt;"",$P482&lt;&gt;"",$P482&lt;Hoje!$C$3,$AB482=0,$R482&lt;&gt;"Cancelada"),1,0)</f>
        <v>0</v>
      </c>
      <c r="AJ482" s="50" t="str">
        <f aca="false">IF($F482="","",$D482&amp;"|"&amp;$E482&amp;"|"&amp;$L482)</f>
        <v/>
      </c>
      <c r="AK482" s="39" t="str">
        <f aca="false">IF($AJ482="","",COUNTIF($AJ$4:$AJ482,$AJ482))</f>
        <v/>
      </c>
      <c r="AL482" s="39" t="str">
        <f aca="false">IF($AJ482="","",COUNTIF($AJ$4:$AJ$1004,$AJ482))</f>
        <v/>
      </c>
      <c r="AM482" s="42"/>
      <c r="AN482" s="50" t="str">
        <f aca="false">IF($D482="","",IFERROR(T(VLOOKUP($D482,Listas!$B$5:$H$120,7,0)),""))</f>
        <v/>
      </c>
      <c r="AO482" s="50" t="str">
        <f aca="false">IF(OR($F482="",$L482&lt;&gt;"",$R482="Cancelada",$AT482&lt;&gt;""),"",$AN482&amp;"|"&amp;$D482&amp;"|"&amp;IF($C482="","zzz",$C482)&amp;"|"&amp;TEXT(482,"0000"))</f>
        <v/>
      </c>
      <c r="AP482" s="50" t="str">
        <f aca="false">IF($AO482="","",COUNTIF($AO$5:$AO$1004,"&lt;"&amp;$AO482)-(ROWS($AO$5:$AO$1004)-Hoje!$L$5)+1)</f>
        <v/>
      </c>
      <c r="AQ482" s="50" t="n">
        <f aca="false">IF(AND($F482&lt;&gt;"",$D482=Frota!$C$3),1,0)</f>
        <v>0</v>
      </c>
      <c r="AR482" s="50" t="str">
        <f aca="false">IF($AQ482=0,"",SUM($AQ$4:$AQ482))</f>
        <v/>
      </c>
      <c r="AS482" s="50" t="str">
        <f aca="false">IFERROR(INDEX(Hoje!$K$10:$K$29,MATCH(ROW(),Hoje!$J$10:$J$29,0)),"")</f>
        <v/>
      </c>
      <c r="AT482" s="50" t="str">
        <f aca="false">IF($Q482&lt;&gt;"",$Q482,$AS482)</f>
        <v/>
      </c>
    </row>
    <row r="483" customFormat="false" ht="16.5" hidden="false" customHeight="true" outlineLevel="0" collapsed="false">
      <c r="A483" s="39" t="str">
        <f aca="false">IF($F483="","",ROW())</f>
        <v/>
      </c>
      <c r="B483" s="40" t="str">
        <f aca="false">IF($F483="",IF($D483="","","Falta a atividade"),IF($R483="Cancelada","Cancelada",IF($AB483=1,IF(N($Z483)&gt;0,"Concluída com atraso","Concluída"),IF($R483="Em programação","Em programação",IF($O483="",IF($M483="","Na carteira","Falta a semana"),IF($AC483=1,"VENCIDA",IF($O483&gt;Hoje!$L$1,"Programada",IF($P483&gt;Hoje!$L$1,"Em execução","Fecha hoje"))))))))</f>
        <v/>
      </c>
      <c r="C483" s="41"/>
      <c r="D483" s="42"/>
      <c r="E483" s="42"/>
      <c r="F483" s="42"/>
      <c r="G483" s="43"/>
      <c r="H483" s="43"/>
      <c r="I483" s="44"/>
      <c r="J483" s="44"/>
      <c r="K483" s="44"/>
      <c r="L483" s="45"/>
      <c r="M483" s="46"/>
      <c r="N483" s="45"/>
      <c r="O483" s="47" t="str">
        <f aca="false">IF(OR($L483="",$M483=""),"",(DATE(Semana!$J$3,1,4)-WEEKDAY(DATE(Semana!$J$3,1,4),3))+($L483-1)*7+MATCH($M483,Listas!$F$5:$F$11,0)-1)</f>
        <v/>
      </c>
      <c r="P483" s="47" t="str">
        <f aca="false">IF(OR($F483="",$O483=""),"",$O483+MAX(0,ROUNDUP($AK483*MAX(1,IF($N483="",1,$N483))/MAX(1,$AL483),0)-1))</f>
        <v/>
      </c>
      <c r="Q483" s="48"/>
      <c r="R483" s="43"/>
      <c r="S483" s="49"/>
      <c r="T483" s="42"/>
      <c r="U483" s="42"/>
      <c r="V483" s="39" t="str">
        <f aca="false">IF($F483="","",IF(ISNUMBER(SEARCH("(externo)",$I483&amp;$J483&amp;$K483)),"Terceirizada","Interna"))</f>
        <v/>
      </c>
      <c r="W483" s="47" t="str">
        <f aca="false">IF($O483="","",IF($S483="",$O483,(DATE(Semana!$J$3,1,4)-WEEKDAY(DATE(Semana!$J$3,1,4),3))+($S483-1)*7+IF($M483="",0,MATCH($M483,Listas!$F$5:$F$11,0)-1)))</f>
        <v/>
      </c>
      <c r="X483" s="39" t="str">
        <f aca="false">IF($F483="","",IF(OR($AT483="",$O483=""),0,IF($AT483&lt;=$O483,1,0)))</f>
        <v/>
      </c>
      <c r="Y483" s="39" t="str">
        <f aca="false">IF($F483="","",IF(OR($AT483="",$W483=""),0,IF($AT483&lt;=$W483,1,0)))</f>
        <v/>
      </c>
      <c r="Z483" s="39" t="str">
        <f aca="false">IF(OR($AT483="",$O483=""),"",MAX(0,$AT483-$O483))</f>
        <v/>
      </c>
      <c r="AA483" s="39" t="str">
        <f aca="false">IF($F483="","",IF(AND($S483&lt;&gt;"",$L483&lt;&gt;"",$S483&lt;&gt;$L483),1,0))</f>
        <v/>
      </c>
      <c r="AB483" s="39" t="str">
        <f aca="false">IF($F483="","",IF($R483="Cancelada",0,IF(OR($AT483&lt;&gt;"",$R483="Concluída"),1,0)))</f>
        <v/>
      </c>
      <c r="AC483" s="39" t="n">
        <f aca="false">IF($P483="",0,IF($P483&lt;Hoje!$L$1,1,IF(AND($P483=Hoje!$L$1,Hoje!$L$2&gt;Semana!$M$3),1,0)))</f>
        <v>0</v>
      </c>
      <c r="AD483" s="39" t="str">
        <f aca="false">IF($F483="","",IF(COUNTA($I483:$K483)=0,0,1/COUNTA($I483:$K483)))</f>
        <v/>
      </c>
      <c r="AE483" s="39" t="str">
        <f aca="false">IF($AH483=0,"",SUM($AH$4:$AH483))</f>
        <v/>
      </c>
      <c r="AF483" s="39" t="str">
        <f aca="false">IF($AI483=0,"",SUM($AI$4:$AI483))</f>
        <v/>
      </c>
      <c r="AG483" s="50" t="str">
        <f aca="false">IF($F483="","",$I483&amp;IF($J483="",""," · "&amp;$J483)&amp;IF($K483="",""," · "&amp;$K483))</f>
        <v/>
      </c>
      <c r="AH483" s="39" t="n">
        <f aca="false">IF(AND($F483&lt;&gt;"",$O483&lt;&gt;"",$O483&lt;=Hoje!$C$3,$P483&gt;=Hoje!$C$3,$R483&lt;&gt;"Cancelada"),1,0)</f>
        <v>0</v>
      </c>
      <c r="AI483" s="39" t="n">
        <f aca="false">IF(AND($F483&lt;&gt;"",$P483&lt;&gt;"",$P483&lt;Hoje!$C$3,$AB483=0,$R483&lt;&gt;"Cancelada"),1,0)</f>
        <v>0</v>
      </c>
      <c r="AJ483" s="50" t="str">
        <f aca="false">IF($F483="","",$D483&amp;"|"&amp;$E483&amp;"|"&amp;$L483)</f>
        <v/>
      </c>
      <c r="AK483" s="39" t="str">
        <f aca="false">IF($AJ483="","",COUNTIF($AJ$4:$AJ483,$AJ483))</f>
        <v/>
      </c>
      <c r="AL483" s="39" t="str">
        <f aca="false">IF($AJ483="","",COUNTIF($AJ$4:$AJ$1004,$AJ483))</f>
        <v/>
      </c>
      <c r="AM483" s="42"/>
      <c r="AN483" s="50" t="str">
        <f aca="false">IF($D483="","",IFERROR(T(VLOOKUP($D483,Listas!$B$5:$H$120,7,0)),""))</f>
        <v/>
      </c>
      <c r="AO483" s="50" t="str">
        <f aca="false">IF(OR($F483="",$L483&lt;&gt;"",$R483="Cancelada",$AT483&lt;&gt;""),"",$AN483&amp;"|"&amp;$D483&amp;"|"&amp;IF($C483="","zzz",$C483)&amp;"|"&amp;TEXT(483,"0000"))</f>
        <v/>
      </c>
      <c r="AP483" s="50" t="str">
        <f aca="false">IF($AO483="","",COUNTIF($AO$5:$AO$1004,"&lt;"&amp;$AO483)-(ROWS($AO$5:$AO$1004)-Hoje!$L$5)+1)</f>
        <v/>
      </c>
      <c r="AQ483" s="50" t="n">
        <f aca="false">IF(AND($F483&lt;&gt;"",$D483=Frota!$C$3),1,0)</f>
        <v>0</v>
      </c>
      <c r="AR483" s="50" t="str">
        <f aca="false">IF($AQ483=0,"",SUM($AQ$4:$AQ483))</f>
        <v/>
      </c>
      <c r="AS483" s="50" t="str">
        <f aca="false">IFERROR(INDEX(Hoje!$K$10:$K$29,MATCH(ROW(),Hoje!$J$10:$J$29,0)),"")</f>
        <v/>
      </c>
      <c r="AT483" s="50" t="str">
        <f aca="false">IF($Q483&lt;&gt;"",$Q483,$AS483)</f>
        <v/>
      </c>
    </row>
    <row r="484" customFormat="false" ht="16.5" hidden="false" customHeight="true" outlineLevel="0" collapsed="false">
      <c r="A484" s="39" t="str">
        <f aca="false">IF($F484="","",ROW())</f>
        <v/>
      </c>
      <c r="B484" s="40" t="str">
        <f aca="false">IF($F484="",IF($D484="","","Falta a atividade"),IF($R484="Cancelada","Cancelada",IF($AB484=1,IF(N($Z484)&gt;0,"Concluída com atraso","Concluída"),IF($R484="Em programação","Em programação",IF($O484="",IF($M484="","Na carteira","Falta a semana"),IF($AC484=1,"VENCIDA",IF($O484&gt;Hoje!$L$1,"Programada",IF($P484&gt;Hoje!$L$1,"Em execução","Fecha hoje"))))))))</f>
        <v/>
      </c>
      <c r="C484" s="41"/>
      <c r="D484" s="42"/>
      <c r="E484" s="42"/>
      <c r="F484" s="42"/>
      <c r="G484" s="43"/>
      <c r="H484" s="43"/>
      <c r="I484" s="44"/>
      <c r="J484" s="44"/>
      <c r="K484" s="44"/>
      <c r="L484" s="45"/>
      <c r="M484" s="46"/>
      <c r="N484" s="45"/>
      <c r="O484" s="47" t="str">
        <f aca="false">IF(OR($L484="",$M484=""),"",(DATE(Semana!$J$3,1,4)-WEEKDAY(DATE(Semana!$J$3,1,4),3))+($L484-1)*7+MATCH($M484,Listas!$F$5:$F$11,0)-1)</f>
        <v/>
      </c>
      <c r="P484" s="47" t="str">
        <f aca="false">IF(OR($F484="",$O484=""),"",$O484+MAX(0,ROUNDUP($AK484*MAX(1,IF($N484="",1,$N484))/MAX(1,$AL484),0)-1))</f>
        <v/>
      </c>
      <c r="Q484" s="48"/>
      <c r="R484" s="43"/>
      <c r="S484" s="49"/>
      <c r="T484" s="42"/>
      <c r="U484" s="42"/>
      <c r="V484" s="39" t="str">
        <f aca="false">IF($F484="","",IF(ISNUMBER(SEARCH("(externo)",$I484&amp;$J484&amp;$K484)),"Terceirizada","Interna"))</f>
        <v/>
      </c>
      <c r="W484" s="47" t="str">
        <f aca="false">IF($O484="","",IF($S484="",$O484,(DATE(Semana!$J$3,1,4)-WEEKDAY(DATE(Semana!$J$3,1,4),3))+($S484-1)*7+IF($M484="",0,MATCH($M484,Listas!$F$5:$F$11,0)-1)))</f>
        <v/>
      </c>
      <c r="X484" s="39" t="str">
        <f aca="false">IF($F484="","",IF(OR($AT484="",$O484=""),0,IF($AT484&lt;=$O484,1,0)))</f>
        <v/>
      </c>
      <c r="Y484" s="39" t="str">
        <f aca="false">IF($F484="","",IF(OR($AT484="",$W484=""),0,IF($AT484&lt;=$W484,1,0)))</f>
        <v/>
      </c>
      <c r="Z484" s="39" t="str">
        <f aca="false">IF(OR($AT484="",$O484=""),"",MAX(0,$AT484-$O484))</f>
        <v/>
      </c>
      <c r="AA484" s="39" t="str">
        <f aca="false">IF($F484="","",IF(AND($S484&lt;&gt;"",$L484&lt;&gt;"",$S484&lt;&gt;$L484),1,0))</f>
        <v/>
      </c>
      <c r="AB484" s="39" t="str">
        <f aca="false">IF($F484="","",IF($R484="Cancelada",0,IF(OR($AT484&lt;&gt;"",$R484="Concluída"),1,0)))</f>
        <v/>
      </c>
      <c r="AC484" s="39" t="n">
        <f aca="false">IF($P484="",0,IF($P484&lt;Hoje!$L$1,1,IF(AND($P484=Hoje!$L$1,Hoje!$L$2&gt;Semana!$M$3),1,0)))</f>
        <v>0</v>
      </c>
      <c r="AD484" s="39" t="str">
        <f aca="false">IF($F484="","",IF(COUNTA($I484:$K484)=0,0,1/COUNTA($I484:$K484)))</f>
        <v/>
      </c>
      <c r="AE484" s="39" t="str">
        <f aca="false">IF($AH484=0,"",SUM($AH$4:$AH484))</f>
        <v/>
      </c>
      <c r="AF484" s="39" t="str">
        <f aca="false">IF($AI484=0,"",SUM($AI$4:$AI484))</f>
        <v/>
      </c>
      <c r="AG484" s="50" t="str">
        <f aca="false">IF($F484="","",$I484&amp;IF($J484="",""," · "&amp;$J484)&amp;IF($K484="",""," · "&amp;$K484))</f>
        <v/>
      </c>
      <c r="AH484" s="39" t="n">
        <f aca="false">IF(AND($F484&lt;&gt;"",$O484&lt;&gt;"",$O484&lt;=Hoje!$C$3,$P484&gt;=Hoje!$C$3,$R484&lt;&gt;"Cancelada"),1,0)</f>
        <v>0</v>
      </c>
      <c r="AI484" s="39" t="n">
        <f aca="false">IF(AND($F484&lt;&gt;"",$P484&lt;&gt;"",$P484&lt;Hoje!$C$3,$AB484=0,$R484&lt;&gt;"Cancelada"),1,0)</f>
        <v>0</v>
      </c>
      <c r="AJ484" s="50" t="str">
        <f aca="false">IF($F484="","",$D484&amp;"|"&amp;$E484&amp;"|"&amp;$L484)</f>
        <v/>
      </c>
      <c r="AK484" s="39" t="str">
        <f aca="false">IF($AJ484="","",COUNTIF($AJ$4:$AJ484,$AJ484))</f>
        <v/>
      </c>
      <c r="AL484" s="39" t="str">
        <f aca="false">IF($AJ484="","",COUNTIF($AJ$4:$AJ$1004,$AJ484))</f>
        <v/>
      </c>
      <c r="AM484" s="42"/>
      <c r="AN484" s="50" t="str">
        <f aca="false">IF($D484="","",IFERROR(T(VLOOKUP($D484,Listas!$B$5:$H$120,7,0)),""))</f>
        <v/>
      </c>
      <c r="AO484" s="50" t="str">
        <f aca="false">IF(OR($F484="",$L484&lt;&gt;"",$R484="Cancelada",$AT484&lt;&gt;""),"",$AN484&amp;"|"&amp;$D484&amp;"|"&amp;IF($C484="","zzz",$C484)&amp;"|"&amp;TEXT(484,"0000"))</f>
        <v/>
      </c>
      <c r="AP484" s="50" t="str">
        <f aca="false">IF($AO484="","",COUNTIF($AO$5:$AO$1004,"&lt;"&amp;$AO484)-(ROWS($AO$5:$AO$1004)-Hoje!$L$5)+1)</f>
        <v/>
      </c>
      <c r="AQ484" s="50" t="n">
        <f aca="false">IF(AND($F484&lt;&gt;"",$D484=Frota!$C$3),1,0)</f>
        <v>0</v>
      </c>
      <c r="AR484" s="50" t="str">
        <f aca="false">IF($AQ484=0,"",SUM($AQ$4:$AQ484))</f>
        <v/>
      </c>
      <c r="AS484" s="50" t="str">
        <f aca="false">IFERROR(INDEX(Hoje!$K$10:$K$29,MATCH(ROW(),Hoje!$J$10:$J$29,0)),"")</f>
        <v/>
      </c>
      <c r="AT484" s="50" t="str">
        <f aca="false">IF($Q484&lt;&gt;"",$Q484,$AS484)</f>
        <v/>
      </c>
    </row>
    <row r="485" customFormat="false" ht="16.5" hidden="false" customHeight="true" outlineLevel="0" collapsed="false">
      <c r="A485" s="39" t="str">
        <f aca="false">IF($F485="","",ROW())</f>
        <v/>
      </c>
      <c r="B485" s="40" t="str">
        <f aca="false">IF($F485="",IF($D485="","","Falta a atividade"),IF($R485="Cancelada","Cancelada",IF($AB485=1,IF(N($Z485)&gt;0,"Concluída com atraso","Concluída"),IF($R485="Em programação","Em programação",IF($O485="",IF($M485="","Na carteira","Falta a semana"),IF($AC485=1,"VENCIDA",IF($O485&gt;Hoje!$L$1,"Programada",IF($P485&gt;Hoje!$L$1,"Em execução","Fecha hoje"))))))))</f>
        <v/>
      </c>
      <c r="C485" s="41"/>
      <c r="D485" s="42"/>
      <c r="E485" s="42"/>
      <c r="F485" s="42"/>
      <c r="G485" s="43"/>
      <c r="H485" s="43"/>
      <c r="I485" s="44"/>
      <c r="J485" s="44"/>
      <c r="K485" s="44"/>
      <c r="L485" s="45"/>
      <c r="M485" s="46"/>
      <c r="N485" s="45"/>
      <c r="O485" s="47" t="str">
        <f aca="false">IF(OR($L485="",$M485=""),"",(DATE(Semana!$J$3,1,4)-WEEKDAY(DATE(Semana!$J$3,1,4),3))+($L485-1)*7+MATCH($M485,Listas!$F$5:$F$11,0)-1)</f>
        <v/>
      </c>
      <c r="P485" s="47" t="str">
        <f aca="false">IF(OR($F485="",$O485=""),"",$O485+MAX(0,ROUNDUP($AK485*MAX(1,IF($N485="",1,$N485))/MAX(1,$AL485),0)-1))</f>
        <v/>
      </c>
      <c r="Q485" s="48"/>
      <c r="R485" s="43"/>
      <c r="S485" s="49"/>
      <c r="T485" s="42"/>
      <c r="U485" s="42"/>
      <c r="V485" s="39" t="str">
        <f aca="false">IF($F485="","",IF(ISNUMBER(SEARCH("(externo)",$I485&amp;$J485&amp;$K485)),"Terceirizada","Interna"))</f>
        <v/>
      </c>
      <c r="W485" s="47" t="str">
        <f aca="false">IF($O485="","",IF($S485="",$O485,(DATE(Semana!$J$3,1,4)-WEEKDAY(DATE(Semana!$J$3,1,4),3))+($S485-1)*7+IF($M485="",0,MATCH($M485,Listas!$F$5:$F$11,0)-1)))</f>
        <v/>
      </c>
      <c r="X485" s="39" t="str">
        <f aca="false">IF($F485="","",IF(OR($AT485="",$O485=""),0,IF($AT485&lt;=$O485,1,0)))</f>
        <v/>
      </c>
      <c r="Y485" s="39" t="str">
        <f aca="false">IF($F485="","",IF(OR($AT485="",$W485=""),0,IF($AT485&lt;=$W485,1,0)))</f>
        <v/>
      </c>
      <c r="Z485" s="39" t="str">
        <f aca="false">IF(OR($AT485="",$O485=""),"",MAX(0,$AT485-$O485))</f>
        <v/>
      </c>
      <c r="AA485" s="39" t="str">
        <f aca="false">IF($F485="","",IF(AND($S485&lt;&gt;"",$L485&lt;&gt;"",$S485&lt;&gt;$L485),1,0))</f>
        <v/>
      </c>
      <c r="AB485" s="39" t="str">
        <f aca="false">IF($F485="","",IF($R485="Cancelada",0,IF(OR($AT485&lt;&gt;"",$R485="Concluída"),1,0)))</f>
        <v/>
      </c>
      <c r="AC485" s="39" t="n">
        <f aca="false">IF($P485="",0,IF($P485&lt;Hoje!$L$1,1,IF(AND($P485=Hoje!$L$1,Hoje!$L$2&gt;Semana!$M$3),1,0)))</f>
        <v>0</v>
      </c>
      <c r="AD485" s="39" t="str">
        <f aca="false">IF($F485="","",IF(COUNTA($I485:$K485)=0,0,1/COUNTA($I485:$K485)))</f>
        <v/>
      </c>
      <c r="AE485" s="39" t="str">
        <f aca="false">IF($AH485=0,"",SUM($AH$4:$AH485))</f>
        <v/>
      </c>
      <c r="AF485" s="39" t="str">
        <f aca="false">IF($AI485=0,"",SUM($AI$4:$AI485))</f>
        <v/>
      </c>
      <c r="AG485" s="50" t="str">
        <f aca="false">IF($F485="","",$I485&amp;IF($J485="",""," · "&amp;$J485)&amp;IF($K485="",""," · "&amp;$K485))</f>
        <v/>
      </c>
      <c r="AH485" s="39" t="n">
        <f aca="false">IF(AND($F485&lt;&gt;"",$O485&lt;&gt;"",$O485&lt;=Hoje!$C$3,$P485&gt;=Hoje!$C$3,$R485&lt;&gt;"Cancelada"),1,0)</f>
        <v>0</v>
      </c>
      <c r="AI485" s="39" t="n">
        <f aca="false">IF(AND($F485&lt;&gt;"",$P485&lt;&gt;"",$P485&lt;Hoje!$C$3,$AB485=0,$R485&lt;&gt;"Cancelada"),1,0)</f>
        <v>0</v>
      </c>
      <c r="AJ485" s="50" t="str">
        <f aca="false">IF($F485="","",$D485&amp;"|"&amp;$E485&amp;"|"&amp;$L485)</f>
        <v/>
      </c>
      <c r="AK485" s="39" t="str">
        <f aca="false">IF($AJ485="","",COUNTIF($AJ$4:$AJ485,$AJ485))</f>
        <v/>
      </c>
      <c r="AL485" s="39" t="str">
        <f aca="false">IF($AJ485="","",COUNTIF($AJ$4:$AJ$1004,$AJ485))</f>
        <v/>
      </c>
      <c r="AM485" s="42"/>
      <c r="AN485" s="50" t="str">
        <f aca="false">IF($D485="","",IFERROR(T(VLOOKUP($D485,Listas!$B$5:$H$120,7,0)),""))</f>
        <v/>
      </c>
      <c r="AO485" s="50" t="str">
        <f aca="false">IF(OR($F485="",$L485&lt;&gt;"",$R485="Cancelada",$AT485&lt;&gt;""),"",$AN485&amp;"|"&amp;$D485&amp;"|"&amp;IF($C485="","zzz",$C485)&amp;"|"&amp;TEXT(485,"0000"))</f>
        <v/>
      </c>
      <c r="AP485" s="50" t="str">
        <f aca="false">IF($AO485="","",COUNTIF($AO$5:$AO$1004,"&lt;"&amp;$AO485)-(ROWS($AO$5:$AO$1004)-Hoje!$L$5)+1)</f>
        <v/>
      </c>
      <c r="AQ485" s="50" t="n">
        <f aca="false">IF(AND($F485&lt;&gt;"",$D485=Frota!$C$3),1,0)</f>
        <v>0</v>
      </c>
      <c r="AR485" s="50" t="str">
        <f aca="false">IF($AQ485=0,"",SUM($AQ$4:$AQ485))</f>
        <v/>
      </c>
      <c r="AS485" s="50" t="str">
        <f aca="false">IFERROR(INDEX(Hoje!$K$10:$K$29,MATCH(ROW(),Hoje!$J$10:$J$29,0)),"")</f>
        <v/>
      </c>
      <c r="AT485" s="50" t="str">
        <f aca="false">IF($Q485&lt;&gt;"",$Q485,$AS485)</f>
        <v/>
      </c>
    </row>
    <row r="486" customFormat="false" ht="16.5" hidden="false" customHeight="true" outlineLevel="0" collapsed="false">
      <c r="A486" s="39" t="str">
        <f aca="false">IF($F486="","",ROW())</f>
        <v/>
      </c>
      <c r="B486" s="40" t="str">
        <f aca="false">IF($F486="",IF($D486="","","Falta a atividade"),IF($R486="Cancelada","Cancelada",IF($AB486=1,IF(N($Z486)&gt;0,"Concluída com atraso","Concluída"),IF($R486="Em programação","Em programação",IF($O486="",IF($M486="","Na carteira","Falta a semana"),IF($AC486=1,"VENCIDA",IF($O486&gt;Hoje!$L$1,"Programada",IF($P486&gt;Hoje!$L$1,"Em execução","Fecha hoje"))))))))</f>
        <v/>
      </c>
      <c r="C486" s="41"/>
      <c r="D486" s="42"/>
      <c r="E486" s="42"/>
      <c r="F486" s="42"/>
      <c r="G486" s="43"/>
      <c r="H486" s="43"/>
      <c r="I486" s="44"/>
      <c r="J486" s="44"/>
      <c r="K486" s="44"/>
      <c r="L486" s="45"/>
      <c r="M486" s="46"/>
      <c r="N486" s="45"/>
      <c r="O486" s="47" t="str">
        <f aca="false">IF(OR($L486="",$M486=""),"",(DATE(Semana!$J$3,1,4)-WEEKDAY(DATE(Semana!$J$3,1,4),3))+($L486-1)*7+MATCH($M486,Listas!$F$5:$F$11,0)-1)</f>
        <v/>
      </c>
      <c r="P486" s="47" t="str">
        <f aca="false">IF(OR($F486="",$O486=""),"",$O486+MAX(0,ROUNDUP($AK486*MAX(1,IF($N486="",1,$N486))/MAX(1,$AL486),0)-1))</f>
        <v/>
      </c>
      <c r="Q486" s="48"/>
      <c r="R486" s="43"/>
      <c r="S486" s="49"/>
      <c r="T486" s="42"/>
      <c r="U486" s="42"/>
      <c r="V486" s="39" t="str">
        <f aca="false">IF($F486="","",IF(ISNUMBER(SEARCH("(externo)",$I486&amp;$J486&amp;$K486)),"Terceirizada","Interna"))</f>
        <v/>
      </c>
      <c r="W486" s="47" t="str">
        <f aca="false">IF($O486="","",IF($S486="",$O486,(DATE(Semana!$J$3,1,4)-WEEKDAY(DATE(Semana!$J$3,1,4),3))+($S486-1)*7+IF($M486="",0,MATCH($M486,Listas!$F$5:$F$11,0)-1)))</f>
        <v/>
      </c>
      <c r="X486" s="39" t="str">
        <f aca="false">IF($F486="","",IF(OR($AT486="",$O486=""),0,IF($AT486&lt;=$O486,1,0)))</f>
        <v/>
      </c>
      <c r="Y486" s="39" t="str">
        <f aca="false">IF($F486="","",IF(OR($AT486="",$W486=""),0,IF($AT486&lt;=$W486,1,0)))</f>
        <v/>
      </c>
      <c r="Z486" s="39" t="str">
        <f aca="false">IF(OR($AT486="",$O486=""),"",MAX(0,$AT486-$O486))</f>
        <v/>
      </c>
      <c r="AA486" s="39" t="str">
        <f aca="false">IF($F486="","",IF(AND($S486&lt;&gt;"",$L486&lt;&gt;"",$S486&lt;&gt;$L486),1,0))</f>
        <v/>
      </c>
      <c r="AB486" s="39" t="str">
        <f aca="false">IF($F486="","",IF($R486="Cancelada",0,IF(OR($AT486&lt;&gt;"",$R486="Concluída"),1,0)))</f>
        <v/>
      </c>
      <c r="AC486" s="39" t="n">
        <f aca="false">IF($P486="",0,IF($P486&lt;Hoje!$L$1,1,IF(AND($P486=Hoje!$L$1,Hoje!$L$2&gt;Semana!$M$3),1,0)))</f>
        <v>0</v>
      </c>
      <c r="AD486" s="39" t="str">
        <f aca="false">IF($F486="","",IF(COUNTA($I486:$K486)=0,0,1/COUNTA($I486:$K486)))</f>
        <v/>
      </c>
      <c r="AE486" s="39" t="str">
        <f aca="false">IF($AH486=0,"",SUM($AH$4:$AH486))</f>
        <v/>
      </c>
      <c r="AF486" s="39" t="str">
        <f aca="false">IF($AI486=0,"",SUM($AI$4:$AI486))</f>
        <v/>
      </c>
      <c r="AG486" s="50" t="str">
        <f aca="false">IF($F486="","",$I486&amp;IF($J486="",""," · "&amp;$J486)&amp;IF($K486="",""," · "&amp;$K486))</f>
        <v/>
      </c>
      <c r="AH486" s="39" t="n">
        <f aca="false">IF(AND($F486&lt;&gt;"",$O486&lt;&gt;"",$O486&lt;=Hoje!$C$3,$P486&gt;=Hoje!$C$3,$R486&lt;&gt;"Cancelada"),1,0)</f>
        <v>0</v>
      </c>
      <c r="AI486" s="39" t="n">
        <f aca="false">IF(AND($F486&lt;&gt;"",$P486&lt;&gt;"",$P486&lt;Hoje!$C$3,$AB486=0,$R486&lt;&gt;"Cancelada"),1,0)</f>
        <v>0</v>
      </c>
      <c r="AJ486" s="50" t="str">
        <f aca="false">IF($F486="","",$D486&amp;"|"&amp;$E486&amp;"|"&amp;$L486)</f>
        <v/>
      </c>
      <c r="AK486" s="39" t="str">
        <f aca="false">IF($AJ486="","",COUNTIF($AJ$4:$AJ486,$AJ486))</f>
        <v/>
      </c>
      <c r="AL486" s="39" t="str">
        <f aca="false">IF($AJ486="","",COUNTIF($AJ$4:$AJ$1004,$AJ486))</f>
        <v/>
      </c>
      <c r="AM486" s="42"/>
      <c r="AN486" s="50" t="str">
        <f aca="false">IF($D486="","",IFERROR(T(VLOOKUP($D486,Listas!$B$5:$H$120,7,0)),""))</f>
        <v/>
      </c>
      <c r="AO486" s="50" t="str">
        <f aca="false">IF(OR($F486="",$L486&lt;&gt;"",$R486="Cancelada",$AT486&lt;&gt;""),"",$AN486&amp;"|"&amp;$D486&amp;"|"&amp;IF($C486="","zzz",$C486)&amp;"|"&amp;TEXT(486,"0000"))</f>
        <v/>
      </c>
      <c r="AP486" s="50" t="str">
        <f aca="false">IF($AO486="","",COUNTIF($AO$5:$AO$1004,"&lt;"&amp;$AO486)-(ROWS($AO$5:$AO$1004)-Hoje!$L$5)+1)</f>
        <v/>
      </c>
      <c r="AQ486" s="50" t="n">
        <f aca="false">IF(AND($F486&lt;&gt;"",$D486=Frota!$C$3),1,0)</f>
        <v>0</v>
      </c>
      <c r="AR486" s="50" t="str">
        <f aca="false">IF($AQ486=0,"",SUM($AQ$4:$AQ486))</f>
        <v/>
      </c>
      <c r="AS486" s="50" t="str">
        <f aca="false">IFERROR(INDEX(Hoje!$K$10:$K$29,MATCH(ROW(),Hoje!$J$10:$J$29,0)),"")</f>
        <v/>
      </c>
      <c r="AT486" s="50" t="str">
        <f aca="false">IF($Q486&lt;&gt;"",$Q486,$AS486)</f>
        <v/>
      </c>
    </row>
    <row r="487" customFormat="false" ht="16.5" hidden="false" customHeight="true" outlineLevel="0" collapsed="false">
      <c r="A487" s="39" t="str">
        <f aca="false">IF($F487="","",ROW())</f>
        <v/>
      </c>
      <c r="B487" s="40" t="str">
        <f aca="false">IF($F487="",IF($D487="","","Falta a atividade"),IF($R487="Cancelada","Cancelada",IF($AB487=1,IF(N($Z487)&gt;0,"Concluída com atraso","Concluída"),IF($R487="Em programação","Em programação",IF($O487="",IF($M487="","Na carteira","Falta a semana"),IF($AC487=1,"VENCIDA",IF($O487&gt;Hoje!$L$1,"Programada",IF($P487&gt;Hoje!$L$1,"Em execução","Fecha hoje"))))))))</f>
        <v/>
      </c>
      <c r="C487" s="41"/>
      <c r="D487" s="42"/>
      <c r="E487" s="42"/>
      <c r="F487" s="42"/>
      <c r="G487" s="43"/>
      <c r="H487" s="43"/>
      <c r="I487" s="44"/>
      <c r="J487" s="44"/>
      <c r="K487" s="44"/>
      <c r="L487" s="45"/>
      <c r="M487" s="46"/>
      <c r="N487" s="45"/>
      <c r="O487" s="47" t="str">
        <f aca="false">IF(OR($L487="",$M487=""),"",(DATE(Semana!$J$3,1,4)-WEEKDAY(DATE(Semana!$J$3,1,4),3))+($L487-1)*7+MATCH($M487,Listas!$F$5:$F$11,0)-1)</f>
        <v/>
      </c>
      <c r="P487" s="47" t="str">
        <f aca="false">IF(OR($F487="",$O487=""),"",$O487+MAX(0,ROUNDUP($AK487*MAX(1,IF($N487="",1,$N487))/MAX(1,$AL487),0)-1))</f>
        <v/>
      </c>
      <c r="Q487" s="48"/>
      <c r="R487" s="43"/>
      <c r="S487" s="49"/>
      <c r="T487" s="42"/>
      <c r="U487" s="42"/>
      <c r="V487" s="39" t="str">
        <f aca="false">IF($F487="","",IF(ISNUMBER(SEARCH("(externo)",$I487&amp;$J487&amp;$K487)),"Terceirizada","Interna"))</f>
        <v/>
      </c>
      <c r="W487" s="47" t="str">
        <f aca="false">IF($O487="","",IF($S487="",$O487,(DATE(Semana!$J$3,1,4)-WEEKDAY(DATE(Semana!$J$3,1,4),3))+($S487-1)*7+IF($M487="",0,MATCH($M487,Listas!$F$5:$F$11,0)-1)))</f>
        <v/>
      </c>
      <c r="X487" s="39" t="str">
        <f aca="false">IF($F487="","",IF(OR($AT487="",$O487=""),0,IF($AT487&lt;=$O487,1,0)))</f>
        <v/>
      </c>
      <c r="Y487" s="39" t="str">
        <f aca="false">IF($F487="","",IF(OR($AT487="",$W487=""),0,IF($AT487&lt;=$W487,1,0)))</f>
        <v/>
      </c>
      <c r="Z487" s="39" t="str">
        <f aca="false">IF(OR($AT487="",$O487=""),"",MAX(0,$AT487-$O487))</f>
        <v/>
      </c>
      <c r="AA487" s="39" t="str">
        <f aca="false">IF($F487="","",IF(AND($S487&lt;&gt;"",$L487&lt;&gt;"",$S487&lt;&gt;$L487),1,0))</f>
        <v/>
      </c>
      <c r="AB487" s="39" t="str">
        <f aca="false">IF($F487="","",IF($R487="Cancelada",0,IF(OR($AT487&lt;&gt;"",$R487="Concluída"),1,0)))</f>
        <v/>
      </c>
      <c r="AC487" s="39" t="n">
        <f aca="false">IF($P487="",0,IF($P487&lt;Hoje!$L$1,1,IF(AND($P487=Hoje!$L$1,Hoje!$L$2&gt;Semana!$M$3),1,0)))</f>
        <v>0</v>
      </c>
      <c r="AD487" s="39" t="str">
        <f aca="false">IF($F487="","",IF(COUNTA($I487:$K487)=0,0,1/COUNTA($I487:$K487)))</f>
        <v/>
      </c>
      <c r="AE487" s="39" t="str">
        <f aca="false">IF($AH487=0,"",SUM($AH$4:$AH487))</f>
        <v/>
      </c>
      <c r="AF487" s="39" t="str">
        <f aca="false">IF($AI487=0,"",SUM($AI$4:$AI487))</f>
        <v/>
      </c>
      <c r="AG487" s="50" t="str">
        <f aca="false">IF($F487="","",$I487&amp;IF($J487="",""," · "&amp;$J487)&amp;IF($K487="",""," · "&amp;$K487))</f>
        <v/>
      </c>
      <c r="AH487" s="39" t="n">
        <f aca="false">IF(AND($F487&lt;&gt;"",$O487&lt;&gt;"",$O487&lt;=Hoje!$C$3,$P487&gt;=Hoje!$C$3,$R487&lt;&gt;"Cancelada"),1,0)</f>
        <v>0</v>
      </c>
      <c r="AI487" s="39" t="n">
        <f aca="false">IF(AND($F487&lt;&gt;"",$P487&lt;&gt;"",$P487&lt;Hoje!$C$3,$AB487=0,$R487&lt;&gt;"Cancelada"),1,0)</f>
        <v>0</v>
      </c>
      <c r="AJ487" s="50" t="str">
        <f aca="false">IF($F487="","",$D487&amp;"|"&amp;$E487&amp;"|"&amp;$L487)</f>
        <v/>
      </c>
      <c r="AK487" s="39" t="str">
        <f aca="false">IF($AJ487="","",COUNTIF($AJ$4:$AJ487,$AJ487))</f>
        <v/>
      </c>
      <c r="AL487" s="39" t="str">
        <f aca="false">IF($AJ487="","",COUNTIF($AJ$4:$AJ$1004,$AJ487))</f>
        <v/>
      </c>
      <c r="AM487" s="42"/>
      <c r="AN487" s="50" t="str">
        <f aca="false">IF($D487="","",IFERROR(T(VLOOKUP($D487,Listas!$B$5:$H$120,7,0)),""))</f>
        <v/>
      </c>
      <c r="AO487" s="50" t="str">
        <f aca="false">IF(OR($F487="",$L487&lt;&gt;"",$R487="Cancelada",$AT487&lt;&gt;""),"",$AN487&amp;"|"&amp;$D487&amp;"|"&amp;IF($C487="","zzz",$C487)&amp;"|"&amp;TEXT(487,"0000"))</f>
        <v/>
      </c>
      <c r="AP487" s="50" t="str">
        <f aca="false">IF($AO487="","",COUNTIF($AO$5:$AO$1004,"&lt;"&amp;$AO487)-(ROWS($AO$5:$AO$1004)-Hoje!$L$5)+1)</f>
        <v/>
      </c>
      <c r="AQ487" s="50" t="n">
        <f aca="false">IF(AND($F487&lt;&gt;"",$D487=Frota!$C$3),1,0)</f>
        <v>0</v>
      </c>
      <c r="AR487" s="50" t="str">
        <f aca="false">IF($AQ487=0,"",SUM($AQ$4:$AQ487))</f>
        <v/>
      </c>
      <c r="AS487" s="50" t="str">
        <f aca="false">IFERROR(INDEX(Hoje!$K$10:$K$29,MATCH(ROW(),Hoje!$J$10:$J$29,0)),"")</f>
        <v/>
      </c>
      <c r="AT487" s="50" t="str">
        <f aca="false">IF($Q487&lt;&gt;"",$Q487,$AS487)</f>
        <v/>
      </c>
    </row>
    <row r="488" customFormat="false" ht="16.5" hidden="false" customHeight="true" outlineLevel="0" collapsed="false">
      <c r="A488" s="39" t="str">
        <f aca="false">IF($F488="","",ROW())</f>
        <v/>
      </c>
      <c r="B488" s="40" t="str">
        <f aca="false">IF($F488="",IF($D488="","","Falta a atividade"),IF($R488="Cancelada","Cancelada",IF($AB488=1,IF(N($Z488)&gt;0,"Concluída com atraso","Concluída"),IF($R488="Em programação","Em programação",IF($O488="",IF($M488="","Na carteira","Falta a semana"),IF($AC488=1,"VENCIDA",IF($O488&gt;Hoje!$L$1,"Programada",IF($P488&gt;Hoje!$L$1,"Em execução","Fecha hoje"))))))))</f>
        <v/>
      </c>
      <c r="C488" s="41"/>
      <c r="D488" s="42"/>
      <c r="E488" s="42"/>
      <c r="F488" s="42"/>
      <c r="G488" s="43"/>
      <c r="H488" s="43"/>
      <c r="I488" s="44"/>
      <c r="J488" s="44"/>
      <c r="K488" s="44"/>
      <c r="L488" s="45"/>
      <c r="M488" s="46"/>
      <c r="N488" s="45"/>
      <c r="O488" s="47" t="str">
        <f aca="false">IF(OR($L488="",$M488=""),"",(DATE(Semana!$J$3,1,4)-WEEKDAY(DATE(Semana!$J$3,1,4),3))+($L488-1)*7+MATCH($M488,Listas!$F$5:$F$11,0)-1)</f>
        <v/>
      </c>
      <c r="P488" s="47" t="str">
        <f aca="false">IF(OR($F488="",$O488=""),"",$O488+MAX(0,ROUNDUP($AK488*MAX(1,IF($N488="",1,$N488))/MAX(1,$AL488),0)-1))</f>
        <v/>
      </c>
      <c r="Q488" s="48"/>
      <c r="R488" s="43"/>
      <c r="S488" s="49"/>
      <c r="T488" s="42"/>
      <c r="U488" s="42"/>
      <c r="V488" s="39" t="str">
        <f aca="false">IF($F488="","",IF(ISNUMBER(SEARCH("(externo)",$I488&amp;$J488&amp;$K488)),"Terceirizada","Interna"))</f>
        <v/>
      </c>
      <c r="W488" s="47" t="str">
        <f aca="false">IF($O488="","",IF($S488="",$O488,(DATE(Semana!$J$3,1,4)-WEEKDAY(DATE(Semana!$J$3,1,4),3))+($S488-1)*7+IF($M488="",0,MATCH($M488,Listas!$F$5:$F$11,0)-1)))</f>
        <v/>
      </c>
      <c r="X488" s="39" t="str">
        <f aca="false">IF($F488="","",IF(OR($AT488="",$O488=""),0,IF($AT488&lt;=$O488,1,0)))</f>
        <v/>
      </c>
      <c r="Y488" s="39" t="str">
        <f aca="false">IF($F488="","",IF(OR($AT488="",$W488=""),0,IF($AT488&lt;=$W488,1,0)))</f>
        <v/>
      </c>
      <c r="Z488" s="39" t="str">
        <f aca="false">IF(OR($AT488="",$O488=""),"",MAX(0,$AT488-$O488))</f>
        <v/>
      </c>
      <c r="AA488" s="39" t="str">
        <f aca="false">IF($F488="","",IF(AND($S488&lt;&gt;"",$L488&lt;&gt;"",$S488&lt;&gt;$L488),1,0))</f>
        <v/>
      </c>
      <c r="AB488" s="39" t="str">
        <f aca="false">IF($F488="","",IF($R488="Cancelada",0,IF(OR($AT488&lt;&gt;"",$R488="Concluída"),1,0)))</f>
        <v/>
      </c>
      <c r="AC488" s="39" t="n">
        <f aca="false">IF($P488="",0,IF($P488&lt;Hoje!$L$1,1,IF(AND($P488=Hoje!$L$1,Hoje!$L$2&gt;Semana!$M$3),1,0)))</f>
        <v>0</v>
      </c>
      <c r="AD488" s="39" t="str">
        <f aca="false">IF($F488="","",IF(COUNTA($I488:$K488)=0,0,1/COUNTA($I488:$K488)))</f>
        <v/>
      </c>
      <c r="AE488" s="39" t="str">
        <f aca="false">IF($AH488=0,"",SUM($AH$4:$AH488))</f>
        <v/>
      </c>
      <c r="AF488" s="39" t="str">
        <f aca="false">IF($AI488=0,"",SUM($AI$4:$AI488))</f>
        <v/>
      </c>
      <c r="AG488" s="50" t="str">
        <f aca="false">IF($F488="","",$I488&amp;IF($J488="",""," · "&amp;$J488)&amp;IF($K488="",""," · "&amp;$K488))</f>
        <v/>
      </c>
      <c r="AH488" s="39" t="n">
        <f aca="false">IF(AND($F488&lt;&gt;"",$O488&lt;&gt;"",$O488&lt;=Hoje!$C$3,$P488&gt;=Hoje!$C$3,$R488&lt;&gt;"Cancelada"),1,0)</f>
        <v>0</v>
      </c>
      <c r="AI488" s="39" t="n">
        <f aca="false">IF(AND($F488&lt;&gt;"",$P488&lt;&gt;"",$P488&lt;Hoje!$C$3,$AB488=0,$R488&lt;&gt;"Cancelada"),1,0)</f>
        <v>0</v>
      </c>
      <c r="AJ488" s="50" t="str">
        <f aca="false">IF($F488="","",$D488&amp;"|"&amp;$E488&amp;"|"&amp;$L488)</f>
        <v/>
      </c>
      <c r="AK488" s="39" t="str">
        <f aca="false">IF($AJ488="","",COUNTIF($AJ$4:$AJ488,$AJ488))</f>
        <v/>
      </c>
      <c r="AL488" s="39" t="str">
        <f aca="false">IF($AJ488="","",COUNTIF($AJ$4:$AJ$1004,$AJ488))</f>
        <v/>
      </c>
      <c r="AM488" s="42"/>
      <c r="AN488" s="50" t="str">
        <f aca="false">IF($D488="","",IFERROR(T(VLOOKUP($D488,Listas!$B$5:$H$120,7,0)),""))</f>
        <v/>
      </c>
      <c r="AO488" s="50" t="str">
        <f aca="false">IF(OR($F488="",$L488&lt;&gt;"",$R488="Cancelada",$AT488&lt;&gt;""),"",$AN488&amp;"|"&amp;$D488&amp;"|"&amp;IF($C488="","zzz",$C488)&amp;"|"&amp;TEXT(488,"0000"))</f>
        <v/>
      </c>
      <c r="AP488" s="50" t="str">
        <f aca="false">IF($AO488="","",COUNTIF($AO$5:$AO$1004,"&lt;"&amp;$AO488)-(ROWS($AO$5:$AO$1004)-Hoje!$L$5)+1)</f>
        <v/>
      </c>
      <c r="AQ488" s="50" t="n">
        <f aca="false">IF(AND($F488&lt;&gt;"",$D488=Frota!$C$3),1,0)</f>
        <v>0</v>
      </c>
      <c r="AR488" s="50" t="str">
        <f aca="false">IF($AQ488=0,"",SUM($AQ$4:$AQ488))</f>
        <v/>
      </c>
      <c r="AS488" s="50" t="str">
        <f aca="false">IFERROR(INDEX(Hoje!$K$10:$K$29,MATCH(ROW(),Hoje!$J$10:$J$29,0)),"")</f>
        <v/>
      </c>
      <c r="AT488" s="50" t="str">
        <f aca="false">IF($Q488&lt;&gt;"",$Q488,$AS488)</f>
        <v/>
      </c>
    </row>
    <row r="489" customFormat="false" ht="16.5" hidden="false" customHeight="true" outlineLevel="0" collapsed="false">
      <c r="A489" s="39" t="str">
        <f aca="false">IF($F489="","",ROW())</f>
        <v/>
      </c>
      <c r="B489" s="40" t="str">
        <f aca="false">IF($F489="",IF($D489="","","Falta a atividade"),IF($R489="Cancelada","Cancelada",IF($AB489=1,IF(N($Z489)&gt;0,"Concluída com atraso","Concluída"),IF($R489="Em programação","Em programação",IF($O489="",IF($M489="","Na carteira","Falta a semana"),IF($AC489=1,"VENCIDA",IF($O489&gt;Hoje!$L$1,"Programada",IF($P489&gt;Hoje!$L$1,"Em execução","Fecha hoje"))))))))</f>
        <v/>
      </c>
      <c r="C489" s="41"/>
      <c r="D489" s="42"/>
      <c r="E489" s="42"/>
      <c r="F489" s="42"/>
      <c r="G489" s="43"/>
      <c r="H489" s="43"/>
      <c r="I489" s="44"/>
      <c r="J489" s="44"/>
      <c r="K489" s="44"/>
      <c r="L489" s="45"/>
      <c r="M489" s="46"/>
      <c r="N489" s="45"/>
      <c r="O489" s="47" t="str">
        <f aca="false">IF(OR($L489="",$M489=""),"",(DATE(Semana!$J$3,1,4)-WEEKDAY(DATE(Semana!$J$3,1,4),3))+($L489-1)*7+MATCH($M489,Listas!$F$5:$F$11,0)-1)</f>
        <v/>
      </c>
      <c r="P489" s="47" t="str">
        <f aca="false">IF(OR($F489="",$O489=""),"",$O489+MAX(0,ROUNDUP($AK489*MAX(1,IF($N489="",1,$N489))/MAX(1,$AL489),0)-1))</f>
        <v/>
      </c>
      <c r="Q489" s="48"/>
      <c r="R489" s="43"/>
      <c r="S489" s="49"/>
      <c r="T489" s="42"/>
      <c r="U489" s="42"/>
      <c r="V489" s="39" t="str">
        <f aca="false">IF($F489="","",IF(ISNUMBER(SEARCH("(externo)",$I489&amp;$J489&amp;$K489)),"Terceirizada","Interna"))</f>
        <v/>
      </c>
      <c r="W489" s="47" t="str">
        <f aca="false">IF($O489="","",IF($S489="",$O489,(DATE(Semana!$J$3,1,4)-WEEKDAY(DATE(Semana!$J$3,1,4),3))+($S489-1)*7+IF($M489="",0,MATCH($M489,Listas!$F$5:$F$11,0)-1)))</f>
        <v/>
      </c>
      <c r="X489" s="39" t="str">
        <f aca="false">IF($F489="","",IF(OR($AT489="",$O489=""),0,IF($AT489&lt;=$O489,1,0)))</f>
        <v/>
      </c>
      <c r="Y489" s="39" t="str">
        <f aca="false">IF($F489="","",IF(OR($AT489="",$W489=""),0,IF($AT489&lt;=$W489,1,0)))</f>
        <v/>
      </c>
      <c r="Z489" s="39" t="str">
        <f aca="false">IF(OR($AT489="",$O489=""),"",MAX(0,$AT489-$O489))</f>
        <v/>
      </c>
      <c r="AA489" s="39" t="str">
        <f aca="false">IF($F489="","",IF(AND($S489&lt;&gt;"",$L489&lt;&gt;"",$S489&lt;&gt;$L489),1,0))</f>
        <v/>
      </c>
      <c r="AB489" s="39" t="str">
        <f aca="false">IF($F489="","",IF($R489="Cancelada",0,IF(OR($AT489&lt;&gt;"",$R489="Concluída"),1,0)))</f>
        <v/>
      </c>
      <c r="AC489" s="39" t="n">
        <f aca="false">IF($P489="",0,IF($P489&lt;Hoje!$L$1,1,IF(AND($P489=Hoje!$L$1,Hoje!$L$2&gt;Semana!$M$3),1,0)))</f>
        <v>0</v>
      </c>
      <c r="AD489" s="39" t="str">
        <f aca="false">IF($F489="","",IF(COUNTA($I489:$K489)=0,0,1/COUNTA($I489:$K489)))</f>
        <v/>
      </c>
      <c r="AE489" s="39" t="str">
        <f aca="false">IF($AH489=0,"",SUM($AH$4:$AH489))</f>
        <v/>
      </c>
      <c r="AF489" s="39" t="str">
        <f aca="false">IF($AI489=0,"",SUM($AI$4:$AI489))</f>
        <v/>
      </c>
      <c r="AG489" s="50" t="str">
        <f aca="false">IF($F489="","",$I489&amp;IF($J489="",""," · "&amp;$J489)&amp;IF($K489="",""," · "&amp;$K489))</f>
        <v/>
      </c>
      <c r="AH489" s="39" t="n">
        <f aca="false">IF(AND($F489&lt;&gt;"",$O489&lt;&gt;"",$O489&lt;=Hoje!$C$3,$P489&gt;=Hoje!$C$3,$R489&lt;&gt;"Cancelada"),1,0)</f>
        <v>0</v>
      </c>
      <c r="AI489" s="39" t="n">
        <f aca="false">IF(AND($F489&lt;&gt;"",$P489&lt;&gt;"",$P489&lt;Hoje!$C$3,$AB489=0,$R489&lt;&gt;"Cancelada"),1,0)</f>
        <v>0</v>
      </c>
      <c r="AJ489" s="50" t="str">
        <f aca="false">IF($F489="","",$D489&amp;"|"&amp;$E489&amp;"|"&amp;$L489)</f>
        <v/>
      </c>
      <c r="AK489" s="39" t="str">
        <f aca="false">IF($AJ489="","",COUNTIF($AJ$4:$AJ489,$AJ489))</f>
        <v/>
      </c>
      <c r="AL489" s="39" t="str">
        <f aca="false">IF($AJ489="","",COUNTIF($AJ$4:$AJ$1004,$AJ489))</f>
        <v/>
      </c>
      <c r="AM489" s="42"/>
      <c r="AN489" s="50" t="str">
        <f aca="false">IF($D489="","",IFERROR(T(VLOOKUP($D489,Listas!$B$5:$H$120,7,0)),""))</f>
        <v/>
      </c>
      <c r="AO489" s="50" t="str">
        <f aca="false">IF(OR($F489="",$L489&lt;&gt;"",$R489="Cancelada",$AT489&lt;&gt;""),"",$AN489&amp;"|"&amp;$D489&amp;"|"&amp;IF($C489="","zzz",$C489)&amp;"|"&amp;TEXT(489,"0000"))</f>
        <v/>
      </c>
      <c r="AP489" s="50" t="str">
        <f aca="false">IF($AO489="","",COUNTIF($AO$5:$AO$1004,"&lt;"&amp;$AO489)-(ROWS($AO$5:$AO$1004)-Hoje!$L$5)+1)</f>
        <v/>
      </c>
      <c r="AQ489" s="50" t="n">
        <f aca="false">IF(AND($F489&lt;&gt;"",$D489=Frota!$C$3),1,0)</f>
        <v>0</v>
      </c>
      <c r="AR489" s="50" t="str">
        <f aca="false">IF($AQ489=0,"",SUM($AQ$4:$AQ489))</f>
        <v/>
      </c>
      <c r="AS489" s="50" t="str">
        <f aca="false">IFERROR(INDEX(Hoje!$K$10:$K$29,MATCH(ROW(),Hoje!$J$10:$J$29,0)),"")</f>
        <v/>
      </c>
      <c r="AT489" s="50" t="str">
        <f aca="false">IF($Q489&lt;&gt;"",$Q489,$AS489)</f>
        <v/>
      </c>
    </row>
    <row r="490" customFormat="false" ht="16.5" hidden="false" customHeight="true" outlineLevel="0" collapsed="false">
      <c r="A490" s="39" t="str">
        <f aca="false">IF($F490="","",ROW())</f>
        <v/>
      </c>
      <c r="B490" s="40" t="str">
        <f aca="false">IF($F490="",IF($D490="","","Falta a atividade"),IF($R490="Cancelada","Cancelada",IF($AB490=1,IF(N($Z490)&gt;0,"Concluída com atraso","Concluída"),IF($R490="Em programação","Em programação",IF($O490="",IF($M490="","Na carteira","Falta a semana"),IF($AC490=1,"VENCIDA",IF($O490&gt;Hoje!$L$1,"Programada",IF($P490&gt;Hoje!$L$1,"Em execução","Fecha hoje"))))))))</f>
        <v/>
      </c>
      <c r="C490" s="41"/>
      <c r="D490" s="42"/>
      <c r="E490" s="42"/>
      <c r="F490" s="42"/>
      <c r="G490" s="43"/>
      <c r="H490" s="43"/>
      <c r="I490" s="44"/>
      <c r="J490" s="44"/>
      <c r="K490" s="44"/>
      <c r="L490" s="45"/>
      <c r="M490" s="46"/>
      <c r="N490" s="45"/>
      <c r="O490" s="47" t="str">
        <f aca="false">IF(OR($L490="",$M490=""),"",(DATE(Semana!$J$3,1,4)-WEEKDAY(DATE(Semana!$J$3,1,4),3))+($L490-1)*7+MATCH($M490,Listas!$F$5:$F$11,0)-1)</f>
        <v/>
      </c>
      <c r="P490" s="47" t="str">
        <f aca="false">IF(OR($F490="",$O490=""),"",$O490+MAX(0,ROUNDUP($AK490*MAX(1,IF($N490="",1,$N490))/MAX(1,$AL490),0)-1))</f>
        <v/>
      </c>
      <c r="Q490" s="48"/>
      <c r="R490" s="43"/>
      <c r="S490" s="49"/>
      <c r="T490" s="42"/>
      <c r="U490" s="42"/>
      <c r="V490" s="39" t="str">
        <f aca="false">IF($F490="","",IF(ISNUMBER(SEARCH("(externo)",$I490&amp;$J490&amp;$K490)),"Terceirizada","Interna"))</f>
        <v/>
      </c>
      <c r="W490" s="47" t="str">
        <f aca="false">IF($O490="","",IF($S490="",$O490,(DATE(Semana!$J$3,1,4)-WEEKDAY(DATE(Semana!$J$3,1,4),3))+($S490-1)*7+IF($M490="",0,MATCH($M490,Listas!$F$5:$F$11,0)-1)))</f>
        <v/>
      </c>
      <c r="X490" s="39" t="str">
        <f aca="false">IF($F490="","",IF(OR($AT490="",$O490=""),0,IF($AT490&lt;=$O490,1,0)))</f>
        <v/>
      </c>
      <c r="Y490" s="39" t="str">
        <f aca="false">IF($F490="","",IF(OR($AT490="",$W490=""),0,IF($AT490&lt;=$W490,1,0)))</f>
        <v/>
      </c>
      <c r="Z490" s="39" t="str">
        <f aca="false">IF(OR($AT490="",$O490=""),"",MAX(0,$AT490-$O490))</f>
        <v/>
      </c>
      <c r="AA490" s="39" t="str">
        <f aca="false">IF($F490="","",IF(AND($S490&lt;&gt;"",$L490&lt;&gt;"",$S490&lt;&gt;$L490),1,0))</f>
        <v/>
      </c>
      <c r="AB490" s="39" t="str">
        <f aca="false">IF($F490="","",IF($R490="Cancelada",0,IF(OR($AT490&lt;&gt;"",$R490="Concluída"),1,0)))</f>
        <v/>
      </c>
      <c r="AC490" s="39" t="n">
        <f aca="false">IF($P490="",0,IF($P490&lt;Hoje!$L$1,1,IF(AND($P490=Hoje!$L$1,Hoje!$L$2&gt;Semana!$M$3),1,0)))</f>
        <v>0</v>
      </c>
      <c r="AD490" s="39" t="str">
        <f aca="false">IF($F490="","",IF(COUNTA($I490:$K490)=0,0,1/COUNTA($I490:$K490)))</f>
        <v/>
      </c>
      <c r="AE490" s="39" t="str">
        <f aca="false">IF($AH490=0,"",SUM($AH$4:$AH490))</f>
        <v/>
      </c>
      <c r="AF490" s="39" t="str">
        <f aca="false">IF($AI490=0,"",SUM($AI$4:$AI490))</f>
        <v/>
      </c>
      <c r="AG490" s="50" t="str">
        <f aca="false">IF($F490="","",$I490&amp;IF($J490="",""," · "&amp;$J490)&amp;IF($K490="",""," · "&amp;$K490))</f>
        <v/>
      </c>
      <c r="AH490" s="39" t="n">
        <f aca="false">IF(AND($F490&lt;&gt;"",$O490&lt;&gt;"",$O490&lt;=Hoje!$C$3,$P490&gt;=Hoje!$C$3,$R490&lt;&gt;"Cancelada"),1,0)</f>
        <v>0</v>
      </c>
      <c r="AI490" s="39" t="n">
        <f aca="false">IF(AND($F490&lt;&gt;"",$P490&lt;&gt;"",$P490&lt;Hoje!$C$3,$AB490=0,$R490&lt;&gt;"Cancelada"),1,0)</f>
        <v>0</v>
      </c>
      <c r="AJ490" s="50" t="str">
        <f aca="false">IF($F490="","",$D490&amp;"|"&amp;$E490&amp;"|"&amp;$L490)</f>
        <v/>
      </c>
      <c r="AK490" s="39" t="str">
        <f aca="false">IF($AJ490="","",COUNTIF($AJ$4:$AJ490,$AJ490))</f>
        <v/>
      </c>
      <c r="AL490" s="39" t="str">
        <f aca="false">IF($AJ490="","",COUNTIF($AJ$4:$AJ$1004,$AJ490))</f>
        <v/>
      </c>
      <c r="AM490" s="42"/>
      <c r="AN490" s="50" t="str">
        <f aca="false">IF($D490="","",IFERROR(T(VLOOKUP($D490,Listas!$B$5:$H$120,7,0)),""))</f>
        <v/>
      </c>
      <c r="AO490" s="50" t="str">
        <f aca="false">IF(OR($F490="",$L490&lt;&gt;"",$R490="Cancelada",$AT490&lt;&gt;""),"",$AN490&amp;"|"&amp;$D490&amp;"|"&amp;IF($C490="","zzz",$C490)&amp;"|"&amp;TEXT(490,"0000"))</f>
        <v/>
      </c>
      <c r="AP490" s="50" t="str">
        <f aca="false">IF($AO490="","",COUNTIF($AO$5:$AO$1004,"&lt;"&amp;$AO490)-(ROWS($AO$5:$AO$1004)-Hoje!$L$5)+1)</f>
        <v/>
      </c>
      <c r="AQ490" s="50" t="n">
        <f aca="false">IF(AND($F490&lt;&gt;"",$D490=Frota!$C$3),1,0)</f>
        <v>0</v>
      </c>
      <c r="AR490" s="50" t="str">
        <f aca="false">IF($AQ490=0,"",SUM($AQ$4:$AQ490))</f>
        <v/>
      </c>
      <c r="AS490" s="50" t="str">
        <f aca="false">IFERROR(INDEX(Hoje!$K$10:$K$29,MATCH(ROW(),Hoje!$J$10:$J$29,0)),"")</f>
        <v/>
      </c>
      <c r="AT490" s="50" t="str">
        <f aca="false">IF($Q490&lt;&gt;"",$Q490,$AS490)</f>
        <v/>
      </c>
    </row>
    <row r="491" customFormat="false" ht="16.5" hidden="false" customHeight="true" outlineLevel="0" collapsed="false">
      <c r="A491" s="39" t="str">
        <f aca="false">IF($F491="","",ROW())</f>
        <v/>
      </c>
      <c r="B491" s="40" t="str">
        <f aca="false">IF($F491="",IF($D491="","","Falta a atividade"),IF($R491="Cancelada","Cancelada",IF($AB491=1,IF(N($Z491)&gt;0,"Concluída com atraso","Concluída"),IF($R491="Em programação","Em programação",IF($O491="",IF($M491="","Na carteira","Falta a semana"),IF($AC491=1,"VENCIDA",IF($O491&gt;Hoje!$L$1,"Programada",IF($P491&gt;Hoje!$L$1,"Em execução","Fecha hoje"))))))))</f>
        <v/>
      </c>
      <c r="C491" s="41"/>
      <c r="D491" s="42"/>
      <c r="E491" s="42"/>
      <c r="F491" s="42"/>
      <c r="G491" s="43"/>
      <c r="H491" s="43"/>
      <c r="I491" s="44"/>
      <c r="J491" s="44"/>
      <c r="K491" s="44"/>
      <c r="L491" s="45"/>
      <c r="M491" s="46"/>
      <c r="N491" s="45"/>
      <c r="O491" s="47" t="str">
        <f aca="false">IF(OR($L491="",$M491=""),"",(DATE(Semana!$J$3,1,4)-WEEKDAY(DATE(Semana!$J$3,1,4),3))+($L491-1)*7+MATCH($M491,Listas!$F$5:$F$11,0)-1)</f>
        <v/>
      </c>
      <c r="P491" s="47" t="str">
        <f aca="false">IF(OR($F491="",$O491=""),"",$O491+MAX(0,ROUNDUP($AK491*MAX(1,IF($N491="",1,$N491))/MAX(1,$AL491),0)-1))</f>
        <v/>
      </c>
      <c r="Q491" s="48"/>
      <c r="R491" s="43"/>
      <c r="S491" s="49"/>
      <c r="T491" s="42"/>
      <c r="U491" s="42"/>
      <c r="V491" s="39" t="str">
        <f aca="false">IF($F491="","",IF(ISNUMBER(SEARCH("(externo)",$I491&amp;$J491&amp;$K491)),"Terceirizada","Interna"))</f>
        <v/>
      </c>
      <c r="W491" s="47" t="str">
        <f aca="false">IF($O491="","",IF($S491="",$O491,(DATE(Semana!$J$3,1,4)-WEEKDAY(DATE(Semana!$J$3,1,4),3))+($S491-1)*7+IF($M491="",0,MATCH($M491,Listas!$F$5:$F$11,0)-1)))</f>
        <v/>
      </c>
      <c r="X491" s="39" t="str">
        <f aca="false">IF($F491="","",IF(OR($AT491="",$O491=""),0,IF($AT491&lt;=$O491,1,0)))</f>
        <v/>
      </c>
      <c r="Y491" s="39" t="str">
        <f aca="false">IF($F491="","",IF(OR($AT491="",$W491=""),0,IF($AT491&lt;=$W491,1,0)))</f>
        <v/>
      </c>
      <c r="Z491" s="39" t="str">
        <f aca="false">IF(OR($AT491="",$O491=""),"",MAX(0,$AT491-$O491))</f>
        <v/>
      </c>
      <c r="AA491" s="39" t="str">
        <f aca="false">IF($F491="","",IF(AND($S491&lt;&gt;"",$L491&lt;&gt;"",$S491&lt;&gt;$L491),1,0))</f>
        <v/>
      </c>
      <c r="AB491" s="39" t="str">
        <f aca="false">IF($F491="","",IF($R491="Cancelada",0,IF(OR($AT491&lt;&gt;"",$R491="Concluída"),1,0)))</f>
        <v/>
      </c>
      <c r="AC491" s="39" t="n">
        <f aca="false">IF($P491="",0,IF($P491&lt;Hoje!$L$1,1,IF(AND($P491=Hoje!$L$1,Hoje!$L$2&gt;Semana!$M$3),1,0)))</f>
        <v>0</v>
      </c>
      <c r="AD491" s="39" t="str">
        <f aca="false">IF($F491="","",IF(COUNTA($I491:$K491)=0,0,1/COUNTA($I491:$K491)))</f>
        <v/>
      </c>
      <c r="AE491" s="39" t="str">
        <f aca="false">IF($AH491=0,"",SUM($AH$4:$AH491))</f>
        <v/>
      </c>
      <c r="AF491" s="39" t="str">
        <f aca="false">IF($AI491=0,"",SUM($AI$4:$AI491))</f>
        <v/>
      </c>
      <c r="AG491" s="50" t="str">
        <f aca="false">IF($F491="","",$I491&amp;IF($J491="",""," · "&amp;$J491)&amp;IF($K491="",""," · "&amp;$K491))</f>
        <v/>
      </c>
      <c r="AH491" s="39" t="n">
        <f aca="false">IF(AND($F491&lt;&gt;"",$O491&lt;&gt;"",$O491&lt;=Hoje!$C$3,$P491&gt;=Hoje!$C$3,$R491&lt;&gt;"Cancelada"),1,0)</f>
        <v>0</v>
      </c>
      <c r="AI491" s="39" t="n">
        <f aca="false">IF(AND($F491&lt;&gt;"",$P491&lt;&gt;"",$P491&lt;Hoje!$C$3,$AB491=0,$R491&lt;&gt;"Cancelada"),1,0)</f>
        <v>0</v>
      </c>
      <c r="AJ491" s="50" t="str">
        <f aca="false">IF($F491="","",$D491&amp;"|"&amp;$E491&amp;"|"&amp;$L491)</f>
        <v/>
      </c>
      <c r="AK491" s="39" t="str">
        <f aca="false">IF($AJ491="","",COUNTIF($AJ$4:$AJ491,$AJ491))</f>
        <v/>
      </c>
      <c r="AL491" s="39" t="str">
        <f aca="false">IF($AJ491="","",COUNTIF($AJ$4:$AJ$1004,$AJ491))</f>
        <v/>
      </c>
      <c r="AM491" s="42"/>
      <c r="AN491" s="50" t="str">
        <f aca="false">IF($D491="","",IFERROR(T(VLOOKUP($D491,Listas!$B$5:$H$120,7,0)),""))</f>
        <v/>
      </c>
      <c r="AO491" s="50" t="str">
        <f aca="false">IF(OR($F491="",$L491&lt;&gt;"",$R491="Cancelada",$AT491&lt;&gt;""),"",$AN491&amp;"|"&amp;$D491&amp;"|"&amp;IF($C491="","zzz",$C491)&amp;"|"&amp;TEXT(491,"0000"))</f>
        <v/>
      </c>
      <c r="AP491" s="50" t="str">
        <f aca="false">IF($AO491="","",COUNTIF($AO$5:$AO$1004,"&lt;"&amp;$AO491)-(ROWS($AO$5:$AO$1004)-Hoje!$L$5)+1)</f>
        <v/>
      </c>
      <c r="AQ491" s="50" t="n">
        <f aca="false">IF(AND($F491&lt;&gt;"",$D491=Frota!$C$3),1,0)</f>
        <v>0</v>
      </c>
      <c r="AR491" s="50" t="str">
        <f aca="false">IF($AQ491=0,"",SUM($AQ$4:$AQ491))</f>
        <v/>
      </c>
      <c r="AS491" s="50" t="str">
        <f aca="false">IFERROR(INDEX(Hoje!$K$10:$K$29,MATCH(ROW(),Hoje!$J$10:$J$29,0)),"")</f>
        <v/>
      </c>
      <c r="AT491" s="50" t="str">
        <f aca="false">IF($Q491&lt;&gt;"",$Q491,$AS491)</f>
        <v/>
      </c>
    </row>
    <row r="492" customFormat="false" ht="16.5" hidden="false" customHeight="true" outlineLevel="0" collapsed="false">
      <c r="A492" s="39" t="str">
        <f aca="false">IF($F492="","",ROW())</f>
        <v/>
      </c>
      <c r="B492" s="40" t="str">
        <f aca="false">IF($F492="",IF($D492="","","Falta a atividade"),IF($R492="Cancelada","Cancelada",IF($AB492=1,IF(N($Z492)&gt;0,"Concluída com atraso","Concluída"),IF($R492="Em programação","Em programação",IF($O492="",IF($M492="","Na carteira","Falta a semana"),IF($AC492=1,"VENCIDA",IF($O492&gt;Hoje!$L$1,"Programada",IF($P492&gt;Hoje!$L$1,"Em execução","Fecha hoje"))))))))</f>
        <v/>
      </c>
      <c r="C492" s="41"/>
      <c r="D492" s="42"/>
      <c r="E492" s="42"/>
      <c r="F492" s="42"/>
      <c r="G492" s="43"/>
      <c r="H492" s="43"/>
      <c r="I492" s="44"/>
      <c r="J492" s="44"/>
      <c r="K492" s="44"/>
      <c r="L492" s="45"/>
      <c r="M492" s="46"/>
      <c r="N492" s="45"/>
      <c r="O492" s="47" t="str">
        <f aca="false">IF(OR($L492="",$M492=""),"",(DATE(Semana!$J$3,1,4)-WEEKDAY(DATE(Semana!$J$3,1,4),3))+($L492-1)*7+MATCH($M492,Listas!$F$5:$F$11,0)-1)</f>
        <v/>
      </c>
      <c r="P492" s="47" t="str">
        <f aca="false">IF(OR($F492="",$O492=""),"",$O492+MAX(0,ROUNDUP($AK492*MAX(1,IF($N492="",1,$N492))/MAX(1,$AL492),0)-1))</f>
        <v/>
      </c>
      <c r="Q492" s="48"/>
      <c r="R492" s="43"/>
      <c r="S492" s="49"/>
      <c r="T492" s="42"/>
      <c r="U492" s="42"/>
      <c r="V492" s="39" t="str">
        <f aca="false">IF($F492="","",IF(ISNUMBER(SEARCH("(externo)",$I492&amp;$J492&amp;$K492)),"Terceirizada","Interna"))</f>
        <v/>
      </c>
      <c r="W492" s="47" t="str">
        <f aca="false">IF($O492="","",IF($S492="",$O492,(DATE(Semana!$J$3,1,4)-WEEKDAY(DATE(Semana!$J$3,1,4),3))+($S492-1)*7+IF($M492="",0,MATCH($M492,Listas!$F$5:$F$11,0)-1)))</f>
        <v/>
      </c>
      <c r="X492" s="39" t="str">
        <f aca="false">IF($F492="","",IF(OR($AT492="",$O492=""),0,IF($AT492&lt;=$O492,1,0)))</f>
        <v/>
      </c>
      <c r="Y492" s="39" t="str">
        <f aca="false">IF($F492="","",IF(OR($AT492="",$W492=""),0,IF($AT492&lt;=$W492,1,0)))</f>
        <v/>
      </c>
      <c r="Z492" s="39" t="str">
        <f aca="false">IF(OR($AT492="",$O492=""),"",MAX(0,$AT492-$O492))</f>
        <v/>
      </c>
      <c r="AA492" s="39" t="str">
        <f aca="false">IF($F492="","",IF(AND($S492&lt;&gt;"",$L492&lt;&gt;"",$S492&lt;&gt;$L492),1,0))</f>
        <v/>
      </c>
      <c r="AB492" s="39" t="str">
        <f aca="false">IF($F492="","",IF($R492="Cancelada",0,IF(OR($AT492&lt;&gt;"",$R492="Concluída"),1,0)))</f>
        <v/>
      </c>
      <c r="AC492" s="39" t="n">
        <f aca="false">IF($P492="",0,IF($P492&lt;Hoje!$L$1,1,IF(AND($P492=Hoje!$L$1,Hoje!$L$2&gt;Semana!$M$3),1,0)))</f>
        <v>0</v>
      </c>
      <c r="AD492" s="39" t="str">
        <f aca="false">IF($F492="","",IF(COUNTA($I492:$K492)=0,0,1/COUNTA($I492:$K492)))</f>
        <v/>
      </c>
      <c r="AE492" s="39" t="str">
        <f aca="false">IF($AH492=0,"",SUM($AH$4:$AH492))</f>
        <v/>
      </c>
      <c r="AF492" s="39" t="str">
        <f aca="false">IF($AI492=0,"",SUM($AI$4:$AI492))</f>
        <v/>
      </c>
      <c r="AG492" s="50" t="str">
        <f aca="false">IF($F492="","",$I492&amp;IF($J492="",""," · "&amp;$J492)&amp;IF($K492="",""," · "&amp;$K492))</f>
        <v/>
      </c>
      <c r="AH492" s="39" t="n">
        <f aca="false">IF(AND($F492&lt;&gt;"",$O492&lt;&gt;"",$O492&lt;=Hoje!$C$3,$P492&gt;=Hoje!$C$3,$R492&lt;&gt;"Cancelada"),1,0)</f>
        <v>0</v>
      </c>
      <c r="AI492" s="39" t="n">
        <f aca="false">IF(AND($F492&lt;&gt;"",$P492&lt;&gt;"",$P492&lt;Hoje!$C$3,$AB492=0,$R492&lt;&gt;"Cancelada"),1,0)</f>
        <v>0</v>
      </c>
      <c r="AJ492" s="50" t="str">
        <f aca="false">IF($F492="","",$D492&amp;"|"&amp;$E492&amp;"|"&amp;$L492)</f>
        <v/>
      </c>
      <c r="AK492" s="39" t="str">
        <f aca="false">IF($AJ492="","",COUNTIF($AJ$4:$AJ492,$AJ492))</f>
        <v/>
      </c>
      <c r="AL492" s="39" t="str">
        <f aca="false">IF($AJ492="","",COUNTIF($AJ$4:$AJ$1004,$AJ492))</f>
        <v/>
      </c>
      <c r="AM492" s="42"/>
      <c r="AN492" s="50" t="str">
        <f aca="false">IF($D492="","",IFERROR(T(VLOOKUP($D492,Listas!$B$5:$H$120,7,0)),""))</f>
        <v/>
      </c>
      <c r="AO492" s="50" t="str">
        <f aca="false">IF(OR($F492="",$L492&lt;&gt;"",$R492="Cancelada",$AT492&lt;&gt;""),"",$AN492&amp;"|"&amp;$D492&amp;"|"&amp;IF($C492="","zzz",$C492)&amp;"|"&amp;TEXT(492,"0000"))</f>
        <v/>
      </c>
      <c r="AP492" s="50" t="str">
        <f aca="false">IF($AO492="","",COUNTIF($AO$5:$AO$1004,"&lt;"&amp;$AO492)-(ROWS($AO$5:$AO$1004)-Hoje!$L$5)+1)</f>
        <v/>
      </c>
      <c r="AQ492" s="50" t="n">
        <f aca="false">IF(AND($F492&lt;&gt;"",$D492=Frota!$C$3),1,0)</f>
        <v>0</v>
      </c>
      <c r="AR492" s="50" t="str">
        <f aca="false">IF($AQ492=0,"",SUM($AQ$4:$AQ492))</f>
        <v/>
      </c>
      <c r="AS492" s="50" t="str">
        <f aca="false">IFERROR(INDEX(Hoje!$K$10:$K$29,MATCH(ROW(),Hoje!$J$10:$J$29,0)),"")</f>
        <v/>
      </c>
      <c r="AT492" s="50" t="str">
        <f aca="false">IF($Q492&lt;&gt;"",$Q492,$AS492)</f>
        <v/>
      </c>
    </row>
    <row r="493" customFormat="false" ht="16.5" hidden="false" customHeight="true" outlineLevel="0" collapsed="false">
      <c r="A493" s="39" t="str">
        <f aca="false">IF($F493="","",ROW())</f>
        <v/>
      </c>
      <c r="B493" s="40" t="str">
        <f aca="false">IF($F493="",IF($D493="","","Falta a atividade"),IF($R493="Cancelada","Cancelada",IF($AB493=1,IF(N($Z493)&gt;0,"Concluída com atraso","Concluída"),IF($R493="Em programação","Em programação",IF($O493="",IF($M493="","Na carteira","Falta a semana"),IF($AC493=1,"VENCIDA",IF($O493&gt;Hoje!$L$1,"Programada",IF($P493&gt;Hoje!$L$1,"Em execução","Fecha hoje"))))))))</f>
        <v/>
      </c>
      <c r="C493" s="41"/>
      <c r="D493" s="42"/>
      <c r="E493" s="42"/>
      <c r="F493" s="42"/>
      <c r="G493" s="43"/>
      <c r="H493" s="43"/>
      <c r="I493" s="44"/>
      <c r="J493" s="44"/>
      <c r="K493" s="44"/>
      <c r="L493" s="45"/>
      <c r="M493" s="46"/>
      <c r="N493" s="45"/>
      <c r="O493" s="47" t="str">
        <f aca="false">IF(OR($L493="",$M493=""),"",(DATE(Semana!$J$3,1,4)-WEEKDAY(DATE(Semana!$J$3,1,4),3))+($L493-1)*7+MATCH($M493,Listas!$F$5:$F$11,0)-1)</f>
        <v/>
      </c>
      <c r="P493" s="47" t="str">
        <f aca="false">IF(OR($F493="",$O493=""),"",$O493+MAX(0,ROUNDUP($AK493*MAX(1,IF($N493="",1,$N493))/MAX(1,$AL493),0)-1))</f>
        <v/>
      </c>
      <c r="Q493" s="48"/>
      <c r="R493" s="43"/>
      <c r="S493" s="49"/>
      <c r="T493" s="42"/>
      <c r="U493" s="42"/>
      <c r="V493" s="39" t="str">
        <f aca="false">IF($F493="","",IF(ISNUMBER(SEARCH("(externo)",$I493&amp;$J493&amp;$K493)),"Terceirizada","Interna"))</f>
        <v/>
      </c>
      <c r="W493" s="47" t="str">
        <f aca="false">IF($O493="","",IF($S493="",$O493,(DATE(Semana!$J$3,1,4)-WEEKDAY(DATE(Semana!$J$3,1,4),3))+($S493-1)*7+IF($M493="",0,MATCH($M493,Listas!$F$5:$F$11,0)-1)))</f>
        <v/>
      </c>
      <c r="X493" s="39" t="str">
        <f aca="false">IF($F493="","",IF(OR($AT493="",$O493=""),0,IF($AT493&lt;=$O493,1,0)))</f>
        <v/>
      </c>
      <c r="Y493" s="39" t="str">
        <f aca="false">IF($F493="","",IF(OR($AT493="",$W493=""),0,IF($AT493&lt;=$W493,1,0)))</f>
        <v/>
      </c>
      <c r="Z493" s="39" t="str">
        <f aca="false">IF(OR($AT493="",$O493=""),"",MAX(0,$AT493-$O493))</f>
        <v/>
      </c>
      <c r="AA493" s="39" t="str">
        <f aca="false">IF($F493="","",IF(AND($S493&lt;&gt;"",$L493&lt;&gt;"",$S493&lt;&gt;$L493),1,0))</f>
        <v/>
      </c>
      <c r="AB493" s="39" t="str">
        <f aca="false">IF($F493="","",IF($R493="Cancelada",0,IF(OR($AT493&lt;&gt;"",$R493="Concluída"),1,0)))</f>
        <v/>
      </c>
      <c r="AC493" s="39" t="n">
        <f aca="false">IF($P493="",0,IF($P493&lt;Hoje!$L$1,1,IF(AND($P493=Hoje!$L$1,Hoje!$L$2&gt;Semana!$M$3),1,0)))</f>
        <v>0</v>
      </c>
      <c r="AD493" s="39" t="str">
        <f aca="false">IF($F493="","",IF(COUNTA($I493:$K493)=0,0,1/COUNTA($I493:$K493)))</f>
        <v/>
      </c>
      <c r="AE493" s="39" t="str">
        <f aca="false">IF($AH493=0,"",SUM($AH$4:$AH493))</f>
        <v/>
      </c>
      <c r="AF493" s="39" t="str">
        <f aca="false">IF($AI493=0,"",SUM($AI$4:$AI493))</f>
        <v/>
      </c>
      <c r="AG493" s="50" t="str">
        <f aca="false">IF($F493="","",$I493&amp;IF($J493="",""," · "&amp;$J493)&amp;IF($K493="",""," · "&amp;$K493))</f>
        <v/>
      </c>
      <c r="AH493" s="39" t="n">
        <f aca="false">IF(AND($F493&lt;&gt;"",$O493&lt;&gt;"",$O493&lt;=Hoje!$C$3,$P493&gt;=Hoje!$C$3,$R493&lt;&gt;"Cancelada"),1,0)</f>
        <v>0</v>
      </c>
      <c r="AI493" s="39" t="n">
        <f aca="false">IF(AND($F493&lt;&gt;"",$P493&lt;&gt;"",$P493&lt;Hoje!$C$3,$AB493=0,$R493&lt;&gt;"Cancelada"),1,0)</f>
        <v>0</v>
      </c>
      <c r="AJ493" s="50" t="str">
        <f aca="false">IF($F493="","",$D493&amp;"|"&amp;$E493&amp;"|"&amp;$L493)</f>
        <v/>
      </c>
      <c r="AK493" s="39" t="str">
        <f aca="false">IF($AJ493="","",COUNTIF($AJ$4:$AJ493,$AJ493))</f>
        <v/>
      </c>
      <c r="AL493" s="39" t="str">
        <f aca="false">IF($AJ493="","",COUNTIF($AJ$4:$AJ$1004,$AJ493))</f>
        <v/>
      </c>
      <c r="AM493" s="42"/>
      <c r="AN493" s="50" t="str">
        <f aca="false">IF($D493="","",IFERROR(T(VLOOKUP($D493,Listas!$B$5:$H$120,7,0)),""))</f>
        <v/>
      </c>
      <c r="AO493" s="50" t="str">
        <f aca="false">IF(OR($F493="",$L493&lt;&gt;"",$R493="Cancelada",$AT493&lt;&gt;""),"",$AN493&amp;"|"&amp;$D493&amp;"|"&amp;IF($C493="","zzz",$C493)&amp;"|"&amp;TEXT(493,"0000"))</f>
        <v/>
      </c>
      <c r="AP493" s="50" t="str">
        <f aca="false">IF($AO493="","",COUNTIF($AO$5:$AO$1004,"&lt;"&amp;$AO493)-(ROWS($AO$5:$AO$1004)-Hoje!$L$5)+1)</f>
        <v/>
      </c>
      <c r="AQ493" s="50" t="n">
        <f aca="false">IF(AND($F493&lt;&gt;"",$D493=Frota!$C$3),1,0)</f>
        <v>0</v>
      </c>
      <c r="AR493" s="50" t="str">
        <f aca="false">IF($AQ493=0,"",SUM($AQ$4:$AQ493))</f>
        <v/>
      </c>
      <c r="AS493" s="50" t="str">
        <f aca="false">IFERROR(INDEX(Hoje!$K$10:$K$29,MATCH(ROW(),Hoje!$J$10:$J$29,0)),"")</f>
        <v/>
      </c>
      <c r="AT493" s="50" t="str">
        <f aca="false">IF($Q493&lt;&gt;"",$Q493,$AS493)</f>
        <v/>
      </c>
    </row>
    <row r="494" customFormat="false" ht="16.5" hidden="false" customHeight="true" outlineLevel="0" collapsed="false">
      <c r="A494" s="39" t="str">
        <f aca="false">IF($F494="","",ROW())</f>
        <v/>
      </c>
      <c r="B494" s="40" t="str">
        <f aca="false">IF($F494="",IF($D494="","","Falta a atividade"),IF($R494="Cancelada","Cancelada",IF($AB494=1,IF(N($Z494)&gt;0,"Concluída com atraso","Concluída"),IF($R494="Em programação","Em programação",IF($O494="",IF($M494="","Na carteira","Falta a semana"),IF($AC494=1,"VENCIDA",IF($O494&gt;Hoje!$L$1,"Programada",IF($P494&gt;Hoje!$L$1,"Em execução","Fecha hoje"))))))))</f>
        <v/>
      </c>
      <c r="C494" s="41"/>
      <c r="D494" s="42"/>
      <c r="E494" s="42"/>
      <c r="F494" s="42"/>
      <c r="G494" s="43"/>
      <c r="H494" s="43"/>
      <c r="I494" s="44"/>
      <c r="J494" s="44"/>
      <c r="K494" s="44"/>
      <c r="L494" s="45"/>
      <c r="M494" s="46"/>
      <c r="N494" s="45"/>
      <c r="O494" s="47" t="str">
        <f aca="false">IF(OR($L494="",$M494=""),"",(DATE(Semana!$J$3,1,4)-WEEKDAY(DATE(Semana!$J$3,1,4),3))+($L494-1)*7+MATCH($M494,Listas!$F$5:$F$11,0)-1)</f>
        <v/>
      </c>
      <c r="P494" s="47" t="str">
        <f aca="false">IF(OR($F494="",$O494=""),"",$O494+MAX(0,ROUNDUP($AK494*MAX(1,IF($N494="",1,$N494))/MAX(1,$AL494),0)-1))</f>
        <v/>
      </c>
      <c r="Q494" s="48"/>
      <c r="R494" s="43"/>
      <c r="S494" s="49"/>
      <c r="T494" s="42"/>
      <c r="U494" s="42"/>
      <c r="V494" s="39" t="str">
        <f aca="false">IF($F494="","",IF(ISNUMBER(SEARCH("(externo)",$I494&amp;$J494&amp;$K494)),"Terceirizada","Interna"))</f>
        <v/>
      </c>
      <c r="W494" s="47" t="str">
        <f aca="false">IF($O494="","",IF($S494="",$O494,(DATE(Semana!$J$3,1,4)-WEEKDAY(DATE(Semana!$J$3,1,4),3))+($S494-1)*7+IF($M494="",0,MATCH($M494,Listas!$F$5:$F$11,0)-1)))</f>
        <v/>
      </c>
      <c r="X494" s="39" t="str">
        <f aca="false">IF($F494="","",IF(OR($AT494="",$O494=""),0,IF($AT494&lt;=$O494,1,0)))</f>
        <v/>
      </c>
      <c r="Y494" s="39" t="str">
        <f aca="false">IF($F494="","",IF(OR($AT494="",$W494=""),0,IF($AT494&lt;=$W494,1,0)))</f>
        <v/>
      </c>
      <c r="Z494" s="39" t="str">
        <f aca="false">IF(OR($AT494="",$O494=""),"",MAX(0,$AT494-$O494))</f>
        <v/>
      </c>
      <c r="AA494" s="39" t="str">
        <f aca="false">IF($F494="","",IF(AND($S494&lt;&gt;"",$L494&lt;&gt;"",$S494&lt;&gt;$L494),1,0))</f>
        <v/>
      </c>
      <c r="AB494" s="39" t="str">
        <f aca="false">IF($F494="","",IF($R494="Cancelada",0,IF(OR($AT494&lt;&gt;"",$R494="Concluída"),1,0)))</f>
        <v/>
      </c>
      <c r="AC494" s="39" t="n">
        <f aca="false">IF($P494="",0,IF($P494&lt;Hoje!$L$1,1,IF(AND($P494=Hoje!$L$1,Hoje!$L$2&gt;Semana!$M$3),1,0)))</f>
        <v>0</v>
      </c>
      <c r="AD494" s="39" t="str">
        <f aca="false">IF($F494="","",IF(COUNTA($I494:$K494)=0,0,1/COUNTA($I494:$K494)))</f>
        <v/>
      </c>
      <c r="AE494" s="39" t="str">
        <f aca="false">IF($AH494=0,"",SUM($AH$4:$AH494))</f>
        <v/>
      </c>
      <c r="AF494" s="39" t="str">
        <f aca="false">IF($AI494=0,"",SUM($AI$4:$AI494))</f>
        <v/>
      </c>
      <c r="AG494" s="50" t="str">
        <f aca="false">IF($F494="","",$I494&amp;IF($J494="",""," · "&amp;$J494)&amp;IF($K494="",""," · "&amp;$K494))</f>
        <v/>
      </c>
      <c r="AH494" s="39" t="n">
        <f aca="false">IF(AND($F494&lt;&gt;"",$O494&lt;&gt;"",$O494&lt;=Hoje!$C$3,$P494&gt;=Hoje!$C$3,$R494&lt;&gt;"Cancelada"),1,0)</f>
        <v>0</v>
      </c>
      <c r="AI494" s="39" t="n">
        <f aca="false">IF(AND($F494&lt;&gt;"",$P494&lt;&gt;"",$P494&lt;Hoje!$C$3,$AB494=0,$R494&lt;&gt;"Cancelada"),1,0)</f>
        <v>0</v>
      </c>
      <c r="AJ494" s="50" t="str">
        <f aca="false">IF($F494="","",$D494&amp;"|"&amp;$E494&amp;"|"&amp;$L494)</f>
        <v/>
      </c>
      <c r="AK494" s="39" t="str">
        <f aca="false">IF($AJ494="","",COUNTIF($AJ$4:$AJ494,$AJ494))</f>
        <v/>
      </c>
      <c r="AL494" s="39" t="str">
        <f aca="false">IF($AJ494="","",COUNTIF($AJ$4:$AJ$1004,$AJ494))</f>
        <v/>
      </c>
      <c r="AM494" s="42"/>
      <c r="AN494" s="50" t="str">
        <f aca="false">IF($D494="","",IFERROR(T(VLOOKUP($D494,Listas!$B$5:$H$120,7,0)),""))</f>
        <v/>
      </c>
      <c r="AO494" s="50" t="str">
        <f aca="false">IF(OR($F494="",$L494&lt;&gt;"",$R494="Cancelada",$AT494&lt;&gt;""),"",$AN494&amp;"|"&amp;$D494&amp;"|"&amp;IF($C494="","zzz",$C494)&amp;"|"&amp;TEXT(494,"0000"))</f>
        <v/>
      </c>
      <c r="AP494" s="50" t="str">
        <f aca="false">IF($AO494="","",COUNTIF($AO$5:$AO$1004,"&lt;"&amp;$AO494)-(ROWS($AO$5:$AO$1004)-Hoje!$L$5)+1)</f>
        <v/>
      </c>
      <c r="AQ494" s="50" t="n">
        <f aca="false">IF(AND($F494&lt;&gt;"",$D494=Frota!$C$3),1,0)</f>
        <v>0</v>
      </c>
      <c r="AR494" s="50" t="str">
        <f aca="false">IF($AQ494=0,"",SUM($AQ$4:$AQ494))</f>
        <v/>
      </c>
      <c r="AS494" s="50" t="str">
        <f aca="false">IFERROR(INDEX(Hoje!$K$10:$K$29,MATCH(ROW(),Hoje!$J$10:$J$29,0)),"")</f>
        <v/>
      </c>
      <c r="AT494" s="50" t="str">
        <f aca="false">IF($Q494&lt;&gt;"",$Q494,$AS494)</f>
        <v/>
      </c>
    </row>
    <row r="495" customFormat="false" ht="16.5" hidden="false" customHeight="true" outlineLevel="0" collapsed="false">
      <c r="A495" s="39" t="str">
        <f aca="false">IF($F495="","",ROW())</f>
        <v/>
      </c>
      <c r="B495" s="40" t="str">
        <f aca="false">IF($F495="",IF($D495="","","Falta a atividade"),IF($R495="Cancelada","Cancelada",IF($AB495=1,IF(N($Z495)&gt;0,"Concluída com atraso","Concluída"),IF($R495="Em programação","Em programação",IF($O495="",IF($M495="","Na carteira","Falta a semana"),IF($AC495=1,"VENCIDA",IF($O495&gt;Hoje!$L$1,"Programada",IF($P495&gt;Hoje!$L$1,"Em execução","Fecha hoje"))))))))</f>
        <v/>
      </c>
      <c r="C495" s="41"/>
      <c r="D495" s="42"/>
      <c r="E495" s="42"/>
      <c r="F495" s="42"/>
      <c r="G495" s="43"/>
      <c r="H495" s="43"/>
      <c r="I495" s="44"/>
      <c r="J495" s="44"/>
      <c r="K495" s="44"/>
      <c r="L495" s="45"/>
      <c r="M495" s="46"/>
      <c r="N495" s="45"/>
      <c r="O495" s="47" t="str">
        <f aca="false">IF(OR($L495="",$M495=""),"",(DATE(Semana!$J$3,1,4)-WEEKDAY(DATE(Semana!$J$3,1,4),3))+($L495-1)*7+MATCH($M495,Listas!$F$5:$F$11,0)-1)</f>
        <v/>
      </c>
      <c r="P495" s="47" t="str">
        <f aca="false">IF(OR($F495="",$O495=""),"",$O495+MAX(0,ROUNDUP($AK495*MAX(1,IF($N495="",1,$N495))/MAX(1,$AL495),0)-1))</f>
        <v/>
      </c>
      <c r="Q495" s="48"/>
      <c r="R495" s="43"/>
      <c r="S495" s="49"/>
      <c r="T495" s="42"/>
      <c r="U495" s="42"/>
      <c r="V495" s="39" t="str">
        <f aca="false">IF($F495="","",IF(ISNUMBER(SEARCH("(externo)",$I495&amp;$J495&amp;$K495)),"Terceirizada","Interna"))</f>
        <v/>
      </c>
      <c r="W495" s="47" t="str">
        <f aca="false">IF($O495="","",IF($S495="",$O495,(DATE(Semana!$J$3,1,4)-WEEKDAY(DATE(Semana!$J$3,1,4),3))+($S495-1)*7+IF($M495="",0,MATCH($M495,Listas!$F$5:$F$11,0)-1)))</f>
        <v/>
      </c>
      <c r="X495" s="39" t="str">
        <f aca="false">IF($F495="","",IF(OR($AT495="",$O495=""),0,IF($AT495&lt;=$O495,1,0)))</f>
        <v/>
      </c>
      <c r="Y495" s="39" t="str">
        <f aca="false">IF($F495="","",IF(OR($AT495="",$W495=""),0,IF($AT495&lt;=$W495,1,0)))</f>
        <v/>
      </c>
      <c r="Z495" s="39" t="str">
        <f aca="false">IF(OR($AT495="",$O495=""),"",MAX(0,$AT495-$O495))</f>
        <v/>
      </c>
      <c r="AA495" s="39" t="str">
        <f aca="false">IF($F495="","",IF(AND($S495&lt;&gt;"",$L495&lt;&gt;"",$S495&lt;&gt;$L495),1,0))</f>
        <v/>
      </c>
      <c r="AB495" s="39" t="str">
        <f aca="false">IF($F495="","",IF($R495="Cancelada",0,IF(OR($AT495&lt;&gt;"",$R495="Concluída"),1,0)))</f>
        <v/>
      </c>
      <c r="AC495" s="39" t="n">
        <f aca="false">IF($P495="",0,IF($P495&lt;Hoje!$L$1,1,IF(AND($P495=Hoje!$L$1,Hoje!$L$2&gt;Semana!$M$3),1,0)))</f>
        <v>0</v>
      </c>
      <c r="AD495" s="39" t="str">
        <f aca="false">IF($F495="","",IF(COUNTA($I495:$K495)=0,0,1/COUNTA($I495:$K495)))</f>
        <v/>
      </c>
      <c r="AE495" s="39" t="str">
        <f aca="false">IF($AH495=0,"",SUM($AH$4:$AH495))</f>
        <v/>
      </c>
      <c r="AF495" s="39" t="str">
        <f aca="false">IF($AI495=0,"",SUM($AI$4:$AI495))</f>
        <v/>
      </c>
      <c r="AG495" s="50" t="str">
        <f aca="false">IF($F495="","",$I495&amp;IF($J495="",""," · "&amp;$J495)&amp;IF($K495="",""," · "&amp;$K495))</f>
        <v/>
      </c>
      <c r="AH495" s="39" t="n">
        <f aca="false">IF(AND($F495&lt;&gt;"",$O495&lt;&gt;"",$O495&lt;=Hoje!$C$3,$P495&gt;=Hoje!$C$3,$R495&lt;&gt;"Cancelada"),1,0)</f>
        <v>0</v>
      </c>
      <c r="AI495" s="39" t="n">
        <f aca="false">IF(AND($F495&lt;&gt;"",$P495&lt;&gt;"",$P495&lt;Hoje!$C$3,$AB495=0,$R495&lt;&gt;"Cancelada"),1,0)</f>
        <v>0</v>
      </c>
      <c r="AJ495" s="50" t="str">
        <f aca="false">IF($F495="","",$D495&amp;"|"&amp;$E495&amp;"|"&amp;$L495)</f>
        <v/>
      </c>
      <c r="AK495" s="39" t="str">
        <f aca="false">IF($AJ495="","",COUNTIF($AJ$4:$AJ495,$AJ495))</f>
        <v/>
      </c>
      <c r="AL495" s="39" t="str">
        <f aca="false">IF($AJ495="","",COUNTIF($AJ$4:$AJ$1004,$AJ495))</f>
        <v/>
      </c>
      <c r="AM495" s="42"/>
      <c r="AN495" s="50" t="str">
        <f aca="false">IF($D495="","",IFERROR(T(VLOOKUP($D495,Listas!$B$5:$H$120,7,0)),""))</f>
        <v/>
      </c>
      <c r="AO495" s="50" t="str">
        <f aca="false">IF(OR($F495="",$L495&lt;&gt;"",$R495="Cancelada",$AT495&lt;&gt;""),"",$AN495&amp;"|"&amp;$D495&amp;"|"&amp;IF($C495="","zzz",$C495)&amp;"|"&amp;TEXT(495,"0000"))</f>
        <v/>
      </c>
      <c r="AP495" s="50" t="str">
        <f aca="false">IF($AO495="","",COUNTIF($AO$5:$AO$1004,"&lt;"&amp;$AO495)-(ROWS($AO$5:$AO$1004)-Hoje!$L$5)+1)</f>
        <v/>
      </c>
      <c r="AQ495" s="50" t="n">
        <f aca="false">IF(AND($F495&lt;&gt;"",$D495=Frota!$C$3),1,0)</f>
        <v>0</v>
      </c>
      <c r="AR495" s="50" t="str">
        <f aca="false">IF($AQ495=0,"",SUM($AQ$4:$AQ495))</f>
        <v/>
      </c>
      <c r="AS495" s="50" t="str">
        <f aca="false">IFERROR(INDEX(Hoje!$K$10:$K$29,MATCH(ROW(),Hoje!$J$10:$J$29,0)),"")</f>
        <v/>
      </c>
      <c r="AT495" s="50" t="str">
        <f aca="false">IF($Q495&lt;&gt;"",$Q495,$AS495)</f>
        <v/>
      </c>
    </row>
    <row r="496" customFormat="false" ht="16.5" hidden="false" customHeight="true" outlineLevel="0" collapsed="false">
      <c r="A496" s="39" t="str">
        <f aca="false">IF($F496="","",ROW())</f>
        <v/>
      </c>
      <c r="B496" s="40" t="str">
        <f aca="false">IF($F496="",IF($D496="","","Falta a atividade"),IF($R496="Cancelada","Cancelada",IF($AB496=1,IF(N($Z496)&gt;0,"Concluída com atraso","Concluída"),IF($R496="Em programação","Em programação",IF($O496="",IF($M496="","Na carteira","Falta a semana"),IF($AC496=1,"VENCIDA",IF($O496&gt;Hoje!$L$1,"Programada",IF($P496&gt;Hoje!$L$1,"Em execução","Fecha hoje"))))))))</f>
        <v/>
      </c>
      <c r="C496" s="41"/>
      <c r="D496" s="42"/>
      <c r="E496" s="42"/>
      <c r="F496" s="42"/>
      <c r="G496" s="43"/>
      <c r="H496" s="43"/>
      <c r="I496" s="44"/>
      <c r="J496" s="44"/>
      <c r="K496" s="44"/>
      <c r="L496" s="45"/>
      <c r="M496" s="46"/>
      <c r="N496" s="45"/>
      <c r="O496" s="47" t="str">
        <f aca="false">IF(OR($L496="",$M496=""),"",(DATE(Semana!$J$3,1,4)-WEEKDAY(DATE(Semana!$J$3,1,4),3))+($L496-1)*7+MATCH($M496,Listas!$F$5:$F$11,0)-1)</f>
        <v/>
      </c>
      <c r="P496" s="47" t="str">
        <f aca="false">IF(OR($F496="",$O496=""),"",$O496+MAX(0,ROUNDUP($AK496*MAX(1,IF($N496="",1,$N496))/MAX(1,$AL496),0)-1))</f>
        <v/>
      </c>
      <c r="Q496" s="48"/>
      <c r="R496" s="43"/>
      <c r="S496" s="49"/>
      <c r="T496" s="42"/>
      <c r="U496" s="42"/>
      <c r="V496" s="39" t="str">
        <f aca="false">IF($F496="","",IF(ISNUMBER(SEARCH("(externo)",$I496&amp;$J496&amp;$K496)),"Terceirizada","Interna"))</f>
        <v/>
      </c>
      <c r="W496" s="47" t="str">
        <f aca="false">IF($O496="","",IF($S496="",$O496,(DATE(Semana!$J$3,1,4)-WEEKDAY(DATE(Semana!$J$3,1,4),3))+($S496-1)*7+IF($M496="",0,MATCH($M496,Listas!$F$5:$F$11,0)-1)))</f>
        <v/>
      </c>
      <c r="X496" s="39" t="str">
        <f aca="false">IF($F496="","",IF(OR($AT496="",$O496=""),0,IF($AT496&lt;=$O496,1,0)))</f>
        <v/>
      </c>
      <c r="Y496" s="39" t="str">
        <f aca="false">IF($F496="","",IF(OR($AT496="",$W496=""),0,IF($AT496&lt;=$W496,1,0)))</f>
        <v/>
      </c>
      <c r="Z496" s="39" t="str">
        <f aca="false">IF(OR($AT496="",$O496=""),"",MAX(0,$AT496-$O496))</f>
        <v/>
      </c>
      <c r="AA496" s="39" t="str">
        <f aca="false">IF($F496="","",IF(AND($S496&lt;&gt;"",$L496&lt;&gt;"",$S496&lt;&gt;$L496),1,0))</f>
        <v/>
      </c>
      <c r="AB496" s="39" t="str">
        <f aca="false">IF($F496="","",IF($R496="Cancelada",0,IF(OR($AT496&lt;&gt;"",$R496="Concluída"),1,0)))</f>
        <v/>
      </c>
      <c r="AC496" s="39" t="n">
        <f aca="false">IF($P496="",0,IF($P496&lt;Hoje!$L$1,1,IF(AND($P496=Hoje!$L$1,Hoje!$L$2&gt;Semana!$M$3),1,0)))</f>
        <v>0</v>
      </c>
      <c r="AD496" s="39" t="str">
        <f aca="false">IF($F496="","",IF(COUNTA($I496:$K496)=0,0,1/COUNTA($I496:$K496)))</f>
        <v/>
      </c>
      <c r="AE496" s="39" t="str">
        <f aca="false">IF($AH496=0,"",SUM($AH$4:$AH496))</f>
        <v/>
      </c>
      <c r="AF496" s="39" t="str">
        <f aca="false">IF($AI496=0,"",SUM($AI$4:$AI496))</f>
        <v/>
      </c>
      <c r="AG496" s="50" t="str">
        <f aca="false">IF($F496="","",$I496&amp;IF($J496="",""," · "&amp;$J496)&amp;IF($K496="",""," · "&amp;$K496))</f>
        <v/>
      </c>
      <c r="AH496" s="39" t="n">
        <f aca="false">IF(AND($F496&lt;&gt;"",$O496&lt;&gt;"",$O496&lt;=Hoje!$C$3,$P496&gt;=Hoje!$C$3,$R496&lt;&gt;"Cancelada"),1,0)</f>
        <v>0</v>
      </c>
      <c r="AI496" s="39" t="n">
        <f aca="false">IF(AND($F496&lt;&gt;"",$P496&lt;&gt;"",$P496&lt;Hoje!$C$3,$AB496=0,$R496&lt;&gt;"Cancelada"),1,0)</f>
        <v>0</v>
      </c>
      <c r="AJ496" s="50" t="str">
        <f aca="false">IF($F496="","",$D496&amp;"|"&amp;$E496&amp;"|"&amp;$L496)</f>
        <v/>
      </c>
      <c r="AK496" s="39" t="str">
        <f aca="false">IF($AJ496="","",COUNTIF($AJ$4:$AJ496,$AJ496))</f>
        <v/>
      </c>
      <c r="AL496" s="39" t="str">
        <f aca="false">IF($AJ496="","",COUNTIF($AJ$4:$AJ$1004,$AJ496))</f>
        <v/>
      </c>
      <c r="AM496" s="42"/>
      <c r="AN496" s="50" t="str">
        <f aca="false">IF($D496="","",IFERROR(T(VLOOKUP($D496,Listas!$B$5:$H$120,7,0)),""))</f>
        <v/>
      </c>
      <c r="AO496" s="50" t="str">
        <f aca="false">IF(OR($F496="",$L496&lt;&gt;"",$R496="Cancelada",$AT496&lt;&gt;""),"",$AN496&amp;"|"&amp;$D496&amp;"|"&amp;IF($C496="","zzz",$C496)&amp;"|"&amp;TEXT(496,"0000"))</f>
        <v/>
      </c>
      <c r="AP496" s="50" t="str">
        <f aca="false">IF($AO496="","",COUNTIF($AO$5:$AO$1004,"&lt;"&amp;$AO496)-(ROWS($AO$5:$AO$1004)-Hoje!$L$5)+1)</f>
        <v/>
      </c>
      <c r="AQ496" s="50" t="n">
        <f aca="false">IF(AND($F496&lt;&gt;"",$D496=Frota!$C$3),1,0)</f>
        <v>0</v>
      </c>
      <c r="AR496" s="50" t="str">
        <f aca="false">IF($AQ496=0,"",SUM($AQ$4:$AQ496))</f>
        <v/>
      </c>
      <c r="AS496" s="50" t="str">
        <f aca="false">IFERROR(INDEX(Hoje!$K$10:$K$29,MATCH(ROW(),Hoje!$J$10:$J$29,0)),"")</f>
        <v/>
      </c>
      <c r="AT496" s="50" t="str">
        <f aca="false">IF($Q496&lt;&gt;"",$Q496,$AS496)</f>
        <v/>
      </c>
    </row>
    <row r="497" customFormat="false" ht="16.5" hidden="false" customHeight="true" outlineLevel="0" collapsed="false">
      <c r="A497" s="39" t="str">
        <f aca="false">IF($F497="","",ROW())</f>
        <v/>
      </c>
      <c r="B497" s="40" t="str">
        <f aca="false">IF($F497="",IF($D497="","","Falta a atividade"),IF($R497="Cancelada","Cancelada",IF($AB497=1,IF(N($Z497)&gt;0,"Concluída com atraso","Concluída"),IF($R497="Em programação","Em programação",IF($O497="",IF($M497="","Na carteira","Falta a semana"),IF($AC497=1,"VENCIDA",IF($O497&gt;Hoje!$L$1,"Programada",IF($P497&gt;Hoje!$L$1,"Em execução","Fecha hoje"))))))))</f>
        <v/>
      </c>
      <c r="C497" s="41"/>
      <c r="D497" s="42"/>
      <c r="E497" s="42"/>
      <c r="F497" s="42"/>
      <c r="G497" s="43"/>
      <c r="H497" s="43"/>
      <c r="I497" s="44"/>
      <c r="J497" s="44"/>
      <c r="K497" s="44"/>
      <c r="L497" s="45"/>
      <c r="M497" s="46"/>
      <c r="N497" s="45"/>
      <c r="O497" s="47" t="str">
        <f aca="false">IF(OR($L497="",$M497=""),"",(DATE(Semana!$J$3,1,4)-WEEKDAY(DATE(Semana!$J$3,1,4),3))+($L497-1)*7+MATCH($M497,Listas!$F$5:$F$11,0)-1)</f>
        <v/>
      </c>
      <c r="P497" s="47" t="str">
        <f aca="false">IF(OR($F497="",$O497=""),"",$O497+MAX(0,ROUNDUP($AK497*MAX(1,IF($N497="",1,$N497))/MAX(1,$AL497),0)-1))</f>
        <v/>
      </c>
      <c r="Q497" s="48"/>
      <c r="R497" s="43"/>
      <c r="S497" s="49"/>
      <c r="T497" s="42"/>
      <c r="U497" s="42"/>
      <c r="V497" s="39" t="str">
        <f aca="false">IF($F497="","",IF(ISNUMBER(SEARCH("(externo)",$I497&amp;$J497&amp;$K497)),"Terceirizada","Interna"))</f>
        <v/>
      </c>
      <c r="W497" s="47" t="str">
        <f aca="false">IF($O497="","",IF($S497="",$O497,(DATE(Semana!$J$3,1,4)-WEEKDAY(DATE(Semana!$J$3,1,4),3))+($S497-1)*7+IF($M497="",0,MATCH($M497,Listas!$F$5:$F$11,0)-1)))</f>
        <v/>
      </c>
      <c r="X497" s="39" t="str">
        <f aca="false">IF($F497="","",IF(OR($AT497="",$O497=""),0,IF($AT497&lt;=$O497,1,0)))</f>
        <v/>
      </c>
      <c r="Y497" s="39" t="str">
        <f aca="false">IF($F497="","",IF(OR($AT497="",$W497=""),0,IF($AT497&lt;=$W497,1,0)))</f>
        <v/>
      </c>
      <c r="Z497" s="39" t="str">
        <f aca="false">IF(OR($AT497="",$O497=""),"",MAX(0,$AT497-$O497))</f>
        <v/>
      </c>
      <c r="AA497" s="39" t="str">
        <f aca="false">IF($F497="","",IF(AND($S497&lt;&gt;"",$L497&lt;&gt;"",$S497&lt;&gt;$L497),1,0))</f>
        <v/>
      </c>
      <c r="AB497" s="39" t="str">
        <f aca="false">IF($F497="","",IF($R497="Cancelada",0,IF(OR($AT497&lt;&gt;"",$R497="Concluída"),1,0)))</f>
        <v/>
      </c>
      <c r="AC497" s="39" t="n">
        <f aca="false">IF($P497="",0,IF($P497&lt;Hoje!$L$1,1,IF(AND($P497=Hoje!$L$1,Hoje!$L$2&gt;Semana!$M$3),1,0)))</f>
        <v>0</v>
      </c>
      <c r="AD497" s="39" t="str">
        <f aca="false">IF($F497="","",IF(COUNTA($I497:$K497)=0,0,1/COUNTA($I497:$K497)))</f>
        <v/>
      </c>
      <c r="AE497" s="39" t="str">
        <f aca="false">IF($AH497=0,"",SUM($AH$4:$AH497))</f>
        <v/>
      </c>
      <c r="AF497" s="39" t="str">
        <f aca="false">IF($AI497=0,"",SUM($AI$4:$AI497))</f>
        <v/>
      </c>
      <c r="AG497" s="50" t="str">
        <f aca="false">IF($F497="","",$I497&amp;IF($J497="",""," · "&amp;$J497)&amp;IF($K497="",""," · "&amp;$K497))</f>
        <v/>
      </c>
      <c r="AH497" s="39" t="n">
        <f aca="false">IF(AND($F497&lt;&gt;"",$O497&lt;&gt;"",$O497&lt;=Hoje!$C$3,$P497&gt;=Hoje!$C$3,$R497&lt;&gt;"Cancelada"),1,0)</f>
        <v>0</v>
      </c>
      <c r="AI497" s="39" t="n">
        <f aca="false">IF(AND($F497&lt;&gt;"",$P497&lt;&gt;"",$P497&lt;Hoje!$C$3,$AB497=0,$R497&lt;&gt;"Cancelada"),1,0)</f>
        <v>0</v>
      </c>
      <c r="AJ497" s="50" t="str">
        <f aca="false">IF($F497="","",$D497&amp;"|"&amp;$E497&amp;"|"&amp;$L497)</f>
        <v/>
      </c>
      <c r="AK497" s="39" t="str">
        <f aca="false">IF($AJ497="","",COUNTIF($AJ$4:$AJ497,$AJ497))</f>
        <v/>
      </c>
      <c r="AL497" s="39" t="str">
        <f aca="false">IF($AJ497="","",COUNTIF($AJ$4:$AJ$1004,$AJ497))</f>
        <v/>
      </c>
      <c r="AM497" s="42"/>
      <c r="AN497" s="50" t="str">
        <f aca="false">IF($D497="","",IFERROR(T(VLOOKUP($D497,Listas!$B$5:$H$120,7,0)),""))</f>
        <v/>
      </c>
      <c r="AO497" s="50" t="str">
        <f aca="false">IF(OR($F497="",$L497&lt;&gt;"",$R497="Cancelada",$AT497&lt;&gt;""),"",$AN497&amp;"|"&amp;$D497&amp;"|"&amp;IF($C497="","zzz",$C497)&amp;"|"&amp;TEXT(497,"0000"))</f>
        <v/>
      </c>
      <c r="AP497" s="50" t="str">
        <f aca="false">IF($AO497="","",COUNTIF($AO$5:$AO$1004,"&lt;"&amp;$AO497)-(ROWS($AO$5:$AO$1004)-Hoje!$L$5)+1)</f>
        <v/>
      </c>
      <c r="AQ497" s="50" t="n">
        <f aca="false">IF(AND($F497&lt;&gt;"",$D497=Frota!$C$3),1,0)</f>
        <v>0</v>
      </c>
      <c r="AR497" s="50" t="str">
        <f aca="false">IF($AQ497=0,"",SUM($AQ$4:$AQ497))</f>
        <v/>
      </c>
      <c r="AS497" s="50" t="str">
        <f aca="false">IFERROR(INDEX(Hoje!$K$10:$K$29,MATCH(ROW(),Hoje!$J$10:$J$29,0)),"")</f>
        <v/>
      </c>
      <c r="AT497" s="50" t="str">
        <f aca="false">IF($Q497&lt;&gt;"",$Q497,$AS497)</f>
        <v/>
      </c>
    </row>
    <row r="498" customFormat="false" ht="16.5" hidden="false" customHeight="true" outlineLevel="0" collapsed="false">
      <c r="A498" s="39" t="str">
        <f aca="false">IF($F498="","",ROW())</f>
        <v/>
      </c>
      <c r="B498" s="40" t="str">
        <f aca="false">IF($F498="",IF($D498="","","Falta a atividade"),IF($R498="Cancelada","Cancelada",IF($AB498=1,IF(N($Z498)&gt;0,"Concluída com atraso","Concluída"),IF($R498="Em programação","Em programação",IF($O498="",IF($M498="","Na carteira","Falta a semana"),IF($AC498=1,"VENCIDA",IF($O498&gt;Hoje!$L$1,"Programada",IF($P498&gt;Hoje!$L$1,"Em execução","Fecha hoje"))))))))</f>
        <v/>
      </c>
      <c r="C498" s="41"/>
      <c r="D498" s="42"/>
      <c r="E498" s="42"/>
      <c r="F498" s="42"/>
      <c r="G498" s="43"/>
      <c r="H498" s="43"/>
      <c r="I498" s="44"/>
      <c r="J498" s="44"/>
      <c r="K498" s="44"/>
      <c r="L498" s="45"/>
      <c r="M498" s="46"/>
      <c r="N498" s="45"/>
      <c r="O498" s="47" t="str">
        <f aca="false">IF(OR($L498="",$M498=""),"",(DATE(Semana!$J$3,1,4)-WEEKDAY(DATE(Semana!$J$3,1,4),3))+($L498-1)*7+MATCH($M498,Listas!$F$5:$F$11,0)-1)</f>
        <v/>
      </c>
      <c r="P498" s="47" t="str">
        <f aca="false">IF(OR($F498="",$O498=""),"",$O498+MAX(0,ROUNDUP($AK498*MAX(1,IF($N498="",1,$N498))/MAX(1,$AL498),0)-1))</f>
        <v/>
      </c>
      <c r="Q498" s="48"/>
      <c r="R498" s="43"/>
      <c r="S498" s="49"/>
      <c r="T498" s="42"/>
      <c r="U498" s="42"/>
      <c r="V498" s="39" t="str">
        <f aca="false">IF($F498="","",IF(ISNUMBER(SEARCH("(externo)",$I498&amp;$J498&amp;$K498)),"Terceirizada","Interna"))</f>
        <v/>
      </c>
      <c r="W498" s="47" t="str">
        <f aca="false">IF($O498="","",IF($S498="",$O498,(DATE(Semana!$J$3,1,4)-WEEKDAY(DATE(Semana!$J$3,1,4),3))+($S498-1)*7+IF($M498="",0,MATCH($M498,Listas!$F$5:$F$11,0)-1)))</f>
        <v/>
      </c>
      <c r="X498" s="39" t="str">
        <f aca="false">IF($F498="","",IF(OR($AT498="",$O498=""),0,IF($AT498&lt;=$O498,1,0)))</f>
        <v/>
      </c>
      <c r="Y498" s="39" t="str">
        <f aca="false">IF($F498="","",IF(OR($AT498="",$W498=""),0,IF($AT498&lt;=$W498,1,0)))</f>
        <v/>
      </c>
      <c r="Z498" s="39" t="str">
        <f aca="false">IF(OR($AT498="",$O498=""),"",MAX(0,$AT498-$O498))</f>
        <v/>
      </c>
      <c r="AA498" s="39" t="str">
        <f aca="false">IF($F498="","",IF(AND($S498&lt;&gt;"",$L498&lt;&gt;"",$S498&lt;&gt;$L498),1,0))</f>
        <v/>
      </c>
      <c r="AB498" s="39" t="str">
        <f aca="false">IF($F498="","",IF($R498="Cancelada",0,IF(OR($AT498&lt;&gt;"",$R498="Concluída"),1,0)))</f>
        <v/>
      </c>
      <c r="AC498" s="39" t="n">
        <f aca="false">IF($P498="",0,IF($P498&lt;Hoje!$L$1,1,IF(AND($P498=Hoje!$L$1,Hoje!$L$2&gt;Semana!$M$3),1,0)))</f>
        <v>0</v>
      </c>
      <c r="AD498" s="39" t="str">
        <f aca="false">IF($F498="","",IF(COUNTA($I498:$K498)=0,0,1/COUNTA($I498:$K498)))</f>
        <v/>
      </c>
      <c r="AE498" s="39" t="str">
        <f aca="false">IF($AH498=0,"",SUM($AH$4:$AH498))</f>
        <v/>
      </c>
      <c r="AF498" s="39" t="str">
        <f aca="false">IF($AI498=0,"",SUM($AI$4:$AI498))</f>
        <v/>
      </c>
      <c r="AG498" s="50" t="str">
        <f aca="false">IF($F498="","",$I498&amp;IF($J498="",""," · "&amp;$J498)&amp;IF($K498="",""," · "&amp;$K498))</f>
        <v/>
      </c>
      <c r="AH498" s="39" t="n">
        <f aca="false">IF(AND($F498&lt;&gt;"",$O498&lt;&gt;"",$O498&lt;=Hoje!$C$3,$P498&gt;=Hoje!$C$3,$R498&lt;&gt;"Cancelada"),1,0)</f>
        <v>0</v>
      </c>
      <c r="AI498" s="39" t="n">
        <f aca="false">IF(AND($F498&lt;&gt;"",$P498&lt;&gt;"",$P498&lt;Hoje!$C$3,$AB498=0,$R498&lt;&gt;"Cancelada"),1,0)</f>
        <v>0</v>
      </c>
      <c r="AJ498" s="50" t="str">
        <f aca="false">IF($F498="","",$D498&amp;"|"&amp;$E498&amp;"|"&amp;$L498)</f>
        <v/>
      </c>
      <c r="AK498" s="39" t="str">
        <f aca="false">IF($AJ498="","",COUNTIF($AJ$4:$AJ498,$AJ498))</f>
        <v/>
      </c>
      <c r="AL498" s="39" t="str">
        <f aca="false">IF($AJ498="","",COUNTIF($AJ$4:$AJ$1004,$AJ498))</f>
        <v/>
      </c>
      <c r="AM498" s="42"/>
      <c r="AN498" s="50" t="str">
        <f aca="false">IF($D498="","",IFERROR(T(VLOOKUP($D498,Listas!$B$5:$H$120,7,0)),""))</f>
        <v/>
      </c>
      <c r="AO498" s="50" t="str">
        <f aca="false">IF(OR($F498="",$L498&lt;&gt;"",$R498="Cancelada",$AT498&lt;&gt;""),"",$AN498&amp;"|"&amp;$D498&amp;"|"&amp;IF($C498="","zzz",$C498)&amp;"|"&amp;TEXT(498,"0000"))</f>
        <v/>
      </c>
      <c r="AP498" s="50" t="str">
        <f aca="false">IF($AO498="","",COUNTIF($AO$5:$AO$1004,"&lt;"&amp;$AO498)-(ROWS($AO$5:$AO$1004)-Hoje!$L$5)+1)</f>
        <v/>
      </c>
      <c r="AQ498" s="50" t="n">
        <f aca="false">IF(AND($F498&lt;&gt;"",$D498=Frota!$C$3),1,0)</f>
        <v>0</v>
      </c>
      <c r="AR498" s="50" t="str">
        <f aca="false">IF($AQ498=0,"",SUM($AQ$4:$AQ498))</f>
        <v/>
      </c>
      <c r="AS498" s="50" t="str">
        <f aca="false">IFERROR(INDEX(Hoje!$K$10:$K$29,MATCH(ROW(),Hoje!$J$10:$J$29,0)),"")</f>
        <v/>
      </c>
      <c r="AT498" s="50" t="str">
        <f aca="false">IF($Q498&lt;&gt;"",$Q498,$AS498)</f>
        <v/>
      </c>
    </row>
    <row r="499" customFormat="false" ht="16.5" hidden="false" customHeight="true" outlineLevel="0" collapsed="false">
      <c r="A499" s="39" t="str">
        <f aca="false">IF($F499="","",ROW())</f>
        <v/>
      </c>
      <c r="B499" s="40" t="str">
        <f aca="false">IF($F499="",IF($D499="","","Falta a atividade"),IF($R499="Cancelada","Cancelada",IF($AB499=1,IF(N($Z499)&gt;0,"Concluída com atraso","Concluída"),IF($R499="Em programação","Em programação",IF($O499="",IF($M499="","Na carteira","Falta a semana"),IF($AC499=1,"VENCIDA",IF($O499&gt;Hoje!$L$1,"Programada",IF($P499&gt;Hoje!$L$1,"Em execução","Fecha hoje"))))))))</f>
        <v/>
      </c>
      <c r="C499" s="41"/>
      <c r="D499" s="42"/>
      <c r="E499" s="42"/>
      <c r="F499" s="42"/>
      <c r="G499" s="43"/>
      <c r="H499" s="43"/>
      <c r="I499" s="44"/>
      <c r="J499" s="44"/>
      <c r="K499" s="44"/>
      <c r="L499" s="45"/>
      <c r="M499" s="46"/>
      <c r="N499" s="45"/>
      <c r="O499" s="47" t="str">
        <f aca="false">IF(OR($L499="",$M499=""),"",(DATE(Semana!$J$3,1,4)-WEEKDAY(DATE(Semana!$J$3,1,4),3))+($L499-1)*7+MATCH($M499,Listas!$F$5:$F$11,0)-1)</f>
        <v/>
      </c>
      <c r="P499" s="47" t="str">
        <f aca="false">IF(OR($F499="",$O499=""),"",$O499+MAX(0,ROUNDUP($AK499*MAX(1,IF($N499="",1,$N499))/MAX(1,$AL499),0)-1))</f>
        <v/>
      </c>
      <c r="Q499" s="48"/>
      <c r="R499" s="43"/>
      <c r="S499" s="49"/>
      <c r="T499" s="42"/>
      <c r="U499" s="42"/>
      <c r="V499" s="39" t="str">
        <f aca="false">IF($F499="","",IF(ISNUMBER(SEARCH("(externo)",$I499&amp;$J499&amp;$K499)),"Terceirizada","Interna"))</f>
        <v/>
      </c>
      <c r="W499" s="47" t="str">
        <f aca="false">IF($O499="","",IF($S499="",$O499,(DATE(Semana!$J$3,1,4)-WEEKDAY(DATE(Semana!$J$3,1,4),3))+($S499-1)*7+IF($M499="",0,MATCH($M499,Listas!$F$5:$F$11,0)-1)))</f>
        <v/>
      </c>
      <c r="X499" s="39" t="str">
        <f aca="false">IF($F499="","",IF(OR($AT499="",$O499=""),0,IF($AT499&lt;=$O499,1,0)))</f>
        <v/>
      </c>
      <c r="Y499" s="39" t="str">
        <f aca="false">IF($F499="","",IF(OR($AT499="",$W499=""),0,IF($AT499&lt;=$W499,1,0)))</f>
        <v/>
      </c>
      <c r="Z499" s="39" t="str">
        <f aca="false">IF(OR($AT499="",$O499=""),"",MAX(0,$AT499-$O499))</f>
        <v/>
      </c>
      <c r="AA499" s="39" t="str">
        <f aca="false">IF($F499="","",IF(AND($S499&lt;&gt;"",$L499&lt;&gt;"",$S499&lt;&gt;$L499),1,0))</f>
        <v/>
      </c>
      <c r="AB499" s="39" t="str">
        <f aca="false">IF($F499="","",IF($R499="Cancelada",0,IF(OR($AT499&lt;&gt;"",$R499="Concluída"),1,0)))</f>
        <v/>
      </c>
      <c r="AC499" s="39" t="n">
        <f aca="false">IF($P499="",0,IF($P499&lt;Hoje!$L$1,1,IF(AND($P499=Hoje!$L$1,Hoje!$L$2&gt;Semana!$M$3),1,0)))</f>
        <v>0</v>
      </c>
      <c r="AD499" s="39" t="str">
        <f aca="false">IF($F499="","",IF(COUNTA($I499:$K499)=0,0,1/COUNTA($I499:$K499)))</f>
        <v/>
      </c>
      <c r="AE499" s="39" t="str">
        <f aca="false">IF($AH499=0,"",SUM($AH$4:$AH499))</f>
        <v/>
      </c>
      <c r="AF499" s="39" t="str">
        <f aca="false">IF($AI499=0,"",SUM($AI$4:$AI499))</f>
        <v/>
      </c>
      <c r="AG499" s="50" t="str">
        <f aca="false">IF($F499="","",$I499&amp;IF($J499="",""," · "&amp;$J499)&amp;IF($K499="",""," · "&amp;$K499))</f>
        <v/>
      </c>
      <c r="AH499" s="39" t="n">
        <f aca="false">IF(AND($F499&lt;&gt;"",$O499&lt;&gt;"",$O499&lt;=Hoje!$C$3,$P499&gt;=Hoje!$C$3,$R499&lt;&gt;"Cancelada"),1,0)</f>
        <v>0</v>
      </c>
      <c r="AI499" s="39" t="n">
        <f aca="false">IF(AND($F499&lt;&gt;"",$P499&lt;&gt;"",$P499&lt;Hoje!$C$3,$AB499=0,$R499&lt;&gt;"Cancelada"),1,0)</f>
        <v>0</v>
      </c>
      <c r="AJ499" s="50" t="str">
        <f aca="false">IF($F499="","",$D499&amp;"|"&amp;$E499&amp;"|"&amp;$L499)</f>
        <v/>
      </c>
      <c r="AK499" s="39" t="str">
        <f aca="false">IF($AJ499="","",COUNTIF($AJ$4:$AJ499,$AJ499))</f>
        <v/>
      </c>
      <c r="AL499" s="39" t="str">
        <f aca="false">IF($AJ499="","",COUNTIF($AJ$4:$AJ$1004,$AJ499))</f>
        <v/>
      </c>
      <c r="AM499" s="42"/>
      <c r="AN499" s="50" t="str">
        <f aca="false">IF($D499="","",IFERROR(T(VLOOKUP($D499,Listas!$B$5:$H$120,7,0)),""))</f>
        <v/>
      </c>
      <c r="AO499" s="50" t="str">
        <f aca="false">IF(OR($F499="",$L499&lt;&gt;"",$R499="Cancelada",$AT499&lt;&gt;""),"",$AN499&amp;"|"&amp;$D499&amp;"|"&amp;IF($C499="","zzz",$C499)&amp;"|"&amp;TEXT(499,"0000"))</f>
        <v/>
      </c>
      <c r="AP499" s="50" t="str">
        <f aca="false">IF($AO499="","",COUNTIF($AO$5:$AO$1004,"&lt;"&amp;$AO499)-(ROWS($AO$5:$AO$1004)-Hoje!$L$5)+1)</f>
        <v/>
      </c>
      <c r="AQ499" s="50" t="n">
        <f aca="false">IF(AND($F499&lt;&gt;"",$D499=Frota!$C$3),1,0)</f>
        <v>0</v>
      </c>
      <c r="AR499" s="50" t="str">
        <f aca="false">IF($AQ499=0,"",SUM($AQ$4:$AQ499))</f>
        <v/>
      </c>
      <c r="AS499" s="50" t="str">
        <f aca="false">IFERROR(INDEX(Hoje!$K$10:$K$29,MATCH(ROW(),Hoje!$J$10:$J$29,0)),"")</f>
        <v/>
      </c>
      <c r="AT499" s="50" t="str">
        <f aca="false">IF($Q499&lt;&gt;"",$Q499,$AS499)</f>
        <v/>
      </c>
    </row>
    <row r="500" customFormat="false" ht="16.5" hidden="false" customHeight="true" outlineLevel="0" collapsed="false">
      <c r="A500" s="39" t="str">
        <f aca="false">IF($F500="","",ROW())</f>
        <v/>
      </c>
      <c r="B500" s="40" t="str">
        <f aca="false">IF($F500="",IF($D500="","","Falta a atividade"),IF($R500="Cancelada","Cancelada",IF($AB500=1,IF(N($Z500)&gt;0,"Concluída com atraso","Concluída"),IF($R500="Em programação","Em programação",IF($O500="",IF($M500="","Na carteira","Falta a semana"),IF($AC500=1,"VENCIDA",IF($O500&gt;Hoje!$L$1,"Programada",IF($P500&gt;Hoje!$L$1,"Em execução","Fecha hoje"))))))))</f>
        <v/>
      </c>
      <c r="C500" s="41"/>
      <c r="D500" s="42"/>
      <c r="E500" s="42"/>
      <c r="F500" s="42"/>
      <c r="G500" s="43"/>
      <c r="H500" s="43"/>
      <c r="I500" s="44"/>
      <c r="J500" s="44"/>
      <c r="K500" s="44"/>
      <c r="L500" s="45"/>
      <c r="M500" s="46"/>
      <c r="N500" s="45"/>
      <c r="O500" s="47" t="str">
        <f aca="false">IF(OR($L500="",$M500=""),"",(DATE(Semana!$J$3,1,4)-WEEKDAY(DATE(Semana!$J$3,1,4),3))+($L500-1)*7+MATCH($M500,Listas!$F$5:$F$11,0)-1)</f>
        <v/>
      </c>
      <c r="P500" s="47" t="str">
        <f aca="false">IF(OR($F500="",$O500=""),"",$O500+MAX(0,ROUNDUP($AK500*MAX(1,IF($N500="",1,$N500))/MAX(1,$AL500),0)-1))</f>
        <v/>
      </c>
      <c r="Q500" s="48"/>
      <c r="R500" s="43"/>
      <c r="S500" s="49"/>
      <c r="T500" s="42"/>
      <c r="U500" s="42"/>
      <c r="V500" s="39" t="str">
        <f aca="false">IF($F500="","",IF(ISNUMBER(SEARCH("(externo)",$I500&amp;$J500&amp;$K500)),"Terceirizada","Interna"))</f>
        <v/>
      </c>
      <c r="W500" s="47" t="str">
        <f aca="false">IF($O500="","",IF($S500="",$O500,(DATE(Semana!$J$3,1,4)-WEEKDAY(DATE(Semana!$J$3,1,4),3))+($S500-1)*7+IF($M500="",0,MATCH($M500,Listas!$F$5:$F$11,0)-1)))</f>
        <v/>
      </c>
      <c r="X500" s="39" t="str">
        <f aca="false">IF($F500="","",IF(OR($AT500="",$O500=""),0,IF($AT500&lt;=$O500,1,0)))</f>
        <v/>
      </c>
      <c r="Y500" s="39" t="str">
        <f aca="false">IF($F500="","",IF(OR($AT500="",$W500=""),0,IF($AT500&lt;=$W500,1,0)))</f>
        <v/>
      </c>
      <c r="Z500" s="39" t="str">
        <f aca="false">IF(OR($AT500="",$O500=""),"",MAX(0,$AT500-$O500))</f>
        <v/>
      </c>
      <c r="AA500" s="39" t="str">
        <f aca="false">IF($F500="","",IF(AND($S500&lt;&gt;"",$L500&lt;&gt;"",$S500&lt;&gt;$L500),1,0))</f>
        <v/>
      </c>
      <c r="AB500" s="39" t="str">
        <f aca="false">IF($F500="","",IF($R500="Cancelada",0,IF(OR($AT500&lt;&gt;"",$R500="Concluída"),1,0)))</f>
        <v/>
      </c>
      <c r="AC500" s="39" t="n">
        <f aca="false">IF($P500="",0,IF($P500&lt;Hoje!$L$1,1,IF(AND($P500=Hoje!$L$1,Hoje!$L$2&gt;Semana!$M$3),1,0)))</f>
        <v>0</v>
      </c>
      <c r="AD500" s="39" t="str">
        <f aca="false">IF($F500="","",IF(COUNTA($I500:$K500)=0,0,1/COUNTA($I500:$K500)))</f>
        <v/>
      </c>
      <c r="AE500" s="39" t="str">
        <f aca="false">IF($AH500=0,"",SUM($AH$4:$AH500))</f>
        <v/>
      </c>
      <c r="AF500" s="39" t="str">
        <f aca="false">IF($AI500=0,"",SUM($AI$4:$AI500))</f>
        <v/>
      </c>
      <c r="AG500" s="50" t="str">
        <f aca="false">IF($F500="","",$I500&amp;IF($J500="",""," · "&amp;$J500)&amp;IF($K500="",""," · "&amp;$K500))</f>
        <v/>
      </c>
      <c r="AH500" s="39" t="n">
        <f aca="false">IF(AND($F500&lt;&gt;"",$O500&lt;&gt;"",$O500&lt;=Hoje!$C$3,$P500&gt;=Hoje!$C$3,$R500&lt;&gt;"Cancelada"),1,0)</f>
        <v>0</v>
      </c>
      <c r="AI500" s="39" t="n">
        <f aca="false">IF(AND($F500&lt;&gt;"",$P500&lt;&gt;"",$P500&lt;Hoje!$C$3,$AB500=0,$R500&lt;&gt;"Cancelada"),1,0)</f>
        <v>0</v>
      </c>
      <c r="AJ500" s="50" t="str">
        <f aca="false">IF($F500="","",$D500&amp;"|"&amp;$E500&amp;"|"&amp;$L500)</f>
        <v/>
      </c>
      <c r="AK500" s="39" t="str">
        <f aca="false">IF($AJ500="","",COUNTIF($AJ$4:$AJ500,$AJ500))</f>
        <v/>
      </c>
      <c r="AL500" s="39" t="str">
        <f aca="false">IF($AJ500="","",COUNTIF($AJ$4:$AJ$1004,$AJ500))</f>
        <v/>
      </c>
      <c r="AM500" s="42"/>
      <c r="AN500" s="50" t="str">
        <f aca="false">IF($D500="","",IFERROR(T(VLOOKUP($D500,Listas!$B$5:$H$120,7,0)),""))</f>
        <v/>
      </c>
      <c r="AO500" s="50" t="str">
        <f aca="false">IF(OR($F500="",$L500&lt;&gt;"",$R500="Cancelada",$AT500&lt;&gt;""),"",$AN500&amp;"|"&amp;$D500&amp;"|"&amp;IF($C500="","zzz",$C500)&amp;"|"&amp;TEXT(500,"0000"))</f>
        <v/>
      </c>
      <c r="AP500" s="50" t="str">
        <f aca="false">IF($AO500="","",COUNTIF($AO$5:$AO$1004,"&lt;"&amp;$AO500)-(ROWS($AO$5:$AO$1004)-Hoje!$L$5)+1)</f>
        <v/>
      </c>
      <c r="AQ500" s="50" t="n">
        <f aca="false">IF(AND($F500&lt;&gt;"",$D500=Frota!$C$3),1,0)</f>
        <v>0</v>
      </c>
      <c r="AR500" s="50" t="str">
        <f aca="false">IF($AQ500=0,"",SUM($AQ$4:$AQ500))</f>
        <v/>
      </c>
      <c r="AS500" s="50" t="str">
        <f aca="false">IFERROR(INDEX(Hoje!$K$10:$K$29,MATCH(ROW(),Hoje!$J$10:$J$29,0)),"")</f>
        <v/>
      </c>
      <c r="AT500" s="50" t="str">
        <f aca="false">IF($Q500&lt;&gt;"",$Q500,$AS500)</f>
        <v/>
      </c>
    </row>
    <row r="501" customFormat="false" ht="16.5" hidden="false" customHeight="true" outlineLevel="0" collapsed="false">
      <c r="A501" s="39" t="str">
        <f aca="false">IF($F501="","",ROW())</f>
        <v/>
      </c>
      <c r="B501" s="40" t="str">
        <f aca="false">IF($F501="",IF($D501="","","Falta a atividade"),IF($R501="Cancelada","Cancelada",IF($AB501=1,IF(N($Z501)&gt;0,"Concluída com atraso","Concluída"),IF($R501="Em programação","Em programação",IF($O501="",IF($M501="","Na carteira","Falta a semana"),IF($AC501=1,"VENCIDA",IF($O501&gt;Hoje!$L$1,"Programada",IF($P501&gt;Hoje!$L$1,"Em execução","Fecha hoje"))))))))</f>
        <v/>
      </c>
      <c r="C501" s="41"/>
      <c r="D501" s="42"/>
      <c r="E501" s="42"/>
      <c r="F501" s="42"/>
      <c r="G501" s="43"/>
      <c r="H501" s="43"/>
      <c r="I501" s="44"/>
      <c r="J501" s="44"/>
      <c r="K501" s="44"/>
      <c r="L501" s="45"/>
      <c r="M501" s="46"/>
      <c r="N501" s="45"/>
      <c r="O501" s="47" t="str">
        <f aca="false">IF(OR($L501="",$M501=""),"",(DATE(Semana!$J$3,1,4)-WEEKDAY(DATE(Semana!$J$3,1,4),3))+($L501-1)*7+MATCH($M501,Listas!$F$5:$F$11,0)-1)</f>
        <v/>
      </c>
      <c r="P501" s="47" t="str">
        <f aca="false">IF(OR($F501="",$O501=""),"",$O501+MAX(0,ROUNDUP($AK501*MAX(1,IF($N501="",1,$N501))/MAX(1,$AL501),0)-1))</f>
        <v/>
      </c>
      <c r="Q501" s="48"/>
      <c r="R501" s="43"/>
      <c r="S501" s="49"/>
      <c r="T501" s="42"/>
      <c r="U501" s="42"/>
      <c r="V501" s="39" t="str">
        <f aca="false">IF($F501="","",IF(ISNUMBER(SEARCH("(externo)",$I501&amp;$J501&amp;$K501)),"Terceirizada","Interna"))</f>
        <v/>
      </c>
      <c r="W501" s="47" t="str">
        <f aca="false">IF($O501="","",IF($S501="",$O501,(DATE(Semana!$J$3,1,4)-WEEKDAY(DATE(Semana!$J$3,1,4),3))+($S501-1)*7+IF($M501="",0,MATCH($M501,Listas!$F$5:$F$11,0)-1)))</f>
        <v/>
      </c>
      <c r="X501" s="39" t="str">
        <f aca="false">IF($F501="","",IF(OR($AT501="",$O501=""),0,IF($AT501&lt;=$O501,1,0)))</f>
        <v/>
      </c>
      <c r="Y501" s="39" t="str">
        <f aca="false">IF($F501="","",IF(OR($AT501="",$W501=""),0,IF($AT501&lt;=$W501,1,0)))</f>
        <v/>
      </c>
      <c r="Z501" s="39" t="str">
        <f aca="false">IF(OR($AT501="",$O501=""),"",MAX(0,$AT501-$O501))</f>
        <v/>
      </c>
      <c r="AA501" s="39" t="str">
        <f aca="false">IF($F501="","",IF(AND($S501&lt;&gt;"",$L501&lt;&gt;"",$S501&lt;&gt;$L501),1,0))</f>
        <v/>
      </c>
      <c r="AB501" s="39" t="str">
        <f aca="false">IF($F501="","",IF($R501="Cancelada",0,IF(OR($AT501&lt;&gt;"",$R501="Concluída"),1,0)))</f>
        <v/>
      </c>
      <c r="AC501" s="39" t="n">
        <f aca="false">IF($P501="",0,IF($P501&lt;Hoje!$L$1,1,IF(AND($P501=Hoje!$L$1,Hoje!$L$2&gt;Semana!$M$3),1,0)))</f>
        <v>0</v>
      </c>
      <c r="AD501" s="39" t="str">
        <f aca="false">IF($F501="","",IF(COUNTA($I501:$K501)=0,0,1/COUNTA($I501:$K501)))</f>
        <v/>
      </c>
      <c r="AE501" s="39" t="str">
        <f aca="false">IF($AH501=0,"",SUM($AH$4:$AH501))</f>
        <v/>
      </c>
      <c r="AF501" s="39" t="str">
        <f aca="false">IF($AI501=0,"",SUM($AI$4:$AI501))</f>
        <v/>
      </c>
      <c r="AG501" s="50" t="str">
        <f aca="false">IF($F501="","",$I501&amp;IF($J501="",""," · "&amp;$J501)&amp;IF($K501="",""," · "&amp;$K501))</f>
        <v/>
      </c>
      <c r="AH501" s="39" t="n">
        <f aca="false">IF(AND($F501&lt;&gt;"",$O501&lt;&gt;"",$O501&lt;=Hoje!$C$3,$P501&gt;=Hoje!$C$3,$R501&lt;&gt;"Cancelada"),1,0)</f>
        <v>0</v>
      </c>
      <c r="AI501" s="39" t="n">
        <f aca="false">IF(AND($F501&lt;&gt;"",$P501&lt;&gt;"",$P501&lt;Hoje!$C$3,$AB501=0,$R501&lt;&gt;"Cancelada"),1,0)</f>
        <v>0</v>
      </c>
      <c r="AJ501" s="50" t="str">
        <f aca="false">IF($F501="","",$D501&amp;"|"&amp;$E501&amp;"|"&amp;$L501)</f>
        <v/>
      </c>
      <c r="AK501" s="39" t="str">
        <f aca="false">IF($AJ501="","",COUNTIF($AJ$4:$AJ501,$AJ501))</f>
        <v/>
      </c>
      <c r="AL501" s="39" t="str">
        <f aca="false">IF($AJ501="","",COUNTIF($AJ$4:$AJ$1004,$AJ501))</f>
        <v/>
      </c>
      <c r="AM501" s="42"/>
      <c r="AN501" s="50" t="str">
        <f aca="false">IF($D501="","",IFERROR(T(VLOOKUP($D501,Listas!$B$5:$H$120,7,0)),""))</f>
        <v/>
      </c>
      <c r="AO501" s="50" t="str">
        <f aca="false">IF(OR($F501="",$L501&lt;&gt;"",$R501="Cancelada",$AT501&lt;&gt;""),"",$AN501&amp;"|"&amp;$D501&amp;"|"&amp;IF($C501="","zzz",$C501)&amp;"|"&amp;TEXT(501,"0000"))</f>
        <v/>
      </c>
      <c r="AP501" s="50" t="str">
        <f aca="false">IF($AO501="","",COUNTIF($AO$5:$AO$1004,"&lt;"&amp;$AO501)-(ROWS($AO$5:$AO$1004)-Hoje!$L$5)+1)</f>
        <v/>
      </c>
      <c r="AQ501" s="50" t="n">
        <f aca="false">IF(AND($F501&lt;&gt;"",$D501=Frota!$C$3),1,0)</f>
        <v>0</v>
      </c>
      <c r="AR501" s="50" t="str">
        <f aca="false">IF($AQ501=0,"",SUM($AQ$4:$AQ501))</f>
        <v/>
      </c>
      <c r="AS501" s="50" t="str">
        <f aca="false">IFERROR(INDEX(Hoje!$K$10:$K$29,MATCH(ROW(),Hoje!$J$10:$J$29,0)),"")</f>
        <v/>
      </c>
      <c r="AT501" s="50" t="str">
        <f aca="false">IF($Q501&lt;&gt;"",$Q501,$AS501)</f>
        <v/>
      </c>
    </row>
    <row r="502" customFormat="false" ht="16.5" hidden="false" customHeight="true" outlineLevel="0" collapsed="false">
      <c r="A502" s="39" t="str">
        <f aca="false">IF($F502="","",ROW())</f>
        <v/>
      </c>
      <c r="B502" s="40" t="str">
        <f aca="false">IF($F502="",IF($D502="","","Falta a atividade"),IF($R502="Cancelada","Cancelada",IF($AB502=1,IF(N($Z502)&gt;0,"Concluída com atraso","Concluída"),IF($R502="Em programação","Em programação",IF($O502="",IF($M502="","Na carteira","Falta a semana"),IF($AC502=1,"VENCIDA",IF($O502&gt;Hoje!$L$1,"Programada",IF($P502&gt;Hoje!$L$1,"Em execução","Fecha hoje"))))))))</f>
        <v/>
      </c>
      <c r="C502" s="41"/>
      <c r="D502" s="42"/>
      <c r="E502" s="42"/>
      <c r="F502" s="42"/>
      <c r="G502" s="43"/>
      <c r="H502" s="43"/>
      <c r="I502" s="44"/>
      <c r="J502" s="44"/>
      <c r="K502" s="44"/>
      <c r="L502" s="45"/>
      <c r="M502" s="46"/>
      <c r="N502" s="45"/>
      <c r="O502" s="47" t="str">
        <f aca="false">IF(OR($L502="",$M502=""),"",(DATE(Semana!$J$3,1,4)-WEEKDAY(DATE(Semana!$J$3,1,4),3))+($L502-1)*7+MATCH($M502,Listas!$F$5:$F$11,0)-1)</f>
        <v/>
      </c>
      <c r="P502" s="47" t="str">
        <f aca="false">IF(OR($F502="",$O502=""),"",$O502+MAX(0,ROUNDUP($AK502*MAX(1,IF($N502="",1,$N502))/MAX(1,$AL502),0)-1))</f>
        <v/>
      </c>
      <c r="Q502" s="48"/>
      <c r="R502" s="43"/>
      <c r="S502" s="49"/>
      <c r="T502" s="42"/>
      <c r="U502" s="42"/>
      <c r="V502" s="39" t="str">
        <f aca="false">IF($F502="","",IF(ISNUMBER(SEARCH("(externo)",$I502&amp;$J502&amp;$K502)),"Terceirizada","Interna"))</f>
        <v/>
      </c>
      <c r="W502" s="47" t="str">
        <f aca="false">IF($O502="","",IF($S502="",$O502,(DATE(Semana!$J$3,1,4)-WEEKDAY(DATE(Semana!$J$3,1,4),3))+($S502-1)*7+IF($M502="",0,MATCH($M502,Listas!$F$5:$F$11,0)-1)))</f>
        <v/>
      </c>
      <c r="X502" s="39" t="str">
        <f aca="false">IF($F502="","",IF(OR($AT502="",$O502=""),0,IF($AT502&lt;=$O502,1,0)))</f>
        <v/>
      </c>
      <c r="Y502" s="39" t="str">
        <f aca="false">IF($F502="","",IF(OR($AT502="",$W502=""),0,IF($AT502&lt;=$W502,1,0)))</f>
        <v/>
      </c>
      <c r="Z502" s="39" t="str">
        <f aca="false">IF(OR($AT502="",$O502=""),"",MAX(0,$AT502-$O502))</f>
        <v/>
      </c>
      <c r="AA502" s="39" t="str">
        <f aca="false">IF($F502="","",IF(AND($S502&lt;&gt;"",$L502&lt;&gt;"",$S502&lt;&gt;$L502),1,0))</f>
        <v/>
      </c>
      <c r="AB502" s="39" t="str">
        <f aca="false">IF($F502="","",IF($R502="Cancelada",0,IF(OR($AT502&lt;&gt;"",$R502="Concluída"),1,0)))</f>
        <v/>
      </c>
      <c r="AC502" s="39" t="n">
        <f aca="false">IF($P502="",0,IF($P502&lt;Hoje!$L$1,1,IF(AND($P502=Hoje!$L$1,Hoje!$L$2&gt;Semana!$M$3),1,0)))</f>
        <v>0</v>
      </c>
      <c r="AD502" s="39" t="str">
        <f aca="false">IF($F502="","",IF(COUNTA($I502:$K502)=0,0,1/COUNTA($I502:$K502)))</f>
        <v/>
      </c>
      <c r="AE502" s="39" t="str">
        <f aca="false">IF($AH502=0,"",SUM($AH$4:$AH502))</f>
        <v/>
      </c>
      <c r="AF502" s="39" t="str">
        <f aca="false">IF($AI502=0,"",SUM($AI$4:$AI502))</f>
        <v/>
      </c>
      <c r="AG502" s="50" t="str">
        <f aca="false">IF($F502="","",$I502&amp;IF($J502="",""," · "&amp;$J502)&amp;IF($K502="",""," · "&amp;$K502))</f>
        <v/>
      </c>
      <c r="AH502" s="39" t="n">
        <f aca="false">IF(AND($F502&lt;&gt;"",$O502&lt;&gt;"",$O502&lt;=Hoje!$C$3,$P502&gt;=Hoje!$C$3,$R502&lt;&gt;"Cancelada"),1,0)</f>
        <v>0</v>
      </c>
      <c r="AI502" s="39" t="n">
        <f aca="false">IF(AND($F502&lt;&gt;"",$P502&lt;&gt;"",$P502&lt;Hoje!$C$3,$AB502=0,$R502&lt;&gt;"Cancelada"),1,0)</f>
        <v>0</v>
      </c>
      <c r="AJ502" s="50" t="str">
        <f aca="false">IF($F502="","",$D502&amp;"|"&amp;$E502&amp;"|"&amp;$L502)</f>
        <v/>
      </c>
      <c r="AK502" s="39" t="str">
        <f aca="false">IF($AJ502="","",COUNTIF($AJ$4:$AJ502,$AJ502))</f>
        <v/>
      </c>
      <c r="AL502" s="39" t="str">
        <f aca="false">IF($AJ502="","",COUNTIF($AJ$4:$AJ$1004,$AJ502))</f>
        <v/>
      </c>
      <c r="AM502" s="42"/>
      <c r="AN502" s="50" t="str">
        <f aca="false">IF($D502="","",IFERROR(T(VLOOKUP($D502,Listas!$B$5:$H$120,7,0)),""))</f>
        <v/>
      </c>
      <c r="AO502" s="50" t="str">
        <f aca="false">IF(OR($F502="",$L502&lt;&gt;"",$R502="Cancelada",$AT502&lt;&gt;""),"",$AN502&amp;"|"&amp;$D502&amp;"|"&amp;IF($C502="","zzz",$C502)&amp;"|"&amp;TEXT(502,"0000"))</f>
        <v/>
      </c>
      <c r="AP502" s="50" t="str">
        <f aca="false">IF($AO502="","",COUNTIF($AO$5:$AO$1004,"&lt;"&amp;$AO502)-(ROWS($AO$5:$AO$1004)-Hoje!$L$5)+1)</f>
        <v/>
      </c>
      <c r="AQ502" s="50" t="n">
        <f aca="false">IF(AND($F502&lt;&gt;"",$D502=Frota!$C$3),1,0)</f>
        <v>0</v>
      </c>
      <c r="AR502" s="50" t="str">
        <f aca="false">IF($AQ502=0,"",SUM($AQ$4:$AQ502))</f>
        <v/>
      </c>
      <c r="AS502" s="50" t="str">
        <f aca="false">IFERROR(INDEX(Hoje!$K$10:$K$29,MATCH(ROW(),Hoje!$J$10:$J$29,0)),"")</f>
        <v/>
      </c>
      <c r="AT502" s="50" t="str">
        <f aca="false">IF($Q502&lt;&gt;"",$Q502,$AS502)</f>
        <v/>
      </c>
    </row>
    <row r="503" customFormat="false" ht="16.5" hidden="false" customHeight="true" outlineLevel="0" collapsed="false">
      <c r="A503" s="39" t="str">
        <f aca="false">IF($F503="","",ROW())</f>
        <v/>
      </c>
      <c r="B503" s="40" t="str">
        <f aca="false">IF($F503="",IF($D503="","","Falta a atividade"),IF($R503="Cancelada","Cancelada",IF($AB503=1,IF(N($Z503)&gt;0,"Concluída com atraso","Concluída"),IF($R503="Em programação","Em programação",IF($O503="",IF($M503="","Na carteira","Falta a semana"),IF($AC503=1,"VENCIDA",IF($O503&gt;Hoje!$L$1,"Programada",IF($P503&gt;Hoje!$L$1,"Em execução","Fecha hoje"))))))))</f>
        <v/>
      </c>
      <c r="C503" s="41"/>
      <c r="D503" s="42"/>
      <c r="E503" s="42"/>
      <c r="F503" s="42"/>
      <c r="G503" s="43"/>
      <c r="H503" s="43"/>
      <c r="I503" s="44"/>
      <c r="J503" s="44"/>
      <c r="K503" s="44"/>
      <c r="L503" s="45"/>
      <c r="M503" s="46"/>
      <c r="N503" s="45"/>
      <c r="O503" s="47" t="str">
        <f aca="false">IF(OR($L503="",$M503=""),"",(DATE(Semana!$J$3,1,4)-WEEKDAY(DATE(Semana!$J$3,1,4),3))+($L503-1)*7+MATCH($M503,Listas!$F$5:$F$11,0)-1)</f>
        <v/>
      </c>
      <c r="P503" s="47" t="str">
        <f aca="false">IF(OR($F503="",$O503=""),"",$O503+MAX(0,ROUNDUP($AK503*MAX(1,IF($N503="",1,$N503))/MAX(1,$AL503),0)-1))</f>
        <v/>
      </c>
      <c r="Q503" s="48"/>
      <c r="R503" s="43"/>
      <c r="S503" s="49"/>
      <c r="T503" s="42"/>
      <c r="U503" s="42"/>
      <c r="V503" s="39" t="str">
        <f aca="false">IF($F503="","",IF(ISNUMBER(SEARCH("(externo)",$I503&amp;$J503&amp;$K503)),"Terceirizada","Interna"))</f>
        <v/>
      </c>
      <c r="W503" s="47" t="str">
        <f aca="false">IF($O503="","",IF($S503="",$O503,(DATE(Semana!$J$3,1,4)-WEEKDAY(DATE(Semana!$J$3,1,4),3))+($S503-1)*7+IF($M503="",0,MATCH($M503,Listas!$F$5:$F$11,0)-1)))</f>
        <v/>
      </c>
      <c r="X503" s="39" t="str">
        <f aca="false">IF($F503="","",IF(OR($AT503="",$O503=""),0,IF($AT503&lt;=$O503,1,0)))</f>
        <v/>
      </c>
      <c r="Y503" s="39" t="str">
        <f aca="false">IF($F503="","",IF(OR($AT503="",$W503=""),0,IF($AT503&lt;=$W503,1,0)))</f>
        <v/>
      </c>
      <c r="Z503" s="39" t="str">
        <f aca="false">IF(OR($AT503="",$O503=""),"",MAX(0,$AT503-$O503))</f>
        <v/>
      </c>
      <c r="AA503" s="39" t="str">
        <f aca="false">IF($F503="","",IF(AND($S503&lt;&gt;"",$L503&lt;&gt;"",$S503&lt;&gt;$L503),1,0))</f>
        <v/>
      </c>
      <c r="AB503" s="39" t="str">
        <f aca="false">IF($F503="","",IF($R503="Cancelada",0,IF(OR($AT503&lt;&gt;"",$R503="Concluída"),1,0)))</f>
        <v/>
      </c>
      <c r="AC503" s="39" t="n">
        <f aca="false">IF($P503="",0,IF($P503&lt;Hoje!$L$1,1,IF(AND($P503=Hoje!$L$1,Hoje!$L$2&gt;Semana!$M$3),1,0)))</f>
        <v>0</v>
      </c>
      <c r="AD503" s="39" t="str">
        <f aca="false">IF($F503="","",IF(COUNTA($I503:$K503)=0,0,1/COUNTA($I503:$K503)))</f>
        <v/>
      </c>
      <c r="AE503" s="39" t="str">
        <f aca="false">IF($AH503=0,"",SUM($AH$4:$AH503))</f>
        <v/>
      </c>
      <c r="AF503" s="39" t="str">
        <f aca="false">IF($AI503=0,"",SUM($AI$4:$AI503))</f>
        <v/>
      </c>
      <c r="AG503" s="50" t="str">
        <f aca="false">IF($F503="","",$I503&amp;IF($J503="",""," · "&amp;$J503)&amp;IF($K503="",""," · "&amp;$K503))</f>
        <v/>
      </c>
      <c r="AH503" s="39" t="n">
        <f aca="false">IF(AND($F503&lt;&gt;"",$O503&lt;&gt;"",$O503&lt;=Hoje!$C$3,$P503&gt;=Hoje!$C$3,$R503&lt;&gt;"Cancelada"),1,0)</f>
        <v>0</v>
      </c>
      <c r="AI503" s="39" t="n">
        <f aca="false">IF(AND($F503&lt;&gt;"",$P503&lt;&gt;"",$P503&lt;Hoje!$C$3,$AB503=0,$R503&lt;&gt;"Cancelada"),1,0)</f>
        <v>0</v>
      </c>
      <c r="AJ503" s="50" t="str">
        <f aca="false">IF($F503="","",$D503&amp;"|"&amp;$E503&amp;"|"&amp;$L503)</f>
        <v/>
      </c>
      <c r="AK503" s="39" t="str">
        <f aca="false">IF($AJ503="","",COUNTIF($AJ$4:$AJ503,$AJ503))</f>
        <v/>
      </c>
      <c r="AL503" s="39" t="str">
        <f aca="false">IF($AJ503="","",COUNTIF($AJ$4:$AJ$1004,$AJ503))</f>
        <v/>
      </c>
      <c r="AM503" s="42"/>
      <c r="AN503" s="50" t="str">
        <f aca="false">IF($D503="","",IFERROR(T(VLOOKUP($D503,Listas!$B$5:$H$120,7,0)),""))</f>
        <v/>
      </c>
      <c r="AO503" s="50" t="str">
        <f aca="false">IF(OR($F503="",$L503&lt;&gt;"",$R503="Cancelada",$AT503&lt;&gt;""),"",$AN503&amp;"|"&amp;$D503&amp;"|"&amp;IF($C503="","zzz",$C503)&amp;"|"&amp;TEXT(503,"0000"))</f>
        <v/>
      </c>
      <c r="AP503" s="50" t="str">
        <f aca="false">IF($AO503="","",COUNTIF($AO$5:$AO$1004,"&lt;"&amp;$AO503)-(ROWS($AO$5:$AO$1004)-Hoje!$L$5)+1)</f>
        <v/>
      </c>
      <c r="AQ503" s="50" t="n">
        <f aca="false">IF(AND($F503&lt;&gt;"",$D503=Frota!$C$3),1,0)</f>
        <v>0</v>
      </c>
      <c r="AR503" s="50" t="str">
        <f aca="false">IF($AQ503=0,"",SUM($AQ$4:$AQ503))</f>
        <v/>
      </c>
      <c r="AS503" s="50" t="str">
        <f aca="false">IFERROR(INDEX(Hoje!$K$10:$K$29,MATCH(ROW(),Hoje!$J$10:$J$29,0)),"")</f>
        <v/>
      </c>
      <c r="AT503" s="50" t="str">
        <f aca="false">IF($Q503&lt;&gt;"",$Q503,$AS503)</f>
        <v/>
      </c>
    </row>
    <row r="504" customFormat="false" ht="16.5" hidden="false" customHeight="true" outlineLevel="0" collapsed="false">
      <c r="A504" s="39" t="str">
        <f aca="false">IF($F504="","",ROW())</f>
        <v/>
      </c>
      <c r="B504" s="40" t="str">
        <f aca="false">IF($F504="",IF($D504="","","Falta a atividade"),IF($R504="Cancelada","Cancelada",IF($AB504=1,IF(N($Z504)&gt;0,"Concluída com atraso","Concluída"),IF($R504="Em programação","Em programação",IF($O504="",IF($M504="","Na carteira","Falta a semana"),IF($AC504=1,"VENCIDA",IF($O504&gt;Hoje!$L$1,"Programada",IF($P504&gt;Hoje!$L$1,"Em execução","Fecha hoje"))))))))</f>
        <v/>
      </c>
      <c r="C504" s="41"/>
      <c r="D504" s="42"/>
      <c r="E504" s="42"/>
      <c r="F504" s="42"/>
      <c r="G504" s="43"/>
      <c r="H504" s="43"/>
      <c r="I504" s="44"/>
      <c r="J504" s="44"/>
      <c r="K504" s="44"/>
      <c r="L504" s="45"/>
      <c r="M504" s="46"/>
      <c r="N504" s="45"/>
      <c r="O504" s="47" t="str">
        <f aca="false">IF(OR($L504="",$M504=""),"",(DATE(Semana!$J$3,1,4)-WEEKDAY(DATE(Semana!$J$3,1,4),3))+($L504-1)*7+MATCH($M504,Listas!$F$5:$F$11,0)-1)</f>
        <v/>
      </c>
      <c r="P504" s="47" t="str">
        <f aca="false">IF(OR($F504="",$O504=""),"",$O504+MAX(0,ROUNDUP($AK504*MAX(1,IF($N504="",1,$N504))/MAX(1,$AL504),0)-1))</f>
        <v/>
      </c>
      <c r="Q504" s="48"/>
      <c r="R504" s="43"/>
      <c r="S504" s="49"/>
      <c r="T504" s="42"/>
      <c r="U504" s="42"/>
      <c r="V504" s="39" t="str">
        <f aca="false">IF($F504="","",IF(ISNUMBER(SEARCH("(externo)",$I504&amp;$J504&amp;$K504)),"Terceirizada","Interna"))</f>
        <v/>
      </c>
      <c r="W504" s="47" t="str">
        <f aca="false">IF($O504="","",IF($S504="",$O504,(DATE(Semana!$J$3,1,4)-WEEKDAY(DATE(Semana!$J$3,1,4),3))+($S504-1)*7+IF($M504="",0,MATCH($M504,Listas!$F$5:$F$11,0)-1)))</f>
        <v/>
      </c>
      <c r="X504" s="39" t="str">
        <f aca="false">IF($F504="","",IF(OR($AT504="",$O504=""),0,IF($AT504&lt;=$O504,1,0)))</f>
        <v/>
      </c>
      <c r="Y504" s="39" t="str">
        <f aca="false">IF($F504="","",IF(OR($AT504="",$W504=""),0,IF($AT504&lt;=$W504,1,0)))</f>
        <v/>
      </c>
      <c r="Z504" s="39" t="str">
        <f aca="false">IF(OR($AT504="",$O504=""),"",MAX(0,$AT504-$O504))</f>
        <v/>
      </c>
      <c r="AA504" s="39" t="str">
        <f aca="false">IF($F504="","",IF(AND($S504&lt;&gt;"",$L504&lt;&gt;"",$S504&lt;&gt;$L504),1,0))</f>
        <v/>
      </c>
      <c r="AB504" s="39" t="str">
        <f aca="false">IF($F504="","",IF($R504="Cancelada",0,IF(OR($AT504&lt;&gt;"",$R504="Concluída"),1,0)))</f>
        <v/>
      </c>
      <c r="AC504" s="39" t="n">
        <f aca="false">IF($P504="",0,IF($P504&lt;Hoje!$L$1,1,IF(AND($P504=Hoje!$L$1,Hoje!$L$2&gt;Semana!$M$3),1,0)))</f>
        <v>0</v>
      </c>
      <c r="AD504" s="39" t="str">
        <f aca="false">IF($F504="","",IF(COUNTA($I504:$K504)=0,0,1/COUNTA($I504:$K504)))</f>
        <v/>
      </c>
      <c r="AE504" s="39" t="str">
        <f aca="false">IF($AH504=0,"",SUM($AH$4:$AH504))</f>
        <v/>
      </c>
      <c r="AF504" s="39" t="str">
        <f aca="false">IF($AI504=0,"",SUM($AI$4:$AI504))</f>
        <v/>
      </c>
      <c r="AG504" s="50" t="str">
        <f aca="false">IF($F504="","",$I504&amp;IF($J504="",""," · "&amp;$J504)&amp;IF($K504="",""," · "&amp;$K504))</f>
        <v/>
      </c>
      <c r="AH504" s="39" t="n">
        <f aca="false">IF(AND($F504&lt;&gt;"",$O504&lt;&gt;"",$O504&lt;=Hoje!$C$3,$P504&gt;=Hoje!$C$3,$R504&lt;&gt;"Cancelada"),1,0)</f>
        <v>0</v>
      </c>
      <c r="AI504" s="39" t="n">
        <f aca="false">IF(AND($F504&lt;&gt;"",$P504&lt;&gt;"",$P504&lt;Hoje!$C$3,$AB504=0,$R504&lt;&gt;"Cancelada"),1,0)</f>
        <v>0</v>
      </c>
      <c r="AJ504" s="50" t="str">
        <f aca="false">IF($F504="","",$D504&amp;"|"&amp;$E504&amp;"|"&amp;$L504)</f>
        <v/>
      </c>
      <c r="AK504" s="39" t="str">
        <f aca="false">IF($AJ504="","",COUNTIF($AJ$4:$AJ504,$AJ504))</f>
        <v/>
      </c>
      <c r="AL504" s="39" t="str">
        <f aca="false">IF($AJ504="","",COUNTIF($AJ$4:$AJ$1004,$AJ504))</f>
        <v/>
      </c>
      <c r="AM504" s="42"/>
      <c r="AN504" s="50" t="str">
        <f aca="false">IF($D504="","",IFERROR(T(VLOOKUP($D504,Listas!$B$5:$H$120,7,0)),""))</f>
        <v/>
      </c>
      <c r="AO504" s="50" t="str">
        <f aca="false">IF(OR($F504="",$L504&lt;&gt;"",$R504="Cancelada",$AT504&lt;&gt;""),"",$AN504&amp;"|"&amp;$D504&amp;"|"&amp;IF($C504="","zzz",$C504)&amp;"|"&amp;TEXT(504,"0000"))</f>
        <v/>
      </c>
      <c r="AP504" s="50" t="str">
        <f aca="false">IF($AO504="","",COUNTIF($AO$5:$AO$1004,"&lt;"&amp;$AO504)-(ROWS($AO$5:$AO$1004)-Hoje!$L$5)+1)</f>
        <v/>
      </c>
      <c r="AQ504" s="50" t="n">
        <f aca="false">IF(AND($F504&lt;&gt;"",$D504=Frota!$C$3),1,0)</f>
        <v>0</v>
      </c>
      <c r="AR504" s="50" t="str">
        <f aca="false">IF($AQ504=0,"",SUM($AQ$4:$AQ504))</f>
        <v/>
      </c>
      <c r="AS504" s="50" t="str">
        <f aca="false">IFERROR(INDEX(Hoje!$K$10:$K$29,MATCH(ROW(),Hoje!$J$10:$J$29,0)),"")</f>
        <v/>
      </c>
      <c r="AT504" s="50" t="str">
        <f aca="false">IF($Q504&lt;&gt;"",$Q504,$AS504)</f>
        <v/>
      </c>
    </row>
    <row r="505" customFormat="false" ht="16.5" hidden="false" customHeight="true" outlineLevel="0" collapsed="false">
      <c r="A505" s="39" t="str">
        <f aca="false">IF($F505="","",ROW())</f>
        <v/>
      </c>
      <c r="B505" s="40" t="str">
        <f aca="false">IF($F505="",IF($D505="","","Falta a atividade"),IF($R505="Cancelada","Cancelada",IF($AB505=1,IF(N($Z505)&gt;0,"Concluída com atraso","Concluída"),IF($R505="Em programação","Em programação",IF($O505="",IF($M505="","Na carteira","Falta a semana"),IF($AC505=1,"VENCIDA",IF($O505&gt;Hoje!$L$1,"Programada",IF($P505&gt;Hoje!$L$1,"Em execução","Fecha hoje"))))))))</f>
        <v/>
      </c>
      <c r="C505" s="41"/>
      <c r="D505" s="42"/>
      <c r="E505" s="42"/>
      <c r="F505" s="42"/>
      <c r="G505" s="43"/>
      <c r="H505" s="43"/>
      <c r="I505" s="44"/>
      <c r="J505" s="44"/>
      <c r="K505" s="44"/>
      <c r="L505" s="45"/>
      <c r="M505" s="46"/>
      <c r="N505" s="45"/>
      <c r="O505" s="47" t="str">
        <f aca="false">IF(OR($L505="",$M505=""),"",(DATE(Semana!$J$3,1,4)-WEEKDAY(DATE(Semana!$J$3,1,4),3))+($L505-1)*7+MATCH($M505,Listas!$F$5:$F$11,0)-1)</f>
        <v/>
      </c>
      <c r="P505" s="47" t="str">
        <f aca="false">IF(OR($F505="",$O505=""),"",$O505+MAX(0,ROUNDUP($AK505*MAX(1,IF($N505="",1,$N505))/MAX(1,$AL505),0)-1))</f>
        <v/>
      </c>
      <c r="Q505" s="48"/>
      <c r="R505" s="43"/>
      <c r="S505" s="49"/>
      <c r="T505" s="42"/>
      <c r="U505" s="42"/>
      <c r="V505" s="39" t="str">
        <f aca="false">IF($F505="","",IF(ISNUMBER(SEARCH("(externo)",$I505&amp;$J505&amp;$K505)),"Terceirizada","Interna"))</f>
        <v/>
      </c>
      <c r="W505" s="47" t="str">
        <f aca="false">IF($O505="","",IF($S505="",$O505,(DATE(Semana!$J$3,1,4)-WEEKDAY(DATE(Semana!$J$3,1,4),3))+($S505-1)*7+IF($M505="",0,MATCH($M505,Listas!$F$5:$F$11,0)-1)))</f>
        <v/>
      </c>
      <c r="X505" s="39" t="str">
        <f aca="false">IF($F505="","",IF(OR($AT505="",$O505=""),0,IF($AT505&lt;=$O505,1,0)))</f>
        <v/>
      </c>
      <c r="Y505" s="39" t="str">
        <f aca="false">IF($F505="","",IF(OR($AT505="",$W505=""),0,IF($AT505&lt;=$W505,1,0)))</f>
        <v/>
      </c>
      <c r="Z505" s="39" t="str">
        <f aca="false">IF(OR($AT505="",$O505=""),"",MAX(0,$AT505-$O505))</f>
        <v/>
      </c>
      <c r="AA505" s="39" t="str">
        <f aca="false">IF($F505="","",IF(AND($S505&lt;&gt;"",$L505&lt;&gt;"",$S505&lt;&gt;$L505),1,0))</f>
        <v/>
      </c>
      <c r="AB505" s="39" t="str">
        <f aca="false">IF($F505="","",IF($R505="Cancelada",0,IF(OR($AT505&lt;&gt;"",$R505="Concluída"),1,0)))</f>
        <v/>
      </c>
      <c r="AC505" s="39" t="n">
        <f aca="false">IF($P505="",0,IF($P505&lt;Hoje!$L$1,1,IF(AND($P505=Hoje!$L$1,Hoje!$L$2&gt;Semana!$M$3),1,0)))</f>
        <v>0</v>
      </c>
      <c r="AD505" s="39" t="str">
        <f aca="false">IF($F505="","",IF(COUNTA($I505:$K505)=0,0,1/COUNTA($I505:$K505)))</f>
        <v/>
      </c>
      <c r="AE505" s="39" t="str">
        <f aca="false">IF($AH505=0,"",SUM($AH$4:$AH505))</f>
        <v/>
      </c>
      <c r="AF505" s="39" t="str">
        <f aca="false">IF($AI505=0,"",SUM($AI$4:$AI505))</f>
        <v/>
      </c>
      <c r="AG505" s="50" t="str">
        <f aca="false">IF($F505="","",$I505&amp;IF($J505="",""," · "&amp;$J505)&amp;IF($K505="",""," · "&amp;$K505))</f>
        <v/>
      </c>
      <c r="AH505" s="39" t="n">
        <f aca="false">IF(AND($F505&lt;&gt;"",$O505&lt;&gt;"",$O505&lt;=Hoje!$C$3,$P505&gt;=Hoje!$C$3,$R505&lt;&gt;"Cancelada"),1,0)</f>
        <v>0</v>
      </c>
      <c r="AI505" s="39" t="n">
        <f aca="false">IF(AND($F505&lt;&gt;"",$P505&lt;&gt;"",$P505&lt;Hoje!$C$3,$AB505=0,$R505&lt;&gt;"Cancelada"),1,0)</f>
        <v>0</v>
      </c>
      <c r="AJ505" s="50" t="str">
        <f aca="false">IF($F505="","",$D505&amp;"|"&amp;$E505&amp;"|"&amp;$L505)</f>
        <v/>
      </c>
      <c r="AK505" s="39" t="str">
        <f aca="false">IF($AJ505="","",COUNTIF($AJ$4:$AJ505,$AJ505))</f>
        <v/>
      </c>
      <c r="AL505" s="39" t="str">
        <f aca="false">IF($AJ505="","",COUNTIF($AJ$4:$AJ$1004,$AJ505))</f>
        <v/>
      </c>
      <c r="AM505" s="42"/>
      <c r="AN505" s="50" t="str">
        <f aca="false">IF($D505="","",IFERROR(T(VLOOKUP($D505,Listas!$B$5:$H$120,7,0)),""))</f>
        <v/>
      </c>
      <c r="AO505" s="50" t="str">
        <f aca="false">IF(OR($F505="",$L505&lt;&gt;"",$R505="Cancelada",$AT505&lt;&gt;""),"",$AN505&amp;"|"&amp;$D505&amp;"|"&amp;IF($C505="","zzz",$C505)&amp;"|"&amp;TEXT(505,"0000"))</f>
        <v/>
      </c>
      <c r="AP505" s="50" t="str">
        <f aca="false">IF($AO505="","",COUNTIF($AO$5:$AO$1004,"&lt;"&amp;$AO505)-(ROWS($AO$5:$AO$1004)-Hoje!$L$5)+1)</f>
        <v/>
      </c>
      <c r="AQ505" s="50" t="n">
        <f aca="false">IF(AND($F505&lt;&gt;"",$D505=Frota!$C$3),1,0)</f>
        <v>0</v>
      </c>
      <c r="AR505" s="50" t="str">
        <f aca="false">IF($AQ505=0,"",SUM($AQ$4:$AQ505))</f>
        <v/>
      </c>
      <c r="AS505" s="50" t="str">
        <f aca="false">IFERROR(INDEX(Hoje!$K$10:$K$29,MATCH(ROW(),Hoje!$J$10:$J$29,0)),"")</f>
        <v/>
      </c>
      <c r="AT505" s="50" t="str">
        <f aca="false">IF($Q505&lt;&gt;"",$Q505,$AS505)</f>
        <v/>
      </c>
    </row>
    <row r="506" customFormat="false" ht="16.5" hidden="false" customHeight="true" outlineLevel="0" collapsed="false">
      <c r="A506" s="39" t="str">
        <f aca="false">IF($F506="","",ROW())</f>
        <v/>
      </c>
      <c r="B506" s="40" t="str">
        <f aca="false">IF($F506="",IF($D506="","","Falta a atividade"),IF($R506="Cancelada","Cancelada",IF($AB506=1,IF(N($Z506)&gt;0,"Concluída com atraso","Concluída"),IF($R506="Em programação","Em programação",IF($O506="",IF($M506="","Na carteira","Falta a semana"),IF($AC506=1,"VENCIDA",IF($O506&gt;Hoje!$L$1,"Programada",IF($P506&gt;Hoje!$L$1,"Em execução","Fecha hoje"))))))))</f>
        <v/>
      </c>
      <c r="C506" s="41"/>
      <c r="D506" s="42"/>
      <c r="E506" s="42"/>
      <c r="F506" s="42"/>
      <c r="G506" s="43"/>
      <c r="H506" s="43"/>
      <c r="I506" s="44"/>
      <c r="J506" s="44"/>
      <c r="K506" s="44"/>
      <c r="L506" s="45"/>
      <c r="M506" s="46"/>
      <c r="N506" s="45"/>
      <c r="O506" s="47" t="str">
        <f aca="false">IF(OR($L506="",$M506=""),"",(DATE(Semana!$J$3,1,4)-WEEKDAY(DATE(Semana!$J$3,1,4),3))+($L506-1)*7+MATCH($M506,Listas!$F$5:$F$11,0)-1)</f>
        <v/>
      </c>
      <c r="P506" s="47" t="str">
        <f aca="false">IF(OR($F506="",$O506=""),"",$O506+MAX(0,ROUNDUP($AK506*MAX(1,IF($N506="",1,$N506))/MAX(1,$AL506),0)-1))</f>
        <v/>
      </c>
      <c r="Q506" s="48"/>
      <c r="R506" s="43"/>
      <c r="S506" s="49"/>
      <c r="T506" s="42"/>
      <c r="U506" s="42"/>
      <c r="V506" s="39" t="str">
        <f aca="false">IF($F506="","",IF(ISNUMBER(SEARCH("(externo)",$I506&amp;$J506&amp;$K506)),"Terceirizada","Interna"))</f>
        <v/>
      </c>
      <c r="W506" s="47" t="str">
        <f aca="false">IF($O506="","",IF($S506="",$O506,(DATE(Semana!$J$3,1,4)-WEEKDAY(DATE(Semana!$J$3,1,4),3))+($S506-1)*7+IF($M506="",0,MATCH($M506,Listas!$F$5:$F$11,0)-1)))</f>
        <v/>
      </c>
      <c r="X506" s="39" t="str">
        <f aca="false">IF($F506="","",IF(OR($AT506="",$O506=""),0,IF($AT506&lt;=$O506,1,0)))</f>
        <v/>
      </c>
      <c r="Y506" s="39" t="str">
        <f aca="false">IF($F506="","",IF(OR($AT506="",$W506=""),0,IF($AT506&lt;=$W506,1,0)))</f>
        <v/>
      </c>
      <c r="Z506" s="39" t="str">
        <f aca="false">IF(OR($AT506="",$O506=""),"",MAX(0,$AT506-$O506))</f>
        <v/>
      </c>
      <c r="AA506" s="39" t="str">
        <f aca="false">IF($F506="","",IF(AND($S506&lt;&gt;"",$L506&lt;&gt;"",$S506&lt;&gt;$L506),1,0))</f>
        <v/>
      </c>
      <c r="AB506" s="39" t="str">
        <f aca="false">IF($F506="","",IF($R506="Cancelada",0,IF(OR($AT506&lt;&gt;"",$R506="Concluída"),1,0)))</f>
        <v/>
      </c>
      <c r="AC506" s="39" t="n">
        <f aca="false">IF($P506="",0,IF($P506&lt;Hoje!$L$1,1,IF(AND($P506=Hoje!$L$1,Hoje!$L$2&gt;Semana!$M$3),1,0)))</f>
        <v>0</v>
      </c>
      <c r="AD506" s="39" t="str">
        <f aca="false">IF($F506="","",IF(COUNTA($I506:$K506)=0,0,1/COUNTA($I506:$K506)))</f>
        <v/>
      </c>
      <c r="AE506" s="39" t="str">
        <f aca="false">IF($AH506=0,"",SUM($AH$4:$AH506))</f>
        <v/>
      </c>
      <c r="AF506" s="39" t="str">
        <f aca="false">IF($AI506=0,"",SUM($AI$4:$AI506))</f>
        <v/>
      </c>
      <c r="AG506" s="50" t="str">
        <f aca="false">IF($F506="","",$I506&amp;IF($J506="",""," · "&amp;$J506)&amp;IF($K506="",""," · "&amp;$K506))</f>
        <v/>
      </c>
      <c r="AH506" s="39" t="n">
        <f aca="false">IF(AND($F506&lt;&gt;"",$O506&lt;&gt;"",$O506&lt;=Hoje!$C$3,$P506&gt;=Hoje!$C$3,$R506&lt;&gt;"Cancelada"),1,0)</f>
        <v>0</v>
      </c>
      <c r="AI506" s="39" t="n">
        <f aca="false">IF(AND($F506&lt;&gt;"",$P506&lt;&gt;"",$P506&lt;Hoje!$C$3,$AB506=0,$R506&lt;&gt;"Cancelada"),1,0)</f>
        <v>0</v>
      </c>
      <c r="AJ506" s="50" t="str">
        <f aca="false">IF($F506="","",$D506&amp;"|"&amp;$E506&amp;"|"&amp;$L506)</f>
        <v/>
      </c>
      <c r="AK506" s="39" t="str">
        <f aca="false">IF($AJ506="","",COUNTIF($AJ$4:$AJ506,$AJ506))</f>
        <v/>
      </c>
      <c r="AL506" s="39" t="str">
        <f aca="false">IF($AJ506="","",COUNTIF($AJ$4:$AJ$1004,$AJ506))</f>
        <v/>
      </c>
      <c r="AM506" s="42"/>
      <c r="AN506" s="50" t="str">
        <f aca="false">IF($D506="","",IFERROR(T(VLOOKUP($D506,Listas!$B$5:$H$120,7,0)),""))</f>
        <v/>
      </c>
      <c r="AO506" s="50" t="str">
        <f aca="false">IF(OR($F506="",$L506&lt;&gt;"",$R506="Cancelada",$AT506&lt;&gt;""),"",$AN506&amp;"|"&amp;$D506&amp;"|"&amp;IF($C506="","zzz",$C506)&amp;"|"&amp;TEXT(506,"0000"))</f>
        <v/>
      </c>
      <c r="AP506" s="50" t="str">
        <f aca="false">IF($AO506="","",COUNTIF($AO$5:$AO$1004,"&lt;"&amp;$AO506)-(ROWS($AO$5:$AO$1004)-Hoje!$L$5)+1)</f>
        <v/>
      </c>
      <c r="AQ506" s="50" t="n">
        <f aca="false">IF(AND($F506&lt;&gt;"",$D506=Frota!$C$3),1,0)</f>
        <v>0</v>
      </c>
      <c r="AR506" s="50" t="str">
        <f aca="false">IF($AQ506=0,"",SUM($AQ$4:$AQ506))</f>
        <v/>
      </c>
      <c r="AS506" s="50" t="str">
        <f aca="false">IFERROR(INDEX(Hoje!$K$10:$K$29,MATCH(ROW(),Hoje!$J$10:$J$29,0)),"")</f>
        <v/>
      </c>
      <c r="AT506" s="50" t="str">
        <f aca="false">IF($Q506&lt;&gt;"",$Q506,$AS506)</f>
        <v/>
      </c>
    </row>
    <row r="507" customFormat="false" ht="16.5" hidden="false" customHeight="true" outlineLevel="0" collapsed="false">
      <c r="A507" s="39" t="str">
        <f aca="false">IF($F507="","",ROW())</f>
        <v/>
      </c>
      <c r="B507" s="40" t="str">
        <f aca="false">IF($F507="",IF($D507="","","Falta a atividade"),IF($R507="Cancelada","Cancelada",IF($AB507=1,IF(N($Z507)&gt;0,"Concluída com atraso","Concluída"),IF($R507="Em programação","Em programação",IF($O507="",IF($M507="","Na carteira","Falta a semana"),IF($AC507=1,"VENCIDA",IF($O507&gt;Hoje!$L$1,"Programada",IF($P507&gt;Hoje!$L$1,"Em execução","Fecha hoje"))))))))</f>
        <v/>
      </c>
      <c r="C507" s="41"/>
      <c r="D507" s="42"/>
      <c r="E507" s="42"/>
      <c r="F507" s="42"/>
      <c r="G507" s="43"/>
      <c r="H507" s="43"/>
      <c r="I507" s="44"/>
      <c r="J507" s="44"/>
      <c r="K507" s="44"/>
      <c r="L507" s="45"/>
      <c r="M507" s="46"/>
      <c r="N507" s="45"/>
      <c r="O507" s="47" t="str">
        <f aca="false">IF(OR($L507="",$M507=""),"",(DATE(Semana!$J$3,1,4)-WEEKDAY(DATE(Semana!$J$3,1,4),3))+($L507-1)*7+MATCH($M507,Listas!$F$5:$F$11,0)-1)</f>
        <v/>
      </c>
      <c r="P507" s="47" t="str">
        <f aca="false">IF(OR($F507="",$O507=""),"",$O507+MAX(0,ROUNDUP($AK507*MAX(1,IF($N507="",1,$N507))/MAX(1,$AL507),0)-1))</f>
        <v/>
      </c>
      <c r="Q507" s="48"/>
      <c r="R507" s="43"/>
      <c r="S507" s="49"/>
      <c r="T507" s="42"/>
      <c r="U507" s="42"/>
      <c r="V507" s="39" t="str">
        <f aca="false">IF($F507="","",IF(ISNUMBER(SEARCH("(externo)",$I507&amp;$J507&amp;$K507)),"Terceirizada","Interna"))</f>
        <v/>
      </c>
      <c r="W507" s="47" t="str">
        <f aca="false">IF($O507="","",IF($S507="",$O507,(DATE(Semana!$J$3,1,4)-WEEKDAY(DATE(Semana!$J$3,1,4),3))+($S507-1)*7+IF($M507="",0,MATCH($M507,Listas!$F$5:$F$11,0)-1)))</f>
        <v/>
      </c>
      <c r="X507" s="39" t="str">
        <f aca="false">IF($F507="","",IF(OR($AT507="",$O507=""),0,IF($AT507&lt;=$O507,1,0)))</f>
        <v/>
      </c>
      <c r="Y507" s="39" t="str">
        <f aca="false">IF($F507="","",IF(OR($AT507="",$W507=""),0,IF($AT507&lt;=$W507,1,0)))</f>
        <v/>
      </c>
      <c r="Z507" s="39" t="str">
        <f aca="false">IF(OR($AT507="",$O507=""),"",MAX(0,$AT507-$O507))</f>
        <v/>
      </c>
      <c r="AA507" s="39" t="str">
        <f aca="false">IF($F507="","",IF(AND($S507&lt;&gt;"",$L507&lt;&gt;"",$S507&lt;&gt;$L507),1,0))</f>
        <v/>
      </c>
      <c r="AB507" s="39" t="str">
        <f aca="false">IF($F507="","",IF($R507="Cancelada",0,IF(OR($AT507&lt;&gt;"",$R507="Concluída"),1,0)))</f>
        <v/>
      </c>
      <c r="AC507" s="39" t="n">
        <f aca="false">IF($P507="",0,IF($P507&lt;Hoje!$L$1,1,IF(AND($P507=Hoje!$L$1,Hoje!$L$2&gt;Semana!$M$3),1,0)))</f>
        <v>0</v>
      </c>
      <c r="AD507" s="39" t="str">
        <f aca="false">IF($F507="","",IF(COUNTA($I507:$K507)=0,0,1/COUNTA($I507:$K507)))</f>
        <v/>
      </c>
      <c r="AE507" s="39" t="str">
        <f aca="false">IF($AH507=0,"",SUM($AH$4:$AH507))</f>
        <v/>
      </c>
      <c r="AF507" s="39" t="str">
        <f aca="false">IF($AI507=0,"",SUM($AI$4:$AI507))</f>
        <v/>
      </c>
      <c r="AG507" s="50" t="str">
        <f aca="false">IF($F507="","",$I507&amp;IF($J507="",""," · "&amp;$J507)&amp;IF($K507="",""," · "&amp;$K507))</f>
        <v/>
      </c>
      <c r="AH507" s="39" t="n">
        <f aca="false">IF(AND($F507&lt;&gt;"",$O507&lt;&gt;"",$O507&lt;=Hoje!$C$3,$P507&gt;=Hoje!$C$3,$R507&lt;&gt;"Cancelada"),1,0)</f>
        <v>0</v>
      </c>
      <c r="AI507" s="39" t="n">
        <f aca="false">IF(AND($F507&lt;&gt;"",$P507&lt;&gt;"",$P507&lt;Hoje!$C$3,$AB507=0,$R507&lt;&gt;"Cancelada"),1,0)</f>
        <v>0</v>
      </c>
      <c r="AJ507" s="50" t="str">
        <f aca="false">IF($F507="","",$D507&amp;"|"&amp;$E507&amp;"|"&amp;$L507)</f>
        <v/>
      </c>
      <c r="AK507" s="39" t="str">
        <f aca="false">IF($AJ507="","",COUNTIF($AJ$4:$AJ507,$AJ507))</f>
        <v/>
      </c>
      <c r="AL507" s="39" t="str">
        <f aca="false">IF($AJ507="","",COUNTIF($AJ$4:$AJ$1004,$AJ507))</f>
        <v/>
      </c>
      <c r="AM507" s="42"/>
      <c r="AN507" s="50" t="str">
        <f aca="false">IF($D507="","",IFERROR(T(VLOOKUP($D507,Listas!$B$5:$H$120,7,0)),""))</f>
        <v/>
      </c>
      <c r="AO507" s="50" t="str">
        <f aca="false">IF(OR($F507="",$L507&lt;&gt;"",$R507="Cancelada",$AT507&lt;&gt;""),"",$AN507&amp;"|"&amp;$D507&amp;"|"&amp;IF($C507="","zzz",$C507)&amp;"|"&amp;TEXT(507,"0000"))</f>
        <v/>
      </c>
      <c r="AP507" s="50" t="str">
        <f aca="false">IF($AO507="","",COUNTIF($AO$5:$AO$1004,"&lt;"&amp;$AO507)-(ROWS($AO$5:$AO$1004)-Hoje!$L$5)+1)</f>
        <v/>
      </c>
      <c r="AQ507" s="50" t="n">
        <f aca="false">IF(AND($F507&lt;&gt;"",$D507=Frota!$C$3),1,0)</f>
        <v>0</v>
      </c>
      <c r="AR507" s="50" t="str">
        <f aca="false">IF($AQ507=0,"",SUM($AQ$4:$AQ507))</f>
        <v/>
      </c>
      <c r="AS507" s="50" t="str">
        <f aca="false">IFERROR(INDEX(Hoje!$K$10:$K$29,MATCH(ROW(),Hoje!$J$10:$J$29,0)),"")</f>
        <v/>
      </c>
      <c r="AT507" s="50" t="str">
        <f aca="false">IF($Q507&lt;&gt;"",$Q507,$AS507)</f>
        <v/>
      </c>
    </row>
    <row r="508" customFormat="false" ht="16.5" hidden="false" customHeight="true" outlineLevel="0" collapsed="false">
      <c r="A508" s="39" t="str">
        <f aca="false">IF($F508="","",ROW())</f>
        <v/>
      </c>
      <c r="B508" s="40" t="str">
        <f aca="false">IF($F508="",IF($D508="","","Falta a atividade"),IF($R508="Cancelada","Cancelada",IF($AB508=1,IF(N($Z508)&gt;0,"Concluída com atraso","Concluída"),IF($R508="Em programação","Em programação",IF($O508="",IF($M508="","Na carteira","Falta a semana"),IF($AC508=1,"VENCIDA",IF($O508&gt;Hoje!$L$1,"Programada",IF($P508&gt;Hoje!$L$1,"Em execução","Fecha hoje"))))))))</f>
        <v/>
      </c>
      <c r="C508" s="41"/>
      <c r="D508" s="42"/>
      <c r="E508" s="42"/>
      <c r="F508" s="42"/>
      <c r="G508" s="43"/>
      <c r="H508" s="43"/>
      <c r="I508" s="44"/>
      <c r="J508" s="44"/>
      <c r="K508" s="44"/>
      <c r="L508" s="45"/>
      <c r="M508" s="46"/>
      <c r="N508" s="45"/>
      <c r="O508" s="47" t="str">
        <f aca="false">IF(OR($L508="",$M508=""),"",(DATE(Semana!$J$3,1,4)-WEEKDAY(DATE(Semana!$J$3,1,4),3))+($L508-1)*7+MATCH($M508,Listas!$F$5:$F$11,0)-1)</f>
        <v/>
      </c>
      <c r="P508" s="47" t="str">
        <f aca="false">IF(OR($F508="",$O508=""),"",$O508+MAX(0,ROUNDUP($AK508*MAX(1,IF($N508="",1,$N508))/MAX(1,$AL508),0)-1))</f>
        <v/>
      </c>
      <c r="Q508" s="48"/>
      <c r="R508" s="43"/>
      <c r="S508" s="49"/>
      <c r="T508" s="42"/>
      <c r="U508" s="42"/>
      <c r="V508" s="39" t="str">
        <f aca="false">IF($F508="","",IF(ISNUMBER(SEARCH("(externo)",$I508&amp;$J508&amp;$K508)),"Terceirizada","Interna"))</f>
        <v/>
      </c>
      <c r="W508" s="47" t="str">
        <f aca="false">IF($O508="","",IF($S508="",$O508,(DATE(Semana!$J$3,1,4)-WEEKDAY(DATE(Semana!$J$3,1,4),3))+($S508-1)*7+IF($M508="",0,MATCH($M508,Listas!$F$5:$F$11,0)-1)))</f>
        <v/>
      </c>
      <c r="X508" s="39" t="str">
        <f aca="false">IF($F508="","",IF(OR($AT508="",$O508=""),0,IF($AT508&lt;=$O508,1,0)))</f>
        <v/>
      </c>
      <c r="Y508" s="39" t="str">
        <f aca="false">IF($F508="","",IF(OR($AT508="",$W508=""),0,IF($AT508&lt;=$W508,1,0)))</f>
        <v/>
      </c>
      <c r="Z508" s="39" t="str">
        <f aca="false">IF(OR($AT508="",$O508=""),"",MAX(0,$AT508-$O508))</f>
        <v/>
      </c>
      <c r="AA508" s="39" t="str">
        <f aca="false">IF($F508="","",IF(AND($S508&lt;&gt;"",$L508&lt;&gt;"",$S508&lt;&gt;$L508),1,0))</f>
        <v/>
      </c>
      <c r="AB508" s="39" t="str">
        <f aca="false">IF($F508="","",IF($R508="Cancelada",0,IF(OR($AT508&lt;&gt;"",$R508="Concluída"),1,0)))</f>
        <v/>
      </c>
      <c r="AC508" s="39" t="n">
        <f aca="false">IF($P508="",0,IF($P508&lt;Hoje!$L$1,1,IF(AND($P508=Hoje!$L$1,Hoje!$L$2&gt;Semana!$M$3),1,0)))</f>
        <v>0</v>
      </c>
      <c r="AD508" s="39" t="str">
        <f aca="false">IF($F508="","",IF(COUNTA($I508:$K508)=0,0,1/COUNTA($I508:$K508)))</f>
        <v/>
      </c>
      <c r="AE508" s="39" t="str">
        <f aca="false">IF($AH508=0,"",SUM($AH$4:$AH508))</f>
        <v/>
      </c>
      <c r="AF508" s="39" t="str">
        <f aca="false">IF($AI508=0,"",SUM($AI$4:$AI508))</f>
        <v/>
      </c>
      <c r="AG508" s="50" t="str">
        <f aca="false">IF($F508="","",$I508&amp;IF($J508="",""," · "&amp;$J508)&amp;IF($K508="",""," · "&amp;$K508))</f>
        <v/>
      </c>
      <c r="AH508" s="39" t="n">
        <f aca="false">IF(AND($F508&lt;&gt;"",$O508&lt;&gt;"",$O508&lt;=Hoje!$C$3,$P508&gt;=Hoje!$C$3,$R508&lt;&gt;"Cancelada"),1,0)</f>
        <v>0</v>
      </c>
      <c r="AI508" s="39" t="n">
        <f aca="false">IF(AND($F508&lt;&gt;"",$P508&lt;&gt;"",$P508&lt;Hoje!$C$3,$AB508=0,$R508&lt;&gt;"Cancelada"),1,0)</f>
        <v>0</v>
      </c>
      <c r="AJ508" s="50" t="str">
        <f aca="false">IF($F508="","",$D508&amp;"|"&amp;$E508&amp;"|"&amp;$L508)</f>
        <v/>
      </c>
      <c r="AK508" s="39" t="str">
        <f aca="false">IF($AJ508="","",COUNTIF($AJ$4:$AJ508,$AJ508))</f>
        <v/>
      </c>
      <c r="AL508" s="39" t="str">
        <f aca="false">IF($AJ508="","",COUNTIF($AJ$4:$AJ$1004,$AJ508))</f>
        <v/>
      </c>
      <c r="AM508" s="42"/>
      <c r="AN508" s="50" t="str">
        <f aca="false">IF($D508="","",IFERROR(T(VLOOKUP($D508,Listas!$B$5:$H$120,7,0)),""))</f>
        <v/>
      </c>
      <c r="AO508" s="50" t="str">
        <f aca="false">IF(OR($F508="",$L508&lt;&gt;"",$R508="Cancelada",$AT508&lt;&gt;""),"",$AN508&amp;"|"&amp;$D508&amp;"|"&amp;IF($C508="","zzz",$C508)&amp;"|"&amp;TEXT(508,"0000"))</f>
        <v/>
      </c>
      <c r="AP508" s="50" t="str">
        <f aca="false">IF($AO508="","",COUNTIF($AO$5:$AO$1004,"&lt;"&amp;$AO508)-(ROWS($AO$5:$AO$1004)-Hoje!$L$5)+1)</f>
        <v/>
      </c>
      <c r="AQ508" s="50" t="n">
        <f aca="false">IF(AND($F508&lt;&gt;"",$D508=Frota!$C$3),1,0)</f>
        <v>0</v>
      </c>
      <c r="AR508" s="50" t="str">
        <f aca="false">IF($AQ508=0,"",SUM($AQ$4:$AQ508))</f>
        <v/>
      </c>
      <c r="AS508" s="50" t="str">
        <f aca="false">IFERROR(INDEX(Hoje!$K$10:$K$29,MATCH(ROW(),Hoje!$J$10:$J$29,0)),"")</f>
        <v/>
      </c>
      <c r="AT508" s="50" t="str">
        <f aca="false">IF($Q508&lt;&gt;"",$Q508,$AS508)</f>
        <v/>
      </c>
    </row>
    <row r="509" customFormat="false" ht="16.5" hidden="false" customHeight="true" outlineLevel="0" collapsed="false">
      <c r="A509" s="39" t="str">
        <f aca="false">IF($F509="","",ROW())</f>
        <v/>
      </c>
      <c r="B509" s="40" t="str">
        <f aca="false">IF($F509="",IF($D509="","","Falta a atividade"),IF($R509="Cancelada","Cancelada",IF($AB509=1,IF(N($Z509)&gt;0,"Concluída com atraso","Concluída"),IF($R509="Em programação","Em programação",IF($O509="",IF($M509="","Na carteira","Falta a semana"),IF($AC509=1,"VENCIDA",IF($O509&gt;Hoje!$L$1,"Programada",IF($P509&gt;Hoje!$L$1,"Em execução","Fecha hoje"))))))))</f>
        <v/>
      </c>
      <c r="C509" s="41"/>
      <c r="D509" s="42"/>
      <c r="E509" s="42"/>
      <c r="F509" s="42"/>
      <c r="G509" s="43"/>
      <c r="H509" s="43"/>
      <c r="I509" s="44"/>
      <c r="J509" s="44"/>
      <c r="K509" s="44"/>
      <c r="L509" s="45"/>
      <c r="M509" s="46"/>
      <c r="N509" s="45"/>
      <c r="O509" s="47" t="str">
        <f aca="false">IF(OR($L509="",$M509=""),"",(DATE(Semana!$J$3,1,4)-WEEKDAY(DATE(Semana!$J$3,1,4),3))+($L509-1)*7+MATCH($M509,Listas!$F$5:$F$11,0)-1)</f>
        <v/>
      </c>
      <c r="P509" s="47" t="str">
        <f aca="false">IF(OR($F509="",$O509=""),"",$O509+MAX(0,ROUNDUP($AK509*MAX(1,IF($N509="",1,$N509))/MAX(1,$AL509),0)-1))</f>
        <v/>
      </c>
      <c r="Q509" s="48"/>
      <c r="R509" s="43"/>
      <c r="S509" s="49"/>
      <c r="T509" s="42"/>
      <c r="U509" s="42"/>
      <c r="V509" s="39" t="str">
        <f aca="false">IF($F509="","",IF(ISNUMBER(SEARCH("(externo)",$I509&amp;$J509&amp;$K509)),"Terceirizada","Interna"))</f>
        <v/>
      </c>
      <c r="W509" s="47" t="str">
        <f aca="false">IF($O509="","",IF($S509="",$O509,(DATE(Semana!$J$3,1,4)-WEEKDAY(DATE(Semana!$J$3,1,4),3))+($S509-1)*7+IF($M509="",0,MATCH($M509,Listas!$F$5:$F$11,0)-1)))</f>
        <v/>
      </c>
      <c r="X509" s="39" t="str">
        <f aca="false">IF($F509="","",IF(OR($AT509="",$O509=""),0,IF($AT509&lt;=$O509,1,0)))</f>
        <v/>
      </c>
      <c r="Y509" s="39" t="str">
        <f aca="false">IF($F509="","",IF(OR($AT509="",$W509=""),0,IF($AT509&lt;=$W509,1,0)))</f>
        <v/>
      </c>
      <c r="Z509" s="39" t="str">
        <f aca="false">IF(OR($AT509="",$O509=""),"",MAX(0,$AT509-$O509))</f>
        <v/>
      </c>
      <c r="AA509" s="39" t="str">
        <f aca="false">IF($F509="","",IF(AND($S509&lt;&gt;"",$L509&lt;&gt;"",$S509&lt;&gt;$L509),1,0))</f>
        <v/>
      </c>
      <c r="AB509" s="39" t="str">
        <f aca="false">IF($F509="","",IF($R509="Cancelada",0,IF(OR($AT509&lt;&gt;"",$R509="Concluída"),1,0)))</f>
        <v/>
      </c>
      <c r="AC509" s="39" t="n">
        <f aca="false">IF($P509="",0,IF($P509&lt;Hoje!$L$1,1,IF(AND($P509=Hoje!$L$1,Hoje!$L$2&gt;Semana!$M$3),1,0)))</f>
        <v>0</v>
      </c>
      <c r="AD509" s="39" t="str">
        <f aca="false">IF($F509="","",IF(COUNTA($I509:$K509)=0,0,1/COUNTA($I509:$K509)))</f>
        <v/>
      </c>
      <c r="AE509" s="39" t="str">
        <f aca="false">IF($AH509=0,"",SUM($AH$4:$AH509))</f>
        <v/>
      </c>
      <c r="AF509" s="39" t="str">
        <f aca="false">IF($AI509=0,"",SUM($AI$4:$AI509))</f>
        <v/>
      </c>
      <c r="AG509" s="50" t="str">
        <f aca="false">IF($F509="","",$I509&amp;IF($J509="",""," · "&amp;$J509)&amp;IF($K509="",""," · "&amp;$K509))</f>
        <v/>
      </c>
      <c r="AH509" s="39" t="n">
        <f aca="false">IF(AND($F509&lt;&gt;"",$O509&lt;&gt;"",$O509&lt;=Hoje!$C$3,$P509&gt;=Hoje!$C$3,$R509&lt;&gt;"Cancelada"),1,0)</f>
        <v>0</v>
      </c>
      <c r="AI509" s="39" t="n">
        <f aca="false">IF(AND($F509&lt;&gt;"",$P509&lt;&gt;"",$P509&lt;Hoje!$C$3,$AB509=0,$R509&lt;&gt;"Cancelada"),1,0)</f>
        <v>0</v>
      </c>
      <c r="AJ509" s="50" t="str">
        <f aca="false">IF($F509="","",$D509&amp;"|"&amp;$E509&amp;"|"&amp;$L509)</f>
        <v/>
      </c>
      <c r="AK509" s="39" t="str">
        <f aca="false">IF($AJ509="","",COUNTIF($AJ$4:$AJ509,$AJ509))</f>
        <v/>
      </c>
      <c r="AL509" s="39" t="str">
        <f aca="false">IF($AJ509="","",COUNTIF($AJ$4:$AJ$1004,$AJ509))</f>
        <v/>
      </c>
      <c r="AM509" s="42"/>
      <c r="AN509" s="50" t="str">
        <f aca="false">IF($D509="","",IFERROR(T(VLOOKUP($D509,Listas!$B$5:$H$120,7,0)),""))</f>
        <v/>
      </c>
      <c r="AO509" s="50" t="str">
        <f aca="false">IF(OR($F509="",$L509&lt;&gt;"",$R509="Cancelada",$AT509&lt;&gt;""),"",$AN509&amp;"|"&amp;$D509&amp;"|"&amp;IF($C509="","zzz",$C509)&amp;"|"&amp;TEXT(509,"0000"))</f>
        <v/>
      </c>
      <c r="AP509" s="50" t="str">
        <f aca="false">IF($AO509="","",COUNTIF($AO$5:$AO$1004,"&lt;"&amp;$AO509)-(ROWS($AO$5:$AO$1004)-Hoje!$L$5)+1)</f>
        <v/>
      </c>
      <c r="AQ509" s="50" t="n">
        <f aca="false">IF(AND($F509&lt;&gt;"",$D509=Frota!$C$3),1,0)</f>
        <v>0</v>
      </c>
      <c r="AR509" s="50" t="str">
        <f aca="false">IF($AQ509=0,"",SUM($AQ$4:$AQ509))</f>
        <v/>
      </c>
      <c r="AS509" s="50" t="str">
        <f aca="false">IFERROR(INDEX(Hoje!$K$10:$K$29,MATCH(ROW(),Hoje!$J$10:$J$29,0)),"")</f>
        <v/>
      </c>
      <c r="AT509" s="50" t="str">
        <f aca="false">IF($Q509&lt;&gt;"",$Q509,$AS509)</f>
        <v/>
      </c>
    </row>
    <row r="510" customFormat="false" ht="16.5" hidden="false" customHeight="true" outlineLevel="0" collapsed="false">
      <c r="A510" s="39" t="str">
        <f aca="false">IF($F510="","",ROW())</f>
        <v/>
      </c>
      <c r="B510" s="40" t="str">
        <f aca="false">IF($F510="",IF($D510="","","Falta a atividade"),IF($R510="Cancelada","Cancelada",IF($AB510=1,IF(N($Z510)&gt;0,"Concluída com atraso","Concluída"),IF($R510="Em programação","Em programação",IF($O510="",IF($M510="","Na carteira","Falta a semana"),IF($AC510=1,"VENCIDA",IF($O510&gt;Hoje!$L$1,"Programada",IF($P510&gt;Hoje!$L$1,"Em execução","Fecha hoje"))))))))</f>
        <v/>
      </c>
      <c r="C510" s="41"/>
      <c r="D510" s="42"/>
      <c r="E510" s="42"/>
      <c r="F510" s="42"/>
      <c r="G510" s="43"/>
      <c r="H510" s="43"/>
      <c r="I510" s="44"/>
      <c r="J510" s="44"/>
      <c r="K510" s="44"/>
      <c r="L510" s="45"/>
      <c r="M510" s="46"/>
      <c r="N510" s="45"/>
      <c r="O510" s="47" t="str">
        <f aca="false">IF(OR($L510="",$M510=""),"",(DATE(Semana!$J$3,1,4)-WEEKDAY(DATE(Semana!$J$3,1,4),3))+($L510-1)*7+MATCH($M510,Listas!$F$5:$F$11,0)-1)</f>
        <v/>
      </c>
      <c r="P510" s="47" t="str">
        <f aca="false">IF(OR($F510="",$O510=""),"",$O510+MAX(0,ROUNDUP($AK510*MAX(1,IF($N510="",1,$N510))/MAX(1,$AL510),0)-1))</f>
        <v/>
      </c>
      <c r="Q510" s="48"/>
      <c r="R510" s="43"/>
      <c r="S510" s="49"/>
      <c r="T510" s="42"/>
      <c r="U510" s="42"/>
      <c r="V510" s="39" t="str">
        <f aca="false">IF($F510="","",IF(ISNUMBER(SEARCH("(externo)",$I510&amp;$J510&amp;$K510)),"Terceirizada","Interna"))</f>
        <v/>
      </c>
      <c r="W510" s="47" t="str">
        <f aca="false">IF($O510="","",IF($S510="",$O510,(DATE(Semana!$J$3,1,4)-WEEKDAY(DATE(Semana!$J$3,1,4),3))+($S510-1)*7+IF($M510="",0,MATCH($M510,Listas!$F$5:$F$11,0)-1)))</f>
        <v/>
      </c>
      <c r="X510" s="39" t="str">
        <f aca="false">IF($F510="","",IF(OR($AT510="",$O510=""),0,IF($AT510&lt;=$O510,1,0)))</f>
        <v/>
      </c>
      <c r="Y510" s="39" t="str">
        <f aca="false">IF($F510="","",IF(OR($AT510="",$W510=""),0,IF($AT510&lt;=$W510,1,0)))</f>
        <v/>
      </c>
      <c r="Z510" s="39" t="str">
        <f aca="false">IF(OR($AT510="",$O510=""),"",MAX(0,$AT510-$O510))</f>
        <v/>
      </c>
      <c r="AA510" s="39" t="str">
        <f aca="false">IF($F510="","",IF(AND($S510&lt;&gt;"",$L510&lt;&gt;"",$S510&lt;&gt;$L510),1,0))</f>
        <v/>
      </c>
      <c r="AB510" s="39" t="str">
        <f aca="false">IF($F510="","",IF($R510="Cancelada",0,IF(OR($AT510&lt;&gt;"",$R510="Concluída"),1,0)))</f>
        <v/>
      </c>
      <c r="AC510" s="39" t="n">
        <f aca="false">IF($P510="",0,IF($P510&lt;Hoje!$L$1,1,IF(AND($P510=Hoje!$L$1,Hoje!$L$2&gt;Semana!$M$3),1,0)))</f>
        <v>0</v>
      </c>
      <c r="AD510" s="39" t="str">
        <f aca="false">IF($F510="","",IF(COUNTA($I510:$K510)=0,0,1/COUNTA($I510:$K510)))</f>
        <v/>
      </c>
      <c r="AE510" s="39" t="str">
        <f aca="false">IF($AH510=0,"",SUM($AH$4:$AH510))</f>
        <v/>
      </c>
      <c r="AF510" s="39" t="str">
        <f aca="false">IF($AI510=0,"",SUM($AI$4:$AI510))</f>
        <v/>
      </c>
      <c r="AG510" s="50" t="str">
        <f aca="false">IF($F510="","",$I510&amp;IF($J510="",""," · "&amp;$J510)&amp;IF($K510="",""," · "&amp;$K510))</f>
        <v/>
      </c>
      <c r="AH510" s="39" t="n">
        <f aca="false">IF(AND($F510&lt;&gt;"",$O510&lt;&gt;"",$O510&lt;=Hoje!$C$3,$P510&gt;=Hoje!$C$3,$R510&lt;&gt;"Cancelada"),1,0)</f>
        <v>0</v>
      </c>
      <c r="AI510" s="39" t="n">
        <f aca="false">IF(AND($F510&lt;&gt;"",$P510&lt;&gt;"",$P510&lt;Hoje!$C$3,$AB510=0,$R510&lt;&gt;"Cancelada"),1,0)</f>
        <v>0</v>
      </c>
      <c r="AJ510" s="50" t="str">
        <f aca="false">IF($F510="","",$D510&amp;"|"&amp;$E510&amp;"|"&amp;$L510)</f>
        <v/>
      </c>
      <c r="AK510" s="39" t="str">
        <f aca="false">IF($AJ510="","",COUNTIF($AJ$4:$AJ510,$AJ510))</f>
        <v/>
      </c>
      <c r="AL510" s="39" t="str">
        <f aca="false">IF($AJ510="","",COUNTIF($AJ$4:$AJ$1004,$AJ510))</f>
        <v/>
      </c>
      <c r="AM510" s="42"/>
      <c r="AN510" s="50" t="str">
        <f aca="false">IF($D510="","",IFERROR(T(VLOOKUP($D510,Listas!$B$5:$H$120,7,0)),""))</f>
        <v/>
      </c>
      <c r="AO510" s="50" t="str">
        <f aca="false">IF(OR($F510="",$L510&lt;&gt;"",$R510="Cancelada",$AT510&lt;&gt;""),"",$AN510&amp;"|"&amp;$D510&amp;"|"&amp;IF($C510="","zzz",$C510)&amp;"|"&amp;TEXT(510,"0000"))</f>
        <v/>
      </c>
      <c r="AP510" s="50" t="str">
        <f aca="false">IF($AO510="","",COUNTIF($AO$5:$AO$1004,"&lt;"&amp;$AO510)-(ROWS($AO$5:$AO$1004)-Hoje!$L$5)+1)</f>
        <v/>
      </c>
      <c r="AQ510" s="50" t="n">
        <f aca="false">IF(AND($F510&lt;&gt;"",$D510=Frota!$C$3),1,0)</f>
        <v>0</v>
      </c>
      <c r="AR510" s="50" t="str">
        <f aca="false">IF($AQ510=0,"",SUM($AQ$4:$AQ510))</f>
        <v/>
      </c>
      <c r="AS510" s="50" t="str">
        <f aca="false">IFERROR(INDEX(Hoje!$K$10:$K$29,MATCH(ROW(),Hoje!$J$10:$J$29,0)),"")</f>
        <v/>
      </c>
      <c r="AT510" s="50" t="str">
        <f aca="false">IF($Q510&lt;&gt;"",$Q510,$AS510)</f>
        <v/>
      </c>
    </row>
    <row r="511" customFormat="false" ht="16.5" hidden="false" customHeight="true" outlineLevel="0" collapsed="false">
      <c r="A511" s="39" t="str">
        <f aca="false">IF($F511="","",ROW())</f>
        <v/>
      </c>
      <c r="B511" s="40" t="str">
        <f aca="false">IF($F511="",IF($D511="","","Falta a atividade"),IF($R511="Cancelada","Cancelada",IF($AB511=1,IF(N($Z511)&gt;0,"Concluída com atraso","Concluída"),IF($R511="Em programação","Em programação",IF($O511="",IF($M511="","Na carteira","Falta a semana"),IF($AC511=1,"VENCIDA",IF($O511&gt;Hoje!$L$1,"Programada",IF($P511&gt;Hoje!$L$1,"Em execução","Fecha hoje"))))))))</f>
        <v/>
      </c>
      <c r="C511" s="41"/>
      <c r="D511" s="42"/>
      <c r="E511" s="42"/>
      <c r="F511" s="42"/>
      <c r="G511" s="43"/>
      <c r="H511" s="43"/>
      <c r="I511" s="44"/>
      <c r="J511" s="44"/>
      <c r="K511" s="44"/>
      <c r="L511" s="45"/>
      <c r="M511" s="46"/>
      <c r="N511" s="45"/>
      <c r="O511" s="47" t="str">
        <f aca="false">IF(OR($L511="",$M511=""),"",(DATE(Semana!$J$3,1,4)-WEEKDAY(DATE(Semana!$J$3,1,4),3))+($L511-1)*7+MATCH($M511,Listas!$F$5:$F$11,0)-1)</f>
        <v/>
      </c>
      <c r="P511" s="47" t="str">
        <f aca="false">IF(OR($F511="",$O511=""),"",$O511+MAX(0,ROUNDUP($AK511*MAX(1,IF($N511="",1,$N511))/MAX(1,$AL511),0)-1))</f>
        <v/>
      </c>
      <c r="Q511" s="48"/>
      <c r="R511" s="43"/>
      <c r="S511" s="49"/>
      <c r="T511" s="42"/>
      <c r="U511" s="42"/>
      <c r="V511" s="39" t="str">
        <f aca="false">IF($F511="","",IF(ISNUMBER(SEARCH("(externo)",$I511&amp;$J511&amp;$K511)),"Terceirizada","Interna"))</f>
        <v/>
      </c>
      <c r="W511" s="47" t="str">
        <f aca="false">IF($O511="","",IF($S511="",$O511,(DATE(Semana!$J$3,1,4)-WEEKDAY(DATE(Semana!$J$3,1,4),3))+($S511-1)*7+IF($M511="",0,MATCH($M511,Listas!$F$5:$F$11,0)-1)))</f>
        <v/>
      </c>
      <c r="X511" s="39" t="str">
        <f aca="false">IF($F511="","",IF(OR($AT511="",$O511=""),0,IF($AT511&lt;=$O511,1,0)))</f>
        <v/>
      </c>
      <c r="Y511" s="39" t="str">
        <f aca="false">IF($F511="","",IF(OR($AT511="",$W511=""),0,IF($AT511&lt;=$W511,1,0)))</f>
        <v/>
      </c>
      <c r="Z511" s="39" t="str">
        <f aca="false">IF(OR($AT511="",$O511=""),"",MAX(0,$AT511-$O511))</f>
        <v/>
      </c>
      <c r="AA511" s="39" t="str">
        <f aca="false">IF($F511="","",IF(AND($S511&lt;&gt;"",$L511&lt;&gt;"",$S511&lt;&gt;$L511),1,0))</f>
        <v/>
      </c>
      <c r="AB511" s="39" t="str">
        <f aca="false">IF($F511="","",IF($R511="Cancelada",0,IF(OR($AT511&lt;&gt;"",$R511="Concluída"),1,0)))</f>
        <v/>
      </c>
      <c r="AC511" s="39" t="n">
        <f aca="false">IF($P511="",0,IF($P511&lt;Hoje!$L$1,1,IF(AND($P511=Hoje!$L$1,Hoje!$L$2&gt;Semana!$M$3),1,0)))</f>
        <v>0</v>
      </c>
      <c r="AD511" s="39" t="str">
        <f aca="false">IF($F511="","",IF(COUNTA($I511:$K511)=0,0,1/COUNTA($I511:$K511)))</f>
        <v/>
      </c>
      <c r="AE511" s="39" t="str">
        <f aca="false">IF($AH511=0,"",SUM($AH$4:$AH511))</f>
        <v/>
      </c>
      <c r="AF511" s="39" t="str">
        <f aca="false">IF($AI511=0,"",SUM($AI$4:$AI511))</f>
        <v/>
      </c>
      <c r="AG511" s="50" t="str">
        <f aca="false">IF($F511="","",$I511&amp;IF($J511="",""," · "&amp;$J511)&amp;IF($K511="",""," · "&amp;$K511))</f>
        <v/>
      </c>
      <c r="AH511" s="39" t="n">
        <f aca="false">IF(AND($F511&lt;&gt;"",$O511&lt;&gt;"",$O511&lt;=Hoje!$C$3,$P511&gt;=Hoje!$C$3,$R511&lt;&gt;"Cancelada"),1,0)</f>
        <v>0</v>
      </c>
      <c r="AI511" s="39" t="n">
        <f aca="false">IF(AND($F511&lt;&gt;"",$P511&lt;&gt;"",$P511&lt;Hoje!$C$3,$AB511=0,$R511&lt;&gt;"Cancelada"),1,0)</f>
        <v>0</v>
      </c>
      <c r="AJ511" s="50" t="str">
        <f aca="false">IF($F511="","",$D511&amp;"|"&amp;$E511&amp;"|"&amp;$L511)</f>
        <v/>
      </c>
      <c r="AK511" s="39" t="str">
        <f aca="false">IF($AJ511="","",COUNTIF($AJ$4:$AJ511,$AJ511))</f>
        <v/>
      </c>
      <c r="AL511" s="39" t="str">
        <f aca="false">IF($AJ511="","",COUNTIF($AJ$4:$AJ$1004,$AJ511))</f>
        <v/>
      </c>
      <c r="AM511" s="42"/>
      <c r="AN511" s="50" t="str">
        <f aca="false">IF($D511="","",IFERROR(T(VLOOKUP($D511,Listas!$B$5:$H$120,7,0)),""))</f>
        <v/>
      </c>
      <c r="AO511" s="50" t="str">
        <f aca="false">IF(OR($F511="",$L511&lt;&gt;"",$R511="Cancelada",$AT511&lt;&gt;""),"",$AN511&amp;"|"&amp;$D511&amp;"|"&amp;IF($C511="","zzz",$C511)&amp;"|"&amp;TEXT(511,"0000"))</f>
        <v/>
      </c>
      <c r="AP511" s="50" t="str">
        <f aca="false">IF($AO511="","",COUNTIF($AO$5:$AO$1004,"&lt;"&amp;$AO511)-(ROWS($AO$5:$AO$1004)-Hoje!$L$5)+1)</f>
        <v/>
      </c>
      <c r="AQ511" s="50" t="n">
        <f aca="false">IF(AND($F511&lt;&gt;"",$D511=Frota!$C$3),1,0)</f>
        <v>0</v>
      </c>
      <c r="AR511" s="50" t="str">
        <f aca="false">IF($AQ511=0,"",SUM($AQ$4:$AQ511))</f>
        <v/>
      </c>
      <c r="AS511" s="50" t="str">
        <f aca="false">IFERROR(INDEX(Hoje!$K$10:$K$29,MATCH(ROW(),Hoje!$J$10:$J$29,0)),"")</f>
        <v/>
      </c>
      <c r="AT511" s="50" t="str">
        <f aca="false">IF($Q511&lt;&gt;"",$Q511,$AS511)</f>
        <v/>
      </c>
    </row>
    <row r="512" customFormat="false" ht="16.5" hidden="false" customHeight="true" outlineLevel="0" collapsed="false">
      <c r="A512" s="39" t="str">
        <f aca="false">IF($F512="","",ROW())</f>
        <v/>
      </c>
      <c r="B512" s="40" t="str">
        <f aca="false">IF($F512="",IF($D512="","","Falta a atividade"),IF($R512="Cancelada","Cancelada",IF($AB512=1,IF(N($Z512)&gt;0,"Concluída com atraso","Concluída"),IF($R512="Em programação","Em programação",IF($O512="",IF($M512="","Na carteira","Falta a semana"),IF($AC512=1,"VENCIDA",IF($O512&gt;Hoje!$L$1,"Programada",IF($P512&gt;Hoje!$L$1,"Em execução","Fecha hoje"))))))))</f>
        <v/>
      </c>
      <c r="C512" s="41"/>
      <c r="D512" s="42"/>
      <c r="E512" s="42"/>
      <c r="F512" s="42"/>
      <c r="G512" s="43"/>
      <c r="H512" s="43"/>
      <c r="I512" s="44"/>
      <c r="J512" s="44"/>
      <c r="K512" s="44"/>
      <c r="L512" s="45"/>
      <c r="M512" s="46"/>
      <c r="N512" s="45"/>
      <c r="O512" s="47" t="str">
        <f aca="false">IF(OR($L512="",$M512=""),"",(DATE(Semana!$J$3,1,4)-WEEKDAY(DATE(Semana!$J$3,1,4),3))+($L512-1)*7+MATCH($M512,Listas!$F$5:$F$11,0)-1)</f>
        <v/>
      </c>
      <c r="P512" s="47" t="str">
        <f aca="false">IF(OR($F512="",$O512=""),"",$O512+MAX(0,ROUNDUP($AK512*MAX(1,IF($N512="",1,$N512))/MAX(1,$AL512),0)-1))</f>
        <v/>
      </c>
      <c r="Q512" s="48"/>
      <c r="R512" s="43"/>
      <c r="S512" s="49"/>
      <c r="T512" s="42"/>
      <c r="U512" s="42"/>
      <c r="V512" s="39" t="str">
        <f aca="false">IF($F512="","",IF(ISNUMBER(SEARCH("(externo)",$I512&amp;$J512&amp;$K512)),"Terceirizada","Interna"))</f>
        <v/>
      </c>
      <c r="W512" s="47" t="str">
        <f aca="false">IF($O512="","",IF($S512="",$O512,(DATE(Semana!$J$3,1,4)-WEEKDAY(DATE(Semana!$J$3,1,4),3))+($S512-1)*7+IF($M512="",0,MATCH($M512,Listas!$F$5:$F$11,0)-1)))</f>
        <v/>
      </c>
      <c r="X512" s="39" t="str">
        <f aca="false">IF($F512="","",IF(OR($AT512="",$O512=""),0,IF($AT512&lt;=$O512,1,0)))</f>
        <v/>
      </c>
      <c r="Y512" s="39" t="str">
        <f aca="false">IF($F512="","",IF(OR($AT512="",$W512=""),0,IF($AT512&lt;=$W512,1,0)))</f>
        <v/>
      </c>
      <c r="Z512" s="39" t="str">
        <f aca="false">IF(OR($AT512="",$O512=""),"",MAX(0,$AT512-$O512))</f>
        <v/>
      </c>
      <c r="AA512" s="39" t="str">
        <f aca="false">IF($F512="","",IF(AND($S512&lt;&gt;"",$L512&lt;&gt;"",$S512&lt;&gt;$L512),1,0))</f>
        <v/>
      </c>
      <c r="AB512" s="39" t="str">
        <f aca="false">IF($F512="","",IF($R512="Cancelada",0,IF(OR($AT512&lt;&gt;"",$R512="Concluída"),1,0)))</f>
        <v/>
      </c>
      <c r="AC512" s="39" t="n">
        <f aca="false">IF($P512="",0,IF($P512&lt;Hoje!$L$1,1,IF(AND($P512=Hoje!$L$1,Hoje!$L$2&gt;Semana!$M$3),1,0)))</f>
        <v>0</v>
      </c>
      <c r="AD512" s="39" t="str">
        <f aca="false">IF($F512="","",IF(COUNTA($I512:$K512)=0,0,1/COUNTA($I512:$K512)))</f>
        <v/>
      </c>
      <c r="AE512" s="39" t="str">
        <f aca="false">IF($AH512=0,"",SUM($AH$4:$AH512))</f>
        <v/>
      </c>
      <c r="AF512" s="39" t="str">
        <f aca="false">IF($AI512=0,"",SUM($AI$4:$AI512))</f>
        <v/>
      </c>
      <c r="AG512" s="50" t="str">
        <f aca="false">IF($F512="","",$I512&amp;IF($J512="",""," · "&amp;$J512)&amp;IF($K512="",""," · "&amp;$K512))</f>
        <v/>
      </c>
      <c r="AH512" s="39" t="n">
        <f aca="false">IF(AND($F512&lt;&gt;"",$O512&lt;&gt;"",$O512&lt;=Hoje!$C$3,$P512&gt;=Hoje!$C$3,$R512&lt;&gt;"Cancelada"),1,0)</f>
        <v>0</v>
      </c>
      <c r="AI512" s="39" t="n">
        <f aca="false">IF(AND($F512&lt;&gt;"",$P512&lt;&gt;"",$P512&lt;Hoje!$C$3,$AB512=0,$R512&lt;&gt;"Cancelada"),1,0)</f>
        <v>0</v>
      </c>
      <c r="AJ512" s="50" t="str">
        <f aca="false">IF($F512="","",$D512&amp;"|"&amp;$E512&amp;"|"&amp;$L512)</f>
        <v/>
      </c>
      <c r="AK512" s="39" t="str">
        <f aca="false">IF($AJ512="","",COUNTIF($AJ$4:$AJ512,$AJ512))</f>
        <v/>
      </c>
      <c r="AL512" s="39" t="str">
        <f aca="false">IF($AJ512="","",COUNTIF($AJ$4:$AJ$1004,$AJ512))</f>
        <v/>
      </c>
      <c r="AM512" s="42"/>
      <c r="AN512" s="50" t="str">
        <f aca="false">IF($D512="","",IFERROR(T(VLOOKUP($D512,Listas!$B$5:$H$120,7,0)),""))</f>
        <v/>
      </c>
      <c r="AO512" s="50" t="str">
        <f aca="false">IF(OR($F512="",$L512&lt;&gt;"",$R512="Cancelada",$AT512&lt;&gt;""),"",$AN512&amp;"|"&amp;$D512&amp;"|"&amp;IF($C512="","zzz",$C512)&amp;"|"&amp;TEXT(512,"0000"))</f>
        <v/>
      </c>
      <c r="AP512" s="50" t="str">
        <f aca="false">IF($AO512="","",COUNTIF($AO$5:$AO$1004,"&lt;"&amp;$AO512)-(ROWS($AO$5:$AO$1004)-Hoje!$L$5)+1)</f>
        <v/>
      </c>
      <c r="AQ512" s="50" t="n">
        <f aca="false">IF(AND($F512&lt;&gt;"",$D512=Frota!$C$3),1,0)</f>
        <v>0</v>
      </c>
      <c r="AR512" s="50" t="str">
        <f aca="false">IF($AQ512=0,"",SUM($AQ$4:$AQ512))</f>
        <v/>
      </c>
      <c r="AS512" s="50" t="str">
        <f aca="false">IFERROR(INDEX(Hoje!$K$10:$K$29,MATCH(ROW(),Hoje!$J$10:$J$29,0)),"")</f>
        <v/>
      </c>
      <c r="AT512" s="50" t="str">
        <f aca="false">IF($Q512&lt;&gt;"",$Q512,$AS512)</f>
        <v/>
      </c>
    </row>
    <row r="513" customFormat="false" ht="16.5" hidden="false" customHeight="true" outlineLevel="0" collapsed="false">
      <c r="A513" s="39" t="str">
        <f aca="false">IF($F513="","",ROW())</f>
        <v/>
      </c>
      <c r="B513" s="40" t="str">
        <f aca="false">IF($F513="",IF($D513="","","Falta a atividade"),IF($R513="Cancelada","Cancelada",IF($AB513=1,IF(N($Z513)&gt;0,"Concluída com atraso","Concluída"),IF($R513="Em programação","Em programação",IF($O513="",IF($M513="","Na carteira","Falta a semana"),IF($AC513=1,"VENCIDA",IF($O513&gt;Hoje!$L$1,"Programada",IF($P513&gt;Hoje!$L$1,"Em execução","Fecha hoje"))))))))</f>
        <v/>
      </c>
      <c r="C513" s="41"/>
      <c r="D513" s="42"/>
      <c r="E513" s="42"/>
      <c r="F513" s="42"/>
      <c r="G513" s="43"/>
      <c r="H513" s="43"/>
      <c r="I513" s="44"/>
      <c r="J513" s="44"/>
      <c r="K513" s="44"/>
      <c r="L513" s="45"/>
      <c r="M513" s="46"/>
      <c r="N513" s="45"/>
      <c r="O513" s="47" t="str">
        <f aca="false">IF(OR($L513="",$M513=""),"",(DATE(Semana!$J$3,1,4)-WEEKDAY(DATE(Semana!$J$3,1,4),3))+($L513-1)*7+MATCH($M513,Listas!$F$5:$F$11,0)-1)</f>
        <v/>
      </c>
      <c r="P513" s="47" t="str">
        <f aca="false">IF(OR($F513="",$O513=""),"",$O513+MAX(0,ROUNDUP($AK513*MAX(1,IF($N513="",1,$N513))/MAX(1,$AL513),0)-1))</f>
        <v/>
      </c>
      <c r="Q513" s="48"/>
      <c r="R513" s="43"/>
      <c r="S513" s="49"/>
      <c r="T513" s="42"/>
      <c r="U513" s="42"/>
      <c r="V513" s="39" t="str">
        <f aca="false">IF($F513="","",IF(ISNUMBER(SEARCH("(externo)",$I513&amp;$J513&amp;$K513)),"Terceirizada","Interna"))</f>
        <v/>
      </c>
      <c r="W513" s="47" t="str">
        <f aca="false">IF($O513="","",IF($S513="",$O513,(DATE(Semana!$J$3,1,4)-WEEKDAY(DATE(Semana!$J$3,1,4),3))+($S513-1)*7+IF($M513="",0,MATCH($M513,Listas!$F$5:$F$11,0)-1)))</f>
        <v/>
      </c>
      <c r="X513" s="39" t="str">
        <f aca="false">IF($F513="","",IF(OR($AT513="",$O513=""),0,IF($AT513&lt;=$O513,1,0)))</f>
        <v/>
      </c>
      <c r="Y513" s="39" t="str">
        <f aca="false">IF($F513="","",IF(OR($AT513="",$W513=""),0,IF($AT513&lt;=$W513,1,0)))</f>
        <v/>
      </c>
      <c r="Z513" s="39" t="str">
        <f aca="false">IF(OR($AT513="",$O513=""),"",MAX(0,$AT513-$O513))</f>
        <v/>
      </c>
      <c r="AA513" s="39" t="str">
        <f aca="false">IF($F513="","",IF(AND($S513&lt;&gt;"",$L513&lt;&gt;"",$S513&lt;&gt;$L513),1,0))</f>
        <v/>
      </c>
      <c r="AB513" s="39" t="str">
        <f aca="false">IF($F513="","",IF($R513="Cancelada",0,IF(OR($AT513&lt;&gt;"",$R513="Concluída"),1,0)))</f>
        <v/>
      </c>
      <c r="AC513" s="39" t="n">
        <f aca="false">IF($P513="",0,IF($P513&lt;Hoje!$L$1,1,IF(AND($P513=Hoje!$L$1,Hoje!$L$2&gt;Semana!$M$3),1,0)))</f>
        <v>0</v>
      </c>
      <c r="AD513" s="39" t="str">
        <f aca="false">IF($F513="","",IF(COUNTA($I513:$K513)=0,0,1/COUNTA($I513:$K513)))</f>
        <v/>
      </c>
      <c r="AE513" s="39" t="str">
        <f aca="false">IF($AH513=0,"",SUM($AH$4:$AH513))</f>
        <v/>
      </c>
      <c r="AF513" s="39" t="str">
        <f aca="false">IF($AI513=0,"",SUM($AI$4:$AI513))</f>
        <v/>
      </c>
      <c r="AG513" s="50" t="str">
        <f aca="false">IF($F513="","",$I513&amp;IF($J513="",""," · "&amp;$J513)&amp;IF($K513="",""," · "&amp;$K513))</f>
        <v/>
      </c>
      <c r="AH513" s="39" t="n">
        <f aca="false">IF(AND($F513&lt;&gt;"",$O513&lt;&gt;"",$O513&lt;=Hoje!$C$3,$P513&gt;=Hoje!$C$3,$R513&lt;&gt;"Cancelada"),1,0)</f>
        <v>0</v>
      </c>
      <c r="AI513" s="39" t="n">
        <f aca="false">IF(AND($F513&lt;&gt;"",$P513&lt;&gt;"",$P513&lt;Hoje!$C$3,$AB513=0,$R513&lt;&gt;"Cancelada"),1,0)</f>
        <v>0</v>
      </c>
      <c r="AJ513" s="50" t="str">
        <f aca="false">IF($F513="","",$D513&amp;"|"&amp;$E513&amp;"|"&amp;$L513)</f>
        <v/>
      </c>
      <c r="AK513" s="39" t="str">
        <f aca="false">IF($AJ513="","",COUNTIF($AJ$4:$AJ513,$AJ513))</f>
        <v/>
      </c>
      <c r="AL513" s="39" t="str">
        <f aca="false">IF($AJ513="","",COUNTIF($AJ$4:$AJ$1004,$AJ513))</f>
        <v/>
      </c>
      <c r="AM513" s="42"/>
      <c r="AN513" s="50" t="str">
        <f aca="false">IF($D513="","",IFERROR(T(VLOOKUP($D513,Listas!$B$5:$H$120,7,0)),""))</f>
        <v/>
      </c>
      <c r="AO513" s="50" t="str">
        <f aca="false">IF(OR($F513="",$L513&lt;&gt;"",$R513="Cancelada",$AT513&lt;&gt;""),"",$AN513&amp;"|"&amp;$D513&amp;"|"&amp;IF($C513="","zzz",$C513)&amp;"|"&amp;TEXT(513,"0000"))</f>
        <v/>
      </c>
      <c r="AP513" s="50" t="str">
        <f aca="false">IF($AO513="","",COUNTIF($AO$5:$AO$1004,"&lt;"&amp;$AO513)-(ROWS($AO$5:$AO$1004)-Hoje!$L$5)+1)</f>
        <v/>
      </c>
      <c r="AQ513" s="50" t="n">
        <f aca="false">IF(AND($F513&lt;&gt;"",$D513=Frota!$C$3),1,0)</f>
        <v>0</v>
      </c>
      <c r="AR513" s="50" t="str">
        <f aca="false">IF($AQ513=0,"",SUM($AQ$4:$AQ513))</f>
        <v/>
      </c>
      <c r="AS513" s="50" t="str">
        <f aca="false">IFERROR(INDEX(Hoje!$K$10:$K$29,MATCH(ROW(),Hoje!$J$10:$J$29,0)),"")</f>
        <v/>
      </c>
      <c r="AT513" s="50" t="str">
        <f aca="false">IF($Q513&lt;&gt;"",$Q513,$AS513)</f>
        <v/>
      </c>
    </row>
    <row r="514" customFormat="false" ht="16.5" hidden="false" customHeight="true" outlineLevel="0" collapsed="false">
      <c r="A514" s="39" t="str">
        <f aca="false">IF($F514="","",ROW())</f>
        <v/>
      </c>
      <c r="B514" s="40" t="str">
        <f aca="false">IF($F514="",IF($D514="","","Falta a atividade"),IF($R514="Cancelada","Cancelada",IF($AB514=1,IF(N($Z514)&gt;0,"Concluída com atraso","Concluída"),IF($R514="Em programação","Em programação",IF($O514="",IF($M514="","Na carteira","Falta a semana"),IF($AC514=1,"VENCIDA",IF($O514&gt;Hoje!$L$1,"Programada",IF($P514&gt;Hoje!$L$1,"Em execução","Fecha hoje"))))))))</f>
        <v/>
      </c>
      <c r="C514" s="41"/>
      <c r="D514" s="42"/>
      <c r="E514" s="42"/>
      <c r="F514" s="42"/>
      <c r="G514" s="43"/>
      <c r="H514" s="43"/>
      <c r="I514" s="44"/>
      <c r="J514" s="44"/>
      <c r="K514" s="44"/>
      <c r="L514" s="45"/>
      <c r="M514" s="46"/>
      <c r="N514" s="45"/>
      <c r="O514" s="47" t="str">
        <f aca="false">IF(OR($L514="",$M514=""),"",(DATE(Semana!$J$3,1,4)-WEEKDAY(DATE(Semana!$J$3,1,4),3))+($L514-1)*7+MATCH($M514,Listas!$F$5:$F$11,0)-1)</f>
        <v/>
      </c>
      <c r="P514" s="47" t="str">
        <f aca="false">IF(OR($F514="",$O514=""),"",$O514+MAX(0,ROUNDUP($AK514*MAX(1,IF($N514="",1,$N514))/MAX(1,$AL514),0)-1))</f>
        <v/>
      </c>
      <c r="Q514" s="48"/>
      <c r="R514" s="43"/>
      <c r="S514" s="49"/>
      <c r="T514" s="42"/>
      <c r="U514" s="42"/>
      <c r="V514" s="39" t="str">
        <f aca="false">IF($F514="","",IF(ISNUMBER(SEARCH("(externo)",$I514&amp;$J514&amp;$K514)),"Terceirizada","Interna"))</f>
        <v/>
      </c>
      <c r="W514" s="47" t="str">
        <f aca="false">IF($O514="","",IF($S514="",$O514,(DATE(Semana!$J$3,1,4)-WEEKDAY(DATE(Semana!$J$3,1,4),3))+($S514-1)*7+IF($M514="",0,MATCH($M514,Listas!$F$5:$F$11,0)-1)))</f>
        <v/>
      </c>
      <c r="X514" s="39" t="str">
        <f aca="false">IF($F514="","",IF(OR($AT514="",$O514=""),0,IF($AT514&lt;=$O514,1,0)))</f>
        <v/>
      </c>
      <c r="Y514" s="39" t="str">
        <f aca="false">IF($F514="","",IF(OR($AT514="",$W514=""),0,IF($AT514&lt;=$W514,1,0)))</f>
        <v/>
      </c>
      <c r="Z514" s="39" t="str">
        <f aca="false">IF(OR($AT514="",$O514=""),"",MAX(0,$AT514-$O514))</f>
        <v/>
      </c>
      <c r="AA514" s="39" t="str">
        <f aca="false">IF($F514="","",IF(AND($S514&lt;&gt;"",$L514&lt;&gt;"",$S514&lt;&gt;$L514),1,0))</f>
        <v/>
      </c>
      <c r="AB514" s="39" t="str">
        <f aca="false">IF($F514="","",IF($R514="Cancelada",0,IF(OR($AT514&lt;&gt;"",$R514="Concluída"),1,0)))</f>
        <v/>
      </c>
      <c r="AC514" s="39" t="n">
        <f aca="false">IF($P514="",0,IF($P514&lt;Hoje!$L$1,1,IF(AND($P514=Hoje!$L$1,Hoje!$L$2&gt;Semana!$M$3),1,0)))</f>
        <v>0</v>
      </c>
      <c r="AD514" s="39" t="str">
        <f aca="false">IF($F514="","",IF(COUNTA($I514:$K514)=0,0,1/COUNTA($I514:$K514)))</f>
        <v/>
      </c>
      <c r="AE514" s="39" t="str">
        <f aca="false">IF($AH514=0,"",SUM($AH$4:$AH514))</f>
        <v/>
      </c>
      <c r="AF514" s="39" t="str">
        <f aca="false">IF($AI514=0,"",SUM($AI$4:$AI514))</f>
        <v/>
      </c>
      <c r="AG514" s="50" t="str">
        <f aca="false">IF($F514="","",$I514&amp;IF($J514="",""," · "&amp;$J514)&amp;IF($K514="",""," · "&amp;$K514))</f>
        <v/>
      </c>
      <c r="AH514" s="39" t="n">
        <f aca="false">IF(AND($F514&lt;&gt;"",$O514&lt;&gt;"",$O514&lt;=Hoje!$C$3,$P514&gt;=Hoje!$C$3,$R514&lt;&gt;"Cancelada"),1,0)</f>
        <v>0</v>
      </c>
      <c r="AI514" s="39" t="n">
        <f aca="false">IF(AND($F514&lt;&gt;"",$P514&lt;&gt;"",$P514&lt;Hoje!$C$3,$AB514=0,$R514&lt;&gt;"Cancelada"),1,0)</f>
        <v>0</v>
      </c>
      <c r="AJ514" s="50" t="str">
        <f aca="false">IF($F514="","",$D514&amp;"|"&amp;$E514&amp;"|"&amp;$L514)</f>
        <v/>
      </c>
      <c r="AK514" s="39" t="str">
        <f aca="false">IF($AJ514="","",COUNTIF($AJ$4:$AJ514,$AJ514))</f>
        <v/>
      </c>
      <c r="AL514" s="39" t="str">
        <f aca="false">IF($AJ514="","",COUNTIF($AJ$4:$AJ$1004,$AJ514))</f>
        <v/>
      </c>
      <c r="AM514" s="42"/>
      <c r="AN514" s="50" t="str">
        <f aca="false">IF($D514="","",IFERROR(T(VLOOKUP($D514,Listas!$B$5:$H$120,7,0)),""))</f>
        <v/>
      </c>
      <c r="AO514" s="50" t="str">
        <f aca="false">IF(OR($F514="",$L514&lt;&gt;"",$R514="Cancelada",$AT514&lt;&gt;""),"",$AN514&amp;"|"&amp;$D514&amp;"|"&amp;IF($C514="","zzz",$C514)&amp;"|"&amp;TEXT(514,"0000"))</f>
        <v/>
      </c>
      <c r="AP514" s="50" t="str">
        <f aca="false">IF($AO514="","",COUNTIF($AO$5:$AO$1004,"&lt;"&amp;$AO514)-(ROWS($AO$5:$AO$1004)-Hoje!$L$5)+1)</f>
        <v/>
      </c>
      <c r="AQ514" s="50" t="n">
        <f aca="false">IF(AND($F514&lt;&gt;"",$D514=Frota!$C$3),1,0)</f>
        <v>0</v>
      </c>
      <c r="AR514" s="50" t="str">
        <f aca="false">IF($AQ514=0,"",SUM($AQ$4:$AQ514))</f>
        <v/>
      </c>
      <c r="AS514" s="50" t="str">
        <f aca="false">IFERROR(INDEX(Hoje!$K$10:$K$29,MATCH(ROW(),Hoje!$J$10:$J$29,0)),"")</f>
        <v/>
      </c>
      <c r="AT514" s="50" t="str">
        <f aca="false">IF($Q514&lt;&gt;"",$Q514,$AS514)</f>
        <v/>
      </c>
    </row>
    <row r="515" customFormat="false" ht="16.5" hidden="false" customHeight="true" outlineLevel="0" collapsed="false">
      <c r="A515" s="39" t="str">
        <f aca="false">IF($F515="","",ROW())</f>
        <v/>
      </c>
      <c r="B515" s="40" t="str">
        <f aca="false">IF($F515="",IF($D515="","","Falta a atividade"),IF($R515="Cancelada","Cancelada",IF($AB515=1,IF(N($Z515)&gt;0,"Concluída com atraso","Concluída"),IF($R515="Em programação","Em programação",IF($O515="",IF($M515="","Na carteira","Falta a semana"),IF($AC515=1,"VENCIDA",IF($O515&gt;Hoje!$L$1,"Programada",IF($P515&gt;Hoje!$L$1,"Em execução","Fecha hoje"))))))))</f>
        <v/>
      </c>
      <c r="C515" s="41"/>
      <c r="D515" s="42"/>
      <c r="E515" s="42"/>
      <c r="F515" s="42"/>
      <c r="G515" s="43"/>
      <c r="H515" s="43"/>
      <c r="I515" s="44"/>
      <c r="J515" s="44"/>
      <c r="K515" s="44"/>
      <c r="L515" s="45"/>
      <c r="M515" s="46"/>
      <c r="N515" s="45"/>
      <c r="O515" s="47" t="str">
        <f aca="false">IF(OR($L515="",$M515=""),"",(DATE(Semana!$J$3,1,4)-WEEKDAY(DATE(Semana!$J$3,1,4),3))+($L515-1)*7+MATCH($M515,Listas!$F$5:$F$11,0)-1)</f>
        <v/>
      </c>
      <c r="P515" s="47" t="str">
        <f aca="false">IF(OR($F515="",$O515=""),"",$O515+MAX(0,ROUNDUP($AK515*MAX(1,IF($N515="",1,$N515))/MAX(1,$AL515),0)-1))</f>
        <v/>
      </c>
      <c r="Q515" s="48"/>
      <c r="R515" s="43"/>
      <c r="S515" s="49"/>
      <c r="T515" s="42"/>
      <c r="U515" s="42"/>
      <c r="V515" s="39" t="str">
        <f aca="false">IF($F515="","",IF(ISNUMBER(SEARCH("(externo)",$I515&amp;$J515&amp;$K515)),"Terceirizada","Interna"))</f>
        <v/>
      </c>
      <c r="W515" s="47" t="str">
        <f aca="false">IF($O515="","",IF($S515="",$O515,(DATE(Semana!$J$3,1,4)-WEEKDAY(DATE(Semana!$J$3,1,4),3))+($S515-1)*7+IF($M515="",0,MATCH($M515,Listas!$F$5:$F$11,0)-1)))</f>
        <v/>
      </c>
      <c r="X515" s="39" t="str">
        <f aca="false">IF($F515="","",IF(OR($AT515="",$O515=""),0,IF($AT515&lt;=$O515,1,0)))</f>
        <v/>
      </c>
      <c r="Y515" s="39" t="str">
        <f aca="false">IF($F515="","",IF(OR($AT515="",$W515=""),0,IF($AT515&lt;=$W515,1,0)))</f>
        <v/>
      </c>
      <c r="Z515" s="39" t="str">
        <f aca="false">IF(OR($AT515="",$O515=""),"",MAX(0,$AT515-$O515))</f>
        <v/>
      </c>
      <c r="AA515" s="39" t="str">
        <f aca="false">IF($F515="","",IF(AND($S515&lt;&gt;"",$L515&lt;&gt;"",$S515&lt;&gt;$L515),1,0))</f>
        <v/>
      </c>
      <c r="AB515" s="39" t="str">
        <f aca="false">IF($F515="","",IF($R515="Cancelada",0,IF(OR($AT515&lt;&gt;"",$R515="Concluída"),1,0)))</f>
        <v/>
      </c>
      <c r="AC515" s="39" t="n">
        <f aca="false">IF($P515="",0,IF($P515&lt;Hoje!$L$1,1,IF(AND($P515=Hoje!$L$1,Hoje!$L$2&gt;Semana!$M$3),1,0)))</f>
        <v>0</v>
      </c>
      <c r="AD515" s="39" t="str">
        <f aca="false">IF($F515="","",IF(COUNTA($I515:$K515)=0,0,1/COUNTA($I515:$K515)))</f>
        <v/>
      </c>
      <c r="AE515" s="39" t="str">
        <f aca="false">IF($AH515=0,"",SUM($AH$4:$AH515))</f>
        <v/>
      </c>
      <c r="AF515" s="39" t="str">
        <f aca="false">IF($AI515=0,"",SUM($AI$4:$AI515))</f>
        <v/>
      </c>
      <c r="AG515" s="50" t="str">
        <f aca="false">IF($F515="","",$I515&amp;IF($J515="",""," · "&amp;$J515)&amp;IF($K515="",""," · "&amp;$K515))</f>
        <v/>
      </c>
      <c r="AH515" s="39" t="n">
        <f aca="false">IF(AND($F515&lt;&gt;"",$O515&lt;&gt;"",$O515&lt;=Hoje!$C$3,$P515&gt;=Hoje!$C$3,$R515&lt;&gt;"Cancelada"),1,0)</f>
        <v>0</v>
      </c>
      <c r="AI515" s="39" t="n">
        <f aca="false">IF(AND($F515&lt;&gt;"",$P515&lt;&gt;"",$P515&lt;Hoje!$C$3,$AB515=0,$R515&lt;&gt;"Cancelada"),1,0)</f>
        <v>0</v>
      </c>
      <c r="AJ515" s="50" t="str">
        <f aca="false">IF($F515="","",$D515&amp;"|"&amp;$E515&amp;"|"&amp;$L515)</f>
        <v/>
      </c>
      <c r="AK515" s="39" t="str">
        <f aca="false">IF($AJ515="","",COUNTIF($AJ$4:$AJ515,$AJ515))</f>
        <v/>
      </c>
      <c r="AL515" s="39" t="str">
        <f aca="false">IF($AJ515="","",COUNTIF($AJ$4:$AJ$1004,$AJ515))</f>
        <v/>
      </c>
      <c r="AM515" s="42"/>
      <c r="AN515" s="50" t="str">
        <f aca="false">IF($D515="","",IFERROR(T(VLOOKUP($D515,Listas!$B$5:$H$120,7,0)),""))</f>
        <v/>
      </c>
      <c r="AO515" s="50" t="str">
        <f aca="false">IF(OR($F515="",$L515&lt;&gt;"",$R515="Cancelada",$AT515&lt;&gt;""),"",$AN515&amp;"|"&amp;$D515&amp;"|"&amp;IF($C515="","zzz",$C515)&amp;"|"&amp;TEXT(515,"0000"))</f>
        <v/>
      </c>
      <c r="AP515" s="50" t="str">
        <f aca="false">IF($AO515="","",COUNTIF($AO$5:$AO$1004,"&lt;"&amp;$AO515)-(ROWS($AO$5:$AO$1004)-Hoje!$L$5)+1)</f>
        <v/>
      </c>
      <c r="AQ515" s="50" t="n">
        <f aca="false">IF(AND($F515&lt;&gt;"",$D515=Frota!$C$3),1,0)</f>
        <v>0</v>
      </c>
      <c r="AR515" s="50" t="str">
        <f aca="false">IF($AQ515=0,"",SUM($AQ$4:$AQ515))</f>
        <v/>
      </c>
      <c r="AS515" s="50" t="str">
        <f aca="false">IFERROR(INDEX(Hoje!$K$10:$K$29,MATCH(ROW(),Hoje!$J$10:$J$29,0)),"")</f>
        <v/>
      </c>
      <c r="AT515" s="50" t="str">
        <f aca="false">IF($Q515&lt;&gt;"",$Q515,$AS515)</f>
        <v/>
      </c>
    </row>
    <row r="516" customFormat="false" ht="16.5" hidden="false" customHeight="true" outlineLevel="0" collapsed="false">
      <c r="A516" s="39" t="str">
        <f aca="false">IF($F516="","",ROW())</f>
        <v/>
      </c>
      <c r="B516" s="40" t="str">
        <f aca="false">IF($F516="",IF($D516="","","Falta a atividade"),IF($R516="Cancelada","Cancelada",IF($AB516=1,IF(N($Z516)&gt;0,"Concluída com atraso","Concluída"),IF($R516="Em programação","Em programação",IF($O516="",IF($M516="","Na carteira","Falta a semana"),IF($AC516=1,"VENCIDA",IF($O516&gt;Hoje!$L$1,"Programada",IF($P516&gt;Hoje!$L$1,"Em execução","Fecha hoje"))))))))</f>
        <v/>
      </c>
      <c r="C516" s="41"/>
      <c r="D516" s="42"/>
      <c r="E516" s="42"/>
      <c r="F516" s="42"/>
      <c r="G516" s="43"/>
      <c r="H516" s="43"/>
      <c r="I516" s="44"/>
      <c r="J516" s="44"/>
      <c r="K516" s="44"/>
      <c r="L516" s="45"/>
      <c r="M516" s="46"/>
      <c r="N516" s="45"/>
      <c r="O516" s="47" t="str">
        <f aca="false">IF(OR($L516="",$M516=""),"",(DATE(Semana!$J$3,1,4)-WEEKDAY(DATE(Semana!$J$3,1,4),3))+($L516-1)*7+MATCH($M516,Listas!$F$5:$F$11,0)-1)</f>
        <v/>
      </c>
      <c r="P516" s="47" t="str">
        <f aca="false">IF(OR($F516="",$O516=""),"",$O516+MAX(0,ROUNDUP($AK516*MAX(1,IF($N516="",1,$N516))/MAX(1,$AL516),0)-1))</f>
        <v/>
      </c>
      <c r="Q516" s="48"/>
      <c r="R516" s="43"/>
      <c r="S516" s="49"/>
      <c r="T516" s="42"/>
      <c r="U516" s="42"/>
      <c r="V516" s="39" t="str">
        <f aca="false">IF($F516="","",IF(ISNUMBER(SEARCH("(externo)",$I516&amp;$J516&amp;$K516)),"Terceirizada","Interna"))</f>
        <v/>
      </c>
      <c r="W516" s="47" t="str">
        <f aca="false">IF($O516="","",IF($S516="",$O516,(DATE(Semana!$J$3,1,4)-WEEKDAY(DATE(Semana!$J$3,1,4),3))+($S516-1)*7+IF($M516="",0,MATCH($M516,Listas!$F$5:$F$11,0)-1)))</f>
        <v/>
      </c>
      <c r="X516" s="39" t="str">
        <f aca="false">IF($F516="","",IF(OR($AT516="",$O516=""),0,IF($AT516&lt;=$O516,1,0)))</f>
        <v/>
      </c>
      <c r="Y516" s="39" t="str">
        <f aca="false">IF($F516="","",IF(OR($AT516="",$W516=""),0,IF($AT516&lt;=$W516,1,0)))</f>
        <v/>
      </c>
      <c r="Z516" s="39" t="str">
        <f aca="false">IF(OR($AT516="",$O516=""),"",MAX(0,$AT516-$O516))</f>
        <v/>
      </c>
      <c r="AA516" s="39" t="str">
        <f aca="false">IF($F516="","",IF(AND($S516&lt;&gt;"",$L516&lt;&gt;"",$S516&lt;&gt;$L516),1,0))</f>
        <v/>
      </c>
      <c r="AB516" s="39" t="str">
        <f aca="false">IF($F516="","",IF($R516="Cancelada",0,IF(OR($AT516&lt;&gt;"",$R516="Concluída"),1,0)))</f>
        <v/>
      </c>
      <c r="AC516" s="39" t="n">
        <f aca="false">IF($P516="",0,IF($P516&lt;Hoje!$L$1,1,IF(AND($P516=Hoje!$L$1,Hoje!$L$2&gt;Semana!$M$3),1,0)))</f>
        <v>0</v>
      </c>
      <c r="AD516" s="39" t="str">
        <f aca="false">IF($F516="","",IF(COUNTA($I516:$K516)=0,0,1/COUNTA($I516:$K516)))</f>
        <v/>
      </c>
      <c r="AE516" s="39" t="str">
        <f aca="false">IF($AH516=0,"",SUM($AH$4:$AH516))</f>
        <v/>
      </c>
      <c r="AF516" s="39" t="str">
        <f aca="false">IF($AI516=0,"",SUM($AI$4:$AI516))</f>
        <v/>
      </c>
      <c r="AG516" s="50" t="str">
        <f aca="false">IF($F516="","",$I516&amp;IF($J516="",""," · "&amp;$J516)&amp;IF($K516="",""," · "&amp;$K516))</f>
        <v/>
      </c>
      <c r="AH516" s="39" t="n">
        <f aca="false">IF(AND($F516&lt;&gt;"",$O516&lt;&gt;"",$O516&lt;=Hoje!$C$3,$P516&gt;=Hoje!$C$3,$R516&lt;&gt;"Cancelada"),1,0)</f>
        <v>0</v>
      </c>
      <c r="AI516" s="39" t="n">
        <f aca="false">IF(AND($F516&lt;&gt;"",$P516&lt;&gt;"",$P516&lt;Hoje!$C$3,$AB516=0,$R516&lt;&gt;"Cancelada"),1,0)</f>
        <v>0</v>
      </c>
      <c r="AJ516" s="50" t="str">
        <f aca="false">IF($F516="","",$D516&amp;"|"&amp;$E516&amp;"|"&amp;$L516)</f>
        <v/>
      </c>
      <c r="AK516" s="39" t="str">
        <f aca="false">IF($AJ516="","",COUNTIF($AJ$4:$AJ516,$AJ516))</f>
        <v/>
      </c>
      <c r="AL516" s="39" t="str">
        <f aca="false">IF($AJ516="","",COUNTIF($AJ$4:$AJ$1004,$AJ516))</f>
        <v/>
      </c>
      <c r="AM516" s="42"/>
      <c r="AN516" s="50" t="str">
        <f aca="false">IF($D516="","",IFERROR(T(VLOOKUP($D516,Listas!$B$5:$H$120,7,0)),""))</f>
        <v/>
      </c>
      <c r="AO516" s="50" t="str">
        <f aca="false">IF(OR($F516="",$L516&lt;&gt;"",$R516="Cancelada",$AT516&lt;&gt;""),"",$AN516&amp;"|"&amp;$D516&amp;"|"&amp;IF($C516="","zzz",$C516)&amp;"|"&amp;TEXT(516,"0000"))</f>
        <v/>
      </c>
      <c r="AP516" s="50" t="str">
        <f aca="false">IF($AO516="","",COUNTIF($AO$5:$AO$1004,"&lt;"&amp;$AO516)-(ROWS($AO$5:$AO$1004)-Hoje!$L$5)+1)</f>
        <v/>
      </c>
      <c r="AQ516" s="50" t="n">
        <f aca="false">IF(AND($F516&lt;&gt;"",$D516=Frota!$C$3),1,0)</f>
        <v>0</v>
      </c>
      <c r="AR516" s="50" t="str">
        <f aca="false">IF($AQ516=0,"",SUM($AQ$4:$AQ516))</f>
        <v/>
      </c>
      <c r="AS516" s="50" t="str">
        <f aca="false">IFERROR(INDEX(Hoje!$K$10:$K$29,MATCH(ROW(),Hoje!$J$10:$J$29,0)),"")</f>
        <v/>
      </c>
      <c r="AT516" s="50" t="str">
        <f aca="false">IF($Q516&lt;&gt;"",$Q516,$AS516)</f>
        <v/>
      </c>
    </row>
    <row r="517" customFormat="false" ht="16.5" hidden="false" customHeight="true" outlineLevel="0" collapsed="false">
      <c r="A517" s="39" t="str">
        <f aca="false">IF($F517="","",ROW())</f>
        <v/>
      </c>
      <c r="B517" s="40" t="str">
        <f aca="false">IF($F517="",IF($D517="","","Falta a atividade"),IF($R517="Cancelada","Cancelada",IF($AB517=1,IF(N($Z517)&gt;0,"Concluída com atraso","Concluída"),IF($R517="Em programação","Em programação",IF($O517="",IF($M517="","Na carteira","Falta a semana"),IF($AC517=1,"VENCIDA",IF($O517&gt;Hoje!$L$1,"Programada",IF($P517&gt;Hoje!$L$1,"Em execução","Fecha hoje"))))))))</f>
        <v/>
      </c>
      <c r="C517" s="41"/>
      <c r="D517" s="42"/>
      <c r="E517" s="42"/>
      <c r="F517" s="42"/>
      <c r="G517" s="43"/>
      <c r="H517" s="43"/>
      <c r="I517" s="44"/>
      <c r="J517" s="44"/>
      <c r="K517" s="44"/>
      <c r="L517" s="45"/>
      <c r="M517" s="46"/>
      <c r="N517" s="45"/>
      <c r="O517" s="47" t="str">
        <f aca="false">IF(OR($L517="",$M517=""),"",(DATE(Semana!$J$3,1,4)-WEEKDAY(DATE(Semana!$J$3,1,4),3))+($L517-1)*7+MATCH($M517,Listas!$F$5:$F$11,0)-1)</f>
        <v/>
      </c>
      <c r="P517" s="47" t="str">
        <f aca="false">IF(OR($F517="",$O517=""),"",$O517+MAX(0,ROUNDUP($AK517*MAX(1,IF($N517="",1,$N517))/MAX(1,$AL517),0)-1))</f>
        <v/>
      </c>
      <c r="Q517" s="48"/>
      <c r="R517" s="43"/>
      <c r="S517" s="49"/>
      <c r="T517" s="42"/>
      <c r="U517" s="42"/>
      <c r="V517" s="39" t="str">
        <f aca="false">IF($F517="","",IF(ISNUMBER(SEARCH("(externo)",$I517&amp;$J517&amp;$K517)),"Terceirizada","Interna"))</f>
        <v/>
      </c>
      <c r="W517" s="47" t="str">
        <f aca="false">IF($O517="","",IF($S517="",$O517,(DATE(Semana!$J$3,1,4)-WEEKDAY(DATE(Semana!$J$3,1,4),3))+($S517-1)*7+IF($M517="",0,MATCH($M517,Listas!$F$5:$F$11,0)-1)))</f>
        <v/>
      </c>
      <c r="X517" s="39" t="str">
        <f aca="false">IF($F517="","",IF(OR($AT517="",$O517=""),0,IF($AT517&lt;=$O517,1,0)))</f>
        <v/>
      </c>
      <c r="Y517" s="39" t="str">
        <f aca="false">IF($F517="","",IF(OR($AT517="",$W517=""),0,IF($AT517&lt;=$W517,1,0)))</f>
        <v/>
      </c>
      <c r="Z517" s="39" t="str">
        <f aca="false">IF(OR($AT517="",$O517=""),"",MAX(0,$AT517-$O517))</f>
        <v/>
      </c>
      <c r="AA517" s="39" t="str">
        <f aca="false">IF($F517="","",IF(AND($S517&lt;&gt;"",$L517&lt;&gt;"",$S517&lt;&gt;$L517),1,0))</f>
        <v/>
      </c>
      <c r="AB517" s="39" t="str">
        <f aca="false">IF($F517="","",IF($R517="Cancelada",0,IF(OR($AT517&lt;&gt;"",$R517="Concluída"),1,0)))</f>
        <v/>
      </c>
      <c r="AC517" s="39" t="n">
        <f aca="false">IF($P517="",0,IF($P517&lt;Hoje!$L$1,1,IF(AND($P517=Hoje!$L$1,Hoje!$L$2&gt;Semana!$M$3),1,0)))</f>
        <v>0</v>
      </c>
      <c r="AD517" s="39" t="str">
        <f aca="false">IF($F517="","",IF(COUNTA($I517:$K517)=0,0,1/COUNTA($I517:$K517)))</f>
        <v/>
      </c>
      <c r="AE517" s="39" t="str">
        <f aca="false">IF($AH517=0,"",SUM($AH$4:$AH517))</f>
        <v/>
      </c>
      <c r="AF517" s="39" t="str">
        <f aca="false">IF($AI517=0,"",SUM($AI$4:$AI517))</f>
        <v/>
      </c>
      <c r="AG517" s="50" t="str">
        <f aca="false">IF($F517="","",$I517&amp;IF($J517="",""," · "&amp;$J517)&amp;IF($K517="",""," · "&amp;$K517))</f>
        <v/>
      </c>
      <c r="AH517" s="39" t="n">
        <f aca="false">IF(AND($F517&lt;&gt;"",$O517&lt;&gt;"",$O517&lt;=Hoje!$C$3,$P517&gt;=Hoje!$C$3,$R517&lt;&gt;"Cancelada"),1,0)</f>
        <v>0</v>
      </c>
      <c r="AI517" s="39" t="n">
        <f aca="false">IF(AND($F517&lt;&gt;"",$P517&lt;&gt;"",$P517&lt;Hoje!$C$3,$AB517=0,$R517&lt;&gt;"Cancelada"),1,0)</f>
        <v>0</v>
      </c>
      <c r="AJ517" s="50" t="str">
        <f aca="false">IF($F517="","",$D517&amp;"|"&amp;$E517&amp;"|"&amp;$L517)</f>
        <v/>
      </c>
      <c r="AK517" s="39" t="str">
        <f aca="false">IF($AJ517="","",COUNTIF($AJ$4:$AJ517,$AJ517))</f>
        <v/>
      </c>
      <c r="AL517" s="39" t="str">
        <f aca="false">IF($AJ517="","",COUNTIF($AJ$4:$AJ$1004,$AJ517))</f>
        <v/>
      </c>
      <c r="AM517" s="42"/>
      <c r="AN517" s="50" t="str">
        <f aca="false">IF($D517="","",IFERROR(T(VLOOKUP($D517,Listas!$B$5:$H$120,7,0)),""))</f>
        <v/>
      </c>
      <c r="AO517" s="50" t="str">
        <f aca="false">IF(OR($F517="",$L517&lt;&gt;"",$R517="Cancelada",$AT517&lt;&gt;""),"",$AN517&amp;"|"&amp;$D517&amp;"|"&amp;IF($C517="","zzz",$C517)&amp;"|"&amp;TEXT(517,"0000"))</f>
        <v/>
      </c>
      <c r="AP517" s="50" t="str">
        <f aca="false">IF($AO517="","",COUNTIF($AO$5:$AO$1004,"&lt;"&amp;$AO517)-(ROWS($AO$5:$AO$1004)-Hoje!$L$5)+1)</f>
        <v/>
      </c>
      <c r="AQ517" s="50" t="n">
        <f aca="false">IF(AND($F517&lt;&gt;"",$D517=Frota!$C$3),1,0)</f>
        <v>0</v>
      </c>
      <c r="AR517" s="50" t="str">
        <f aca="false">IF($AQ517=0,"",SUM($AQ$4:$AQ517))</f>
        <v/>
      </c>
      <c r="AS517" s="50" t="str">
        <f aca="false">IFERROR(INDEX(Hoje!$K$10:$K$29,MATCH(ROW(),Hoje!$J$10:$J$29,0)),"")</f>
        <v/>
      </c>
      <c r="AT517" s="50" t="str">
        <f aca="false">IF($Q517&lt;&gt;"",$Q517,$AS517)</f>
        <v/>
      </c>
    </row>
    <row r="518" customFormat="false" ht="16.5" hidden="false" customHeight="true" outlineLevel="0" collapsed="false">
      <c r="A518" s="39" t="str">
        <f aca="false">IF($F518="","",ROW())</f>
        <v/>
      </c>
      <c r="B518" s="40" t="str">
        <f aca="false">IF($F518="",IF($D518="","","Falta a atividade"),IF($R518="Cancelada","Cancelada",IF($AB518=1,IF(N($Z518)&gt;0,"Concluída com atraso","Concluída"),IF($R518="Em programação","Em programação",IF($O518="",IF($M518="","Na carteira","Falta a semana"),IF($AC518=1,"VENCIDA",IF($O518&gt;Hoje!$L$1,"Programada",IF($P518&gt;Hoje!$L$1,"Em execução","Fecha hoje"))))))))</f>
        <v/>
      </c>
      <c r="C518" s="41"/>
      <c r="D518" s="42"/>
      <c r="E518" s="42"/>
      <c r="F518" s="42"/>
      <c r="G518" s="43"/>
      <c r="H518" s="43"/>
      <c r="I518" s="44"/>
      <c r="J518" s="44"/>
      <c r="K518" s="44"/>
      <c r="L518" s="45"/>
      <c r="M518" s="46"/>
      <c r="N518" s="45"/>
      <c r="O518" s="47" t="str">
        <f aca="false">IF(OR($L518="",$M518=""),"",(DATE(Semana!$J$3,1,4)-WEEKDAY(DATE(Semana!$J$3,1,4),3))+($L518-1)*7+MATCH($M518,Listas!$F$5:$F$11,0)-1)</f>
        <v/>
      </c>
      <c r="P518" s="47" t="str">
        <f aca="false">IF(OR($F518="",$O518=""),"",$O518+MAX(0,ROUNDUP($AK518*MAX(1,IF($N518="",1,$N518))/MAX(1,$AL518),0)-1))</f>
        <v/>
      </c>
      <c r="Q518" s="48"/>
      <c r="R518" s="43"/>
      <c r="S518" s="49"/>
      <c r="T518" s="42"/>
      <c r="U518" s="42"/>
      <c r="V518" s="39" t="str">
        <f aca="false">IF($F518="","",IF(ISNUMBER(SEARCH("(externo)",$I518&amp;$J518&amp;$K518)),"Terceirizada","Interna"))</f>
        <v/>
      </c>
      <c r="W518" s="47" t="str">
        <f aca="false">IF($O518="","",IF($S518="",$O518,(DATE(Semana!$J$3,1,4)-WEEKDAY(DATE(Semana!$J$3,1,4),3))+($S518-1)*7+IF($M518="",0,MATCH($M518,Listas!$F$5:$F$11,0)-1)))</f>
        <v/>
      </c>
      <c r="X518" s="39" t="str">
        <f aca="false">IF($F518="","",IF(OR($AT518="",$O518=""),0,IF($AT518&lt;=$O518,1,0)))</f>
        <v/>
      </c>
      <c r="Y518" s="39" t="str">
        <f aca="false">IF($F518="","",IF(OR($AT518="",$W518=""),0,IF($AT518&lt;=$W518,1,0)))</f>
        <v/>
      </c>
      <c r="Z518" s="39" t="str">
        <f aca="false">IF(OR($AT518="",$O518=""),"",MAX(0,$AT518-$O518))</f>
        <v/>
      </c>
      <c r="AA518" s="39" t="str">
        <f aca="false">IF($F518="","",IF(AND($S518&lt;&gt;"",$L518&lt;&gt;"",$S518&lt;&gt;$L518),1,0))</f>
        <v/>
      </c>
      <c r="AB518" s="39" t="str">
        <f aca="false">IF($F518="","",IF($R518="Cancelada",0,IF(OR($AT518&lt;&gt;"",$R518="Concluída"),1,0)))</f>
        <v/>
      </c>
      <c r="AC518" s="39" t="n">
        <f aca="false">IF($P518="",0,IF($P518&lt;Hoje!$L$1,1,IF(AND($P518=Hoje!$L$1,Hoje!$L$2&gt;Semana!$M$3),1,0)))</f>
        <v>0</v>
      </c>
      <c r="AD518" s="39" t="str">
        <f aca="false">IF($F518="","",IF(COUNTA($I518:$K518)=0,0,1/COUNTA($I518:$K518)))</f>
        <v/>
      </c>
      <c r="AE518" s="39" t="str">
        <f aca="false">IF($AH518=0,"",SUM($AH$4:$AH518))</f>
        <v/>
      </c>
      <c r="AF518" s="39" t="str">
        <f aca="false">IF($AI518=0,"",SUM($AI$4:$AI518))</f>
        <v/>
      </c>
      <c r="AG518" s="50" t="str">
        <f aca="false">IF($F518="","",$I518&amp;IF($J518="",""," · "&amp;$J518)&amp;IF($K518="",""," · "&amp;$K518))</f>
        <v/>
      </c>
      <c r="AH518" s="39" t="n">
        <f aca="false">IF(AND($F518&lt;&gt;"",$O518&lt;&gt;"",$O518&lt;=Hoje!$C$3,$P518&gt;=Hoje!$C$3,$R518&lt;&gt;"Cancelada"),1,0)</f>
        <v>0</v>
      </c>
      <c r="AI518" s="39" t="n">
        <f aca="false">IF(AND($F518&lt;&gt;"",$P518&lt;&gt;"",$P518&lt;Hoje!$C$3,$AB518=0,$R518&lt;&gt;"Cancelada"),1,0)</f>
        <v>0</v>
      </c>
      <c r="AJ518" s="50" t="str">
        <f aca="false">IF($F518="","",$D518&amp;"|"&amp;$E518&amp;"|"&amp;$L518)</f>
        <v/>
      </c>
      <c r="AK518" s="39" t="str">
        <f aca="false">IF($AJ518="","",COUNTIF($AJ$4:$AJ518,$AJ518))</f>
        <v/>
      </c>
      <c r="AL518" s="39" t="str">
        <f aca="false">IF($AJ518="","",COUNTIF($AJ$4:$AJ$1004,$AJ518))</f>
        <v/>
      </c>
      <c r="AM518" s="42"/>
      <c r="AN518" s="50" t="str">
        <f aca="false">IF($D518="","",IFERROR(T(VLOOKUP($D518,Listas!$B$5:$H$120,7,0)),""))</f>
        <v/>
      </c>
      <c r="AO518" s="50" t="str">
        <f aca="false">IF(OR($F518="",$L518&lt;&gt;"",$R518="Cancelada",$AT518&lt;&gt;""),"",$AN518&amp;"|"&amp;$D518&amp;"|"&amp;IF($C518="","zzz",$C518)&amp;"|"&amp;TEXT(518,"0000"))</f>
        <v/>
      </c>
      <c r="AP518" s="50" t="str">
        <f aca="false">IF($AO518="","",COUNTIF($AO$5:$AO$1004,"&lt;"&amp;$AO518)-(ROWS($AO$5:$AO$1004)-Hoje!$L$5)+1)</f>
        <v/>
      </c>
      <c r="AQ518" s="50" t="n">
        <f aca="false">IF(AND($F518&lt;&gt;"",$D518=Frota!$C$3),1,0)</f>
        <v>0</v>
      </c>
      <c r="AR518" s="50" t="str">
        <f aca="false">IF($AQ518=0,"",SUM($AQ$4:$AQ518))</f>
        <v/>
      </c>
      <c r="AS518" s="50" t="str">
        <f aca="false">IFERROR(INDEX(Hoje!$K$10:$K$29,MATCH(ROW(),Hoje!$J$10:$J$29,0)),"")</f>
        <v/>
      </c>
      <c r="AT518" s="50" t="str">
        <f aca="false">IF($Q518&lt;&gt;"",$Q518,$AS518)</f>
        <v/>
      </c>
    </row>
    <row r="519" customFormat="false" ht="16.5" hidden="false" customHeight="true" outlineLevel="0" collapsed="false">
      <c r="A519" s="39" t="str">
        <f aca="false">IF($F519="","",ROW())</f>
        <v/>
      </c>
      <c r="B519" s="40" t="str">
        <f aca="false">IF($F519="",IF($D519="","","Falta a atividade"),IF($R519="Cancelada","Cancelada",IF($AB519=1,IF(N($Z519)&gt;0,"Concluída com atraso","Concluída"),IF($R519="Em programação","Em programação",IF($O519="",IF($M519="","Na carteira","Falta a semana"),IF($AC519=1,"VENCIDA",IF($O519&gt;Hoje!$L$1,"Programada",IF($P519&gt;Hoje!$L$1,"Em execução","Fecha hoje"))))))))</f>
        <v/>
      </c>
      <c r="C519" s="41"/>
      <c r="D519" s="42"/>
      <c r="E519" s="42"/>
      <c r="F519" s="42"/>
      <c r="G519" s="43"/>
      <c r="H519" s="43"/>
      <c r="I519" s="44"/>
      <c r="J519" s="44"/>
      <c r="K519" s="44"/>
      <c r="L519" s="45"/>
      <c r="M519" s="46"/>
      <c r="N519" s="45"/>
      <c r="O519" s="47" t="str">
        <f aca="false">IF(OR($L519="",$M519=""),"",(DATE(Semana!$J$3,1,4)-WEEKDAY(DATE(Semana!$J$3,1,4),3))+($L519-1)*7+MATCH($M519,Listas!$F$5:$F$11,0)-1)</f>
        <v/>
      </c>
      <c r="P519" s="47" t="str">
        <f aca="false">IF(OR($F519="",$O519=""),"",$O519+MAX(0,ROUNDUP($AK519*MAX(1,IF($N519="",1,$N519))/MAX(1,$AL519),0)-1))</f>
        <v/>
      </c>
      <c r="Q519" s="48"/>
      <c r="R519" s="43"/>
      <c r="S519" s="49"/>
      <c r="T519" s="42"/>
      <c r="U519" s="42"/>
      <c r="V519" s="39" t="str">
        <f aca="false">IF($F519="","",IF(ISNUMBER(SEARCH("(externo)",$I519&amp;$J519&amp;$K519)),"Terceirizada","Interna"))</f>
        <v/>
      </c>
      <c r="W519" s="47" t="str">
        <f aca="false">IF($O519="","",IF($S519="",$O519,(DATE(Semana!$J$3,1,4)-WEEKDAY(DATE(Semana!$J$3,1,4),3))+($S519-1)*7+IF($M519="",0,MATCH($M519,Listas!$F$5:$F$11,0)-1)))</f>
        <v/>
      </c>
      <c r="X519" s="39" t="str">
        <f aca="false">IF($F519="","",IF(OR($AT519="",$O519=""),0,IF($AT519&lt;=$O519,1,0)))</f>
        <v/>
      </c>
      <c r="Y519" s="39" t="str">
        <f aca="false">IF($F519="","",IF(OR($AT519="",$W519=""),0,IF($AT519&lt;=$W519,1,0)))</f>
        <v/>
      </c>
      <c r="Z519" s="39" t="str">
        <f aca="false">IF(OR($AT519="",$O519=""),"",MAX(0,$AT519-$O519))</f>
        <v/>
      </c>
      <c r="AA519" s="39" t="str">
        <f aca="false">IF($F519="","",IF(AND($S519&lt;&gt;"",$L519&lt;&gt;"",$S519&lt;&gt;$L519),1,0))</f>
        <v/>
      </c>
      <c r="AB519" s="39" t="str">
        <f aca="false">IF($F519="","",IF($R519="Cancelada",0,IF(OR($AT519&lt;&gt;"",$R519="Concluída"),1,0)))</f>
        <v/>
      </c>
      <c r="AC519" s="39" t="n">
        <f aca="false">IF($P519="",0,IF($P519&lt;Hoje!$L$1,1,IF(AND($P519=Hoje!$L$1,Hoje!$L$2&gt;Semana!$M$3),1,0)))</f>
        <v>0</v>
      </c>
      <c r="AD519" s="39" t="str">
        <f aca="false">IF($F519="","",IF(COUNTA($I519:$K519)=0,0,1/COUNTA($I519:$K519)))</f>
        <v/>
      </c>
      <c r="AE519" s="39" t="str">
        <f aca="false">IF($AH519=0,"",SUM($AH$4:$AH519))</f>
        <v/>
      </c>
      <c r="AF519" s="39" t="str">
        <f aca="false">IF($AI519=0,"",SUM($AI$4:$AI519))</f>
        <v/>
      </c>
      <c r="AG519" s="50" t="str">
        <f aca="false">IF($F519="","",$I519&amp;IF($J519="",""," · "&amp;$J519)&amp;IF($K519="",""," · "&amp;$K519))</f>
        <v/>
      </c>
      <c r="AH519" s="39" t="n">
        <f aca="false">IF(AND($F519&lt;&gt;"",$O519&lt;&gt;"",$O519&lt;=Hoje!$C$3,$P519&gt;=Hoje!$C$3,$R519&lt;&gt;"Cancelada"),1,0)</f>
        <v>0</v>
      </c>
      <c r="AI519" s="39" t="n">
        <f aca="false">IF(AND($F519&lt;&gt;"",$P519&lt;&gt;"",$P519&lt;Hoje!$C$3,$AB519=0,$R519&lt;&gt;"Cancelada"),1,0)</f>
        <v>0</v>
      </c>
      <c r="AJ519" s="50" t="str">
        <f aca="false">IF($F519="","",$D519&amp;"|"&amp;$E519&amp;"|"&amp;$L519)</f>
        <v/>
      </c>
      <c r="AK519" s="39" t="str">
        <f aca="false">IF($AJ519="","",COUNTIF($AJ$4:$AJ519,$AJ519))</f>
        <v/>
      </c>
      <c r="AL519" s="39" t="str">
        <f aca="false">IF($AJ519="","",COUNTIF($AJ$4:$AJ$1004,$AJ519))</f>
        <v/>
      </c>
      <c r="AM519" s="42"/>
      <c r="AN519" s="50" t="str">
        <f aca="false">IF($D519="","",IFERROR(T(VLOOKUP($D519,Listas!$B$5:$H$120,7,0)),""))</f>
        <v/>
      </c>
      <c r="AO519" s="50" t="str">
        <f aca="false">IF(OR($F519="",$L519&lt;&gt;"",$R519="Cancelada",$AT519&lt;&gt;""),"",$AN519&amp;"|"&amp;$D519&amp;"|"&amp;IF($C519="","zzz",$C519)&amp;"|"&amp;TEXT(519,"0000"))</f>
        <v/>
      </c>
      <c r="AP519" s="50" t="str">
        <f aca="false">IF($AO519="","",COUNTIF($AO$5:$AO$1004,"&lt;"&amp;$AO519)-(ROWS($AO$5:$AO$1004)-Hoje!$L$5)+1)</f>
        <v/>
      </c>
      <c r="AQ519" s="50" t="n">
        <f aca="false">IF(AND($F519&lt;&gt;"",$D519=Frota!$C$3),1,0)</f>
        <v>0</v>
      </c>
      <c r="AR519" s="50" t="str">
        <f aca="false">IF($AQ519=0,"",SUM($AQ$4:$AQ519))</f>
        <v/>
      </c>
      <c r="AS519" s="50" t="str">
        <f aca="false">IFERROR(INDEX(Hoje!$K$10:$K$29,MATCH(ROW(),Hoje!$J$10:$J$29,0)),"")</f>
        <v/>
      </c>
      <c r="AT519" s="50" t="str">
        <f aca="false">IF($Q519&lt;&gt;"",$Q519,$AS519)</f>
        <v/>
      </c>
    </row>
    <row r="520" customFormat="false" ht="16.5" hidden="false" customHeight="true" outlineLevel="0" collapsed="false">
      <c r="A520" s="39" t="str">
        <f aca="false">IF($F520="","",ROW())</f>
        <v/>
      </c>
      <c r="B520" s="40" t="str">
        <f aca="false">IF($F520="",IF($D520="","","Falta a atividade"),IF($R520="Cancelada","Cancelada",IF($AB520=1,IF(N($Z520)&gt;0,"Concluída com atraso","Concluída"),IF($R520="Em programação","Em programação",IF($O520="",IF($M520="","Na carteira","Falta a semana"),IF($AC520=1,"VENCIDA",IF($O520&gt;Hoje!$L$1,"Programada",IF($P520&gt;Hoje!$L$1,"Em execução","Fecha hoje"))))))))</f>
        <v/>
      </c>
      <c r="C520" s="41"/>
      <c r="D520" s="42"/>
      <c r="E520" s="42"/>
      <c r="F520" s="42"/>
      <c r="G520" s="43"/>
      <c r="H520" s="43"/>
      <c r="I520" s="44"/>
      <c r="J520" s="44"/>
      <c r="K520" s="44"/>
      <c r="L520" s="45"/>
      <c r="M520" s="46"/>
      <c r="N520" s="45"/>
      <c r="O520" s="47" t="str">
        <f aca="false">IF(OR($L520="",$M520=""),"",(DATE(Semana!$J$3,1,4)-WEEKDAY(DATE(Semana!$J$3,1,4),3))+($L520-1)*7+MATCH($M520,Listas!$F$5:$F$11,0)-1)</f>
        <v/>
      </c>
      <c r="P520" s="47" t="str">
        <f aca="false">IF(OR($F520="",$O520=""),"",$O520+MAX(0,ROUNDUP($AK520*MAX(1,IF($N520="",1,$N520))/MAX(1,$AL520),0)-1))</f>
        <v/>
      </c>
      <c r="Q520" s="48"/>
      <c r="R520" s="43"/>
      <c r="S520" s="49"/>
      <c r="T520" s="42"/>
      <c r="U520" s="42"/>
      <c r="V520" s="39" t="str">
        <f aca="false">IF($F520="","",IF(ISNUMBER(SEARCH("(externo)",$I520&amp;$J520&amp;$K520)),"Terceirizada","Interna"))</f>
        <v/>
      </c>
      <c r="W520" s="47" t="str">
        <f aca="false">IF($O520="","",IF($S520="",$O520,(DATE(Semana!$J$3,1,4)-WEEKDAY(DATE(Semana!$J$3,1,4),3))+($S520-1)*7+IF($M520="",0,MATCH($M520,Listas!$F$5:$F$11,0)-1)))</f>
        <v/>
      </c>
      <c r="X520" s="39" t="str">
        <f aca="false">IF($F520="","",IF(OR($AT520="",$O520=""),0,IF($AT520&lt;=$O520,1,0)))</f>
        <v/>
      </c>
      <c r="Y520" s="39" t="str">
        <f aca="false">IF($F520="","",IF(OR($AT520="",$W520=""),0,IF($AT520&lt;=$W520,1,0)))</f>
        <v/>
      </c>
      <c r="Z520" s="39" t="str">
        <f aca="false">IF(OR($AT520="",$O520=""),"",MAX(0,$AT520-$O520))</f>
        <v/>
      </c>
      <c r="AA520" s="39" t="str">
        <f aca="false">IF($F520="","",IF(AND($S520&lt;&gt;"",$L520&lt;&gt;"",$S520&lt;&gt;$L520),1,0))</f>
        <v/>
      </c>
      <c r="AB520" s="39" t="str">
        <f aca="false">IF($F520="","",IF($R520="Cancelada",0,IF(OR($AT520&lt;&gt;"",$R520="Concluída"),1,0)))</f>
        <v/>
      </c>
      <c r="AC520" s="39" t="n">
        <f aca="false">IF($P520="",0,IF($P520&lt;Hoje!$L$1,1,IF(AND($P520=Hoje!$L$1,Hoje!$L$2&gt;Semana!$M$3),1,0)))</f>
        <v>0</v>
      </c>
      <c r="AD520" s="39" t="str">
        <f aca="false">IF($F520="","",IF(COUNTA($I520:$K520)=0,0,1/COUNTA($I520:$K520)))</f>
        <v/>
      </c>
      <c r="AE520" s="39" t="str">
        <f aca="false">IF($AH520=0,"",SUM($AH$4:$AH520))</f>
        <v/>
      </c>
      <c r="AF520" s="39" t="str">
        <f aca="false">IF($AI520=0,"",SUM($AI$4:$AI520))</f>
        <v/>
      </c>
      <c r="AG520" s="50" t="str">
        <f aca="false">IF($F520="","",$I520&amp;IF($J520="",""," · "&amp;$J520)&amp;IF($K520="",""," · "&amp;$K520))</f>
        <v/>
      </c>
      <c r="AH520" s="39" t="n">
        <f aca="false">IF(AND($F520&lt;&gt;"",$O520&lt;&gt;"",$O520&lt;=Hoje!$C$3,$P520&gt;=Hoje!$C$3,$R520&lt;&gt;"Cancelada"),1,0)</f>
        <v>0</v>
      </c>
      <c r="AI520" s="39" t="n">
        <f aca="false">IF(AND($F520&lt;&gt;"",$P520&lt;&gt;"",$P520&lt;Hoje!$C$3,$AB520=0,$R520&lt;&gt;"Cancelada"),1,0)</f>
        <v>0</v>
      </c>
      <c r="AJ520" s="50" t="str">
        <f aca="false">IF($F520="","",$D520&amp;"|"&amp;$E520&amp;"|"&amp;$L520)</f>
        <v/>
      </c>
      <c r="AK520" s="39" t="str">
        <f aca="false">IF($AJ520="","",COUNTIF($AJ$4:$AJ520,$AJ520))</f>
        <v/>
      </c>
      <c r="AL520" s="39" t="str">
        <f aca="false">IF($AJ520="","",COUNTIF($AJ$4:$AJ$1004,$AJ520))</f>
        <v/>
      </c>
      <c r="AM520" s="42"/>
      <c r="AN520" s="50" t="str">
        <f aca="false">IF($D520="","",IFERROR(T(VLOOKUP($D520,Listas!$B$5:$H$120,7,0)),""))</f>
        <v/>
      </c>
      <c r="AO520" s="50" t="str">
        <f aca="false">IF(OR($F520="",$L520&lt;&gt;"",$R520="Cancelada",$AT520&lt;&gt;""),"",$AN520&amp;"|"&amp;$D520&amp;"|"&amp;IF($C520="","zzz",$C520)&amp;"|"&amp;TEXT(520,"0000"))</f>
        <v/>
      </c>
      <c r="AP520" s="50" t="str">
        <f aca="false">IF($AO520="","",COUNTIF($AO$5:$AO$1004,"&lt;"&amp;$AO520)-(ROWS($AO$5:$AO$1004)-Hoje!$L$5)+1)</f>
        <v/>
      </c>
      <c r="AQ520" s="50" t="n">
        <f aca="false">IF(AND($F520&lt;&gt;"",$D520=Frota!$C$3),1,0)</f>
        <v>0</v>
      </c>
      <c r="AR520" s="50" t="str">
        <f aca="false">IF($AQ520=0,"",SUM($AQ$4:$AQ520))</f>
        <v/>
      </c>
      <c r="AS520" s="50" t="str">
        <f aca="false">IFERROR(INDEX(Hoje!$K$10:$K$29,MATCH(ROW(),Hoje!$J$10:$J$29,0)),"")</f>
        <v/>
      </c>
      <c r="AT520" s="50" t="str">
        <f aca="false">IF($Q520&lt;&gt;"",$Q520,$AS520)</f>
        <v/>
      </c>
    </row>
    <row r="521" customFormat="false" ht="16.5" hidden="false" customHeight="true" outlineLevel="0" collapsed="false">
      <c r="A521" s="39" t="str">
        <f aca="false">IF($F521="","",ROW())</f>
        <v/>
      </c>
      <c r="B521" s="40" t="str">
        <f aca="false">IF($F521="",IF($D521="","","Falta a atividade"),IF($R521="Cancelada","Cancelada",IF($AB521=1,IF(N($Z521)&gt;0,"Concluída com atraso","Concluída"),IF($R521="Em programação","Em programação",IF($O521="",IF($M521="","Na carteira","Falta a semana"),IF($AC521=1,"VENCIDA",IF($O521&gt;Hoje!$L$1,"Programada",IF($P521&gt;Hoje!$L$1,"Em execução","Fecha hoje"))))))))</f>
        <v/>
      </c>
      <c r="C521" s="41"/>
      <c r="D521" s="42"/>
      <c r="E521" s="42"/>
      <c r="F521" s="42"/>
      <c r="G521" s="43"/>
      <c r="H521" s="43"/>
      <c r="I521" s="44"/>
      <c r="J521" s="44"/>
      <c r="K521" s="44"/>
      <c r="L521" s="45"/>
      <c r="M521" s="46"/>
      <c r="N521" s="45"/>
      <c r="O521" s="47" t="str">
        <f aca="false">IF(OR($L521="",$M521=""),"",(DATE(Semana!$J$3,1,4)-WEEKDAY(DATE(Semana!$J$3,1,4),3))+($L521-1)*7+MATCH($M521,Listas!$F$5:$F$11,0)-1)</f>
        <v/>
      </c>
      <c r="P521" s="47" t="str">
        <f aca="false">IF(OR($F521="",$O521=""),"",$O521+MAX(0,ROUNDUP($AK521*MAX(1,IF($N521="",1,$N521))/MAX(1,$AL521),0)-1))</f>
        <v/>
      </c>
      <c r="Q521" s="48"/>
      <c r="R521" s="43"/>
      <c r="S521" s="49"/>
      <c r="T521" s="42"/>
      <c r="U521" s="42"/>
      <c r="V521" s="39" t="str">
        <f aca="false">IF($F521="","",IF(ISNUMBER(SEARCH("(externo)",$I521&amp;$J521&amp;$K521)),"Terceirizada","Interna"))</f>
        <v/>
      </c>
      <c r="W521" s="47" t="str">
        <f aca="false">IF($O521="","",IF($S521="",$O521,(DATE(Semana!$J$3,1,4)-WEEKDAY(DATE(Semana!$J$3,1,4),3))+($S521-1)*7+IF($M521="",0,MATCH($M521,Listas!$F$5:$F$11,0)-1)))</f>
        <v/>
      </c>
      <c r="X521" s="39" t="str">
        <f aca="false">IF($F521="","",IF(OR($AT521="",$O521=""),0,IF($AT521&lt;=$O521,1,0)))</f>
        <v/>
      </c>
      <c r="Y521" s="39" t="str">
        <f aca="false">IF($F521="","",IF(OR($AT521="",$W521=""),0,IF($AT521&lt;=$W521,1,0)))</f>
        <v/>
      </c>
      <c r="Z521" s="39" t="str">
        <f aca="false">IF(OR($AT521="",$O521=""),"",MAX(0,$AT521-$O521))</f>
        <v/>
      </c>
      <c r="AA521" s="39" t="str">
        <f aca="false">IF($F521="","",IF(AND($S521&lt;&gt;"",$L521&lt;&gt;"",$S521&lt;&gt;$L521),1,0))</f>
        <v/>
      </c>
      <c r="AB521" s="39" t="str">
        <f aca="false">IF($F521="","",IF($R521="Cancelada",0,IF(OR($AT521&lt;&gt;"",$R521="Concluída"),1,0)))</f>
        <v/>
      </c>
      <c r="AC521" s="39" t="n">
        <f aca="false">IF($P521="",0,IF($P521&lt;Hoje!$L$1,1,IF(AND($P521=Hoje!$L$1,Hoje!$L$2&gt;Semana!$M$3),1,0)))</f>
        <v>0</v>
      </c>
      <c r="AD521" s="39" t="str">
        <f aca="false">IF($F521="","",IF(COUNTA($I521:$K521)=0,0,1/COUNTA($I521:$K521)))</f>
        <v/>
      </c>
      <c r="AE521" s="39" t="str">
        <f aca="false">IF($AH521=0,"",SUM($AH$4:$AH521))</f>
        <v/>
      </c>
      <c r="AF521" s="39" t="str">
        <f aca="false">IF($AI521=0,"",SUM($AI$4:$AI521))</f>
        <v/>
      </c>
      <c r="AG521" s="50" t="str">
        <f aca="false">IF($F521="","",$I521&amp;IF($J521="",""," · "&amp;$J521)&amp;IF($K521="",""," · "&amp;$K521))</f>
        <v/>
      </c>
      <c r="AH521" s="39" t="n">
        <f aca="false">IF(AND($F521&lt;&gt;"",$O521&lt;&gt;"",$O521&lt;=Hoje!$C$3,$P521&gt;=Hoje!$C$3,$R521&lt;&gt;"Cancelada"),1,0)</f>
        <v>0</v>
      </c>
      <c r="AI521" s="39" t="n">
        <f aca="false">IF(AND($F521&lt;&gt;"",$P521&lt;&gt;"",$P521&lt;Hoje!$C$3,$AB521=0,$R521&lt;&gt;"Cancelada"),1,0)</f>
        <v>0</v>
      </c>
      <c r="AJ521" s="50" t="str">
        <f aca="false">IF($F521="","",$D521&amp;"|"&amp;$E521&amp;"|"&amp;$L521)</f>
        <v/>
      </c>
      <c r="AK521" s="39" t="str">
        <f aca="false">IF($AJ521="","",COUNTIF($AJ$4:$AJ521,$AJ521))</f>
        <v/>
      </c>
      <c r="AL521" s="39" t="str">
        <f aca="false">IF($AJ521="","",COUNTIF($AJ$4:$AJ$1004,$AJ521))</f>
        <v/>
      </c>
      <c r="AM521" s="42"/>
      <c r="AN521" s="50" t="str">
        <f aca="false">IF($D521="","",IFERROR(T(VLOOKUP($D521,Listas!$B$5:$H$120,7,0)),""))</f>
        <v/>
      </c>
      <c r="AO521" s="50" t="str">
        <f aca="false">IF(OR($F521="",$L521&lt;&gt;"",$R521="Cancelada",$AT521&lt;&gt;""),"",$AN521&amp;"|"&amp;$D521&amp;"|"&amp;IF($C521="","zzz",$C521)&amp;"|"&amp;TEXT(521,"0000"))</f>
        <v/>
      </c>
      <c r="AP521" s="50" t="str">
        <f aca="false">IF($AO521="","",COUNTIF($AO$5:$AO$1004,"&lt;"&amp;$AO521)-(ROWS($AO$5:$AO$1004)-Hoje!$L$5)+1)</f>
        <v/>
      </c>
      <c r="AQ521" s="50" t="n">
        <f aca="false">IF(AND($F521&lt;&gt;"",$D521=Frota!$C$3),1,0)</f>
        <v>0</v>
      </c>
      <c r="AR521" s="50" t="str">
        <f aca="false">IF($AQ521=0,"",SUM($AQ$4:$AQ521))</f>
        <v/>
      </c>
      <c r="AS521" s="50" t="str">
        <f aca="false">IFERROR(INDEX(Hoje!$K$10:$K$29,MATCH(ROW(),Hoje!$J$10:$J$29,0)),"")</f>
        <v/>
      </c>
      <c r="AT521" s="50" t="str">
        <f aca="false">IF($Q521&lt;&gt;"",$Q521,$AS521)</f>
        <v/>
      </c>
    </row>
    <row r="522" customFormat="false" ht="16.5" hidden="false" customHeight="true" outlineLevel="0" collapsed="false">
      <c r="A522" s="39" t="str">
        <f aca="false">IF($F522="","",ROW())</f>
        <v/>
      </c>
      <c r="B522" s="40" t="str">
        <f aca="false">IF($F522="",IF($D522="","","Falta a atividade"),IF($R522="Cancelada","Cancelada",IF($AB522=1,IF(N($Z522)&gt;0,"Concluída com atraso","Concluída"),IF($R522="Em programação","Em programação",IF($O522="",IF($M522="","Na carteira","Falta a semana"),IF($AC522=1,"VENCIDA",IF($O522&gt;Hoje!$L$1,"Programada",IF($P522&gt;Hoje!$L$1,"Em execução","Fecha hoje"))))))))</f>
        <v/>
      </c>
      <c r="C522" s="41"/>
      <c r="D522" s="42"/>
      <c r="E522" s="42"/>
      <c r="F522" s="42"/>
      <c r="G522" s="43"/>
      <c r="H522" s="43"/>
      <c r="I522" s="44"/>
      <c r="J522" s="44"/>
      <c r="K522" s="44"/>
      <c r="L522" s="45"/>
      <c r="M522" s="46"/>
      <c r="N522" s="45"/>
      <c r="O522" s="47" t="str">
        <f aca="false">IF(OR($L522="",$M522=""),"",(DATE(Semana!$J$3,1,4)-WEEKDAY(DATE(Semana!$J$3,1,4),3))+($L522-1)*7+MATCH($M522,Listas!$F$5:$F$11,0)-1)</f>
        <v/>
      </c>
      <c r="P522" s="47" t="str">
        <f aca="false">IF(OR($F522="",$O522=""),"",$O522+MAX(0,ROUNDUP($AK522*MAX(1,IF($N522="",1,$N522))/MAX(1,$AL522),0)-1))</f>
        <v/>
      </c>
      <c r="Q522" s="48"/>
      <c r="R522" s="43"/>
      <c r="S522" s="49"/>
      <c r="T522" s="42"/>
      <c r="U522" s="42"/>
      <c r="V522" s="39" t="str">
        <f aca="false">IF($F522="","",IF(ISNUMBER(SEARCH("(externo)",$I522&amp;$J522&amp;$K522)),"Terceirizada","Interna"))</f>
        <v/>
      </c>
      <c r="W522" s="47" t="str">
        <f aca="false">IF($O522="","",IF($S522="",$O522,(DATE(Semana!$J$3,1,4)-WEEKDAY(DATE(Semana!$J$3,1,4),3))+($S522-1)*7+IF($M522="",0,MATCH($M522,Listas!$F$5:$F$11,0)-1)))</f>
        <v/>
      </c>
      <c r="X522" s="39" t="str">
        <f aca="false">IF($F522="","",IF(OR($AT522="",$O522=""),0,IF($AT522&lt;=$O522,1,0)))</f>
        <v/>
      </c>
      <c r="Y522" s="39" t="str">
        <f aca="false">IF($F522="","",IF(OR($AT522="",$W522=""),0,IF($AT522&lt;=$W522,1,0)))</f>
        <v/>
      </c>
      <c r="Z522" s="39" t="str">
        <f aca="false">IF(OR($AT522="",$O522=""),"",MAX(0,$AT522-$O522))</f>
        <v/>
      </c>
      <c r="AA522" s="39" t="str">
        <f aca="false">IF($F522="","",IF(AND($S522&lt;&gt;"",$L522&lt;&gt;"",$S522&lt;&gt;$L522),1,0))</f>
        <v/>
      </c>
      <c r="AB522" s="39" t="str">
        <f aca="false">IF($F522="","",IF($R522="Cancelada",0,IF(OR($AT522&lt;&gt;"",$R522="Concluída"),1,0)))</f>
        <v/>
      </c>
      <c r="AC522" s="39" t="n">
        <f aca="false">IF($P522="",0,IF($P522&lt;Hoje!$L$1,1,IF(AND($P522=Hoje!$L$1,Hoje!$L$2&gt;Semana!$M$3),1,0)))</f>
        <v>0</v>
      </c>
      <c r="AD522" s="39" t="str">
        <f aca="false">IF($F522="","",IF(COUNTA($I522:$K522)=0,0,1/COUNTA($I522:$K522)))</f>
        <v/>
      </c>
      <c r="AE522" s="39" t="str">
        <f aca="false">IF($AH522=0,"",SUM($AH$4:$AH522))</f>
        <v/>
      </c>
      <c r="AF522" s="39" t="str">
        <f aca="false">IF($AI522=0,"",SUM($AI$4:$AI522))</f>
        <v/>
      </c>
      <c r="AG522" s="50" t="str">
        <f aca="false">IF($F522="","",$I522&amp;IF($J522="",""," · "&amp;$J522)&amp;IF($K522="",""," · "&amp;$K522))</f>
        <v/>
      </c>
      <c r="AH522" s="39" t="n">
        <f aca="false">IF(AND($F522&lt;&gt;"",$O522&lt;&gt;"",$O522&lt;=Hoje!$C$3,$P522&gt;=Hoje!$C$3,$R522&lt;&gt;"Cancelada"),1,0)</f>
        <v>0</v>
      </c>
      <c r="AI522" s="39" t="n">
        <f aca="false">IF(AND($F522&lt;&gt;"",$P522&lt;&gt;"",$P522&lt;Hoje!$C$3,$AB522=0,$R522&lt;&gt;"Cancelada"),1,0)</f>
        <v>0</v>
      </c>
      <c r="AJ522" s="50" t="str">
        <f aca="false">IF($F522="","",$D522&amp;"|"&amp;$E522&amp;"|"&amp;$L522)</f>
        <v/>
      </c>
      <c r="AK522" s="39" t="str">
        <f aca="false">IF($AJ522="","",COUNTIF($AJ$4:$AJ522,$AJ522))</f>
        <v/>
      </c>
      <c r="AL522" s="39" t="str">
        <f aca="false">IF($AJ522="","",COUNTIF($AJ$4:$AJ$1004,$AJ522))</f>
        <v/>
      </c>
      <c r="AM522" s="42"/>
      <c r="AN522" s="50" t="str">
        <f aca="false">IF($D522="","",IFERROR(T(VLOOKUP($D522,Listas!$B$5:$H$120,7,0)),""))</f>
        <v/>
      </c>
      <c r="AO522" s="50" t="str">
        <f aca="false">IF(OR($F522="",$L522&lt;&gt;"",$R522="Cancelada",$AT522&lt;&gt;""),"",$AN522&amp;"|"&amp;$D522&amp;"|"&amp;IF($C522="","zzz",$C522)&amp;"|"&amp;TEXT(522,"0000"))</f>
        <v/>
      </c>
      <c r="AP522" s="50" t="str">
        <f aca="false">IF($AO522="","",COUNTIF($AO$5:$AO$1004,"&lt;"&amp;$AO522)-(ROWS($AO$5:$AO$1004)-Hoje!$L$5)+1)</f>
        <v/>
      </c>
      <c r="AQ522" s="50" t="n">
        <f aca="false">IF(AND($F522&lt;&gt;"",$D522=Frota!$C$3),1,0)</f>
        <v>0</v>
      </c>
      <c r="AR522" s="50" t="str">
        <f aca="false">IF($AQ522=0,"",SUM($AQ$4:$AQ522))</f>
        <v/>
      </c>
      <c r="AS522" s="50" t="str">
        <f aca="false">IFERROR(INDEX(Hoje!$K$10:$K$29,MATCH(ROW(),Hoje!$J$10:$J$29,0)),"")</f>
        <v/>
      </c>
      <c r="AT522" s="50" t="str">
        <f aca="false">IF($Q522&lt;&gt;"",$Q522,$AS522)</f>
        <v/>
      </c>
    </row>
    <row r="523" customFormat="false" ht="16.5" hidden="false" customHeight="true" outlineLevel="0" collapsed="false">
      <c r="A523" s="39" t="str">
        <f aca="false">IF($F523="","",ROW())</f>
        <v/>
      </c>
      <c r="B523" s="40" t="str">
        <f aca="false">IF($F523="",IF($D523="","","Falta a atividade"),IF($R523="Cancelada","Cancelada",IF($AB523=1,IF(N($Z523)&gt;0,"Concluída com atraso","Concluída"),IF($R523="Em programação","Em programação",IF($O523="",IF($M523="","Na carteira","Falta a semana"),IF($AC523=1,"VENCIDA",IF($O523&gt;Hoje!$L$1,"Programada",IF($P523&gt;Hoje!$L$1,"Em execução","Fecha hoje"))))))))</f>
        <v/>
      </c>
      <c r="C523" s="41"/>
      <c r="D523" s="42"/>
      <c r="E523" s="42"/>
      <c r="F523" s="42"/>
      <c r="G523" s="43"/>
      <c r="H523" s="43"/>
      <c r="I523" s="44"/>
      <c r="J523" s="44"/>
      <c r="K523" s="44"/>
      <c r="L523" s="45"/>
      <c r="M523" s="46"/>
      <c r="N523" s="45"/>
      <c r="O523" s="47" t="str">
        <f aca="false">IF(OR($L523="",$M523=""),"",(DATE(Semana!$J$3,1,4)-WEEKDAY(DATE(Semana!$J$3,1,4),3))+($L523-1)*7+MATCH($M523,Listas!$F$5:$F$11,0)-1)</f>
        <v/>
      </c>
      <c r="P523" s="47" t="str">
        <f aca="false">IF(OR($F523="",$O523=""),"",$O523+MAX(0,ROUNDUP($AK523*MAX(1,IF($N523="",1,$N523))/MAX(1,$AL523),0)-1))</f>
        <v/>
      </c>
      <c r="Q523" s="48"/>
      <c r="R523" s="43"/>
      <c r="S523" s="49"/>
      <c r="T523" s="42"/>
      <c r="U523" s="42"/>
      <c r="V523" s="39" t="str">
        <f aca="false">IF($F523="","",IF(ISNUMBER(SEARCH("(externo)",$I523&amp;$J523&amp;$K523)),"Terceirizada","Interna"))</f>
        <v/>
      </c>
      <c r="W523" s="47" t="str">
        <f aca="false">IF($O523="","",IF($S523="",$O523,(DATE(Semana!$J$3,1,4)-WEEKDAY(DATE(Semana!$J$3,1,4),3))+($S523-1)*7+IF($M523="",0,MATCH($M523,Listas!$F$5:$F$11,0)-1)))</f>
        <v/>
      </c>
      <c r="X523" s="39" t="str">
        <f aca="false">IF($F523="","",IF(OR($AT523="",$O523=""),0,IF($AT523&lt;=$O523,1,0)))</f>
        <v/>
      </c>
      <c r="Y523" s="39" t="str">
        <f aca="false">IF($F523="","",IF(OR($AT523="",$W523=""),0,IF($AT523&lt;=$W523,1,0)))</f>
        <v/>
      </c>
      <c r="Z523" s="39" t="str">
        <f aca="false">IF(OR($AT523="",$O523=""),"",MAX(0,$AT523-$O523))</f>
        <v/>
      </c>
      <c r="AA523" s="39" t="str">
        <f aca="false">IF($F523="","",IF(AND($S523&lt;&gt;"",$L523&lt;&gt;"",$S523&lt;&gt;$L523),1,0))</f>
        <v/>
      </c>
      <c r="AB523" s="39" t="str">
        <f aca="false">IF($F523="","",IF($R523="Cancelada",0,IF(OR($AT523&lt;&gt;"",$R523="Concluída"),1,0)))</f>
        <v/>
      </c>
      <c r="AC523" s="39" t="n">
        <f aca="false">IF($P523="",0,IF($P523&lt;Hoje!$L$1,1,IF(AND($P523=Hoje!$L$1,Hoje!$L$2&gt;Semana!$M$3),1,0)))</f>
        <v>0</v>
      </c>
      <c r="AD523" s="39" t="str">
        <f aca="false">IF($F523="","",IF(COUNTA($I523:$K523)=0,0,1/COUNTA($I523:$K523)))</f>
        <v/>
      </c>
      <c r="AE523" s="39" t="str">
        <f aca="false">IF($AH523=0,"",SUM($AH$4:$AH523))</f>
        <v/>
      </c>
      <c r="AF523" s="39" t="str">
        <f aca="false">IF($AI523=0,"",SUM($AI$4:$AI523))</f>
        <v/>
      </c>
      <c r="AG523" s="50" t="str">
        <f aca="false">IF($F523="","",$I523&amp;IF($J523="",""," · "&amp;$J523)&amp;IF($K523="",""," · "&amp;$K523))</f>
        <v/>
      </c>
      <c r="AH523" s="39" t="n">
        <f aca="false">IF(AND($F523&lt;&gt;"",$O523&lt;&gt;"",$O523&lt;=Hoje!$C$3,$P523&gt;=Hoje!$C$3,$R523&lt;&gt;"Cancelada"),1,0)</f>
        <v>0</v>
      </c>
      <c r="AI523" s="39" t="n">
        <f aca="false">IF(AND($F523&lt;&gt;"",$P523&lt;&gt;"",$P523&lt;Hoje!$C$3,$AB523=0,$R523&lt;&gt;"Cancelada"),1,0)</f>
        <v>0</v>
      </c>
      <c r="AJ523" s="50" t="str">
        <f aca="false">IF($F523="","",$D523&amp;"|"&amp;$E523&amp;"|"&amp;$L523)</f>
        <v/>
      </c>
      <c r="AK523" s="39" t="str">
        <f aca="false">IF($AJ523="","",COUNTIF($AJ$4:$AJ523,$AJ523))</f>
        <v/>
      </c>
      <c r="AL523" s="39" t="str">
        <f aca="false">IF($AJ523="","",COUNTIF($AJ$4:$AJ$1004,$AJ523))</f>
        <v/>
      </c>
      <c r="AM523" s="42"/>
      <c r="AN523" s="50" t="str">
        <f aca="false">IF($D523="","",IFERROR(T(VLOOKUP($D523,Listas!$B$5:$H$120,7,0)),""))</f>
        <v/>
      </c>
      <c r="AO523" s="50" t="str">
        <f aca="false">IF(OR($F523="",$L523&lt;&gt;"",$R523="Cancelada",$AT523&lt;&gt;""),"",$AN523&amp;"|"&amp;$D523&amp;"|"&amp;IF($C523="","zzz",$C523)&amp;"|"&amp;TEXT(523,"0000"))</f>
        <v/>
      </c>
      <c r="AP523" s="50" t="str">
        <f aca="false">IF($AO523="","",COUNTIF($AO$5:$AO$1004,"&lt;"&amp;$AO523)-(ROWS($AO$5:$AO$1004)-Hoje!$L$5)+1)</f>
        <v/>
      </c>
      <c r="AQ523" s="50" t="n">
        <f aca="false">IF(AND($F523&lt;&gt;"",$D523=Frota!$C$3),1,0)</f>
        <v>0</v>
      </c>
      <c r="AR523" s="50" t="str">
        <f aca="false">IF($AQ523=0,"",SUM($AQ$4:$AQ523))</f>
        <v/>
      </c>
      <c r="AS523" s="50" t="str">
        <f aca="false">IFERROR(INDEX(Hoje!$K$10:$K$29,MATCH(ROW(),Hoje!$J$10:$J$29,0)),"")</f>
        <v/>
      </c>
      <c r="AT523" s="50" t="str">
        <f aca="false">IF($Q523&lt;&gt;"",$Q523,$AS523)</f>
        <v/>
      </c>
    </row>
    <row r="524" customFormat="false" ht="16.5" hidden="false" customHeight="true" outlineLevel="0" collapsed="false">
      <c r="A524" s="39" t="str">
        <f aca="false">IF($F524="","",ROW())</f>
        <v/>
      </c>
      <c r="B524" s="40" t="str">
        <f aca="false">IF($F524="",IF($D524="","","Falta a atividade"),IF($R524="Cancelada","Cancelada",IF($AB524=1,IF(N($Z524)&gt;0,"Concluída com atraso","Concluída"),IF($R524="Em programação","Em programação",IF($O524="",IF($M524="","Na carteira","Falta a semana"),IF($AC524=1,"VENCIDA",IF($O524&gt;Hoje!$L$1,"Programada",IF($P524&gt;Hoje!$L$1,"Em execução","Fecha hoje"))))))))</f>
        <v/>
      </c>
      <c r="C524" s="41"/>
      <c r="D524" s="42"/>
      <c r="E524" s="42"/>
      <c r="F524" s="42"/>
      <c r="G524" s="43"/>
      <c r="H524" s="43"/>
      <c r="I524" s="44"/>
      <c r="J524" s="44"/>
      <c r="K524" s="44"/>
      <c r="L524" s="45"/>
      <c r="M524" s="46"/>
      <c r="N524" s="45"/>
      <c r="O524" s="47" t="str">
        <f aca="false">IF(OR($L524="",$M524=""),"",(DATE(Semana!$J$3,1,4)-WEEKDAY(DATE(Semana!$J$3,1,4),3))+($L524-1)*7+MATCH($M524,Listas!$F$5:$F$11,0)-1)</f>
        <v/>
      </c>
      <c r="P524" s="47" t="str">
        <f aca="false">IF(OR($F524="",$O524=""),"",$O524+MAX(0,ROUNDUP($AK524*MAX(1,IF($N524="",1,$N524))/MAX(1,$AL524),0)-1))</f>
        <v/>
      </c>
      <c r="Q524" s="48"/>
      <c r="R524" s="43"/>
      <c r="S524" s="49"/>
      <c r="T524" s="42"/>
      <c r="U524" s="42"/>
      <c r="V524" s="39" t="str">
        <f aca="false">IF($F524="","",IF(ISNUMBER(SEARCH("(externo)",$I524&amp;$J524&amp;$K524)),"Terceirizada","Interna"))</f>
        <v/>
      </c>
      <c r="W524" s="47" t="str">
        <f aca="false">IF($O524="","",IF($S524="",$O524,(DATE(Semana!$J$3,1,4)-WEEKDAY(DATE(Semana!$J$3,1,4),3))+($S524-1)*7+IF($M524="",0,MATCH($M524,Listas!$F$5:$F$11,0)-1)))</f>
        <v/>
      </c>
      <c r="X524" s="39" t="str">
        <f aca="false">IF($F524="","",IF(OR($AT524="",$O524=""),0,IF($AT524&lt;=$O524,1,0)))</f>
        <v/>
      </c>
      <c r="Y524" s="39" t="str">
        <f aca="false">IF($F524="","",IF(OR($AT524="",$W524=""),0,IF($AT524&lt;=$W524,1,0)))</f>
        <v/>
      </c>
      <c r="Z524" s="39" t="str">
        <f aca="false">IF(OR($AT524="",$O524=""),"",MAX(0,$AT524-$O524))</f>
        <v/>
      </c>
      <c r="AA524" s="39" t="str">
        <f aca="false">IF($F524="","",IF(AND($S524&lt;&gt;"",$L524&lt;&gt;"",$S524&lt;&gt;$L524),1,0))</f>
        <v/>
      </c>
      <c r="AB524" s="39" t="str">
        <f aca="false">IF($F524="","",IF($R524="Cancelada",0,IF(OR($AT524&lt;&gt;"",$R524="Concluída"),1,0)))</f>
        <v/>
      </c>
      <c r="AC524" s="39" t="n">
        <f aca="false">IF($P524="",0,IF($P524&lt;Hoje!$L$1,1,IF(AND($P524=Hoje!$L$1,Hoje!$L$2&gt;Semana!$M$3),1,0)))</f>
        <v>0</v>
      </c>
      <c r="AD524" s="39" t="str">
        <f aca="false">IF($F524="","",IF(COUNTA($I524:$K524)=0,0,1/COUNTA($I524:$K524)))</f>
        <v/>
      </c>
      <c r="AE524" s="39" t="str">
        <f aca="false">IF($AH524=0,"",SUM($AH$4:$AH524))</f>
        <v/>
      </c>
      <c r="AF524" s="39" t="str">
        <f aca="false">IF($AI524=0,"",SUM($AI$4:$AI524))</f>
        <v/>
      </c>
      <c r="AG524" s="50" t="str">
        <f aca="false">IF($F524="","",$I524&amp;IF($J524="",""," · "&amp;$J524)&amp;IF($K524="",""," · "&amp;$K524))</f>
        <v/>
      </c>
      <c r="AH524" s="39" t="n">
        <f aca="false">IF(AND($F524&lt;&gt;"",$O524&lt;&gt;"",$O524&lt;=Hoje!$C$3,$P524&gt;=Hoje!$C$3,$R524&lt;&gt;"Cancelada"),1,0)</f>
        <v>0</v>
      </c>
      <c r="AI524" s="39" t="n">
        <f aca="false">IF(AND($F524&lt;&gt;"",$P524&lt;&gt;"",$P524&lt;Hoje!$C$3,$AB524=0,$R524&lt;&gt;"Cancelada"),1,0)</f>
        <v>0</v>
      </c>
      <c r="AJ524" s="50" t="str">
        <f aca="false">IF($F524="","",$D524&amp;"|"&amp;$E524&amp;"|"&amp;$L524)</f>
        <v/>
      </c>
      <c r="AK524" s="39" t="str">
        <f aca="false">IF($AJ524="","",COUNTIF($AJ$4:$AJ524,$AJ524))</f>
        <v/>
      </c>
      <c r="AL524" s="39" t="str">
        <f aca="false">IF($AJ524="","",COUNTIF($AJ$4:$AJ$1004,$AJ524))</f>
        <v/>
      </c>
      <c r="AM524" s="42"/>
      <c r="AN524" s="50" t="str">
        <f aca="false">IF($D524="","",IFERROR(T(VLOOKUP($D524,Listas!$B$5:$H$120,7,0)),""))</f>
        <v/>
      </c>
      <c r="AO524" s="50" t="str">
        <f aca="false">IF(OR($F524="",$L524&lt;&gt;"",$R524="Cancelada",$AT524&lt;&gt;""),"",$AN524&amp;"|"&amp;$D524&amp;"|"&amp;IF($C524="","zzz",$C524)&amp;"|"&amp;TEXT(524,"0000"))</f>
        <v/>
      </c>
      <c r="AP524" s="50" t="str">
        <f aca="false">IF($AO524="","",COUNTIF($AO$5:$AO$1004,"&lt;"&amp;$AO524)-(ROWS($AO$5:$AO$1004)-Hoje!$L$5)+1)</f>
        <v/>
      </c>
      <c r="AQ524" s="50" t="n">
        <f aca="false">IF(AND($F524&lt;&gt;"",$D524=Frota!$C$3),1,0)</f>
        <v>0</v>
      </c>
      <c r="AR524" s="50" t="str">
        <f aca="false">IF($AQ524=0,"",SUM($AQ$4:$AQ524))</f>
        <v/>
      </c>
      <c r="AS524" s="50" t="str">
        <f aca="false">IFERROR(INDEX(Hoje!$K$10:$K$29,MATCH(ROW(),Hoje!$J$10:$J$29,0)),"")</f>
        <v/>
      </c>
      <c r="AT524" s="50" t="str">
        <f aca="false">IF($Q524&lt;&gt;"",$Q524,$AS524)</f>
        <v/>
      </c>
    </row>
    <row r="525" customFormat="false" ht="16.5" hidden="false" customHeight="true" outlineLevel="0" collapsed="false">
      <c r="A525" s="39" t="str">
        <f aca="false">IF($F525="","",ROW())</f>
        <v/>
      </c>
      <c r="B525" s="40" t="str">
        <f aca="false">IF($F525="",IF($D525="","","Falta a atividade"),IF($R525="Cancelada","Cancelada",IF($AB525=1,IF(N($Z525)&gt;0,"Concluída com atraso","Concluída"),IF($R525="Em programação","Em programação",IF($O525="",IF($M525="","Na carteira","Falta a semana"),IF($AC525=1,"VENCIDA",IF($O525&gt;Hoje!$L$1,"Programada",IF($P525&gt;Hoje!$L$1,"Em execução","Fecha hoje"))))))))</f>
        <v/>
      </c>
      <c r="C525" s="41"/>
      <c r="D525" s="42"/>
      <c r="E525" s="42"/>
      <c r="F525" s="42"/>
      <c r="G525" s="43"/>
      <c r="H525" s="43"/>
      <c r="I525" s="44"/>
      <c r="J525" s="44"/>
      <c r="K525" s="44"/>
      <c r="L525" s="45"/>
      <c r="M525" s="46"/>
      <c r="N525" s="45"/>
      <c r="O525" s="47" t="str">
        <f aca="false">IF(OR($L525="",$M525=""),"",(DATE(Semana!$J$3,1,4)-WEEKDAY(DATE(Semana!$J$3,1,4),3))+($L525-1)*7+MATCH($M525,Listas!$F$5:$F$11,0)-1)</f>
        <v/>
      </c>
      <c r="P525" s="47" t="str">
        <f aca="false">IF(OR($F525="",$O525=""),"",$O525+MAX(0,ROUNDUP($AK525*MAX(1,IF($N525="",1,$N525))/MAX(1,$AL525),0)-1))</f>
        <v/>
      </c>
      <c r="Q525" s="48"/>
      <c r="R525" s="43"/>
      <c r="S525" s="49"/>
      <c r="T525" s="42"/>
      <c r="U525" s="42"/>
      <c r="V525" s="39" t="str">
        <f aca="false">IF($F525="","",IF(ISNUMBER(SEARCH("(externo)",$I525&amp;$J525&amp;$K525)),"Terceirizada","Interna"))</f>
        <v/>
      </c>
      <c r="W525" s="47" t="str">
        <f aca="false">IF($O525="","",IF($S525="",$O525,(DATE(Semana!$J$3,1,4)-WEEKDAY(DATE(Semana!$J$3,1,4),3))+($S525-1)*7+IF($M525="",0,MATCH($M525,Listas!$F$5:$F$11,0)-1)))</f>
        <v/>
      </c>
      <c r="X525" s="39" t="str">
        <f aca="false">IF($F525="","",IF(OR($AT525="",$O525=""),0,IF($AT525&lt;=$O525,1,0)))</f>
        <v/>
      </c>
      <c r="Y525" s="39" t="str">
        <f aca="false">IF($F525="","",IF(OR($AT525="",$W525=""),0,IF($AT525&lt;=$W525,1,0)))</f>
        <v/>
      </c>
      <c r="Z525" s="39" t="str">
        <f aca="false">IF(OR($AT525="",$O525=""),"",MAX(0,$AT525-$O525))</f>
        <v/>
      </c>
      <c r="AA525" s="39" t="str">
        <f aca="false">IF($F525="","",IF(AND($S525&lt;&gt;"",$L525&lt;&gt;"",$S525&lt;&gt;$L525),1,0))</f>
        <v/>
      </c>
      <c r="AB525" s="39" t="str">
        <f aca="false">IF($F525="","",IF($R525="Cancelada",0,IF(OR($AT525&lt;&gt;"",$R525="Concluída"),1,0)))</f>
        <v/>
      </c>
      <c r="AC525" s="39" t="n">
        <f aca="false">IF($P525="",0,IF($P525&lt;Hoje!$L$1,1,IF(AND($P525=Hoje!$L$1,Hoje!$L$2&gt;Semana!$M$3),1,0)))</f>
        <v>0</v>
      </c>
      <c r="AD525" s="39" t="str">
        <f aca="false">IF($F525="","",IF(COUNTA($I525:$K525)=0,0,1/COUNTA($I525:$K525)))</f>
        <v/>
      </c>
      <c r="AE525" s="39" t="str">
        <f aca="false">IF($AH525=0,"",SUM($AH$4:$AH525))</f>
        <v/>
      </c>
      <c r="AF525" s="39" t="str">
        <f aca="false">IF($AI525=0,"",SUM($AI$4:$AI525))</f>
        <v/>
      </c>
      <c r="AG525" s="50" t="str">
        <f aca="false">IF($F525="","",$I525&amp;IF($J525="",""," · "&amp;$J525)&amp;IF($K525="",""," · "&amp;$K525))</f>
        <v/>
      </c>
      <c r="AH525" s="39" t="n">
        <f aca="false">IF(AND($F525&lt;&gt;"",$O525&lt;&gt;"",$O525&lt;=Hoje!$C$3,$P525&gt;=Hoje!$C$3,$R525&lt;&gt;"Cancelada"),1,0)</f>
        <v>0</v>
      </c>
      <c r="AI525" s="39" t="n">
        <f aca="false">IF(AND($F525&lt;&gt;"",$P525&lt;&gt;"",$P525&lt;Hoje!$C$3,$AB525=0,$R525&lt;&gt;"Cancelada"),1,0)</f>
        <v>0</v>
      </c>
      <c r="AJ525" s="50" t="str">
        <f aca="false">IF($F525="","",$D525&amp;"|"&amp;$E525&amp;"|"&amp;$L525)</f>
        <v/>
      </c>
      <c r="AK525" s="39" t="str">
        <f aca="false">IF($AJ525="","",COUNTIF($AJ$4:$AJ525,$AJ525))</f>
        <v/>
      </c>
      <c r="AL525" s="39" t="str">
        <f aca="false">IF($AJ525="","",COUNTIF($AJ$4:$AJ$1004,$AJ525))</f>
        <v/>
      </c>
      <c r="AM525" s="42"/>
      <c r="AN525" s="50" t="str">
        <f aca="false">IF($D525="","",IFERROR(T(VLOOKUP($D525,Listas!$B$5:$H$120,7,0)),""))</f>
        <v/>
      </c>
      <c r="AO525" s="50" t="str">
        <f aca="false">IF(OR($F525="",$L525&lt;&gt;"",$R525="Cancelada",$AT525&lt;&gt;""),"",$AN525&amp;"|"&amp;$D525&amp;"|"&amp;IF($C525="","zzz",$C525)&amp;"|"&amp;TEXT(525,"0000"))</f>
        <v/>
      </c>
      <c r="AP525" s="50" t="str">
        <f aca="false">IF($AO525="","",COUNTIF($AO$5:$AO$1004,"&lt;"&amp;$AO525)-(ROWS($AO$5:$AO$1004)-Hoje!$L$5)+1)</f>
        <v/>
      </c>
      <c r="AQ525" s="50" t="n">
        <f aca="false">IF(AND($F525&lt;&gt;"",$D525=Frota!$C$3),1,0)</f>
        <v>0</v>
      </c>
      <c r="AR525" s="50" t="str">
        <f aca="false">IF($AQ525=0,"",SUM($AQ$4:$AQ525))</f>
        <v/>
      </c>
      <c r="AS525" s="50" t="str">
        <f aca="false">IFERROR(INDEX(Hoje!$K$10:$K$29,MATCH(ROW(),Hoje!$J$10:$J$29,0)),"")</f>
        <v/>
      </c>
      <c r="AT525" s="50" t="str">
        <f aca="false">IF($Q525&lt;&gt;"",$Q525,$AS525)</f>
        <v/>
      </c>
    </row>
    <row r="526" customFormat="false" ht="16.5" hidden="false" customHeight="true" outlineLevel="0" collapsed="false">
      <c r="A526" s="39" t="str">
        <f aca="false">IF($F526="","",ROW())</f>
        <v/>
      </c>
      <c r="B526" s="40" t="str">
        <f aca="false">IF($F526="",IF($D526="","","Falta a atividade"),IF($R526="Cancelada","Cancelada",IF($AB526=1,IF(N($Z526)&gt;0,"Concluída com atraso","Concluída"),IF($R526="Em programação","Em programação",IF($O526="",IF($M526="","Na carteira","Falta a semana"),IF($AC526=1,"VENCIDA",IF($O526&gt;Hoje!$L$1,"Programada",IF($P526&gt;Hoje!$L$1,"Em execução","Fecha hoje"))))))))</f>
        <v/>
      </c>
      <c r="C526" s="41"/>
      <c r="D526" s="42"/>
      <c r="E526" s="42"/>
      <c r="F526" s="42"/>
      <c r="G526" s="43"/>
      <c r="H526" s="43"/>
      <c r="I526" s="44"/>
      <c r="J526" s="44"/>
      <c r="K526" s="44"/>
      <c r="L526" s="45"/>
      <c r="M526" s="46"/>
      <c r="N526" s="45"/>
      <c r="O526" s="47" t="str">
        <f aca="false">IF(OR($L526="",$M526=""),"",(DATE(Semana!$J$3,1,4)-WEEKDAY(DATE(Semana!$J$3,1,4),3))+($L526-1)*7+MATCH($M526,Listas!$F$5:$F$11,0)-1)</f>
        <v/>
      </c>
      <c r="P526" s="47" t="str">
        <f aca="false">IF(OR($F526="",$O526=""),"",$O526+MAX(0,ROUNDUP($AK526*MAX(1,IF($N526="",1,$N526))/MAX(1,$AL526),0)-1))</f>
        <v/>
      </c>
      <c r="Q526" s="48"/>
      <c r="R526" s="43"/>
      <c r="S526" s="49"/>
      <c r="T526" s="42"/>
      <c r="U526" s="42"/>
      <c r="V526" s="39" t="str">
        <f aca="false">IF($F526="","",IF(ISNUMBER(SEARCH("(externo)",$I526&amp;$J526&amp;$K526)),"Terceirizada","Interna"))</f>
        <v/>
      </c>
      <c r="W526" s="47" t="str">
        <f aca="false">IF($O526="","",IF($S526="",$O526,(DATE(Semana!$J$3,1,4)-WEEKDAY(DATE(Semana!$J$3,1,4),3))+($S526-1)*7+IF($M526="",0,MATCH($M526,Listas!$F$5:$F$11,0)-1)))</f>
        <v/>
      </c>
      <c r="X526" s="39" t="str">
        <f aca="false">IF($F526="","",IF(OR($AT526="",$O526=""),0,IF($AT526&lt;=$O526,1,0)))</f>
        <v/>
      </c>
      <c r="Y526" s="39" t="str">
        <f aca="false">IF($F526="","",IF(OR($AT526="",$W526=""),0,IF($AT526&lt;=$W526,1,0)))</f>
        <v/>
      </c>
      <c r="Z526" s="39" t="str">
        <f aca="false">IF(OR($AT526="",$O526=""),"",MAX(0,$AT526-$O526))</f>
        <v/>
      </c>
      <c r="AA526" s="39" t="str">
        <f aca="false">IF($F526="","",IF(AND($S526&lt;&gt;"",$L526&lt;&gt;"",$S526&lt;&gt;$L526),1,0))</f>
        <v/>
      </c>
      <c r="AB526" s="39" t="str">
        <f aca="false">IF($F526="","",IF($R526="Cancelada",0,IF(OR($AT526&lt;&gt;"",$R526="Concluída"),1,0)))</f>
        <v/>
      </c>
      <c r="AC526" s="39" t="n">
        <f aca="false">IF($P526="",0,IF($P526&lt;Hoje!$L$1,1,IF(AND($P526=Hoje!$L$1,Hoje!$L$2&gt;Semana!$M$3),1,0)))</f>
        <v>0</v>
      </c>
      <c r="AD526" s="39" t="str">
        <f aca="false">IF($F526="","",IF(COUNTA($I526:$K526)=0,0,1/COUNTA($I526:$K526)))</f>
        <v/>
      </c>
      <c r="AE526" s="39" t="str">
        <f aca="false">IF($AH526=0,"",SUM($AH$4:$AH526))</f>
        <v/>
      </c>
      <c r="AF526" s="39" t="str">
        <f aca="false">IF($AI526=0,"",SUM($AI$4:$AI526))</f>
        <v/>
      </c>
      <c r="AG526" s="50" t="str">
        <f aca="false">IF($F526="","",$I526&amp;IF($J526="",""," · "&amp;$J526)&amp;IF($K526="",""," · "&amp;$K526))</f>
        <v/>
      </c>
      <c r="AH526" s="39" t="n">
        <f aca="false">IF(AND($F526&lt;&gt;"",$O526&lt;&gt;"",$O526&lt;=Hoje!$C$3,$P526&gt;=Hoje!$C$3,$R526&lt;&gt;"Cancelada"),1,0)</f>
        <v>0</v>
      </c>
      <c r="AI526" s="39" t="n">
        <f aca="false">IF(AND($F526&lt;&gt;"",$P526&lt;&gt;"",$P526&lt;Hoje!$C$3,$AB526=0,$R526&lt;&gt;"Cancelada"),1,0)</f>
        <v>0</v>
      </c>
      <c r="AJ526" s="50" t="str">
        <f aca="false">IF($F526="","",$D526&amp;"|"&amp;$E526&amp;"|"&amp;$L526)</f>
        <v/>
      </c>
      <c r="AK526" s="39" t="str">
        <f aca="false">IF($AJ526="","",COUNTIF($AJ$4:$AJ526,$AJ526))</f>
        <v/>
      </c>
      <c r="AL526" s="39" t="str">
        <f aca="false">IF($AJ526="","",COUNTIF($AJ$4:$AJ$1004,$AJ526))</f>
        <v/>
      </c>
      <c r="AM526" s="42"/>
      <c r="AN526" s="50" t="str">
        <f aca="false">IF($D526="","",IFERROR(T(VLOOKUP($D526,Listas!$B$5:$H$120,7,0)),""))</f>
        <v/>
      </c>
      <c r="AO526" s="50" t="str">
        <f aca="false">IF(OR($F526="",$L526&lt;&gt;"",$R526="Cancelada",$AT526&lt;&gt;""),"",$AN526&amp;"|"&amp;$D526&amp;"|"&amp;IF($C526="","zzz",$C526)&amp;"|"&amp;TEXT(526,"0000"))</f>
        <v/>
      </c>
      <c r="AP526" s="50" t="str">
        <f aca="false">IF($AO526="","",COUNTIF($AO$5:$AO$1004,"&lt;"&amp;$AO526)-(ROWS($AO$5:$AO$1004)-Hoje!$L$5)+1)</f>
        <v/>
      </c>
      <c r="AQ526" s="50" t="n">
        <f aca="false">IF(AND($F526&lt;&gt;"",$D526=Frota!$C$3),1,0)</f>
        <v>0</v>
      </c>
      <c r="AR526" s="50" t="str">
        <f aca="false">IF($AQ526=0,"",SUM($AQ$4:$AQ526))</f>
        <v/>
      </c>
      <c r="AS526" s="50" t="str">
        <f aca="false">IFERROR(INDEX(Hoje!$K$10:$K$29,MATCH(ROW(),Hoje!$J$10:$J$29,0)),"")</f>
        <v/>
      </c>
      <c r="AT526" s="50" t="str">
        <f aca="false">IF($Q526&lt;&gt;"",$Q526,$AS526)</f>
        <v/>
      </c>
    </row>
    <row r="527" customFormat="false" ht="16.5" hidden="false" customHeight="true" outlineLevel="0" collapsed="false">
      <c r="A527" s="39" t="str">
        <f aca="false">IF($F527="","",ROW())</f>
        <v/>
      </c>
      <c r="B527" s="40" t="str">
        <f aca="false">IF($F527="",IF($D527="","","Falta a atividade"),IF($R527="Cancelada","Cancelada",IF($AB527=1,IF(N($Z527)&gt;0,"Concluída com atraso","Concluída"),IF($R527="Em programação","Em programação",IF($O527="",IF($M527="","Na carteira","Falta a semana"),IF($AC527=1,"VENCIDA",IF($O527&gt;Hoje!$L$1,"Programada",IF($P527&gt;Hoje!$L$1,"Em execução","Fecha hoje"))))))))</f>
        <v/>
      </c>
      <c r="C527" s="41"/>
      <c r="D527" s="42"/>
      <c r="E527" s="42"/>
      <c r="F527" s="42"/>
      <c r="G527" s="43"/>
      <c r="H527" s="43"/>
      <c r="I527" s="44"/>
      <c r="J527" s="44"/>
      <c r="K527" s="44"/>
      <c r="L527" s="45"/>
      <c r="M527" s="46"/>
      <c r="N527" s="45"/>
      <c r="O527" s="47" t="str">
        <f aca="false">IF(OR($L527="",$M527=""),"",(DATE(Semana!$J$3,1,4)-WEEKDAY(DATE(Semana!$J$3,1,4),3))+($L527-1)*7+MATCH($M527,Listas!$F$5:$F$11,0)-1)</f>
        <v/>
      </c>
      <c r="P527" s="47" t="str">
        <f aca="false">IF(OR($F527="",$O527=""),"",$O527+MAX(0,ROUNDUP($AK527*MAX(1,IF($N527="",1,$N527))/MAX(1,$AL527),0)-1))</f>
        <v/>
      </c>
      <c r="Q527" s="48"/>
      <c r="R527" s="43"/>
      <c r="S527" s="49"/>
      <c r="T527" s="42"/>
      <c r="U527" s="42"/>
      <c r="V527" s="39" t="str">
        <f aca="false">IF($F527="","",IF(ISNUMBER(SEARCH("(externo)",$I527&amp;$J527&amp;$K527)),"Terceirizada","Interna"))</f>
        <v/>
      </c>
      <c r="W527" s="47" t="str">
        <f aca="false">IF($O527="","",IF($S527="",$O527,(DATE(Semana!$J$3,1,4)-WEEKDAY(DATE(Semana!$J$3,1,4),3))+($S527-1)*7+IF($M527="",0,MATCH($M527,Listas!$F$5:$F$11,0)-1)))</f>
        <v/>
      </c>
      <c r="X527" s="39" t="str">
        <f aca="false">IF($F527="","",IF(OR($AT527="",$O527=""),0,IF($AT527&lt;=$O527,1,0)))</f>
        <v/>
      </c>
      <c r="Y527" s="39" t="str">
        <f aca="false">IF($F527="","",IF(OR($AT527="",$W527=""),0,IF($AT527&lt;=$W527,1,0)))</f>
        <v/>
      </c>
      <c r="Z527" s="39" t="str">
        <f aca="false">IF(OR($AT527="",$O527=""),"",MAX(0,$AT527-$O527))</f>
        <v/>
      </c>
      <c r="AA527" s="39" t="str">
        <f aca="false">IF($F527="","",IF(AND($S527&lt;&gt;"",$L527&lt;&gt;"",$S527&lt;&gt;$L527),1,0))</f>
        <v/>
      </c>
      <c r="AB527" s="39" t="str">
        <f aca="false">IF($F527="","",IF($R527="Cancelada",0,IF(OR($AT527&lt;&gt;"",$R527="Concluída"),1,0)))</f>
        <v/>
      </c>
      <c r="AC527" s="39" t="n">
        <f aca="false">IF($P527="",0,IF($P527&lt;Hoje!$L$1,1,IF(AND($P527=Hoje!$L$1,Hoje!$L$2&gt;Semana!$M$3),1,0)))</f>
        <v>0</v>
      </c>
      <c r="AD527" s="39" t="str">
        <f aca="false">IF($F527="","",IF(COUNTA($I527:$K527)=0,0,1/COUNTA($I527:$K527)))</f>
        <v/>
      </c>
      <c r="AE527" s="39" t="str">
        <f aca="false">IF($AH527=0,"",SUM($AH$4:$AH527))</f>
        <v/>
      </c>
      <c r="AF527" s="39" t="str">
        <f aca="false">IF($AI527=0,"",SUM($AI$4:$AI527))</f>
        <v/>
      </c>
      <c r="AG527" s="50" t="str">
        <f aca="false">IF($F527="","",$I527&amp;IF($J527="",""," · "&amp;$J527)&amp;IF($K527="",""," · "&amp;$K527))</f>
        <v/>
      </c>
      <c r="AH527" s="39" t="n">
        <f aca="false">IF(AND($F527&lt;&gt;"",$O527&lt;&gt;"",$O527&lt;=Hoje!$C$3,$P527&gt;=Hoje!$C$3,$R527&lt;&gt;"Cancelada"),1,0)</f>
        <v>0</v>
      </c>
      <c r="AI527" s="39" t="n">
        <f aca="false">IF(AND($F527&lt;&gt;"",$P527&lt;&gt;"",$P527&lt;Hoje!$C$3,$AB527=0,$R527&lt;&gt;"Cancelada"),1,0)</f>
        <v>0</v>
      </c>
      <c r="AJ527" s="50" t="str">
        <f aca="false">IF($F527="","",$D527&amp;"|"&amp;$E527&amp;"|"&amp;$L527)</f>
        <v/>
      </c>
      <c r="AK527" s="39" t="str">
        <f aca="false">IF($AJ527="","",COUNTIF($AJ$4:$AJ527,$AJ527))</f>
        <v/>
      </c>
      <c r="AL527" s="39" t="str">
        <f aca="false">IF($AJ527="","",COUNTIF($AJ$4:$AJ$1004,$AJ527))</f>
        <v/>
      </c>
      <c r="AM527" s="42"/>
      <c r="AN527" s="50" t="str">
        <f aca="false">IF($D527="","",IFERROR(T(VLOOKUP($D527,Listas!$B$5:$H$120,7,0)),""))</f>
        <v/>
      </c>
      <c r="AO527" s="50" t="str">
        <f aca="false">IF(OR($F527="",$L527&lt;&gt;"",$R527="Cancelada",$AT527&lt;&gt;""),"",$AN527&amp;"|"&amp;$D527&amp;"|"&amp;IF($C527="","zzz",$C527)&amp;"|"&amp;TEXT(527,"0000"))</f>
        <v/>
      </c>
      <c r="AP527" s="50" t="str">
        <f aca="false">IF($AO527="","",COUNTIF($AO$5:$AO$1004,"&lt;"&amp;$AO527)-(ROWS($AO$5:$AO$1004)-Hoje!$L$5)+1)</f>
        <v/>
      </c>
      <c r="AQ527" s="50" t="n">
        <f aca="false">IF(AND($F527&lt;&gt;"",$D527=Frota!$C$3),1,0)</f>
        <v>0</v>
      </c>
      <c r="AR527" s="50" t="str">
        <f aca="false">IF($AQ527=0,"",SUM($AQ$4:$AQ527))</f>
        <v/>
      </c>
      <c r="AS527" s="50" t="str">
        <f aca="false">IFERROR(INDEX(Hoje!$K$10:$K$29,MATCH(ROW(),Hoje!$J$10:$J$29,0)),"")</f>
        <v/>
      </c>
      <c r="AT527" s="50" t="str">
        <f aca="false">IF($Q527&lt;&gt;"",$Q527,$AS527)</f>
        <v/>
      </c>
    </row>
    <row r="528" customFormat="false" ht="16.5" hidden="false" customHeight="true" outlineLevel="0" collapsed="false">
      <c r="A528" s="39" t="str">
        <f aca="false">IF($F528="","",ROW())</f>
        <v/>
      </c>
      <c r="B528" s="40" t="str">
        <f aca="false">IF($F528="",IF($D528="","","Falta a atividade"),IF($R528="Cancelada","Cancelada",IF($AB528=1,IF(N($Z528)&gt;0,"Concluída com atraso","Concluída"),IF($R528="Em programação","Em programação",IF($O528="",IF($M528="","Na carteira","Falta a semana"),IF($AC528=1,"VENCIDA",IF($O528&gt;Hoje!$L$1,"Programada",IF($P528&gt;Hoje!$L$1,"Em execução","Fecha hoje"))))))))</f>
        <v/>
      </c>
      <c r="C528" s="41"/>
      <c r="D528" s="42"/>
      <c r="E528" s="42"/>
      <c r="F528" s="42"/>
      <c r="G528" s="43"/>
      <c r="H528" s="43"/>
      <c r="I528" s="44"/>
      <c r="J528" s="44"/>
      <c r="K528" s="44"/>
      <c r="L528" s="45"/>
      <c r="M528" s="46"/>
      <c r="N528" s="45"/>
      <c r="O528" s="47" t="str">
        <f aca="false">IF(OR($L528="",$M528=""),"",(DATE(Semana!$J$3,1,4)-WEEKDAY(DATE(Semana!$J$3,1,4),3))+($L528-1)*7+MATCH($M528,Listas!$F$5:$F$11,0)-1)</f>
        <v/>
      </c>
      <c r="P528" s="47" t="str">
        <f aca="false">IF(OR($F528="",$O528=""),"",$O528+MAX(0,ROUNDUP($AK528*MAX(1,IF($N528="",1,$N528))/MAX(1,$AL528),0)-1))</f>
        <v/>
      </c>
      <c r="Q528" s="48"/>
      <c r="R528" s="43"/>
      <c r="S528" s="49"/>
      <c r="T528" s="42"/>
      <c r="U528" s="42"/>
      <c r="V528" s="39" t="str">
        <f aca="false">IF($F528="","",IF(ISNUMBER(SEARCH("(externo)",$I528&amp;$J528&amp;$K528)),"Terceirizada","Interna"))</f>
        <v/>
      </c>
      <c r="W528" s="47" t="str">
        <f aca="false">IF($O528="","",IF($S528="",$O528,(DATE(Semana!$J$3,1,4)-WEEKDAY(DATE(Semana!$J$3,1,4),3))+($S528-1)*7+IF($M528="",0,MATCH($M528,Listas!$F$5:$F$11,0)-1)))</f>
        <v/>
      </c>
      <c r="X528" s="39" t="str">
        <f aca="false">IF($F528="","",IF(OR($AT528="",$O528=""),0,IF($AT528&lt;=$O528,1,0)))</f>
        <v/>
      </c>
      <c r="Y528" s="39" t="str">
        <f aca="false">IF($F528="","",IF(OR($AT528="",$W528=""),0,IF($AT528&lt;=$W528,1,0)))</f>
        <v/>
      </c>
      <c r="Z528" s="39" t="str">
        <f aca="false">IF(OR($AT528="",$O528=""),"",MAX(0,$AT528-$O528))</f>
        <v/>
      </c>
      <c r="AA528" s="39" t="str">
        <f aca="false">IF($F528="","",IF(AND($S528&lt;&gt;"",$L528&lt;&gt;"",$S528&lt;&gt;$L528),1,0))</f>
        <v/>
      </c>
      <c r="AB528" s="39" t="str">
        <f aca="false">IF($F528="","",IF($R528="Cancelada",0,IF(OR($AT528&lt;&gt;"",$R528="Concluída"),1,0)))</f>
        <v/>
      </c>
      <c r="AC528" s="39" t="n">
        <f aca="false">IF($P528="",0,IF($P528&lt;Hoje!$L$1,1,IF(AND($P528=Hoje!$L$1,Hoje!$L$2&gt;Semana!$M$3),1,0)))</f>
        <v>0</v>
      </c>
      <c r="AD528" s="39" t="str">
        <f aca="false">IF($F528="","",IF(COUNTA($I528:$K528)=0,0,1/COUNTA($I528:$K528)))</f>
        <v/>
      </c>
      <c r="AE528" s="39" t="str">
        <f aca="false">IF($AH528=0,"",SUM($AH$4:$AH528))</f>
        <v/>
      </c>
      <c r="AF528" s="39" t="str">
        <f aca="false">IF($AI528=0,"",SUM($AI$4:$AI528))</f>
        <v/>
      </c>
      <c r="AG528" s="50" t="str">
        <f aca="false">IF($F528="","",$I528&amp;IF($J528="",""," · "&amp;$J528)&amp;IF($K528="",""," · "&amp;$K528))</f>
        <v/>
      </c>
      <c r="AH528" s="39" t="n">
        <f aca="false">IF(AND($F528&lt;&gt;"",$O528&lt;&gt;"",$O528&lt;=Hoje!$C$3,$P528&gt;=Hoje!$C$3,$R528&lt;&gt;"Cancelada"),1,0)</f>
        <v>0</v>
      </c>
      <c r="AI528" s="39" t="n">
        <f aca="false">IF(AND($F528&lt;&gt;"",$P528&lt;&gt;"",$P528&lt;Hoje!$C$3,$AB528=0,$R528&lt;&gt;"Cancelada"),1,0)</f>
        <v>0</v>
      </c>
      <c r="AJ528" s="50" t="str">
        <f aca="false">IF($F528="","",$D528&amp;"|"&amp;$E528&amp;"|"&amp;$L528)</f>
        <v/>
      </c>
      <c r="AK528" s="39" t="str">
        <f aca="false">IF($AJ528="","",COUNTIF($AJ$4:$AJ528,$AJ528))</f>
        <v/>
      </c>
      <c r="AL528" s="39" t="str">
        <f aca="false">IF($AJ528="","",COUNTIF($AJ$4:$AJ$1004,$AJ528))</f>
        <v/>
      </c>
      <c r="AM528" s="42"/>
      <c r="AN528" s="50" t="str">
        <f aca="false">IF($D528="","",IFERROR(T(VLOOKUP($D528,Listas!$B$5:$H$120,7,0)),""))</f>
        <v/>
      </c>
      <c r="AO528" s="50" t="str">
        <f aca="false">IF(OR($F528="",$L528&lt;&gt;"",$R528="Cancelada",$AT528&lt;&gt;""),"",$AN528&amp;"|"&amp;$D528&amp;"|"&amp;IF($C528="","zzz",$C528)&amp;"|"&amp;TEXT(528,"0000"))</f>
        <v/>
      </c>
      <c r="AP528" s="50" t="str">
        <f aca="false">IF($AO528="","",COUNTIF($AO$5:$AO$1004,"&lt;"&amp;$AO528)-(ROWS($AO$5:$AO$1004)-Hoje!$L$5)+1)</f>
        <v/>
      </c>
      <c r="AQ528" s="50" t="n">
        <f aca="false">IF(AND($F528&lt;&gt;"",$D528=Frota!$C$3),1,0)</f>
        <v>0</v>
      </c>
      <c r="AR528" s="50" t="str">
        <f aca="false">IF($AQ528=0,"",SUM($AQ$4:$AQ528))</f>
        <v/>
      </c>
      <c r="AS528" s="50" t="str">
        <f aca="false">IFERROR(INDEX(Hoje!$K$10:$K$29,MATCH(ROW(),Hoje!$J$10:$J$29,0)),"")</f>
        <v/>
      </c>
      <c r="AT528" s="50" t="str">
        <f aca="false">IF($Q528&lt;&gt;"",$Q528,$AS528)</f>
        <v/>
      </c>
    </row>
    <row r="529" customFormat="false" ht="16.5" hidden="false" customHeight="true" outlineLevel="0" collapsed="false">
      <c r="A529" s="39" t="str">
        <f aca="false">IF($F529="","",ROW())</f>
        <v/>
      </c>
      <c r="B529" s="40" t="str">
        <f aca="false">IF($F529="",IF($D529="","","Falta a atividade"),IF($R529="Cancelada","Cancelada",IF($AB529=1,IF(N($Z529)&gt;0,"Concluída com atraso","Concluída"),IF($R529="Em programação","Em programação",IF($O529="",IF($M529="","Na carteira","Falta a semana"),IF($AC529=1,"VENCIDA",IF($O529&gt;Hoje!$L$1,"Programada",IF($P529&gt;Hoje!$L$1,"Em execução","Fecha hoje"))))))))</f>
        <v/>
      </c>
      <c r="C529" s="41"/>
      <c r="D529" s="42"/>
      <c r="E529" s="42"/>
      <c r="F529" s="42"/>
      <c r="G529" s="43"/>
      <c r="H529" s="43"/>
      <c r="I529" s="44"/>
      <c r="J529" s="44"/>
      <c r="K529" s="44"/>
      <c r="L529" s="45"/>
      <c r="M529" s="46"/>
      <c r="N529" s="45"/>
      <c r="O529" s="47" t="str">
        <f aca="false">IF(OR($L529="",$M529=""),"",(DATE(Semana!$J$3,1,4)-WEEKDAY(DATE(Semana!$J$3,1,4),3))+($L529-1)*7+MATCH($M529,Listas!$F$5:$F$11,0)-1)</f>
        <v/>
      </c>
      <c r="P529" s="47" t="str">
        <f aca="false">IF(OR($F529="",$O529=""),"",$O529+MAX(0,ROUNDUP($AK529*MAX(1,IF($N529="",1,$N529))/MAX(1,$AL529),0)-1))</f>
        <v/>
      </c>
      <c r="Q529" s="48"/>
      <c r="R529" s="43"/>
      <c r="S529" s="49"/>
      <c r="T529" s="42"/>
      <c r="U529" s="42"/>
      <c r="V529" s="39" t="str">
        <f aca="false">IF($F529="","",IF(ISNUMBER(SEARCH("(externo)",$I529&amp;$J529&amp;$K529)),"Terceirizada","Interna"))</f>
        <v/>
      </c>
      <c r="W529" s="47" t="str">
        <f aca="false">IF($O529="","",IF($S529="",$O529,(DATE(Semana!$J$3,1,4)-WEEKDAY(DATE(Semana!$J$3,1,4),3))+($S529-1)*7+IF($M529="",0,MATCH($M529,Listas!$F$5:$F$11,0)-1)))</f>
        <v/>
      </c>
      <c r="X529" s="39" t="str">
        <f aca="false">IF($F529="","",IF(OR($AT529="",$O529=""),0,IF($AT529&lt;=$O529,1,0)))</f>
        <v/>
      </c>
      <c r="Y529" s="39" t="str">
        <f aca="false">IF($F529="","",IF(OR($AT529="",$W529=""),0,IF($AT529&lt;=$W529,1,0)))</f>
        <v/>
      </c>
      <c r="Z529" s="39" t="str">
        <f aca="false">IF(OR($AT529="",$O529=""),"",MAX(0,$AT529-$O529))</f>
        <v/>
      </c>
      <c r="AA529" s="39" t="str">
        <f aca="false">IF($F529="","",IF(AND($S529&lt;&gt;"",$L529&lt;&gt;"",$S529&lt;&gt;$L529),1,0))</f>
        <v/>
      </c>
      <c r="AB529" s="39" t="str">
        <f aca="false">IF($F529="","",IF($R529="Cancelada",0,IF(OR($AT529&lt;&gt;"",$R529="Concluída"),1,0)))</f>
        <v/>
      </c>
      <c r="AC529" s="39" t="n">
        <f aca="false">IF($P529="",0,IF($P529&lt;Hoje!$L$1,1,IF(AND($P529=Hoje!$L$1,Hoje!$L$2&gt;Semana!$M$3),1,0)))</f>
        <v>0</v>
      </c>
      <c r="AD529" s="39" t="str">
        <f aca="false">IF($F529="","",IF(COUNTA($I529:$K529)=0,0,1/COUNTA($I529:$K529)))</f>
        <v/>
      </c>
      <c r="AE529" s="39" t="str">
        <f aca="false">IF($AH529=0,"",SUM($AH$4:$AH529))</f>
        <v/>
      </c>
      <c r="AF529" s="39" t="str">
        <f aca="false">IF($AI529=0,"",SUM($AI$4:$AI529))</f>
        <v/>
      </c>
      <c r="AG529" s="50" t="str">
        <f aca="false">IF($F529="","",$I529&amp;IF($J529="",""," · "&amp;$J529)&amp;IF($K529="",""," · "&amp;$K529))</f>
        <v/>
      </c>
      <c r="AH529" s="39" t="n">
        <f aca="false">IF(AND($F529&lt;&gt;"",$O529&lt;&gt;"",$O529&lt;=Hoje!$C$3,$P529&gt;=Hoje!$C$3,$R529&lt;&gt;"Cancelada"),1,0)</f>
        <v>0</v>
      </c>
      <c r="AI529" s="39" t="n">
        <f aca="false">IF(AND($F529&lt;&gt;"",$P529&lt;&gt;"",$P529&lt;Hoje!$C$3,$AB529=0,$R529&lt;&gt;"Cancelada"),1,0)</f>
        <v>0</v>
      </c>
      <c r="AJ529" s="50" t="str">
        <f aca="false">IF($F529="","",$D529&amp;"|"&amp;$E529&amp;"|"&amp;$L529)</f>
        <v/>
      </c>
      <c r="AK529" s="39" t="str">
        <f aca="false">IF($AJ529="","",COUNTIF($AJ$4:$AJ529,$AJ529))</f>
        <v/>
      </c>
      <c r="AL529" s="39" t="str">
        <f aca="false">IF($AJ529="","",COUNTIF($AJ$4:$AJ$1004,$AJ529))</f>
        <v/>
      </c>
      <c r="AM529" s="42"/>
      <c r="AN529" s="50" t="str">
        <f aca="false">IF($D529="","",IFERROR(T(VLOOKUP($D529,Listas!$B$5:$H$120,7,0)),""))</f>
        <v/>
      </c>
      <c r="AO529" s="50" t="str">
        <f aca="false">IF(OR($F529="",$L529&lt;&gt;"",$R529="Cancelada",$AT529&lt;&gt;""),"",$AN529&amp;"|"&amp;$D529&amp;"|"&amp;IF($C529="","zzz",$C529)&amp;"|"&amp;TEXT(529,"0000"))</f>
        <v/>
      </c>
      <c r="AP529" s="50" t="str">
        <f aca="false">IF($AO529="","",COUNTIF($AO$5:$AO$1004,"&lt;"&amp;$AO529)-(ROWS($AO$5:$AO$1004)-Hoje!$L$5)+1)</f>
        <v/>
      </c>
      <c r="AQ529" s="50" t="n">
        <f aca="false">IF(AND($F529&lt;&gt;"",$D529=Frota!$C$3),1,0)</f>
        <v>0</v>
      </c>
      <c r="AR529" s="50" t="str">
        <f aca="false">IF($AQ529=0,"",SUM($AQ$4:$AQ529))</f>
        <v/>
      </c>
      <c r="AS529" s="50" t="str">
        <f aca="false">IFERROR(INDEX(Hoje!$K$10:$K$29,MATCH(ROW(),Hoje!$J$10:$J$29,0)),"")</f>
        <v/>
      </c>
      <c r="AT529" s="50" t="str">
        <f aca="false">IF($Q529&lt;&gt;"",$Q529,$AS529)</f>
        <v/>
      </c>
    </row>
    <row r="530" customFormat="false" ht="16.5" hidden="false" customHeight="true" outlineLevel="0" collapsed="false">
      <c r="A530" s="39" t="str">
        <f aca="false">IF($F530="","",ROW())</f>
        <v/>
      </c>
      <c r="B530" s="40" t="str">
        <f aca="false">IF($F530="",IF($D530="","","Falta a atividade"),IF($R530="Cancelada","Cancelada",IF($AB530=1,IF(N($Z530)&gt;0,"Concluída com atraso","Concluída"),IF($R530="Em programação","Em programação",IF($O530="",IF($M530="","Na carteira","Falta a semana"),IF($AC530=1,"VENCIDA",IF($O530&gt;Hoje!$L$1,"Programada",IF($P530&gt;Hoje!$L$1,"Em execução","Fecha hoje"))))))))</f>
        <v/>
      </c>
      <c r="C530" s="41"/>
      <c r="D530" s="42"/>
      <c r="E530" s="42"/>
      <c r="F530" s="42"/>
      <c r="G530" s="43"/>
      <c r="H530" s="43"/>
      <c r="I530" s="44"/>
      <c r="J530" s="44"/>
      <c r="K530" s="44"/>
      <c r="L530" s="45"/>
      <c r="M530" s="46"/>
      <c r="N530" s="45"/>
      <c r="O530" s="47" t="str">
        <f aca="false">IF(OR($L530="",$M530=""),"",(DATE(Semana!$J$3,1,4)-WEEKDAY(DATE(Semana!$J$3,1,4),3))+($L530-1)*7+MATCH($M530,Listas!$F$5:$F$11,0)-1)</f>
        <v/>
      </c>
      <c r="P530" s="47" t="str">
        <f aca="false">IF(OR($F530="",$O530=""),"",$O530+MAX(0,ROUNDUP($AK530*MAX(1,IF($N530="",1,$N530))/MAX(1,$AL530),0)-1))</f>
        <v/>
      </c>
      <c r="Q530" s="48"/>
      <c r="R530" s="43"/>
      <c r="S530" s="49"/>
      <c r="T530" s="42"/>
      <c r="U530" s="42"/>
      <c r="V530" s="39" t="str">
        <f aca="false">IF($F530="","",IF(ISNUMBER(SEARCH("(externo)",$I530&amp;$J530&amp;$K530)),"Terceirizada","Interna"))</f>
        <v/>
      </c>
      <c r="W530" s="47" t="str">
        <f aca="false">IF($O530="","",IF($S530="",$O530,(DATE(Semana!$J$3,1,4)-WEEKDAY(DATE(Semana!$J$3,1,4),3))+($S530-1)*7+IF($M530="",0,MATCH($M530,Listas!$F$5:$F$11,0)-1)))</f>
        <v/>
      </c>
      <c r="X530" s="39" t="str">
        <f aca="false">IF($F530="","",IF(OR($AT530="",$O530=""),0,IF($AT530&lt;=$O530,1,0)))</f>
        <v/>
      </c>
      <c r="Y530" s="39" t="str">
        <f aca="false">IF($F530="","",IF(OR($AT530="",$W530=""),0,IF($AT530&lt;=$W530,1,0)))</f>
        <v/>
      </c>
      <c r="Z530" s="39" t="str">
        <f aca="false">IF(OR($AT530="",$O530=""),"",MAX(0,$AT530-$O530))</f>
        <v/>
      </c>
      <c r="AA530" s="39" t="str">
        <f aca="false">IF($F530="","",IF(AND($S530&lt;&gt;"",$L530&lt;&gt;"",$S530&lt;&gt;$L530),1,0))</f>
        <v/>
      </c>
      <c r="AB530" s="39" t="str">
        <f aca="false">IF($F530="","",IF($R530="Cancelada",0,IF(OR($AT530&lt;&gt;"",$R530="Concluída"),1,0)))</f>
        <v/>
      </c>
      <c r="AC530" s="39" t="n">
        <f aca="false">IF($P530="",0,IF($P530&lt;Hoje!$L$1,1,IF(AND($P530=Hoje!$L$1,Hoje!$L$2&gt;Semana!$M$3),1,0)))</f>
        <v>0</v>
      </c>
      <c r="AD530" s="39" t="str">
        <f aca="false">IF($F530="","",IF(COUNTA($I530:$K530)=0,0,1/COUNTA($I530:$K530)))</f>
        <v/>
      </c>
      <c r="AE530" s="39" t="str">
        <f aca="false">IF($AH530=0,"",SUM($AH$4:$AH530))</f>
        <v/>
      </c>
      <c r="AF530" s="39" t="str">
        <f aca="false">IF($AI530=0,"",SUM($AI$4:$AI530))</f>
        <v/>
      </c>
      <c r="AG530" s="50" t="str">
        <f aca="false">IF($F530="","",$I530&amp;IF($J530="",""," · "&amp;$J530)&amp;IF($K530="",""," · "&amp;$K530))</f>
        <v/>
      </c>
      <c r="AH530" s="39" t="n">
        <f aca="false">IF(AND($F530&lt;&gt;"",$O530&lt;&gt;"",$O530&lt;=Hoje!$C$3,$P530&gt;=Hoje!$C$3,$R530&lt;&gt;"Cancelada"),1,0)</f>
        <v>0</v>
      </c>
      <c r="AI530" s="39" t="n">
        <f aca="false">IF(AND($F530&lt;&gt;"",$P530&lt;&gt;"",$P530&lt;Hoje!$C$3,$AB530=0,$R530&lt;&gt;"Cancelada"),1,0)</f>
        <v>0</v>
      </c>
      <c r="AJ530" s="50" t="str">
        <f aca="false">IF($F530="","",$D530&amp;"|"&amp;$E530&amp;"|"&amp;$L530)</f>
        <v/>
      </c>
      <c r="AK530" s="39" t="str">
        <f aca="false">IF($AJ530="","",COUNTIF($AJ$4:$AJ530,$AJ530))</f>
        <v/>
      </c>
      <c r="AL530" s="39" t="str">
        <f aca="false">IF($AJ530="","",COUNTIF($AJ$4:$AJ$1004,$AJ530))</f>
        <v/>
      </c>
      <c r="AM530" s="42"/>
      <c r="AN530" s="50" t="str">
        <f aca="false">IF($D530="","",IFERROR(T(VLOOKUP($D530,Listas!$B$5:$H$120,7,0)),""))</f>
        <v/>
      </c>
      <c r="AO530" s="50" t="str">
        <f aca="false">IF(OR($F530="",$L530&lt;&gt;"",$R530="Cancelada",$AT530&lt;&gt;""),"",$AN530&amp;"|"&amp;$D530&amp;"|"&amp;IF($C530="","zzz",$C530)&amp;"|"&amp;TEXT(530,"0000"))</f>
        <v/>
      </c>
      <c r="AP530" s="50" t="str">
        <f aca="false">IF($AO530="","",COUNTIF($AO$5:$AO$1004,"&lt;"&amp;$AO530)-(ROWS($AO$5:$AO$1004)-Hoje!$L$5)+1)</f>
        <v/>
      </c>
      <c r="AQ530" s="50" t="n">
        <f aca="false">IF(AND($F530&lt;&gt;"",$D530=Frota!$C$3),1,0)</f>
        <v>0</v>
      </c>
      <c r="AR530" s="50" t="str">
        <f aca="false">IF($AQ530=0,"",SUM($AQ$4:$AQ530))</f>
        <v/>
      </c>
      <c r="AS530" s="50" t="str">
        <f aca="false">IFERROR(INDEX(Hoje!$K$10:$K$29,MATCH(ROW(),Hoje!$J$10:$J$29,0)),"")</f>
        <v/>
      </c>
      <c r="AT530" s="50" t="str">
        <f aca="false">IF($Q530&lt;&gt;"",$Q530,$AS530)</f>
        <v/>
      </c>
    </row>
    <row r="531" customFormat="false" ht="16.5" hidden="false" customHeight="true" outlineLevel="0" collapsed="false">
      <c r="A531" s="39" t="str">
        <f aca="false">IF($F531="","",ROW())</f>
        <v/>
      </c>
      <c r="B531" s="40" t="str">
        <f aca="false">IF($F531="",IF($D531="","","Falta a atividade"),IF($R531="Cancelada","Cancelada",IF($AB531=1,IF(N($Z531)&gt;0,"Concluída com atraso","Concluída"),IF($R531="Em programação","Em programação",IF($O531="",IF($M531="","Na carteira","Falta a semana"),IF($AC531=1,"VENCIDA",IF($O531&gt;Hoje!$L$1,"Programada",IF($P531&gt;Hoje!$L$1,"Em execução","Fecha hoje"))))))))</f>
        <v/>
      </c>
      <c r="C531" s="41"/>
      <c r="D531" s="42"/>
      <c r="E531" s="42"/>
      <c r="F531" s="42"/>
      <c r="G531" s="43"/>
      <c r="H531" s="43"/>
      <c r="I531" s="44"/>
      <c r="J531" s="44"/>
      <c r="K531" s="44"/>
      <c r="L531" s="45"/>
      <c r="M531" s="46"/>
      <c r="N531" s="45"/>
      <c r="O531" s="47" t="str">
        <f aca="false">IF(OR($L531="",$M531=""),"",(DATE(Semana!$J$3,1,4)-WEEKDAY(DATE(Semana!$J$3,1,4),3))+($L531-1)*7+MATCH($M531,Listas!$F$5:$F$11,0)-1)</f>
        <v/>
      </c>
      <c r="P531" s="47" t="str">
        <f aca="false">IF(OR($F531="",$O531=""),"",$O531+MAX(0,ROUNDUP($AK531*MAX(1,IF($N531="",1,$N531))/MAX(1,$AL531),0)-1))</f>
        <v/>
      </c>
      <c r="Q531" s="48"/>
      <c r="R531" s="43"/>
      <c r="S531" s="49"/>
      <c r="T531" s="42"/>
      <c r="U531" s="42"/>
      <c r="V531" s="39" t="str">
        <f aca="false">IF($F531="","",IF(ISNUMBER(SEARCH("(externo)",$I531&amp;$J531&amp;$K531)),"Terceirizada","Interna"))</f>
        <v/>
      </c>
      <c r="W531" s="47" t="str">
        <f aca="false">IF($O531="","",IF($S531="",$O531,(DATE(Semana!$J$3,1,4)-WEEKDAY(DATE(Semana!$J$3,1,4),3))+($S531-1)*7+IF($M531="",0,MATCH($M531,Listas!$F$5:$F$11,0)-1)))</f>
        <v/>
      </c>
      <c r="X531" s="39" t="str">
        <f aca="false">IF($F531="","",IF(OR($AT531="",$O531=""),0,IF($AT531&lt;=$O531,1,0)))</f>
        <v/>
      </c>
      <c r="Y531" s="39" t="str">
        <f aca="false">IF($F531="","",IF(OR($AT531="",$W531=""),0,IF($AT531&lt;=$W531,1,0)))</f>
        <v/>
      </c>
      <c r="Z531" s="39" t="str">
        <f aca="false">IF(OR($AT531="",$O531=""),"",MAX(0,$AT531-$O531))</f>
        <v/>
      </c>
      <c r="AA531" s="39" t="str">
        <f aca="false">IF($F531="","",IF(AND($S531&lt;&gt;"",$L531&lt;&gt;"",$S531&lt;&gt;$L531),1,0))</f>
        <v/>
      </c>
      <c r="AB531" s="39" t="str">
        <f aca="false">IF($F531="","",IF($R531="Cancelada",0,IF(OR($AT531&lt;&gt;"",$R531="Concluída"),1,0)))</f>
        <v/>
      </c>
      <c r="AC531" s="39" t="n">
        <f aca="false">IF($P531="",0,IF($P531&lt;Hoje!$L$1,1,IF(AND($P531=Hoje!$L$1,Hoje!$L$2&gt;Semana!$M$3),1,0)))</f>
        <v>0</v>
      </c>
      <c r="AD531" s="39" t="str">
        <f aca="false">IF($F531="","",IF(COUNTA($I531:$K531)=0,0,1/COUNTA($I531:$K531)))</f>
        <v/>
      </c>
      <c r="AE531" s="39" t="str">
        <f aca="false">IF($AH531=0,"",SUM($AH$4:$AH531))</f>
        <v/>
      </c>
      <c r="AF531" s="39" t="str">
        <f aca="false">IF($AI531=0,"",SUM($AI$4:$AI531))</f>
        <v/>
      </c>
      <c r="AG531" s="50" t="str">
        <f aca="false">IF($F531="","",$I531&amp;IF($J531="",""," · "&amp;$J531)&amp;IF($K531="",""," · "&amp;$K531))</f>
        <v/>
      </c>
      <c r="AH531" s="39" t="n">
        <f aca="false">IF(AND($F531&lt;&gt;"",$O531&lt;&gt;"",$O531&lt;=Hoje!$C$3,$P531&gt;=Hoje!$C$3,$R531&lt;&gt;"Cancelada"),1,0)</f>
        <v>0</v>
      </c>
      <c r="AI531" s="39" t="n">
        <f aca="false">IF(AND($F531&lt;&gt;"",$P531&lt;&gt;"",$P531&lt;Hoje!$C$3,$AB531=0,$R531&lt;&gt;"Cancelada"),1,0)</f>
        <v>0</v>
      </c>
      <c r="AJ531" s="50" t="str">
        <f aca="false">IF($F531="","",$D531&amp;"|"&amp;$E531&amp;"|"&amp;$L531)</f>
        <v/>
      </c>
      <c r="AK531" s="39" t="str">
        <f aca="false">IF($AJ531="","",COUNTIF($AJ$4:$AJ531,$AJ531))</f>
        <v/>
      </c>
      <c r="AL531" s="39" t="str">
        <f aca="false">IF($AJ531="","",COUNTIF($AJ$4:$AJ$1004,$AJ531))</f>
        <v/>
      </c>
      <c r="AM531" s="42"/>
      <c r="AN531" s="50" t="str">
        <f aca="false">IF($D531="","",IFERROR(T(VLOOKUP($D531,Listas!$B$5:$H$120,7,0)),""))</f>
        <v/>
      </c>
      <c r="AO531" s="50" t="str">
        <f aca="false">IF(OR($F531="",$L531&lt;&gt;"",$R531="Cancelada",$AT531&lt;&gt;""),"",$AN531&amp;"|"&amp;$D531&amp;"|"&amp;IF($C531="","zzz",$C531)&amp;"|"&amp;TEXT(531,"0000"))</f>
        <v/>
      </c>
      <c r="AP531" s="50" t="str">
        <f aca="false">IF($AO531="","",COUNTIF($AO$5:$AO$1004,"&lt;"&amp;$AO531)-(ROWS($AO$5:$AO$1004)-Hoje!$L$5)+1)</f>
        <v/>
      </c>
      <c r="AQ531" s="50" t="n">
        <f aca="false">IF(AND($F531&lt;&gt;"",$D531=Frota!$C$3),1,0)</f>
        <v>0</v>
      </c>
      <c r="AR531" s="50" t="str">
        <f aca="false">IF($AQ531=0,"",SUM($AQ$4:$AQ531))</f>
        <v/>
      </c>
      <c r="AS531" s="50" t="str">
        <f aca="false">IFERROR(INDEX(Hoje!$K$10:$K$29,MATCH(ROW(),Hoje!$J$10:$J$29,0)),"")</f>
        <v/>
      </c>
      <c r="AT531" s="50" t="str">
        <f aca="false">IF($Q531&lt;&gt;"",$Q531,$AS531)</f>
        <v/>
      </c>
    </row>
    <row r="532" customFormat="false" ht="16.5" hidden="false" customHeight="true" outlineLevel="0" collapsed="false">
      <c r="A532" s="39" t="str">
        <f aca="false">IF($F532="","",ROW())</f>
        <v/>
      </c>
      <c r="B532" s="40" t="str">
        <f aca="false">IF($F532="",IF($D532="","","Falta a atividade"),IF($R532="Cancelada","Cancelada",IF($AB532=1,IF(N($Z532)&gt;0,"Concluída com atraso","Concluída"),IF($R532="Em programação","Em programação",IF($O532="",IF($M532="","Na carteira","Falta a semana"),IF($AC532=1,"VENCIDA",IF($O532&gt;Hoje!$L$1,"Programada",IF($P532&gt;Hoje!$L$1,"Em execução","Fecha hoje"))))))))</f>
        <v/>
      </c>
      <c r="C532" s="41"/>
      <c r="D532" s="42"/>
      <c r="E532" s="42"/>
      <c r="F532" s="42"/>
      <c r="G532" s="43"/>
      <c r="H532" s="43"/>
      <c r="I532" s="44"/>
      <c r="J532" s="44"/>
      <c r="K532" s="44"/>
      <c r="L532" s="45"/>
      <c r="M532" s="46"/>
      <c r="N532" s="45"/>
      <c r="O532" s="47" t="str">
        <f aca="false">IF(OR($L532="",$M532=""),"",(DATE(Semana!$J$3,1,4)-WEEKDAY(DATE(Semana!$J$3,1,4),3))+($L532-1)*7+MATCH($M532,Listas!$F$5:$F$11,0)-1)</f>
        <v/>
      </c>
      <c r="P532" s="47" t="str">
        <f aca="false">IF(OR($F532="",$O532=""),"",$O532+MAX(0,ROUNDUP($AK532*MAX(1,IF($N532="",1,$N532))/MAX(1,$AL532),0)-1))</f>
        <v/>
      </c>
      <c r="Q532" s="48"/>
      <c r="R532" s="43"/>
      <c r="S532" s="49"/>
      <c r="T532" s="42"/>
      <c r="U532" s="42"/>
      <c r="V532" s="39" t="str">
        <f aca="false">IF($F532="","",IF(ISNUMBER(SEARCH("(externo)",$I532&amp;$J532&amp;$K532)),"Terceirizada","Interna"))</f>
        <v/>
      </c>
      <c r="W532" s="47" t="str">
        <f aca="false">IF($O532="","",IF($S532="",$O532,(DATE(Semana!$J$3,1,4)-WEEKDAY(DATE(Semana!$J$3,1,4),3))+($S532-1)*7+IF($M532="",0,MATCH($M532,Listas!$F$5:$F$11,0)-1)))</f>
        <v/>
      </c>
      <c r="X532" s="39" t="str">
        <f aca="false">IF($F532="","",IF(OR($AT532="",$O532=""),0,IF($AT532&lt;=$O532,1,0)))</f>
        <v/>
      </c>
      <c r="Y532" s="39" t="str">
        <f aca="false">IF($F532="","",IF(OR($AT532="",$W532=""),0,IF($AT532&lt;=$W532,1,0)))</f>
        <v/>
      </c>
      <c r="Z532" s="39" t="str">
        <f aca="false">IF(OR($AT532="",$O532=""),"",MAX(0,$AT532-$O532))</f>
        <v/>
      </c>
      <c r="AA532" s="39" t="str">
        <f aca="false">IF($F532="","",IF(AND($S532&lt;&gt;"",$L532&lt;&gt;"",$S532&lt;&gt;$L532),1,0))</f>
        <v/>
      </c>
      <c r="AB532" s="39" t="str">
        <f aca="false">IF($F532="","",IF($R532="Cancelada",0,IF(OR($AT532&lt;&gt;"",$R532="Concluída"),1,0)))</f>
        <v/>
      </c>
      <c r="AC532" s="39" t="n">
        <f aca="false">IF($P532="",0,IF($P532&lt;Hoje!$L$1,1,IF(AND($P532=Hoje!$L$1,Hoje!$L$2&gt;Semana!$M$3),1,0)))</f>
        <v>0</v>
      </c>
      <c r="AD532" s="39" t="str">
        <f aca="false">IF($F532="","",IF(COUNTA($I532:$K532)=0,0,1/COUNTA($I532:$K532)))</f>
        <v/>
      </c>
      <c r="AE532" s="39" t="str">
        <f aca="false">IF($AH532=0,"",SUM($AH$4:$AH532))</f>
        <v/>
      </c>
      <c r="AF532" s="39" t="str">
        <f aca="false">IF($AI532=0,"",SUM($AI$4:$AI532))</f>
        <v/>
      </c>
      <c r="AG532" s="50" t="str">
        <f aca="false">IF($F532="","",$I532&amp;IF($J532="",""," · "&amp;$J532)&amp;IF($K532="",""," · "&amp;$K532))</f>
        <v/>
      </c>
      <c r="AH532" s="39" t="n">
        <f aca="false">IF(AND($F532&lt;&gt;"",$O532&lt;&gt;"",$O532&lt;=Hoje!$C$3,$P532&gt;=Hoje!$C$3,$R532&lt;&gt;"Cancelada"),1,0)</f>
        <v>0</v>
      </c>
      <c r="AI532" s="39" t="n">
        <f aca="false">IF(AND($F532&lt;&gt;"",$P532&lt;&gt;"",$P532&lt;Hoje!$C$3,$AB532=0,$R532&lt;&gt;"Cancelada"),1,0)</f>
        <v>0</v>
      </c>
      <c r="AJ532" s="50" t="str">
        <f aca="false">IF($F532="","",$D532&amp;"|"&amp;$E532&amp;"|"&amp;$L532)</f>
        <v/>
      </c>
      <c r="AK532" s="39" t="str">
        <f aca="false">IF($AJ532="","",COUNTIF($AJ$4:$AJ532,$AJ532))</f>
        <v/>
      </c>
      <c r="AL532" s="39" t="str">
        <f aca="false">IF($AJ532="","",COUNTIF($AJ$4:$AJ$1004,$AJ532))</f>
        <v/>
      </c>
      <c r="AM532" s="42"/>
      <c r="AN532" s="50" t="str">
        <f aca="false">IF($D532="","",IFERROR(T(VLOOKUP($D532,Listas!$B$5:$H$120,7,0)),""))</f>
        <v/>
      </c>
      <c r="AO532" s="50" t="str">
        <f aca="false">IF(OR($F532="",$L532&lt;&gt;"",$R532="Cancelada",$AT532&lt;&gt;""),"",$AN532&amp;"|"&amp;$D532&amp;"|"&amp;IF($C532="","zzz",$C532)&amp;"|"&amp;TEXT(532,"0000"))</f>
        <v/>
      </c>
      <c r="AP532" s="50" t="str">
        <f aca="false">IF($AO532="","",COUNTIF($AO$5:$AO$1004,"&lt;"&amp;$AO532)-(ROWS($AO$5:$AO$1004)-Hoje!$L$5)+1)</f>
        <v/>
      </c>
      <c r="AQ532" s="50" t="n">
        <f aca="false">IF(AND($F532&lt;&gt;"",$D532=Frota!$C$3),1,0)</f>
        <v>0</v>
      </c>
      <c r="AR532" s="50" t="str">
        <f aca="false">IF($AQ532=0,"",SUM($AQ$4:$AQ532))</f>
        <v/>
      </c>
      <c r="AS532" s="50" t="str">
        <f aca="false">IFERROR(INDEX(Hoje!$K$10:$K$29,MATCH(ROW(),Hoje!$J$10:$J$29,0)),"")</f>
        <v/>
      </c>
      <c r="AT532" s="50" t="str">
        <f aca="false">IF($Q532&lt;&gt;"",$Q532,$AS532)</f>
        <v/>
      </c>
    </row>
    <row r="533" customFormat="false" ht="16.5" hidden="false" customHeight="true" outlineLevel="0" collapsed="false">
      <c r="A533" s="39" t="str">
        <f aca="false">IF($F533="","",ROW())</f>
        <v/>
      </c>
      <c r="B533" s="40" t="str">
        <f aca="false">IF($F533="",IF($D533="","","Falta a atividade"),IF($R533="Cancelada","Cancelada",IF($AB533=1,IF(N($Z533)&gt;0,"Concluída com atraso","Concluída"),IF($R533="Em programação","Em programação",IF($O533="",IF($M533="","Na carteira","Falta a semana"),IF($AC533=1,"VENCIDA",IF($O533&gt;Hoje!$L$1,"Programada",IF($P533&gt;Hoje!$L$1,"Em execução","Fecha hoje"))))))))</f>
        <v/>
      </c>
      <c r="C533" s="41"/>
      <c r="D533" s="42"/>
      <c r="E533" s="42"/>
      <c r="F533" s="42"/>
      <c r="G533" s="43"/>
      <c r="H533" s="43"/>
      <c r="I533" s="44"/>
      <c r="J533" s="44"/>
      <c r="K533" s="44"/>
      <c r="L533" s="45"/>
      <c r="M533" s="46"/>
      <c r="N533" s="45"/>
      <c r="O533" s="47" t="str">
        <f aca="false">IF(OR($L533="",$M533=""),"",(DATE(Semana!$J$3,1,4)-WEEKDAY(DATE(Semana!$J$3,1,4),3))+($L533-1)*7+MATCH($M533,Listas!$F$5:$F$11,0)-1)</f>
        <v/>
      </c>
      <c r="P533" s="47" t="str">
        <f aca="false">IF(OR($F533="",$O533=""),"",$O533+MAX(0,ROUNDUP($AK533*MAX(1,IF($N533="",1,$N533))/MAX(1,$AL533),0)-1))</f>
        <v/>
      </c>
      <c r="Q533" s="48"/>
      <c r="R533" s="43"/>
      <c r="S533" s="49"/>
      <c r="T533" s="42"/>
      <c r="U533" s="42"/>
      <c r="V533" s="39" t="str">
        <f aca="false">IF($F533="","",IF(ISNUMBER(SEARCH("(externo)",$I533&amp;$J533&amp;$K533)),"Terceirizada","Interna"))</f>
        <v/>
      </c>
      <c r="W533" s="47" t="str">
        <f aca="false">IF($O533="","",IF($S533="",$O533,(DATE(Semana!$J$3,1,4)-WEEKDAY(DATE(Semana!$J$3,1,4),3))+($S533-1)*7+IF($M533="",0,MATCH($M533,Listas!$F$5:$F$11,0)-1)))</f>
        <v/>
      </c>
      <c r="X533" s="39" t="str">
        <f aca="false">IF($F533="","",IF(OR($AT533="",$O533=""),0,IF($AT533&lt;=$O533,1,0)))</f>
        <v/>
      </c>
      <c r="Y533" s="39" t="str">
        <f aca="false">IF($F533="","",IF(OR($AT533="",$W533=""),0,IF($AT533&lt;=$W533,1,0)))</f>
        <v/>
      </c>
      <c r="Z533" s="39" t="str">
        <f aca="false">IF(OR($AT533="",$O533=""),"",MAX(0,$AT533-$O533))</f>
        <v/>
      </c>
      <c r="AA533" s="39" t="str">
        <f aca="false">IF($F533="","",IF(AND($S533&lt;&gt;"",$L533&lt;&gt;"",$S533&lt;&gt;$L533),1,0))</f>
        <v/>
      </c>
      <c r="AB533" s="39" t="str">
        <f aca="false">IF($F533="","",IF($R533="Cancelada",0,IF(OR($AT533&lt;&gt;"",$R533="Concluída"),1,0)))</f>
        <v/>
      </c>
      <c r="AC533" s="39" t="n">
        <f aca="false">IF($P533="",0,IF($P533&lt;Hoje!$L$1,1,IF(AND($P533=Hoje!$L$1,Hoje!$L$2&gt;Semana!$M$3),1,0)))</f>
        <v>0</v>
      </c>
      <c r="AD533" s="39" t="str">
        <f aca="false">IF($F533="","",IF(COUNTA($I533:$K533)=0,0,1/COUNTA($I533:$K533)))</f>
        <v/>
      </c>
      <c r="AE533" s="39" t="str">
        <f aca="false">IF($AH533=0,"",SUM($AH$4:$AH533))</f>
        <v/>
      </c>
      <c r="AF533" s="39" t="str">
        <f aca="false">IF($AI533=0,"",SUM($AI$4:$AI533))</f>
        <v/>
      </c>
      <c r="AG533" s="50" t="str">
        <f aca="false">IF($F533="","",$I533&amp;IF($J533="",""," · "&amp;$J533)&amp;IF($K533="",""," · "&amp;$K533))</f>
        <v/>
      </c>
      <c r="AH533" s="39" t="n">
        <f aca="false">IF(AND($F533&lt;&gt;"",$O533&lt;&gt;"",$O533&lt;=Hoje!$C$3,$P533&gt;=Hoje!$C$3,$R533&lt;&gt;"Cancelada"),1,0)</f>
        <v>0</v>
      </c>
      <c r="AI533" s="39" t="n">
        <f aca="false">IF(AND($F533&lt;&gt;"",$P533&lt;&gt;"",$P533&lt;Hoje!$C$3,$AB533=0,$R533&lt;&gt;"Cancelada"),1,0)</f>
        <v>0</v>
      </c>
      <c r="AJ533" s="50" t="str">
        <f aca="false">IF($F533="","",$D533&amp;"|"&amp;$E533&amp;"|"&amp;$L533)</f>
        <v/>
      </c>
      <c r="AK533" s="39" t="str">
        <f aca="false">IF($AJ533="","",COUNTIF($AJ$4:$AJ533,$AJ533))</f>
        <v/>
      </c>
      <c r="AL533" s="39" t="str">
        <f aca="false">IF($AJ533="","",COUNTIF($AJ$4:$AJ$1004,$AJ533))</f>
        <v/>
      </c>
      <c r="AM533" s="42"/>
      <c r="AN533" s="50" t="str">
        <f aca="false">IF($D533="","",IFERROR(T(VLOOKUP($D533,Listas!$B$5:$H$120,7,0)),""))</f>
        <v/>
      </c>
      <c r="AO533" s="50" t="str">
        <f aca="false">IF(OR($F533="",$L533&lt;&gt;"",$R533="Cancelada",$AT533&lt;&gt;""),"",$AN533&amp;"|"&amp;$D533&amp;"|"&amp;IF($C533="","zzz",$C533)&amp;"|"&amp;TEXT(533,"0000"))</f>
        <v/>
      </c>
      <c r="AP533" s="50" t="str">
        <f aca="false">IF($AO533="","",COUNTIF($AO$5:$AO$1004,"&lt;"&amp;$AO533)-(ROWS($AO$5:$AO$1004)-Hoje!$L$5)+1)</f>
        <v/>
      </c>
      <c r="AQ533" s="50" t="n">
        <f aca="false">IF(AND($F533&lt;&gt;"",$D533=Frota!$C$3),1,0)</f>
        <v>0</v>
      </c>
      <c r="AR533" s="50" t="str">
        <f aca="false">IF($AQ533=0,"",SUM($AQ$4:$AQ533))</f>
        <v/>
      </c>
      <c r="AS533" s="50" t="str">
        <f aca="false">IFERROR(INDEX(Hoje!$K$10:$K$29,MATCH(ROW(),Hoje!$J$10:$J$29,0)),"")</f>
        <v/>
      </c>
      <c r="AT533" s="50" t="str">
        <f aca="false">IF($Q533&lt;&gt;"",$Q533,$AS533)</f>
        <v/>
      </c>
    </row>
    <row r="534" customFormat="false" ht="16.5" hidden="false" customHeight="true" outlineLevel="0" collapsed="false">
      <c r="A534" s="39" t="str">
        <f aca="false">IF($F534="","",ROW())</f>
        <v/>
      </c>
      <c r="B534" s="40" t="str">
        <f aca="false">IF($F534="",IF($D534="","","Falta a atividade"),IF($R534="Cancelada","Cancelada",IF($AB534=1,IF(N($Z534)&gt;0,"Concluída com atraso","Concluída"),IF($R534="Em programação","Em programação",IF($O534="",IF($M534="","Na carteira","Falta a semana"),IF($AC534=1,"VENCIDA",IF($O534&gt;Hoje!$L$1,"Programada",IF($P534&gt;Hoje!$L$1,"Em execução","Fecha hoje"))))))))</f>
        <v/>
      </c>
      <c r="C534" s="41"/>
      <c r="D534" s="42"/>
      <c r="E534" s="42"/>
      <c r="F534" s="42"/>
      <c r="G534" s="43"/>
      <c r="H534" s="43"/>
      <c r="I534" s="44"/>
      <c r="J534" s="44"/>
      <c r="K534" s="44"/>
      <c r="L534" s="45"/>
      <c r="M534" s="46"/>
      <c r="N534" s="45"/>
      <c r="O534" s="47" t="str">
        <f aca="false">IF(OR($L534="",$M534=""),"",(DATE(Semana!$J$3,1,4)-WEEKDAY(DATE(Semana!$J$3,1,4),3))+($L534-1)*7+MATCH($M534,Listas!$F$5:$F$11,0)-1)</f>
        <v/>
      </c>
      <c r="P534" s="47" t="str">
        <f aca="false">IF(OR($F534="",$O534=""),"",$O534+MAX(0,ROUNDUP($AK534*MAX(1,IF($N534="",1,$N534))/MAX(1,$AL534),0)-1))</f>
        <v/>
      </c>
      <c r="Q534" s="48"/>
      <c r="R534" s="43"/>
      <c r="S534" s="49"/>
      <c r="T534" s="42"/>
      <c r="U534" s="42"/>
      <c r="V534" s="39" t="str">
        <f aca="false">IF($F534="","",IF(ISNUMBER(SEARCH("(externo)",$I534&amp;$J534&amp;$K534)),"Terceirizada","Interna"))</f>
        <v/>
      </c>
      <c r="W534" s="47" t="str">
        <f aca="false">IF($O534="","",IF($S534="",$O534,(DATE(Semana!$J$3,1,4)-WEEKDAY(DATE(Semana!$J$3,1,4),3))+($S534-1)*7+IF($M534="",0,MATCH($M534,Listas!$F$5:$F$11,0)-1)))</f>
        <v/>
      </c>
      <c r="X534" s="39" t="str">
        <f aca="false">IF($F534="","",IF(OR($AT534="",$O534=""),0,IF($AT534&lt;=$O534,1,0)))</f>
        <v/>
      </c>
      <c r="Y534" s="39" t="str">
        <f aca="false">IF($F534="","",IF(OR($AT534="",$W534=""),0,IF($AT534&lt;=$W534,1,0)))</f>
        <v/>
      </c>
      <c r="Z534" s="39" t="str">
        <f aca="false">IF(OR($AT534="",$O534=""),"",MAX(0,$AT534-$O534))</f>
        <v/>
      </c>
      <c r="AA534" s="39" t="str">
        <f aca="false">IF($F534="","",IF(AND($S534&lt;&gt;"",$L534&lt;&gt;"",$S534&lt;&gt;$L534),1,0))</f>
        <v/>
      </c>
      <c r="AB534" s="39" t="str">
        <f aca="false">IF($F534="","",IF($R534="Cancelada",0,IF(OR($AT534&lt;&gt;"",$R534="Concluída"),1,0)))</f>
        <v/>
      </c>
      <c r="AC534" s="39" t="n">
        <f aca="false">IF($P534="",0,IF($P534&lt;Hoje!$L$1,1,IF(AND($P534=Hoje!$L$1,Hoje!$L$2&gt;Semana!$M$3),1,0)))</f>
        <v>0</v>
      </c>
      <c r="AD534" s="39" t="str">
        <f aca="false">IF($F534="","",IF(COUNTA($I534:$K534)=0,0,1/COUNTA($I534:$K534)))</f>
        <v/>
      </c>
      <c r="AE534" s="39" t="str">
        <f aca="false">IF($AH534=0,"",SUM($AH$4:$AH534))</f>
        <v/>
      </c>
      <c r="AF534" s="39" t="str">
        <f aca="false">IF($AI534=0,"",SUM($AI$4:$AI534))</f>
        <v/>
      </c>
      <c r="AG534" s="50" t="str">
        <f aca="false">IF($F534="","",$I534&amp;IF($J534="",""," · "&amp;$J534)&amp;IF($K534="",""," · "&amp;$K534))</f>
        <v/>
      </c>
      <c r="AH534" s="39" t="n">
        <f aca="false">IF(AND($F534&lt;&gt;"",$O534&lt;&gt;"",$O534&lt;=Hoje!$C$3,$P534&gt;=Hoje!$C$3,$R534&lt;&gt;"Cancelada"),1,0)</f>
        <v>0</v>
      </c>
      <c r="AI534" s="39" t="n">
        <f aca="false">IF(AND($F534&lt;&gt;"",$P534&lt;&gt;"",$P534&lt;Hoje!$C$3,$AB534=0,$R534&lt;&gt;"Cancelada"),1,0)</f>
        <v>0</v>
      </c>
      <c r="AJ534" s="50" t="str">
        <f aca="false">IF($F534="","",$D534&amp;"|"&amp;$E534&amp;"|"&amp;$L534)</f>
        <v/>
      </c>
      <c r="AK534" s="39" t="str">
        <f aca="false">IF($AJ534="","",COUNTIF($AJ$4:$AJ534,$AJ534))</f>
        <v/>
      </c>
      <c r="AL534" s="39" t="str">
        <f aca="false">IF($AJ534="","",COUNTIF($AJ$4:$AJ$1004,$AJ534))</f>
        <v/>
      </c>
      <c r="AM534" s="42"/>
      <c r="AN534" s="50" t="str">
        <f aca="false">IF($D534="","",IFERROR(T(VLOOKUP($D534,Listas!$B$5:$H$120,7,0)),""))</f>
        <v/>
      </c>
      <c r="AO534" s="50" t="str">
        <f aca="false">IF(OR($F534="",$L534&lt;&gt;"",$R534="Cancelada",$AT534&lt;&gt;""),"",$AN534&amp;"|"&amp;$D534&amp;"|"&amp;IF($C534="","zzz",$C534)&amp;"|"&amp;TEXT(534,"0000"))</f>
        <v/>
      </c>
      <c r="AP534" s="50" t="str">
        <f aca="false">IF($AO534="","",COUNTIF($AO$5:$AO$1004,"&lt;"&amp;$AO534)-(ROWS($AO$5:$AO$1004)-Hoje!$L$5)+1)</f>
        <v/>
      </c>
      <c r="AQ534" s="50" t="n">
        <f aca="false">IF(AND($F534&lt;&gt;"",$D534=Frota!$C$3),1,0)</f>
        <v>0</v>
      </c>
      <c r="AR534" s="50" t="str">
        <f aca="false">IF($AQ534=0,"",SUM($AQ$4:$AQ534))</f>
        <v/>
      </c>
      <c r="AS534" s="50" t="str">
        <f aca="false">IFERROR(INDEX(Hoje!$K$10:$K$29,MATCH(ROW(),Hoje!$J$10:$J$29,0)),"")</f>
        <v/>
      </c>
      <c r="AT534" s="50" t="str">
        <f aca="false">IF($Q534&lt;&gt;"",$Q534,$AS534)</f>
        <v/>
      </c>
    </row>
    <row r="535" customFormat="false" ht="16.5" hidden="false" customHeight="true" outlineLevel="0" collapsed="false">
      <c r="A535" s="39" t="str">
        <f aca="false">IF($F535="","",ROW())</f>
        <v/>
      </c>
      <c r="B535" s="40" t="str">
        <f aca="false">IF($F535="",IF($D535="","","Falta a atividade"),IF($R535="Cancelada","Cancelada",IF($AB535=1,IF(N($Z535)&gt;0,"Concluída com atraso","Concluída"),IF($R535="Em programação","Em programação",IF($O535="",IF($M535="","Na carteira","Falta a semana"),IF($AC535=1,"VENCIDA",IF($O535&gt;Hoje!$L$1,"Programada",IF($P535&gt;Hoje!$L$1,"Em execução","Fecha hoje"))))))))</f>
        <v/>
      </c>
      <c r="C535" s="41"/>
      <c r="D535" s="42"/>
      <c r="E535" s="42"/>
      <c r="F535" s="42"/>
      <c r="G535" s="43"/>
      <c r="H535" s="43"/>
      <c r="I535" s="44"/>
      <c r="J535" s="44"/>
      <c r="K535" s="44"/>
      <c r="L535" s="45"/>
      <c r="M535" s="46"/>
      <c r="N535" s="45"/>
      <c r="O535" s="47" t="str">
        <f aca="false">IF(OR($L535="",$M535=""),"",(DATE(Semana!$J$3,1,4)-WEEKDAY(DATE(Semana!$J$3,1,4),3))+($L535-1)*7+MATCH($M535,Listas!$F$5:$F$11,0)-1)</f>
        <v/>
      </c>
      <c r="P535" s="47" t="str">
        <f aca="false">IF(OR($F535="",$O535=""),"",$O535+MAX(0,ROUNDUP($AK535*MAX(1,IF($N535="",1,$N535))/MAX(1,$AL535),0)-1))</f>
        <v/>
      </c>
      <c r="Q535" s="48"/>
      <c r="R535" s="43"/>
      <c r="S535" s="49"/>
      <c r="T535" s="42"/>
      <c r="U535" s="42"/>
      <c r="V535" s="39" t="str">
        <f aca="false">IF($F535="","",IF(ISNUMBER(SEARCH("(externo)",$I535&amp;$J535&amp;$K535)),"Terceirizada","Interna"))</f>
        <v/>
      </c>
      <c r="W535" s="47" t="str">
        <f aca="false">IF($O535="","",IF($S535="",$O535,(DATE(Semana!$J$3,1,4)-WEEKDAY(DATE(Semana!$J$3,1,4),3))+($S535-1)*7+IF($M535="",0,MATCH($M535,Listas!$F$5:$F$11,0)-1)))</f>
        <v/>
      </c>
      <c r="X535" s="39" t="str">
        <f aca="false">IF($F535="","",IF(OR($AT535="",$O535=""),0,IF($AT535&lt;=$O535,1,0)))</f>
        <v/>
      </c>
      <c r="Y535" s="39" t="str">
        <f aca="false">IF($F535="","",IF(OR($AT535="",$W535=""),0,IF($AT535&lt;=$W535,1,0)))</f>
        <v/>
      </c>
      <c r="Z535" s="39" t="str">
        <f aca="false">IF(OR($AT535="",$O535=""),"",MAX(0,$AT535-$O535))</f>
        <v/>
      </c>
      <c r="AA535" s="39" t="str">
        <f aca="false">IF($F535="","",IF(AND($S535&lt;&gt;"",$L535&lt;&gt;"",$S535&lt;&gt;$L535),1,0))</f>
        <v/>
      </c>
      <c r="AB535" s="39" t="str">
        <f aca="false">IF($F535="","",IF($R535="Cancelada",0,IF(OR($AT535&lt;&gt;"",$R535="Concluída"),1,0)))</f>
        <v/>
      </c>
      <c r="AC535" s="39" t="n">
        <f aca="false">IF($P535="",0,IF($P535&lt;Hoje!$L$1,1,IF(AND($P535=Hoje!$L$1,Hoje!$L$2&gt;Semana!$M$3),1,0)))</f>
        <v>0</v>
      </c>
      <c r="AD535" s="39" t="str">
        <f aca="false">IF($F535="","",IF(COUNTA($I535:$K535)=0,0,1/COUNTA($I535:$K535)))</f>
        <v/>
      </c>
      <c r="AE535" s="39" t="str">
        <f aca="false">IF($AH535=0,"",SUM($AH$4:$AH535))</f>
        <v/>
      </c>
      <c r="AF535" s="39" t="str">
        <f aca="false">IF($AI535=0,"",SUM($AI$4:$AI535))</f>
        <v/>
      </c>
      <c r="AG535" s="50" t="str">
        <f aca="false">IF($F535="","",$I535&amp;IF($J535="",""," · "&amp;$J535)&amp;IF($K535="",""," · "&amp;$K535))</f>
        <v/>
      </c>
      <c r="AH535" s="39" t="n">
        <f aca="false">IF(AND($F535&lt;&gt;"",$O535&lt;&gt;"",$O535&lt;=Hoje!$C$3,$P535&gt;=Hoje!$C$3,$R535&lt;&gt;"Cancelada"),1,0)</f>
        <v>0</v>
      </c>
      <c r="AI535" s="39" t="n">
        <f aca="false">IF(AND($F535&lt;&gt;"",$P535&lt;&gt;"",$P535&lt;Hoje!$C$3,$AB535=0,$R535&lt;&gt;"Cancelada"),1,0)</f>
        <v>0</v>
      </c>
      <c r="AJ535" s="50" t="str">
        <f aca="false">IF($F535="","",$D535&amp;"|"&amp;$E535&amp;"|"&amp;$L535)</f>
        <v/>
      </c>
      <c r="AK535" s="39" t="str">
        <f aca="false">IF($AJ535="","",COUNTIF($AJ$4:$AJ535,$AJ535))</f>
        <v/>
      </c>
      <c r="AL535" s="39" t="str">
        <f aca="false">IF($AJ535="","",COUNTIF($AJ$4:$AJ$1004,$AJ535))</f>
        <v/>
      </c>
      <c r="AM535" s="42"/>
      <c r="AN535" s="50" t="str">
        <f aca="false">IF($D535="","",IFERROR(T(VLOOKUP($D535,Listas!$B$5:$H$120,7,0)),""))</f>
        <v/>
      </c>
      <c r="AO535" s="50" t="str">
        <f aca="false">IF(OR($F535="",$L535&lt;&gt;"",$R535="Cancelada",$AT535&lt;&gt;""),"",$AN535&amp;"|"&amp;$D535&amp;"|"&amp;IF($C535="","zzz",$C535)&amp;"|"&amp;TEXT(535,"0000"))</f>
        <v/>
      </c>
      <c r="AP535" s="50" t="str">
        <f aca="false">IF($AO535="","",COUNTIF($AO$5:$AO$1004,"&lt;"&amp;$AO535)-(ROWS($AO$5:$AO$1004)-Hoje!$L$5)+1)</f>
        <v/>
      </c>
      <c r="AQ535" s="50" t="n">
        <f aca="false">IF(AND($F535&lt;&gt;"",$D535=Frota!$C$3),1,0)</f>
        <v>0</v>
      </c>
      <c r="AR535" s="50" t="str">
        <f aca="false">IF($AQ535=0,"",SUM($AQ$4:$AQ535))</f>
        <v/>
      </c>
      <c r="AS535" s="50" t="str">
        <f aca="false">IFERROR(INDEX(Hoje!$K$10:$K$29,MATCH(ROW(),Hoje!$J$10:$J$29,0)),"")</f>
        <v/>
      </c>
      <c r="AT535" s="50" t="str">
        <f aca="false">IF($Q535&lt;&gt;"",$Q535,$AS535)</f>
        <v/>
      </c>
    </row>
    <row r="536" customFormat="false" ht="16.5" hidden="false" customHeight="true" outlineLevel="0" collapsed="false">
      <c r="A536" s="39" t="str">
        <f aca="false">IF($F536="","",ROW())</f>
        <v/>
      </c>
      <c r="B536" s="40" t="str">
        <f aca="false">IF($F536="",IF($D536="","","Falta a atividade"),IF($R536="Cancelada","Cancelada",IF($AB536=1,IF(N($Z536)&gt;0,"Concluída com atraso","Concluída"),IF($R536="Em programação","Em programação",IF($O536="",IF($M536="","Na carteira","Falta a semana"),IF($AC536=1,"VENCIDA",IF($O536&gt;Hoje!$L$1,"Programada",IF($P536&gt;Hoje!$L$1,"Em execução","Fecha hoje"))))))))</f>
        <v/>
      </c>
      <c r="C536" s="41"/>
      <c r="D536" s="42"/>
      <c r="E536" s="42"/>
      <c r="F536" s="42"/>
      <c r="G536" s="43"/>
      <c r="H536" s="43"/>
      <c r="I536" s="44"/>
      <c r="J536" s="44"/>
      <c r="K536" s="44"/>
      <c r="L536" s="45"/>
      <c r="M536" s="46"/>
      <c r="N536" s="45"/>
      <c r="O536" s="47" t="str">
        <f aca="false">IF(OR($L536="",$M536=""),"",(DATE(Semana!$J$3,1,4)-WEEKDAY(DATE(Semana!$J$3,1,4),3))+($L536-1)*7+MATCH($M536,Listas!$F$5:$F$11,0)-1)</f>
        <v/>
      </c>
      <c r="P536" s="47" t="str">
        <f aca="false">IF(OR($F536="",$O536=""),"",$O536+MAX(0,ROUNDUP($AK536*MAX(1,IF($N536="",1,$N536))/MAX(1,$AL536),0)-1))</f>
        <v/>
      </c>
      <c r="Q536" s="48"/>
      <c r="R536" s="43"/>
      <c r="S536" s="49"/>
      <c r="T536" s="42"/>
      <c r="U536" s="42"/>
      <c r="V536" s="39" t="str">
        <f aca="false">IF($F536="","",IF(ISNUMBER(SEARCH("(externo)",$I536&amp;$J536&amp;$K536)),"Terceirizada","Interna"))</f>
        <v/>
      </c>
      <c r="W536" s="47" t="str">
        <f aca="false">IF($O536="","",IF($S536="",$O536,(DATE(Semana!$J$3,1,4)-WEEKDAY(DATE(Semana!$J$3,1,4),3))+($S536-1)*7+IF($M536="",0,MATCH($M536,Listas!$F$5:$F$11,0)-1)))</f>
        <v/>
      </c>
      <c r="X536" s="39" t="str">
        <f aca="false">IF($F536="","",IF(OR($AT536="",$O536=""),0,IF($AT536&lt;=$O536,1,0)))</f>
        <v/>
      </c>
      <c r="Y536" s="39" t="str">
        <f aca="false">IF($F536="","",IF(OR($AT536="",$W536=""),0,IF($AT536&lt;=$W536,1,0)))</f>
        <v/>
      </c>
      <c r="Z536" s="39" t="str">
        <f aca="false">IF(OR($AT536="",$O536=""),"",MAX(0,$AT536-$O536))</f>
        <v/>
      </c>
      <c r="AA536" s="39" t="str">
        <f aca="false">IF($F536="","",IF(AND($S536&lt;&gt;"",$L536&lt;&gt;"",$S536&lt;&gt;$L536),1,0))</f>
        <v/>
      </c>
      <c r="AB536" s="39" t="str">
        <f aca="false">IF($F536="","",IF($R536="Cancelada",0,IF(OR($AT536&lt;&gt;"",$R536="Concluída"),1,0)))</f>
        <v/>
      </c>
      <c r="AC536" s="39" t="n">
        <f aca="false">IF($P536="",0,IF($P536&lt;Hoje!$L$1,1,IF(AND($P536=Hoje!$L$1,Hoje!$L$2&gt;Semana!$M$3),1,0)))</f>
        <v>0</v>
      </c>
      <c r="AD536" s="39" t="str">
        <f aca="false">IF($F536="","",IF(COUNTA($I536:$K536)=0,0,1/COUNTA($I536:$K536)))</f>
        <v/>
      </c>
      <c r="AE536" s="39" t="str">
        <f aca="false">IF($AH536=0,"",SUM($AH$4:$AH536))</f>
        <v/>
      </c>
      <c r="AF536" s="39" t="str">
        <f aca="false">IF($AI536=0,"",SUM($AI$4:$AI536))</f>
        <v/>
      </c>
      <c r="AG536" s="50" t="str">
        <f aca="false">IF($F536="","",$I536&amp;IF($J536="",""," · "&amp;$J536)&amp;IF($K536="",""," · "&amp;$K536))</f>
        <v/>
      </c>
      <c r="AH536" s="39" t="n">
        <f aca="false">IF(AND($F536&lt;&gt;"",$O536&lt;&gt;"",$O536&lt;=Hoje!$C$3,$P536&gt;=Hoje!$C$3,$R536&lt;&gt;"Cancelada"),1,0)</f>
        <v>0</v>
      </c>
      <c r="AI536" s="39" t="n">
        <f aca="false">IF(AND($F536&lt;&gt;"",$P536&lt;&gt;"",$P536&lt;Hoje!$C$3,$AB536=0,$R536&lt;&gt;"Cancelada"),1,0)</f>
        <v>0</v>
      </c>
      <c r="AJ536" s="50" t="str">
        <f aca="false">IF($F536="","",$D536&amp;"|"&amp;$E536&amp;"|"&amp;$L536)</f>
        <v/>
      </c>
      <c r="AK536" s="39" t="str">
        <f aca="false">IF($AJ536="","",COUNTIF($AJ$4:$AJ536,$AJ536))</f>
        <v/>
      </c>
      <c r="AL536" s="39" t="str">
        <f aca="false">IF($AJ536="","",COUNTIF($AJ$4:$AJ$1004,$AJ536))</f>
        <v/>
      </c>
      <c r="AM536" s="42"/>
      <c r="AN536" s="50" t="str">
        <f aca="false">IF($D536="","",IFERROR(T(VLOOKUP($D536,Listas!$B$5:$H$120,7,0)),""))</f>
        <v/>
      </c>
      <c r="AO536" s="50" t="str">
        <f aca="false">IF(OR($F536="",$L536&lt;&gt;"",$R536="Cancelada",$AT536&lt;&gt;""),"",$AN536&amp;"|"&amp;$D536&amp;"|"&amp;IF($C536="","zzz",$C536)&amp;"|"&amp;TEXT(536,"0000"))</f>
        <v/>
      </c>
      <c r="AP536" s="50" t="str">
        <f aca="false">IF($AO536="","",COUNTIF($AO$5:$AO$1004,"&lt;"&amp;$AO536)-(ROWS($AO$5:$AO$1004)-Hoje!$L$5)+1)</f>
        <v/>
      </c>
      <c r="AQ536" s="50" t="n">
        <f aca="false">IF(AND($F536&lt;&gt;"",$D536=Frota!$C$3),1,0)</f>
        <v>0</v>
      </c>
      <c r="AR536" s="50" t="str">
        <f aca="false">IF($AQ536=0,"",SUM($AQ$4:$AQ536))</f>
        <v/>
      </c>
      <c r="AS536" s="50" t="str">
        <f aca="false">IFERROR(INDEX(Hoje!$K$10:$K$29,MATCH(ROW(),Hoje!$J$10:$J$29,0)),"")</f>
        <v/>
      </c>
      <c r="AT536" s="50" t="str">
        <f aca="false">IF($Q536&lt;&gt;"",$Q536,$AS536)</f>
        <v/>
      </c>
    </row>
    <row r="537" customFormat="false" ht="16.5" hidden="false" customHeight="true" outlineLevel="0" collapsed="false">
      <c r="A537" s="39" t="str">
        <f aca="false">IF($F537="","",ROW())</f>
        <v/>
      </c>
      <c r="B537" s="40" t="str">
        <f aca="false">IF($F537="",IF($D537="","","Falta a atividade"),IF($R537="Cancelada","Cancelada",IF($AB537=1,IF(N($Z537)&gt;0,"Concluída com atraso","Concluída"),IF($R537="Em programação","Em programação",IF($O537="",IF($M537="","Na carteira","Falta a semana"),IF($AC537=1,"VENCIDA",IF($O537&gt;Hoje!$L$1,"Programada",IF($P537&gt;Hoje!$L$1,"Em execução","Fecha hoje"))))))))</f>
        <v/>
      </c>
      <c r="C537" s="41"/>
      <c r="D537" s="42"/>
      <c r="E537" s="42"/>
      <c r="F537" s="42"/>
      <c r="G537" s="43"/>
      <c r="H537" s="43"/>
      <c r="I537" s="44"/>
      <c r="J537" s="44"/>
      <c r="K537" s="44"/>
      <c r="L537" s="45"/>
      <c r="M537" s="46"/>
      <c r="N537" s="45"/>
      <c r="O537" s="47" t="str">
        <f aca="false">IF(OR($L537="",$M537=""),"",(DATE(Semana!$J$3,1,4)-WEEKDAY(DATE(Semana!$J$3,1,4),3))+($L537-1)*7+MATCH($M537,Listas!$F$5:$F$11,0)-1)</f>
        <v/>
      </c>
      <c r="P537" s="47" t="str">
        <f aca="false">IF(OR($F537="",$O537=""),"",$O537+MAX(0,ROUNDUP($AK537*MAX(1,IF($N537="",1,$N537))/MAX(1,$AL537),0)-1))</f>
        <v/>
      </c>
      <c r="Q537" s="48"/>
      <c r="R537" s="43"/>
      <c r="S537" s="49"/>
      <c r="T537" s="42"/>
      <c r="U537" s="42"/>
      <c r="V537" s="39" t="str">
        <f aca="false">IF($F537="","",IF(ISNUMBER(SEARCH("(externo)",$I537&amp;$J537&amp;$K537)),"Terceirizada","Interna"))</f>
        <v/>
      </c>
      <c r="W537" s="47" t="str">
        <f aca="false">IF($O537="","",IF($S537="",$O537,(DATE(Semana!$J$3,1,4)-WEEKDAY(DATE(Semana!$J$3,1,4),3))+($S537-1)*7+IF($M537="",0,MATCH($M537,Listas!$F$5:$F$11,0)-1)))</f>
        <v/>
      </c>
      <c r="X537" s="39" t="str">
        <f aca="false">IF($F537="","",IF(OR($AT537="",$O537=""),0,IF($AT537&lt;=$O537,1,0)))</f>
        <v/>
      </c>
      <c r="Y537" s="39" t="str">
        <f aca="false">IF($F537="","",IF(OR($AT537="",$W537=""),0,IF($AT537&lt;=$W537,1,0)))</f>
        <v/>
      </c>
      <c r="Z537" s="39" t="str">
        <f aca="false">IF(OR($AT537="",$O537=""),"",MAX(0,$AT537-$O537))</f>
        <v/>
      </c>
      <c r="AA537" s="39" t="str">
        <f aca="false">IF($F537="","",IF(AND($S537&lt;&gt;"",$L537&lt;&gt;"",$S537&lt;&gt;$L537),1,0))</f>
        <v/>
      </c>
      <c r="AB537" s="39" t="str">
        <f aca="false">IF($F537="","",IF($R537="Cancelada",0,IF(OR($AT537&lt;&gt;"",$R537="Concluída"),1,0)))</f>
        <v/>
      </c>
      <c r="AC537" s="39" t="n">
        <f aca="false">IF($P537="",0,IF($P537&lt;Hoje!$L$1,1,IF(AND($P537=Hoje!$L$1,Hoje!$L$2&gt;Semana!$M$3),1,0)))</f>
        <v>0</v>
      </c>
      <c r="AD537" s="39" t="str">
        <f aca="false">IF($F537="","",IF(COUNTA($I537:$K537)=0,0,1/COUNTA($I537:$K537)))</f>
        <v/>
      </c>
      <c r="AE537" s="39" t="str">
        <f aca="false">IF($AH537=0,"",SUM($AH$4:$AH537))</f>
        <v/>
      </c>
      <c r="AF537" s="39" t="str">
        <f aca="false">IF($AI537=0,"",SUM($AI$4:$AI537))</f>
        <v/>
      </c>
      <c r="AG537" s="50" t="str">
        <f aca="false">IF($F537="","",$I537&amp;IF($J537="",""," · "&amp;$J537)&amp;IF($K537="",""," · "&amp;$K537))</f>
        <v/>
      </c>
      <c r="AH537" s="39" t="n">
        <f aca="false">IF(AND($F537&lt;&gt;"",$O537&lt;&gt;"",$O537&lt;=Hoje!$C$3,$P537&gt;=Hoje!$C$3,$R537&lt;&gt;"Cancelada"),1,0)</f>
        <v>0</v>
      </c>
      <c r="AI537" s="39" t="n">
        <f aca="false">IF(AND($F537&lt;&gt;"",$P537&lt;&gt;"",$P537&lt;Hoje!$C$3,$AB537=0,$R537&lt;&gt;"Cancelada"),1,0)</f>
        <v>0</v>
      </c>
      <c r="AJ537" s="50" t="str">
        <f aca="false">IF($F537="","",$D537&amp;"|"&amp;$E537&amp;"|"&amp;$L537)</f>
        <v/>
      </c>
      <c r="AK537" s="39" t="str">
        <f aca="false">IF($AJ537="","",COUNTIF($AJ$4:$AJ537,$AJ537))</f>
        <v/>
      </c>
      <c r="AL537" s="39" t="str">
        <f aca="false">IF($AJ537="","",COUNTIF($AJ$4:$AJ$1004,$AJ537))</f>
        <v/>
      </c>
      <c r="AM537" s="42"/>
      <c r="AN537" s="50" t="str">
        <f aca="false">IF($D537="","",IFERROR(T(VLOOKUP($D537,Listas!$B$5:$H$120,7,0)),""))</f>
        <v/>
      </c>
      <c r="AO537" s="50" t="str">
        <f aca="false">IF(OR($F537="",$L537&lt;&gt;"",$R537="Cancelada",$AT537&lt;&gt;""),"",$AN537&amp;"|"&amp;$D537&amp;"|"&amp;IF($C537="","zzz",$C537)&amp;"|"&amp;TEXT(537,"0000"))</f>
        <v/>
      </c>
      <c r="AP537" s="50" t="str">
        <f aca="false">IF($AO537="","",COUNTIF($AO$5:$AO$1004,"&lt;"&amp;$AO537)-(ROWS($AO$5:$AO$1004)-Hoje!$L$5)+1)</f>
        <v/>
      </c>
      <c r="AQ537" s="50" t="n">
        <f aca="false">IF(AND($F537&lt;&gt;"",$D537=Frota!$C$3),1,0)</f>
        <v>0</v>
      </c>
      <c r="AR537" s="50" t="str">
        <f aca="false">IF($AQ537=0,"",SUM($AQ$4:$AQ537))</f>
        <v/>
      </c>
      <c r="AS537" s="50" t="str">
        <f aca="false">IFERROR(INDEX(Hoje!$K$10:$K$29,MATCH(ROW(),Hoje!$J$10:$J$29,0)),"")</f>
        <v/>
      </c>
      <c r="AT537" s="50" t="str">
        <f aca="false">IF($Q537&lt;&gt;"",$Q537,$AS537)</f>
        <v/>
      </c>
    </row>
    <row r="538" customFormat="false" ht="16.5" hidden="false" customHeight="true" outlineLevel="0" collapsed="false">
      <c r="A538" s="39" t="str">
        <f aca="false">IF($F538="","",ROW())</f>
        <v/>
      </c>
      <c r="B538" s="40" t="str">
        <f aca="false">IF($F538="",IF($D538="","","Falta a atividade"),IF($R538="Cancelada","Cancelada",IF($AB538=1,IF(N($Z538)&gt;0,"Concluída com atraso","Concluída"),IF($R538="Em programação","Em programação",IF($O538="",IF($M538="","Na carteira","Falta a semana"),IF($AC538=1,"VENCIDA",IF($O538&gt;Hoje!$L$1,"Programada",IF($P538&gt;Hoje!$L$1,"Em execução","Fecha hoje"))))))))</f>
        <v/>
      </c>
      <c r="C538" s="41"/>
      <c r="D538" s="42"/>
      <c r="E538" s="42"/>
      <c r="F538" s="42"/>
      <c r="G538" s="43"/>
      <c r="H538" s="43"/>
      <c r="I538" s="44"/>
      <c r="J538" s="44"/>
      <c r="K538" s="44"/>
      <c r="L538" s="45"/>
      <c r="M538" s="46"/>
      <c r="N538" s="45"/>
      <c r="O538" s="47" t="str">
        <f aca="false">IF(OR($L538="",$M538=""),"",(DATE(Semana!$J$3,1,4)-WEEKDAY(DATE(Semana!$J$3,1,4),3))+($L538-1)*7+MATCH($M538,Listas!$F$5:$F$11,0)-1)</f>
        <v/>
      </c>
      <c r="P538" s="47" t="str">
        <f aca="false">IF(OR($F538="",$O538=""),"",$O538+MAX(0,ROUNDUP($AK538*MAX(1,IF($N538="",1,$N538))/MAX(1,$AL538),0)-1))</f>
        <v/>
      </c>
      <c r="Q538" s="48"/>
      <c r="R538" s="43"/>
      <c r="S538" s="49"/>
      <c r="T538" s="42"/>
      <c r="U538" s="42"/>
      <c r="V538" s="39" t="str">
        <f aca="false">IF($F538="","",IF(ISNUMBER(SEARCH("(externo)",$I538&amp;$J538&amp;$K538)),"Terceirizada","Interna"))</f>
        <v/>
      </c>
      <c r="W538" s="47" t="str">
        <f aca="false">IF($O538="","",IF($S538="",$O538,(DATE(Semana!$J$3,1,4)-WEEKDAY(DATE(Semana!$J$3,1,4),3))+($S538-1)*7+IF($M538="",0,MATCH($M538,Listas!$F$5:$F$11,0)-1)))</f>
        <v/>
      </c>
      <c r="X538" s="39" t="str">
        <f aca="false">IF($F538="","",IF(OR($AT538="",$O538=""),0,IF($AT538&lt;=$O538,1,0)))</f>
        <v/>
      </c>
      <c r="Y538" s="39" t="str">
        <f aca="false">IF($F538="","",IF(OR($AT538="",$W538=""),0,IF($AT538&lt;=$W538,1,0)))</f>
        <v/>
      </c>
      <c r="Z538" s="39" t="str">
        <f aca="false">IF(OR($AT538="",$O538=""),"",MAX(0,$AT538-$O538))</f>
        <v/>
      </c>
      <c r="AA538" s="39" t="str">
        <f aca="false">IF($F538="","",IF(AND($S538&lt;&gt;"",$L538&lt;&gt;"",$S538&lt;&gt;$L538),1,0))</f>
        <v/>
      </c>
      <c r="AB538" s="39" t="str">
        <f aca="false">IF($F538="","",IF($R538="Cancelada",0,IF(OR($AT538&lt;&gt;"",$R538="Concluída"),1,0)))</f>
        <v/>
      </c>
      <c r="AC538" s="39" t="n">
        <f aca="false">IF($P538="",0,IF($P538&lt;Hoje!$L$1,1,IF(AND($P538=Hoje!$L$1,Hoje!$L$2&gt;Semana!$M$3),1,0)))</f>
        <v>0</v>
      </c>
      <c r="AD538" s="39" t="str">
        <f aca="false">IF($F538="","",IF(COUNTA($I538:$K538)=0,0,1/COUNTA($I538:$K538)))</f>
        <v/>
      </c>
      <c r="AE538" s="39" t="str">
        <f aca="false">IF($AH538=0,"",SUM($AH$4:$AH538))</f>
        <v/>
      </c>
      <c r="AF538" s="39" t="str">
        <f aca="false">IF($AI538=0,"",SUM($AI$4:$AI538))</f>
        <v/>
      </c>
      <c r="AG538" s="50" t="str">
        <f aca="false">IF($F538="","",$I538&amp;IF($J538="",""," · "&amp;$J538)&amp;IF($K538="",""," · "&amp;$K538))</f>
        <v/>
      </c>
      <c r="AH538" s="39" t="n">
        <f aca="false">IF(AND($F538&lt;&gt;"",$O538&lt;&gt;"",$O538&lt;=Hoje!$C$3,$P538&gt;=Hoje!$C$3,$R538&lt;&gt;"Cancelada"),1,0)</f>
        <v>0</v>
      </c>
      <c r="AI538" s="39" t="n">
        <f aca="false">IF(AND($F538&lt;&gt;"",$P538&lt;&gt;"",$P538&lt;Hoje!$C$3,$AB538=0,$R538&lt;&gt;"Cancelada"),1,0)</f>
        <v>0</v>
      </c>
      <c r="AJ538" s="50" t="str">
        <f aca="false">IF($F538="","",$D538&amp;"|"&amp;$E538&amp;"|"&amp;$L538)</f>
        <v/>
      </c>
      <c r="AK538" s="39" t="str">
        <f aca="false">IF($AJ538="","",COUNTIF($AJ$4:$AJ538,$AJ538))</f>
        <v/>
      </c>
      <c r="AL538" s="39" t="str">
        <f aca="false">IF($AJ538="","",COUNTIF($AJ$4:$AJ$1004,$AJ538))</f>
        <v/>
      </c>
      <c r="AM538" s="42"/>
      <c r="AN538" s="50" t="str">
        <f aca="false">IF($D538="","",IFERROR(T(VLOOKUP($D538,Listas!$B$5:$H$120,7,0)),""))</f>
        <v/>
      </c>
      <c r="AO538" s="50" t="str">
        <f aca="false">IF(OR($F538="",$L538&lt;&gt;"",$R538="Cancelada",$AT538&lt;&gt;""),"",$AN538&amp;"|"&amp;$D538&amp;"|"&amp;IF($C538="","zzz",$C538)&amp;"|"&amp;TEXT(538,"0000"))</f>
        <v/>
      </c>
      <c r="AP538" s="50" t="str">
        <f aca="false">IF($AO538="","",COUNTIF($AO$5:$AO$1004,"&lt;"&amp;$AO538)-(ROWS($AO$5:$AO$1004)-Hoje!$L$5)+1)</f>
        <v/>
      </c>
      <c r="AQ538" s="50" t="n">
        <f aca="false">IF(AND($F538&lt;&gt;"",$D538=Frota!$C$3),1,0)</f>
        <v>0</v>
      </c>
      <c r="AR538" s="50" t="str">
        <f aca="false">IF($AQ538=0,"",SUM($AQ$4:$AQ538))</f>
        <v/>
      </c>
      <c r="AS538" s="50" t="str">
        <f aca="false">IFERROR(INDEX(Hoje!$K$10:$K$29,MATCH(ROW(),Hoje!$J$10:$J$29,0)),"")</f>
        <v/>
      </c>
      <c r="AT538" s="50" t="str">
        <f aca="false">IF($Q538&lt;&gt;"",$Q538,$AS538)</f>
        <v/>
      </c>
    </row>
    <row r="539" customFormat="false" ht="16.5" hidden="false" customHeight="true" outlineLevel="0" collapsed="false">
      <c r="A539" s="39" t="str">
        <f aca="false">IF($F539="","",ROW())</f>
        <v/>
      </c>
      <c r="B539" s="40" t="str">
        <f aca="false">IF($F539="",IF($D539="","","Falta a atividade"),IF($R539="Cancelada","Cancelada",IF($AB539=1,IF(N($Z539)&gt;0,"Concluída com atraso","Concluída"),IF($R539="Em programação","Em programação",IF($O539="",IF($M539="","Na carteira","Falta a semana"),IF($AC539=1,"VENCIDA",IF($O539&gt;Hoje!$L$1,"Programada",IF($P539&gt;Hoje!$L$1,"Em execução","Fecha hoje"))))))))</f>
        <v/>
      </c>
      <c r="C539" s="41"/>
      <c r="D539" s="42"/>
      <c r="E539" s="42"/>
      <c r="F539" s="42"/>
      <c r="G539" s="43"/>
      <c r="H539" s="43"/>
      <c r="I539" s="44"/>
      <c r="J539" s="44"/>
      <c r="K539" s="44"/>
      <c r="L539" s="45"/>
      <c r="M539" s="46"/>
      <c r="N539" s="45"/>
      <c r="O539" s="47" t="str">
        <f aca="false">IF(OR($L539="",$M539=""),"",(DATE(Semana!$J$3,1,4)-WEEKDAY(DATE(Semana!$J$3,1,4),3))+($L539-1)*7+MATCH($M539,Listas!$F$5:$F$11,0)-1)</f>
        <v/>
      </c>
      <c r="P539" s="47" t="str">
        <f aca="false">IF(OR($F539="",$O539=""),"",$O539+MAX(0,ROUNDUP($AK539*MAX(1,IF($N539="",1,$N539))/MAX(1,$AL539),0)-1))</f>
        <v/>
      </c>
      <c r="Q539" s="48"/>
      <c r="R539" s="43"/>
      <c r="S539" s="49"/>
      <c r="T539" s="42"/>
      <c r="U539" s="42"/>
      <c r="V539" s="39" t="str">
        <f aca="false">IF($F539="","",IF(ISNUMBER(SEARCH("(externo)",$I539&amp;$J539&amp;$K539)),"Terceirizada","Interna"))</f>
        <v/>
      </c>
      <c r="W539" s="47" t="str">
        <f aca="false">IF($O539="","",IF($S539="",$O539,(DATE(Semana!$J$3,1,4)-WEEKDAY(DATE(Semana!$J$3,1,4),3))+($S539-1)*7+IF($M539="",0,MATCH($M539,Listas!$F$5:$F$11,0)-1)))</f>
        <v/>
      </c>
      <c r="X539" s="39" t="str">
        <f aca="false">IF($F539="","",IF(OR($AT539="",$O539=""),0,IF($AT539&lt;=$O539,1,0)))</f>
        <v/>
      </c>
      <c r="Y539" s="39" t="str">
        <f aca="false">IF($F539="","",IF(OR($AT539="",$W539=""),0,IF($AT539&lt;=$W539,1,0)))</f>
        <v/>
      </c>
      <c r="Z539" s="39" t="str">
        <f aca="false">IF(OR($AT539="",$O539=""),"",MAX(0,$AT539-$O539))</f>
        <v/>
      </c>
      <c r="AA539" s="39" t="str">
        <f aca="false">IF($F539="","",IF(AND($S539&lt;&gt;"",$L539&lt;&gt;"",$S539&lt;&gt;$L539),1,0))</f>
        <v/>
      </c>
      <c r="AB539" s="39" t="str">
        <f aca="false">IF($F539="","",IF($R539="Cancelada",0,IF(OR($AT539&lt;&gt;"",$R539="Concluída"),1,0)))</f>
        <v/>
      </c>
      <c r="AC539" s="39" t="n">
        <f aca="false">IF($P539="",0,IF($P539&lt;Hoje!$L$1,1,IF(AND($P539=Hoje!$L$1,Hoje!$L$2&gt;Semana!$M$3),1,0)))</f>
        <v>0</v>
      </c>
      <c r="AD539" s="39" t="str">
        <f aca="false">IF($F539="","",IF(COUNTA($I539:$K539)=0,0,1/COUNTA($I539:$K539)))</f>
        <v/>
      </c>
      <c r="AE539" s="39" t="str">
        <f aca="false">IF($AH539=0,"",SUM($AH$4:$AH539))</f>
        <v/>
      </c>
      <c r="AF539" s="39" t="str">
        <f aca="false">IF($AI539=0,"",SUM($AI$4:$AI539))</f>
        <v/>
      </c>
      <c r="AG539" s="50" t="str">
        <f aca="false">IF($F539="","",$I539&amp;IF($J539="",""," · "&amp;$J539)&amp;IF($K539="",""," · "&amp;$K539))</f>
        <v/>
      </c>
      <c r="AH539" s="39" t="n">
        <f aca="false">IF(AND($F539&lt;&gt;"",$O539&lt;&gt;"",$O539&lt;=Hoje!$C$3,$P539&gt;=Hoje!$C$3,$R539&lt;&gt;"Cancelada"),1,0)</f>
        <v>0</v>
      </c>
      <c r="AI539" s="39" t="n">
        <f aca="false">IF(AND($F539&lt;&gt;"",$P539&lt;&gt;"",$P539&lt;Hoje!$C$3,$AB539=0,$R539&lt;&gt;"Cancelada"),1,0)</f>
        <v>0</v>
      </c>
      <c r="AJ539" s="50" t="str">
        <f aca="false">IF($F539="","",$D539&amp;"|"&amp;$E539&amp;"|"&amp;$L539)</f>
        <v/>
      </c>
      <c r="AK539" s="39" t="str">
        <f aca="false">IF($AJ539="","",COUNTIF($AJ$4:$AJ539,$AJ539))</f>
        <v/>
      </c>
      <c r="AL539" s="39" t="str">
        <f aca="false">IF($AJ539="","",COUNTIF($AJ$4:$AJ$1004,$AJ539))</f>
        <v/>
      </c>
      <c r="AM539" s="42"/>
      <c r="AN539" s="50" t="str">
        <f aca="false">IF($D539="","",IFERROR(T(VLOOKUP($D539,Listas!$B$5:$H$120,7,0)),""))</f>
        <v/>
      </c>
      <c r="AO539" s="50" t="str">
        <f aca="false">IF(OR($F539="",$L539&lt;&gt;"",$R539="Cancelada",$AT539&lt;&gt;""),"",$AN539&amp;"|"&amp;$D539&amp;"|"&amp;IF($C539="","zzz",$C539)&amp;"|"&amp;TEXT(539,"0000"))</f>
        <v/>
      </c>
      <c r="AP539" s="50" t="str">
        <f aca="false">IF($AO539="","",COUNTIF($AO$5:$AO$1004,"&lt;"&amp;$AO539)-(ROWS($AO$5:$AO$1004)-Hoje!$L$5)+1)</f>
        <v/>
      </c>
      <c r="AQ539" s="50" t="n">
        <f aca="false">IF(AND($F539&lt;&gt;"",$D539=Frota!$C$3),1,0)</f>
        <v>0</v>
      </c>
      <c r="AR539" s="50" t="str">
        <f aca="false">IF($AQ539=0,"",SUM($AQ$4:$AQ539))</f>
        <v/>
      </c>
      <c r="AS539" s="50" t="str">
        <f aca="false">IFERROR(INDEX(Hoje!$K$10:$K$29,MATCH(ROW(),Hoje!$J$10:$J$29,0)),"")</f>
        <v/>
      </c>
      <c r="AT539" s="50" t="str">
        <f aca="false">IF($Q539&lt;&gt;"",$Q539,$AS539)</f>
        <v/>
      </c>
    </row>
    <row r="540" customFormat="false" ht="16.5" hidden="false" customHeight="true" outlineLevel="0" collapsed="false">
      <c r="A540" s="39" t="str">
        <f aca="false">IF($F540="","",ROW())</f>
        <v/>
      </c>
      <c r="B540" s="40" t="str">
        <f aca="false">IF($F540="",IF($D540="","","Falta a atividade"),IF($R540="Cancelada","Cancelada",IF($AB540=1,IF(N($Z540)&gt;0,"Concluída com atraso","Concluída"),IF($R540="Em programação","Em programação",IF($O540="",IF($M540="","Na carteira","Falta a semana"),IF($AC540=1,"VENCIDA",IF($O540&gt;Hoje!$L$1,"Programada",IF($P540&gt;Hoje!$L$1,"Em execução","Fecha hoje"))))))))</f>
        <v/>
      </c>
      <c r="C540" s="41"/>
      <c r="D540" s="42"/>
      <c r="E540" s="42"/>
      <c r="F540" s="42"/>
      <c r="G540" s="43"/>
      <c r="H540" s="43"/>
      <c r="I540" s="44"/>
      <c r="J540" s="44"/>
      <c r="K540" s="44"/>
      <c r="L540" s="45"/>
      <c r="M540" s="46"/>
      <c r="N540" s="45"/>
      <c r="O540" s="47" t="str">
        <f aca="false">IF(OR($L540="",$M540=""),"",(DATE(Semana!$J$3,1,4)-WEEKDAY(DATE(Semana!$J$3,1,4),3))+($L540-1)*7+MATCH($M540,Listas!$F$5:$F$11,0)-1)</f>
        <v/>
      </c>
      <c r="P540" s="47" t="str">
        <f aca="false">IF(OR($F540="",$O540=""),"",$O540+MAX(0,ROUNDUP($AK540*MAX(1,IF($N540="",1,$N540))/MAX(1,$AL540),0)-1))</f>
        <v/>
      </c>
      <c r="Q540" s="48"/>
      <c r="R540" s="43"/>
      <c r="S540" s="49"/>
      <c r="T540" s="42"/>
      <c r="U540" s="42"/>
      <c r="V540" s="39" t="str">
        <f aca="false">IF($F540="","",IF(ISNUMBER(SEARCH("(externo)",$I540&amp;$J540&amp;$K540)),"Terceirizada","Interna"))</f>
        <v/>
      </c>
      <c r="W540" s="47" t="str">
        <f aca="false">IF($O540="","",IF($S540="",$O540,(DATE(Semana!$J$3,1,4)-WEEKDAY(DATE(Semana!$J$3,1,4),3))+($S540-1)*7+IF($M540="",0,MATCH($M540,Listas!$F$5:$F$11,0)-1)))</f>
        <v/>
      </c>
      <c r="X540" s="39" t="str">
        <f aca="false">IF($F540="","",IF(OR($AT540="",$O540=""),0,IF($AT540&lt;=$O540,1,0)))</f>
        <v/>
      </c>
      <c r="Y540" s="39" t="str">
        <f aca="false">IF($F540="","",IF(OR($AT540="",$W540=""),0,IF($AT540&lt;=$W540,1,0)))</f>
        <v/>
      </c>
      <c r="Z540" s="39" t="str">
        <f aca="false">IF(OR($AT540="",$O540=""),"",MAX(0,$AT540-$O540))</f>
        <v/>
      </c>
      <c r="AA540" s="39" t="str">
        <f aca="false">IF($F540="","",IF(AND($S540&lt;&gt;"",$L540&lt;&gt;"",$S540&lt;&gt;$L540),1,0))</f>
        <v/>
      </c>
      <c r="AB540" s="39" t="str">
        <f aca="false">IF($F540="","",IF($R540="Cancelada",0,IF(OR($AT540&lt;&gt;"",$R540="Concluída"),1,0)))</f>
        <v/>
      </c>
      <c r="AC540" s="39" t="n">
        <f aca="false">IF($P540="",0,IF($P540&lt;Hoje!$L$1,1,IF(AND($P540=Hoje!$L$1,Hoje!$L$2&gt;Semana!$M$3),1,0)))</f>
        <v>0</v>
      </c>
      <c r="AD540" s="39" t="str">
        <f aca="false">IF($F540="","",IF(COUNTA($I540:$K540)=0,0,1/COUNTA($I540:$K540)))</f>
        <v/>
      </c>
      <c r="AE540" s="39" t="str">
        <f aca="false">IF($AH540=0,"",SUM($AH$4:$AH540))</f>
        <v/>
      </c>
      <c r="AF540" s="39" t="str">
        <f aca="false">IF($AI540=0,"",SUM($AI$4:$AI540))</f>
        <v/>
      </c>
      <c r="AG540" s="50" t="str">
        <f aca="false">IF($F540="","",$I540&amp;IF($J540="",""," · "&amp;$J540)&amp;IF($K540="",""," · "&amp;$K540))</f>
        <v/>
      </c>
      <c r="AH540" s="39" t="n">
        <f aca="false">IF(AND($F540&lt;&gt;"",$O540&lt;&gt;"",$O540&lt;=Hoje!$C$3,$P540&gt;=Hoje!$C$3,$R540&lt;&gt;"Cancelada"),1,0)</f>
        <v>0</v>
      </c>
      <c r="AI540" s="39" t="n">
        <f aca="false">IF(AND($F540&lt;&gt;"",$P540&lt;&gt;"",$P540&lt;Hoje!$C$3,$AB540=0,$R540&lt;&gt;"Cancelada"),1,0)</f>
        <v>0</v>
      </c>
      <c r="AJ540" s="50" t="str">
        <f aca="false">IF($F540="","",$D540&amp;"|"&amp;$E540&amp;"|"&amp;$L540)</f>
        <v/>
      </c>
      <c r="AK540" s="39" t="str">
        <f aca="false">IF($AJ540="","",COUNTIF($AJ$4:$AJ540,$AJ540))</f>
        <v/>
      </c>
      <c r="AL540" s="39" t="str">
        <f aca="false">IF($AJ540="","",COUNTIF($AJ$4:$AJ$1004,$AJ540))</f>
        <v/>
      </c>
      <c r="AM540" s="42"/>
      <c r="AN540" s="50" t="str">
        <f aca="false">IF($D540="","",IFERROR(T(VLOOKUP($D540,Listas!$B$5:$H$120,7,0)),""))</f>
        <v/>
      </c>
      <c r="AO540" s="50" t="str">
        <f aca="false">IF(OR($F540="",$L540&lt;&gt;"",$R540="Cancelada",$AT540&lt;&gt;""),"",$AN540&amp;"|"&amp;$D540&amp;"|"&amp;IF($C540="","zzz",$C540)&amp;"|"&amp;TEXT(540,"0000"))</f>
        <v/>
      </c>
      <c r="AP540" s="50" t="str">
        <f aca="false">IF($AO540="","",COUNTIF($AO$5:$AO$1004,"&lt;"&amp;$AO540)-(ROWS($AO$5:$AO$1004)-Hoje!$L$5)+1)</f>
        <v/>
      </c>
      <c r="AQ540" s="50" t="n">
        <f aca="false">IF(AND($F540&lt;&gt;"",$D540=Frota!$C$3),1,0)</f>
        <v>0</v>
      </c>
      <c r="AR540" s="50" t="str">
        <f aca="false">IF($AQ540=0,"",SUM($AQ$4:$AQ540))</f>
        <v/>
      </c>
      <c r="AS540" s="50" t="str">
        <f aca="false">IFERROR(INDEX(Hoje!$K$10:$K$29,MATCH(ROW(),Hoje!$J$10:$J$29,0)),"")</f>
        <v/>
      </c>
      <c r="AT540" s="50" t="str">
        <f aca="false">IF($Q540&lt;&gt;"",$Q540,$AS540)</f>
        <v/>
      </c>
    </row>
    <row r="541" customFormat="false" ht="16.5" hidden="false" customHeight="true" outlineLevel="0" collapsed="false">
      <c r="A541" s="39" t="str">
        <f aca="false">IF($F541="","",ROW())</f>
        <v/>
      </c>
      <c r="B541" s="40" t="str">
        <f aca="false">IF($F541="",IF($D541="","","Falta a atividade"),IF($R541="Cancelada","Cancelada",IF($AB541=1,IF(N($Z541)&gt;0,"Concluída com atraso","Concluída"),IF($R541="Em programação","Em programação",IF($O541="",IF($M541="","Na carteira","Falta a semana"),IF($AC541=1,"VENCIDA",IF($O541&gt;Hoje!$L$1,"Programada",IF($P541&gt;Hoje!$L$1,"Em execução","Fecha hoje"))))))))</f>
        <v/>
      </c>
      <c r="C541" s="41"/>
      <c r="D541" s="42"/>
      <c r="E541" s="42"/>
      <c r="F541" s="42"/>
      <c r="G541" s="43"/>
      <c r="H541" s="43"/>
      <c r="I541" s="44"/>
      <c r="J541" s="44"/>
      <c r="K541" s="44"/>
      <c r="L541" s="45"/>
      <c r="M541" s="46"/>
      <c r="N541" s="45"/>
      <c r="O541" s="47" t="str">
        <f aca="false">IF(OR($L541="",$M541=""),"",(DATE(Semana!$J$3,1,4)-WEEKDAY(DATE(Semana!$J$3,1,4),3))+($L541-1)*7+MATCH($M541,Listas!$F$5:$F$11,0)-1)</f>
        <v/>
      </c>
      <c r="P541" s="47" t="str">
        <f aca="false">IF(OR($F541="",$O541=""),"",$O541+MAX(0,ROUNDUP($AK541*MAX(1,IF($N541="",1,$N541))/MAX(1,$AL541),0)-1))</f>
        <v/>
      </c>
      <c r="Q541" s="48"/>
      <c r="R541" s="43"/>
      <c r="S541" s="49"/>
      <c r="T541" s="42"/>
      <c r="U541" s="42"/>
      <c r="V541" s="39" t="str">
        <f aca="false">IF($F541="","",IF(ISNUMBER(SEARCH("(externo)",$I541&amp;$J541&amp;$K541)),"Terceirizada","Interna"))</f>
        <v/>
      </c>
      <c r="W541" s="47" t="str">
        <f aca="false">IF($O541="","",IF($S541="",$O541,(DATE(Semana!$J$3,1,4)-WEEKDAY(DATE(Semana!$J$3,1,4),3))+($S541-1)*7+IF($M541="",0,MATCH($M541,Listas!$F$5:$F$11,0)-1)))</f>
        <v/>
      </c>
      <c r="X541" s="39" t="str">
        <f aca="false">IF($F541="","",IF(OR($AT541="",$O541=""),0,IF($AT541&lt;=$O541,1,0)))</f>
        <v/>
      </c>
      <c r="Y541" s="39" t="str">
        <f aca="false">IF($F541="","",IF(OR($AT541="",$W541=""),0,IF($AT541&lt;=$W541,1,0)))</f>
        <v/>
      </c>
      <c r="Z541" s="39" t="str">
        <f aca="false">IF(OR($AT541="",$O541=""),"",MAX(0,$AT541-$O541))</f>
        <v/>
      </c>
      <c r="AA541" s="39" t="str">
        <f aca="false">IF($F541="","",IF(AND($S541&lt;&gt;"",$L541&lt;&gt;"",$S541&lt;&gt;$L541),1,0))</f>
        <v/>
      </c>
      <c r="AB541" s="39" t="str">
        <f aca="false">IF($F541="","",IF($R541="Cancelada",0,IF(OR($AT541&lt;&gt;"",$R541="Concluída"),1,0)))</f>
        <v/>
      </c>
      <c r="AC541" s="39" t="n">
        <f aca="false">IF($P541="",0,IF($P541&lt;Hoje!$L$1,1,IF(AND($P541=Hoje!$L$1,Hoje!$L$2&gt;Semana!$M$3),1,0)))</f>
        <v>0</v>
      </c>
      <c r="AD541" s="39" t="str">
        <f aca="false">IF($F541="","",IF(COUNTA($I541:$K541)=0,0,1/COUNTA($I541:$K541)))</f>
        <v/>
      </c>
      <c r="AE541" s="39" t="str">
        <f aca="false">IF($AH541=0,"",SUM($AH$4:$AH541))</f>
        <v/>
      </c>
      <c r="AF541" s="39" t="str">
        <f aca="false">IF($AI541=0,"",SUM($AI$4:$AI541))</f>
        <v/>
      </c>
      <c r="AG541" s="50" t="str">
        <f aca="false">IF($F541="","",$I541&amp;IF($J541="",""," · "&amp;$J541)&amp;IF($K541="",""," · "&amp;$K541))</f>
        <v/>
      </c>
      <c r="AH541" s="39" t="n">
        <f aca="false">IF(AND($F541&lt;&gt;"",$O541&lt;&gt;"",$O541&lt;=Hoje!$C$3,$P541&gt;=Hoje!$C$3,$R541&lt;&gt;"Cancelada"),1,0)</f>
        <v>0</v>
      </c>
      <c r="AI541" s="39" t="n">
        <f aca="false">IF(AND($F541&lt;&gt;"",$P541&lt;&gt;"",$P541&lt;Hoje!$C$3,$AB541=0,$R541&lt;&gt;"Cancelada"),1,0)</f>
        <v>0</v>
      </c>
      <c r="AJ541" s="50" t="str">
        <f aca="false">IF($F541="","",$D541&amp;"|"&amp;$E541&amp;"|"&amp;$L541)</f>
        <v/>
      </c>
      <c r="AK541" s="39" t="str">
        <f aca="false">IF($AJ541="","",COUNTIF($AJ$4:$AJ541,$AJ541))</f>
        <v/>
      </c>
      <c r="AL541" s="39" t="str">
        <f aca="false">IF($AJ541="","",COUNTIF($AJ$4:$AJ$1004,$AJ541))</f>
        <v/>
      </c>
      <c r="AM541" s="42"/>
      <c r="AN541" s="50" t="str">
        <f aca="false">IF($D541="","",IFERROR(T(VLOOKUP($D541,Listas!$B$5:$H$120,7,0)),""))</f>
        <v/>
      </c>
      <c r="AO541" s="50" t="str">
        <f aca="false">IF(OR($F541="",$L541&lt;&gt;"",$R541="Cancelada",$AT541&lt;&gt;""),"",$AN541&amp;"|"&amp;$D541&amp;"|"&amp;IF($C541="","zzz",$C541)&amp;"|"&amp;TEXT(541,"0000"))</f>
        <v/>
      </c>
      <c r="AP541" s="50" t="str">
        <f aca="false">IF($AO541="","",COUNTIF($AO$5:$AO$1004,"&lt;"&amp;$AO541)-(ROWS($AO$5:$AO$1004)-Hoje!$L$5)+1)</f>
        <v/>
      </c>
      <c r="AQ541" s="50" t="n">
        <f aca="false">IF(AND($F541&lt;&gt;"",$D541=Frota!$C$3),1,0)</f>
        <v>0</v>
      </c>
      <c r="AR541" s="50" t="str">
        <f aca="false">IF($AQ541=0,"",SUM($AQ$4:$AQ541))</f>
        <v/>
      </c>
      <c r="AS541" s="50" t="str">
        <f aca="false">IFERROR(INDEX(Hoje!$K$10:$K$29,MATCH(ROW(),Hoje!$J$10:$J$29,0)),"")</f>
        <v/>
      </c>
      <c r="AT541" s="50" t="str">
        <f aca="false">IF($Q541&lt;&gt;"",$Q541,$AS541)</f>
        <v/>
      </c>
    </row>
    <row r="542" customFormat="false" ht="16.5" hidden="false" customHeight="true" outlineLevel="0" collapsed="false">
      <c r="A542" s="39" t="str">
        <f aca="false">IF($F542="","",ROW())</f>
        <v/>
      </c>
      <c r="B542" s="40" t="str">
        <f aca="false">IF($F542="",IF($D542="","","Falta a atividade"),IF($R542="Cancelada","Cancelada",IF($AB542=1,IF(N($Z542)&gt;0,"Concluída com atraso","Concluída"),IF($R542="Em programação","Em programação",IF($O542="",IF($M542="","Na carteira","Falta a semana"),IF($AC542=1,"VENCIDA",IF($O542&gt;Hoje!$L$1,"Programada",IF($P542&gt;Hoje!$L$1,"Em execução","Fecha hoje"))))))))</f>
        <v/>
      </c>
      <c r="C542" s="41"/>
      <c r="D542" s="42"/>
      <c r="E542" s="42"/>
      <c r="F542" s="42"/>
      <c r="G542" s="43"/>
      <c r="H542" s="43"/>
      <c r="I542" s="44"/>
      <c r="J542" s="44"/>
      <c r="K542" s="44"/>
      <c r="L542" s="45"/>
      <c r="M542" s="46"/>
      <c r="N542" s="45"/>
      <c r="O542" s="47" t="str">
        <f aca="false">IF(OR($L542="",$M542=""),"",(DATE(Semana!$J$3,1,4)-WEEKDAY(DATE(Semana!$J$3,1,4),3))+($L542-1)*7+MATCH($M542,Listas!$F$5:$F$11,0)-1)</f>
        <v/>
      </c>
      <c r="P542" s="47" t="str">
        <f aca="false">IF(OR($F542="",$O542=""),"",$O542+MAX(0,ROUNDUP($AK542*MAX(1,IF($N542="",1,$N542))/MAX(1,$AL542),0)-1))</f>
        <v/>
      </c>
      <c r="Q542" s="48"/>
      <c r="R542" s="43"/>
      <c r="S542" s="49"/>
      <c r="T542" s="42"/>
      <c r="U542" s="42"/>
      <c r="V542" s="39" t="str">
        <f aca="false">IF($F542="","",IF(ISNUMBER(SEARCH("(externo)",$I542&amp;$J542&amp;$K542)),"Terceirizada","Interna"))</f>
        <v/>
      </c>
      <c r="W542" s="47" t="str">
        <f aca="false">IF($O542="","",IF($S542="",$O542,(DATE(Semana!$J$3,1,4)-WEEKDAY(DATE(Semana!$J$3,1,4),3))+($S542-1)*7+IF($M542="",0,MATCH($M542,Listas!$F$5:$F$11,0)-1)))</f>
        <v/>
      </c>
      <c r="X542" s="39" t="str">
        <f aca="false">IF($F542="","",IF(OR($AT542="",$O542=""),0,IF($AT542&lt;=$O542,1,0)))</f>
        <v/>
      </c>
      <c r="Y542" s="39" t="str">
        <f aca="false">IF($F542="","",IF(OR($AT542="",$W542=""),0,IF($AT542&lt;=$W542,1,0)))</f>
        <v/>
      </c>
      <c r="Z542" s="39" t="str">
        <f aca="false">IF(OR($AT542="",$O542=""),"",MAX(0,$AT542-$O542))</f>
        <v/>
      </c>
      <c r="AA542" s="39" t="str">
        <f aca="false">IF($F542="","",IF(AND($S542&lt;&gt;"",$L542&lt;&gt;"",$S542&lt;&gt;$L542),1,0))</f>
        <v/>
      </c>
      <c r="AB542" s="39" t="str">
        <f aca="false">IF($F542="","",IF($R542="Cancelada",0,IF(OR($AT542&lt;&gt;"",$R542="Concluída"),1,0)))</f>
        <v/>
      </c>
      <c r="AC542" s="39" t="n">
        <f aca="false">IF($P542="",0,IF($P542&lt;Hoje!$L$1,1,IF(AND($P542=Hoje!$L$1,Hoje!$L$2&gt;Semana!$M$3),1,0)))</f>
        <v>0</v>
      </c>
      <c r="AD542" s="39" t="str">
        <f aca="false">IF($F542="","",IF(COUNTA($I542:$K542)=0,0,1/COUNTA($I542:$K542)))</f>
        <v/>
      </c>
      <c r="AE542" s="39" t="str">
        <f aca="false">IF($AH542=0,"",SUM($AH$4:$AH542))</f>
        <v/>
      </c>
      <c r="AF542" s="39" t="str">
        <f aca="false">IF($AI542=0,"",SUM($AI$4:$AI542))</f>
        <v/>
      </c>
      <c r="AG542" s="50" t="str">
        <f aca="false">IF($F542="","",$I542&amp;IF($J542="",""," · "&amp;$J542)&amp;IF($K542="",""," · "&amp;$K542))</f>
        <v/>
      </c>
      <c r="AH542" s="39" t="n">
        <f aca="false">IF(AND($F542&lt;&gt;"",$O542&lt;&gt;"",$O542&lt;=Hoje!$C$3,$P542&gt;=Hoje!$C$3,$R542&lt;&gt;"Cancelada"),1,0)</f>
        <v>0</v>
      </c>
      <c r="AI542" s="39" t="n">
        <f aca="false">IF(AND($F542&lt;&gt;"",$P542&lt;&gt;"",$P542&lt;Hoje!$C$3,$AB542=0,$R542&lt;&gt;"Cancelada"),1,0)</f>
        <v>0</v>
      </c>
      <c r="AJ542" s="50" t="str">
        <f aca="false">IF($F542="","",$D542&amp;"|"&amp;$E542&amp;"|"&amp;$L542)</f>
        <v/>
      </c>
      <c r="AK542" s="39" t="str">
        <f aca="false">IF($AJ542="","",COUNTIF($AJ$4:$AJ542,$AJ542))</f>
        <v/>
      </c>
      <c r="AL542" s="39" t="str">
        <f aca="false">IF($AJ542="","",COUNTIF($AJ$4:$AJ$1004,$AJ542))</f>
        <v/>
      </c>
      <c r="AM542" s="42"/>
      <c r="AN542" s="50" t="str">
        <f aca="false">IF($D542="","",IFERROR(T(VLOOKUP($D542,Listas!$B$5:$H$120,7,0)),""))</f>
        <v/>
      </c>
      <c r="AO542" s="50" t="str">
        <f aca="false">IF(OR($F542="",$L542&lt;&gt;"",$R542="Cancelada",$AT542&lt;&gt;""),"",$AN542&amp;"|"&amp;$D542&amp;"|"&amp;IF($C542="","zzz",$C542)&amp;"|"&amp;TEXT(542,"0000"))</f>
        <v/>
      </c>
      <c r="AP542" s="50" t="str">
        <f aca="false">IF($AO542="","",COUNTIF($AO$5:$AO$1004,"&lt;"&amp;$AO542)-(ROWS($AO$5:$AO$1004)-Hoje!$L$5)+1)</f>
        <v/>
      </c>
      <c r="AQ542" s="50" t="n">
        <f aca="false">IF(AND($F542&lt;&gt;"",$D542=Frota!$C$3),1,0)</f>
        <v>0</v>
      </c>
      <c r="AR542" s="50" t="str">
        <f aca="false">IF($AQ542=0,"",SUM($AQ$4:$AQ542))</f>
        <v/>
      </c>
      <c r="AS542" s="50" t="str">
        <f aca="false">IFERROR(INDEX(Hoje!$K$10:$K$29,MATCH(ROW(),Hoje!$J$10:$J$29,0)),"")</f>
        <v/>
      </c>
      <c r="AT542" s="50" t="str">
        <f aca="false">IF($Q542&lt;&gt;"",$Q542,$AS542)</f>
        <v/>
      </c>
    </row>
    <row r="543" customFormat="false" ht="16.5" hidden="false" customHeight="true" outlineLevel="0" collapsed="false">
      <c r="A543" s="39" t="str">
        <f aca="false">IF($F543="","",ROW())</f>
        <v/>
      </c>
      <c r="B543" s="40" t="str">
        <f aca="false">IF($F543="",IF($D543="","","Falta a atividade"),IF($R543="Cancelada","Cancelada",IF($AB543=1,IF(N($Z543)&gt;0,"Concluída com atraso","Concluída"),IF($R543="Em programação","Em programação",IF($O543="",IF($M543="","Na carteira","Falta a semana"),IF($AC543=1,"VENCIDA",IF($O543&gt;Hoje!$L$1,"Programada",IF($P543&gt;Hoje!$L$1,"Em execução","Fecha hoje"))))))))</f>
        <v/>
      </c>
      <c r="C543" s="41"/>
      <c r="D543" s="42"/>
      <c r="E543" s="42"/>
      <c r="F543" s="42"/>
      <c r="G543" s="43"/>
      <c r="H543" s="43"/>
      <c r="I543" s="44"/>
      <c r="J543" s="44"/>
      <c r="K543" s="44"/>
      <c r="L543" s="45"/>
      <c r="M543" s="46"/>
      <c r="N543" s="45"/>
      <c r="O543" s="47" t="str">
        <f aca="false">IF(OR($L543="",$M543=""),"",(DATE(Semana!$J$3,1,4)-WEEKDAY(DATE(Semana!$J$3,1,4),3))+($L543-1)*7+MATCH($M543,Listas!$F$5:$F$11,0)-1)</f>
        <v/>
      </c>
      <c r="P543" s="47" t="str">
        <f aca="false">IF(OR($F543="",$O543=""),"",$O543+MAX(0,ROUNDUP($AK543*MAX(1,IF($N543="",1,$N543))/MAX(1,$AL543),0)-1))</f>
        <v/>
      </c>
      <c r="Q543" s="48"/>
      <c r="R543" s="43"/>
      <c r="S543" s="49"/>
      <c r="T543" s="42"/>
      <c r="U543" s="42"/>
      <c r="V543" s="39" t="str">
        <f aca="false">IF($F543="","",IF(ISNUMBER(SEARCH("(externo)",$I543&amp;$J543&amp;$K543)),"Terceirizada","Interna"))</f>
        <v/>
      </c>
      <c r="W543" s="47" t="str">
        <f aca="false">IF($O543="","",IF($S543="",$O543,(DATE(Semana!$J$3,1,4)-WEEKDAY(DATE(Semana!$J$3,1,4),3))+($S543-1)*7+IF($M543="",0,MATCH($M543,Listas!$F$5:$F$11,0)-1)))</f>
        <v/>
      </c>
      <c r="X543" s="39" t="str">
        <f aca="false">IF($F543="","",IF(OR($AT543="",$O543=""),0,IF($AT543&lt;=$O543,1,0)))</f>
        <v/>
      </c>
      <c r="Y543" s="39" t="str">
        <f aca="false">IF($F543="","",IF(OR($AT543="",$W543=""),0,IF($AT543&lt;=$W543,1,0)))</f>
        <v/>
      </c>
      <c r="Z543" s="39" t="str">
        <f aca="false">IF(OR($AT543="",$O543=""),"",MAX(0,$AT543-$O543))</f>
        <v/>
      </c>
      <c r="AA543" s="39" t="str">
        <f aca="false">IF($F543="","",IF(AND($S543&lt;&gt;"",$L543&lt;&gt;"",$S543&lt;&gt;$L543),1,0))</f>
        <v/>
      </c>
      <c r="AB543" s="39" t="str">
        <f aca="false">IF($F543="","",IF($R543="Cancelada",0,IF(OR($AT543&lt;&gt;"",$R543="Concluída"),1,0)))</f>
        <v/>
      </c>
      <c r="AC543" s="39" t="n">
        <f aca="false">IF($P543="",0,IF($P543&lt;Hoje!$L$1,1,IF(AND($P543=Hoje!$L$1,Hoje!$L$2&gt;Semana!$M$3),1,0)))</f>
        <v>0</v>
      </c>
      <c r="AD543" s="39" t="str">
        <f aca="false">IF($F543="","",IF(COUNTA($I543:$K543)=0,0,1/COUNTA($I543:$K543)))</f>
        <v/>
      </c>
      <c r="AE543" s="39" t="str">
        <f aca="false">IF($AH543=0,"",SUM($AH$4:$AH543))</f>
        <v/>
      </c>
      <c r="AF543" s="39" t="str">
        <f aca="false">IF($AI543=0,"",SUM($AI$4:$AI543))</f>
        <v/>
      </c>
      <c r="AG543" s="50" t="str">
        <f aca="false">IF($F543="","",$I543&amp;IF($J543="",""," · "&amp;$J543)&amp;IF($K543="",""," · "&amp;$K543))</f>
        <v/>
      </c>
      <c r="AH543" s="39" t="n">
        <f aca="false">IF(AND($F543&lt;&gt;"",$O543&lt;&gt;"",$O543&lt;=Hoje!$C$3,$P543&gt;=Hoje!$C$3,$R543&lt;&gt;"Cancelada"),1,0)</f>
        <v>0</v>
      </c>
      <c r="AI543" s="39" t="n">
        <f aca="false">IF(AND($F543&lt;&gt;"",$P543&lt;&gt;"",$P543&lt;Hoje!$C$3,$AB543=0,$R543&lt;&gt;"Cancelada"),1,0)</f>
        <v>0</v>
      </c>
      <c r="AJ543" s="50" t="str">
        <f aca="false">IF($F543="","",$D543&amp;"|"&amp;$E543&amp;"|"&amp;$L543)</f>
        <v/>
      </c>
      <c r="AK543" s="39" t="str">
        <f aca="false">IF($AJ543="","",COUNTIF($AJ$4:$AJ543,$AJ543))</f>
        <v/>
      </c>
      <c r="AL543" s="39" t="str">
        <f aca="false">IF($AJ543="","",COUNTIF($AJ$4:$AJ$1004,$AJ543))</f>
        <v/>
      </c>
      <c r="AM543" s="42"/>
      <c r="AN543" s="50" t="str">
        <f aca="false">IF($D543="","",IFERROR(T(VLOOKUP($D543,Listas!$B$5:$H$120,7,0)),""))</f>
        <v/>
      </c>
      <c r="AO543" s="50" t="str">
        <f aca="false">IF(OR($F543="",$L543&lt;&gt;"",$R543="Cancelada",$AT543&lt;&gt;""),"",$AN543&amp;"|"&amp;$D543&amp;"|"&amp;IF($C543="","zzz",$C543)&amp;"|"&amp;TEXT(543,"0000"))</f>
        <v/>
      </c>
      <c r="AP543" s="50" t="str">
        <f aca="false">IF($AO543="","",COUNTIF($AO$5:$AO$1004,"&lt;"&amp;$AO543)-(ROWS($AO$5:$AO$1004)-Hoje!$L$5)+1)</f>
        <v/>
      </c>
      <c r="AQ543" s="50" t="n">
        <f aca="false">IF(AND($F543&lt;&gt;"",$D543=Frota!$C$3),1,0)</f>
        <v>0</v>
      </c>
      <c r="AR543" s="50" t="str">
        <f aca="false">IF($AQ543=0,"",SUM($AQ$4:$AQ543))</f>
        <v/>
      </c>
      <c r="AS543" s="50" t="str">
        <f aca="false">IFERROR(INDEX(Hoje!$K$10:$K$29,MATCH(ROW(),Hoje!$J$10:$J$29,0)),"")</f>
        <v/>
      </c>
      <c r="AT543" s="50" t="str">
        <f aca="false">IF($Q543&lt;&gt;"",$Q543,$AS543)</f>
        <v/>
      </c>
    </row>
    <row r="544" customFormat="false" ht="16.5" hidden="false" customHeight="true" outlineLevel="0" collapsed="false">
      <c r="A544" s="39" t="str">
        <f aca="false">IF($F544="","",ROW())</f>
        <v/>
      </c>
      <c r="B544" s="40" t="str">
        <f aca="false">IF($F544="",IF($D544="","","Falta a atividade"),IF($R544="Cancelada","Cancelada",IF($AB544=1,IF(N($Z544)&gt;0,"Concluída com atraso","Concluída"),IF($R544="Em programação","Em programação",IF($O544="",IF($M544="","Na carteira","Falta a semana"),IF($AC544=1,"VENCIDA",IF($O544&gt;Hoje!$L$1,"Programada",IF($P544&gt;Hoje!$L$1,"Em execução","Fecha hoje"))))))))</f>
        <v/>
      </c>
      <c r="C544" s="41"/>
      <c r="D544" s="42"/>
      <c r="E544" s="42"/>
      <c r="F544" s="42"/>
      <c r="G544" s="43"/>
      <c r="H544" s="43"/>
      <c r="I544" s="44"/>
      <c r="J544" s="44"/>
      <c r="K544" s="44"/>
      <c r="L544" s="45"/>
      <c r="M544" s="46"/>
      <c r="N544" s="45"/>
      <c r="O544" s="47" t="str">
        <f aca="false">IF(OR($L544="",$M544=""),"",(DATE(Semana!$J$3,1,4)-WEEKDAY(DATE(Semana!$J$3,1,4),3))+($L544-1)*7+MATCH($M544,Listas!$F$5:$F$11,0)-1)</f>
        <v/>
      </c>
      <c r="P544" s="47" t="str">
        <f aca="false">IF(OR($F544="",$O544=""),"",$O544+MAX(0,ROUNDUP($AK544*MAX(1,IF($N544="",1,$N544))/MAX(1,$AL544),0)-1))</f>
        <v/>
      </c>
      <c r="Q544" s="48"/>
      <c r="R544" s="43"/>
      <c r="S544" s="49"/>
      <c r="T544" s="42"/>
      <c r="U544" s="42"/>
      <c r="V544" s="39" t="str">
        <f aca="false">IF($F544="","",IF(ISNUMBER(SEARCH("(externo)",$I544&amp;$J544&amp;$K544)),"Terceirizada","Interna"))</f>
        <v/>
      </c>
      <c r="W544" s="47" t="str">
        <f aca="false">IF($O544="","",IF($S544="",$O544,(DATE(Semana!$J$3,1,4)-WEEKDAY(DATE(Semana!$J$3,1,4),3))+($S544-1)*7+IF($M544="",0,MATCH($M544,Listas!$F$5:$F$11,0)-1)))</f>
        <v/>
      </c>
      <c r="X544" s="39" t="str">
        <f aca="false">IF($F544="","",IF(OR($AT544="",$O544=""),0,IF($AT544&lt;=$O544,1,0)))</f>
        <v/>
      </c>
      <c r="Y544" s="39" t="str">
        <f aca="false">IF($F544="","",IF(OR($AT544="",$W544=""),0,IF($AT544&lt;=$W544,1,0)))</f>
        <v/>
      </c>
      <c r="Z544" s="39" t="str">
        <f aca="false">IF(OR($AT544="",$O544=""),"",MAX(0,$AT544-$O544))</f>
        <v/>
      </c>
      <c r="AA544" s="39" t="str">
        <f aca="false">IF($F544="","",IF(AND($S544&lt;&gt;"",$L544&lt;&gt;"",$S544&lt;&gt;$L544),1,0))</f>
        <v/>
      </c>
      <c r="AB544" s="39" t="str">
        <f aca="false">IF($F544="","",IF($R544="Cancelada",0,IF(OR($AT544&lt;&gt;"",$R544="Concluída"),1,0)))</f>
        <v/>
      </c>
      <c r="AC544" s="39" t="n">
        <f aca="false">IF($P544="",0,IF($P544&lt;Hoje!$L$1,1,IF(AND($P544=Hoje!$L$1,Hoje!$L$2&gt;Semana!$M$3),1,0)))</f>
        <v>0</v>
      </c>
      <c r="AD544" s="39" t="str">
        <f aca="false">IF($F544="","",IF(COUNTA($I544:$K544)=0,0,1/COUNTA($I544:$K544)))</f>
        <v/>
      </c>
      <c r="AE544" s="39" t="str">
        <f aca="false">IF($AH544=0,"",SUM($AH$4:$AH544))</f>
        <v/>
      </c>
      <c r="AF544" s="39" t="str">
        <f aca="false">IF($AI544=0,"",SUM($AI$4:$AI544))</f>
        <v/>
      </c>
      <c r="AG544" s="50" t="str">
        <f aca="false">IF($F544="","",$I544&amp;IF($J544="",""," · "&amp;$J544)&amp;IF($K544="",""," · "&amp;$K544))</f>
        <v/>
      </c>
      <c r="AH544" s="39" t="n">
        <f aca="false">IF(AND($F544&lt;&gt;"",$O544&lt;&gt;"",$O544&lt;=Hoje!$C$3,$P544&gt;=Hoje!$C$3,$R544&lt;&gt;"Cancelada"),1,0)</f>
        <v>0</v>
      </c>
      <c r="AI544" s="39" t="n">
        <f aca="false">IF(AND($F544&lt;&gt;"",$P544&lt;&gt;"",$P544&lt;Hoje!$C$3,$AB544=0,$R544&lt;&gt;"Cancelada"),1,0)</f>
        <v>0</v>
      </c>
      <c r="AJ544" s="50" t="str">
        <f aca="false">IF($F544="","",$D544&amp;"|"&amp;$E544&amp;"|"&amp;$L544)</f>
        <v/>
      </c>
      <c r="AK544" s="39" t="str">
        <f aca="false">IF($AJ544="","",COUNTIF($AJ$4:$AJ544,$AJ544))</f>
        <v/>
      </c>
      <c r="AL544" s="39" t="str">
        <f aca="false">IF($AJ544="","",COUNTIF($AJ$4:$AJ$1004,$AJ544))</f>
        <v/>
      </c>
      <c r="AM544" s="42"/>
      <c r="AN544" s="50" t="str">
        <f aca="false">IF($D544="","",IFERROR(T(VLOOKUP($D544,Listas!$B$5:$H$120,7,0)),""))</f>
        <v/>
      </c>
      <c r="AO544" s="50" t="str">
        <f aca="false">IF(OR($F544="",$L544&lt;&gt;"",$R544="Cancelada",$AT544&lt;&gt;""),"",$AN544&amp;"|"&amp;$D544&amp;"|"&amp;IF($C544="","zzz",$C544)&amp;"|"&amp;TEXT(544,"0000"))</f>
        <v/>
      </c>
      <c r="AP544" s="50" t="str">
        <f aca="false">IF($AO544="","",COUNTIF($AO$5:$AO$1004,"&lt;"&amp;$AO544)-(ROWS($AO$5:$AO$1004)-Hoje!$L$5)+1)</f>
        <v/>
      </c>
      <c r="AQ544" s="50" t="n">
        <f aca="false">IF(AND($F544&lt;&gt;"",$D544=Frota!$C$3),1,0)</f>
        <v>0</v>
      </c>
      <c r="AR544" s="50" t="str">
        <f aca="false">IF($AQ544=0,"",SUM($AQ$4:$AQ544))</f>
        <v/>
      </c>
      <c r="AS544" s="50" t="str">
        <f aca="false">IFERROR(INDEX(Hoje!$K$10:$K$29,MATCH(ROW(),Hoje!$J$10:$J$29,0)),"")</f>
        <v/>
      </c>
      <c r="AT544" s="50" t="str">
        <f aca="false">IF($Q544&lt;&gt;"",$Q544,$AS544)</f>
        <v/>
      </c>
    </row>
    <row r="545" customFormat="false" ht="16.5" hidden="false" customHeight="true" outlineLevel="0" collapsed="false">
      <c r="A545" s="39" t="str">
        <f aca="false">IF($F545="","",ROW())</f>
        <v/>
      </c>
      <c r="B545" s="40" t="str">
        <f aca="false">IF($F545="",IF($D545="","","Falta a atividade"),IF($R545="Cancelada","Cancelada",IF($AB545=1,IF(N($Z545)&gt;0,"Concluída com atraso","Concluída"),IF($R545="Em programação","Em programação",IF($O545="",IF($M545="","Na carteira","Falta a semana"),IF($AC545=1,"VENCIDA",IF($O545&gt;Hoje!$L$1,"Programada",IF($P545&gt;Hoje!$L$1,"Em execução","Fecha hoje"))))))))</f>
        <v/>
      </c>
      <c r="C545" s="41"/>
      <c r="D545" s="42"/>
      <c r="E545" s="42"/>
      <c r="F545" s="42"/>
      <c r="G545" s="43"/>
      <c r="H545" s="43"/>
      <c r="I545" s="44"/>
      <c r="J545" s="44"/>
      <c r="K545" s="44"/>
      <c r="L545" s="45"/>
      <c r="M545" s="46"/>
      <c r="N545" s="45"/>
      <c r="O545" s="47" t="str">
        <f aca="false">IF(OR($L545="",$M545=""),"",(DATE(Semana!$J$3,1,4)-WEEKDAY(DATE(Semana!$J$3,1,4),3))+($L545-1)*7+MATCH($M545,Listas!$F$5:$F$11,0)-1)</f>
        <v/>
      </c>
      <c r="P545" s="47" t="str">
        <f aca="false">IF(OR($F545="",$O545=""),"",$O545+MAX(0,ROUNDUP($AK545*MAX(1,IF($N545="",1,$N545))/MAX(1,$AL545),0)-1))</f>
        <v/>
      </c>
      <c r="Q545" s="48"/>
      <c r="R545" s="43"/>
      <c r="S545" s="49"/>
      <c r="T545" s="42"/>
      <c r="U545" s="42"/>
      <c r="V545" s="39" t="str">
        <f aca="false">IF($F545="","",IF(ISNUMBER(SEARCH("(externo)",$I545&amp;$J545&amp;$K545)),"Terceirizada","Interna"))</f>
        <v/>
      </c>
      <c r="W545" s="47" t="str">
        <f aca="false">IF($O545="","",IF($S545="",$O545,(DATE(Semana!$J$3,1,4)-WEEKDAY(DATE(Semana!$J$3,1,4),3))+($S545-1)*7+IF($M545="",0,MATCH($M545,Listas!$F$5:$F$11,0)-1)))</f>
        <v/>
      </c>
      <c r="X545" s="39" t="str">
        <f aca="false">IF($F545="","",IF(OR($AT545="",$O545=""),0,IF($AT545&lt;=$O545,1,0)))</f>
        <v/>
      </c>
      <c r="Y545" s="39" t="str">
        <f aca="false">IF($F545="","",IF(OR($AT545="",$W545=""),0,IF($AT545&lt;=$W545,1,0)))</f>
        <v/>
      </c>
      <c r="Z545" s="39" t="str">
        <f aca="false">IF(OR($AT545="",$O545=""),"",MAX(0,$AT545-$O545))</f>
        <v/>
      </c>
      <c r="AA545" s="39" t="str">
        <f aca="false">IF($F545="","",IF(AND($S545&lt;&gt;"",$L545&lt;&gt;"",$S545&lt;&gt;$L545),1,0))</f>
        <v/>
      </c>
      <c r="AB545" s="39" t="str">
        <f aca="false">IF($F545="","",IF($R545="Cancelada",0,IF(OR($AT545&lt;&gt;"",$R545="Concluída"),1,0)))</f>
        <v/>
      </c>
      <c r="AC545" s="39" t="n">
        <f aca="false">IF($P545="",0,IF($P545&lt;Hoje!$L$1,1,IF(AND($P545=Hoje!$L$1,Hoje!$L$2&gt;Semana!$M$3),1,0)))</f>
        <v>0</v>
      </c>
      <c r="AD545" s="39" t="str">
        <f aca="false">IF($F545="","",IF(COUNTA($I545:$K545)=0,0,1/COUNTA($I545:$K545)))</f>
        <v/>
      </c>
      <c r="AE545" s="39" t="str">
        <f aca="false">IF($AH545=0,"",SUM($AH$4:$AH545))</f>
        <v/>
      </c>
      <c r="AF545" s="39" t="str">
        <f aca="false">IF($AI545=0,"",SUM($AI$4:$AI545))</f>
        <v/>
      </c>
      <c r="AG545" s="50" t="str">
        <f aca="false">IF($F545="","",$I545&amp;IF($J545="",""," · "&amp;$J545)&amp;IF($K545="",""," · "&amp;$K545))</f>
        <v/>
      </c>
      <c r="AH545" s="39" t="n">
        <f aca="false">IF(AND($F545&lt;&gt;"",$O545&lt;&gt;"",$O545&lt;=Hoje!$C$3,$P545&gt;=Hoje!$C$3,$R545&lt;&gt;"Cancelada"),1,0)</f>
        <v>0</v>
      </c>
      <c r="AI545" s="39" t="n">
        <f aca="false">IF(AND($F545&lt;&gt;"",$P545&lt;&gt;"",$P545&lt;Hoje!$C$3,$AB545=0,$R545&lt;&gt;"Cancelada"),1,0)</f>
        <v>0</v>
      </c>
      <c r="AJ545" s="50" t="str">
        <f aca="false">IF($F545="","",$D545&amp;"|"&amp;$E545&amp;"|"&amp;$L545)</f>
        <v/>
      </c>
      <c r="AK545" s="39" t="str">
        <f aca="false">IF($AJ545="","",COUNTIF($AJ$4:$AJ545,$AJ545))</f>
        <v/>
      </c>
      <c r="AL545" s="39" t="str">
        <f aca="false">IF($AJ545="","",COUNTIF($AJ$4:$AJ$1004,$AJ545))</f>
        <v/>
      </c>
      <c r="AM545" s="42"/>
      <c r="AN545" s="50" t="str">
        <f aca="false">IF($D545="","",IFERROR(T(VLOOKUP($D545,Listas!$B$5:$H$120,7,0)),""))</f>
        <v/>
      </c>
      <c r="AO545" s="50" t="str">
        <f aca="false">IF(OR($F545="",$L545&lt;&gt;"",$R545="Cancelada",$AT545&lt;&gt;""),"",$AN545&amp;"|"&amp;$D545&amp;"|"&amp;IF($C545="","zzz",$C545)&amp;"|"&amp;TEXT(545,"0000"))</f>
        <v/>
      </c>
      <c r="AP545" s="50" t="str">
        <f aca="false">IF($AO545="","",COUNTIF($AO$5:$AO$1004,"&lt;"&amp;$AO545)-(ROWS($AO$5:$AO$1004)-Hoje!$L$5)+1)</f>
        <v/>
      </c>
      <c r="AQ545" s="50" t="n">
        <f aca="false">IF(AND($F545&lt;&gt;"",$D545=Frota!$C$3),1,0)</f>
        <v>0</v>
      </c>
      <c r="AR545" s="50" t="str">
        <f aca="false">IF($AQ545=0,"",SUM($AQ$4:$AQ545))</f>
        <v/>
      </c>
      <c r="AS545" s="50" t="str">
        <f aca="false">IFERROR(INDEX(Hoje!$K$10:$K$29,MATCH(ROW(),Hoje!$J$10:$J$29,0)),"")</f>
        <v/>
      </c>
      <c r="AT545" s="50" t="str">
        <f aca="false">IF($Q545&lt;&gt;"",$Q545,$AS545)</f>
        <v/>
      </c>
    </row>
    <row r="546" customFormat="false" ht="16.5" hidden="false" customHeight="true" outlineLevel="0" collapsed="false">
      <c r="A546" s="39" t="str">
        <f aca="false">IF($F546="","",ROW())</f>
        <v/>
      </c>
      <c r="B546" s="40" t="str">
        <f aca="false">IF($F546="",IF($D546="","","Falta a atividade"),IF($R546="Cancelada","Cancelada",IF($AB546=1,IF(N($Z546)&gt;0,"Concluída com atraso","Concluída"),IF($R546="Em programação","Em programação",IF($O546="",IF($M546="","Na carteira","Falta a semana"),IF($AC546=1,"VENCIDA",IF($O546&gt;Hoje!$L$1,"Programada",IF($P546&gt;Hoje!$L$1,"Em execução","Fecha hoje"))))))))</f>
        <v/>
      </c>
      <c r="C546" s="41"/>
      <c r="D546" s="42"/>
      <c r="E546" s="42"/>
      <c r="F546" s="42"/>
      <c r="G546" s="43"/>
      <c r="H546" s="43"/>
      <c r="I546" s="44"/>
      <c r="J546" s="44"/>
      <c r="K546" s="44"/>
      <c r="L546" s="45"/>
      <c r="M546" s="46"/>
      <c r="N546" s="45"/>
      <c r="O546" s="47" t="str">
        <f aca="false">IF(OR($L546="",$M546=""),"",(DATE(Semana!$J$3,1,4)-WEEKDAY(DATE(Semana!$J$3,1,4),3))+($L546-1)*7+MATCH($M546,Listas!$F$5:$F$11,0)-1)</f>
        <v/>
      </c>
      <c r="P546" s="47" t="str">
        <f aca="false">IF(OR($F546="",$O546=""),"",$O546+MAX(0,ROUNDUP($AK546*MAX(1,IF($N546="",1,$N546))/MAX(1,$AL546),0)-1))</f>
        <v/>
      </c>
      <c r="Q546" s="48"/>
      <c r="R546" s="43"/>
      <c r="S546" s="49"/>
      <c r="T546" s="42"/>
      <c r="U546" s="42"/>
      <c r="V546" s="39" t="str">
        <f aca="false">IF($F546="","",IF(ISNUMBER(SEARCH("(externo)",$I546&amp;$J546&amp;$K546)),"Terceirizada","Interna"))</f>
        <v/>
      </c>
      <c r="W546" s="47" t="str">
        <f aca="false">IF($O546="","",IF($S546="",$O546,(DATE(Semana!$J$3,1,4)-WEEKDAY(DATE(Semana!$J$3,1,4),3))+($S546-1)*7+IF($M546="",0,MATCH($M546,Listas!$F$5:$F$11,0)-1)))</f>
        <v/>
      </c>
      <c r="X546" s="39" t="str">
        <f aca="false">IF($F546="","",IF(OR($AT546="",$O546=""),0,IF($AT546&lt;=$O546,1,0)))</f>
        <v/>
      </c>
      <c r="Y546" s="39" t="str">
        <f aca="false">IF($F546="","",IF(OR($AT546="",$W546=""),0,IF($AT546&lt;=$W546,1,0)))</f>
        <v/>
      </c>
      <c r="Z546" s="39" t="str">
        <f aca="false">IF(OR($AT546="",$O546=""),"",MAX(0,$AT546-$O546))</f>
        <v/>
      </c>
      <c r="AA546" s="39" t="str">
        <f aca="false">IF($F546="","",IF(AND($S546&lt;&gt;"",$L546&lt;&gt;"",$S546&lt;&gt;$L546),1,0))</f>
        <v/>
      </c>
      <c r="AB546" s="39" t="str">
        <f aca="false">IF($F546="","",IF($R546="Cancelada",0,IF(OR($AT546&lt;&gt;"",$R546="Concluída"),1,0)))</f>
        <v/>
      </c>
      <c r="AC546" s="39" t="n">
        <f aca="false">IF($P546="",0,IF($P546&lt;Hoje!$L$1,1,IF(AND($P546=Hoje!$L$1,Hoje!$L$2&gt;Semana!$M$3),1,0)))</f>
        <v>0</v>
      </c>
      <c r="AD546" s="39" t="str">
        <f aca="false">IF($F546="","",IF(COUNTA($I546:$K546)=0,0,1/COUNTA($I546:$K546)))</f>
        <v/>
      </c>
      <c r="AE546" s="39" t="str">
        <f aca="false">IF($AH546=0,"",SUM($AH$4:$AH546))</f>
        <v/>
      </c>
      <c r="AF546" s="39" t="str">
        <f aca="false">IF($AI546=0,"",SUM($AI$4:$AI546))</f>
        <v/>
      </c>
      <c r="AG546" s="50" t="str">
        <f aca="false">IF($F546="","",$I546&amp;IF($J546="",""," · "&amp;$J546)&amp;IF($K546="",""," · "&amp;$K546))</f>
        <v/>
      </c>
      <c r="AH546" s="39" t="n">
        <f aca="false">IF(AND($F546&lt;&gt;"",$O546&lt;&gt;"",$O546&lt;=Hoje!$C$3,$P546&gt;=Hoje!$C$3,$R546&lt;&gt;"Cancelada"),1,0)</f>
        <v>0</v>
      </c>
      <c r="AI546" s="39" t="n">
        <f aca="false">IF(AND($F546&lt;&gt;"",$P546&lt;&gt;"",$P546&lt;Hoje!$C$3,$AB546=0,$R546&lt;&gt;"Cancelada"),1,0)</f>
        <v>0</v>
      </c>
      <c r="AJ546" s="50" t="str">
        <f aca="false">IF($F546="","",$D546&amp;"|"&amp;$E546&amp;"|"&amp;$L546)</f>
        <v/>
      </c>
      <c r="AK546" s="39" t="str">
        <f aca="false">IF($AJ546="","",COUNTIF($AJ$4:$AJ546,$AJ546))</f>
        <v/>
      </c>
      <c r="AL546" s="39" t="str">
        <f aca="false">IF($AJ546="","",COUNTIF($AJ$4:$AJ$1004,$AJ546))</f>
        <v/>
      </c>
      <c r="AM546" s="42"/>
      <c r="AN546" s="50" t="str">
        <f aca="false">IF($D546="","",IFERROR(T(VLOOKUP($D546,Listas!$B$5:$H$120,7,0)),""))</f>
        <v/>
      </c>
      <c r="AO546" s="50" t="str">
        <f aca="false">IF(OR($F546="",$L546&lt;&gt;"",$R546="Cancelada",$AT546&lt;&gt;""),"",$AN546&amp;"|"&amp;$D546&amp;"|"&amp;IF($C546="","zzz",$C546)&amp;"|"&amp;TEXT(546,"0000"))</f>
        <v/>
      </c>
      <c r="AP546" s="50" t="str">
        <f aca="false">IF($AO546="","",COUNTIF($AO$5:$AO$1004,"&lt;"&amp;$AO546)-(ROWS($AO$5:$AO$1004)-Hoje!$L$5)+1)</f>
        <v/>
      </c>
      <c r="AQ546" s="50" t="n">
        <f aca="false">IF(AND($F546&lt;&gt;"",$D546=Frota!$C$3),1,0)</f>
        <v>0</v>
      </c>
      <c r="AR546" s="50" t="str">
        <f aca="false">IF($AQ546=0,"",SUM($AQ$4:$AQ546))</f>
        <v/>
      </c>
      <c r="AS546" s="50" t="str">
        <f aca="false">IFERROR(INDEX(Hoje!$K$10:$K$29,MATCH(ROW(),Hoje!$J$10:$J$29,0)),"")</f>
        <v/>
      </c>
      <c r="AT546" s="50" t="str">
        <f aca="false">IF($Q546&lt;&gt;"",$Q546,$AS546)</f>
        <v/>
      </c>
    </row>
    <row r="547" customFormat="false" ht="16.5" hidden="false" customHeight="true" outlineLevel="0" collapsed="false">
      <c r="A547" s="39" t="str">
        <f aca="false">IF($F547="","",ROW())</f>
        <v/>
      </c>
      <c r="B547" s="40" t="str">
        <f aca="false">IF($F547="",IF($D547="","","Falta a atividade"),IF($R547="Cancelada","Cancelada",IF($AB547=1,IF(N($Z547)&gt;0,"Concluída com atraso","Concluída"),IF($R547="Em programação","Em programação",IF($O547="",IF($M547="","Na carteira","Falta a semana"),IF($AC547=1,"VENCIDA",IF($O547&gt;Hoje!$L$1,"Programada",IF($P547&gt;Hoje!$L$1,"Em execução","Fecha hoje"))))))))</f>
        <v/>
      </c>
      <c r="C547" s="41"/>
      <c r="D547" s="42"/>
      <c r="E547" s="42"/>
      <c r="F547" s="42"/>
      <c r="G547" s="43"/>
      <c r="H547" s="43"/>
      <c r="I547" s="44"/>
      <c r="J547" s="44"/>
      <c r="K547" s="44"/>
      <c r="L547" s="45"/>
      <c r="M547" s="46"/>
      <c r="N547" s="45"/>
      <c r="O547" s="47" t="str">
        <f aca="false">IF(OR($L547="",$M547=""),"",(DATE(Semana!$J$3,1,4)-WEEKDAY(DATE(Semana!$J$3,1,4),3))+($L547-1)*7+MATCH($M547,Listas!$F$5:$F$11,0)-1)</f>
        <v/>
      </c>
      <c r="P547" s="47" t="str">
        <f aca="false">IF(OR($F547="",$O547=""),"",$O547+MAX(0,ROUNDUP($AK547*MAX(1,IF($N547="",1,$N547))/MAX(1,$AL547),0)-1))</f>
        <v/>
      </c>
      <c r="Q547" s="48"/>
      <c r="R547" s="43"/>
      <c r="S547" s="49"/>
      <c r="T547" s="42"/>
      <c r="U547" s="42"/>
      <c r="V547" s="39" t="str">
        <f aca="false">IF($F547="","",IF(ISNUMBER(SEARCH("(externo)",$I547&amp;$J547&amp;$K547)),"Terceirizada","Interna"))</f>
        <v/>
      </c>
      <c r="W547" s="47" t="str">
        <f aca="false">IF($O547="","",IF($S547="",$O547,(DATE(Semana!$J$3,1,4)-WEEKDAY(DATE(Semana!$J$3,1,4),3))+($S547-1)*7+IF($M547="",0,MATCH($M547,Listas!$F$5:$F$11,0)-1)))</f>
        <v/>
      </c>
      <c r="X547" s="39" t="str">
        <f aca="false">IF($F547="","",IF(OR($AT547="",$O547=""),0,IF($AT547&lt;=$O547,1,0)))</f>
        <v/>
      </c>
      <c r="Y547" s="39" t="str">
        <f aca="false">IF($F547="","",IF(OR($AT547="",$W547=""),0,IF($AT547&lt;=$W547,1,0)))</f>
        <v/>
      </c>
      <c r="Z547" s="39" t="str">
        <f aca="false">IF(OR($AT547="",$O547=""),"",MAX(0,$AT547-$O547))</f>
        <v/>
      </c>
      <c r="AA547" s="39" t="str">
        <f aca="false">IF($F547="","",IF(AND($S547&lt;&gt;"",$L547&lt;&gt;"",$S547&lt;&gt;$L547),1,0))</f>
        <v/>
      </c>
      <c r="AB547" s="39" t="str">
        <f aca="false">IF($F547="","",IF($R547="Cancelada",0,IF(OR($AT547&lt;&gt;"",$R547="Concluída"),1,0)))</f>
        <v/>
      </c>
      <c r="AC547" s="39" t="n">
        <f aca="false">IF($P547="",0,IF($P547&lt;Hoje!$L$1,1,IF(AND($P547=Hoje!$L$1,Hoje!$L$2&gt;Semana!$M$3),1,0)))</f>
        <v>0</v>
      </c>
      <c r="AD547" s="39" t="str">
        <f aca="false">IF($F547="","",IF(COUNTA($I547:$K547)=0,0,1/COUNTA($I547:$K547)))</f>
        <v/>
      </c>
      <c r="AE547" s="39" t="str">
        <f aca="false">IF($AH547=0,"",SUM($AH$4:$AH547))</f>
        <v/>
      </c>
      <c r="AF547" s="39" t="str">
        <f aca="false">IF($AI547=0,"",SUM($AI$4:$AI547))</f>
        <v/>
      </c>
      <c r="AG547" s="50" t="str">
        <f aca="false">IF($F547="","",$I547&amp;IF($J547="",""," · "&amp;$J547)&amp;IF($K547="",""," · "&amp;$K547))</f>
        <v/>
      </c>
      <c r="AH547" s="39" t="n">
        <f aca="false">IF(AND($F547&lt;&gt;"",$O547&lt;&gt;"",$O547&lt;=Hoje!$C$3,$P547&gt;=Hoje!$C$3,$R547&lt;&gt;"Cancelada"),1,0)</f>
        <v>0</v>
      </c>
      <c r="AI547" s="39" t="n">
        <f aca="false">IF(AND($F547&lt;&gt;"",$P547&lt;&gt;"",$P547&lt;Hoje!$C$3,$AB547=0,$R547&lt;&gt;"Cancelada"),1,0)</f>
        <v>0</v>
      </c>
      <c r="AJ547" s="50" t="str">
        <f aca="false">IF($F547="","",$D547&amp;"|"&amp;$E547&amp;"|"&amp;$L547)</f>
        <v/>
      </c>
      <c r="AK547" s="39" t="str">
        <f aca="false">IF($AJ547="","",COUNTIF($AJ$4:$AJ547,$AJ547))</f>
        <v/>
      </c>
      <c r="AL547" s="39" t="str">
        <f aca="false">IF($AJ547="","",COUNTIF($AJ$4:$AJ$1004,$AJ547))</f>
        <v/>
      </c>
      <c r="AM547" s="42"/>
      <c r="AN547" s="50" t="str">
        <f aca="false">IF($D547="","",IFERROR(T(VLOOKUP($D547,Listas!$B$5:$H$120,7,0)),""))</f>
        <v/>
      </c>
      <c r="AO547" s="50" t="str">
        <f aca="false">IF(OR($F547="",$L547&lt;&gt;"",$R547="Cancelada",$AT547&lt;&gt;""),"",$AN547&amp;"|"&amp;$D547&amp;"|"&amp;IF($C547="","zzz",$C547)&amp;"|"&amp;TEXT(547,"0000"))</f>
        <v/>
      </c>
      <c r="AP547" s="50" t="str">
        <f aca="false">IF($AO547="","",COUNTIF($AO$5:$AO$1004,"&lt;"&amp;$AO547)-(ROWS($AO$5:$AO$1004)-Hoje!$L$5)+1)</f>
        <v/>
      </c>
      <c r="AQ547" s="50" t="n">
        <f aca="false">IF(AND($F547&lt;&gt;"",$D547=Frota!$C$3),1,0)</f>
        <v>0</v>
      </c>
      <c r="AR547" s="50" t="str">
        <f aca="false">IF($AQ547=0,"",SUM($AQ$4:$AQ547))</f>
        <v/>
      </c>
      <c r="AS547" s="50" t="str">
        <f aca="false">IFERROR(INDEX(Hoje!$K$10:$K$29,MATCH(ROW(),Hoje!$J$10:$J$29,0)),"")</f>
        <v/>
      </c>
      <c r="AT547" s="50" t="str">
        <f aca="false">IF($Q547&lt;&gt;"",$Q547,$AS547)</f>
        <v/>
      </c>
    </row>
    <row r="548" customFormat="false" ht="16.5" hidden="false" customHeight="true" outlineLevel="0" collapsed="false">
      <c r="A548" s="39" t="str">
        <f aca="false">IF($F548="","",ROW())</f>
        <v/>
      </c>
      <c r="B548" s="40" t="str">
        <f aca="false">IF($F548="",IF($D548="","","Falta a atividade"),IF($R548="Cancelada","Cancelada",IF($AB548=1,IF(N($Z548)&gt;0,"Concluída com atraso","Concluída"),IF($R548="Em programação","Em programação",IF($O548="",IF($M548="","Na carteira","Falta a semana"),IF($AC548=1,"VENCIDA",IF($O548&gt;Hoje!$L$1,"Programada",IF($P548&gt;Hoje!$L$1,"Em execução","Fecha hoje"))))))))</f>
        <v/>
      </c>
      <c r="C548" s="41"/>
      <c r="D548" s="42"/>
      <c r="E548" s="42"/>
      <c r="F548" s="42"/>
      <c r="G548" s="43"/>
      <c r="H548" s="43"/>
      <c r="I548" s="44"/>
      <c r="J548" s="44"/>
      <c r="K548" s="44"/>
      <c r="L548" s="45"/>
      <c r="M548" s="46"/>
      <c r="N548" s="45"/>
      <c r="O548" s="47" t="str">
        <f aca="false">IF(OR($L548="",$M548=""),"",(DATE(Semana!$J$3,1,4)-WEEKDAY(DATE(Semana!$J$3,1,4),3))+($L548-1)*7+MATCH($M548,Listas!$F$5:$F$11,0)-1)</f>
        <v/>
      </c>
      <c r="P548" s="47" t="str">
        <f aca="false">IF(OR($F548="",$O548=""),"",$O548+MAX(0,ROUNDUP($AK548*MAX(1,IF($N548="",1,$N548))/MAX(1,$AL548),0)-1))</f>
        <v/>
      </c>
      <c r="Q548" s="48"/>
      <c r="R548" s="43"/>
      <c r="S548" s="49"/>
      <c r="T548" s="42"/>
      <c r="U548" s="42"/>
      <c r="V548" s="39" t="str">
        <f aca="false">IF($F548="","",IF(ISNUMBER(SEARCH("(externo)",$I548&amp;$J548&amp;$K548)),"Terceirizada","Interna"))</f>
        <v/>
      </c>
      <c r="W548" s="47" t="str">
        <f aca="false">IF($O548="","",IF($S548="",$O548,(DATE(Semana!$J$3,1,4)-WEEKDAY(DATE(Semana!$J$3,1,4),3))+($S548-1)*7+IF($M548="",0,MATCH($M548,Listas!$F$5:$F$11,0)-1)))</f>
        <v/>
      </c>
      <c r="X548" s="39" t="str">
        <f aca="false">IF($F548="","",IF(OR($AT548="",$O548=""),0,IF($AT548&lt;=$O548,1,0)))</f>
        <v/>
      </c>
      <c r="Y548" s="39" t="str">
        <f aca="false">IF($F548="","",IF(OR($AT548="",$W548=""),0,IF($AT548&lt;=$W548,1,0)))</f>
        <v/>
      </c>
      <c r="Z548" s="39" t="str">
        <f aca="false">IF(OR($AT548="",$O548=""),"",MAX(0,$AT548-$O548))</f>
        <v/>
      </c>
      <c r="AA548" s="39" t="str">
        <f aca="false">IF($F548="","",IF(AND($S548&lt;&gt;"",$L548&lt;&gt;"",$S548&lt;&gt;$L548),1,0))</f>
        <v/>
      </c>
      <c r="AB548" s="39" t="str">
        <f aca="false">IF($F548="","",IF($R548="Cancelada",0,IF(OR($AT548&lt;&gt;"",$R548="Concluída"),1,0)))</f>
        <v/>
      </c>
      <c r="AC548" s="39" t="n">
        <f aca="false">IF($P548="",0,IF($P548&lt;Hoje!$L$1,1,IF(AND($P548=Hoje!$L$1,Hoje!$L$2&gt;Semana!$M$3),1,0)))</f>
        <v>0</v>
      </c>
      <c r="AD548" s="39" t="str">
        <f aca="false">IF($F548="","",IF(COUNTA($I548:$K548)=0,0,1/COUNTA($I548:$K548)))</f>
        <v/>
      </c>
      <c r="AE548" s="39" t="str">
        <f aca="false">IF($AH548=0,"",SUM($AH$4:$AH548))</f>
        <v/>
      </c>
      <c r="AF548" s="39" t="str">
        <f aca="false">IF($AI548=0,"",SUM($AI$4:$AI548))</f>
        <v/>
      </c>
      <c r="AG548" s="50" t="str">
        <f aca="false">IF($F548="","",$I548&amp;IF($J548="",""," · "&amp;$J548)&amp;IF($K548="",""," · "&amp;$K548))</f>
        <v/>
      </c>
      <c r="AH548" s="39" t="n">
        <f aca="false">IF(AND($F548&lt;&gt;"",$O548&lt;&gt;"",$O548&lt;=Hoje!$C$3,$P548&gt;=Hoje!$C$3,$R548&lt;&gt;"Cancelada"),1,0)</f>
        <v>0</v>
      </c>
      <c r="AI548" s="39" t="n">
        <f aca="false">IF(AND($F548&lt;&gt;"",$P548&lt;&gt;"",$P548&lt;Hoje!$C$3,$AB548=0,$R548&lt;&gt;"Cancelada"),1,0)</f>
        <v>0</v>
      </c>
      <c r="AJ548" s="50" t="str">
        <f aca="false">IF($F548="","",$D548&amp;"|"&amp;$E548&amp;"|"&amp;$L548)</f>
        <v/>
      </c>
      <c r="AK548" s="39" t="str">
        <f aca="false">IF($AJ548="","",COUNTIF($AJ$4:$AJ548,$AJ548))</f>
        <v/>
      </c>
      <c r="AL548" s="39" t="str">
        <f aca="false">IF($AJ548="","",COUNTIF($AJ$4:$AJ$1004,$AJ548))</f>
        <v/>
      </c>
      <c r="AM548" s="42"/>
      <c r="AN548" s="50" t="str">
        <f aca="false">IF($D548="","",IFERROR(T(VLOOKUP($D548,Listas!$B$5:$H$120,7,0)),""))</f>
        <v/>
      </c>
      <c r="AO548" s="50" t="str">
        <f aca="false">IF(OR($F548="",$L548&lt;&gt;"",$R548="Cancelada",$AT548&lt;&gt;""),"",$AN548&amp;"|"&amp;$D548&amp;"|"&amp;IF($C548="","zzz",$C548)&amp;"|"&amp;TEXT(548,"0000"))</f>
        <v/>
      </c>
      <c r="AP548" s="50" t="str">
        <f aca="false">IF($AO548="","",COUNTIF($AO$5:$AO$1004,"&lt;"&amp;$AO548)-(ROWS($AO$5:$AO$1004)-Hoje!$L$5)+1)</f>
        <v/>
      </c>
      <c r="AQ548" s="50" t="n">
        <f aca="false">IF(AND($F548&lt;&gt;"",$D548=Frota!$C$3),1,0)</f>
        <v>0</v>
      </c>
      <c r="AR548" s="50" t="str">
        <f aca="false">IF($AQ548=0,"",SUM($AQ$4:$AQ548))</f>
        <v/>
      </c>
      <c r="AS548" s="50" t="str">
        <f aca="false">IFERROR(INDEX(Hoje!$K$10:$K$29,MATCH(ROW(),Hoje!$J$10:$J$29,0)),"")</f>
        <v/>
      </c>
      <c r="AT548" s="50" t="str">
        <f aca="false">IF($Q548&lt;&gt;"",$Q548,$AS548)</f>
        <v/>
      </c>
    </row>
    <row r="549" customFormat="false" ht="16.5" hidden="false" customHeight="true" outlineLevel="0" collapsed="false">
      <c r="A549" s="39" t="str">
        <f aca="false">IF($F549="","",ROW())</f>
        <v/>
      </c>
      <c r="B549" s="40" t="str">
        <f aca="false">IF($F549="",IF($D549="","","Falta a atividade"),IF($R549="Cancelada","Cancelada",IF($AB549=1,IF(N($Z549)&gt;0,"Concluída com atraso","Concluída"),IF($R549="Em programação","Em programação",IF($O549="",IF($M549="","Na carteira","Falta a semana"),IF($AC549=1,"VENCIDA",IF($O549&gt;Hoje!$L$1,"Programada",IF($P549&gt;Hoje!$L$1,"Em execução","Fecha hoje"))))))))</f>
        <v/>
      </c>
      <c r="C549" s="41"/>
      <c r="D549" s="42"/>
      <c r="E549" s="42"/>
      <c r="F549" s="42"/>
      <c r="G549" s="43"/>
      <c r="H549" s="43"/>
      <c r="I549" s="44"/>
      <c r="J549" s="44"/>
      <c r="K549" s="44"/>
      <c r="L549" s="45"/>
      <c r="M549" s="46"/>
      <c r="N549" s="45"/>
      <c r="O549" s="47" t="str">
        <f aca="false">IF(OR($L549="",$M549=""),"",(DATE(Semana!$J$3,1,4)-WEEKDAY(DATE(Semana!$J$3,1,4),3))+($L549-1)*7+MATCH($M549,Listas!$F$5:$F$11,0)-1)</f>
        <v/>
      </c>
      <c r="P549" s="47" t="str">
        <f aca="false">IF(OR($F549="",$O549=""),"",$O549+MAX(0,ROUNDUP($AK549*MAX(1,IF($N549="",1,$N549))/MAX(1,$AL549),0)-1))</f>
        <v/>
      </c>
      <c r="Q549" s="48"/>
      <c r="R549" s="43"/>
      <c r="S549" s="49"/>
      <c r="T549" s="42"/>
      <c r="U549" s="42"/>
      <c r="V549" s="39" t="str">
        <f aca="false">IF($F549="","",IF(ISNUMBER(SEARCH("(externo)",$I549&amp;$J549&amp;$K549)),"Terceirizada","Interna"))</f>
        <v/>
      </c>
      <c r="W549" s="47" t="str">
        <f aca="false">IF($O549="","",IF($S549="",$O549,(DATE(Semana!$J$3,1,4)-WEEKDAY(DATE(Semana!$J$3,1,4),3))+($S549-1)*7+IF($M549="",0,MATCH($M549,Listas!$F$5:$F$11,0)-1)))</f>
        <v/>
      </c>
      <c r="X549" s="39" t="str">
        <f aca="false">IF($F549="","",IF(OR($AT549="",$O549=""),0,IF($AT549&lt;=$O549,1,0)))</f>
        <v/>
      </c>
      <c r="Y549" s="39" t="str">
        <f aca="false">IF($F549="","",IF(OR($AT549="",$W549=""),0,IF($AT549&lt;=$W549,1,0)))</f>
        <v/>
      </c>
      <c r="Z549" s="39" t="str">
        <f aca="false">IF(OR($AT549="",$O549=""),"",MAX(0,$AT549-$O549))</f>
        <v/>
      </c>
      <c r="AA549" s="39" t="str">
        <f aca="false">IF($F549="","",IF(AND($S549&lt;&gt;"",$L549&lt;&gt;"",$S549&lt;&gt;$L549),1,0))</f>
        <v/>
      </c>
      <c r="AB549" s="39" t="str">
        <f aca="false">IF($F549="","",IF($R549="Cancelada",0,IF(OR($AT549&lt;&gt;"",$R549="Concluída"),1,0)))</f>
        <v/>
      </c>
      <c r="AC549" s="39" t="n">
        <f aca="false">IF($P549="",0,IF($P549&lt;Hoje!$L$1,1,IF(AND($P549=Hoje!$L$1,Hoje!$L$2&gt;Semana!$M$3),1,0)))</f>
        <v>0</v>
      </c>
      <c r="AD549" s="39" t="str">
        <f aca="false">IF($F549="","",IF(COUNTA($I549:$K549)=0,0,1/COUNTA($I549:$K549)))</f>
        <v/>
      </c>
      <c r="AE549" s="39" t="str">
        <f aca="false">IF($AH549=0,"",SUM($AH$4:$AH549))</f>
        <v/>
      </c>
      <c r="AF549" s="39" t="str">
        <f aca="false">IF($AI549=0,"",SUM($AI$4:$AI549))</f>
        <v/>
      </c>
      <c r="AG549" s="50" t="str">
        <f aca="false">IF($F549="","",$I549&amp;IF($J549="",""," · "&amp;$J549)&amp;IF($K549="",""," · "&amp;$K549))</f>
        <v/>
      </c>
      <c r="AH549" s="39" t="n">
        <f aca="false">IF(AND($F549&lt;&gt;"",$O549&lt;&gt;"",$O549&lt;=Hoje!$C$3,$P549&gt;=Hoje!$C$3,$R549&lt;&gt;"Cancelada"),1,0)</f>
        <v>0</v>
      </c>
      <c r="AI549" s="39" t="n">
        <f aca="false">IF(AND($F549&lt;&gt;"",$P549&lt;&gt;"",$P549&lt;Hoje!$C$3,$AB549=0,$R549&lt;&gt;"Cancelada"),1,0)</f>
        <v>0</v>
      </c>
      <c r="AJ549" s="50" t="str">
        <f aca="false">IF($F549="","",$D549&amp;"|"&amp;$E549&amp;"|"&amp;$L549)</f>
        <v/>
      </c>
      <c r="AK549" s="39" t="str">
        <f aca="false">IF($AJ549="","",COUNTIF($AJ$4:$AJ549,$AJ549))</f>
        <v/>
      </c>
      <c r="AL549" s="39" t="str">
        <f aca="false">IF($AJ549="","",COUNTIF($AJ$4:$AJ$1004,$AJ549))</f>
        <v/>
      </c>
      <c r="AM549" s="42"/>
      <c r="AN549" s="50" t="str">
        <f aca="false">IF($D549="","",IFERROR(T(VLOOKUP($D549,Listas!$B$5:$H$120,7,0)),""))</f>
        <v/>
      </c>
      <c r="AO549" s="50" t="str">
        <f aca="false">IF(OR($F549="",$L549&lt;&gt;"",$R549="Cancelada",$AT549&lt;&gt;""),"",$AN549&amp;"|"&amp;$D549&amp;"|"&amp;IF($C549="","zzz",$C549)&amp;"|"&amp;TEXT(549,"0000"))</f>
        <v/>
      </c>
      <c r="AP549" s="50" t="str">
        <f aca="false">IF($AO549="","",COUNTIF($AO$5:$AO$1004,"&lt;"&amp;$AO549)-(ROWS($AO$5:$AO$1004)-Hoje!$L$5)+1)</f>
        <v/>
      </c>
      <c r="AQ549" s="50" t="n">
        <f aca="false">IF(AND($F549&lt;&gt;"",$D549=Frota!$C$3),1,0)</f>
        <v>0</v>
      </c>
      <c r="AR549" s="50" t="str">
        <f aca="false">IF($AQ549=0,"",SUM($AQ$4:$AQ549))</f>
        <v/>
      </c>
      <c r="AS549" s="50" t="str">
        <f aca="false">IFERROR(INDEX(Hoje!$K$10:$K$29,MATCH(ROW(),Hoje!$J$10:$J$29,0)),"")</f>
        <v/>
      </c>
      <c r="AT549" s="50" t="str">
        <f aca="false">IF($Q549&lt;&gt;"",$Q549,$AS549)</f>
        <v/>
      </c>
    </row>
    <row r="550" customFormat="false" ht="16.5" hidden="false" customHeight="true" outlineLevel="0" collapsed="false">
      <c r="A550" s="39" t="str">
        <f aca="false">IF($F550="","",ROW())</f>
        <v/>
      </c>
      <c r="B550" s="40" t="str">
        <f aca="false">IF($F550="",IF($D550="","","Falta a atividade"),IF($R550="Cancelada","Cancelada",IF($AB550=1,IF(N($Z550)&gt;0,"Concluída com atraso","Concluída"),IF($R550="Em programação","Em programação",IF($O550="",IF($M550="","Na carteira","Falta a semana"),IF($AC550=1,"VENCIDA",IF($O550&gt;Hoje!$L$1,"Programada",IF($P550&gt;Hoje!$L$1,"Em execução","Fecha hoje"))))))))</f>
        <v/>
      </c>
      <c r="C550" s="41"/>
      <c r="D550" s="42"/>
      <c r="E550" s="42"/>
      <c r="F550" s="42"/>
      <c r="G550" s="43"/>
      <c r="H550" s="43"/>
      <c r="I550" s="44"/>
      <c r="J550" s="44"/>
      <c r="K550" s="44"/>
      <c r="L550" s="45"/>
      <c r="M550" s="46"/>
      <c r="N550" s="45"/>
      <c r="O550" s="47" t="str">
        <f aca="false">IF(OR($L550="",$M550=""),"",(DATE(Semana!$J$3,1,4)-WEEKDAY(DATE(Semana!$J$3,1,4),3))+($L550-1)*7+MATCH($M550,Listas!$F$5:$F$11,0)-1)</f>
        <v/>
      </c>
      <c r="P550" s="47" t="str">
        <f aca="false">IF(OR($F550="",$O550=""),"",$O550+MAX(0,ROUNDUP($AK550*MAX(1,IF($N550="",1,$N550))/MAX(1,$AL550),0)-1))</f>
        <v/>
      </c>
      <c r="Q550" s="48"/>
      <c r="R550" s="43"/>
      <c r="S550" s="49"/>
      <c r="T550" s="42"/>
      <c r="U550" s="42"/>
      <c r="V550" s="39" t="str">
        <f aca="false">IF($F550="","",IF(ISNUMBER(SEARCH("(externo)",$I550&amp;$J550&amp;$K550)),"Terceirizada","Interna"))</f>
        <v/>
      </c>
      <c r="W550" s="47" t="str">
        <f aca="false">IF($O550="","",IF($S550="",$O550,(DATE(Semana!$J$3,1,4)-WEEKDAY(DATE(Semana!$J$3,1,4),3))+($S550-1)*7+IF($M550="",0,MATCH($M550,Listas!$F$5:$F$11,0)-1)))</f>
        <v/>
      </c>
      <c r="X550" s="39" t="str">
        <f aca="false">IF($F550="","",IF(OR($AT550="",$O550=""),0,IF($AT550&lt;=$O550,1,0)))</f>
        <v/>
      </c>
      <c r="Y550" s="39" t="str">
        <f aca="false">IF($F550="","",IF(OR($AT550="",$W550=""),0,IF($AT550&lt;=$W550,1,0)))</f>
        <v/>
      </c>
      <c r="Z550" s="39" t="str">
        <f aca="false">IF(OR($AT550="",$O550=""),"",MAX(0,$AT550-$O550))</f>
        <v/>
      </c>
      <c r="AA550" s="39" t="str">
        <f aca="false">IF($F550="","",IF(AND($S550&lt;&gt;"",$L550&lt;&gt;"",$S550&lt;&gt;$L550),1,0))</f>
        <v/>
      </c>
      <c r="AB550" s="39" t="str">
        <f aca="false">IF($F550="","",IF($R550="Cancelada",0,IF(OR($AT550&lt;&gt;"",$R550="Concluída"),1,0)))</f>
        <v/>
      </c>
      <c r="AC550" s="39" t="n">
        <f aca="false">IF($P550="",0,IF($P550&lt;Hoje!$L$1,1,IF(AND($P550=Hoje!$L$1,Hoje!$L$2&gt;Semana!$M$3),1,0)))</f>
        <v>0</v>
      </c>
      <c r="AD550" s="39" t="str">
        <f aca="false">IF($F550="","",IF(COUNTA($I550:$K550)=0,0,1/COUNTA($I550:$K550)))</f>
        <v/>
      </c>
      <c r="AE550" s="39" t="str">
        <f aca="false">IF($AH550=0,"",SUM($AH$4:$AH550))</f>
        <v/>
      </c>
      <c r="AF550" s="39" t="str">
        <f aca="false">IF($AI550=0,"",SUM($AI$4:$AI550))</f>
        <v/>
      </c>
      <c r="AG550" s="50" t="str">
        <f aca="false">IF($F550="","",$I550&amp;IF($J550="",""," · "&amp;$J550)&amp;IF($K550="",""," · "&amp;$K550))</f>
        <v/>
      </c>
      <c r="AH550" s="39" t="n">
        <f aca="false">IF(AND($F550&lt;&gt;"",$O550&lt;&gt;"",$O550&lt;=Hoje!$C$3,$P550&gt;=Hoje!$C$3,$R550&lt;&gt;"Cancelada"),1,0)</f>
        <v>0</v>
      </c>
      <c r="AI550" s="39" t="n">
        <f aca="false">IF(AND($F550&lt;&gt;"",$P550&lt;&gt;"",$P550&lt;Hoje!$C$3,$AB550=0,$R550&lt;&gt;"Cancelada"),1,0)</f>
        <v>0</v>
      </c>
      <c r="AJ550" s="50" t="str">
        <f aca="false">IF($F550="","",$D550&amp;"|"&amp;$E550&amp;"|"&amp;$L550)</f>
        <v/>
      </c>
      <c r="AK550" s="39" t="str">
        <f aca="false">IF($AJ550="","",COUNTIF($AJ$4:$AJ550,$AJ550))</f>
        <v/>
      </c>
      <c r="AL550" s="39" t="str">
        <f aca="false">IF($AJ550="","",COUNTIF($AJ$4:$AJ$1004,$AJ550))</f>
        <v/>
      </c>
      <c r="AM550" s="42"/>
      <c r="AN550" s="50" t="str">
        <f aca="false">IF($D550="","",IFERROR(T(VLOOKUP($D550,Listas!$B$5:$H$120,7,0)),""))</f>
        <v/>
      </c>
      <c r="AO550" s="50" t="str">
        <f aca="false">IF(OR($F550="",$L550&lt;&gt;"",$R550="Cancelada",$AT550&lt;&gt;""),"",$AN550&amp;"|"&amp;$D550&amp;"|"&amp;IF($C550="","zzz",$C550)&amp;"|"&amp;TEXT(550,"0000"))</f>
        <v/>
      </c>
      <c r="AP550" s="50" t="str">
        <f aca="false">IF($AO550="","",COUNTIF($AO$5:$AO$1004,"&lt;"&amp;$AO550)-(ROWS($AO$5:$AO$1004)-Hoje!$L$5)+1)</f>
        <v/>
      </c>
      <c r="AQ550" s="50" t="n">
        <f aca="false">IF(AND($F550&lt;&gt;"",$D550=Frota!$C$3),1,0)</f>
        <v>0</v>
      </c>
      <c r="AR550" s="50" t="str">
        <f aca="false">IF($AQ550=0,"",SUM($AQ$4:$AQ550))</f>
        <v/>
      </c>
      <c r="AS550" s="50" t="str">
        <f aca="false">IFERROR(INDEX(Hoje!$K$10:$K$29,MATCH(ROW(),Hoje!$J$10:$J$29,0)),"")</f>
        <v/>
      </c>
      <c r="AT550" s="50" t="str">
        <f aca="false">IF($Q550&lt;&gt;"",$Q550,$AS550)</f>
        <v/>
      </c>
    </row>
    <row r="551" customFormat="false" ht="16.5" hidden="false" customHeight="true" outlineLevel="0" collapsed="false">
      <c r="A551" s="39" t="str">
        <f aca="false">IF($F551="","",ROW())</f>
        <v/>
      </c>
      <c r="B551" s="40" t="str">
        <f aca="false">IF($F551="",IF($D551="","","Falta a atividade"),IF($R551="Cancelada","Cancelada",IF($AB551=1,IF(N($Z551)&gt;0,"Concluída com atraso","Concluída"),IF($R551="Em programação","Em programação",IF($O551="",IF($M551="","Na carteira","Falta a semana"),IF($AC551=1,"VENCIDA",IF($O551&gt;Hoje!$L$1,"Programada",IF($P551&gt;Hoje!$L$1,"Em execução","Fecha hoje"))))))))</f>
        <v/>
      </c>
      <c r="C551" s="41"/>
      <c r="D551" s="42"/>
      <c r="E551" s="42"/>
      <c r="F551" s="42"/>
      <c r="G551" s="43"/>
      <c r="H551" s="43"/>
      <c r="I551" s="44"/>
      <c r="J551" s="44"/>
      <c r="K551" s="44"/>
      <c r="L551" s="45"/>
      <c r="M551" s="46"/>
      <c r="N551" s="45"/>
      <c r="O551" s="47" t="str">
        <f aca="false">IF(OR($L551="",$M551=""),"",(DATE(Semana!$J$3,1,4)-WEEKDAY(DATE(Semana!$J$3,1,4),3))+($L551-1)*7+MATCH($M551,Listas!$F$5:$F$11,0)-1)</f>
        <v/>
      </c>
      <c r="P551" s="47" t="str">
        <f aca="false">IF(OR($F551="",$O551=""),"",$O551+MAX(0,ROUNDUP($AK551*MAX(1,IF($N551="",1,$N551))/MAX(1,$AL551),0)-1))</f>
        <v/>
      </c>
      <c r="Q551" s="48"/>
      <c r="R551" s="43"/>
      <c r="S551" s="49"/>
      <c r="T551" s="42"/>
      <c r="U551" s="42"/>
      <c r="V551" s="39" t="str">
        <f aca="false">IF($F551="","",IF(ISNUMBER(SEARCH("(externo)",$I551&amp;$J551&amp;$K551)),"Terceirizada","Interna"))</f>
        <v/>
      </c>
      <c r="W551" s="47" t="str">
        <f aca="false">IF($O551="","",IF($S551="",$O551,(DATE(Semana!$J$3,1,4)-WEEKDAY(DATE(Semana!$J$3,1,4),3))+($S551-1)*7+IF($M551="",0,MATCH($M551,Listas!$F$5:$F$11,0)-1)))</f>
        <v/>
      </c>
      <c r="X551" s="39" t="str">
        <f aca="false">IF($F551="","",IF(OR($AT551="",$O551=""),0,IF($AT551&lt;=$O551,1,0)))</f>
        <v/>
      </c>
      <c r="Y551" s="39" t="str">
        <f aca="false">IF($F551="","",IF(OR($AT551="",$W551=""),0,IF($AT551&lt;=$W551,1,0)))</f>
        <v/>
      </c>
      <c r="Z551" s="39" t="str">
        <f aca="false">IF(OR($AT551="",$O551=""),"",MAX(0,$AT551-$O551))</f>
        <v/>
      </c>
      <c r="AA551" s="39" t="str">
        <f aca="false">IF($F551="","",IF(AND($S551&lt;&gt;"",$L551&lt;&gt;"",$S551&lt;&gt;$L551),1,0))</f>
        <v/>
      </c>
      <c r="AB551" s="39" t="str">
        <f aca="false">IF($F551="","",IF($R551="Cancelada",0,IF(OR($AT551&lt;&gt;"",$R551="Concluída"),1,0)))</f>
        <v/>
      </c>
      <c r="AC551" s="39" t="n">
        <f aca="false">IF($P551="",0,IF($P551&lt;Hoje!$L$1,1,IF(AND($P551=Hoje!$L$1,Hoje!$L$2&gt;Semana!$M$3),1,0)))</f>
        <v>0</v>
      </c>
      <c r="AD551" s="39" t="str">
        <f aca="false">IF($F551="","",IF(COUNTA($I551:$K551)=0,0,1/COUNTA($I551:$K551)))</f>
        <v/>
      </c>
      <c r="AE551" s="39" t="str">
        <f aca="false">IF($AH551=0,"",SUM($AH$4:$AH551))</f>
        <v/>
      </c>
      <c r="AF551" s="39" t="str">
        <f aca="false">IF($AI551=0,"",SUM($AI$4:$AI551))</f>
        <v/>
      </c>
      <c r="AG551" s="50" t="str">
        <f aca="false">IF($F551="","",$I551&amp;IF($J551="",""," · "&amp;$J551)&amp;IF($K551="",""," · "&amp;$K551))</f>
        <v/>
      </c>
      <c r="AH551" s="39" t="n">
        <f aca="false">IF(AND($F551&lt;&gt;"",$O551&lt;&gt;"",$O551&lt;=Hoje!$C$3,$P551&gt;=Hoje!$C$3,$R551&lt;&gt;"Cancelada"),1,0)</f>
        <v>0</v>
      </c>
      <c r="AI551" s="39" t="n">
        <f aca="false">IF(AND($F551&lt;&gt;"",$P551&lt;&gt;"",$P551&lt;Hoje!$C$3,$AB551=0,$R551&lt;&gt;"Cancelada"),1,0)</f>
        <v>0</v>
      </c>
      <c r="AJ551" s="50" t="str">
        <f aca="false">IF($F551="","",$D551&amp;"|"&amp;$E551&amp;"|"&amp;$L551)</f>
        <v/>
      </c>
      <c r="AK551" s="39" t="str">
        <f aca="false">IF($AJ551="","",COUNTIF($AJ$4:$AJ551,$AJ551))</f>
        <v/>
      </c>
      <c r="AL551" s="39" t="str">
        <f aca="false">IF($AJ551="","",COUNTIF($AJ$4:$AJ$1004,$AJ551))</f>
        <v/>
      </c>
      <c r="AM551" s="42"/>
      <c r="AN551" s="50" t="str">
        <f aca="false">IF($D551="","",IFERROR(T(VLOOKUP($D551,Listas!$B$5:$H$120,7,0)),""))</f>
        <v/>
      </c>
      <c r="AO551" s="50" t="str">
        <f aca="false">IF(OR($F551="",$L551&lt;&gt;"",$R551="Cancelada",$AT551&lt;&gt;""),"",$AN551&amp;"|"&amp;$D551&amp;"|"&amp;IF($C551="","zzz",$C551)&amp;"|"&amp;TEXT(551,"0000"))</f>
        <v/>
      </c>
      <c r="AP551" s="50" t="str">
        <f aca="false">IF($AO551="","",COUNTIF($AO$5:$AO$1004,"&lt;"&amp;$AO551)-(ROWS($AO$5:$AO$1004)-Hoje!$L$5)+1)</f>
        <v/>
      </c>
      <c r="AQ551" s="50" t="n">
        <f aca="false">IF(AND($F551&lt;&gt;"",$D551=Frota!$C$3),1,0)</f>
        <v>0</v>
      </c>
      <c r="AR551" s="50" t="str">
        <f aca="false">IF($AQ551=0,"",SUM($AQ$4:$AQ551))</f>
        <v/>
      </c>
      <c r="AS551" s="50" t="str">
        <f aca="false">IFERROR(INDEX(Hoje!$K$10:$K$29,MATCH(ROW(),Hoje!$J$10:$J$29,0)),"")</f>
        <v/>
      </c>
      <c r="AT551" s="50" t="str">
        <f aca="false">IF($Q551&lt;&gt;"",$Q551,$AS551)</f>
        <v/>
      </c>
    </row>
    <row r="552" customFormat="false" ht="16.5" hidden="false" customHeight="true" outlineLevel="0" collapsed="false">
      <c r="A552" s="39" t="str">
        <f aca="false">IF($F552="","",ROW())</f>
        <v/>
      </c>
      <c r="B552" s="40" t="str">
        <f aca="false">IF($F552="",IF($D552="","","Falta a atividade"),IF($R552="Cancelada","Cancelada",IF($AB552=1,IF(N($Z552)&gt;0,"Concluída com atraso","Concluída"),IF($R552="Em programação","Em programação",IF($O552="",IF($M552="","Na carteira","Falta a semana"),IF($AC552=1,"VENCIDA",IF($O552&gt;Hoje!$L$1,"Programada",IF($P552&gt;Hoje!$L$1,"Em execução","Fecha hoje"))))))))</f>
        <v/>
      </c>
      <c r="C552" s="41"/>
      <c r="D552" s="42"/>
      <c r="E552" s="42"/>
      <c r="F552" s="42"/>
      <c r="G552" s="43"/>
      <c r="H552" s="43"/>
      <c r="I552" s="44"/>
      <c r="J552" s="44"/>
      <c r="K552" s="44"/>
      <c r="L552" s="45"/>
      <c r="M552" s="46"/>
      <c r="N552" s="45"/>
      <c r="O552" s="47" t="str">
        <f aca="false">IF(OR($L552="",$M552=""),"",(DATE(Semana!$J$3,1,4)-WEEKDAY(DATE(Semana!$J$3,1,4),3))+($L552-1)*7+MATCH($M552,Listas!$F$5:$F$11,0)-1)</f>
        <v/>
      </c>
      <c r="P552" s="47" t="str">
        <f aca="false">IF(OR($F552="",$O552=""),"",$O552+MAX(0,ROUNDUP($AK552*MAX(1,IF($N552="",1,$N552))/MAX(1,$AL552),0)-1))</f>
        <v/>
      </c>
      <c r="Q552" s="48"/>
      <c r="R552" s="43"/>
      <c r="S552" s="49"/>
      <c r="T552" s="42"/>
      <c r="U552" s="42"/>
      <c r="V552" s="39" t="str">
        <f aca="false">IF($F552="","",IF(ISNUMBER(SEARCH("(externo)",$I552&amp;$J552&amp;$K552)),"Terceirizada","Interna"))</f>
        <v/>
      </c>
      <c r="W552" s="47" t="str">
        <f aca="false">IF($O552="","",IF($S552="",$O552,(DATE(Semana!$J$3,1,4)-WEEKDAY(DATE(Semana!$J$3,1,4),3))+($S552-1)*7+IF($M552="",0,MATCH($M552,Listas!$F$5:$F$11,0)-1)))</f>
        <v/>
      </c>
      <c r="X552" s="39" t="str">
        <f aca="false">IF($F552="","",IF(OR($AT552="",$O552=""),0,IF($AT552&lt;=$O552,1,0)))</f>
        <v/>
      </c>
      <c r="Y552" s="39" t="str">
        <f aca="false">IF($F552="","",IF(OR($AT552="",$W552=""),0,IF($AT552&lt;=$W552,1,0)))</f>
        <v/>
      </c>
      <c r="Z552" s="39" t="str">
        <f aca="false">IF(OR($AT552="",$O552=""),"",MAX(0,$AT552-$O552))</f>
        <v/>
      </c>
      <c r="AA552" s="39" t="str">
        <f aca="false">IF($F552="","",IF(AND($S552&lt;&gt;"",$L552&lt;&gt;"",$S552&lt;&gt;$L552),1,0))</f>
        <v/>
      </c>
      <c r="AB552" s="39" t="str">
        <f aca="false">IF($F552="","",IF($R552="Cancelada",0,IF(OR($AT552&lt;&gt;"",$R552="Concluída"),1,0)))</f>
        <v/>
      </c>
      <c r="AC552" s="39" t="n">
        <f aca="false">IF($P552="",0,IF($P552&lt;Hoje!$L$1,1,IF(AND($P552=Hoje!$L$1,Hoje!$L$2&gt;Semana!$M$3),1,0)))</f>
        <v>0</v>
      </c>
      <c r="AD552" s="39" t="str">
        <f aca="false">IF($F552="","",IF(COUNTA($I552:$K552)=0,0,1/COUNTA($I552:$K552)))</f>
        <v/>
      </c>
      <c r="AE552" s="39" t="str">
        <f aca="false">IF($AH552=0,"",SUM($AH$4:$AH552))</f>
        <v/>
      </c>
      <c r="AF552" s="39" t="str">
        <f aca="false">IF($AI552=0,"",SUM($AI$4:$AI552))</f>
        <v/>
      </c>
      <c r="AG552" s="50" t="str">
        <f aca="false">IF($F552="","",$I552&amp;IF($J552="",""," · "&amp;$J552)&amp;IF($K552="",""," · "&amp;$K552))</f>
        <v/>
      </c>
      <c r="AH552" s="39" t="n">
        <f aca="false">IF(AND($F552&lt;&gt;"",$O552&lt;&gt;"",$O552&lt;=Hoje!$C$3,$P552&gt;=Hoje!$C$3,$R552&lt;&gt;"Cancelada"),1,0)</f>
        <v>0</v>
      </c>
      <c r="AI552" s="39" t="n">
        <f aca="false">IF(AND($F552&lt;&gt;"",$P552&lt;&gt;"",$P552&lt;Hoje!$C$3,$AB552=0,$R552&lt;&gt;"Cancelada"),1,0)</f>
        <v>0</v>
      </c>
      <c r="AJ552" s="50" t="str">
        <f aca="false">IF($F552="","",$D552&amp;"|"&amp;$E552&amp;"|"&amp;$L552)</f>
        <v/>
      </c>
      <c r="AK552" s="39" t="str">
        <f aca="false">IF($AJ552="","",COUNTIF($AJ$4:$AJ552,$AJ552))</f>
        <v/>
      </c>
      <c r="AL552" s="39" t="str">
        <f aca="false">IF($AJ552="","",COUNTIF($AJ$4:$AJ$1004,$AJ552))</f>
        <v/>
      </c>
      <c r="AM552" s="42"/>
      <c r="AN552" s="50" t="str">
        <f aca="false">IF($D552="","",IFERROR(T(VLOOKUP($D552,Listas!$B$5:$H$120,7,0)),""))</f>
        <v/>
      </c>
      <c r="AO552" s="50" t="str">
        <f aca="false">IF(OR($F552="",$L552&lt;&gt;"",$R552="Cancelada",$AT552&lt;&gt;""),"",$AN552&amp;"|"&amp;$D552&amp;"|"&amp;IF($C552="","zzz",$C552)&amp;"|"&amp;TEXT(552,"0000"))</f>
        <v/>
      </c>
      <c r="AP552" s="50" t="str">
        <f aca="false">IF($AO552="","",COUNTIF($AO$5:$AO$1004,"&lt;"&amp;$AO552)-(ROWS($AO$5:$AO$1004)-Hoje!$L$5)+1)</f>
        <v/>
      </c>
      <c r="AQ552" s="50" t="n">
        <f aca="false">IF(AND($F552&lt;&gt;"",$D552=Frota!$C$3),1,0)</f>
        <v>0</v>
      </c>
      <c r="AR552" s="50" t="str">
        <f aca="false">IF($AQ552=0,"",SUM($AQ$4:$AQ552))</f>
        <v/>
      </c>
      <c r="AS552" s="50" t="str">
        <f aca="false">IFERROR(INDEX(Hoje!$K$10:$K$29,MATCH(ROW(),Hoje!$J$10:$J$29,0)),"")</f>
        <v/>
      </c>
      <c r="AT552" s="50" t="str">
        <f aca="false">IF($Q552&lt;&gt;"",$Q552,$AS552)</f>
        <v/>
      </c>
    </row>
    <row r="553" customFormat="false" ht="16.5" hidden="false" customHeight="true" outlineLevel="0" collapsed="false">
      <c r="A553" s="39" t="str">
        <f aca="false">IF($F553="","",ROW())</f>
        <v/>
      </c>
      <c r="B553" s="40" t="str">
        <f aca="false">IF($F553="",IF($D553="","","Falta a atividade"),IF($R553="Cancelada","Cancelada",IF($AB553=1,IF(N($Z553)&gt;0,"Concluída com atraso","Concluída"),IF($R553="Em programação","Em programação",IF($O553="",IF($M553="","Na carteira","Falta a semana"),IF($AC553=1,"VENCIDA",IF($O553&gt;Hoje!$L$1,"Programada",IF($P553&gt;Hoje!$L$1,"Em execução","Fecha hoje"))))))))</f>
        <v/>
      </c>
      <c r="C553" s="41"/>
      <c r="D553" s="42"/>
      <c r="E553" s="42"/>
      <c r="F553" s="42"/>
      <c r="G553" s="43"/>
      <c r="H553" s="43"/>
      <c r="I553" s="44"/>
      <c r="J553" s="44"/>
      <c r="K553" s="44"/>
      <c r="L553" s="45"/>
      <c r="M553" s="46"/>
      <c r="N553" s="45"/>
      <c r="O553" s="47" t="str">
        <f aca="false">IF(OR($L553="",$M553=""),"",(DATE(Semana!$J$3,1,4)-WEEKDAY(DATE(Semana!$J$3,1,4),3))+($L553-1)*7+MATCH($M553,Listas!$F$5:$F$11,0)-1)</f>
        <v/>
      </c>
      <c r="P553" s="47" t="str">
        <f aca="false">IF(OR($F553="",$O553=""),"",$O553+MAX(0,ROUNDUP($AK553*MAX(1,IF($N553="",1,$N553))/MAX(1,$AL553),0)-1))</f>
        <v/>
      </c>
      <c r="Q553" s="48"/>
      <c r="R553" s="43"/>
      <c r="S553" s="49"/>
      <c r="T553" s="42"/>
      <c r="U553" s="42"/>
      <c r="V553" s="39" t="str">
        <f aca="false">IF($F553="","",IF(ISNUMBER(SEARCH("(externo)",$I553&amp;$J553&amp;$K553)),"Terceirizada","Interna"))</f>
        <v/>
      </c>
      <c r="W553" s="47" t="str">
        <f aca="false">IF($O553="","",IF($S553="",$O553,(DATE(Semana!$J$3,1,4)-WEEKDAY(DATE(Semana!$J$3,1,4),3))+($S553-1)*7+IF($M553="",0,MATCH($M553,Listas!$F$5:$F$11,0)-1)))</f>
        <v/>
      </c>
      <c r="X553" s="39" t="str">
        <f aca="false">IF($F553="","",IF(OR($AT553="",$O553=""),0,IF($AT553&lt;=$O553,1,0)))</f>
        <v/>
      </c>
      <c r="Y553" s="39" t="str">
        <f aca="false">IF($F553="","",IF(OR($AT553="",$W553=""),0,IF($AT553&lt;=$W553,1,0)))</f>
        <v/>
      </c>
      <c r="Z553" s="39" t="str">
        <f aca="false">IF(OR($AT553="",$O553=""),"",MAX(0,$AT553-$O553))</f>
        <v/>
      </c>
      <c r="AA553" s="39" t="str">
        <f aca="false">IF($F553="","",IF(AND($S553&lt;&gt;"",$L553&lt;&gt;"",$S553&lt;&gt;$L553),1,0))</f>
        <v/>
      </c>
      <c r="AB553" s="39" t="str">
        <f aca="false">IF($F553="","",IF($R553="Cancelada",0,IF(OR($AT553&lt;&gt;"",$R553="Concluída"),1,0)))</f>
        <v/>
      </c>
      <c r="AC553" s="39" t="n">
        <f aca="false">IF($P553="",0,IF($P553&lt;Hoje!$L$1,1,IF(AND($P553=Hoje!$L$1,Hoje!$L$2&gt;Semana!$M$3),1,0)))</f>
        <v>0</v>
      </c>
      <c r="AD553" s="39" t="str">
        <f aca="false">IF($F553="","",IF(COUNTA($I553:$K553)=0,0,1/COUNTA($I553:$K553)))</f>
        <v/>
      </c>
      <c r="AE553" s="39" t="str">
        <f aca="false">IF($AH553=0,"",SUM($AH$4:$AH553))</f>
        <v/>
      </c>
      <c r="AF553" s="39" t="str">
        <f aca="false">IF($AI553=0,"",SUM($AI$4:$AI553))</f>
        <v/>
      </c>
      <c r="AG553" s="50" t="str">
        <f aca="false">IF($F553="","",$I553&amp;IF($J553="",""," · "&amp;$J553)&amp;IF($K553="",""," · "&amp;$K553))</f>
        <v/>
      </c>
      <c r="AH553" s="39" t="n">
        <f aca="false">IF(AND($F553&lt;&gt;"",$O553&lt;&gt;"",$O553&lt;=Hoje!$C$3,$P553&gt;=Hoje!$C$3,$R553&lt;&gt;"Cancelada"),1,0)</f>
        <v>0</v>
      </c>
      <c r="AI553" s="39" t="n">
        <f aca="false">IF(AND($F553&lt;&gt;"",$P553&lt;&gt;"",$P553&lt;Hoje!$C$3,$AB553=0,$R553&lt;&gt;"Cancelada"),1,0)</f>
        <v>0</v>
      </c>
      <c r="AJ553" s="50" t="str">
        <f aca="false">IF($F553="","",$D553&amp;"|"&amp;$E553&amp;"|"&amp;$L553)</f>
        <v/>
      </c>
      <c r="AK553" s="39" t="str">
        <f aca="false">IF($AJ553="","",COUNTIF($AJ$4:$AJ553,$AJ553))</f>
        <v/>
      </c>
      <c r="AL553" s="39" t="str">
        <f aca="false">IF($AJ553="","",COUNTIF($AJ$4:$AJ$1004,$AJ553))</f>
        <v/>
      </c>
      <c r="AM553" s="42"/>
      <c r="AN553" s="50" t="str">
        <f aca="false">IF($D553="","",IFERROR(T(VLOOKUP($D553,Listas!$B$5:$H$120,7,0)),""))</f>
        <v/>
      </c>
      <c r="AO553" s="50" t="str">
        <f aca="false">IF(OR($F553="",$L553&lt;&gt;"",$R553="Cancelada",$AT553&lt;&gt;""),"",$AN553&amp;"|"&amp;$D553&amp;"|"&amp;IF($C553="","zzz",$C553)&amp;"|"&amp;TEXT(553,"0000"))</f>
        <v/>
      </c>
      <c r="AP553" s="50" t="str">
        <f aca="false">IF($AO553="","",COUNTIF($AO$5:$AO$1004,"&lt;"&amp;$AO553)-(ROWS($AO$5:$AO$1004)-Hoje!$L$5)+1)</f>
        <v/>
      </c>
      <c r="AQ553" s="50" t="n">
        <f aca="false">IF(AND($F553&lt;&gt;"",$D553=Frota!$C$3),1,0)</f>
        <v>0</v>
      </c>
      <c r="AR553" s="50" t="str">
        <f aca="false">IF($AQ553=0,"",SUM($AQ$4:$AQ553))</f>
        <v/>
      </c>
      <c r="AS553" s="50" t="str">
        <f aca="false">IFERROR(INDEX(Hoje!$K$10:$K$29,MATCH(ROW(),Hoje!$J$10:$J$29,0)),"")</f>
        <v/>
      </c>
      <c r="AT553" s="50" t="str">
        <f aca="false">IF($Q553&lt;&gt;"",$Q553,$AS553)</f>
        <v/>
      </c>
    </row>
    <row r="554" customFormat="false" ht="16.5" hidden="false" customHeight="true" outlineLevel="0" collapsed="false">
      <c r="A554" s="39" t="str">
        <f aca="false">IF($F554="","",ROW())</f>
        <v/>
      </c>
      <c r="B554" s="40" t="str">
        <f aca="false">IF($F554="",IF($D554="","","Falta a atividade"),IF($R554="Cancelada","Cancelada",IF($AB554=1,IF(N($Z554)&gt;0,"Concluída com atraso","Concluída"),IF($R554="Em programação","Em programação",IF($O554="",IF($M554="","Na carteira","Falta a semana"),IF($AC554=1,"VENCIDA",IF($O554&gt;Hoje!$L$1,"Programada",IF($P554&gt;Hoje!$L$1,"Em execução","Fecha hoje"))))))))</f>
        <v/>
      </c>
      <c r="C554" s="41"/>
      <c r="D554" s="42"/>
      <c r="E554" s="42"/>
      <c r="F554" s="42"/>
      <c r="G554" s="43"/>
      <c r="H554" s="43"/>
      <c r="I554" s="44"/>
      <c r="J554" s="44"/>
      <c r="K554" s="44"/>
      <c r="L554" s="45"/>
      <c r="M554" s="46"/>
      <c r="N554" s="45"/>
      <c r="O554" s="47" t="str">
        <f aca="false">IF(OR($L554="",$M554=""),"",(DATE(Semana!$J$3,1,4)-WEEKDAY(DATE(Semana!$J$3,1,4),3))+($L554-1)*7+MATCH($M554,Listas!$F$5:$F$11,0)-1)</f>
        <v/>
      </c>
      <c r="P554" s="47" t="str">
        <f aca="false">IF(OR($F554="",$O554=""),"",$O554+MAX(0,ROUNDUP($AK554*MAX(1,IF($N554="",1,$N554))/MAX(1,$AL554),0)-1))</f>
        <v/>
      </c>
      <c r="Q554" s="48"/>
      <c r="R554" s="43"/>
      <c r="S554" s="49"/>
      <c r="T554" s="42"/>
      <c r="U554" s="42"/>
      <c r="V554" s="39" t="str">
        <f aca="false">IF($F554="","",IF(ISNUMBER(SEARCH("(externo)",$I554&amp;$J554&amp;$K554)),"Terceirizada","Interna"))</f>
        <v/>
      </c>
      <c r="W554" s="47" t="str">
        <f aca="false">IF($O554="","",IF($S554="",$O554,(DATE(Semana!$J$3,1,4)-WEEKDAY(DATE(Semana!$J$3,1,4),3))+($S554-1)*7+IF($M554="",0,MATCH($M554,Listas!$F$5:$F$11,0)-1)))</f>
        <v/>
      </c>
      <c r="X554" s="39" t="str">
        <f aca="false">IF($F554="","",IF(OR($AT554="",$O554=""),0,IF($AT554&lt;=$O554,1,0)))</f>
        <v/>
      </c>
      <c r="Y554" s="39" t="str">
        <f aca="false">IF($F554="","",IF(OR($AT554="",$W554=""),0,IF($AT554&lt;=$W554,1,0)))</f>
        <v/>
      </c>
      <c r="Z554" s="39" t="str">
        <f aca="false">IF(OR($AT554="",$O554=""),"",MAX(0,$AT554-$O554))</f>
        <v/>
      </c>
      <c r="AA554" s="39" t="str">
        <f aca="false">IF($F554="","",IF(AND($S554&lt;&gt;"",$L554&lt;&gt;"",$S554&lt;&gt;$L554),1,0))</f>
        <v/>
      </c>
      <c r="AB554" s="39" t="str">
        <f aca="false">IF($F554="","",IF($R554="Cancelada",0,IF(OR($AT554&lt;&gt;"",$R554="Concluída"),1,0)))</f>
        <v/>
      </c>
      <c r="AC554" s="39" t="n">
        <f aca="false">IF($P554="",0,IF($P554&lt;Hoje!$L$1,1,IF(AND($P554=Hoje!$L$1,Hoje!$L$2&gt;Semana!$M$3),1,0)))</f>
        <v>0</v>
      </c>
      <c r="AD554" s="39" t="str">
        <f aca="false">IF($F554="","",IF(COUNTA($I554:$K554)=0,0,1/COUNTA($I554:$K554)))</f>
        <v/>
      </c>
      <c r="AE554" s="39" t="str">
        <f aca="false">IF($AH554=0,"",SUM($AH$4:$AH554))</f>
        <v/>
      </c>
      <c r="AF554" s="39" t="str">
        <f aca="false">IF($AI554=0,"",SUM($AI$4:$AI554))</f>
        <v/>
      </c>
      <c r="AG554" s="50" t="str">
        <f aca="false">IF($F554="","",$I554&amp;IF($J554="",""," · "&amp;$J554)&amp;IF($K554="",""," · "&amp;$K554))</f>
        <v/>
      </c>
      <c r="AH554" s="39" t="n">
        <f aca="false">IF(AND($F554&lt;&gt;"",$O554&lt;&gt;"",$O554&lt;=Hoje!$C$3,$P554&gt;=Hoje!$C$3,$R554&lt;&gt;"Cancelada"),1,0)</f>
        <v>0</v>
      </c>
      <c r="AI554" s="39" t="n">
        <f aca="false">IF(AND($F554&lt;&gt;"",$P554&lt;&gt;"",$P554&lt;Hoje!$C$3,$AB554=0,$R554&lt;&gt;"Cancelada"),1,0)</f>
        <v>0</v>
      </c>
      <c r="AJ554" s="50" t="str">
        <f aca="false">IF($F554="","",$D554&amp;"|"&amp;$E554&amp;"|"&amp;$L554)</f>
        <v/>
      </c>
      <c r="AK554" s="39" t="str">
        <f aca="false">IF($AJ554="","",COUNTIF($AJ$4:$AJ554,$AJ554))</f>
        <v/>
      </c>
      <c r="AL554" s="39" t="str">
        <f aca="false">IF($AJ554="","",COUNTIF($AJ$4:$AJ$1004,$AJ554))</f>
        <v/>
      </c>
      <c r="AM554" s="42"/>
      <c r="AN554" s="50" t="str">
        <f aca="false">IF($D554="","",IFERROR(T(VLOOKUP($D554,Listas!$B$5:$H$120,7,0)),""))</f>
        <v/>
      </c>
      <c r="AO554" s="50" t="str">
        <f aca="false">IF(OR($F554="",$L554&lt;&gt;"",$R554="Cancelada",$AT554&lt;&gt;""),"",$AN554&amp;"|"&amp;$D554&amp;"|"&amp;IF($C554="","zzz",$C554)&amp;"|"&amp;TEXT(554,"0000"))</f>
        <v/>
      </c>
      <c r="AP554" s="50" t="str">
        <f aca="false">IF($AO554="","",COUNTIF($AO$5:$AO$1004,"&lt;"&amp;$AO554)-(ROWS($AO$5:$AO$1004)-Hoje!$L$5)+1)</f>
        <v/>
      </c>
      <c r="AQ554" s="50" t="n">
        <f aca="false">IF(AND($F554&lt;&gt;"",$D554=Frota!$C$3),1,0)</f>
        <v>0</v>
      </c>
      <c r="AR554" s="50" t="str">
        <f aca="false">IF($AQ554=0,"",SUM($AQ$4:$AQ554))</f>
        <v/>
      </c>
      <c r="AS554" s="50" t="str">
        <f aca="false">IFERROR(INDEX(Hoje!$K$10:$K$29,MATCH(ROW(),Hoje!$J$10:$J$29,0)),"")</f>
        <v/>
      </c>
      <c r="AT554" s="50" t="str">
        <f aca="false">IF($Q554&lt;&gt;"",$Q554,$AS554)</f>
        <v/>
      </c>
    </row>
    <row r="555" customFormat="false" ht="16.5" hidden="false" customHeight="true" outlineLevel="0" collapsed="false">
      <c r="A555" s="39" t="str">
        <f aca="false">IF($F555="","",ROW())</f>
        <v/>
      </c>
      <c r="B555" s="40" t="str">
        <f aca="false">IF($F555="",IF($D555="","","Falta a atividade"),IF($R555="Cancelada","Cancelada",IF($AB555=1,IF(N($Z555)&gt;0,"Concluída com atraso","Concluída"),IF($R555="Em programação","Em programação",IF($O555="",IF($M555="","Na carteira","Falta a semana"),IF($AC555=1,"VENCIDA",IF($O555&gt;Hoje!$L$1,"Programada",IF($P555&gt;Hoje!$L$1,"Em execução","Fecha hoje"))))))))</f>
        <v/>
      </c>
      <c r="C555" s="41"/>
      <c r="D555" s="42"/>
      <c r="E555" s="42"/>
      <c r="F555" s="42"/>
      <c r="G555" s="43"/>
      <c r="H555" s="43"/>
      <c r="I555" s="44"/>
      <c r="J555" s="44"/>
      <c r="K555" s="44"/>
      <c r="L555" s="45"/>
      <c r="M555" s="46"/>
      <c r="N555" s="45"/>
      <c r="O555" s="47" t="str">
        <f aca="false">IF(OR($L555="",$M555=""),"",(DATE(Semana!$J$3,1,4)-WEEKDAY(DATE(Semana!$J$3,1,4),3))+($L555-1)*7+MATCH($M555,Listas!$F$5:$F$11,0)-1)</f>
        <v/>
      </c>
      <c r="P555" s="47" t="str">
        <f aca="false">IF(OR($F555="",$O555=""),"",$O555+MAX(0,ROUNDUP($AK555*MAX(1,IF($N555="",1,$N555))/MAX(1,$AL555),0)-1))</f>
        <v/>
      </c>
      <c r="Q555" s="48"/>
      <c r="R555" s="43"/>
      <c r="S555" s="49"/>
      <c r="T555" s="42"/>
      <c r="U555" s="42"/>
      <c r="V555" s="39" t="str">
        <f aca="false">IF($F555="","",IF(ISNUMBER(SEARCH("(externo)",$I555&amp;$J555&amp;$K555)),"Terceirizada","Interna"))</f>
        <v/>
      </c>
      <c r="W555" s="47" t="str">
        <f aca="false">IF($O555="","",IF($S555="",$O555,(DATE(Semana!$J$3,1,4)-WEEKDAY(DATE(Semana!$J$3,1,4),3))+($S555-1)*7+IF($M555="",0,MATCH($M555,Listas!$F$5:$F$11,0)-1)))</f>
        <v/>
      </c>
      <c r="X555" s="39" t="str">
        <f aca="false">IF($F555="","",IF(OR($AT555="",$O555=""),0,IF($AT555&lt;=$O555,1,0)))</f>
        <v/>
      </c>
      <c r="Y555" s="39" t="str">
        <f aca="false">IF($F555="","",IF(OR($AT555="",$W555=""),0,IF($AT555&lt;=$W555,1,0)))</f>
        <v/>
      </c>
      <c r="Z555" s="39" t="str">
        <f aca="false">IF(OR($AT555="",$O555=""),"",MAX(0,$AT555-$O555))</f>
        <v/>
      </c>
      <c r="AA555" s="39" t="str">
        <f aca="false">IF($F555="","",IF(AND($S555&lt;&gt;"",$L555&lt;&gt;"",$S555&lt;&gt;$L555),1,0))</f>
        <v/>
      </c>
      <c r="AB555" s="39" t="str">
        <f aca="false">IF($F555="","",IF($R555="Cancelada",0,IF(OR($AT555&lt;&gt;"",$R555="Concluída"),1,0)))</f>
        <v/>
      </c>
      <c r="AC555" s="39" t="n">
        <f aca="false">IF($P555="",0,IF($P555&lt;Hoje!$L$1,1,IF(AND($P555=Hoje!$L$1,Hoje!$L$2&gt;Semana!$M$3),1,0)))</f>
        <v>0</v>
      </c>
      <c r="AD555" s="39" t="str">
        <f aca="false">IF($F555="","",IF(COUNTA($I555:$K555)=0,0,1/COUNTA($I555:$K555)))</f>
        <v/>
      </c>
      <c r="AE555" s="39" t="str">
        <f aca="false">IF($AH555=0,"",SUM($AH$4:$AH555))</f>
        <v/>
      </c>
      <c r="AF555" s="39" t="str">
        <f aca="false">IF($AI555=0,"",SUM($AI$4:$AI555))</f>
        <v/>
      </c>
      <c r="AG555" s="50" t="str">
        <f aca="false">IF($F555="","",$I555&amp;IF($J555="",""," · "&amp;$J555)&amp;IF($K555="",""," · "&amp;$K555))</f>
        <v/>
      </c>
      <c r="AH555" s="39" t="n">
        <f aca="false">IF(AND($F555&lt;&gt;"",$O555&lt;&gt;"",$O555&lt;=Hoje!$C$3,$P555&gt;=Hoje!$C$3,$R555&lt;&gt;"Cancelada"),1,0)</f>
        <v>0</v>
      </c>
      <c r="AI555" s="39" t="n">
        <f aca="false">IF(AND($F555&lt;&gt;"",$P555&lt;&gt;"",$P555&lt;Hoje!$C$3,$AB555=0,$R555&lt;&gt;"Cancelada"),1,0)</f>
        <v>0</v>
      </c>
      <c r="AJ555" s="50" t="str">
        <f aca="false">IF($F555="","",$D555&amp;"|"&amp;$E555&amp;"|"&amp;$L555)</f>
        <v/>
      </c>
      <c r="AK555" s="39" t="str">
        <f aca="false">IF($AJ555="","",COUNTIF($AJ$4:$AJ555,$AJ555))</f>
        <v/>
      </c>
      <c r="AL555" s="39" t="str">
        <f aca="false">IF($AJ555="","",COUNTIF($AJ$4:$AJ$1004,$AJ555))</f>
        <v/>
      </c>
      <c r="AM555" s="42"/>
      <c r="AN555" s="50" t="str">
        <f aca="false">IF($D555="","",IFERROR(T(VLOOKUP($D555,Listas!$B$5:$H$120,7,0)),""))</f>
        <v/>
      </c>
      <c r="AO555" s="50" t="str">
        <f aca="false">IF(OR($F555="",$L555&lt;&gt;"",$R555="Cancelada",$AT555&lt;&gt;""),"",$AN555&amp;"|"&amp;$D555&amp;"|"&amp;IF($C555="","zzz",$C555)&amp;"|"&amp;TEXT(555,"0000"))</f>
        <v/>
      </c>
      <c r="AP555" s="50" t="str">
        <f aca="false">IF($AO555="","",COUNTIF($AO$5:$AO$1004,"&lt;"&amp;$AO555)-(ROWS($AO$5:$AO$1004)-Hoje!$L$5)+1)</f>
        <v/>
      </c>
      <c r="AQ555" s="50" t="n">
        <f aca="false">IF(AND($F555&lt;&gt;"",$D555=Frota!$C$3),1,0)</f>
        <v>0</v>
      </c>
      <c r="AR555" s="50" t="str">
        <f aca="false">IF($AQ555=0,"",SUM($AQ$4:$AQ555))</f>
        <v/>
      </c>
      <c r="AS555" s="50" t="str">
        <f aca="false">IFERROR(INDEX(Hoje!$K$10:$K$29,MATCH(ROW(),Hoje!$J$10:$J$29,0)),"")</f>
        <v/>
      </c>
      <c r="AT555" s="50" t="str">
        <f aca="false">IF($Q555&lt;&gt;"",$Q555,$AS555)</f>
        <v/>
      </c>
    </row>
    <row r="556" customFormat="false" ht="16.5" hidden="false" customHeight="true" outlineLevel="0" collapsed="false">
      <c r="A556" s="39" t="str">
        <f aca="false">IF($F556="","",ROW())</f>
        <v/>
      </c>
      <c r="B556" s="40" t="str">
        <f aca="false">IF($F556="",IF($D556="","","Falta a atividade"),IF($R556="Cancelada","Cancelada",IF($AB556=1,IF(N($Z556)&gt;0,"Concluída com atraso","Concluída"),IF($R556="Em programação","Em programação",IF($O556="",IF($M556="","Na carteira","Falta a semana"),IF($AC556=1,"VENCIDA",IF($O556&gt;Hoje!$L$1,"Programada",IF($P556&gt;Hoje!$L$1,"Em execução","Fecha hoje"))))))))</f>
        <v/>
      </c>
      <c r="C556" s="41"/>
      <c r="D556" s="42"/>
      <c r="E556" s="42"/>
      <c r="F556" s="42"/>
      <c r="G556" s="43"/>
      <c r="H556" s="43"/>
      <c r="I556" s="44"/>
      <c r="J556" s="44"/>
      <c r="K556" s="44"/>
      <c r="L556" s="45"/>
      <c r="M556" s="46"/>
      <c r="N556" s="45"/>
      <c r="O556" s="47" t="str">
        <f aca="false">IF(OR($L556="",$M556=""),"",(DATE(Semana!$J$3,1,4)-WEEKDAY(DATE(Semana!$J$3,1,4),3))+($L556-1)*7+MATCH($M556,Listas!$F$5:$F$11,0)-1)</f>
        <v/>
      </c>
      <c r="P556" s="47" t="str">
        <f aca="false">IF(OR($F556="",$O556=""),"",$O556+MAX(0,ROUNDUP($AK556*MAX(1,IF($N556="",1,$N556))/MAX(1,$AL556),0)-1))</f>
        <v/>
      </c>
      <c r="Q556" s="48"/>
      <c r="R556" s="43"/>
      <c r="S556" s="49"/>
      <c r="T556" s="42"/>
      <c r="U556" s="42"/>
      <c r="V556" s="39" t="str">
        <f aca="false">IF($F556="","",IF(ISNUMBER(SEARCH("(externo)",$I556&amp;$J556&amp;$K556)),"Terceirizada","Interna"))</f>
        <v/>
      </c>
      <c r="W556" s="47" t="str">
        <f aca="false">IF($O556="","",IF($S556="",$O556,(DATE(Semana!$J$3,1,4)-WEEKDAY(DATE(Semana!$J$3,1,4),3))+($S556-1)*7+IF($M556="",0,MATCH($M556,Listas!$F$5:$F$11,0)-1)))</f>
        <v/>
      </c>
      <c r="X556" s="39" t="str">
        <f aca="false">IF($F556="","",IF(OR($AT556="",$O556=""),0,IF($AT556&lt;=$O556,1,0)))</f>
        <v/>
      </c>
      <c r="Y556" s="39" t="str">
        <f aca="false">IF($F556="","",IF(OR($AT556="",$W556=""),0,IF($AT556&lt;=$W556,1,0)))</f>
        <v/>
      </c>
      <c r="Z556" s="39" t="str">
        <f aca="false">IF(OR($AT556="",$O556=""),"",MAX(0,$AT556-$O556))</f>
        <v/>
      </c>
      <c r="AA556" s="39" t="str">
        <f aca="false">IF($F556="","",IF(AND($S556&lt;&gt;"",$L556&lt;&gt;"",$S556&lt;&gt;$L556),1,0))</f>
        <v/>
      </c>
      <c r="AB556" s="39" t="str">
        <f aca="false">IF($F556="","",IF($R556="Cancelada",0,IF(OR($AT556&lt;&gt;"",$R556="Concluída"),1,0)))</f>
        <v/>
      </c>
      <c r="AC556" s="39" t="n">
        <f aca="false">IF($P556="",0,IF($P556&lt;Hoje!$L$1,1,IF(AND($P556=Hoje!$L$1,Hoje!$L$2&gt;Semana!$M$3),1,0)))</f>
        <v>0</v>
      </c>
      <c r="AD556" s="39" t="str">
        <f aca="false">IF($F556="","",IF(COUNTA($I556:$K556)=0,0,1/COUNTA($I556:$K556)))</f>
        <v/>
      </c>
      <c r="AE556" s="39" t="str">
        <f aca="false">IF($AH556=0,"",SUM($AH$4:$AH556))</f>
        <v/>
      </c>
      <c r="AF556" s="39" t="str">
        <f aca="false">IF($AI556=0,"",SUM($AI$4:$AI556))</f>
        <v/>
      </c>
      <c r="AG556" s="50" t="str">
        <f aca="false">IF($F556="","",$I556&amp;IF($J556="",""," · "&amp;$J556)&amp;IF($K556="",""," · "&amp;$K556))</f>
        <v/>
      </c>
      <c r="AH556" s="39" t="n">
        <f aca="false">IF(AND($F556&lt;&gt;"",$O556&lt;&gt;"",$O556&lt;=Hoje!$C$3,$P556&gt;=Hoje!$C$3,$R556&lt;&gt;"Cancelada"),1,0)</f>
        <v>0</v>
      </c>
      <c r="AI556" s="39" t="n">
        <f aca="false">IF(AND($F556&lt;&gt;"",$P556&lt;&gt;"",$P556&lt;Hoje!$C$3,$AB556=0,$R556&lt;&gt;"Cancelada"),1,0)</f>
        <v>0</v>
      </c>
      <c r="AJ556" s="50" t="str">
        <f aca="false">IF($F556="","",$D556&amp;"|"&amp;$E556&amp;"|"&amp;$L556)</f>
        <v/>
      </c>
      <c r="AK556" s="39" t="str">
        <f aca="false">IF($AJ556="","",COUNTIF($AJ$4:$AJ556,$AJ556))</f>
        <v/>
      </c>
      <c r="AL556" s="39" t="str">
        <f aca="false">IF($AJ556="","",COUNTIF($AJ$4:$AJ$1004,$AJ556))</f>
        <v/>
      </c>
      <c r="AM556" s="42"/>
      <c r="AN556" s="50" t="str">
        <f aca="false">IF($D556="","",IFERROR(T(VLOOKUP($D556,Listas!$B$5:$H$120,7,0)),""))</f>
        <v/>
      </c>
      <c r="AO556" s="50" t="str">
        <f aca="false">IF(OR($F556="",$L556&lt;&gt;"",$R556="Cancelada",$AT556&lt;&gt;""),"",$AN556&amp;"|"&amp;$D556&amp;"|"&amp;IF($C556="","zzz",$C556)&amp;"|"&amp;TEXT(556,"0000"))</f>
        <v/>
      </c>
      <c r="AP556" s="50" t="str">
        <f aca="false">IF($AO556="","",COUNTIF($AO$5:$AO$1004,"&lt;"&amp;$AO556)-(ROWS($AO$5:$AO$1004)-Hoje!$L$5)+1)</f>
        <v/>
      </c>
      <c r="AQ556" s="50" t="n">
        <f aca="false">IF(AND($F556&lt;&gt;"",$D556=Frota!$C$3),1,0)</f>
        <v>0</v>
      </c>
      <c r="AR556" s="50" t="str">
        <f aca="false">IF($AQ556=0,"",SUM($AQ$4:$AQ556))</f>
        <v/>
      </c>
      <c r="AS556" s="50" t="str">
        <f aca="false">IFERROR(INDEX(Hoje!$K$10:$K$29,MATCH(ROW(),Hoje!$J$10:$J$29,0)),"")</f>
        <v/>
      </c>
      <c r="AT556" s="50" t="str">
        <f aca="false">IF($Q556&lt;&gt;"",$Q556,$AS556)</f>
        <v/>
      </c>
    </row>
    <row r="557" customFormat="false" ht="16.5" hidden="false" customHeight="true" outlineLevel="0" collapsed="false">
      <c r="A557" s="39" t="str">
        <f aca="false">IF($F557="","",ROW())</f>
        <v/>
      </c>
      <c r="B557" s="40" t="str">
        <f aca="false">IF($F557="",IF($D557="","","Falta a atividade"),IF($R557="Cancelada","Cancelada",IF($AB557=1,IF(N($Z557)&gt;0,"Concluída com atraso","Concluída"),IF($R557="Em programação","Em programação",IF($O557="",IF($M557="","Na carteira","Falta a semana"),IF($AC557=1,"VENCIDA",IF($O557&gt;Hoje!$L$1,"Programada",IF($P557&gt;Hoje!$L$1,"Em execução","Fecha hoje"))))))))</f>
        <v/>
      </c>
      <c r="C557" s="41"/>
      <c r="D557" s="42"/>
      <c r="E557" s="42"/>
      <c r="F557" s="42"/>
      <c r="G557" s="43"/>
      <c r="H557" s="43"/>
      <c r="I557" s="44"/>
      <c r="J557" s="44"/>
      <c r="K557" s="44"/>
      <c r="L557" s="45"/>
      <c r="M557" s="46"/>
      <c r="N557" s="45"/>
      <c r="O557" s="47" t="str">
        <f aca="false">IF(OR($L557="",$M557=""),"",(DATE(Semana!$J$3,1,4)-WEEKDAY(DATE(Semana!$J$3,1,4),3))+($L557-1)*7+MATCH($M557,Listas!$F$5:$F$11,0)-1)</f>
        <v/>
      </c>
      <c r="P557" s="47" t="str">
        <f aca="false">IF(OR($F557="",$O557=""),"",$O557+MAX(0,ROUNDUP($AK557*MAX(1,IF($N557="",1,$N557))/MAX(1,$AL557),0)-1))</f>
        <v/>
      </c>
      <c r="Q557" s="48"/>
      <c r="R557" s="43"/>
      <c r="S557" s="49"/>
      <c r="T557" s="42"/>
      <c r="U557" s="42"/>
      <c r="V557" s="39" t="str">
        <f aca="false">IF($F557="","",IF(ISNUMBER(SEARCH("(externo)",$I557&amp;$J557&amp;$K557)),"Terceirizada","Interna"))</f>
        <v/>
      </c>
      <c r="W557" s="47" t="str">
        <f aca="false">IF($O557="","",IF($S557="",$O557,(DATE(Semana!$J$3,1,4)-WEEKDAY(DATE(Semana!$J$3,1,4),3))+($S557-1)*7+IF($M557="",0,MATCH($M557,Listas!$F$5:$F$11,0)-1)))</f>
        <v/>
      </c>
      <c r="X557" s="39" t="str">
        <f aca="false">IF($F557="","",IF(OR($AT557="",$O557=""),0,IF($AT557&lt;=$O557,1,0)))</f>
        <v/>
      </c>
      <c r="Y557" s="39" t="str">
        <f aca="false">IF($F557="","",IF(OR($AT557="",$W557=""),0,IF($AT557&lt;=$W557,1,0)))</f>
        <v/>
      </c>
      <c r="Z557" s="39" t="str">
        <f aca="false">IF(OR($AT557="",$O557=""),"",MAX(0,$AT557-$O557))</f>
        <v/>
      </c>
      <c r="AA557" s="39" t="str">
        <f aca="false">IF($F557="","",IF(AND($S557&lt;&gt;"",$L557&lt;&gt;"",$S557&lt;&gt;$L557),1,0))</f>
        <v/>
      </c>
      <c r="AB557" s="39" t="str">
        <f aca="false">IF($F557="","",IF($R557="Cancelada",0,IF(OR($AT557&lt;&gt;"",$R557="Concluída"),1,0)))</f>
        <v/>
      </c>
      <c r="AC557" s="39" t="n">
        <f aca="false">IF($P557="",0,IF($P557&lt;Hoje!$L$1,1,IF(AND($P557=Hoje!$L$1,Hoje!$L$2&gt;Semana!$M$3),1,0)))</f>
        <v>0</v>
      </c>
      <c r="AD557" s="39" t="str">
        <f aca="false">IF($F557="","",IF(COUNTA($I557:$K557)=0,0,1/COUNTA($I557:$K557)))</f>
        <v/>
      </c>
      <c r="AE557" s="39" t="str">
        <f aca="false">IF($AH557=0,"",SUM($AH$4:$AH557))</f>
        <v/>
      </c>
      <c r="AF557" s="39" t="str">
        <f aca="false">IF($AI557=0,"",SUM($AI$4:$AI557))</f>
        <v/>
      </c>
      <c r="AG557" s="50" t="str">
        <f aca="false">IF($F557="","",$I557&amp;IF($J557="",""," · "&amp;$J557)&amp;IF($K557="",""," · "&amp;$K557))</f>
        <v/>
      </c>
      <c r="AH557" s="39" t="n">
        <f aca="false">IF(AND($F557&lt;&gt;"",$O557&lt;&gt;"",$O557&lt;=Hoje!$C$3,$P557&gt;=Hoje!$C$3,$R557&lt;&gt;"Cancelada"),1,0)</f>
        <v>0</v>
      </c>
      <c r="AI557" s="39" t="n">
        <f aca="false">IF(AND($F557&lt;&gt;"",$P557&lt;&gt;"",$P557&lt;Hoje!$C$3,$AB557=0,$R557&lt;&gt;"Cancelada"),1,0)</f>
        <v>0</v>
      </c>
      <c r="AJ557" s="50" t="str">
        <f aca="false">IF($F557="","",$D557&amp;"|"&amp;$E557&amp;"|"&amp;$L557)</f>
        <v/>
      </c>
      <c r="AK557" s="39" t="str">
        <f aca="false">IF($AJ557="","",COUNTIF($AJ$4:$AJ557,$AJ557))</f>
        <v/>
      </c>
      <c r="AL557" s="39" t="str">
        <f aca="false">IF($AJ557="","",COUNTIF($AJ$4:$AJ$1004,$AJ557))</f>
        <v/>
      </c>
      <c r="AM557" s="42"/>
      <c r="AN557" s="50" t="str">
        <f aca="false">IF($D557="","",IFERROR(T(VLOOKUP($D557,Listas!$B$5:$H$120,7,0)),""))</f>
        <v/>
      </c>
      <c r="AO557" s="50" t="str">
        <f aca="false">IF(OR($F557="",$L557&lt;&gt;"",$R557="Cancelada",$AT557&lt;&gt;""),"",$AN557&amp;"|"&amp;$D557&amp;"|"&amp;IF($C557="","zzz",$C557)&amp;"|"&amp;TEXT(557,"0000"))</f>
        <v/>
      </c>
      <c r="AP557" s="50" t="str">
        <f aca="false">IF($AO557="","",COUNTIF($AO$5:$AO$1004,"&lt;"&amp;$AO557)-(ROWS($AO$5:$AO$1004)-Hoje!$L$5)+1)</f>
        <v/>
      </c>
      <c r="AQ557" s="50" t="n">
        <f aca="false">IF(AND($F557&lt;&gt;"",$D557=Frota!$C$3),1,0)</f>
        <v>0</v>
      </c>
      <c r="AR557" s="50" t="str">
        <f aca="false">IF($AQ557=0,"",SUM($AQ$4:$AQ557))</f>
        <v/>
      </c>
      <c r="AS557" s="50" t="str">
        <f aca="false">IFERROR(INDEX(Hoje!$K$10:$K$29,MATCH(ROW(),Hoje!$J$10:$J$29,0)),"")</f>
        <v/>
      </c>
      <c r="AT557" s="50" t="str">
        <f aca="false">IF($Q557&lt;&gt;"",$Q557,$AS557)</f>
        <v/>
      </c>
    </row>
    <row r="558" customFormat="false" ht="16.5" hidden="false" customHeight="true" outlineLevel="0" collapsed="false">
      <c r="A558" s="39" t="str">
        <f aca="false">IF($F558="","",ROW())</f>
        <v/>
      </c>
      <c r="B558" s="40" t="str">
        <f aca="false">IF($F558="",IF($D558="","","Falta a atividade"),IF($R558="Cancelada","Cancelada",IF($AB558=1,IF(N($Z558)&gt;0,"Concluída com atraso","Concluída"),IF($R558="Em programação","Em programação",IF($O558="",IF($M558="","Na carteira","Falta a semana"),IF($AC558=1,"VENCIDA",IF($O558&gt;Hoje!$L$1,"Programada",IF($P558&gt;Hoje!$L$1,"Em execução","Fecha hoje"))))))))</f>
        <v/>
      </c>
      <c r="C558" s="41"/>
      <c r="D558" s="42"/>
      <c r="E558" s="42"/>
      <c r="F558" s="42"/>
      <c r="G558" s="43"/>
      <c r="H558" s="43"/>
      <c r="I558" s="44"/>
      <c r="J558" s="44"/>
      <c r="K558" s="44"/>
      <c r="L558" s="45"/>
      <c r="M558" s="46"/>
      <c r="N558" s="45"/>
      <c r="O558" s="47" t="str">
        <f aca="false">IF(OR($L558="",$M558=""),"",(DATE(Semana!$J$3,1,4)-WEEKDAY(DATE(Semana!$J$3,1,4),3))+($L558-1)*7+MATCH($M558,Listas!$F$5:$F$11,0)-1)</f>
        <v/>
      </c>
      <c r="P558" s="47" t="str">
        <f aca="false">IF(OR($F558="",$O558=""),"",$O558+MAX(0,ROUNDUP($AK558*MAX(1,IF($N558="",1,$N558))/MAX(1,$AL558),0)-1))</f>
        <v/>
      </c>
      <c r="Q558" s="48"/>
      <c r="R558" s="43"/>
      <c r="S558" s="49"/>
      <c r="T558" s="42"/>
      <c r="U558" s="42"/>
      <c r="V558" s="39" t="str">
        <f aca="false">IF($F558="","",IF(ISNUMBER(SEARCH("(externo)",$I558&amp;$J558&amp;$K558)),"Terceirizada","Interna"))</f>
        <v/>
      </c>
      <c r="W558" s="47" t="str">
        <f aca="false">IF($O558="","",IF($S558="",$O558,(DATE(Semana!$J$3,1,4)-WEEKDAY(DATE(Semana!$J$3,1,4),3))+($S558-1)*7+IF($M558="",0,MATCH($M558,Listas!$F$5:$F$11,0)-1)))</f>
        <v/>
      </c>
      <c r="X558" s="39" t="str">
        <f aca="false">IF($F558="","",IF(OR($AT558="",$O558=""),0,IF($AT558&lt;=$O558,1,0)))</f>
        <v/>
      </c>
      <c r="Y558" s="39" t="str">
        <f aca="false">IF($F558="","",IF(OR($AT558="",$W558=""),0,IF($AT558&lt;=$W558,1,0)))</f>
        <v/>
      </c>
      <c r="Z558" s="39" t="str">
        <f aca="false">IF(OR($AT558="",$O558=""),"",MAX(0,$AT558-$O558))</f>
        <v/>
      </c>
      <c r="AA558" s="39" t="str">
        <f aca="false">IF($F558="","",IF(AND($S558&lt;&gt;"",$L558&lt;&gt;"",$S558&lt;&gt;$L558),1,0))</f>
        <v/>
      </c>
      <c r="AB558" s="39" t="str">
        <f aca="false">IF($F558="","",IF($R558="Cancelada",0,IF(OR($AT558&lt;&gt;"",$R558="Concluída"),1,0)))</f>
        <v/>
      </c>
      <c r="AC558" s="39" t="n">
        <f aca="false">IF($P558="",0,IF($P558&lt;Hoje!$L$1,1,IF(AND($P558=Hoje!$L$1,Hoje!$L$2&gt;Semana!$M$3),1,0)))</f>
        <v>0</v>
      </c>
      <c r="AD558" s="39" t="str">
        <f aca="false">IF($F558="","",IF(COUNTA($I558:$K558)=0,0,1/COUNTA($I558:$K558)))</f>
        <v/>
      </c>
      <c r="AE558" s="39" t="str">
        <f aca="false">IF($AH558=0,"",SUM($AH$4:$AH558))</f>
        <v/>
      </c>
      <c r="AF558" s="39" t="str">
        <f aca="false">IF($AI558=0,"",SUM($AI$4:$AI558))</f>
        <v/>
      </c>
      <c r="AG558" s="50" t="str">
        <f aca="false">IF($F558="","",$I558&amp;IF($J558="",""," · "&amp;$J558)&amp;IF($K558="",""," · "&amp;$K558))</f>
        <v/>
      </c>
      <c r="AH558" s="39" t="n">
        <f aca="false">IF(AND($F558&lt;&gt;"",$O558&lt;&gt;"",$O558&lt;=Hoje!$C$3,$P558&gt;=Hoje!$C$3,$R558&lt;&gt;"Cancelada"),1,0)</f>
        <v>0</v>
      </c>
      <c r="AI558" s="39" t="n">
        <f aca="false">IF(AND($F558&lt;&gt;"",$P558&lt;&gt;"",$P558&lt;Hoje!$C$3,$AB558=0,$R558&lt;&gt;"Cancelada"),1,0)</f>
        <v>0</v>
      </c>
      <c r="AJ558" s="50" t="str">
        <f aca="false">IF($F558="","",$D558&amp;"|"&amp;$E558&amp;"|"&amp;$L558)</f>
        <v/>
      </c>
      <c r="AK558" s="39" t="str">
        <f aca="false">IF($AJ558="","",COUNTIF($AJ$4:$AJ558,$AJ558))</f>
        <v/>
      </c>
      <c r="AL558" s="39" t="str">
        <f aca="false">IF($AJ558="","",COUNTIF($AJ$4:$AJ$1004,$AJ558))</f>
        <v/>
      </c>
      <c r="AM558" s="42"/>
      <c r="AN558" s="50" t="str">
        <f aca="false">IF($D558="","",IFERROR(T(VLOOKUP($D558,Listas!$B$5:$H$120,7,0)),""))</f>
        <v/>
      </c>
      <c r="AO558" s="50" t="str">
        <f aca="false">IF(OR($F558="",$L558&lt;&gt;"",$R558="Cancelada",$AT558&lt;&gt;""),"",$AN558&amp;"|"&amp;$D558&amp;"|"&amp;IF($C558="","zzz",$C558)&amp;"|"&amp;TEXT(558,"0000"))</f>
        <v/>
      </c>
      <c r="AP558" s="50" t="str">
        <f aca="false">IF($AO558="","",COUNTIF($AO$5:$AO$1004,"&lt;"&amp;$AO558)-(ROWS($AO$5:$AO$1004)-Hoje!$L$5)+1)</f>
        <v/>
      </c>
      <c r="AQ558" s="50" t="n">
        <f aca="false">IF(AND($F558&lt;&gt;"",$D558=Frota!$C$3),1,0)</f>
        <v>0</v>
      </c>
      <c r="AR558" s="50" t="str">
        <f aca="false">IF($AQ558=0,"",SUM($AQ$4:$AQ558))</f>
        <v/>
      </c>
      <c r="AS558" s="50" t="str">
        <f aca="false">IFERROR(INDEX(Hoje!$K$10:$K$29,MATCH(ROW(),Hoje!$J$10:$J$29,0)),"")</f>
        <v/>
      </c>
      <c r="AT558" s="50" t="str">
        <f aca="false">IF($Q558&lt;&gt;"",$Q558,$AS558)</f>
        <v/>
      </c>
    </row>
    <row r="559" customFormat="false" ht="16.5" hidden="false" customHeight="true" outlineLevel="0" collapsed="false">
      <c r="A559" s="39" t="str">
        <f aca="false">IF($F559="","",ROW())</f>
        <v/>
      </c>
      <c r="B559" s="40" t="str">
        <f aca="false">IF($F559="",IF($D559="","","Falta a atividade"),IF($R559="Cancelada","Cancelada",IF($AB559=1,IF(N($Z559)&gt;0,"Concluída com atraso","Concluída"),IF($R559="Em programação","Em programação",IF($O559="",IF($M559="","Na carteira","Falta a semana"),IF($AC559=1,"VENCIDA",IF($O559&gt;Hoje!$L$1,"Programada",IF($P559&gt;Hoje!$L$1,"Em execução","Fecha hoje"))))))))</f>
        <v/>
      </c>
      <c r="C559" s="41"/>
      <c r="D559" s="42"/>
      <c r="E559" s="42"/>
      <c r="F559" s="42"/>
      <c r="G559" s="43"/>
      <c r="H559" s="43"/>
      <c r="I559" s="44"/>
      <c r="J559" s="44"/>
      <c r="K559" s="44"/>
      <c r="L559" s="45"/>
      <c r="M559" s="46"/>
      <c r="N559" s="45"/>
      <c r="O559" s="47" t="str">
        <f aca="false">IF(OR($L559="",$M559=""),"",(DATE(Semana!$J$3,1,4)-WEEKDAY(DATE(Semana!$J$3,1,4),3))+($L559-1)*7+MATCH($M559,Listas!$F$5:$F$11,0)-1)</f>
        <v/>
      </c>
      <c r="P559" s="47" t="str">
        <f aca="false">IF(OR($F559="",$O559=""),"",$O559+MAX(0,ROUNDUP($AK559*MAX(1,IF($N559="",1,$N559))/MAX(1,$AL559),0)-1))</f>
        <v/>
      </c>
      <c r="Q559" s="48"/>
      <c r="R559" s="43"/>
      <c r="S559" s="49"/>
      <c r="T559" s="42"/>
      <c r="U559" s="42"/>
      <c r="V559" s="39" t="str">
        <f aca="false">IF($F559="","",IF(ISNUMBER(SEARCH("(externo)",$I559&amp;$J559&amp;$K559)),"Terceirizada","Interna"))</f>
        <v/>
      </c>
      <c r="W559" s="47" t="str">
        <f aca="false">IF($O559="","",IF($S559="",$O559,(DATE(Semana!$J$3,1,4)-WEEKDAY(DATE(Semana!$J$3,1,4),3))+($S559-1)*7+IF($M559="",0,MATCH($M559,Listas!$F$5:$F$11,0)-1)))</f>
        <v/>
      </c>
      <c r="X559" s="39" t="str">
        <f aca="false">IF($F559="","",IF(OR($AT559="",$O559=""),0,IF($AT559&lt;=$O559,1,0)))</f>
        <v/>
      </c>
      <c r="Y559" s="39" t="str">
        <f aca="false">IF($F559="","",IF(OR($AT559="",$W559=""),0,IF($AT559&lt;=$W559,1,0)))</f>
        <v/>
      </c>
      <c r="Z559" s="39" t="str">
        <f aca="false">IF(OR($AT559="",$O559=""),"",MAX(0,$AT559-$O559))</f>
        <v/>
      </c>
      <c r="AA559" s="39" t="str">
        <f aca="false">IF($F559="","",IF(AND($S559&lt;&gt;"",$L559&lt;&gt;"",$S559&lt;&gt;$L559),1,0))</f>
        <v/>
      </c>
      <c r="AB559" s="39" t="str">
        <f aca="false">IF($F559="","",IF($R559="Cancelada",0,IF(OR($AT559&lt;&gt;"",$R559="Concluída"),1,0)))</f>
        <v/>
      </c>
      <c r="AC559" s="39" t="n">
        <f aca="false">IF($P559="",0,IF($P559&lt;Hoje!$L$1,1,IF(AND($P559=Hoje!$L$1,Hoje!$L$2&gt;Semana!$M$3),1,0)))</f>
        <v>0</v>
      </c>
      <c r="AD559" s="39" t="str">
        <f aca="false">IF($F559="","",IF(COUNTA($I559:$K559)=0,0,1/COUNTA($I559:$K559)))</f>
        <v/>
      </c>
      <c r="AE559" s="39" t="str">
        <f aca="false">IF($AH559=0,"",SUM($AH$4:$AH559))</f>
        <v/>
      </c>
      <c r="AF559" s="39" t="str">
        <f aca="false">IF($AI559=0,"",SUM($AI$4:$AI559))</f>
        <v/>
      </c>
      <c r="AG559" s="50" t="str">
        <f aca="false">IF($F559="","",$I559&amp;IF($J559="",""," · "&amp;$J559)&amp;IF($K559="",""," · "&amp;$K559))</f>
        <v/>
      </c>
      <c r="AH559" s="39" t="n">
        <f aca="false">IF(AND($F559&lt;&gt;"",$O559&lt;&gt;"",$O559&lt;=Hoje!$C$3,$P559&gt;=Hoje!$C$3,$R559&lt;&gt;"Cancelada"),1,0)</f>
        <v>0</v>
      </c>
      <c r="AI559" s="39" t="n">
        <f aca="false">IF(AND($F559&lt;&gt;"",$P559&lt;&gt;"",$P559&lt;Hoje!$C$3,$AB559=0,$R559&lt;&gt;"Cancelada"),1,0)</f>
        <v>0</v>
      </c>
      <c r="AJ559" s="50" t="str">
        <f aca="false">IF($F559="","",$D559&amp;"|"&amp;$E559&amp;"|"&amp;$L559)</f>
        <v/>
      </c>
      <c r="AK559" s="39" t="str">
        <f aca="false">IF($AJ559="","",COUNTIF($AJ$4:$AJ559,$AJ559))</f>
        <v/>
      </c>
      <c r="AL559" s="39" t="str">
        <f aca="false">IF($AJ559="","",COUNTIF($AJ$4:$AJ$1004,$AJ559))</f>
        <v/>
      </c>
      <c r="AM559" s="42"/>
      <c r="AN559" s="50" t="str">
        <f aca="false">IF($D559="","",IFERROR(T(VLOOKUP($D559,Listas!$B$5:$H$120,7,0)),""))</f>
        <v/>
      </c>
      <c r="AO559" s="50" t="str">
        <f aca="false">IF(OR($F559="",$L559&lt;&gt;"",$R559="Cancelada",$AT559&lt;&gt;""),"",$AN559&amp;"|"&amp;$D559&amp;"|"&amp;IF($C559="","zzz",$C559)&amp;"|"&amp;TEXT(559,"0000"))</f>
        <v/>
      </c>
      <c r="AP559" s="50" t="str">
        <f aca="false">IF($AO559="","",COUNTIF($AO$5:$AO$1004,"&lt;"&amp;$AO559)-(ROWS($AO$5:$AO$1004)-Hoje!$L$5)+1)</f>
        <v/>
      </c>
      <c r="AQ559" s="50" t="n">
        <f aca="false">IF(AND($F559&lt;&gt;"",$D559=Frota!$C$3),1,0)</f>
        <v>0</v>
      </c>
      <c r="AR559" s="50" t="str">
        <f aca="false">IF($AQ559=0,"",SUM($AQ$4:$AQ559))</f>
        <v/>
      </c>
      <c r="AS559" s="50" t="str">
        <f aca="false">IFERROR(INDEX(Hoje!$K$10:$K$29,MATCH(ROW(),Hoje!$J$10:$J$29,0)),"")</f>
        <v/>
      </c>
      <c r="AT559" s="50" t="str">
        <f aca="false">IF($Q559&lt;&gt;"",$Q559,$AS559)</f>
        <v/>
      </c>
    </row>
    <row r="560" customFormat="false" ht="16.5" hidden="false" customHeight="true" outlineLevel="0" collapsed="false">
      <c r="A560" s="39" t="str">
        <f aca="false">IF($F560="","",ROW())</f>
        <v/>
      </c>
      <c r="B560" s="40" t="str">
        <f aca="false">IF($F560="",IF($D560="","","Falta a atividade"),IF($R560="Cancelada","Cancelada",IF($AB560=1,IF(N($Z560)&gt;0,"Concluída com atraso","Concluída"),IF($R560="Em programação","Em programação",IF($O560="",IF($M560="","Na carteira","Falta a semana"),IF($AC560=1,"VENCIDA",IF($O560&gt;Hoje!$L$1,"Programada",IF($P560&gt;Hoje!$L$1,"Em execução","Fecha hoje"))))))))</f>
        <v/>
      </c>
      <c r="C560" s="41"/>
      <c r="D560" s="42"/>
      <c r="E560" s="42"/>
      <c r="F560" s="42"/>
      <c r="G560" s="43"/>
      <c r="H560" s="43"/>
      <c r="I560" s="44"/>
      <c r="J560" s="44"/>
      <c r="K560" s="44"/>
      <c r="L560" s="45"/>
      <c r="M560" s="46"/>
      <c r="N560" s="45"/>
      <c r="O560" s="47" t="str">
        <f aca="false">IF(OR($L560="",$M560=""),"",(DATE(Semana!$J$3,1,4)-WEEKDAY(DATE(Semana!$J$3,1,4),3))+($L560-1)*7+MATCH($M560,Listas!$F$5:$F$11,0)-1)</f>
        <v/>
      </c>
      <c r="P560" s="47" t="str">
        <f aca="false">IF(OR($F560="",$O560=""),"",$O560+MAX(0,ROUNDUP($AK560*MAX(1,IF($N560="",1,$N560))/MAX(1,$AL560),0)-1))</f>
        <v/>
      </c>
      <c r="Q560" s="48"/>
      <c r="R560" s="43"/>
      <c r="S560" s="49"/>
      <c r="T560" s="42"/>
      <c r="U560" s="42"/>
      <c r="V560" s="39" t="str">
        <f aca="false">IF($F560="","",IF(ISNUMBER(SEARCH("(externo)",$I560&amp;$J560&amp;$K560)),"Terceirizada","Interna"))</f>
        <v/>
      </c>
      <c r="W560" s="47" t="str">
        <f aca="false">IF($O560="","",IF($S560="",$O560,(DATE(Semana!$J$3,1,4)-WEEKDAY(DATE(Semana!$J$3,1,4),3))+($S560-1)*7+IF($M560="",0,MATCH($M560,Listas!$F$5:$F$11,0)-1)))</f>
        <v/>
      </c>
      <c r="X560" s="39" t="str">
        <f aca="false">IF($F560="","",IF(OR($AT560="",$O560=""),0,IF($AT560&lt;=$O560,1,0)))</f>
        <v/>
      </c>
      <c r="Y560" s="39" t="str">
        <f aca="false">IF($F560="","",IF(OR($AT560="",$W560=""),0,IF($AT560&lt;=$W560,1,0)))</f>
        <v/>
      </c>
      <c r="Z560" s="39" t="str">
        <f aca="false">IF(OR($AT560="",$O560=""),"",MAX(0,$AT560-$O560))</f>
        <v/>
      </c>
      <c r="AA560" s="39" t="str">
        <f aca="false">IF($F560="","",IF(AND($S560&lt;&gt;"",$L560&lt;&gt;"",$S560&lt;&gt;$L560),1,0))</f>
        <v/>
      </c>
      <c r="AB560" s="39" t="str">
        <f aca="false">IF($F560="","",IF($R560="Cancelada",0,IF(OR($AT560&lt;&gt;"",$R560="Concluída"),1,0)))</f>
        <v/>
      </c>
      <c r="AC560" s="39" t="n">
        <f aca="false">IF($P560="",0,IF($P560&lt;Hoje!$L$1,1,IF(AND($P560=Hoje!$L$1,Hoje!$L$2&gt;Semana!$M$3),1,0)))</f>
        <v>0</v>
      </c>
      <c r="AD560" s="39" t="str">
        <f aca="false">IF($F560="","",IF(COUNTA($I560:$K560)=0,0,1/COUNTA($I560:$K560)))</f>
        <v/>
      </c>
      <c r="AE560" s="39" t="str">
        <f aca="false">IF($AH560=0,"",SUM($AH$4:$AH560))</f>
        <v/>
      </c>
      <c r="AF560" s="39" t="str">
        <f aca="false">IF($AI560=0,"",SUM($AI$4:$AI560))</f>
        <v/>
      </c>
      <c r="AG560" s="50" t="str">
        <f aca="false">IF($F560="","",$I560&amp;IF($J560="",""," · "&amp;$J560)&amp;IF($K560="",""," · "&amp;$K560))</f>
        <v/>
      </c>
      <c r="AH560" s="39" t="n">
        <f aca="false">IF(AND($F560&lt;&gt;"",$O560&lt;&gt;"",$O560&lt;=Hoje!$C$3,$P560&gt;=Hoje!$C$3,$R560&lt;&gt;"Cancelada"),1,0)</f>
        <v>0</v>
      </c>
      <c r="AI560" s="39" t="n">
        <f aca="false">IF(AND($F560&lt;&gt;"",$P560&lt;&gt;"",$P560&lt;Hoje!$C$3,$AB560=0,$R560&lt;&gt;"Cancelada"),1,0)</f>
        <v>0</v>
      </c>
      <c r="AJ560" s="50" t="str">
        <f aca="false">IF($F560="","",$D560&amp;"|"&amp;$E560&amp;"|"&amp;$L560)</f>
        <v/>
      </c>
      <c r="AK560" s="39" t="str">
        <f aca="false">IF($AJ560="","",COUNTIF($AJ$4:$AJ560,$AJ560))</f>
        <v/>
      </c>
      <c r="AL560" s="39" t="str">
        <f aca="false">IF($AJ560="","",COUNTIF($AJ$4:$AJ$1004,$AJ560))</f>
        <v/>
      </c>
      <c r="AM560" s="42"/>
      <c r="AN560" s="50" t="str">
        <f aca="false">IF($D560="","",IFERROR(T(VLOOKUP($D560,Listas!$B$5:$H$120,7,0)),""))</f>
        <v/>
      </c>
      <c r="AO560" s="50" t="str">
        <f aca="false">IF(OR($F560="",$L560&lt;&gt;"",$R560="Cancelada",$AT560&lt;&gt;""),"",$AN560&amp;"|"&amp;$D560&amp;"|"&amp;IF($C560="","zzz",$C560)&amp;"|"&amp;TEXT(560,"0000"))</f>
        <v/>
      </c>
      <c r="AP560" s="50" t="str">
        <f aca="false">IF($AO560="","",COUNTIF($AO$5:$AO$1004,"&lt;"&amp;$AO560)-(ROWS($AO$5:$AO$1004)-Hoje!$L$5)+1)</f>
        <v/>
      </c>
      <c r="AQ560" s="50" t="n">
        <f aca="false">IF(AND($F560&lt;&gt;"",$D560=Frota!$C$3),1,0)</f>
        <v>0</v>
      </c>
      <c r="AR560" s="50" t="str">
        <f aca="false">IF($AQ560=0,"",SUM($AQ$4:$AQ560))</f>
        <v/>
      </c>
      <c r="AS560" s="50" t="str">
        <f aca="false">IFERROR(INDEX(Hoje!$K$10:$K$29,MATCH(ROW(),Hoje!$J$10:$J$29,0)),"")</f>
        <v/>
      </c>
      <c r="AT560" s="50" t="str">
        <f aca="false">IF($Q560&lt;&gt;"",$Q560,$AS560)</f>
        <v/>
      </c>
    </row>
    <row r="561" customFormat="false" ht="16.5" hidden="false" customHeight="true" outlineLevel="0" collapsed="false">
      <c r="A561" s="39" t="str">
        <f aca="false">IF($F561="","",ROW())</f>
        <v/>
      </c>
      <c r="B561" s="40" t="str">
        <f aca="false">IF($F561="",IF($D561="","","Falta a atividade"),IF($R561="Cancelada","Cancelada",IF($AB561=1,IF(N($Z561)&gt;0,"Concluída com atraso","Concluída"),IF($R561="Em programação","Em programação",IF($O561="",IF($M561="","Na carteira","Falta a semana"),IF($AC561=1,"VENCIDA",IF($O561&gt;Hoje!$L$1,"Programada",IF($P561&gt;Hoje!$L$1,"Em execução","Fecha hoje"))))))))</f>
        <v/>
      </c>
      <c r="C561" s="41"/>
      <c r="D561" s="42"/>
      <c r="E561" s="42"/>
      <c r="F561" s="42"/>
      <c r="G561" s="43"/>
      <c r="H561" s="43"/>
      <c r="I561" s="44"/>
      <c r="J561" s="44"/>
      <c r="K561" s="44"/>
      <c r="L561" s="45"/>
      <c r="M561" s="46"/>
      <c r="N561" s="45"/>
      <c r="O561" s="47" t="str">
        <f aca="false">IF(OR($L561="",$M561=""),"",(DATE(Semana!$J$3,1,4)-WEEKDAY(DATE(Semana!$J$3,1,4),3))+($L561-1)*7+MATCH($M561,Listas!$F$5:$F$11,0)-1)</f>
        <v/>
      </c>
      <c r="P561" s="47" t="str">
        <f aca="false">IF(OR($F561="",$O561=""),"",$O561+MAX(0,ROUNDUP($AK561*MAX(1,IF($N561="",1,$N561))/MAX(1,$AL561),0)-1))</f>
        <v/>
      </c>
      <c r="Q561" s="48"/>
      <c r="R561" s="43"/>
      <c r="S561" s="49"/>
      <c r="T561" s="42"/>
      <c r="U561" s="42"/>
      <c r="V561" s="39" t="str">
        <f aca="false">IF($F561="","",IF(ISNUMBER(SEARCH("(externo)",$I561&amp;$J561&amp;$K561)),"Terceirizada","Interna"))</f>
        <v/>
      </c>
      <c r="W561" s="47" t="str">
        <f aca="false">IF($O561="","",IF($S561="",$O561,(DATE(Semana!$J$3,1,4)-WEEKDAY(DATE(Semana!$J$3,1,4),3))+($S561-1)*7+IF($M561="",0,MATCH($M561,Listas!$F$5:$F$11,0)-1)))</f>
        <v/>
      </c>
      <c r="X561" s="39" t="str">
        <f aca="false">IF($F561="","",IF(OR($AT561="",$O561=""),0,IF($AT561&lt;=$O561,1,0)))</f>
        <v/>
      </c>
      <c r="Y561" s="39" t="str">
        <f aca="false">IF($F561="","",IF(OR($AT561="",$W561=""),0,IF($AT561&lt;=$W561,1,0)))</f>
        <v/>
      </c>
      <c r="Z561" s="39" t="str">
        <f aca="false">IF(OR($AT561="",$O561=""),"",MAX(0,$AT561-$O561))</f>
        <v/>
      </c>
      <c r="AA561" s="39" t="str">
        <f aca="false">IF($F561="","",IF(AND($S561&lt;&gt;"",$L561&lt;&gt;"",$S561&lt;&gt;$L561),1,0))</f>
        <v/>
      </c>
      <c r="AB561" s="39" t="str">
        <f aca="false">IF($F561="","",IF($R561="Cancelada",0,IF(OR($AT561&lt;&gt;"",$R561="Concluída"),1,0)))</f>
        <v/>
      </c>
      <c r="AC561" s="39" t="n">
        <f aca="false">IF($P561="",0,IF($P561&lt;Hoje!$L$1,1,IF(AND($P561=Hoje!$L$1,Hoje!$L$2&gt;Semana!$M$3),1,0)))</f>
        <v>0</v>
      </c>
      <c r="AD561" s="39" t="str">
        <f aca="false">IF($F561="","",IF(COUNTA($I561:$K561)=0,0,1/COUNTA($I561:$K561)))</f>
        <v/>
      </c>
      <c r="AE561" s="39" t="str">
        <f aca="false">IF($AH561=0,"",SUM($AH$4:$AH561))</f>
        <v/>
      </c>
      <c r="AF561" s="39" t="str">
        <f aca="false">IF($AI561=0,"",SUM($AI$4:$AI561))</f>
        <v/>
      </c>
      <c r="AG561" s="50" t="str">
        <f aca="false">IF($F561="","",$I561&amp;IF($J561="",""," · "&amp;$J561)&amp;IF($K561="",""," · "&amp;$K561))</f>
        <v/>
      </c>
      <c r="AH561" s="39" t="n">
        <f aca="false">IF(AND($F561&lt;&gt;"",$O561&lt;&gt;"",$O561&lt;=Hoje!$C$3,$P561&gt;=Hoje!$C$3,$R561&lt;&gt;"Cancelada"),1,0)</f>
        <v>0</v>
      </c>
      <c r="AI561" s="39" t="n">
        <f aca="false">IF(AND($F561&lt;&gt;"",$P561&lt;&gt;"",$P561&lt;Hoje!$C$3,$AB561=0,$R561&lt;&gt;"Cancelada"),1,0)</f>
        <v>0</v>
      </c>
      <c r="AJ561" s="50" t="str">
        <f aca="false">IF($F561="","",$D561&amp;"|"&amp;$E561&amp;"|"&amp;$L561)</f>
        <v/>
      </c>
      <c r="AK561" s="39" t="str">
        <f aca="false">IF($AJ561="","",COUNTIF($AJ$4:$AJ561,$AJ561))</f>
        <v/>
      </c>
      <c r="AL561" s="39" t="str">
        <f aca="false">IF($AJ561="","",COUNTIF($AJ$4:$AJ$1004,$AJ561))</f>
        <v/>
      </c>
      <c r="AM561" s="42"/>
      <c r="AN561" s="50" t="str">
        <f aca="false">IF($D561="","",IFERROR(T(VLOOKUP($D561,Listas!$B$5:$H$120,7,0)),""))</f>
        <v/>
      </c>
      <c r="AO561" s="50" t="str">
        <f aca="false">IF(OR($F561="",$L561&lt;&gt;"",$R561="Cancelada",$AT561&lt;&gt;""),"",$AN561&amp;"|"&amp;$D561&amp;"|"&amp;IF($C561="","zzz",$C561)&amp;"|"&amp;TEXT(561,"0000"))</f>
        <v/>
      </c>
      <c r="AP561" s="50" t="str">
        <f aca="false">IF($AO561="","",COUNTIF($AO$5:$AO$1004,"&lt;"&amp;$AO561)-(ROWS($AO$5:$AO$1004)-Hoje!$L$5)+1)</f>
        <v/>
      </c>
      <c r="AQ561" s="50" t="n">
        <f aca="false">IF(AND($F561&lt;&gt;"",$D561=Frota!$C$3),1,0)</f>
        <v>0</v>
      </c>
      <c r="AR561" s="50" t="str">
        <f aca="false">IF($AQ561=0,"",SUM($AQ$4:$AQ561))</f>
        <v/>
      </c>
      <c r="AS561" s="50" t="str">
        <f aca="false">IFERROR(INDEX(Hoje!$K$10:$K$29,MATCH(ROW(),Hoje!$J$10:$J$29,0)),"")</f>
        <v/>
      </c>
      <c r="AT561" s="50" t="str">
        <f aca="false">IF($Q561&lt;&gt;"",$Q561,$AS561)</f>
        <v/>
      </c>
    </row>
    <row r="562" customFormat="false" ht="16.5" hidden="false" customHeight="true" outlineLevel="0" collapsed="false">
      <c r="A562" s="39" t="str">
        <f aca="false">IF($F562="","",ROW())</f>
        <v/>
      </c>
      <c r="B562" s="40" t="str">
        <f aca="false">IF($F562="",IF($D562="","","Falta a atividade"),IF($R562="Cancelada","Cancelada",IF($AB562=1,IF(N($Z562)&gt;0,"Concluída com atraso","Concluída"),IF($R562="Em programação","Em programação",IF($O562="",IF($M562="","Na carteira","Falta a semana"),IF($AC562=1,"VENCIDA",IF($O562&gt;Hoje!$L$1,"Programada",IF($P562&gt;Hoje!$L$1,"Em execução","Fecha hoje"))))))))</f>
        <v/>
      </c>
      <c r="C562" s="41"/>
      <c r="D562" s="42"/>
      <c r="E562" s="42"/>
      <c r="F562" s="42"/>
      <c r="G562" s="43"/>
      <c r="H562" s="43"/>
      <c r="I562" s="44"/>
      <c r="J562" s="44"/>
      <c r="K562" s="44"/>
      <c r="L562" s="45"/>
      <c r="M562" s="46"/>
      <c r="N562" s="45"/>
      <c r="O562" s="47" t="str">
        <f aca="false">IF(OR($L562="",$M562=""),"",(DATE(Semana!$J$3,1,4)-WEEKDAY(DATE(Semana!$J$3,1,4),3))+($L562-1)*7+MATCH($M562,Listas!$F$5:$F$11,0)-1)</f>
        <v/>
      </c>
      <c r="P562" s="47" t="str">
        <f aca="false">IF(OR($F562="",$O562=""),"",$O562+MAX(0,ROUNDUP($AK562*MAX(1,IF($N562="",1,$N562))/MAX(1,$AL562),0)-1))</f>
        <v/>
      </c>
      <c r="Q562" s="48"/>
      <c r="R562" s="43"/>
      <c r="S562" s="49"/>
      <c r="T562" s="42"/>
      <c r="U562" s="42"/>
      <c r="V562" s="39" t="str">
        <f aca="false">IF($F562="","",IF(ISNUMBER(SEARCH("(externo)",$I562&amp;$J562&amp;$K562)),"Terceirizada","Interna"))</f>
        <v/>
      </c>
      <c r="W562" s="47" t="str">
        <f aca="false">IF($O562="","",IF($S562="",$O562,(DATE(Semana!$J$3,1,4)-WEEKDAY(DATE(Semana!$J$3,1,4),3))+($S562-1)*7+IF($M562="",0,MATCH($M562,Listas!$F$5:$F$11,0)-1)))</f>
        <v/>
      </c>
      <c r="X562" s="39" t="str">
        <f aca="false">IF($F562="","",IF(OR($AT562="",$O562=""),0,IF($AT562&lt;=$O562,1,0)))</f>
        <v/>
      </c>
      <c r="Y562" s="39" t="str">
        <f aca="false">IF($F562="","",IF(OR($AT562="",$W562=""),0,IF($AT562&lt;=$W562,1,0)))</f>
        <v/>
      </c>
      <c r="Z562" s="39" t="str">
        <f aca="false">IF(OR($AT562="",$O562=""),"",MAX(0,$AT562-$O562))</f>
        <v/>
      </c>
      <c r="AA562" s="39" t="str">
        <f aca="false">IF($F562="","",IF(AND($S562&lt;&gt;"",$L562&lt;&gt;"",$S562&lt;&gt;$L562),1,0))</f>
        <v/>
      </c>
      <c r="AB562" s="39" t="str">
        <f aca="false">IF($F562="","",IF($R562="Cancelada",0,IF(OR($AT562&lt;&gt;"",$R562="Concluída"),1,0)))</f>
        <v/>
      </c>
      <c r="AC562" s="39" t="n">
        <f aca="false">IF($P562="",0,IF($P562&lt;Hoje!$L$1,1,IF(AND($P562=Hoje!$L$1,Hoje!$L$2&gt;Semana!$M$3),1,0)))</f>
        <v>0</v>
      </c>
      <c r="AD562" s="39" t="str">
        <f aca="false">IF($F562="","",IF(COUNTA($I562:$K562)=0,0,1/COUNTA($I562:$K562)))</f>
        <v/>
      </c>
      <c r="AE562" s="39" t="str">
        <f aca="false">IF($AH562=0,"",SUM($AH$4:$AH562))</f>
        <v/>
      </c>
      <c r="AF562" s="39" t="str">
        <f aca="false">IF($AI562=0,"",SUM($AI$4:$AI562))</f>
        <v/>
      </c>
      <c r="AG562" s="50" t="str">
        <f aca="false">IF($F562="","",$I562&amp;IF($J562="",""," · "&amp;$J562)&amp;IF($K562="",""," · "&amp;$K562))</f>
        <v/>
      </c>
      <c r="AH562" s="39" t="n">
        <f aca="false">IF(AND($F562&lt;&gt;"",$O562&lt;&gt;"",$O562&lt;=Hoje!$C$3,$P562&gt;=Hoje!$C$3,$R562&lt;&gt;"Cancelada"),1,0)</f>
        <v>0</v>
      </c>
      <c r="AI562" s="39" t="n">
        <f aca="false">IF(AND($F562&lt;&gt;"",$P562&lt;&gt;"",$P562&lt;Hoje!$C$3,$AB562=0,$R562&lt;&gt;"Cancelada"),1,0)</f>
        <v>0</v>
      </c>
      <c r="AJ562" s="50" t="str">
        <f aca="false">IF($F562="","",$D562&amp;"|"&amp;$E562&amp;"|"&amp;$L562)</f>
        <v/>
      </c>
      <c r="AK562" s="39" t="str">
        <f aca="false">IF($AJ562="","",COUNTIF($AJ$4:$AJ562,$AJ562))</f>
        <v/>
      </c>
      <c r="AL562" s="39" t="str">
        <f aca="false">IF($AJ562="","",COUNTIF($AJ$4:$AJ$1004,$AJ562))</f>
        <v/>
      </c>
      <c r="AM562" s="42"/>
      <c r="AN562" s="50" t="str">
        <f aca="false">IF($D562="","",IFERROR(T(VLOOKUP($D562,Listas!$B$5:$H$120,7,0)),""))</f>
        <v/>
      </c>
      <c r="AO562" s="50" t="str">
        <f aca="false">IF(OR($F562="",$L562&lt;&gt;"",$R562="Cancelada",$AT562&lt;&gt;""),"",$AN562&amp;"|"&amp;$D562&amp;"|"&amp;IF($C562="","zzz",$C562)&amp;"|"&amp;TEXT(562,"0000"))</f>
        <v/>
      </c>
      <c r="AP562" s="50" t="str">
        <f aca="false">IF($AO562="","",COUNTIF($AO$5:$AO$1004,"&lt;"&amp;$AO562)-(ROWS($AO$5:$AO$1004)-Hoje!$L$5)+1)</f>
        <v/>
      </c>
      <c r="AQ562" s="50" t="n">
        <f aca="false">IF(AND($F562&lt;&gt;"",$D562=Frota!$C$3),1,0)</f>
        <v>0</v>
      </c>
      <c r="AR562" s="50" t="str">
        <f aca="false">IF($AQ562=0,"",SUM($AQ$4:$AQ562))</f>
        <v/>
      </c>
      <c r="AS562" s="50" t="str">
        <f aca="false">IFERROR(INDEX(Hoje!$K$10:$K$29,MATCH(ROW(),Hoje!$J$10:$J$29,0)),"")</f>
        <v/>
      </c>
      <c r="AT562" s="50" t="str">
        <f aca="false">IF($Q562&lt;&gt;"",$Q562,$AS562)</f>
        <v/>
      </c>
    </row>
    <row r="563" customFormat="false" ht="16.5" hidden="false" customHeight="true" outlineLevel="0" collapsed="false">
      <c r="A563" s="39" t="str">
        <f aca="false">IF($F563="","",ROW())</f>
        <v/>
      </c>
      <c r="B563" s="40" t="str">
        <f aca="false">IF($F563="",IF($D563="","","Falta a atividade"),IF($R563="Cancelada","Cancelada",IF($AB563=1,IF(N($Z563)&gt;0,"Concluída com atraso","Concluída"),IF($R563="Em programação","Em programação",IF($O563="",IF($M563="","Na carteira","Falta a semana"),IF($AC563=1,"VENCIDA",IF($O563&gt;Hoje!$L$1,"Programada",IF($P563&gt;Hoje!$L$1,"Em execução","Fecha hoje"))))))))</f>
        <v/>
      </c>
      <c r="C563" s="41"/>
      <c r="D563" s="42"/>
      <c r="E563" s="42"/>
      <c r="F563" s="42"/>
      <c r="G563" s="43"/>
      <c r="H563" s="43"/>
      <c r="I563" s="44"/>
      <c r="J563" s="44"/>
      <c r="K563" s="44"/>
      <c r="L563" s="45"/>
      <c r="M563" s="46"/>
      <c r="N563" s="45"/>
      <c r="O563" s="47" t="str">
        <f aca="false">IF(OR($L563="",$M563=""),"",(DATE(Semana!$J$3,1,4)-WEEKDAY(DATE(Semana!$J$3,1,4),3))+($L563-1)*7+MATCH($M563,Listas!$F$5:$F$11,0)-1)</f>
        <v/>
      </c>
      <c r="P563" s="47" t="str">
        <f aca="false">IF(OR($F563="",$O563=""),"",$O563+MAX(0,ROUNDUP($AK563*MAX(1,IF($N563="",1,$N563))/MAX(1,$AL563),0)-1))</f>
        <v/>
      </c>
      <c r="Q563" s="48"/>
      <c r="R563" s="43"/>
      <c r="S563" s="49"/>
      <c r="T563" s="42"/>
      <c r="U563" s="42"/>
      <c r="V563" s="39" t="str">
        <f aca="false">IF($F563="","",IF(ISNUMBER(SEARCH("(externo)",$I563&amp;$J563&amp;$K563)),"Terceirizada","Interna"))</f>
        <v/>
      </c>
      <c r="W563" s="47" t="str">
        <f aca="false">IF($O563="","",IF($S563="",$O563,(DATE(Semana!$J$3,1,4)-WEEKDAY(DATE(Semana!$J$3,1,4),3))+($S563-1)*7+IF($M563="",0,MATCH($M563,Listas!$F$5:$F$11,0)-1)))</f>
        <v/>
      </c>
      <c r="X563" s="39" t="str">
        <f aca="false">IF($F563="","",IF(OR($AT563="",$O563=""),0,IF($AT563&lt;=$O563,1,0)))</f>
        <v/>
      </c>
      <c r="Y563" s="39" t="str">
        <f aca="false">IF($F563="","",IF(OR($AT563="",$W563=""),0,IF($AT563&lt;=$W563,1,0)))</f>
        <v/>
      </c>
      <c r="Z563" s="39" t="str">
        <f aca="false">IF(OR($AT563="",$O563=""),"",MAX(0,$AT563-$O563))</f>
        <v/>
      </c>
      <c r="AA563" s="39" t="str">
        <f aca="false">IF($F563="","",IF(AND($S563&lt;&gt;"",$L563&lt;&gt;"",$S563&lt;&gt;$L563),1,0))</f>
        <v/>
      </c>
      <c r="AB563" s="39" t="str">
        <f aca="false">IF($F563="","",IF($R563="Cancelada",0,IF(OR($AT563&lt;&gt;"",$R563="Concluída"),1,0)))</f>
        <v/>
      </c>
      <c r="AC563" s="39" t="n">
        <f aca="false">IF($P563="",0,IF($P563&lt;Hoje!$L$1,1,IF(AND($P563=Hoje!$L$1,Hoje!$L$2&gt;Semana!$M$3),1,0)))</f>
        <v>0</v>
      </c>
      <c r="AD563" s="39" t="str">
        <f aca="false">IF($F563="","",IF(COUNTA($I563:$K563)=0,0,1/COUNTA($I563:$K563)))</f>
        <v/>
      </c>
      <c r="AE563" s="39" t="str">
        <f aca="false">IF($AH563=0,"",SUM($AH$4:$AH563))</f>
        <v/>
      </c>
      <c r="AF563" s="39" t="str">
        <f aca="false">IF($AI563=0,"",SUM($AI$4:$AI563))</f>
        <v/>
      </c>
      <c r="AG563" s="50" t="str">
        <f aca="false">IF($F563="","",$I563&amp;IF($J563="",""," · "&amp;$J563)&amp;IF($K563="",""," · "&amp;$K563))</f>
        <v/>
      </c>
      <c r="AH563" s="39" t="n">
        <f aca="false">IF(AND($F563&lt;&gt;"",$O563&lt;&gt;"",$O563&lt;=Hoje!$C$3,$P563&gt;=Hoje!$C$3,$R563&lt;&gt;"Cancelada"),1,0)</f>
        <v>0</v>
      </c>
      <c r="AI563" s="39" t="n">
        <f aca="false">IF(AND($F563&lt;&gt;"",$P563&lt;&gt;"",$P563&lt;Hoje!$C$3,$AB563=0,$R563&lt;&gt;"Cancelada"),1,0)</f>
        <v>0</v>
      </c>
      <c r="AJ563" s="50" t="str">
        <f aca="false">IF($F563="","",$D563&amp;"|"&amp;$E563&amp;"|"&amp;$L563)</f>
        <v/>
      </c>
      <c r="AK563" s="39" t="str">
        <f aca="false">IF($AJ563="","",COUNTIF($AJ$4:$AJ563,$AJ563))</f>
        <v/>
      </c>
      <c r="AL563" s="39" t="str">
        <f aca="false">IF($AJ563="","",COUNTIF($AJ$4:$AJ$1004,$AJ563))</f>
        <v/>
      </c>
      <c r="AM563" s="42"/>
      <c r="AN563" s="50" t="str">
        <f aca="false">IF($D563="","",IFERROR(T(VLOOKUP($D563,Listas!$B$5:$H$120,7,0)),""))</f>
        <v/>
      </c>
      <c r="AO563" s="50" t="str">
        <f aca="false">IF(OR($F563="",$L563&lt;&gt;"",$R563="Cancelada",$AT563&lt;&gt;""),"",$AN563&amp;"|"&amp;$D563&amp;"|"&amp;IF($C563="","zzz",$C563)&amp;"|"&amp;TEXT(563,"0000"))</f>
        <v/>
      </c>
      <c r="AP563" s="50" t="str">
        <f aca="false">IF($AO563="","",COUNTIF($AO$5:$AO$1004,"&lt;"&amp;$AO563)-(ROWS($AO$5:$AO$1004)-Hoje!$L$5)+1)</f>
        <v/>
      </c>
      <c r="AQ563" s="50" t="n">
        <f aca="false">IF(AND($F563&lt;&gt;"",$D563=Frota!$C$3),1,0)</f>
        <v>0</v>
      </c>
      <c r="AR563" s="50" t="str">
        <f aca="false">IF($AQ563=0,"",SUM($AQ$4:$AQ563))</f>
        <v/>
      </c>
      <c r="AS563" s="50" t="str">
        <f aca="false">IFERROR(INDEX(Hoje!$K$10:$K$29,MATCH(ROW(),Hoje!$J$10:$J$29,0)),"")</f>
        <v/>
      </c>
      <c r="AT563" s="50" t="str">
        <f aca="false">IF($Q563&lt;&gt;"",$Q563,$AS563)</f>
        <v/>
      </c>
    </row>
    <row r="564" customFormat="false" ht="16.5" hidden="false" customHeight="true" outlineLevel="0" collapsed="false">
      <c r="A564" s="39" t="str">
        <f aca="false">IF($F564="","",ROW())</f>
        <v/>
      </c>
      <c r="B564" s="40" t="str">
        <f aca="false">IF($F564="",IF($D564="","","Falta a atividade"),IF($R564="Cancelada","Cancelada",IF($AB564=1,IF(N($Z564)&gt;0,"Concluída com atraso","Concluída"),IF($R564="Em programação","Em programação",IF($O564="",IF($M564="","Na carteira","Falta a semana"),IF($AC564=1,"VENCIDA",IF($O564&gt;Hoje!$L$1,"Programada",IF($P564&gt;Hoje!$L$1,"Em execução","Fecha hoje"))))))))</f>
        <v/>
      </c>
      <c r="C564" s="41"/>
      <c r="D564" s="42"/>
      <c r="E564" s="42"/>
      <c r="F564" s="42"/>
      <c r="G564" s="43"/>
      <c r="H564" s="43"/>
      <c r="I564" s="44"/>
      <c r="J564" s="44"/>
      <c r="K564" s="44"/>
      <c r="L564" s="45"/>
      <c r="M564" s="46"/>
      <c r="N564" s="45"/>
      <c r="O564" s="47" t="str">
        <f aca="false">IF(OR($L564="",$M564=""),"",(DATE(Semana!$J$3,1,4)-WEEKDAY(DATE(Semana!$J$3,1,4),3))+($L564-1)*7+MATCH($M564,Listas!$F$5:$F$11,0)-1)</f>
        <v/>
      </c>
      <c r="P564" s="47" t="str">
        <f aca="false">IF(OR($F564="",$O564=""),"",$O564+MAX(0,ROUNDUP($AK564*MAX(1,IF($N564="",1,$N564))/MAX(1,$AL564),0)-1))</f>
        <v/>
      </c>
      <c r="Q564" s="48"/>
      <c r="R564" s="43"/>
      <c r="S564" s="49"/>
      <c r="T564" s="42"/>
      <c r="U564" s="42"/>
      <c r="V564" s="39" t="str">
        <f aca="false">IF($F564="","",IF(ISNUMBER(SEARCH("(externo)",$I564&amp;$J564&amp;$K564)),"Terceirizada","Interna"))</f>
        <v/>
      </c>
      <c r="W564" s="47" t="str">
        <f aca="false">IF($O564="","",IF($S564="",$O564,(DATE(Semana!$J$3,1,4)-WEEKDAY(DATE(Semana!$J$3,1,4),3))+($S564-1)*7+IF($M564="",0,MATCH($M564,Listas!$F$5:$F$11,0)-1)))</f>
        <v/>
      </c>
      <c r="X564" s="39" t="str">
        <f aca="false">IF($F564="","",IF(OR($AT564="",$O564=""),0,IF($AT564&lt;=$O564,1,0)))</f>
        <v/>
      </c>
      <c r="Y564" s="39" t="str">
        <f aca="false">IF($F564="","",IF(OR($AT564="",$W564=""),0,IF($AT564&lt;=$W564,1,0)))</f>
        <v/>
      </c>
      <c r="Z564" s="39" t="str">
        <f aca="false">IF(OR($AT564="",$O564=""),"",MAX(0,$AT564-$O564))</f>
        <v/>
      </c>
      <c r="AA564" s="39" t="str">
        <f aca="false">IF($F564="","",IF(AND($S564&lt;&gt;"",$L564&lt;&gt;"",$S564&lt;&gt;$L564),1,0))</f>
        <v/>
      </c>
      <c r="AB564" s="39" t="str">
        <f aca="false">IF($F564="","",IF($R564="Cancelada",0,IF(OR($AT564&lt;&gt;"",$R564="Concluída"),1,0)))</f>
        <v/>
      </c>
      <c r="AC564" s="39" t="n">
        <f aca="false">IF($P564="",0,IF($P564&lt;Hoje!$L$1,1,IF(AND($P564=Hoje!$L$1,Hoje!$L$2&gt;Semana!$M$3),1,0)))</f>
        <v>0</v>
      </c>
      <c r="AD564" s="39" t="str">
        <f aca="false">IF($F564="","",IF(COUNTA($I564:$K564)=0,0,1/COUNTA($I564:$K564)))</f>
        <v/>
      </c>
      <c r="AE564" s="39" t="str">
        <f aca="false">IF($AH564=0,"",SUM($AH$4:$AH564))</f>
        <v/>
      </c>
      <c r="AF564" s="39" t="str">
        <f aca="false">IF($AI564=0,"",SUM($AI$4:$AI564))</f>
        <v/>
      </c>
      <c r="AG564" s="50" t="str">
        <f aca="false">IF($F564="","",$I564&amp;IF($J564="",""," · "&amp;$J564)&amp;IF($K564="",""," · "&amp;$K564))</f>
        <v/>
      </c>
      <c r="AH564" s="39" t="n">
        <f aca="false">IF(AND($F564&lt;&gt;"",$O564&lt;&gt;"",$O564&lt;=Hoje!$C$3,$P564&gt;=Hoje!$C$3,$R564&lt;&gt;"Cancelada"),1,0)</f>
        <v>0</v>
      </c>
      <c r="AI564" s="39" t="n">
        <f aca="false">IF(AND($F564&lt;&gt;"",$P564&lt;&gt;"",$P564&lt;Hoje!$C$3,$AB564=0,$R564&lt;&gt;"Cancelada"),1,0)</f>
        <v>0</v>
      </c>
      <c r="AJ564" s="50" t="str">
        <f aca="false">IF($F564="","",$D564&amp;"|"&amp;$E564&amp;"|"&amp;$L564)</f>
        <v/>
      </c>
      <c r="AK564" s="39" t="str">
        <f aca="false">IF($AJ564="","",COUNTIF($AJ$4:$AJ564,$AJ564))</f>
        <v/>
      </c>
      <c r="AL564" s="39" t="str">
        <f aca="false">IF($AJ564="","",COUNTIF($AJ$4:$AJ$1004,$AJ564))</f>
        <v/>
      </c>
      <c r="AM564" s="42"/>
      <c r="AN564" s="50" t="str">
        <f aca="false">IF($D564="","",IFERROR(T(VLOOKUP($D564,Listas!$B$5:$H$120,7,0)),""))</f>
        <v/>
      </c>
      <c r="AO564" s="50" t="str">
        <f aca="false">IF(OR($F564="",$L564&lt;&gt;"",$R564="Cancelada",$AT564&lt;&gt;""),"",$AN564&amp;"|"&amp;$D564&amp;"|"&amp;IF($C564="","zzz",$C564)&amp;"|"&amp;TEXT(564,"0000"))</f>
        <v/>
      </c>
      <c r="AP564" s="50" t="str">
        <f aca="false">IF($AO564="","",COUNTIF($AO$5:$AO$1004,"&lt;"&amp;$AO564)-(ROWS($AO$5:$AO$1004)-Hoje!$L$5)+1)</f>
        <v/>
      </c>
      <c r="AQ564" s="50" t="n">
        <f aca="false">IF(AND($F564&lt;&gt;"",$D564=Frota!$C$3),1,0)</f>
        <v>0</v>
      </c>
      <c r="AR564" s="50" t="str">
        <f aca="false">IF($AQ564=0,"",SUM($AQ$4:$AQ564))</f>
        <v/>
      </c>
      <c r="AS564" s="50" t="str">
        <f aca="false">IFERROR(INDEX(Hoje!$K$10:$K$29,MATCH(ROW(),Hoje!$J$10:$J$29,0)),"")</f>
        <v/>
      </c>
      <c r="AT564" s="50" t="str">
        <f aca="false">IF($Q564&lt;&gt;"",$Q564,$AS564)</f>
        <v/>
      </c>
    </row>
    <row r="565" customFormat="false" ht="16.5" hidden="false" customHeight="true" outlineLevel="0" collapsed="false">
      <c r="A565" s="39" t="str">
        <f aca="false">IF($F565="","",ROW())</f>
        <v/>
      </c>
      <c r="B565" s="40" t="str">
        <f aca="false">IF($F565="",IF($D565="","","Falta a atividade"),IF($R565="Cancelada","Cancelada",IF($AB565=1,IF(N($Z565)&gt;0,"Concluída com atraso","Concluída"),IF($R565="Em programação","Em programação",IF($O565="",IF($M565="","Na carteira","Falta a semana"),IF($AC565=1,"VENCIDA",IF($O565&gt;Hoje!$L$1,"Programada",IF($P565&gt;Hoje!$L$1,"Em execução","Fecha hoje"))))))))</f>
        <v/>
      </c>
      <c r="C565" s="41"/>
      <c r="D565" s="42"/>
      <c r="E565" s="42"/>
      <c r="F565" s="42"/>
      <c r="G565" s="43"/>
      <c r="H565" s="43"/>
      <c r="I565" s="44"/>
      <c r="J565" s="44"/>
      <c r="K565" s="44"/>
      <c r="L565" s="45"/>
      <c r="M565" s="46"/>
      <c r="N565" s="45"/>
      <c r="O565" s="47" t="str">
        <f aca="false">IF(OR($L565="",$M565=""),"",(DATE(Semana!$J$3,1,4)-WEEKDAY(DATE(Semana!$J$3,1,4),3))+($L565-1)*7+MATCH($M565,Listas!$F$5:$F$11,0)-1)</f>
        <v/>
      </c>
      <c r="P565" s="47" t="str">
        <f aca="false">IF(OR($F565="",$O565=""),"",$O565+MAX(0,ROUNDUP($AK565*MAX(1,IF($N565="",1,$N565))/MAX(1,$AL565),0)-1))</f>
        <v/>
      </c>
      <c r="Q565" s="48"/>
      <c r="R565" s="43"/>
      <c r="S565" s="49"/>
      <c r="T565" s="42"/>
      <c r="U565" s="42"/>
      <c r="V565" s="39" t="str">
        <f aca="false">IF($F565="","",IF(ISNUMBER(SEARCH("(externo)",$I565&amp;$J565&amp;$K565)),"Terceirizada","Interna"))</f>
        <v/>
      </c>
      <c r="W565" s="47" t="str">
        <f aca="false">IF($O565="","",IF($S565="",$O565,(DATE(Semana!$J$3,1,4)-WEEKDAY(DATE(Semana!$J$3,1,4),3))+($S565-1)*7+IF($M565="",0,MATCH($M565,Listas!$F$5:$F$11,0)-1)))</f>
        <v/>
      </c>
      <c r="X565" s="39" t="str">
        <f aca="false">IF($F565="","",IF(OR($AT565="",$O565=""),0,IF($AT565&lt;=$O565,1,0)))</f>
        <v/>
      </c>
      <c r="Y565" s="39" t="str">
        <f aca="false">IF($F565="","",IF(OR($AT565="",$W565=""),0,IF($AT565&lt;=$W565,1,0)))</f>
        <v/>
      </c>
      <c r="Z565" s="39" t="str">
        <f aca="false">IF(OR($AT565="",$O565=""),"",MAX(0,$AT565-$O565))</f>
        <v/>
      </c>
      <c r="AA565" s="39" t="str">
        <f aca="false">IF($F565="","",IF(AND($S565&lt;&gt;"",$L565&lt;&gt;"",$S565&lt;&gt;$L565),1,0))</f>
        <v/>
      </c>
      <c r="AB565" s="39" t="str">
        <f aca="false">IF($F565="","",IF($R565="Cancelada",0,IF(OR($AT565&lt;&gt;"",$R565="Concluída"),1,0)))</f>
        <v/>
      </c>
      <c r="AC565" s="39" t="n">
        <f aca="false">IF($P565="",0,IF($P565&lt;Hoje!$L$1,1,IF(AND($P565=Hoje!$L$1,Hoje!$L$2&gt;Semana!$M$3),1,0)))</f>
        <v>0</v>
      </c>
      <c r="AD565" s="39" t="str">
        <f aca="false">IF($F565="","",IF(COUNTA($I565:$K565)=0,0,1/COUNTA($I565:$K565)))</f>
        <v/>
      </c>
      <c r="AE565" s="39" t="str">
        <f aca="false">IF($AH565=0,"",SUM($AH$4:$AH565))</f>
        <v/>
      </c>
      <c r="AF565" s="39" t="str">
        <f aca="false">IF($AI565=0,"",SUM($AI$4:$AI565))</f>
        <v/>
      </c>
      <c r="AG565" s="50" t="str">
        <f aca="false">IF($F565="","",$I565&amp;IF($J565="",""," · "&amp;$J565)&amp;IF($K565="",""," · "&amp;$K565))</f>
        <v/>
      </c>
      <c r="AH565" s="39" t="n">
        <f aca="false">IF(AND($F565&lt;&gt;"",$O565&lt;&gt;"",$O565&lt;=Hoje!$C$3,$P565&gt;=Hoje!$C$3,$R565&lt;&gt;"Cancelada"),1,0)</f>
        <v>0</v>
      </c>
      <c r="AI565" s="39" t="n">
        <f aca="false">IF(AND($F565&lt;&gt;"",$P565&lt;&gt;"",$P565&lt;Hoje!$C$3,$AB565=0,$R565&lt;&gt;"Cancelada"),1,0)</f>
        <v>0</v>
      </c>
      <c r="AJ565" s="50" t="str">
        <f aca="false">IF($F565="","",$D565&amp;"|"&amp;$E565&amp;"|"&amp;$L565)</f>
        <v/>
      </c>
      <c r="AK565" s="39" t="str">
        <f aca="false">IF($AJ565="","",COUNTIF($AJ$4:$AJ565,$AJ565))</f>
        <v/>
      </c>
      <c r="AL565" s="39" t="str">
        <f aca="false">IF($AJ565="","",COUNTIF($AJ$4:$AJ$1004,$AJ565))</f>
        <v/>
      </c>
      <c r="AM565" s="42"/>
      <c r="AN565" s="50" t="str">
        <f aca="false">IF($D565="","",IFERROR(T(VLOOKUP($D565,Listas!$B$5:$H$120,7,0)),""))</f>
        <v/>
      </c>
      <c r="AO565" s="50" t="str">
        <f aca="false">IF(OR($F565="",$L565&lt;&gt;"",$R565="Cancelada",$AT565&lt;&gt;""),"",$AN565&amp;"|"&amp;$D565&amp;"|"&amp;IF($C565="","zzz",$C565)&amp;"|"&amp;TEXT(565,"0000"))</f>
        <v/>
      </c>
      <c r="AP565" s="50" t="str">
        <f aca="false">IF($AO565="","",COUNTIF($AO$5:$AO$1004,"&lt;"&amp;$AO565)-(ROWS($AO$5:$AO$1004)-Hoje!$L$5)+1)</f>
        <v/>
      </c>
      <c r="AQ565" s="50" t="n">
        <f aca="false">IF(AND($F565&lt;&gt;"",$D565=Frota!$C$3),1,0)</f>
        <v>0</v>
      </c>
      <c r="AR565" s="50" t="str">
        <f aca="false">IF($AQ565=0,"",SUM($AQ$4:$AQ565))</f>
        <v/>
      </c>
      <c r="AS565" s="50" t="str">
        <f aca="false">IFERROR(INDEX(Hoje!$K$10:$K$29,MATCH(ROW(),Hoje!$J$10:$J$29,0)),"")</f>
        <v/>
      </c>
      <c r="AT565" s="50" t="str">
        <f aca="false">IF($Q565&lt;&gt;"",$Q565,$AS565)</f>
        <v/>
      </c>
    </row>
    <row r="566" customFormat="false" ht="16.5" hidden="false" customHeight="true" outlineLevel="0" collapsed="false">
      <c r="A566" s="39" t="str">
        <f aca="false">IF($F566="","",ROW())</f>
        <v/>
      </c>
      <c r="B566" s="40" t="str">
        <f aca="false">IF($F566="",IF($D566="","","Falta a atividade"),IF($R566="Cancelada","Cancelada",IF($AB566=1,IF(N($Z566)&gt;0,"Concluída com atraso","Concluída"),IF($R566="Em programação","Em programação",IF($O566="",IF($M566="","Na carteira","Falta a semana"),IF($AC566=1,"VENCIDA",IF($O566&gt;Hoje!$L$1,"Programada",IF($P566&gt;Hoje!$L$1,"Em execução","Fecha hoje"))))))))</f>
        <v/>
      </c>
      <c r="C566" s="41"/>
      <c r="D566" s="42"/>
      <c r="E566" s="42"/>
      <c r="F566" s="42"/>
      <c r="G566" s="43"/>
      <c r="H566" s="43"/>
      <c r="I566" s="44"/>
      <c r="J566" s="44"/>
      <c r="K566" s="44"/>
      <c r="L566" s="45"/>
      <c r="M566" s="46"/>
      <c r="N566" s="45"/>
      <c r="O566" s="47" t="str">
        <f aca="false">IF(OR($L566="",$M566=""),"",(DATE(Semana!$J$3,1,4)-WEEKDAY(DATE(Semana!$J$3,1,4),3))+($L566-1)*7+MATCH($M566,Listas!$F$5:$F$11,0)-1)</f>
        <v/>
      </c>
      <c r="P566" s="47" t="str">
        <f aca="false">IF(OR($F566="",$O566=""),"",$O566+MAX(0,ROUNDUP($AK566*MAX(1,IF($N566="",1,$N566))/MAX(1,$AL566),0)-1))</f>
        <v/>
      </c>
      <c r="Q566" s="48"/>
      <c r="R566" s="43"/>
      <c r="S566" s="49"/>
      <c r="T566" s="42"/>
      <c r="U566" s="42"/>
      <c r="V566" s="39" t="str">
        <f aca="false">IF($F566="","",IF(ISNUMBER(SEARCH("(externo)",$I566&amp;$J566&amp;$K566)),"Terceirizada","Interna"))</f>
        <v/>
      </c>
      <c r="W566" s="47" t="str">
        <f aca="false">IF($O566="","",IF($S566="",$O566,(DATE(Semana!$J$3,1,4)-WEEKDAY(DATE(Semana!$J$3,1,4),3))+($S566-1)*7+IF($M566="",0,MATCH($M566,Listas!$F$5:$F$11,0)-1)))</f>
        <v/>
      </c>
      <c r="X566" s="39" t="str">
        <f aca="false">IF($F566="","",IF(OR($AT566="",$O566=""),0,IF($AT566&lt;=$O566,1,0)))</f>
        <v/>
      </c>
      <c r="Y566" s="39" t="str">
        <f aca="false">IF($F566="","",IF(OR($AT566="",$W566=""),0,IF($AT566&lt;=$W566,1,0)))</f>
        <v/>
      </c>
      <c r="Z566" s="39" t="str">
        <f aca="false">IF(OR($AT566="",$O566=""),"",MAX(0,$AT566-$O566))</f>
        <v/>
      </c>
      <c r="AA566" s="39" t="str">
        <f aca="false">IF($F566="","",IF(AND($S566&lt;&gt;"",$L566&lt;&gt;"",$S566&lt;&gt;$L566),1,0))</f>
        <v/>
      </c>
      <c r="AB566" s="39" t="str">
        <f aca="false">IF($F566="","",IF($R566="Cancelada",0,IF(OR($AT566&lt;&gt;"",$R566="Concluída"),1,0)))</f>
        <v/>
      </c>
      <c r="AC566" s="39" t="n">
        <f aca="false">IF($P566="",0,IF($P566&lt;Hoje!$L$1,1,IF(AND($P566=Hoje!$L$1,Hoje!$L$2&gt;Semana!$M$3),1,0)))</f>
        <v>0</v>
      </c>
      <c r="AD566" s="39" t="str">
        <f aca="false">IF($F566="","",IF(COUNTA($I566:$K566)=0,0,1/COUNTA($I566:$K566)))</f>
        <v/>
      </c>
      <c r="AE566" s="39" t="str">
        <f aca="false">IF($AH566=0,"",SUM($AH$4:$AH566))</f>
        <v/>
      </c>
      <c r="AF566" s="39" t="str">
        <f aca="false">IF($AI566=0,"",SUM($AI$4:$AI566))</f>
        <v/>
      </c>
      <c r="AG566" s="50" t="str">
        <f aca="false">IF($F566="","",$I566&amp;IF($J566="",""," · "&amp;$J566)&amp;IF($K566="",""," · "&amp;$K566))</f>
        <v/>
      </c>
      <c r="AH566" s="39" t="n">
        <f aca="false">IF(AND($F566&lt;&gt;"",$O566&lt;&gt;"",$O566&lt;=Hoje!$C$3,$P566&gt;=Hoje!$C$3,$R566&lt;&gt;"Cancelada"),1,0)</f>
        <v>0</v>
      </c>
      <c r="AI566" s="39" t="n">
        <f aca="false">IF(AND($F566&lt;&gt;"",$P566&lt;&gt;"",$P566&lt;Hoje!$C$3,$AB566=0,$R566&lt;&gt;"Cancelada"),1,0)</f>
        <v>0</v>
      </c>
      <c r="AJ566" s="50" t="str">
        <f aca="false">IF($F566="","",$D566&amp;"|"&amp;$E566&amp;"|"&amp;$L566)</f>
        <v/>
      </c>
      <c r="AK566" s="39" t="str">
        <f aca="false">IF($AJ566="","",COUNTIF($AJ$4:$AJ566,$AJ566))</f>
        <v/>
      </c>
      <c r="AL566" s="39" t="str">
        <f aca="false">IF($AJ566="","",COUNTIF($AJ$4:$AJ$1004,$AJ566))</f>
        <v/>
      </c>
      <c r="AM566" s="42"/>
      <c r="AN566" s="50" t="str">
        <f aca="false">IF($D566="","",IFERROR(T(VLOOKUP($D566,Listas!$B$5:$H$120,7,0)),""))</f>
        <v/>
      </c>
      <c r="AO566" s="50" t="str">
        <f aca="false">IF(OR($F566="",$L566&lt;&gt;"",$R566="Cancelada",$AT566&lt;&gt;""),"",$AN566&amp;"|"&amp;$D566&amp;"|"&amp;IF($C566="","zzz",$C566)&amp;"|"&amp;TEXT(566,"0000"))</f>
        <v/>
      </c>
      <c r="AP566" s="50" t="str">
        <f aca="false">IF($AO566="","",COUNTIF($AO$5:$AO$1004,"&lt;"&amp;$AO566)-(ROWS($AO$5:$AO$1004)-Hoje!$L$5)+1)</f>
        <v/>
      </c>
      <c r="AQ566" s="50" t="n">
        <f aca="false">IF(AND($F566&lt;&gt;"",$D566=Frota!$C$3),1,0)</f>
        <v>0</v>
      </c>
      <c r="AR566" s="50" t="str">
        <f aca="false">IF($AQ566=0,"",SUM($AQ$4:$AQ566))</f>
        <v/>
      </c>
      <c r="AS566" s="50" t="str">
        <f aca="false">IFERROR(INDEX(Hoje!$K$10:$K$29,MATCH(ROW(),Hoje!$J$10:$J$29,0)),"")</f>
        <v/>
      </c>
      <c r="AT566" s="50" t="str">
        <f aca="false">IF($Q566&lt;&gt;"",$Q566,$AS566)</f>
        <v/>
      </c>
    </row>
    <row r="567" customFormat="false" ht="16.5" hidden="false" customHeight="true" outlineLevel="0" collapsed="false">
      <c r="A567" s="39" t="str">
        <f aca="false">IF($F567="","",ROW())</f>
        <v/>
      </c>
      <c r="B567" s="40" t="str">
        <f aca="false">IF($F567="",IF($D567="","","Falta a atividade"),IF($R567="Cancelada","Cancelada",IF($AB567=1,IF(N($Z567)&gt;0,"Concluída com atraso","Concluída"),IF($R567="Em programação","Em programação",IF($O567="",IF($M567="","Na carteira","Falta a semana"),IF($AC567=1,"VENCIDA",IF($O567&gt;Hoje!$L$1,"Programada",IF($P567&gt;Hoje!$L$1,"Em execução","Fecha hoje"))))))))</f>
        <v/>
      </c>
      <c r="C567" s="41"/>
      <c r="D567" s="42"/>
      <c r="E567" s="42"/>
      <c r="F567" s="42"/>
      <c r="G567" s="43"/>
      <c r="H567" s="43"/>
      <c r="I567" s="44"/>
      <c r="J567" s="44"/>
      <c r="K567" s="44"/>
      <c r="L567" s="45"/>
      <c r="M567" s="46"/>
      <c r="N567" s="45"/>
      <c r="O567" s="47" t="str">
        <f aca="false">IF(OR($L567="",$M567=""),"",(DATE(Semana!$J$3,1,4)-WEEKDAY(DATE(Semana!$J$3,1,4),3))+($L567-1)*7+MATCH($M567,Listas!$F$5:$F$11,0)-1)</f>
        <v/>
      </c>
      <c r="P567" s="47" t="str">
        <f aca="false">IF(OR($F567="",$O567=""),"",$O567+MAX(0,ROUNDUP($AK567*MAX(1,IF($N567="",1,$N567))/MAX(1,$AL567),0)-1))</f>
        <v/>
      </c>
      <c r="Q567" s="48"/>
      <c r="R567" s="43"/>
      <c r="S567" s="49"/>
      <c r="T567" s="42"/>
      <c r="U567" s="42"/>
      <c r="V567" s="39" t="str">
        <f aca="false">IF($F567="","",IF(ISNUMBER(SEARCH("(externo)",$I567&amp;$J567&amp;$K567)),"Terceirizada","Interna"))</f>
        <v/>
      </c>
      <c r="W567" s="47" t="str">
        <f aca="false">IF($O567="","",IF($S567="",$O567,(DATE(Semana!$J$3,1,4)-WEEKDAY(DATE(Semana!$J$3,1,4),3))+($S567-1)*7+IF($M567="",0,MATCH($M567,Listas!$F$5:$F$11,0)-1)))</f>
        <v/>
      </c>
      <c r="X567" s="39" t="str">
        <f aca="false">IF($F567="","",IF(OR($AT567="",$O567=""),0,IF($AT567&lt;=$O567,1,0)))</f>
        <v/>
      </c>
      <c r="Y567" s="39" t="str">
        <f aca="false">IF($F567="","",IF(OR($AT567="",$W567=""),0,IF($AT567&lt;=$W567,1,0)))</f>
        <v/>
      </c>
      <c r="Z567" s="39" t="str">
        <f aca="false">IF(OR($AT567="",$O567=""),"",MAX(0,$AT567-$O567))</f>
        <v/>
      </c>
      <c r="AA567" s="39" t="str">
        <f aca="false">IF($F567="","",IF(AND($S567&lt;&gt;"",$L567&lt;&gt;"",$S567&lt;&gt;$L567),1,0))</f>
        <v/>
      </c>
      <c r="AB567" s="39" t="str">
        <f aca="false">IF($F567="","",IF($R567="Cancelada",0,IF(OR($AT567&lt;&gt;"",$R567="Concluída"),1,0)))</f>
        <v/>
      </c>
      <c r="AC567" s="39" t="n">
        <f aca="false">IF($P567="",0,IF($P567&lt;Hoje!$L$1,1,IF(AND($P567=Hoje!$L$1,Hoje!$L$2&gt;Semana!$M$3),1,0)))</f>
        <v>0</v>
      </c>
      <c r="AD567" s="39" t="str">
        <f aca="false">IF($F567="","",IF(COUNTA($I567:$K567)=0,0,1/COUNTA($I567:$K567)))</f>
        <v/>
      </c>
      <c r="AE567" s="39" t="str">
        <f aca="false">IF($AH567=0,"",SUM($AH$4:$AH567))</f>
        <v/>
      </c>
      <c r="AF567" s="39" t="str">
        <f aca="false">IF($AI567=0,"",SUM($AI$4:$AI567))</f>
        <v/>
      </c>
      <c r="AG567" s="50" t="str">
        <f aca="false">IF($F567="","",$I567&amp;IF($J567="",""," · "&amp;$J567)&amp;IF($K567="",""," · "&amp;$K567))</f>
        <v/>
      </c>
      <c r="AH567" s="39" t="n">
        <f aca="false">IF(AND($F567&lt;&gt;"",$O567&lt;&gt;"",$O567&lt;=Hoje!$C$3,$P567&gt;=Hoje!$C$3,$R567&lt;&gt;"Cancelada"),1,0)</f>
        <v>0</v>
      </c>
      <c r="AI567" s="39" t="n">
        <f aca="false">IF(AND($F567&lt;&gt;"",$P567&lt;&gt;"",$P567&lt;Hoje!$C$3,$AB567=0,$R567&lt;&gt;"Cancelada"),1,0)</f>
        <v>0</v>
      </c>
      <c r="AJ567" s="50" t="str">
        <f aca="false">IF($F567="","",$D567&amp;"|"&amp;$E567&amp;"|"&amp;$L567)</f>
        <v/>
      </c>
      <c r="AK567" s="39" t="str">
        <f aca="false">IF($AJ567="","",COUNTIF($AJ$4:$AJ567,$AJ567))</f>
        <v/>
      </c>
      <c r="AL567" s="39" t="str">
        <f aca="false">IF($AJ567="","",COUNTIF($AJ$4:$AJ$1004,$AJ567))</f>
        <v/>
      </c>
      <c r="AM567" s="42"/>
      <c r="AN567" s="50" t="str">
        <f aca="false">IF($D567="","",IFERROR(T(VLOOKUP($D567,Listas!$B$5:$H$120,7,0)),""))</f>
        <v/>
      </c>
      <c r="AO567" s="50" t="str">
        <f aca="false">IF(OR($F567="",$L567&lt;&gt;"",$R567="Cancelada",$AT567&lt;&gt;""),"",$AN567&amp;"|"&amp;$D567&amp;"|"&amp;IF($C567="","zzz",$C567)&amp;"|"&amp;TEXT(567,"0000"))</f>
        <v/>
      </c>
      <c r="AP567" s="50" t="str">
        <f aca="false">IF($AO567="","",COUNTIF($AO$5:$AO$1004,"&lt;"&amp;$AO567)-(ROWS($AO$5:$AO$1004)-Hoje!$L$5)+1)</f>
        <v/>
      </c>
      <c r="AQ567" s="50" t="n">
        <f aca="false">IF(AND($F567&lt;&gt;"",$D567=Frota!$C$3),1,0)</f>
        <v>0</v>
      </c>
      <c r="AR567" s="50" t="str">
        <f aca="false">IF($AQ567=0,"",SUM($AQ$4:$AQ567))</f>
        <v/>
      </c>
      <c r="AS567" s="50" t="str">
        <f aca="false">IFERROR(INDEX(Hoje!$K$10:$K$29,MATCH(ROW(),Hoje!$J$10:$J$29,0)),"")</f>
        <v/>
      </c>
      <c r="AT567" s="50" t="str">
        <f aca="false">IF($Q567&lt;&gt;"",$Q567,$AS567)</f>
        <v/>
      </c>
    </row>
    <row r="568" customFormat="false" ht="16.5" hidden="false" customHeight="true" outlineLevel="0" collapsed="false">
      <c r="A568" s="39" t="str">
        <f aca="false">IF($F568="","",ROW())</f>
        <v/>
      </c>
      <c r="B568" s="40" t="str">
        <f aca="false">IF($F568="",IF($D568="","","Falta a atividade"),IF($R568="Cancelada","Cancelada",IF($AB568=1,IF(N($Z568)&gt;0,"Concluída com atraso","Concluída"),IF($R568="Em programação","Em programação",IF($O568="",IF($M568="","Na carteira","Falta a semana"),IF($AC568=1,"VENCIDA",IF($O568&gt;Hoje!$L$1,"Programada",IF($P568&gt;Hoje!$L$1,"Em execução","Fecha hoje"))))))))</f>
        <v/>
      </c>
      <c r="C568" s="41"/>
      <c r="D568" s="42"/>
      <c r="E568" s="42"/>
      <c r="F568" s="42"/>
      <c r="G568" s="43"/>
      <c r="H568" s="43"/>
      <c r="I568" s="44"/>
      <c r="J568" s="44"/>
      <c r="K568" s="44"/>
      <c r="L568" s="45"/>
      <c r="M568" s="46"/>
      <c r="N568" s="45"/>
      <c r="O568" s="47" t="str">
        <f aca="false">IF(OR($L568="",$M568=""),"",(DATE(Semana!$J$3,1,4)-WEEKDAY(DATE(Semana!$J$3,1,4),3))+($L568-1)*7+MATCH($M568,Listas!$F$5:$F$11,0)-1)</f>
        <v/>
      </c>
      <c r="P568" s="47" t="str">
        <f aca="false">IF(OR($F568="",$O568=""),"",$O568+MAX(0,ROUNDUP($AK568*MAX(1,IF($N568="",1,$N568))/MAX(1,$AL568),0)-1))</f>
        <v/>
      </c>
      <c r="Q568" s="48"/>
      <c r="R568" s="43"/>
      <c r="S568" s="49"/>
      <c r="T568" s="42"/>
      <c r="U568" s="42"/>
      <c r="V568" s="39" t="str">
        <f aca="false">IF($F568="","",IF(ISNUMBER(SEARCH("(externo)",$I568&amp;$J568&amp;$K568)),"Terceirizada","Interna"))</f>
        <v/>
      </c>
      <c r="W568" s="47" t="str">
        <f aca="false">IF($O568="","",IF($S568="",$O568,(DATE(Semana!$J$3,1,4)-WEEKDAY(DATE(Semana!$J$3,1,4),3))+($S568-1)*7+IF($M568="",0,MATCH($M568,Listas!$F$5:$F$11,0)-1)))</f>
        <v/>
      </c>
      <c r="X568" s="39" t="str">
        <f aca="false">IF($F568="","",IF(OR($AT568="",$O568=""),0,IF($AT568&lt;=$O568,1,0)))</f>
        <v/>
      </c>
      <c r="Y568" s="39" t="str">
        <f aca="false">IF($F568="","",IF(OR($AT568="",$W568=""),0,IF($AT568&lt;=$W568,1,0)))</f>
        <v/>
      </c>
      <c r="Z568" s="39" t="str">
        <f aca="false">IF(OR($AT568="",$O568=""),"",MAX(0,$AT568-$O568))</f>
        <v/>
      </c>
      <c r="AA568" s="39" t="str">
        <f aca="false">IF($F568="","",IF(AND($S568&lt;&gt;"",$L568&lt;&gt;"",$S568&lt;&gt;$L568),1,0))</f>
        <v/>
      </c>
      <c r="AB568" s="39" t="str">
        <f aca="false">IF($F568="","",IF($R568="Cancelada",0,IF(OR($AT568&lt;&gt;"",$R568="Concluída"),1,0)))</f>
        <v/>
      </c>
      <c r="AC568" s="39" t="n">
        <f aca="false">IF($P568="",0,IF($P568&lt;Hoje!$L$1,1,IF(AND($P568=Hoje!$L$1,Hoje!$L$2&gt;Semana!$M$3),1,0)))</f>
        <v>0</v>
      </c>
      <c r="AD568" s="39" t="str">
        <f aca="false">IF($F568="","",IF(COUNTA($I568:$K568)=0,0,1/COUNTA($I568:$K568)))</f>
        <v/>
      </c>
      <c r="AE568" s="39" t="str">
        <f aca="false">IF($AH568=0,"",SUM($AH$4:$AH568))</f>
        <v/>
      </c>
      <c r="AF568" s="39" t="str">
        <f aca="false">IF($AI568=0,"",SUM($AI$4:$AI568))</f>
        <v/>
      </c>
      <c r="AG568" s="50" t="str">
        <f aca="false">IF($F568="","",$I568&amp;IF($J568="",""," · "&amp;$J568)&amp;IF($K568="",""," · "&amp;$K568))</f>
        <v/>
      </c>
      <c r="AH568" s="39" t="n">
        <f aca="false">IF(AND($F568&lt;&gt;"",$O568&lt;&gt;"",$O568&lt;=Hoje!$C$3,$P568&gt;=Hoje!$C$3,$R568&lt;&gt;"Cancelada"),1,0)</f>
        <v>0</v>
      </c>
      <c r="AI568" s="39" t="n">
        <f aca="false">IF(AND($F568&lt;&gt;"",$P568&lt;&gt;"",$P568&lt;Hoje!$C$3,$AB568=0,$R568&lt;&gt;"Cancelada"),1,0)</f>
        <v>0</v>
      </c>
      <c r="AJ568" s="50" t="str">
        <f aca="false">IF($F568="","",$D568&amp;"|"&amp;$E568&amp;"|"&amp;$L568)</f>
        <v/>
      </c>
      <c r="AK568" s="39" t="str">
        <f aca="false">IF($AJ568="","",COUNTIF($AJ$4:$AJ568,$AJ568))</f>
        <v/>
      </c>
      <c r="AL568" s="39" t="str">
        <f aca="false">IF($AJ568="","",COUNTIF($AJ$4:$AJ$1004,$AJ568))</f>
        <v/>
      </c>
      <c r="AM568" s="42"/>
      <c r="AN568" s="50" t="str">
        <f aca="false">IF($D568="","",IFERROR(T(VLOOKUP($D568,Listas!$B$5:$H$120,7,0)),""))</f>
        <v/>
      </c>
      <c r="AO568" s="50" t="str">
        <f aca="false">IF(OR($F568="",$L568&lt;&gt;"",$R568="Cancelada",$AT568&lt;&gt;""),"",$AN568&amp;"|"&amp;$D568&amp;"|"&amp;IF($C568="","zzz",$C568)&amp;"|"&amp;TEXT(568,"0000"))</f>
        <v/>
      </c>
      <c r="AP568" s="50" t="str">
        <f aca="false">IF($AO568="","",COUNTIF($AO$5:$AO$1004,"&lt;"&amp;$AO568)-(ROWS($AO$5:$AO$1004)-Hoje!$L$5)+1)</f>
        <v/>
      </c>
      <c r="AQ568" s="50" t="n">
        <f aca="false">IF(AND($F568&lt;&gt;"",$D568=Frota!$C$3),1,0)</f>
        <v>0</v>
      </c>
      <c r="AR568" s="50" t="str">
        <f aca="false">IF($AQ568=0,"",SUM($AQ$4:$AQ568))</f>
        <v/>
      </c>
      <c r="AS568" s="50" t="str">
        <f aca="false">IFERROR(INDEX(Hoje!$K$10:$K$29,MATCH(ROW(),Hoje!$J$10:$J$29,0)),"")</f>
        <v/>
      </c>
      <c r="AT568" s="50" t="str">
        <f aca="false">IF($Q568&lt;&gt;"",$Q568,$AS568)</f>
        <v/>
      </c>
    </row>
    <row r="569" customFormat="false" ht="16.5" hidden="false" customHeight="true" outlineLevel="0" collapsed="false">
      <c r="A569" s="39" t="str">
        <f aca="false">IF($F569="","",ROW())</f>
        <v/>
      </c>
      <c r="B569" s="40" t="str">
        <f aca="false">IF($F569="",IF($D569="","","Falta a atividade"),IF($R569="Cancelada","Cancelada",IF($AB569=1,IF(N($Z569)&gt;0,"Concluída com atraso","Concluída"),IF($R569="Em programação","Em programação",IF($O569="",IF($M569="","Na carteira","Falta a semana"),IF($AC569=1,"VENCIDA",IF($O569&gt;Hoje!$L$1,"Programada",IF($P569&gt;Hoje!$L$1,"Em execução","Fecha hoje"))))))))</f>
        <v/>
      </c>
      <c r="C569" s="41"/>
      <c r="D569" s="42"/>
      <c r="E569" s="42"/>
      <c r="F569" s="42"/>
      <c r="G569" s="43"/>
      <c r="H569" s="43"/>
      <c r="I569" s="44"/>
      <c r="J569" s="44"/>
      <c r="K569" s="44"/>
      <c r="L569" s="45"/>
      <c r="M569" s="46"/>
      <c r="N569" s="45"/>
      <c r="O569" s="47" t="str">
        <f aca="false">IF(OR($L569="",$M569=""),"",(DATE(Semana!$J$3,1,4)-WEEKDAY(DATE(Semana!$J$3,1,4),3))+($L569-1)*7+MATCH($M569,Listas!$F$5:$F$11,0)-1)</f>
        <v/>
      </c>
      <c r="P569" s="47" t="str">
        <f aca="false">IF(OR($F569="",$O569=""),"",$O569+MAX(0,ROUNDUP($AK569*MAX(1,IF($N569="",1,$N569))/MAX(1,$AL569),0)-1))</f>
        <v/>
      </c>
      <c r="Q569" s="48"/>
      <c r="R569" s="43"/>
      <c r="S569" s="49"/>
      <c r="T569" s="42"/>
      <c r="U569" s="42"/>
      <c r="V569" s="39" t="str">
        <f aca="false">IF($F569="","",IF(ISNUMBER(SEARCH("(externo)",$I569&amp;$J569&amp;$K569)),"Terceirizada","Interna"))</f>
        <v/>
      </c>
      <c r="W569" s="47" t="str">
        <f aca="false">IF($O569="","",IF($S569="",$O569,(DATE(Semana!$J$3,1,4)-WEEKDAY(DATE(Semana!$J$3,1,4),3))+($S569-1)*7+IF($M569="",0,MATCH($M569,Listas!$F$5:$F$11,0)-1)))</f>
        <v/>
      </c>
      <c r="X569" s="39" t="str">
        <f aca="false">IF($F569="","",IF(OR($AT569="",$O569=""),0,IF($AT569&lt;=$O569,1,0)))</f>
        <v/>
      </c>
      <c r="Y569" s="39" t="str">
        <f aca="false">IF($F569="","",IF(OR($AT569="",$W569=""),0,IF($AT569&lt;=$W569,1,0)))</f>
        <v/>
      </c>
      <c r="Z569" s="39" t="str">
        <f aca="false">IF(OR($AT569="",$O569=""),"",MAX(0,$AT569-$O569))</f>
        <v/>
      </c>
      <c r="AA569" s="39" t="str">
        <f aca="false">IF($F569="","",IF(AND($S569&lt;&gt;"",$L569&lt;&gt;"",$S569&lt;&gt;$L569),1,0))</f>
        <v/>
      </c>
      <c r="AB569" s="39" t="str">
        <f aca="false">IF($F569="","",IF($R569="Cancelada",0,IF(OR($AT569&lt;&gt;"",$R569="Concluída"),1,0)))</f>
        <v/>
      </c>
      <c r="AC569" s="39" t="n">
        <f aca="false">IF($P569="",0,IF($P569&lt;Hoje!$L$1,1,IF(AND($P569=Hoje!$L$1,Hoje!$L$2&gt;Semana!$M$3),1,0)))</f>
        <v>0</v>
      </c>
      <c r="AD569" s="39" t="str">
        <f aca="false">IF($F569="","",IF(COUNTA($I569:$K569)=0,0,1/COUNTA($I569:$K569)))</f>
        <v/>
      </c>
      <c r="AE569" s="39" t="str">
        <f aca="false">IF($AH569=0,"",SUM($AH$4:$AH569))</f>
        <v/>
      </c>
      <c r="AF569" s="39" t="str">
        <f aca="false">IF($AI569=0,"",SUM($AI$4:$AI569))</f>
        <v/>
      </c>
      <c r="AG569" s="50" t="str">
        <f aca="false">IF($F569="","",$I569&amp;IF($J569="",""," · "&amp;$J569)&amp;IF($K569="",""," · "&amp;$K569))</f>
        <v/>
      </c>
      <c r="AH569" s="39" t="n">
        <f aca="false">IF(AND($F569&lt;&gt;"",$O569&lt;&gt;"",$O569&lt;=Hoje!$C$3,$P569&gt;=Hoje!$C$3,$R569&lt;&gt;"Cancelada"),1,0)</f>
        <v>0</v>
      </c>
      <c r="AI569" s="39" t="n">
        <f aca="false">IF(AND($F569&lt;&gt;"",$P569&lt;&gt;"",$P569&lt;Hoje!$C$3,$AB569=0,$R569&lt;&gt;"Cancelada"),1,0)</f>
        <v>0</v>
      </c>
      <c r="AJ569" s="50" t="str">
        <f aca="false">IF($F569="","",$D569&amp;"|"&amp;$E569&amp;"|"&amp;$L569)</f>
        <v/>
      </c>
      <c r="AK569" s="39" t="str">
        <f aca="false">IF($AJ569="","",COUNTIF($AJ$4:$AJ569,$AJ569))</f>
        <v/>
      </c>
      <c r="AL569" s="39" t="str">
        <f aca="false">IF($AJ569="","",COUNTIF($AJ$4:$AJ$1004,$AJ569))</f>
        <v/>
      </c>
      <c r="AM569" s="42"/>
      <c r="AN569" s="50" t="str">
        <f aca="false">IF($D569="","",IFERROR(T(VLOOKUP($D569,Listas!$B$5:$H$120,7,0)),""))</f>
        <v/>
      </c>
      <c r="AO569" s="50" t="str">
        <f aca="false">IF(OR($F569="",$L569&lt;&gt;"",$R569="Cancelada",$AT569&lt;&gt;""),"",$AN569&amp;"|"&amp;$D569&amp;"|"&amp;IF($C569="","zzz",$C569)&amp;"|"&amp;TEXT(569,"0000"))</f>
        <v/>
      </c>
      <c r="AP569" s="50" t="str">
        <f aca="false">IF($AO569="","",COUNTIF($AO$5:$AO$1004,"&lt;"&amp;$AO569)-(ROWS($AO$5:$AO$1004)-Hoje!$L$5)+1)</f>
        <v/>
      </c>
      <c r="AQ569" s="50" t="n">
        <f aca="false">IF(AND($F569&lt;&gt;"",$D569=Frota!$C$3),1,0)</f>
        <v>0</v>
      </c>
      <c r="AR569" s="50" t="str">
        <f aca="false">IF($AQ569=0,"",SUM($AQ$4:$AQ569))</f>
        <v/>
      </c>
      <c r="AS569" s="50" t="str">
        <f aca="false">IFERROR(INDEX(Hoje!$K$10:$K$29,MATCH(ROW(),Hoje!$J$10:$J$29,0)),"")</f>
        <v/>
      </c>
      <c r="AT569" s="50" t="str">
        <f aca="false">IF($Q569&lt;&gt;"",$Q569,$AS569)</f>
        <v/>
      </c>
    </row>
    <row r="570" customFormat="false" ht="16.5" hidden="false" customHeight="true" outlineLevel="0" collapsed="false">
      <c r="A570" s="39" t="str">
        <f aca="false">IF($F570="","",ROW())</f>
        <v/>
      </c>
      <c r="B570" s="40" t="str">
        <f aca="false">IF($F570="",IF($D570="","","Falta a atividade"),IF($R570="Cancelada","Cancelada",IF($AB570=1,IF(N($Z570)&gt;0,"Concluída com atraso","Concluída"),IF($R570="Em programação","Em programação",IF($O570="",IF($M570="","Na carteira","Falta a semana"),IF($AC570=1,"VENCIDA",IF($O570&gt;Hoje!$L$1,"Programada",IF($P570&gt;Hoje!$L$1,"Em execução","Fecha hoje"))))))))</f>
        <v/>
      </c>
      <c r="C570" s="41"/>
      <c r="D570" s="42"/>
      <c r="E570" s="42"/>
      <c r="F570" s="42"/>
      <c r="G570" s="43"/>
      <c r="H570" s="43"/>
      <c r="I570" s="44"/>
      <c r="J570" s="44"/>
      <c r="K570" s="44"/>
      <c r="L570" s="45"/>
      <c r="M570" s="46"/>
      <c r="N570" s="45"/>
      <c r="O570" s="47" t="str">
        <f aca="false">IF(OR($L570="",$M570=""),"",(DATE(Semana!$J$3,1,4)-WEEKDAY(DATE(Semana!$J$3,1,4),3))+($L570-1)*7+MATCH($M570,Listas!$F$5:$F$11,0)-1)</f>
        <v/>
      </c>
      <c r="P570" s="47" t="str">
        <f aca="false">IF(OR($F570="",$O570=""),"",$O570+MAX(0,ROUNDUP($AK570*MAX(1,IF($N570="",1,$N570))/MAX(1,$AL570),0)-1))</f>
        <v/>
      </c>
      <c r="Q570" s="48"/>
      <c r="R570" s="43"/>
      <c r="S570" s="49"/>
      <c r="T570" s="42"/>
      <c r="U570" s="42"/>
      <c r="V570" s="39" t="str">
        <f aca="false">IF($F570="","",IF(ISNUMBER(SEARCH("(externo)",$I570&amp;$J570&amp;$K570)),"Terceirizada","Interna"))</f>
        <v/>
      </c>
      <c r="W570" s="47" t="str">
        <f aca="false">IF($O570="","",IF($S570="",$O570,(DATE(Semana!$J$3,1,4)-WEEKDAY(DATE(Semana!$J$3,1,4),3))+($S570-1)*7+IF($M570="",0,MATCH($M570,Listas!$F$5:$F$11,0)-1)))</f>
        <v/>
      </c>
      <c r="X570" s="39" t="str">
        <f aca="false">IF($F570="","",IF(OR($AT570="",$O570=""),0,IF($AT570&lt;=$O570,1,0)))</f>
        <v/>
      </c>
      <c r="Y570" s="39" t="str">
        <f aca="false">IF($F570="","",IF(OR($AT570="",$W570=""),0,IF($AT570&lt;=$W570,1,0)))</f>
        <v/>
      </c>
      <c r="Z570" s="39" t="str">
        <f aca="false">IF(OR($AT570="",$O570=""),"",MAX(0,$AT570-$O570))</f>
        <v/>
      </c>
      <c r="AA570" s="39" t="str">
        <f aca="false">IF($F570="","",IF(AND($S570&lt;&gt;"",$L570&lt;&gt;"",$S570&lt;&gt;$L570),1,0))</f>
        <v/>
      </c>
      <c r="AB570" s="39" t="str">
        <f aca="false">IF($F570="","",IF($R570="Cancelada",0,IF(OR($AT570&lt;&gt;"",$R570="Concluída"),1,0)))</f>
        <v/>
      </c>
      <c r="AC570" s="39" t="n">
        <f aca="false">IF($P570="",0,IF($P570&lt;Hoje!$L$1,1,IF(AND($P570=Hoje!$L$1,Hoje!$L$2&gt;Semana!$M$3),1,0)))</f>
        <v>0</v>
      </c>
      <c r="AD570" s="39" t="str">
        <f aca="false">IF($F570="","",IF(COUNTA($I570:$K570)=0,0,1/COUNTA($I570:$K570)))</f>
        <v/>
      </c>
      <c r="AE570" s="39" t="str">
        <f aca="false">IF($AH570=0,"",SUM($AH$4:$AH570))</f>
        <v/>
      </c>
      <c r="AF570" s="39" t="str">
        <f aca="false">IF($AI570=0,"",SUM($AI$4:$AI570))</f>
        <v/>
      </c>
      <c r="AG570" s="50" t="str">
        <f aca="false">IF($F570="","",$I570&amp;IF($J570="",""," · "&amp;$J570)&amp;IF($K570="",""," · "&amp;$K570))</f>
        <v/>
      </c>
      <c r="AH570" s="39" t="n">
        <f aca="false">IF(AND($F570&lt;&gt;"",$O570&lt;&gt;"",$O570&lt;=Hoje!$C$3,$P570&gt;=Hoje!$C$3,$R570&lt;&gt;"Cancelada"),1,0)</f>
        <v>0</v>
      </c>
      <c r="AI570" s="39" t="n">
        <f aca="false">IF(AND($F570&lt;&gt;"",$P570&lt;&gt;"",$P570&lt;Hoje!$C$3,$AB570=0,$R570&lt;&gt;"Cancelada"),1,0)</f>
        <v>0</v>
      </c>
      <c r="AJ570" s="50" t="str">
        <f aca="false">IF($F570="","",$D570&amp;"|"&amp;$E570&amp;"|"&amp;$L570)</f>
        <v/>
      </c>
      <c r="AK570" s="39" t="str">
        <f aca="false">IF($AJ570="","",COUNTIF($AJ$4:$AJ570,$AJ570))</f>
        <v/>
      </c>
      <c r="AL570" s="39" t="str">
        <f aca="false">IF($AJ570="","",COUNTIF($AJ$4:$AJ$1004,$AJ570))</f>
        <v/>
      </c>
      <c r="AM570" s="42"/>
      <c r="AN570" s="50" t="str">
        <f aca="false">IF($D570="","",IFERROR(T(VLOOKUP($D570,Listas!$B$5:$H$120,7,0)),""))</f>
        <v/>
      </c>
      <c r="AO570" s="50" t="str">
        <f aca="false">IF(OR($F570="",$L570&lt;&gt;"",$R570="Cancelada",$AT570&lt;&gt;""),"",$AN570&amp;"|"&amp;$D570&amp;"|"&amp;IF($C570="","zzz",$C570)&amp;"|"&amp;TEXT(570,"0000"))</f>
        <v/>
      </c>
      <c r="AP570" s="50" t="str">
        <f aca="false">IF($AO570="","",COUNTIF($AO$5:$AO$1004,"&lt;"&amp;$AO570)-(ROWS($AO$5:$AO$1004)-Hoje!$L$5)+1)</f>
        <v/>
      </c>
      <c r="AQ570" s="50" t="n">
        <f aca="false">IF(AND($F570&lt;&gt;"",$D570=Frota!$C$3),1,0)</f>
        <v>0</v>
      </c>
      <c r="AR570" s="50" t="str">
        <f aca="false">IF($AQ570=0,"",SUM($AQ$4:$AQ570))</f>
        <v/>
      </c>
      <c r="AS570" s="50" t="str">
        <f aca="false">IFERROR(INDEX(Hoje!$K$10:$K$29,MATCH(ROW(),Hoje!$J$10:$J$29,0)),"")</f>
        <v/>
      </c>
      <c r="AT570" s="50" t="str">
        <f aca="false">IF($Q570&lt;&gt;"",$Q570,$AS570)</f>
        <v/>
      </c>
    </row>
    <row r="571" customFormat="false" ht="16.5" hidden="false" customHeight="true" outlineLevel="0" collapsed="false">
      <c r="A571" s="39" t="str">
        <f aca="false">IF($F571="","",ROW())</f>
        <v/>
      </c>
      <c r="B571" s="40" t="str">
        <f aca="false">IF($F571="",IF($D571="","","Falta a atividade"),IF($R571="Cancelada","Cancelada",IF($AB571=1,IF(N($Z571)&gt;0,"Concluída com atraso","Concluída"),IF($R571="Em programação","Em programação",IF($O571="",IF($M571="","Na carteira","Falta a semana"),IF($AC571=1,"VENCIDA",IF($O571&gt;Hoje!$L$1,"Programada",IF($P571&gt;Hoje!$L$1,"Em execução","Fecha hoje"))))))))</f>
        <v/>
      </c>
      <c r="C571" s="41"/>
      <c r="D571" s="42"/>
      <c r="E571" s="42"/>
      <c r="F571" s="42"/>
      <c r="G571" s="43"/>
      <c r="H571" s="43"/>
      <c r="I571" s="44"/>
      <c r="J571" s="44"/>
      <c r="K571" s="44"/>
      <c r="L571" s="45"/>
      <c r="M571" s="46"/>
      <c r="N571" s="45"/>
      <c r="O571" s="47" t="str">
        <f aca="false">IF(OR($L571="",$M571=""),"",(DATE(Semana!$J$3,1,4)-WEEKDAY(DATE(Semana!$J$3,1,4),3))+($L571-1)*7+MATCH($M571,Listas!$F$5:$F$11,0)-1)</f>
        <v/>
      </c>
      <c r="P571" s="47" t="str">
        <f aca="false">IF(OR($F571="",$O571=""),"",$O571+MAX(0,ROUNDUP($AK571*MAX(1,IF($N571="",1,$N571))/MAX(1,$AL571),0)-1))</f>
        <v/>
      </c>
      <c r="Q571" s="48"/>
      <c r="R571" s="43"/>
      <c r="S571" s="49"/>
      <c r="T571" s="42"/>
      <c r="U571" s="42"/>
      <c r="V571" s="39" t="str">
        <f aca="false">IF($F571="","",IF(ISNUMBER(SEARCH("(externo)",$I571&amp;$J571&amp;$K571)),"Terceirizada","Interna"))</f>
        <v/>
      </c>
      <c r="W571" s="47" t="str">
        <f aca="false">IF($O571="","",IF($S571="",$O571,(DATE(Semana!$J$3,1,4)-WEEKDAY(DATE(Semana!$J$3,1,4),3))+($S571-1)*7+IF($M571="",0,MATCH($M571,Listas!$F$5:$F$11,0)-1)))</f>
        <v/>
      </c>
      <c r="X571" s="39" t="str">
        <f aca="false">IF($F571="","",IF(OR($AT571="",$O571=""),0,IF($AT571&lt;=$O571,1,0)))</f>
        <v/>
      </c>
      <c r="Y571" s="39" t="str">
        <f aca="false">IF($F571="","",IF(OR($AT571="",$W571=""),0,IF($AT571&lt;=$W571,1,0)))</f>
        <v/>
      </c>
      <c r="Z571" s="39" t="str">
        <f aca="false">IF(OR($AT571="",$O571=""),"",MAX(0,$AT571-$O571))</f>
        <v/>
      </c>
      <c r="AA571" s="39" t="str">
        <f aca="false">IF($F571="","",IF(AND($S571&lt;&gt;"",$L571&lt;&gt;"",$S571&lt;&gt;$L571),1,0))</f>
        <v/>
      </c>
      <c r="AB571" s="39" t="str">
        <f aca="false">IF($F571="","",IF($R571="Cancelada",0,IF(OR($AT571&lt;&gt;"",$R571="Concluída"),1,0)))</f>
        <v/>
      </c>
      <c r="AC571" s="39" t="n">
        <f aca="false">IF($P571="",0,IF($P571&lt;Hoje!$L$1,1,IF(AND($P571=Hoje!$L$1,Hoje!$L$2&gt;Semana!$M$3),1,0)))</f>
        <v>0</v>
      </c>
      <c r="AD571" s="39" t="str">
        <f aca="false">IF($F571="","",IF(COUNTA($I571:$K571)=0,0,1/COUNTA($I571:$K571)))</f>
        <v/>
      </c>
      <c r="AE571" s="39" t="str">
        <f aca="false">IF($AH571=0,"",SUM($AH$4:$AH571))</f>
        <v/>
      </c>
      <c r="AF571" s="39" t="str">
        <f aca="false">IF($AI571=0,"",SUM($AI$4:$AI571))</f>
        <v/>
      </c>
      <c r="AG571" s="50" t="str">
        <f aca="false">IF($F571="","",$I571&amp;IF($J571="",""," · "&amp;$J571)&amp;IF($K571="",""," · "&amp;$K571))</f>
        <v/>
      </c>
      <c r="AH571" s="39" t="n">
        <f aca="false">IF(AND($F571&lt;&gt;"",$O571&lt;&gt;"",$O571&lt;=Hoje!$C$3,$P571&gt;=Hoje!$C$3,$R571&lt;&gt;"Cancelada"),1,0)</f>
        <v>0</v>
      </c>
      <c r="AI571" s="39" t="n">
        <f aca="false">IF(AND($F571&lt;&gt;"",$P571&lt;&gt;"",$P571&lt;Hoje!$C$3,$AB571=0,$R571&lt;&gt;"Cancelada"),1,0)</f>
        <v>0</v>
      </c>
      <c r="AJ571" s="50" t="str">
        <f aca="false">IF($F571="","",$D571&amp;"|"&amp;$E571&amp;"|"&amp;$L571)</f>
        <v/>
      </c>
      <c r="AK571" s="39" t="str">
        <f aca="false">IF($AJ571="","",COUNTIF($AJ$4:$AJ571,$AJ571))</f>
        <v/>
      </c>
      <c r="AL571" s="39" t="str">
        <f aca="false">IF($AJ571="","",COUNTIF($AJ$4:$AJ$1004,$AJ571))</f>
        <v/>
      </c>
      <c r="AM571" s="42"/>
      <c r="AN571" s="50" t="str">
        <f aca="false">IF($D571="","",IFERROR(T(VLOOKUP($D571,Listas!$B$5:$H$120,7,0)),""))</f>
        <v/>
      </c>
      <c r="AO571" s="50" t="str">
        <f aca="false">IF(OR($F571="",$L571&lt;&gt;"",$R571="Cancelada",$AT571&lt;&gt;""),"",$AN571&amp;"|"&amp;$D571&amp;"|"&amp;IF($C571="","zzz",$C571)&amp;"|"&amp;TEXT(571,"0000"))</f>
        <v/>
      </c>
      <c r="AP571" s="50" t="str">
        <f aca="false">IF($AO571="","",COUNTIF($AO$5:$AO$1004,"&lt;"&amp;$AO571)-(ROWS($AO$5:$AO$1004)-Hoje!$L$5)+1)</f>
        <v/>
      </c>
      <c r="AQ571" s="50" t="n">
        <f aca="false">IF(AND($F571&lt;&gt;"",$D571=Frota!$C$3),1,0)</f>
        <v>0</v>
      </c>
      <c r="AR571" s="50" t="str">
        <f aca="false">IF($AQ571=0,"",SUM($AQ$4:$AQ571))</f>
        <v/>
      </c>
      <c r="AS571" s="50" t="str">
        <f aca="false">IFERROR(INDEX(Hoje!$K$10:$K$29,MATCH(ROW(),Hoje!$J$10:$J$29,0)),"")</f>
        <v/>
      </c>
      <c r="AT571" s="50" t="str">
        <f aca="false">IF($Q571&lt;&gt;"",$Q571,$AS571)</f>
        <v/>
      </c>
    </row>
    <row r="572" customFormat="false" ht="16.5" hidden="false" customHeight="true" outlineLevel="0" collapsed="false">
      <c r="A572" s="39" t="str">
        <f aca="false">IF($F572="","",ROW())</f>
        <v/>
      </c>
      <c r="B572" s="40" t="str">
        <f aca="false">IF($F572="",IF($D572="","","Falta a atividade"),IF($R572="Cancelada","Cancelada",IF($AB572=1,IF(N($Z572)&gt;0,"Concluída com atraso","Concluída"),IF($R572="Em programação","Em programação",IF($O572="",IF($M572="","Na carteira","Falta a semana"),IF($AC572=1,"VENCIDA",IF($O572&gt;Hoje!$L$1,"Programada",IF($P572&gt;Hoje!$L$1,"Em execução","Fecha hoje"))))))))</f>
        <v/>
      </c>
      <c r="C572" s="41"/>
      <c r="D572" s="42"/>
      <c r="E572" s="42"/>
      <c r="F572" s="42"/>
      <c r="G572" s="43"/>
      <c r="H572" s="43"/>
      <c r="I572" s="44"/>
      <c r="J572" s="44"/>
      <c r="K572" s="44"/>
      <c r="L572" s="45"/>
      <c r="M572" s="46"/>
      <c r="N572" s="45"/>
      <c r="O572" s="47" t="str">
        <f aca="false">IF(OR($L572="",$M572=""),"",(DATE(Semana!$J$3,1,4)-WEEKDAY(DATE(Semana!$J$3,1,4),3))+($L572-1)*7+MATCH($M572,Listas!$F$5:$F$11,0)-1)</f>
        <v/>
      </c>
      <c r="P572" s="47" t="str">
        <f aca="false">IF(OR($F572="",$O572=""),"",$O572+MAX(0,ROUNDUP($AK572*MAX(1,IF($N572="",1,$N572))/MAX(1,$AL572),0)-1))</f>
        <v/>
      </c>
      <c r="Q572" s="48"/>
      <c r="R572" s="43"/>
      <c r="S572" s="49"/>
      <c r="T572" s="42"/>
      <c r="U572" s="42"/>
      <c r="V572" s="39" t="str">
        <f aca="false">IF($F572="","",IF(ISNUMBER(SEARCH("(externo)",$I572&amp;$J572&amp;$K572)),"Terceirizada","Interna"))</f>
        <v/>
      </c>
      <c r="W572" s="47" t="str">
        <f aca="false">IF($O572="","",IF($S572="",$O572,(DATE(Semana!$J$3,1,4)-WEEKDAY(DATE(Semana!$J$3,1,4),3))+($S572-1)*7+IF($M572="",0,MATCH($M572,Listas!$F$5:$F$11,0)-1)))</f>
        <v/>
      </c>
      <c r="X572" s="39" t="str">
        <f aca="false">IF($F572="","",IF(OR($AT572="",$O572=""),0,IF($AT572&lt;=$O572,1,0)))</f>
        <v/>
      </c>
      <c r="Y572" s="39" t="str">
        <f aca="false">IF($F572="","",IF(OR($AT572="",$W572=""),0,IF($AT572&lt;=$W572,1,0)))</f>
        <v/>
      </c>
      <c r="Z572" s="39" t="str">
        <f aca="false">IF(OR($AT572="",$O572=""),"",MAX(0,$AT572-$O572))</f>
        <v/>
      </c>
      <c r="AA572" s="39" t="str">
        <f aca="false">IF($F572="","",IF(AND($S572&lt;&gt;"",$L572&lt;&gt;"",$S572&lt;&gt;$L572),1,0))</f>
        <v/>
      </c>
      <c r="AB572" s="39" t="str">
        <f aca="false">IF($F572="","",IF($R572="Cancelada",0,IF(OR($AT572&lt;&gt;"",$R572="Concluída"),1,0)))</f>
        <v/>
      </c>
      <c r="AC572" s="39" t="n">
        <f aca="false">IF($P572="",0,IF($P572&lt;Hoje!$L$1,1,IF(AND($P572=Hoje!$L$1,Hoje!$L$2&gt;Semana!$M$3),1,0)))</f>
        <v>0</v>
      </c>
      <c r="AD572" s="39" t="str">
        <f aca="false">IF($F572="","",IF(COUNTA($I572:$K572)=0,0,1/COUNTA($I572:$K572)))</f>
        <v/>
      </c>
      <c r="AE572" s="39" t="str">
        <f aca="false">IF($AH572=0,"",SUM($AH$4:$AH572))</f>
        <v/>
      </c>
      <c r="AF572" s="39" t="str">
        <f aca="false">IF($AI572=0,"",SUM($AI$4:$AI572))</f>
        <v/>
      </c>
      <c r="AG572" s="50" t="str">
        <f aca="false">IF($F572="","",$I572&amp;IF($J572="",""," · "&amp;$J572)&amp;IF($K572="",""," · "&amp;$K572))</f>
        <v/>
      </c>
      <c r="AH572" s="39" t="n">
        <f aca="false">IF(AND($F572&lt;&gt;"",$O572&lt;&gt;"",$O572&lt;=Hoje!$C$3,$P572&gt;=Hoje!$C$3,$R572&lt;&gt;"Cancelada"),1,0)</f>
        <v>0</v>
      </c>
      <c r="AI572" s="39" t="n">
        <f aca="false">IF(AND($F572&lt;&gt;"",$P572&lt;&gt;"",$P572&lt;Hoje!$C$3,$AB572=0,$R572&lt;&gt;"Cancelada"),1,0)</f>
        <v>0</v>
      </c>
      <c r="AJ572" s="50" t="str">
        <f aca="false">IF($F572="","",$D572&amp;"|"&amp;$E572&amp;"|"&amp;$L572)</f>
        <v/>
      </c>
      <c r="AK572" s="39" t="str">
        <f aca="false">IF($AJ572="","",COUNTIF($AJ$4:$AJ572,$AJ572))</f>
        <v/>
      </c>
      <c r="AL572" s="39" t="str">
        <f aca="false">IF($AJ572="","",COUNTIF($AJ$4:$AJ$1004,$AJ572))</f>
        <v/>
      </c>
      <c r="AM572" s="42"/>
      <c r="AN572" s="50" t="str">
        <f aca="false">IF($D572="","",IFERROR(T(VLOOKUP($D572,Listas!$B$5:$H$120,7,0)),""))</f>
        <v/>
      </c>
      <c r="AO572" s="50" t="str">
        <f aca="false">IF(OR($F572="",$L572&lt;&gt;"",$R572="Cancelada",$AT572&lt;&gt;""),"",$AN572&amp;"|"&amp;$D572&amp;"|"&amp;IF($C572="","zzz",$C572)&amp;"|"&amp;TEXT(572,"0000"))</f>
        <v/>
      </c>
      <c r="AP572" s="50" t="str">
        <f aca="false">IF($AO572="","",COUNTIF($AO$5:$AO$1004,"&lt;"&amp;$AO572)-(ROWS($AO$5:$AO$1004)-Hoje!$L$5)+1)</f>
        <v/>
      </c>
      <c r="AQ572" s="50" t="n">
        <f aca="false">IF(AND($F572&lt;&gt;"",$D572=Frota!$C$3),1,0)</f>
        <v>0</v>
      </c>
      <c r="AR572" s="50" t="str">
        <f aca="false">IF($AQ572=0,"",SUM($AQ$4:$AQ572))</f>
        <v/>
      </c>
      <c r="AS572" s="50" t="str">
        <f aca="false">IFERROR(INDEX(Hoje!$K$10:$K$29,MATCH(ROW(),Hoje!$J$10:$J$29,0)),"")</f>
        <v/>
      </c>
      <c r="AT572" s="50" t="str">
        <f aca="false">IF($Q572&lt;&gt;"",$Q572,$AS572)</f>
        <v/>
      </c>
    </row>
    <row r="573" customFormat="false" ht="16.5" hidden="false" customHeight="true" outlineLevel="0" collapsed="false">
      <c r="A573" s="39" t="str">
        <f aca="false">IF($F573="","",ROW())</f>
        <v/>
      </c>
      <c r="B573" s="40" t="str">
        <f aca="false">IF($F573="",IF($D573="","","Falta a atividade"),IF($R573="Cancelada","Cancelada",IF($AB573=1,IF(N($Z573)&gt;0,"Concluída com atraso","Concluída"),IF($R573="Em programação","Em programação",IF($O573="",IF($M573="","Na carteira","Falta a semana"),IF($AC573=1,"VENCIDA",IF($O573&gt;Hoje!$L$1,"Programada",IF($P573&gt;Hoje!$L$1,"Em execução","Fecha hoje"))))))))</f>
        <v/>
      </c>
      <c r="C573" s="41"/>
      <c r="D573" s="42"/>
      <c r="E573" s="42"/>
      <c r="F573" s="42"/>
      <c r="G573" s="43"/>
      <c r="H573" s="43"/>
      <c r="I573" s="44"/>
      <c r="J573" s="44"/>
      <c r="K573" s="44"/>
      <c r="L573" s="45"/>
      <c r="M573" s="46"/>
      <c r="N573" s="45"/>
      <c r="O573" s="47" t="str">
        <f aca="false">IF(OR($L573="",$M573=""),"",(DATE(Semana!$J$3,1,4)-WEEKDAY(DATE(Semana!$J$3,1,4),3))+($L573-1)*7+MATCH($M573,Listas!$F$5:$F$11,0)-1)</f>
        <v/>
      </c>
      <c r="P573" s="47" t="str">
        <f aca="false">IF(OR($F573="",$O573=""),"",$O573+MAX(0,ROUNDUP($AK573*MAX(1,IF($N573="",1,$N573))/MAX(1,$AL573),0)-1))</f>
        <v/>
      </c>
      <c r="Q573" s="48"/>
      <c r="R573" s="43"/>
      <c r="S573" s="49"/>
      <c r="T573" s="42"/>
      <c r="U573" s="42"/>
      <c r="V573" s="39" t="str">
        <f aca="false">IF($F573="","",IF(ISNUMBER(SEARCH("(externo)",$I573&amp;$J573&amp;$K573)),"Terceirizada","Interna"))</f>
        <v/>
      </c>
      <c r="W573" s="47" t="str">
        <f aca="false">IF($O573="","",IF($S573="",$O573,(DATE(Semana!$J$3,1,4)-WEEKDAY(DATE(Semana!$J$3,1,4),3))+($S573-1)*7+IF($M573="",0,MATCH($M573,Listas!$F$5:$F$11,0)-1)))</f>
        <v/>
      </c>
      <c r="X573" s="39" t="str">
        <f aca="false">IF($F573="","",IF(OR($AT573="",$O573=""),0,IF($AT573&lt;=$O573,1,0)))</f>
        <v/>
      </c>
      <c r="Y573" s="39" t="str">
        <f aca="false">IF($F573="","",IF(OR($AT573="",$W573=""),0,IF($AT573&lt;=$W573,1,0)))</f>
        <v/>
      </c>
      <c r="Z573" s="39" t="str">
        <f aca="false">IF(OR($AT573="",$O573=""),"",MAX(0,$AT573-$O573))</f>
        <v/>
      </c>
      <c r="AA573" s="39" t="str">
        <f aca="false">IF($F573="","",IF(AND($S573&lt;&gt;"",$L573&lt;&gt;"",$S573&lt;&gt;$L573),1,0))</f>
        <v/>
      </c>
      <c r="AB573" s="39" t="str">
        <f aca="false">IF($F573="","",IF($R573="Cancelada",0,IF(OR($AT573&lt;&gt;"",$R573="Concluída"),1,0)))</f>
        <v/>
      </c>
      <c r="AC573" s="39" t="n">
        <f aca="false">IF($P573="",0,IF($P573&lt;Hoje!$L$1,1,IF(AND($P573=Hoje!$L$1,Hoje!$L$2&gt;Semana!$M$3),1,0)))</f>
        <v>0</v>
      </c>
      <c r="AD573" s="39" t="str">
        <f aca="false">IF($F573="","",IF(COUNTA($I573:$K573)=0,0,1/COUNTA($I573:$K573)))</f>
        <v/>
      </c>
      <c r="AE573" s="39" t="str">
        <f aca="false">IF($AH573=0,"",SUM($AH$4:$AH573))</f>
        <v/>
      </c>
      <c r="AF573" s="39" t="str">
        <f aca="false">IF($AI573=0,"",SUM($AI$4:$AI573))</f>
        <v/>
      </c>
      <c r="AG573" s="50" t="str">
        <f aca="false">IF($F573="","",$I573&amp;IF($J573="",""," · "&amp;$J573)&amp;IF($K573="",""," · "&amp;$K573))</f>
        <v/>
      </c>
      <c r="AH573" s="39" t="n">
        <f aca="false">IF(AND($F573&lt;&gt;"",$O573&lt;&gt;"",$O573&lt;=Hoje!$C$3,$P573&gt;=Hoje!$C$3,$R573&lt;&gt;"Cancelada"),1,0)</f>
        <v>0</v>
      </c>
      <c r="AI573" s="39" t="n">
        <f aca="false">IF(AND($F573&lt;&gt;"",$P573&lt;&gt;"",$P573&lt;Hoje!$C$3,$AB573=0,$R573&lt;&gt;"Cancelada"),1,0)</f>
        <v>0</v>
      </c>
      <c r="AJ573" s="50" t="str">
        <f aca="false">IF($F573="","",$D573&amp;"|"&amp;$E573&amp;"|"&amp;$L573)</f>
        <v/>
      </c>
      <c r="AK573" s="39" t="str">
        <f aca="false">IF($AJ573="","",COUNTIF($AJ$4:$AJ573,$AJ573))</f>
        <v/>
      </c>
      <c r="AL573" s="39" t="str">
        <f aca="false">IF($AJ573="","",COUNTIF($AJ$4:$AJ$1004,$AJ573))</f>
        <v/>
      </c>
      <c r="AM573" s="42"/>
      <c r="AN573" s="50" t="str">
        <f aca="false">IF($D573="","",IFERROR(T(VLOOKUP($D573,Listas!$B$5:$H$120,7,0)),""))</f>
        <v/>
      </c>
      <c r="AO573" s="50" t="str">
        <f aca="false">IF(OR($F573="",$L573&lt;&gt;"",$R573="Cancelada",$AT573&lt;&gt;""),"",$AN573&amp;"|"&amp;$D573&amp;"|"&amp;IF($C573="","zzz",$C573)&amp;"|"&amp;TEXT(573,"0000"))</f>
        <v/>
      </c>
      <c r="AP573" s="50" t="str">
        <f aca="false">IF($AO573="","",COUNTIF($AO$5:$AO$1004,"&lt;"&amp;$AO573)-(ROWS($AO$5:$AO$1004)-Hoje!$L$5)+1)</f>
        <v/>
      </c>
      <c r="AQ573" s="50" t="n">
        <f aca="false">IF(AND($F573&lt;&gt;"",$D573=Frota!$C$3),1,0)</f>
        <v>0</v>
      </c>
      <c r="AR573" s="50" t="str">
        <f aca="false">IF($AQ573=0,"",SUM($AQ$4:$AQ573))</f>
        <v/>
      </c>
      <c r="AS573" s="50" t="str">
        <f aca="false">IFERROR(INDEX(Hoje!$K$10:$K$29,MATCH(ROW(),Hoje!$J$10:$J$29,0)),"")</f>
        <v/>
      </c>
      <c r="AT573" s="50" t="str">
        <f aca="false">IF($Q573&lt;&gt;"",$Q573,$AS573)</f>
        <v/>
      </c>
    </row>
    <row r="574" customFormat="false" ht="16.5" hidden="false" customHeight="true" outlineLevel="0" collapsed="false">
      <c r="A574" s="39" t="str">
        <f aca="false">IF($F574="","",ROW())</f>
        <v/>
      </c>
      <c r="B574" s="40" t="str">
        <f aca="false">IF($F574="",IF($D574="","","Falta a atividade"),IF($R574="Cancelada","Cancelada",IF($AB574=1,IF(N($Z574)&gt;0,"Concluída com atraso","Concluída"),IF($R574="Em programação","Em programação",IF($O574="",IF($M574="","Na carteira","Falta a semana"),IF($AC574=1,"VENCIDA",IF($O574&gt;Hoje!$L$1,"Programada",IF($P574&gt;Hoje!$L$1,"Em execução","Fecha hoje"))))))))</f>
        <v/>
      </c>
      <c r="C574" s="41"/>
      <c r="D574" s="42"/>
      <c r="E574" s="42"/>
      <c r="F574" s="42"/>
      <c r="G574" s="43"/>
      <c r="H574" s="43"/>
      <c r="I574" s="44"/>
      <c r="J574" s="44"/>
      <c r="K574" s="44"/>
      <c r="L574" s="45"/>
      <c r="M574" s="46"/>
      <c r="N574" s="45"/>
      <c r="O574" s="47" t="str">
        <f aca="false">IF(OR($L574="",$M574=""),"",(DATE(Semana!$J$3,1,4)-WEEKDAY(DATE(Semana!$J$3,1,4),3))+($L574-1)*7+MATCH($M574,Listas!$F$5:$F$11,0)-1)</f>
        <v/>
      </c>
      <c r="P574" s="47" t="str">
        <f aca="false">IF(OR($F574="",$O574=""),"",$O574+MAX(0,ROUNDUP($AK574*MAX(1,IF($N574="",1,$N574))/MAX(1,$AL574),0)-1))</f>
        <v/>
      </c>
      <c r="Q574" s="48"/>
      <c r="R574" s="43"/>
      <c r="S574" s="49"/>
      <c r="T574" s="42"/>
      <c r="U574" s="42"/>
      <c r="V574" s="39" t="str">
        <f aca="false">IF($F574="","",IF(ISNUMBER(SEARCH("(externo)",$I574&amp;$J574&amp;$K574)),"Terceirizada","Interna"))</f>
        <v/>
      </c>
      <c r="W574" s="47" t="str">
        <f aca="false">IF($O574="","",IF($S574="",$O574,(DATE(Semana!$J$3,1,4)-WEEKDAY(DATE(Semana!$J$3,1,4),3))+($S574-1)*7+IF($M574="",0,MATCH($M574,Listas!$F$5:$F$11,0)-1)))</f>
        <v/>
      </c>
      <c r="X574" s="39" t="str">
        <f aca="false">IF($F574="","",IF(OR($AT574="",$O574=""),0,IF($AT574&lt;=$O574,1,0)))</f>
        <v/>
      </c>
      <c r="Y574" s="39" t="str">
        <f aca="false">IF($F574="","",IF(OR($AT574="",$W574=""),0,IF($AT574&lt;=$W574,1,0)))</f>
        <v/>
      </c>
      <c r="Z574" s="39" t="str">
        <f aca="false">IF(OR($AT574="",$O574=""),"",MAX(0,$AT574-$O574))</f>
        <v/>
      </c>
      <c r="AA574" s="39" t="str">
        <f aca="false">IF($F574="","",IF(AND($S574&lt;&gt;"",$L574&lt;&gt;"",$S574&lt;&gt;$L574),1,0))</f>
        <v/>
      </c>
      <c r="AB574" s="39" t="str">
        <f aca="false">IF($F574="","",IF($R574="Cancelada",0,IF(OR($AT574&lt;&gt;"",$R574="Concluída"),1,0)))</f>
        <v/>
      </c>
      <c r="AC574" s="39" t="n">
        <f aca="false">IF($P574="",0,IF($P574&lt;Hoje!$L$1,1,IF(AND($P574=Hoje!$L$1,Hoje!$L$2&gt;Semana!$M$3),1,0)))</f>
        <v>0</v>
      </c>
      <c r="AD574" s="39" t="str">
        <f aca="false">IF($F574="","",IF(COUNTA($I574:$K574)=0,0,1/COUNTA($I574:$K574)))</f>
        <v/>
      </c>
      <c r="AE574" s="39" t="str">
        <f aca="false">IF($AH574=0,"",SUM($AH$4:$AH574))</f>
        <v/>
      </c>
      <c r="AF574" s="39" t="str">
        <f aca="false">IF($AI574=0,"",SUM($AI$4:$AI574))</f>
        <v/>
      </c>
      <c r="AG574" s="50" t="str">
        <f aca="false">IF($F574="","",$I574&amp;IF($J574="",""," · "&amp;$J574)&amp;IF($K574="",""," · "&amp;$K574))</f>
        <v/>
      </c>
      <c r="AH574" s="39" t="n">
        <f aca="false">IF(AND($F574&lt;&gt;"",$O574&lt;&gt;"",$O574&lt;=Hoje!$C$3,$P574&gt;=Hoje!$C$3,$R574&lt;&gt;"Cancelada"),1,0)</f>
        <v>0</v>
      </c>
      <c r="AI574" s="39" t="n">
        <f aca="false">IF(AND($F574&lt;&gt;"",$P574&lt;&gt;"",$P574&lt;Hoje!$C$3,$AB574=0,$R574&lt;&gt;"Cancelada"),1,0)</f>
        <v>0</v>
      </c>
      <c r="AJ574" s="50" t="str">
        <f aca="false">IF($F574="","",$D574&amp;"|"&amp;$E574&amp;"|"&amp;$L574)</f>
        <v/>
      </c>
      <c r="AK574" s="39" t="str">
        <f aca="false">IF($AJ574="","",COUNTIF($AJ$4:$AJ574,$AJ574))</f>
        <v/>
      </c>
      <c r="AL574" s="39" t="str">
        <f aca="false">IF($AJ574="","",COUNTIF($AJ$4:$AJ$1004,$AJ574))</f>
        <v/>
      </c>
      <c r="AM574" s="42"/>
      <c r="AN574" s="50" t="str">
        <f aca="false">IF($D574="","",IFERROR(T(VLOOKUP($D574,Listas!$B$5:$H$120,7,0)),""))</f>
        <v/>
      </c>
      <c r="AO574" s="50" t="str">
        <f aca="false">IF(OR($F574="",$L574&lt;&gt;"",$R574="Cancelada",$AT574&lt;&gt;""),"",$AN574&amp;"|"&amp;$D574&amp;"|"&amp;IF($C574="","zzz",$C574)&amp;"|"&amp;TEXT(574,"0000"))</f>
        <v/>
      </c>
      <c r="AP574" s="50" t="str">
        <f aca="false">IF($AO574="","",COUNTIF($AO$5:$AO$1004,"&lt;"&amp;$AO574)-(ROWS($AO$5:$AO$1004)-Hoje!$L$5)+1)</f>
        <v/>
      </c>
      <c r="AQ574" s="50" t="n">
        <f aca="false">IF(AND($F574&lt;&gt;"",$D574=Frota!$C$3),1,0)</f>
        <v>0</v>
      </c>
      <c r="AR574" s="50" t="str">
        <f aca="false">IF($AQ574=0,"",SUM($AQ$4:$AQ574))</f>
        <v/>
      </c>
      <c r="AS574" s="50" t="str">
        <f aca="false">IFERROR(INDEX(Hoje!$K$10:$K$29,MATCH(ROW(),Hoje!$J$10:$J$29,0)),"")</f>
        <v/>
      </c>
      <c r="AT574" s="50" t="str">
        <f aca="false">IF($Q574&lt;&gt;"",$Q574,$AS574)</f>
        <v/>
      </c>
    </row>
    <row r="575" customFormat="false" ht="16.5" hidden="false" customHeight="true" outlineLevel="0" collapsed="false">
      <c r="A575" s="39" t="str">
        <f aca="false">IF($F575="","",ROW())</f>
        <v/>
      </c>
      <c r="B575" s="40" t="str">
        <f aca="false">IF($F575="",IF($D575="","","Falta a atividade"),IF($R575="Cancelada","Cancelada",IF($AB575=1,IF(N($Z575)&gt;0,"Concluída com atraso","Concluída"),IF($R575="Em programação","Em programação",IF($O575="",IF($M575="","Na carteira","Falta a semana"),IF($AC575=1,"VENCIDA",IF($O575&gt;Hoje!$L$1,"Programada",IF($P575&gt;Hoje!$L$1,"Em execução","Fecha hoje"))))))))</f>
        <v/>
      </c>
      <c r="C575" s="41"/>
      <c r="D575" s="42"/>
      <c r="E575" s="42"/>
      <c r="F575" s="42"/>
      <c r="G575" s="43"/>
      <c r="H575" s="43"/>
      <c r="I575" s="44"/>
      <c r="J575" s="44"/>
      <c r="K575" s="44"/>
      <c r="L575" s="45"/>
      <c r="M575" s="46"/>
      <c r="N575" s="45"/>
      <c r="O575" s="47" t="str">
        <f aca="false">IF(OR($L575="",$M575=""),"",(DATE(Semana!$J$3,1,4)-WEEKDAY(DATE(Semana!$J$3,1,4),3))+($L575-1)*7+MATCH($M575,Listas!$F$5:$F$11,0)-1)</f>
        <v/>
      </c>
      <c r="P575" s="47" t="str">
        <f aca="false">IF(OR($F575="",$O575=""),"",$O575+MAX(0,ROUNDUP($AK575*MAX(1,IF($N575="",1,$N575))/MAX(1,$AL575),0)-1))</f>
        <v/>
      </c>
      <c r="Q575" s="48"/>
      <c r="R575" s="43"/>
      <c r="S575" s="49"/>
      <c r="T575" s="42"/>
      <c r="U575" s="42"/>
      <c r="V575" s="39" t="str">
        <f aca="false">IF($F575="","",IF(ISNUMBER(SEARCH("(externo)",$I575&amp;$J575&amp;$K575)),"Terceirizada","Interna"))</f>
        <v/>
      </c>
      <c r="W575" s="47" t="str">
        <f aca="false">IF($O575="","",IF($S575="",$O575,(DATE(Semana!$J$3,1,4)-WEEKDAY(DATE(Semana!$J$3,1,4),3))+($S575-1)*7+IF($M575="",0,MATCH($M575,Listas!$F$5:$F$11,0)-1)))</f>
        <v/>
      </c>
      <c r="X575" s="39" t="str">
        <f aca="false">IF($F575="","",IF(OR($AT575="",$O575=""),0,IF($AT575&lt;=$O575,1,0)))</f>
        <v/>
      </c>
      <c r="Y575" s="39" t="str">
        <f aca="false">IF($F575="","",IF(OR($AT575="",$W575=""),0,IF($AT575&lt;=$W575,1,0)))</f>
        <v/>
      </c>
      <c r="Z575" s="39" t="str">
        <f aca="false">IF(OR($AT575="",$O575=""),"",MAX(0,$AT575-$O575))</f>
        <v/>
      </c>
      <c r="AA575" s="39" t="str">
        <f aca="false">IF($F575="","",IF(AND($S575&lt;&gt;"",$L575&lt;&gt;"",$S575&lt;&gt;$L575),1,0))</f>
        <v/>
      </c>
      <c r="AB575" s="39" t="str">
        <f aca="false">IF($F575="","",IF($R575="Cancelada",0,IF(OR($AT575&lt;&gt;"",$R575="Concluída"),1,0)))</f>
        <v/>
      </c>
      <c r="AC575" s="39" t="n">
        <f aca="false">IF($P575="",0,IF($P575&lt;Hoje!$L$1,1,IF(AND($P575=Hoje!$L$1,Hoje!$L$2&gt;Semana!$M$3),1,0)))</f>
        <v>0</v>
      </c>
      <c r="AD575" s="39" t="str">
        <f aca="false">IF($F575="","",IF(COUNTA($I575:$K575)=0,0,1/COUNTA($I575:$K575)))</f>
        <v/>
      </c>
      <c r="AE575" s="39" t="str">
        <f aca="false">IF($AH575=0,"",SUM($AH$4:$AH575))</f>
        <v/>
      </c>
      <c r="AF575" s="39" t="str">
        <f aca="false">IF($AI575=0,"",SUM($AI$4:$AI575))</f>
        <v/>
      </c>
      <c r="AG575" s="50" t="str">
        <f aca="false">IF($F575="","",$I575&amp;IF($J575="",""," · "&amp;$J575)&amp;IF($K575="",""," · "&amp;$K575))</f>
        <v/>
      </c>
      <c r="AH575" s="39" t="n">
        <f aca="false">IF(AND($F575&lt;&gt;"",$O575&lt;&gt;"",$O575&lt;=Hoje!$C$3,$P575&gt;=Hoje!$C$3,$R575&lt;&gt;"Cancelada"),1,0)</f>
        <v>0</v>
      </c>
      <c r="AI575" s="39" t="n">
        <f aca="false">IF(AND($F575&lt;&gt;"",$P575&lt;&gt;"",$P575&lt;Hoje!$C$3,$AB575=0,$R575&lt;&gt;"Cancelada"),1,0)</f>
        <v>0</v>
      </c>
      <c r="AJ575" s="50" t="str">
        <f aca="false">IF($F575="","",$D575&amp;"|"&amp;$E575&amp;"|"&amp;$L575)</f>
        <v/>
      </c>
      <c r="AK575" s="39" t="str">
        <f aca="false">IF($AJ575="","",COUNTIF($AJ$4:$AJ575,$AJ575))</f>
        <v/>
      </c>
      <c r="AL575" s="39" t="str">
        <f aca="false">IF($AJ575="","",COUNTIF($AJ$4:$AJ$1004,$AJ575))</f>
        <v/>
      </c>
      <c r="AM575" s="42"/>
      <c r="AN575" s="50" t="str">
        <f aca="false">IF($D575="","",IFERROR(T(VLOOKUP($D575,Listas!$B$5:$H$120,7,0)),""))</f>
        <v/>
      </c>
      <c r="AO575" s="50" t="str">
        <f aca="false">IF(OR($F575="",$L575&lt;&gt;"",$R575="Cancelada",$AT575&lt;&gt;""),"",$AN575&amp;"|"&amp;$D575&amp;"|"&amp;IF($C575="","zzz",$C575)&amp;"|"&amp;TEXT(575,"0000"))</f>
        <v/>
      </c>
      <c r="AP575" s="50" t="str">
        <f aca="false">IF($AO575="","",COUNTIF($AO$5:$AO$1004,"&lt;"&amp;$AO575)-(ROWS($AO$5:$AO$1004)-Hoje!$L$5)+1)</f>
        <v/>
      </c>
      <c r="AQ575" s="50" t="n">
        <f aca="false">IF(AND($F575&lt;&gt;"",$D575=Frota!$C$3),1,0)</f>
        <v>0</v>
      </c>
      <c r="AR575" s="50" t="str">
        <f aca="false">IF($AQ575=0,"",SUM($AQ$4:$AQ575))</f>
        <v/>
      </c>
      <c r="AS575" s="50" t="str">
        <f aca="false">IFERROR(INDEX(Hoje!$K$10:$K$29,MATCH(ROW(),Hoje!$J$10:$J$29,0)),"")</f>
        <v/>
      </c>
      <c r="AT575" s="50" t="str">
        <f aca="false">IF($Q575&lt;&gt;"",$Q575,$AS575)</f>
        <v/>
      </c>
    </row>
    <row r="576" customFormat="false" ht="16.5" hidden="false" customHeight="true" outlineLevel="0" collapsed="false">
      <c r="A576" s="39" t="str">
        <f aca="false">IF($F576="","",ROW())</f>
        <v/>
      </c>
      <c r="B576" s="40" t="str">
        <f aca="false">IF($F576="",IF($D576="","","Falta a atividade"),IF($R576="Cancelada","Cancelada",IF($AB576=1,IF(N($Z576)&gt;0,"Concluída com atraso","Concluída"),IF($R576="Em programação","Em programação",IF($O576="",IF($M576="","Na carteira","Falta a semana"),IF($AC576=1,"VENCIDA",IF($O576&gt;Hoje!$L$1,"Programada",IF($P576&gt;Hoje!$L$1,"Em execução","Fecha hoje"))))))))</f>
        <v/>
      </c>
      <c r="C576" s="41"/>
      <c r="D576" s="42"/>
      <c r="E576" s="42"/>
      <c r="F576" s="42"/>
      <c r="G576" s="43"/>
      <c r="H576" s="43"/>
      <c r="I576" s="44"/>
      <c r="J576" s="44"/>
      <c r="K576" s="44"/>
      <c r="L576" s="45"/>
      <c r="M576" s="46"/>
      <c r="N576" s="45"/>
      <c r="O576" s="47" t="str">
        <f aca="false">IF(OR($L576="",$M576=""),"",(DATE(Semana!$J$3,1,4)-WEEKDAY(DATE(Semana!$J$3,1,4),3))+($L576-1)*7+MATCH($M576,Listas!$F$5:$F$11,0)-1)</f>
        <v/>
      </c>
      <c r="P576" s="47" t="str">
        <f aca="false">IF(OR($F576="",$O576=""),"",$O576+MAX(0,ROUNDUP($AK576*MAX(1,IF($N576="",1,$N576))/MAX(1,$AL576),0)-1))</f>
        <v/>
      </c>
      <c r="Q576" s="48"/>
      <c r="R576" s="43"/>
      <c r="S576" s="49"/>
      <c r="T576" s="42"/>
      <c r="U576" s="42"/>
      <c r="V576" s="39" t="str">
        <f aca="false">IF($F576="","",IF(ISNUMBER(SEARCH("(externo)",$I576&amp;$J576&amp;$K576)),"Terceirizada","Interna"))</f>
        <v/>
      </c>
      <c r="W576" s="47" t="str">
        <f aca="false">IF($O576="","",IF($S576="",$O576,(DATE(Semana!$J$3,1,4)-WEEKDAY(DATE(Semana!$J$3,1,4),3))+($S576-1)*7+IF($M576="",0,MATCH($M576,Listas!$F$5:$F$11,0)-1)))</f>
        <v/>
      </c>
      <c r="X576" s="39" t="str">
        <f aca="false">IF($F576="","",IF(OR($AT576="",$O576=""),0,IF($AT576&lt;=$O576,1,0)))</f>
        <v/>
      </c>
      <c r="Y576" s="39" t="str">
        <f aca="false">IF($F576="","",IF(OR($AT576="",$W576=""),0,IF($AT576&lt;=$W576,1,0)))</f>
        <v/>
      </c>
      <c r="Z576" s="39" t="str">
        <f aca="false">IF(OR($AT576="",$O576=""),"",MAX(0,$AT576-$O576))</f>
        <v/>
      </c>
      <c r="AA576" s="39" t="str">
        <f aca="false">IF($F576="","",IF(AND($S576&lt;&gt;"",$L576&lt;&gt;"",$S576&lt;&gt;$L576),1,0))</f>
        <v/>
      </c>
      <c r="AB576" s="39" t="str">
        <f aca="false">IF($F576="","",IF($R576="Cancelada",0,IF(OR($AT576&lt;&gt;"",$R576="Concluída"),1,0)))</f>
        <v/>
      </c>
      <c r="AC576" s="39" t="n">
        <f aca="false">IF($P576="",0,IF($P576&lt;Hoje!$L$1,1,IF(AND($P576=Hoje!$L$1,Hoje!$L$2&gt;Semana!$M$3),1,0)))</f>
        <v>0</v>
      </c>
      <c r="AD576" s="39" t="str">
        <f aca="false">IF($F576="","",IF(COUNTA($I576:$K576)=0,0,1/COUNTA($I576:$K576)))</f>
        <v/>
      </c>
      <c r="AE576" s="39" t="str">
        <f aca="false">IF($AH576=0,"",SUM($AH$4:$AH576))</f>
        <v/>
      </c>
      <c r="AF576" s="39" t="str">
        <f aca="false">IF($AI576=0,"",SUM($AI$4:$AI576))</f>
        <v/>
      </c>
      <c r="AG576" s="50" t="str">
        <f aca="false">IF($F576="","",$I576&amp;IF($J576="",""," · "&amp;$J576)&amp;IF($K576="",""," · "&amp;$K576))</f>
        <v/>
      </c>
      <c r="AH576" s="39" t="n">
        <f aca="false">IF(AND($F576&lt;&gt;"",$O576&lt;&gt;"",$O576&lt;=Hoje!$C$3,$P576&gt;=Hoje!$C$3,$R576&lt;&gt;"Cancelada"),1,0)</f>
        <v>0</v>
      </c>
      <c r="AI576" s="39" t="n">
        <f aca="false">IF(AND($F576&lt;&gt;"",$P576&lt;&gt;"",$P576&lt;Hoje!$C$3,$AB576=0,$R576&lt;&gt;"Cancelada"),1,0)</f>
        <v>0</v>
      </c>
      <c r="AJ576" s="50" t="str">
        <f aca="false">IF($F576="","",$D576&amp;"|"&amp;$E576&amp;"|"&amp;$L576)</f>
        <v/>
      </c>
      <c r="AK576" s="39" t="str">
        <f aca="false">IF($AJ576="","",COUNTIF($AJ$4:$AJ576,$AJ576))</f>
        <v/>
      </c>
      <c r="AL576" s="39" t="str">
        <f aca="false">IF($AJ576="","",COUNTIF($AJ$4:$AJ$1004,$AJ576))</f>
        <v/>
      </c>
      <c r="AM576" s="42"/>
      <c r="AN576" s="50" t="str">
        <f aca="false">IF($D576="","",IFERROR(T(VLOOKUP($D576,Listas!$B$5:$H$120,7,0)),""))</f>
        <v/>
      </c>
      <c r="AO576" s="50" t="str">
        <f aca="false">IF(OR($F576="",$L576&lt;&gt;"",$R576="Cancelada",$AT576&lt;&gt;""),"",$AN576&amp;"|"&amp;$D576&amp;"|"&amp;IF($C576="","zzz",$C576)&amp;"|"&amp;TEXT(576,"0000"))</f>
        <v/>
      </c>
      <c r="AP576" s="50" t="str">
        <f aca="false">IF($AO576="","",COUNTIF($AO$5:$AO$1004,"&lt;"&amp;$AO576)-(ROWS($AO$5:$AO$1004)-Hoje!$L$5)+1)</f>
        <v/>
      </c>
      <c r="AQ576" s="50" t="n">
        <f aca="false">IF(AND($F576&lt;&gt;"",$D576=Frota!$C$3),1,0)</f>
        <v>0</v>
      </c>
      <c r="AR576" s="50" t="str">
        <f aca="false">IF($AQ576=0,"",SUM($AQ$4:$AQ576))</f>
        <v/>
      </c>
      <c r="AS576" s="50" t="str">
        <f aca="false">IFERROR(INDEX(Hoje!$K$10:$K$29,MATCH(ROW(),Hoje!$J$10:$J$29,0)),"")</f>
        <v/>
      </c>
      <c r="AT576" s="50" t="str">
        <f aca="false">IF($Q576&lt;&gt;"",$Q576,$AS576)</f>
        <v/>
      </c>
    </row>
    <row r="577" customFormat="false" ht="16.5" hidden="false" customHeight="true" outlineLevel="0" collapsed="false">
      <c r="A577" s="39" t="str">
        <f aca="false">IF($F577="","",ROW())</f>
        <v/>
      </c>
      <c r="B577" s="40" t="str">
        <f aca="false">IF($F577="",IF($D577="","","Falta a atividade"),IF($R577="Cancelada","Cancelada",IF($AB577=1,IF(N($Z577)&gt;0,"Concluída com atraso","Concluída"),IF($R577="Em programação","Em programação",IF($O577="",IF($M577="","Na carteira","Falta a semana"),IF($AC577=1,"VENCIDA",IF($O577&gt;Hoje!$L$1,"Programada",IF($P577&gt;Hoje!$L$1,"Em execução","Fecha hoje"))))))))</f>
        <v/>
      </c>
      <c r="C577" s="41"/>
      <c r="D577" s="42"/>
      <c r="E577" s="42"/>
      <c r="F577" s="42"/>
      <c r="G577" s="43"/>
      <c r="H577" s="43"/>
      <c r="I577" s="44"/>
      <c r="J577" s="44"/>
      <c r="K577" s="44"/>
      <c r="L577" s="45"/>
      <c r="M577" s="46"/>
      <c r="N577" s="45"/>
      <c r="O577" s="47" t="str">
        <f aca="false">IF(OR($L577="",$M577=""),"",(DATE(Semana!$J$3,1,4)-WEEKDAY(DATE(Semana!$J$3,1,4),3))+($L577-1)*7+MATCH($M577,Listas!$F$5:$F$11,0)-1)</f>
        <v/>
      </c>
      <c r="P577" s="47" t="str">
        <f aca="false">IF(OR($F577="",$O577=""),"",$O577+MAX(0,ROUNDUP($AK577*MAX(1,IF($N577="",1,$N577))/MAX(1,$AL577),0)-1))</f>
        <v/>
      </c>
      <c r="Q577" s="48"/>
      <c r="R577" s="43"/>
      <c r="S577" s="49"/>
      <c r="T577" s="42"/>
      <c r="U577" s="42"/>
      <c r="V577" s="39" t="str">
        <f aca="false">IF($F577="","",IF(ISNUMBER(SEARCH("(externo)",$I577&amp;$J577&amp;$K577)),"Terceirizada","Interna"))</f>
        <v/>
      </c>
      <c r="W577" s="47" t="str">
        <f aca="false">IF($O577="","",IF($S577="",$O577,(DATE(Semana!$J$3,1,4)-WEEKDAY(DATE(Semana!$J$3,1,4),3))+($S577-1)*7+IF($M577="",0,MATCH($M577,Listas!$F$5:$F$11,0)-1)))</f>
        <v/>
      </c>
      <c r="X577" s="39" t="str">
        <f aca="false">IF($F577="","",IF(OR($AT577="",$O577=""),0,IF($AT577&lt;=$O577,1,0)))</f>
        <v/>
      </c>
      <c r="Y577" s="39" t="str">
        <f aca="false">IF($F577="","",IF(OR($AT577="",$W577=""),0,IF($AT577&lt;=$W577,1,0)))</f>
        <v/>
      </c>
      <c r="Z577" s="39" t="str">
        <f aca="false">IF(OR($AT577="",$O577=""),"",MAX(0,$AT577-$O577))</f>
        <v/>
      </c>
      <c r="AA577" s="39" t="str">
        <f aca="false">IF($F577="","",IF(AND($S577&lt;&gt;"",$L577&lt;&gt;"",$S577&lt;&gt;$L577),1,0))</f>
        <v/>
      </c>
      <c r="AB577" s="39" t="str">
        <f aca="false">IF($F577="","",IF($R577="Cancelada",0,IF(OR($AT577&lt;&gt;"",$R577="Concluída"),1,0)))</f>
        <v/>
      </c>
      <c r="AC577" s="39" t="n">
        <f aca="false">IF($P577="",0,IF($P577&lt;Hoje!$L$1,1,IF(AND($P577=Hoje!$L$1,Hoje!$L$2&gt;Semana!$M$3),1,0)))</f>
        <v>0</v>
      </c>
      <c r="AD577" s="39" t="str">
        <f aca="false">IF($F577="","",IF(COUNTA($I577:$K577)=0,0,1/COUNTA($I577:$K577)))</f>
        <v/>
      </c>
      <c r="AE577" s="39" t="str">
        <f aca="false">IF($AH577=0,"",SUM($AH$4:$AH577))</f>
        <v/>
      </c>
      <c r="AF577" s="39" t="str">
        <f aca="false">IF($AI577=0,"",SUM($AI$4:$AI577))</f>
        <v/>
      </c>
      <c r="AG577" s="50" t="str">
        <f aca="false">IF($F577="","",$I577&amp;IF($J577="",""," · "&amp;$J577)&amp;IF($K577="",""," · "&amp;$K577))</f>
        <v/>
      </c>
      <c r="AH577" s="39" t="n">
        <f aca="false">IF(AND($F577&lt;&gt;"",$O577&lt;&gt;"",$O577&lt;=Hoje!$C$3,$P577&gt;=Hoje!$C$3,$R577&lt;&gt;"Cancelada"),1,0)</f>
        <v>0</v>
      </c>
      <c r="AI577" s="39" t="n">
        <f aca="false">IF(AND($F577&lt;&gt;"",$P577&lt;&gt;"",$P577&lt;Hoje!$C$3,$AB577=0,$R577&lt;&gt;"Cancelada"),1,0)</f>
        <v>0</v>
      </c>
      <c r="AJ577" s="50" t="str">
        <f aca="false">IF($F577="","",$D577&amp;"|"&amp;$E577&amp;"|"&amp;$L577)</f>
        <v/>
      </c>
      <c r="AK577" s="39" t="str">
        <f aca="false">IF($AJ577="","",COUNTIF($AJ$4:$AJ577,$AJ577))</f>
        <v/>
      </c>
      <c r="AL577" s="39" t="str">
        <f aca="false">IF($AJ577="","",COUNTIF($AJ$4:$AJ$1004,$AJ577))</f>
        <v/>
      </c>
      <c r="AM577" s="42"/>
      <c r="AN577" s="50" t="str">
        <f aca="false">IF($D577="","",IFERROR(T(VLOOKUP($D577,Listas!$B$5:$H$120,7,0)),""))</f>
        <v/>
      </c>
      <c r="AO577" s="50" t="str">
        <f aca="false">IF(OR($F577="",$L577&lt;&gt;"",$R577="Cancelada",$AT577&lt;&gt;""),"",$AN577&amp;"|"&amp;$D577&amp;"|"&amp;IF($C577="","zzz",$C577)&amp;"|"&amp;TEXT(577,"0000"))</f>
        <v/>
      </c>
      <c r="AP577" s="50" t="str">
        <f aca="false">IF($AO577="","",COUNTIF($AO$5:$AO$1004,"&lt;"&amp;$AO577)-(ROWS($AO$5:$AO$1004)-Hoje!$L$5)+1)</f>
        <v/>
      </c>
      <c r="AQ577" s="50" t="n">
        <f aca="false">IF(AND($F577&lt;&gt;"",$D577=Frota!$C$3),1,0)</f>
        <v>0</v>
      </c>
      <c r="AR577" s="50" t="str">
        <f aca="false">IF($AQ577=0,"",SUM($AQ$4:$AQ577))</f>
        <v/>
      </c>
      <c r="AS577" s="50" t="str">
        <f aca="false">IFERROR(INDEX(Hoje!$K$10:$K$29,MATCH(ROW(),Hoje!$J$10:$J$29,0)),"")</f>
        <v/>
      </c>
      <c r="AT577" s="50" t="str">
        <f aca="false">IF($Q577&lt;&gt;"",$Q577,$AS577)</f>
        <v/>
      </c>
    </row>
    <row r="578" customFormat="false" ht="16.5" hidden="false" customHeight="true" outlineLevel="0" collapsed="false">
      <c r="A578" s="39" t="str">
        <f aca="false">IF($F578="","",ROW())</f>
        <v/>
      </c>
      <c r="B578" s="40" t="str">
        <f aca="false">IF($F578="",IF($D578="","","Falta a atividade"),IF($R578="Cancelada","Cancelada",IF($AB578=1,IF(N($Z578)&gt;0,"Concluída com atraso","Concluída"),IF($R578="Em programação","Em programação",IF($O578="",IF($M578="","Na carteira","Falta a semana"),IF($AC578=1,"VENCIDA",IF($O578&gt;Hoje!$L$1,"Programada",IF($P578&gt;Hoje!$L$1,"Em execução","Fecha hoje"))))))))</f>
        <v/>
      </c>
      <c r="C578" s="41"/>
      <c r="D578" s="42"/>
      <c r="E578" s="42"/>
      <c r="F578" s="42"/>
      <c r="G578" s="43"/>
      <c r="H578" s="43"/>
      <c r="I578" s="44"/>
      <c r="J578" s="44"/>
      <c r="K578" s="44"/>
      <c r="L578" s="45"/>
      <c r="M578" s="46"/>
      <c r="N578" s="45"/>
      <c r="O578" s="47" t="str">
        <f aca="false">IF(OR($L578="",$M578=""),"",(DATE(Semana!$J$3,1,4)-WEEKDAY(DATE(Semana!$J$3,1,4),3))+($L578-1)*7+MATCH($M578,Listas!$F$5:$F$11,0)-1)</f>
        <v/>
      </c>
      <c r="P578" s="47" t="str">
        <f aca="false">IF(OR($F578="",$O578=""),"",$O578+MAX(0,ROUNDUP($AK578*MAX(1,IF($N578="",1,$N578))/MAX(1,$AL578),0)-1))</f>
        <v/>
      </c>
      <c r="Q578" s="48"/>
      <c r="R578" s="43"/>
      <c r="S578" s="49"/>
      <c r="T578" s="42"/>
      <c r="U578" s="42"/>
      <c r="V578" s="39" t="str">
        <f aca="false">IF($F578="","",IF(ISNUMBER(SEARCH("(externo)",$I578&amp;$J578&amp;$K578)),"Terceirizada","Interna"))</f>
        <v/>
      </c>
      <c r="W578" s="47" t="str">
        <f aca="false">IF($O578="","",IF($S578="",$O578,(DATE(Semana!$J$3,1,4)-WEEKDAY(DATE(Semana!$J$3,1,4),3))+($S578-1)*7+IF($M578="",0,MATCH($M578,Listas!$F$5:$F$11,0)-1)))</f>
        <v/>
      </c>
      <c r="X578" s="39" t="str">
        <f aca="false">IF($F578="","",IF(OR($AT578="",$O578=""),0,IF($AT578&lt;=$O578,1,0)))</f>
        <v/>
      </c>
      <c r="Y578" s="39" t="str">
        <f aca="false">IF($F578="","",IF(OR($AT578="",$W578=""),0,IF($AT578&lt;=$W578,1,0)))</f>
        <v/>
      </c>
      <c r="Z578" s="39" t="str">
        <f aca="false">IF(OR($AT578="",$O578=""),"",MAX(0,$AT578-$O578))</f>
        <v/>
      </c>
      <c r="AA578" s="39" t="str">
        <f aca="false">IF($F578="","",IF(AND($S578&lt;&gt;"",$L578&lt;&gt;"",$S578&lt;&gt;$L578),1,0))</f>
        <v/>
      </c>
      <c r="AB578" s="39" t="str">
        <f aca="false">IF($F578="","",IF($R578="Cancelada",0,IF(OR($AT578&lt;&gt;"",$R578="Concluída"),1,0)))</f>
        <v/>
      </c>
      <c r="AC578" s="39" t="n">
        <f aca="false">IF($P578="",0,IF($P578&lt;Hoje!$L$1,1,IF(AND($P578=Hoje!$L$1,Hoje!$L$2&gt;Semana!$M$3),1,0)))</f>
        <v>0</v>
      </c>
      <c r="AD578" s="39" t="str">
        <f aca="false">IF($F578="","",IF(COUNTA($I578:$K578)=0,0,1/COUNTA($I578:$K578)))</f>
        <v/>
      </c>
      <c r="AE578" s="39" t="str">
        <f aca="false">IF($AH578=0,"",SUM($AH$4:$AH578))</f>
        <v/>
      </c>
      <c r="AF578" s="39" t="str">
        <f aca="false">IF($AI578=0,"",SUM($AI$4:$AI578))</f>
        <v/>
      </c>
      <c r="AG578" s="50" t="str">
        <f aca="false">IF($F578="","",$I578&amp;IF($J578="",""," · "&amp;$J578)&amp;IF($K578="",""," · "&amp;$K578))</f>
        <v/>
      </c>
      <c r="AH578" s="39" t="n">
        <f aca="false">IF(AND($F578&lt;&gt;"",$O578&lt;&gt;"",$O578&lt;=Hoje!$C$3,$P578&gt;=Hoje!$C$3,$R578&lt;&gt;"Cancelada"),1,0)</f>
        <v>0</v>
      </c>
      <c r="AI578" s="39" t="n">
        <f aca="false">IF(AND($F578&lt;&gt;"",$P578&lt;&gt;"",$P578&lt;Hoje!$C$3,$AB578=0,$R578&lt;&gt;"Cancelada"),1,0)</f>
        <v>0</v>
      </c>
      <c r="AJ578" s="50" t="str">
        <f aca="false">IF($F578="","",$D578&amp;"|"&amp;$E578&amp;"|"&amp;$L578)</f>
        <v/>
      </c>
      <c r="AK578" s="39" t="str">
        <f aca="false">IF($AJ578="","",COUNTIF($AJ$4:$AJ578,$AJ578))</f>
        <v/>
      </c>
      <c r="AL578" s="39" t="str">
        <f aca="false">IF($AJ578="","",COUNTIF($AJ$4:$AJ$1004,$AJ578))</f>
        <v/>
      </c>
      <c r="AM578" s="42"/>
      <c r="AN578" s="50" t="str">
        <f aca="false">IF($D578="","",IFERROR(T(VLOOKUP($D578,Listas!$B$5:$H$120,7,0)),""))</f>
        <v/>
      </c>
      <c r="AO578" s="50" t="str">
        <f aca="false">IF(OR($F578="",$L578&lt;&gt;"",$R578="Cancelada",$AT578&lt;&gt;""),"",$AN578&amp;"|"&amp;$D578&amp;"|"&amp;IF($C578="","zzz",$C578)&amp;"|"&amp;TEXT(578,"0000"))</f>
        <v/>
      </c>
      <c r="AP578" s="50" t="str">
        <f aca="false">IF($AO578="","",COUNTIF($AO$5:$AO$1004,"&lt;"&amp;$AO578)-(ROWS($AO$5:$AO$1004)-Hoje!$L$5)+1)</f>
        <v/>
      </c>
      <c r="AQ578" s="50" t="n">
        <f aca="false">IF(AND($F578&lt;&gt;"",$D578=Frota!$C$3),1,0)</f>
        <v>0</v>
      </c>
      <c r="AR578" s="50" t="str">
        <f aca="false">IF($AQ578=0,"",SUM($AQ$4:$AQ578))</f>
        <v/>
      </c>
      <c r="AS578" s="50" t="str">
        <f aca="false">IFERROR(INDEX(Hoje!$K$10:$K$29,MATCH(ROW(),Hoje!$J$10:$J$29,0)),"")</f>
        <v/>
      </c>
      <c r="AT578" s="50" t="str">
        <f aca="false">IF($Q578&lt;&gt;"",$Q578,$AS578)</f>
        <v/>
      </c>
    </row>
    <row r="579" customFormat="false" ht="16.5" hidden="false" customHeight="true" outlineLevel="0" collapsed="false">
      <c r="A579" s="39" t="str">
        <f aca="false">IF($F579="","",ROW())</f>
        <v/>
      </c>
      <c r="B579" s="40" t="str">
        <f aca="false">IF($F579="",IF($D579="","","Falta a atividade"),IF($R579="Cancelada","Cancelada",IF($AB579=1,IF(N($Z579)&gt;0,"Concluída com atraso","Concluída"),IF($R579="Em programação","Em programação",IF($O579="",IF($M579="","Na carteira","Falta a semana"),IF($AC579=1,"VENCIDA",IF($O579&gt;Hoje!$L$1,"Programada",IF($P579&gt;Hoje!$L$1,"Em execução","Fecha hoje"))))))))</f>
        <v/>
      </c>
      <c r="C579" s="41"/>
      <c r="D579" s="42"/>
      <c r="E579" s="42"/>
      <c r="F579" s="42"/>
      <c r="G579" s="43"/>
      <c r="H579" s="43"/>
      <c r="I579" s="44"/>
      <c r="J579" s="44"/>
      <c r="K579" s="44"/>
      <c r="L579" s="45"/>
      <c r="M579" s="46"/>
      <c r="N579" s="45"/>
      <c r="O579" s="47" t="str">
        <f aca="false">IF(OR($L579="",$M579=""),"",(DATE(Semana!$J$3,1,4)-WEEKDAY(DATE(Semana!$J$3,1,4),3))+($L579-1)*7+MATCH($M579,Listas!$F$5:$F$11,0)-1)</f>
        <v/>
      </c>
      <c r="P579" s="47" t="str">
        <f aca="false">IF(OR($F579="",$O579=""),"",$O579+MAX(0,ROUNDUP($AK579*MAX(1,IF($N579="",1,$N579))/MAX(1,$AL579),0)-1))</f>
        <v/>
      </c>
      <c r="Q579" s="48"/>
      <c r="R579" s="43"/>
      <c r="S579" s="49"/>
      <c r="T579" s="42"/>
      <c r="U579" s="42"/>
      <c r="V579" s="39" t="str">
        <f aca="false">IF($F579="","",IF(ISNUMBER(SEARCH("(externo)",$I579&amp;$J579&amp;$K579)),"Terceirizada","Interna"))</f>
        <v/>
      </c>
      <c r="W579" s="47" t="str">
        <f aca="false">IF($O579="","",IF($S579="",$O579,(DATE(Semana!$J$3,1,4)-WEEKDAY(DATE(Semana!$J$3,1,4),3))+($S579-1)*7+IF($M579="",0,MATCH($M579,Listas!$F$5:$F$11,0)-1)))</f>
        <v/>
      </c>
      <c r="X579" s="39" t="str">
        <f aca="false">IF($F579="","",IF(OR($AT579="",$O579=""),0,IF($AT579&lt;=$O579,1,0)))</f>
        <v/>
      </c>
      <c r="Y579" s="39" t="str">
        <f aca="false">IF($F579="","",IF(OR($AT579="",$W579=""),0,IF($AT579&lt;=$W579,1,0)))</f>
        <v/>
      </c>
      <c r="Z579" s="39" t="str">
        <f aca="false">IF(OR($AT579="",$O579=""),"",MAX(0,$AT579-$O579))</f>
        <v/>
      </c>
      <c r="AA579" s="39" t="str">
        <f aca="false">IF($F579="","",IF(AND($S579&lt;&gt;"",$L579&lt;&gt;"",$S579&lt;&gt;$L579),1,0))</f>
        <v/>
      </c>
      <c r="AB579" s="39" t="str">
        <f aca="false">IF($F579="","",IF($R579="Cancelada",0,IF(OR($AT579&lt;&gt;"",$R579="Concluída"),1,0)))</f>
        <v/>
      </c>
      <c r="AC579" s="39" t="n">
        <f aca="false">IF($P579="",0,IF($P579&lt;Hoje!$L$1,1,IF(AND($P579=Hoje!$L$1,Hoje!$L$2&gt;Semana!$M$3),1,0)))</f>
        <v>0</v>
      </c>
      <c r="AD579" s="39" t="str">
        <f aca="false">IF($F579="","",IF(COUNTA($I579:$K579)=0,0,1/COUNTA($I579:$K579)))</f>
        <v/>
      </c>
      <c r="AE579" s="39" t="str">
        <f aca="false">IF($AH579=0,"",SUM($AH$4:$AH579))</f>
        <v/>
      </c>
      <c r="AF579" s="39" t="str">
        <f aca="false">IF($AI579=0,"",SUM($AI$4:$AI579))</f>
        <v/>
      </c>
      <c r="AG579" s="50" t="str">
        <f aca="false">IF($F579="","",$I579&amp;IF($J579="",""," · "&amp;$J579)&amp;IF($K579="",""," · "&amp;$K579))</f>
        <v/>
      </c>
      <c r="AH579" s="39" t="n">
        <f aca="false">IF(AND($F579&lt;&gt;"",$O579&lt;&gt;"",$O579&lt;=Hoje!$C$3,$P579&gt;=Hoje!$C$3,$R579&lt;&gt;"Cancelada"),1,0)</f>
        <v>0</v>
      </c>
      <c r="AI579" s="39" t="n">
        <f aca="false">IF(AND($F579&lt;&gt;"",$P579&lt;&gt;"",$P579&lt;Hoje!$C$3,$AB579=0,$R579&lt;&gt;"Cancelada"),1,0)</f>
        <v>0</v>
      </c>
      <c r="AJ579" s="50" t="str">
        <f aca="false">IF($F579="","",$D579&amp;"|"&amp;$E579&amp;"|"&amp;$L579)</f>
        <v/>
      </c>
      <c r="AK579" s="39" t="str">
        <f aca="false">IF($AJ579="","",COUNTIF($AJ$4:$AJ579,$AJ579))</f>
        <v/>
      </c>
      <c r="AL579" s="39" t="str">
        <f aca="false">IF($AJ579="","",COUNTIF($AJ$4:$AJ$1004,$AJ579))</f>
        <v/>
      </c>
      <c r="AM579" s="42"/>
      <c r="AN579" s="50" t="str">
        <f aca="false">IF($D579="","",IFERROR(T(VLOOKUP($D579,Listas!$B$5:$H$120,7,0)),""))</f>
        <v/>
      </c>
      <c r="AO579" s="50" t="str">
        <f aca="false">IF(OR($F579="",$L579&lt;&gt;"",$R579="Cancelada",$AT579&lt;&gt;""),"",$AN579&amp;"|"&amp;$D579&amp;"|"&amp;IF($C579="","zzz",$C579)&amp;"|"&amp;TEXT(579,"0000"))</f>
        <v/>
      </c>
      <c r="AP579" s="50" t="str">
        <f aca="false">IF($AO579="","",COUNTIF($AO$5:$AO$1004,"&lt;"&amp;$AO579)-(ROWS($AO$5:$AO$1004)-Hoje!$L$5)+1)</f>
        <v/>
      </c>
      <c r="AQ579" s="50" t="n">
        <f aca="false">IF(AND($F579&lt;&gt;"",$D579=Frota!$C$3),1,0)</f>
        <v>0</v>
      </c>
      <c r="AR579" s="50" t="str">
        <f aca="false">IF($AQ579=0,"",SUM($AQ$4:$AQ579))</f>
        <v/>
      </c>
      <c r="AS579" s="50" t="str">
        <f aca="false">IFERROR(INDEX(Hoje!$K$10:$K$29,MATCH(ROW(),Hoje!$J$10:$J$29,0)),"")</f>
        <v/>
      </c>
      <c r="AT579" s="50" t="str">
        <f aca="false">IF($Q579&lt;&gt;"",$Q579,$AS579)</f>
        <v/>
      </c>
    </row>
    <row r="580" customFormat="false" ht="16.5" hidden="false" customHeight="true" outlineLevel="0" collapsed="false">
      <c r="A580" s="39" t="str">
        <f aca="false">IF($F580="","",ROW())</f>
        <v/>
      </c>
      <c r="B580" s="40" t="str">
        <f aca="false">IF($F580="",IF($D580="","","Falta a atividade"),IF($R580="Cancelada","Cancelada",IF($AB580=1,IF(N($Z580)&gt;0,"Concluída com atraso","Concluída"),IF($R580="Em programação","Em programação",IF($O580="",IF($M580="","Na carteira","Falta a semana"),IF($AC580=1,"VENCIDA",IF($O580&gt;Hoje!$L$1,"Programada",IF($P580&gt;Hoje!$L$1,"Em execução","Fecha hoje"))))))))</f>
        <v/>
      </c>
      <c r="C580" s="41"/>
      <c r="D580" s="42"/>
      <c r="E580" s="42"/>
      <c r="F580" s="42"/>
      <c r="G580" s="43"/>
      <c r="H580" s="43"/>
      <c r="I580" s="44"/>
      <c r="J580" s="44"/>
      <c r="K580" s="44"/>
      <c r="L580" s="45"/>
      <c r="M580" s="46"/>
      <c r="N580" s="45"/>
      <c r="O580" s="47" t="str">
        <f aca="false">IF(OR($L580="",$M580=""),"",(DATE(Semana!$J$3,1,4)-WEEKDAY(DATE(Semana!$J$3,1,4),3))+($L580-1)*7+MATCH($M580,Listas!$F$5:$F$11,0)-1)</f>
        <v/>
      </c>
      <c r="P580" s="47" t="str">
        <f aca="false">IF(OR($F580="",$O580=""),"",$O580+MAX(0,ROUNDUP($AK580*MAX(1,IF($N580="",1,$N580))/MAX(1,$AL580),0)-1))</f>
        <v/>
      </c>
      <c r="Q580" s="48"/>
      <c r="R580" s="43"/>
      <c r="S580" s="49"/>
      <c r="T580" s="42"/>
      <c r="U580" s="42"/>
      <c r="V580" s="39" t="str">
        <f aca="false">IF($F580="","",IF(ISNUMBER(SEARCH("(externo)",$I580&amp;$J580&amp;$K580)),"Terceirizada","Interna"))</f>
        <v/>
      </c>
      <c r="W580" s="47" t="str">
        <f aca="false">IF($O580="","",IF($S580="",$O580,(DATE(Semana!$J$3,1,4)-WEEKDAY(DATE(Semana!$J$3,1,4),3))+($S580-1)*7+IF($M580="",0,MATCH($M580,Listas!$F$5:$F$11,0)-1)))</f>
        <v/>
      </c>
      <c r="X580" s="39" t="str">
        <f aca="false">IF($F580="","",IF(OR($AT580="",$O580=""),0,IF($AT580&lt;=$O580,1,0)))</f>
        <v/>
      </c>
      <c r="Y580" s="39" t="str">
        <f aca="false">IF($F580="","",IF(OR($AT580="",$W580=""),0,IF($AT580&lt;=$W580,1,0)))</f>
        <v/>
      </c>
      <c r="Z580" s="39" t="str">
        <f aca="false">IF(OR($AT580="",$O580=""),"",MAX(0,$AT580-$O580))</f>
        <v/>
      </c>
      <c r="AA580" s="39" t="str">
        <f aca="false">IF($F580="","",IF(AND($S580&lt;&gt;"",$L580&lt;&gt;"",$S580&lt;&gt;$L580),1,0))</f>
        <v/>
      </c>
      <c r="AB580" s="39" t="str">
        <f aca="false">IF($F580="","",IF($R580="Cancelada",0,IF(OR($AT580&lt;&gt;"",$R580="Concluída"),1,0)))</f>
        <v/>
      </c>
      <c r="AC580" s="39" t="n">
        <f aca="false">IF($P580="",0,IF($P580&lt;Hoje!$L$1,1,IF(AND($P580=Hoje!$L$1,Hoje!$L$2&gt;Semana!$M$3),1,0)))</f>
        <v>0</v>
      </c>
      <c r="AD580" s="39" t="str">
        <f aca="false">IF($F580="","",IF(COUNTA($I580:$K580)=0,0,1/COUNTA($I580:$K580)))</f>
        <v/>
      </c>
      <c r="AE580" s="39" t="str">
        <f aca="false">IF($AH580=0,"",SUM($AH$4:$AH580))</f>
        <v/>
      </c>
      <c r="AF580" s="39" t="str">
        <f aca="false">IF($AI580=0,"",SUM($AI$4:$AI580))</f>
        <v/>
      </c>
      <c r="AG580" s="50" t="str">
        <f aca="false">IF($F580="","",$I580&amp;IF($J580="",""," · "&amp;$J580)&amp;IF($K580="",""," · "&amp;$K580))</f>
        <v/>
      </c>
      <c r="AH580" s="39" t="n">
        <f aca="false">IF(AND($F580&lt;&gt;"",$O580&lt;&gt;"",$O580&lt;=Hoje!$C$3,$P580&gt;=Hoje!$C$3,$R580&lt;&gt;"Cancelada"),1,0)</f>
        <v>0</v>
      </c>
      <c r="AI580" s="39" t="n">
        <f aca="false">IF(AND($F580&lt;&gt;"",$P580&lt;&gt;"",$P580&lt;Hoje!$C$3,$AB580=0,$R580&lt;&gt;"Cancelada"),1,0)</f>
        <v>0</v>
      </c>
      <c r="AJ580" s="50" t="str">
        <f aca="false">IF($F580="","",$D580&amp;"|"&amp;$E580&amp;"|"&amp;$L580)</f>
        <v/>
      </c>
      <c r="AK580" s="39" t="str">
        <f aca="false">IF($AJ580="","",COUNTIF($AJ$4:$AJ580,$AJ580))</f>
        <v/>
      </c>
      <c r="AL580" s="39" t="str">
        <f aca="false">IF($AJ580="","",COUNTIF($AJ$4:$AJ$1004,$AJ580))</f>
        <v/>
      </c>
      <c r="AM580" s="42"/>
      <c r="AN580" s="50" t="str">
        <f aca="false">IF($D580="","",IFERROR(T(VLOOKUP($D580,Listas!$B$5:$H$120,7,0)),""))</f>
        <v/>
      </c>
      <c r="AO580" s="50" t="str">
        <f aca="false">IF(OR($F580="",$L580&lt;&gt;"",$R580="Cancelada",$AT580&lt;&gt;""),"",$AN580&amp;"|"&amp;$D580&amp;"|"&amp;IF($C580="","zzz",$C580)&amp;"|"&amp;TEXT(580,"0000"))</f>
        <v/>
      </c>
      <c r="AP580" s="50" t="str">
        <f aca="false">IF($AO580="","",COUNTIF($AO$5:$AO$1004,"&lt;"&amp;$AO580)-(ROWS($AO$5:$AO$1004)-Hoje!$L$5)+1)</f>
        <v/>
      </c>
      <c r="AQ580" s="50" t="n">
        <f aca="false">IF(AND($F580&lt;&gt;"",$D580=Frota!$C$3),1,0)</f>
        <v>0</v>
      </c>
      <c r="AR580" s="50" t="str">
        <f aca="false">IF($AQ580=0,"",SUM($AQ$4:$AQ580))</f>
        <v/>
      </c>
      <c r="AS580" s="50" t="str">
        <f aca="false">IFERROR(INDEX(Hoje!$K$10:$K$29,MATCH(ROW(),Hoje!$J$10:$J$29,0)),"")</f>
        <v/>
      </c>
      <c r="AT580" s="50" t="str">
        <f aca="false">IF($Q580&lt;&gt;"",$Q580,$AS580)</f>
        <v/>
      </c>
    </row>
    <row r="581" customFormat="false" ht="16.5" hidden="false" customHeight="true" outlineLevel="0" collapsed="false">
      <c r="A581" s="39" t="str">
        <f aca="false">IF($F581="","",ROW())</f>
        <v/>
      </c>
      <c r="B581" s="40" t="str">
        <f aca="false">IF($F581="",IF($D581="","","Falta a atividade"),IF($R581="Cancelada","Cancelada",IF($AB581=1,IF(N($Z581)&gt;0,"Concluída com atraso","Concluída"),IF($R581="Em programação","Em programação",IF($O581="",IF($M581="","Na carteira","Falta a semana"),IF($AC581=1,"VENCIDA",IF($O581&gt;Hoje!$L$1,"Programada",IF($P581&gt;Hoje!$L$1,"Em execução","Fecha hoje"))))))))</f>
        <v/>
      </c>
      <c r="C581" s="41"/>
      <c r="D581" s="42"/>
      <c r="E581" s="42"/>
      <c r="F581" s="42"/>
      <c r="G581" s="43"/>
      <c r="H581" s="43"/>
      <c r="I581" s="44"/>
      <c r="J581" s="44"/>
      <c r="K581" s="44"/>
      <c r="L581" s="45"/>
      <c r="M581" s="46"/>
      <c r="N581" s="45"/>
      <c r="O581" s="47" t="str">
        <f aca="false">IF(OR($L581="",$M581=""),"",(DATE(Semana!$J$3,1,4)-WEEKDAY(DATE(Semana!$J$3,1,4),3))+($L581-1)*7+MATCH($M581,Listas!$F$5:$F$11,0)-1)</f>
        <v/>
      </c>
      <c r="P581" s="47" t="str">
        <f aca="false">IF(OR($F581="",$O581=""),"",$O581+MAX(0,ROUNDUP($AK581*MAX(1,IF($N581="",1,$N581))/MAX(1,$AL581),0)-1))</f>
        <v/>
      </c>
      <c r="Q581" s="48"/>
      <c r="R581" s="43"/>
      <c r="S581" s="49"/>
      <c r="T581" s="42"/>
      <c r="U581" s="42"/>
      <c r="V581" s="39" t="str">
        <f aca="false">IF($F581="","",IF(ISNUMBER(SEARCH("(externo)",$I581&amp;$J581&amp;$K581)),"Terceirizada","Interna"))</f>
        <v/>
      </c>
      <c r="W581" s="47" t="str">
        <f aca="false">IF($O581="","",IF($S581="",$O581,(DATE(Semana!$J$3,1,4)-WEEKDAY(DATE(Semana!$J$3,1,4),3))+($S581-1)*7+IF($M581="",0,MATCH($M581,Listas!$F$5:$F$11,0)-1)))</f>
        <v/>
      </c>
      <c r="X581" s="39" t="str">
        <f aca="false">IF($F581="","",IF(OR($AT581="",$O581=""),0,IF($AT581&lt;=$O581,1,0)))</f>
        <v/>
      </c>
      <c r="Y581" s="39" t="str">
        <f aca="false">IF($F581="","",IF(OR($AT581="",$W581=""),0,IF($AT581&lt;=$W581,1,0)))</f>
        <v/>
      </c>
      <c r="Z581" s="39" t="str">
        <f aca="false">IF(OR($AT581="",$O581=""),"",MAX(0,$AT581-$O581))</f>
        <v/>
      </c>
      <c r="AA581" s="39" t="str">
        <f aca="false">IF($F581="","",IF(AND($S581&lt;&gt;"",$L581&lt;&gt;"",$S581&lt;&gt;$L581),1,0))</f>
        <v/>
      </c>
      <c r="AB581" s="39" t="str">
        <f aca="false">IF($F581="","",IF($R581="Cancelada",0,IF(OR($AT581&lt;&gt;"",$R581="Concluída"),1,0)))</f>
        <v/>
      </c>
      <c r="AC581" s="39" t="n">
        <f aca="false">IF($P581="",0,IF($P581&lt;Hoje!$L$1,1,IF(AND($P581=Hoje!$L$1,Hoje!$L$2&gt;Semana!$M$3),1,0)))</f>
        <v>0</v>
      </c>
      <c r="AD581" s="39" t="str">
        <f aca="false">IF($F581="","",IF(COUNTA($I581:$K581)=0,0,1/COUNTA($I581:$K581)))</f>
        <v/>
      </c>
      <c r="AE581" s="39" t="str">
        <f aca="false">IF($AH581=0,"",SUM($AH$4:$AH581))</f>
        <v/>
      </c>
      <c r="AF581" s="39" t="str">
        <f aca="false">IF($AI581=0,"",SUM($AI$4:$AI581))</f>
        <v/>
      </c>
      <c r="AG581" s="50" t="str">
        <f aca="false">IF($F581="","",$I581&amp;IF($J581="",""," · "&amp;$J581)&amp;IF($K581="",""," · "&amp;$K581))</f>
        <v/>
      </c>
      <c r="AH581" s="39" t="n">
        <f aca="false">IF(AND($F581&lt;&gt;"",$O581&lt;&gt;"",$O581&lt;=Hoje!$C$3,$P581&gt;=Hoje!$C$3,$R581&lt;&gt;"Cancelada"),1,0)</f>
        <v>0</v>
      </c>
      <c r="AI581" s="39" t="n">
        <f aca="false">IF(AND($F581&lt;&gt;"",$P581&lt;&gt;"",$P581&lt;Hoje!$C$3,$AB581=0,$R581&lt;&gt;"Cancelada"),1,0)</f>
        <v>0</v>
      </c>
      <c r="AJ581" s="50" t="str">
        <f aca="false">IF($F581="","",$D581&amp;"|"&amp;$E581&amp;"|"&amp;$L581)</f>
        <v/>
      </c>
      <c r="AK581" s="39" t="str">
        <f aca="false">IF($AJ581="","",COUNTIF($AJ$4:$AJ581,$AJ581))</f>
        <v/>
      </c>
      <c r="AL581" s="39" t="str">
        <f aca="false">IF($AJ581="","",COUNTIF($AJ$4:$AJ$1004,$AJ581))</f>
        <v/>
      </c>
      <c r="AM581" s="42"/>
      <c r="AN581" s="50" t="str">
        <f aca="false">IF($D581="","",IFERROR(T(VLOOKUP($D581,Listas!$B$5:$H$120,7,0)),""))</f>
        <v/>
      </c>
      <c r="AO581" s="50" t="str">
        <f aca="false">IF(OR($F581="",$L581&lt;&gt;"",$R581="Cancelada",$AT581&lt;&gt;""),"",$AN581&amp;"|"&amp;$D581&amp;"|"&amp;IF($C581="","zzz",$C581)&amp;"|"&amp;TEXT(581,"0000"))</f>
        <v/>
      </c>
      <c r="AP581" s="50" t="str">
        <f aca="false">IF($AO581="","",COUNTIF($AO$5:$AO$1004,"&lt;"&amp;$AO581)-(ROWS($AO$5:$AO$1004)-Hoje!$L$5)+1)</f>
        <v/>
      </c>
      <c r="AQ581" s="50" t="n">
        <f aca="false">IF(AND($F581&lt;&gt;"",$D581=Frota!$C$3),1,0)</f>
        <v>0</v>
      </c>
      <c r="AR581" s="50" t="str">
        <f aca="false">IF($AQ581=0,"",SUM($AQ$4:$AQ581))</f>
        <v/>
      </c>
      <c r="AS581" s="50" t="str">
        <f aca="false">IFERROR(INDEX(Hoje!$K$10:$K$29,MATCH(ROW(),Hoje!$J$10:$J$29,0)),"")</f>
        <v/>
      </c>
      <c r="AT581" s="50" t="str">
        <f aca="false">IF($Q581&lt;&gt;"",$Q581,$AS581)</f>
        <v/>
      </c>
    </row>
    <row r="582" customFormat="false" ht="16.5" hidden="false" customHeight="true" outlineLevel="0" collapsed="false">
      <c r="A582" s="39" t="str">
        <f aca="false">IF($F582="","",ROW())</f>
        <v/>
      </c>
      <c r="B582" s="40" t="str">
        <f aca="false">IF($F582="",IF($D582="","","Falta a atividade"),IF($R582="Cancelada","Cancelada",IF($AB582=1,IF(N($Z582)&gt;0,"Concluída com atraso","Concluída"),IF($R582="Em programação","Em programação",IF($O582="",IF($M582="","Na carteira","Falta a semana"),IF($AC582=1,"VENCIDA",IF($O582&gt;Hoje!$L$1,"Programada",IF($P582&gt;Hoje!$L$1,"Em execução","Fecha hoje"))))))))</f>
        <v/>
      </c>
      <c r="C582" s="41"/>
      <c r="D582" s="42"/>
      <c r="E582" s="42"/>
      <c r="F582" s="42"/>
      <c r="G582" s="43"/>
      <c r="H582" s="43"/>
      <c r="I582" s="44"/>
      <c r="J582" s="44"/>
      <c r="K582" s="44"/>
      <c r="L582" s="45"/>
      <c r="M582" s="46"/>
      <c r="N582" s="45"/>
      <c r="O582" s="47" t="str">
        <f aca="false">IF(OR($L582="",$M582=""),"",(DATE(Semana!$J$3,1,4)-WEEKDAY(DATE(Semana!$J$3,1,4),3))+($L582-1)*7+MATCH($M582,Listas!$F$5:$F$11,0)-1)</f>
        <v/>
      </c>
      <c r="P582" s="47" t="str">
        <f aca="false">IF(OR($F582="",$O582=""),"",$O582+MAX(0,ROUNDUP($AK582*MAX(1,IF($N582="",1,$N582))/MAX(1,$AL582),0)-1))</f>
        <v/>
      </c>
      <c r="Q582" s="48"/>
      <c r="R582" s="43"/>
      <c r="S582" s="49"/>
      <c r="T582" s="42"/>
      <c r="U582" s="42"/>
      <c r="V582" s="39" t="str">
        <f aca="false">IF($F582="","",IF(ISNUMBER(SEARCH("(externo)",$I582&amp;$J582&amp;$K582)),"Terceirizada","Interna"))</f>
        <v/>
      </c>
      <c r="W582" s="47" t="str">
        <f aca="false">IF($O582="","",IF($S582="",$O582,(DATE(Semana!$J$3,1,4)-WEEKDAY(DATE(Semana!$J$3,1,4),3))+($S582-1)*7+IF($M582="",0,MATCH($M582,Listas!$F$5:$F$11,0)-1)))</f>
        <v/>
      </c>
      <c r="X582" s="39" t="str">
        <f aca="false">IF($F582="","",IF(OR($AT582="",$O582=""),0,IF($AT582&lt;=$O582,1,0)))</f>
        <v/>
      </c>
      <c r="Y582" s="39" t="str">
        <f aca="false">IF($F582="","",IF(OR($AT582="",$W582=""),0,IF($AT582&lt;=$W582,1,0)))</f>
        <v/>
      </c>
      <c r="Z582" s="39" t="str">
        <f aca="false">IF(OR($AT582="",$O582=""),"",MAX(0,$AT582-$O582))</f>
        <v/>
      </c>
      <c r="AA582" s="39" t="str">
        <f aca="false">IF($F582="","",IF(AND($S582&lt;&gt;"",$L582&lt;&gt;"",$S582&lt;&gt;$L582),1,0))</f>
        <v/>
      </c>
      <c r="AB582" s="39" t="str">
        <f aca="false">IF($F582="","",IF($R582="Cancelada",0,IF(OR($AT582&lt;&gt;"",$R582="Concluída"),1,0)))</f>
        <v/>
      </c>
      <c r="AC582" s="39" t="n">
        <f aca="false">IF($P582="",0,IF($P582&lt;Hoje!$L$1,1,IF(AND($P582=Hoje!$L$1,Hoje!$L$2&gt;Semana!$M$3),1,0)))</f>
        <v>0</v>
      </c>
      <c r="AD582" s="39" t="str">
        <f aca="false">IF($F582="","",IF(COUNTA($I582:$K582)=0,0,1/COUNTA($I582:$K582)))</f>
        <v/>
      </c>
      <c r="AE582" s="39" t="str">
        <f aca="false">IF($AH582=0,"",SUM($AH$4:$AH582))</f>
        <v/>
      </c>
      <c r="AF582" s="39" t="str">
        <f aca="false">IF($AI582=0,"",SUM($AI$4:$AI582))</f>
        <v/>
      </c>
      <c r="AG582" s="50" t="str">
        <f aca="false">IF($F582="","",$I582&amp;IF($J582="",""," · "&amp;$J582)&amp;IF($K582="",""," · "&amp;$K582))</f>
        <v/>
      </c>
      <c r="AH582" s="39" t="n">
        <f aca="false">IF(AND($F582&lt;&gt;"",$O582&lt;&gt;"",$O582&lt;=Hoje!$C$3,$P582&gt;=Hoje!$C$3,$R582&lt;&gt;"Cancelada"),1,0)</f>
        <v>0</v>
      </c>
      <c r="AI582" s="39" t="n">
        <f aca="false">IF(AND($F582&lt;&gt;"",$P582&lt;&gt;"",$P582&lt;Hoje!$C$3,$AB582=0,$R582&lt;&gt;"Cancelada"),1,0)</f>
        <v>0</v>
      </c>
      <c r="AJ582" s="50" t="str">
        <f aca="false">IF($F582="","",$D582&amp;"|"&amp;$E582&amp;"|"&amp;$L582)</f>
        <v/>
      </c>
      <c r="AK582" s="39" t="str">
        <f aca="false">IF($AJ582="","",COUNTIF($AJ$4:$AJ582,$AJ582))</f>
        <v/>
      </c>
      <c r="AL582" s="39" t="str">
        <f aca="false">IF($AJ582="","",COUNTIF($AJ$4:$AJ$1004,$AJ582))</f>
        <v/>
      </c>
      <c r="AM582" s="42"/>
      <c r="AN582" s="50" t="str">
        <f aca="false">IF($D582="","",IFERROR(T(VLOOKUP($D582,Listas!$B$5:$H$120,7,0)),""))</f>
        <v/>
      </c>
      <c r="AO582" s="50" t="str">
        <f aca="false">IF(OR($F582="",$L582&lt;&gt;"",$R582="Cancelada",$AT582&lt;&gt;""),"",$AN582&amp;"|"&amp;$D582&amp;"|"&amp;IF($C582="","zzz",$C582)&amp;"|"&amp;TEXT(582,"0000"))</f>
        <v/>
      </c>
      <c r="AP582" s="50" t="str">
        <f aca="false">IF($AO582="","",COUNTIF($AO$5:$AO$1004,"&lt;"&amp;$AO582)-(ROWS($AO$5:$AO$1004)-Hoje!$L$5)+1)</f>
        <v/>
      </c>
      <c r="AQ582" s="50" t="n">
        <f aca="false">IF(AND($F582&lt;&gt;"",$D582=Frota!$C$3),1,0)</f>
        <v>0</v>
      </c>
      <c r="AR582" s="50" t="str">
        <f aca="false">IF($AQ582=0,"",SUM($AQ$4:$AQ582))</f>
        <v/>
      </c>
      <c r="AS582" s="50" t="str">
        <f aca="false">IFERROR(INDEX(Hoje!$K$10:$K$29,MATCH(ROW(),Hoje!$J$10:$J$29,0)),"")</f>
        <v/>
      </c>
      <c r="AT582" s="50" t="str">
        <f aca="false">IF($Q582&lt;&gt;"",$Q582,$AS582)</f>
        <v/>
      </c>
    </row>
    <row r="583" customFormat="false" ht="16.5" hidden="false" customHeight="true" outlineLevel="0" collapsed="false">
      <c r="A583" s="39" t="str">
        <f aca="false">IF($F583="","",ROW())</f>
        <v/>
      </c>
      <c r="B583" s="40" t="str">
        <f aca="false">IF($F583="",IF($D583="","","Falta a atividade"),IF($R583="Cancelada","Cancelada",IF($AB583=1,IF(N($Z583)&gt;0,"Concluída com atraso","Concluída"),IF($R583="Em programação","Em programação",IF($O583="",IF($M583="","Na carteira","Falta a semana"),IF($AC583=1,"VENCIDA",IF($O583&gt;Hoje!$L$1,"Programada",IF($P583&gt;Hoje!$L$1,"Em execução","Fecha hoje"))))))))</f>
        <v/>
      </c>
      <c r="C583" s="41"/>
      <c r="D583" s="42"/>
      <c r="E583" s="42"/>
      <c r="F583" s="42"/>
      <c r="G583" s="43"/>
      <c r="H583" s="43"/>
      <c r="I583" s="44"/>
      <c r="J583" s="44"/>
      <c r="K583" s="44"/>
      <c r="L583" s="45"/>
      <c r="M583" s="46"/>
      <c r="N583" s="45"/>
      <c r="O583" s="47" t="str">
        <f aca="false">IF(OR($L583="",$M583=""),"",(DATE(Semana!$J$3,1,4)-WEEKDAY(DATE(Semana!$J$3,1,4),3))+($L583-1)*7+MATCH($M583,Listas!$F$5:$F$11,0)-1)</f>
        <v/>
      </c>
      <c r="P583" s="47" t="str">
        <f aca="false">IF(OR($F583="",$O583=""),"",$O583+MAX(0,ROUNDUP($AK583*MAX(1,IF($N583="",1,$N583))/MAX(1,$AL583),0)-1))</f>
        <v/>
      </c>
      <c r="Q583" s="48"/>
      <c r="R583" s="43"/>
      <c r="S583" s="49"/>
      <c r="T583" s="42"/>
      <c r="U583" s="42"/>
      <c r="V583" s="39" t="str">
        <f aca="false">IF($F583="","",IF(ISNUMBER(SEARCH("(externo)",$I583&amp;$J583&amp;$K583)),"Terceirizada","Interna"))</f>
        <v/>
      </c>
      <c r="W583" s="47" t="str">
        <f aca="false">IF($O583="","",IF($S583="",$O583,(DATE(Semana!$J$3,1,4)-WEEKDAY(DATE(Semana!$J$3,1,4),3))+($S583-1)*7+IF($M583="",0,MATCH($M583,Listas!$F$5:$F$11,0)-1)))</f>
        <v/>
      </c>
      <c r="X583" s="39" t="str">
        <f aca="false">IF($F583="","",IF(OR($AT583="",$O583=""),0,IF($AT583&lt;=$O583,1,0)))</f>
        <v/>
      </c>
      <c r="Y583" s="39" t="str">
        <f aca="false">IF($F583="","",IF(OR($AT583="",$W583=""),0,IF($AT583&lt;=$W583,1,0)))</f>
        <v/>
      </c>
      <c r="Z583" s="39" t="str">
        <f aca="false">IF(OR($AT583="",$O583=""),"",MAX(0,$AT583-$O583))</f>
        <v/>
      </c>
      <c r="AA583" s="39" t="str">
        <f aca="false">IF($F583="","",IF(AND($S583&lt;&gt;"",$L583&lt;&gt;"",$S583&lt;&gt;$L583),1,0))</f>
        <v/>
      </c>
      <c r="AB583" s="39" t="str">
        <f aca="false">IF($F583="","",IF($R583="Cancelada",0,IF(OR($AT583&lt;&gt;"",$R583="Concluída"),1,0)))</f>
        <v/>
      </c>
      <c r="AC583" s="39" t="n">
        <f aca="false">IF($P583="",0,IF($P583&lt;Hoje!$L$1,1,IF(AND($P583=Hoje!$L$1,Hoje!$L$2&gt;Semana!$M$3),1,0)))</f>
        <v>0</v>
      </c>
      <c r="AD583" s="39" t="str">
        <f aca="false">IF($F583="","",IF(COUNTA($I583:$K583)=0,0,1/COUNTA($I583:$K583)))</f>
        <v/>
      </c>
      <c r="AE583" s="39" t="str">
        <f aca="false">IF($AH583=0,"",SUM($AH$4:$AH583))</f>
        <v/>
      </c>
      <c r="AF583" s="39" t="str">
        <f aca="false">IF($AI583=0,"",SUM($AI$4:$AI583))</f>
        <v/>
      </c>
      <c r="AG583" s="50" t="str">
        <f aca="false">IF($F583="","",$I583&amp;IF($J583="",""," · "&amp;$J583)&amp;IF($K583="",""," · "&amp;$K583))</f>
        <v/>
      </c>
      <c r="AH583" s="39" t="n">
        <f aca="false">IF(AND($F583&lt;&gt;"",$O583&lt;&gt;"",$O583&lt;=Hoje!$C$3,$P583&gt;=Hoje!$C$3,$R583&lt;&gt;"Cancelada"),1,0)</f>
        <v>0</v>
      </c>
      <c r="AI583" s="39" t="n">
        <f aca="false">IF(AND($F583&lt;&gt;"",$P583&lt;&gt;"",$P583&lt;Hoje!$C$3,$AB583=0,$R583&lt;&gt;"Cancelada"),1,0)</f>
        <v>0</v>
      </c>
      <c r="AJ583" s="50" t="str">
        <f aca="false">IF($F583="","",$D583&amp;"|"&amp;$E583&amp;"|"&amp;$L583)</f>
        <v/>
      </c>
      <c r="AK583" s="39" t="str">
        <f aca="false">IF($AJ583="","",COUNTIF($AJ$4:$AJ583,$AJ583))</f>
        <v/>
      </c>
      <c r="AL583" s="39" t="str">
        <f aca="false">IF($AJ583="","",COUNTIF($AJ$4:$AJ$1004,$AJ583))</f>
        <v/>
      </c>
      <c r="AM583" s="42"/>
      <c r="AN583" s="50" t="str">
        <f aca="false">IF($D583="","",IFERROR(T(VLOOKUP($D583,Listas!$B$5:$H$120,7,0)),""))</f>
        <v/>
      </c>
      <c r="AO583" s="50" t="str">
        <f aca="false">IF(OR($F583="",$L583&lt;&gt;"",$R583="Cancelada",$AT583&lt;&gt;""),"",$AN583&amp;"|"&amp;$D583&amp;"|"&amp;IF($C583="","zzz",$C583)&amp;"|"&amp;TEXT(583,"0000"))</f>
        <v/>
      </c>
      <c r="AP583" s="50" t="str">
        <f aca="false">IF($AO583="","",COUNTIF($AO$5:$AO$1004,"&lt;"&amp;$AO583)-(ROWS($AO$5:$AO$1004)-Hoje!$L$5)+1)</f>
        <v/>
      </c>
      <c r="AQ583" s="50" t="n">
        <f aca="false">IF(AND($F583&lt;&gt;"",$D583=Frota!$C$3),1,0)</f>
        <v>0</v>
      </c>
      <c r="AR583" s="50" t="str">
        <f aca="false">IF($AQ583=0,"",SUM($AQ$4:$AQ583))</f>
        <v/>
      </c>
      <c r="AS583" s="50" t="str">
        <f aca="false">IFERROR(INDEX(Hoje!$K$10:$K$29,MATCH(ROW(),Hoje!$J$10:$J$29,0)),"")</f>
        <v/>
      </c>
      <c r="AT583" s="50" t="str">
        <f aca="false">IF($Q583&lt;&gt;"",$Q583,$AS583)</f>
        <v/>
      </c>
    </row>
    <row r="584" customFormat="false" ht="16.5" hidden="false" customHeight="true" outlineLevel="0" collapsed="false">
      <c r="A584" s="39" t="str">
        <f aca="false">IF($F584="","",ROW())</f>
        <v/>
      </c>
      <c r="B584" s="40" t="str">
        <f aca="false">IF($F584="",IF($D584="","","Falta a atividade"),IF($R584="Cancelada","Cancelada",IF($AB584=1,IF(N($Z584)&gt;0,"Concluída com atraso","Concluída"),IF($R584="Em programação","Em programação",IF($O584="",IF($M584="","Na carteira","Falta a semana"),IF($AC584=1,"VENCIDA",IF($O584&gt;Hoje!$L$1,"Programada",IF($P584&gt;Hoje!$L$1,"Em execução","Fecha hoje"))))))))</f>
        <v/>
      </c>
      <c r="C584" s="41"/>
      <c r="D584" s="42"/>
      <c r="E584" s="42"/>
      <c r="F584" s="42"/>
      <c r="G584" s="43"/>
      <c r="H584" s="43"/>
      <c r="I584" s="44"/>
      <c r="J584" s="44"/>
      <c r="K584" s="44"/>
      <c r="L584" s="45"/>
      <c r="M584" s="46"/>
      <c r="N584" s="45"/>
      <c r="O584" s="47" t="str">
        <f aca="false">IF(OR($L584="",$M584=""),"",(DATE(Semana!$J$3,1,4)-WEEKDAY(DATE(Semana!$J$3,1,4),3))+($L584-1)*7+MATCH($M584,Listas!$F$5:$F$11,0)-1)</f>
        <v/>
      </c>
      <c r="P584" s="47" t="str">
        <f aca="false">IF(OR($F584="",$O584=""),"",$O584+MAX(0,ROUNDUP($AK584*MAX(1,IF($N584="",1,$N584))/MAX(1,$AL584),0)-1))</f>
        <v/>
      </c>
      <c r="Q584" s="48"/>
      <c r="R584" s="43"/>
      <c r="S584" s="49"/>
      <c r="T584" s="42"/>
      <c r="U584" s="42"/>
      <c r="V584" s="39" t="str">
        <f aca="false">IF($F584="","",IF(ISNUMBER(SEARCH("(externo)",$I584&amp;$J584&amp;$K584)),"Terceirizada","Interna"))</f>
        <v/>
      </c>
      <c r="W584" s="47" t="str">
        <f aca="false">IF($O584="","",IF($S584="",$O584,(DATE(Semana!$J$3,1,4)-WEEKDAY(DATE(Semana!$J$3,1,4),3))+($S584-1)*7+IF($M584="",0,MATCH($M584,Listas!$F$5:$F$11,0)-1)))</f>
        <v/>
      </c>
      <c r="X584" s="39" t="str">
        <f aca="false">IF($F584="","",IF(OR($AT584="",$O584=""),0,IF($AT584&lt;=$O584,1,0)))</f>
        <v/>
      </c>
      <c r="Y584" s="39" t="str">
        <f aca="false">IF($F584="","",IF(OR($AT584="",$W584=""),0,IF($AT584&lt;=$W584,1,0)))</f>
        <v/>
      </c>
      <c r="Z584" s="39" t="str">
        <f aca="false">IF(OR($AT584="",$O584=""),"",MAX(0,$AT584-$O584))</f>
        <v/>
      </c>
      <c r="AA584" s="39" t="str">
        <f aca="false">IF($F584="","",IF(AND($S584&lt;&gt;"",$L584&lt;&gt;"",$S584&lt;&gt;$L584),1,0))</f>
        <v/>
      </c>
      <c r="AB584" s="39" t="str">
        <f aca="false">IF($F584="","",IF($R584="Cancelada",0,IF(OR($AT584&lt;&gt;"",$R584="Concluída"),1,0)))</f>
        <v/>
      </c>
      <c r="AC584" s="39" t="n">
        <f aca="false">IF($P584="",0,IF($P584&lt;Hoje!$L$1,1,IF(AND($P584=Hoje!$L$1,Hoje!$L$2&gt;Semana!$M$3),1,0)))</f>
        <v>0</v>
      </c>
      <c r="AD584" s="39" t="str">
        <f aca="false">IF($F584="","",IF(COUNTA($I584:$K584)=0,0,1/COUNTA($I584:$K584)))</f>
        <v/>
      </c>
      <c r="AE584" s="39" t="str">
        <f aca="false">IF($AH584=0,"",SUM($AH$4:$AH584))</f>
        <v/>
      </c>
      <c r="AF584" s="39" t="str">
        <f aca="false">IF($AI584=0,"",SUM($AI$4:$AI584))</f>
        <v/>
      </c>
      <c r="AG584" s="50" t="str">
        <f aca="false">IF($F584="","",$I584&amp;IF($J584="",""," · "&amp;$J584)&amp;IF($K584="",""," · "&amp;$K584))</f>
        <v/>
      </c>
      <c r="AH584" s="39" t="n">
        <f aca="false">IF(AND($F584&lt;&gt;"",$O584&lt;&gt;"",$O584&lt;=Hoje!$C$3,$P584&gt;=Hoje!$C$3,$R584&lt;&gt;"Cancelada"),1,0)</f>
        <v>0</v>
      </c>
      <c r="AI584" s="39" t="n">
        <f aca="false">IF(AND($F584&lt;&gt;"",$P584&lt;&gt;"",$P584&lt;Hoje!$C$3,$AB584=0,$R584&lt;&gt;"Cancelada"),1,0)</f>
        <v>0</v>
      </c>
      <c r="AJ584" s="50" t="str">
        <f aca="false">IF($F584="","",$D584&amp;"|"&amp;$E584&amp;"|"&amp;$L584)</f>
        <v/>
      </c>
      <c r="AK584" s="39" t="str">
        <f aca="false">IF($AJ584="","",COUNTIF($AJ$4:$AJ584,$AJ584))</f>
        <v/>
      </c>
      <c r="AL584" s="39" t="str">
        <f aca="false">IF($AJ584="","",COUNTIF($AJ$4:$AJ$1004,$AJ584))</f>
        <v/>
      </c>
      <c r="AM584" s="42"/>
      <c r="AN584" s="50" t="str">
        <f aca="false">IF($D584="","",IFERROR(T(VLOOKUP($D584,Listas!$B$5:$H$120,7,0)),""))</f>
        <v/>
      </c>
      <c r="AO584" s="50" t="str">
        <f aca="false">IF(OR($F584="",$L584&lt;&gt;"",$R584="Cancelada",$AT584&lt;&gt;""),"",$AN584&amp;"|"&amp;$D584&amp;"|"&amp;IF($C584="","zzz",$C584)&amp;"|"&amp;TEXT(584,"0000"))</f>
        <v/>
      </c>
      <c r="AP584" s="50" t="str">
        <f aca="false">IF($AO584="","",COUNTIF($AO$5:$AO$1004,"&lt;"&amp;$AO584)-(ROWS($AO$5:$AO$1004)-Hoje!$L$5)+1)</f>
        <v/>
      </c>
      <c r="AQ584" s="50" t="n">
        <f aca="false">IF(AND($F584&lt;&gt;"",$D584=Frota!$C$3),1,0)</f>
        <v>0</v>
      </c>
      <c r="AR584" s="50" t="str">
        <f aca="false">IF($AQ584=0,"",SUM($AQ$4:$AQ584))</f>
        <v/>
      </c>
      <c r="AS584" s="50" t="str">
        <f aca="false">IFERROR(INDEX(Hoje!$K$10:$K$29,MATCH(ROW(),Hoje!$J$10:$J$29,0)),"")</f>
        <v/>
      </c>
      <c r="AT584" s="50" t="str">
        <f aca="false">IF($Q584&lt;&gt;"",$Q584,$AS584)</f>
        <v/>
      </c>
    </row>
    <row r="585" customFormat="false" ht="16.5" hidden="false" customHeight="true" outlineLevel="0" collapsed="false">
      <c r="A585" s="39" t="str">
        <f aca="false">IF($F585="","",ROW())</f>
        <v/>
      </c>
      <c r="B585" s="40" t="str">
        <f aca="false">IF($F585="",IF($D585="","","Falta a atividade"),IF($R585="Cancelada","Cancelada",IF($AB585=1,IF(N($Z585)&gt;0,"Concluída com atraso","Concluída"),IF($R585="Em programação","Em programação",IF($O585="",IF($M585="","Na carteira","Falta a semana"),IF($AC585=1,"VENCIDA",IF($O585&gt;Hoje!$L$1,"Programada",IF($P585&gt;Hoje!$L$1,"Em execução","Fecha hoje"))))))))</f>
        <v/>
      </c>
      <c r="C585" s="41"/>
      <c r="D585" s="42"/>
      <c r="E585" s="42"/>
      <c r="F585" s="42"/>
      <c r="G585" s="43"/>
      <c r="H585" s="43"/>
      <c r="I585" s="44"/>
      <c r="J585" s="44"/>
      <c r="K585" s="44"/>
      <c r="L585" s="45"/>
      <c r="M585" s="46"/>
      <c r="N585" s="45"/>
      <c r="O585" s="47" t="str">
        <f aca="false">IF(OR($L585="",$M585=""),"",(DATE(Semana!$J$3,1,4)-WEEKDAY(DATE(Semana!$J$3,1,4),3))+($L585-1)*7+MATCH($M585,Listas!$F$5:$F$11,0)-1)</f>
        <v/>
      </c>
      <c r="P585" s="47" t="str">
        <f aca="false">IF(OR($F585="",$O585=""),"",$O585+MAX(0,ROUNDUP($AK585*MAX(1,IF($N585="",1,$N585))/MAX(1,$AL585),0)-1))</f>
        <v/>
      </c>
      <c r="Q585" s="48"/>
      <c r="R585" s="43"/>
      <c r="S585" s="49"/>
      <c r="T585" s="42"/>
      <c r="U585" s="42"/>
      <c r="V585" s="39" t="str">
        <f aca="false">IF($F585="","",IF(ISNUMBER(SEARCH("(externo)",$I585&amp;$J585&amp;$K585)),"Terceirizada","Interna"))</f>
        <v/>
      </c>
      <c r="W585" s="47" t="str">
        <f aca="false">IF($O585="","",IF($S585="",$O585,(DATE(Semana!$J$3,1,4)-WEEKDAY(DATE(Semana!$J$3,1,4),3))+($S585-1)*7+IF($M585="",0,MATCH($M585,Listas!$F$5:$F$11,0)-1)))</f>
        <v/>
      </c>
      <c r="X585" s="39" t="str">
        <f aca="false">IF($F585="","",IF(OR($AT585="",$O585=""),0,IF($AT585&lt;=$O585,1,0)))</f>
        <v/>
      </c>
      <c r="Y585" s="39" t="str">
        <f aca="false">IF($F585="","",IF(OR($AT585="",$W585=""),0,IF($AT585&lt;=$W585,1,0)))</f>
        <v/>
      </c>
      <c r="Z585" s="39" t="str">
        <f aca="false">IF(OR($AT585="",$O585=""),"",MAX(0,$AT585-$O585))</f>
        <v/>
      </c>
      <c r="AA585" s="39" t="str">
        <f aca="false">IF($F585="","",IF(AND($S585&lt;&gt;"",$L585&lt;&gt;"",$S585&lt;&gt;$L585),1,0))</f>
        <v/>
      </c>
      <c r="AB585" s="39" t="str">
        <f aca="false">IF($F585="","",IF($R585="Cancelada",0,IF(OR($AT585&lt;&gt;"",$R585="Concluída"),1,0)))</f>
        <v/>
      </c>
      <c r="AC585" s="39" t="n">
        <f aca="false">IF($P585="",0,IF($P585&lt;Hoje!$L$1,1,IF(AND($P585=Hoje!$L$1,Hoje!$L$2&gt;Semana!$M$3),1,0)))</f>
        <v>0</v>
      </c>
      <c r="AD585" s="39" t="str">
        <f aca="false">IF($F585="","",IF(COUNTA($I585:$K585)=0,0,1/COUNTA($I585:$K585)))</f>
        <v/>
      </c>
      <c r="AE585" s="39" t="str">
        <f aca="false">IF($AH585=0,"",SUM($AH$4:$AH585))</f>
        <v/>
      </c>
      <c r="AF585" s="39" t="str">
        <f aca="false">IF($AI585=0,"",SUM($AI$4:$AI585))</f>
        <v/>
      </c>
      <c r="AG585" s="50" t="str">
        <f aca="false">IF($F585="","",$I585&amp;IF($J585="",""," · "&amp;$J585)&amp;IF($K585="",""," · "&amp;$K585))</f>
        <v/>
      </c>
      <c r="AH585" s="39" t="n">
        <f aca="false">IF(AND($F585&lt;&gt;"",$O585&lt;&gt;"",$O585&lt;=Hoje!$C$3,$P585&gt;=Hoje!$C$3,$R585&lt;&gt;"Cancelada"),1,0)</f>
        <v>0</v>
      </c>
      <c r="AI585" s="39" t="n">
        <f aca="false">IF(AND($F585&lt;&gt;"",$P585&lt;&gt;"",$P585&lt;Hoje!$C$3,$AB585=0,$R585&lt;&gt;"Cancelada"),1,0)</f>
        <v>0</v>
      </c>
      <c r="AJ585" s="50" t="str">
        <f aca="false">IF($F585="","",$D585&amp;"|"&amp;$E585&amp;"|"&amp;$L585)</f>
        <v/>
      </c>
      <c r="AK585" s="39" t="str">
        <f aca="false">IF($AJ585="","",COUNTIF($AJ$4:$AJ585,$AJ585))</f>
        <v/>
      </c>
      <c r="AL585" s="39" t="str">
        <f aca="false">IF($AJ585="","",COUNTIF($AJ$4:$AJ$1004,$AJ585))</f>
        <v/>
      </c>
      <c r="AM585" s="42"/>
      <c r="AN585" s="50" t="str">
        <f aca="false">IF($D585="","",IFERROR(T(VLOOKUP($D585,Listas!$B$5:$H$120,7,0)),""))</f>
        <v/>
      </c>
      <c r="AO585" s="50" t="str">
        <f aca="false">IF(OR($F585="",$L585&lt;&gt;"",$R585="Cancelada",$AT585&lt;&gt;""),"",$AN585&amp;"|"&amp;$D585&amp;"|"&amp;IF($C585="","zzz",$C585)&amp;"|"&amp;TEXT(585,"0000"))</f>
        <v/>
      </c>
      <c r="AP585" s="50" t="str">
        <f aca="false">IF($AO585="","",COUNTIF($AO$5:$AO$1004,"&lt;"&amp;$AO585)-(ROWS($AO$5:$AO$1004)-Hoje!$L$5)+1)</f>
        <v/>
      </c>
      <c r="AQ585" s="50" t="n">
        <f aca="false">IF(AND($F585&lt;&gt;"",$D585=Frota!$C$3),1,0)</f>
        <v>0</v>
      </c>
      <c r="AR585" s="50" t="str">
        <f aca="false">IF($AQ585=0,"",SUM($AQ$4:$AQ585))</f>
        <v/>
      </c>
      <c r="AS585" s="50" t="str">
        <f aca="false">IFERROR(INDEX(Hoje!$K$10:$K$29,MATCH(ROW(),Hoje!$J$10:$J$29,0)),"")</f>
        <v/>
      </c>
      <c r="AT585" s="50" t="str">
        <f aca="false">IF($Q585&lt;&gt;"",$Q585,$AS585)</f>
        <v/>
      </c>
    </row>
    <row r="586" customFormat="false" ht="16.5" hidden="false" customHeight="true" outlineLevel="0" collapsed="false">
      <c r="A586" s="39" t="str">
        <f aca="false">IF($F586="","",ROW())</f>
        <v/>
      </c>
      <c r="B586" s="40" t="str">
        <f aca="false">IF($F586="",IF($D586="","","Falta a atividade"),IF($R586="Cancelada","Cancelada",IF($AB586=1,IF(N($Z586)&gt;0,"Concluída com atraso","Concluída"),IF($R586="Em programação","Em programação",IF($O586="",IF($M586="","Na carteira","Falta a semana"),IF($AC586=1,"VENCIDA",IF($O586&gt;Hoje!$L$1,"Programada",IF($P586&gt;Hoje!$L$1,"Em execução","Fecha hoje"))))))))</f>
        <v/>
      </c>
      <c r="C586" s="41"/>
      <c r="D586" s="42"/>
      <c r="E586" s="42"/>
      <c r="F586" s="42"/>
      <c r="G586" s="43"/>
      <c r="H586" s="43"/>
      <c r="I586" s="44"/>
      <c r="J586" s="44"/>
      <c r="K586" s="44"/>
      <c r="L586" s="45"/>
      <c r="M586" s="46"/>
      <c r="N586" s="45"/>
      <c r="O586" s="47" t="str">
        <f aca="false">IF(OR($L586="",$M586=""),"",(DATE(Semana!$J$3,1,4)-WEEKDAY(DATE(Semana!$J$3,1,4),3))+($L586-1)*7+MATCH($M586,Listas!$F$5:$F$11,0)-1)</f>
        <v/>
      </c>
      <c r="P586" s="47" t="str">
        <f aca="false">IF(OR($F586="",$O586=""),"",$O586+MAX(0,ROUNDUP($AK586*MAX(1,IF($N586="",1,$N586))/MAX(1,$AL586),0)-1))</f>
        <v/>
      </c>
      <c r="Q586" s="48"/>
      <c r="R586" s="43"/>
      <c r="S586" s="49"/>
      <c r="T586" s="42"/>
      <c r="U586" s="42"/>
      <c r="V586" s="39" t="str">
        <f aca="false">IF($F586="","",IF(ISNUMBER(SEARCH("(externo)",$I586&amp;$J586&amp;$K586)),"Terceirizada","Interna"))</f>
        <v/>
      </c>
      <c r="W586" s="47" t="str">
        <f aca="false">IF($O586="","",IF($S586="",$O586,(DATE(Semana!$J$3,1,4)-WEEKDAY(DATE(Semana!$J$3,1,4),3))+($S586-1)*7+IF($M586="",0,MATCH($M586,Listas!$F$5:$F$11,0)-1)))</f>
        <v/>
      </c>
      <c r="X586" s="39" t="str">
        <f aca="false">IF($F586="","",IF(OR($AT586="",$O586=""),0,IF($AT586&lt;=$O586,1,0)))</f>
        <v/>
      </c>
      <c r="Y586" s="39" t="str">
        <f aca="false">IF($F586="","",IF(OR($AT586="",$W586=""),0,IF($AT586&lt;=$W586,1,0)))</f>
        <v/>
      </c>
      <c r="Z586" s="39" t="str">
        <f aca="false">IF(OR($AT586="",$O586=""),"",MAX(0,$AT586-$O586))</f>
        <v/>
      </c>
      <c r="AA586" s="39" t="str">
        <f aca="false">IF($F586="","",IF(AND($S586&lt;&gt;"",$L586&lt;&gt;"",$S586&lt;&gt;$L586),1,0))</f>
        <v/>
      </c>
      <c r="AB586" s="39" t="str">
        <f aca="false">IF($F586="","",IF($R586="Cancelada",0,IF(OR($AT586&lt;&gt;"",$R586="Concluída"),1,0)))</f>
        <v/>
      </c>
      <c r="AC586" s="39" t="n">
        <f aca="false">IF($P586="",0,IF($P586&lt;Hoje!$L$1,1,IF(AND($P586=Hoje!$L$1,Hoje!$L$2&gt;Semana!$M$3),1,0)))</f>
        <v>0</v>
      </c>
      <c r="AD586" s="39" t="str">
        <f aca="false">IF($F586="","",IF(COUNTA($I586:$K586)=0,0,1/COUNTA($I586:$K586)))</f>
        <v/>
      </c>
      <c r="AE586" s="39" t="str">
        <f aca="false">IF($AH586=0,"",SUM($AH$4:$AH586))</f>
        <v/>
      </c>
      <c r="AF586" s="39" t="str">
        <f aca="false">IF($AI586=0,"",SUM($AI$4:$AI586))</f>
        <v/>
      </c>
      <c r="AG586" s="50" t="str">
        <f aca="false">IF($F586="","",$I586&amp;IF($J586="",""," · "&amp;$J586)&amp;IF($K586="",""," · "&amp;$K586))</f>
        <v/>
      </c>
      <c r="AH586" s="39" t="n">
        <f aca="false">IF(AND($F586&lt;&gt;"",$O586&lt;&gt;"",$O586&lt;=Hoje!$C$3,$P586&gt;=Hoje!$C$3,$R586&lt;&gt;"Cancelada"),1,0)</f>
        <v>0</v>
      </c>
      <c r="AI586" s="39" t="n">
        <f aca="false">IF(AND($F586&lt;&gt;"",$P586&lt;&gt;"",$P586&lt;Hoje!$C$3,$AB586=0,$R586&lt;&gt;"Cancelada"),1,0)</f>
        <v>0</v>
      </c>
      <c r="AJ586" s="50" t="str">
        <f aca="false">IF($F586="","",$D586&amp;"|"&amp;$E586&amp;"|"&amp;$L586)</f>
        <v/>
      </c>
      <c r="AK586" s="39" t="str">
        <f aca="false">IF($AJ586="","",COUNTIF($AJ$4:$AJ586,$AJ586))</f>
        <v/>
      </c>
      <c r="AL586" s="39" t="str">
        <f aca="false">IF($AJ586="","",COUNTIF($AJ$4:$AJ$1004,$AJ586))</f>
        <v/>
      </c>
      <c r="AM586" s="42"/>
      <c r="AN586" s="50" t="str">
        <f aca="false">IF($D586="","",IFERROR(T(VLOOKUP($D586,Listas!$B$5:$H$120,7,0)),""))</f>
        <v/>
      </c>
      <c r="AO586" s="50" t="str">
        <f aca="false">IF(OR($F586="",$L586&lt;&gt;"",$R586="Cancelada",$AT586&lt;&gt;""),"",$AN586&amp;"|"&amp;$D586&amp;"|"&amp;IF($C586="","zzz",$C586)&amp;"|"&amp;TEXT(586,"0000"))</f>
        <v/>
      </c>
      <c r="AP586" s="50" t="str">
        <f aca="false">IF($AO586="","",COUNTIF($AO$5:$AO$1004,"&lt;"&amp;$AO586)-(ROWS($AO$5:$AO$1004)-Hoje!$L$5)+1)</f>
        <v/>
      </c>
      <c r="AQ586" s="50" t="n">
        <f aca="false">IF(AND($F586&lt;&gt;"",$D586=Frota!$C$3),1,0)</f>
        <v>0</v>
      </c>
      <c r="AR586" s="50" t="str">
        <f aca="false">IF($AQ586=0,"",SUM($AQ$4:$AQ586))</f>
        <v/>
      </c>
      <c r="AS586" s="50" t="str">
        <f aca="false">IFERROR(INDEX(Hoje!$K$10:$K$29,MATCH(ROW(),Hoje!$J$10:$J$29,0)),"")</f>
        <v/>
      </c>
      <c r="AT586" s="50" t="str">
        <f aca="false">IF($Q586&lt;&gt;"",$Q586,$AS586)</f>
        <v/>
      </c>
    </row>
    <row r="587" customFormat="false" ht="16.5" hidden="false" customHeight="true" outlineLevel="0" collapsed="false">
      <c r="A587" s="39" t="str">
        <f aca="false">IF($F587="","",ROW())</f>
        <v/>
      </c>
      <c r="B587" s="40" t="str">
        <f aca="false">IF($F587="",IF($D587="","","Falta a atividade"),IF($R587="Cancelada","Cancelada",IF($AB587=1,IF(N($Z587)&gt;0,"Concluída com atraso","Concluída"),IF($R587="Em programação","Em programação",IF($O587="",IF($M587="","Na carteira","Falta a semana"),IF($AC587=1,"VENCIDA",IF($O587&gt;Hoje!$L$1,"Programada",IF($P587&gt;Hoje!$L$1,"Em execução","Fecha hoje"))))))))</f>
        <v/>
      </c>
      <c r="C587" s="41"/>
      <c r="D587" s="42"/>
      <c r="E587" s="42"/>
      <c r="F587" s="42"/>
      <c r="G587" s="43"/>
      <c r="H587" s="43"/>
      <c r="I587" s="44"/>
      <c r="J587" s="44"/>
      <c r="K587" s="44"/>
      <c r="L587" s="45"/>
      <c r="M587" s="46"/>
      <c r="N587" s="45"/>
      <c r="O587" s="47" t="str">
        <f aca="false">IF(OR($L587="",$M587=""),"",(DATE(Semana!$J$3,1,4)-WEEKDAY(DATE(Semana!$J$3,1,4),3))+($L587-1)*7+MATCH($M587,Listas!$F$5:$F$11,0)-1)</f>
        <v/>
      </c>
      <c r="P587" s="47" t="str">
        <f aca="false">IF(OR($F587="",$O587=""),"",$O587+MAX(0,ROUNDUP($AK587*MAX(1,IF($N587="",1,$N587))/MAX(1,$AL587),0)-1))</f>
        <v/>
      </c>
      <c r="Q587" s="48"/>
      <c r="R587" s="43"/>
      <c r="S587" s="49"/>
      <c r="T587" s="42"/>
      <c r="U587" s="42"/>
      <c r="V587" s="39" t="str">
        <f aca="false">IF($F587="","",IF(ISNUMBER(SEARCH("(externo)",$I587&amp;$J587&amp;$K587)),"Terceirizada","Interna"))</f>
        <v/>
      </c>
      <c r="W587" s="47" t="str">
        <f aca="false">IF($O587="","",IF($S587="",$O587,(DATE(Semana!$J$3,1,4)-WEEKDAY(DATE(Semana!$J$3,1,4),3))+($S587-1)*7+IF($M587="",0,MATCH($M587,Listas!$F$5:$F$11,0)-1)))</f>
        <v/>
      </c>
      <c r="X587" s="39" t="str">
        <f aca="false">IF($F587="","",IF(OR($AT587="",$O587=""),0,IF($AT587&lt;=$O587,1,0)))</f>
        <v/>
      </c>
      <c r="Y587" s="39" t="str">
        <f aca="false">IF($F587="","",IF(OR($AT587="",$W587=""),0,IF($AT587&lt;=$W587,1,0)))</f>
        <v/>
      </c>
      <c r="Z587" s="39" t="str">
        <f aca="false">IF(OR($AT587="",$O587=""),"",MAX(0,$AT587-$O587))</f>
        <v/>
      </c>
      <c r="AA587" s="39" t="str">
        <f aca="false">IF($F587="","",IF(AND($S587&lt;&gt;"",$L587&lt;&gt;"",$S587&lt;&gt;$L587),1,0))</f>
        <v/>
      </c>
      <c r="AB587" s="39" t="str">
        <f aca="false">IF($F587="","",IF($R587="Cancelada",0,IF(OR($AT587&lt;&gt;"",$R587="Concluída"),1,0)))</f>
        <v/>
      </c>
      <c r="AC587" s="39" t="n">
        <f aca="false">IF($P587="",0,IF($P587&lt;Hoje!$L$1,1,IF(AND($P587=Hoje!$L$1,Hoje!$L$2&gt;Semana!$M$3),1,0)))</f>
        <v>0</v>
      </c>
      <c r="AD587" s="39" t="str">
        <f aca="false">IF($F587="","",IF(COUNTA($I587:$K587)=0,0,1/COUNTA($I587:$K587)))</f>
        <v/>
      </c>
      <c r="AE587" s="39" t="str">
        <f aca="false">IF($AH587=0,"",SUM($AH$4:$AH587))</f>
        <v/>
      </c>
      <c r="AF587" s="39" t="str">
        <f aca="false">IF($AI587=0,"",SUM($AI$4:$AI587))</f>
        <v/>
      </c>
      <c r="AG587" s="50" t="str">
        <f aca="false">IF($F587="","",$I587&amp;IF($J587="",""," · "&amp;$J587)&amp;IF($K587="",""," · "&amp;$K587))</f>
        <v/>
      </c>
      <c r="AH587" s="39" t="n">
        <f aca="false">IF(AND($F587&lt;&gt;"",$O587&lt;&gt;"",$O587&lt;=Hoje!$C$3,$P587&gt;=Hoje!$C$3,$R587&lt;&gt;"Cancelada"),1,0)</f>
        <v>0</v>
      </c>
      <c r="AI587" s="39" t="n">
        <f aca="false">IF(AND($F587&lt;&gt;"",$P587&lt;&gt;"",$P587&lt;Hoje!$C$3,$AB587=0,$R587&lt;&gt;"Cancelada"),1,0)</f>
        <v>0</v>
      </c>
      <c r="AJ587" s="50" t="str">
        <f aca="false">IF($F587="","",$D587&amp;"|"&amp;$E587&amp;"|"&amp;$L587)</f>
        <v/>
      </c>
      <c r="AK587" s="39" t="str">
        <f aca="false">IF($AJ587="","",COUNTIF($AJ$4:$AJ587,$AJ587))</f>
        <v/>
      </c>
      <c r="AL587" s="39" t="str">
        <f aca="false">IF($AJ587="","",COUNTIF($AJ$4:$AJ$1004,$AJ587))</f>
        <v/>
      </c>
      <c r="AM587" s="42"/>
      <c r="AN587" s="50" t="str">
        <f aca="false">IF($D587="","",IFERROR(T(VLOOKUP($D587,Listas!$B$5:$H$120,7,0)),""))</f>
        <v/>
      </c>
      <c r="AO587" s="50" t="str">
        <f aca="false">IF(OR($F587="",$L587&lt;&gt;"",$R587="Cancelada",$AT587&lt;&gt;""),"",$AN587&amp;"|"&amp;$D587&amp;"|"&amp;IF($C587="","zzz",$C587)&amp;"|"&amp;TEXT(587,"0000"))</f>
        <v/>
      </c>
      <c r="AP587" s="50" t="str">
        <f aca="false">IF($AO587="","",COUNTIF($AO$5:$AO$1004,"&lt;"&amp;$AO587)-(ROWS($AO$5:$AO$1004)-Hoje!$L$5)+1)</f>
        <v/>
      </c>
      <c r="AQ587" s="50" t="n">
        <f aca="false">IF(AND($F587&lt;&gt;"",$D587=Frota!$C$3),1,0)</f>
        <v>0</v>
      </c>
      <c r="AR587" s="50" t="str">
        <f aca="false">IF($AQ587=0,"",SUM($AQ$4:$AQ587))</f>
        <v/>
      </c>
      <c r="AS587" s="50" t="str">
        <f aca="false">IFERROR(INDEX(Hoje!$K$10:$K$29,MATCH(ROW(),Hoje!$J$10:$J$29,0)),"")</f>
        <v/>
      </c>
      <c r="AT587" s="50" t="str">
        <f aca="false">IF($Q587&lt;&gt;"",$Q587,$AS587)</f>
        <v/>
      </c>
    </row>
    <row r="588" customFormat="false" ht="16.5" hidden="false" customHeight="true" outlineLevel="0" collapsed="false">
      <c r="A588" s="39" t="str">
        <f aca="false">IF($F588="","",ROW())</f>
        <v/>
      </c>
      <c r="B588" s="40" t="str">
        <f aca="false">IF($F588="",IF($D588="","","Falta a atividade"),IF($R588="Cancelada","Cancelada",IF($AB588=1,IF(N($Z588)&gt;0,"Concluída com atraso","Concluída"),IF($R588="Em programação","Em programação",IF($O588="",IF($M588="","Na carteira","Falta a semana"),IF($AC588=1,"VENCIDA",IF($O588&gt;Hoje!$L$1,"Programada",IF($P588&gt;Hoje!$L$1,"Em execução","Fecha hoje"))))))))</f>
        <v/>
      </c>
      <c r="C588" s="41"/>
      <c r="D588" s="42"/>
      <c r="E588" s="42"/>
      <c r="F588" s="42"/>
      <c r="G588" s="43"/>
      <c r="H588" s="43"/>
      <c r="I588" s="44"/>
      <c r="J588" s="44"/>
      <c r="K588" s="44"/>
      <c r="L588" s="45"/>
      <c r="M588" s="46"/>
      <c r="N588" s="45"/>
      <c r="O588" s="47" t="str">
        <f aca="false">IF(OR($L588="",$M588=""),"",(DATE(Semana!$J$3,1,4)-WEEKDAY(DATE(Semana!$J$3,1,4),3))+($L588-1)*7+MATCH($M588,Listas!$F$5:$F$11,0)-1)</f>
        <v/>
      </c>
      <c r="P588" s="47" t="str">
        <f aca="false">IF(OR($F588="",$O588=""),"",$O588+MAX(0,ROUNDUP($AK588*MAX(1,IF($N588="",1,$N588))/MAX(1,$AL588),0)-1))</f>
        <v/>
      </c>
      <c r="Q588" s="48"/>
      <c r="R588" s="43"/>
      <c r="S588" s="49"/>
      <c r="T588" s="42"/>
      <c r="U588" s="42"/>
      <c r="V588" s="39" t="str">
        <f aca="false">IF($F588="","",IF(ISNUMBER(SEARCH("(externo)",$I588&amp;$J588&amp;$K588)),"Terceirizada","Interna"))</f>
        <v/>
      </c>
      <c r="W588" s="47" t="str">
        <f aca="false">IF($O588="","",IF($S588="",$O588,(DATE(Semana!$J$3,1,4)-WEEKDAY(DATE(Semana!$J$3,1,4),3))+($S588-1)*7+IF($M588="",0,MATCH($M588,Listas!$F$5:$F$11,0)-1)))</f>
        <v/>
      </c>
      <c r="X588" s="39" t="str">
        <f aca="false">IF($F588="","",IF(OR($AT588="",$O588=""),0,IF($AT588&lt;=$O588,1,0)))</f>
        <v/>
      </c>
      <c r="Y588" s="39" t="str">
        <f aca="false">IF($F588="","",IF(OR($AT588="",$W588=""),0,IF($AT588&lt;=$W588,1,0)))</f>
        <v/>
      </c>
      <c r="Z588" s="39" t="str">
        <f aca="false">IF(OR($AT588="",$O588=""),"",MAX(0,$AT588-$O588))</f>
        <v/>
      </c>
      <c r="AA588" s="39" t="str">
        <f aca="false">IF($F588="","",IF(AND($S588&lt;&gt;"",$L588&lt;&gt;"",$S588&lt;&gt;$L588),1,0))</f>
        <v/>
      </c>
      <c r="AB588" s="39" t="str">
        <f aca="false">IF($F588="","",IF($R588="Cancelada",0,IF(OR($AT588&lt;&gt;"",$R588="Concluída"),1,0)))</f>
        <v/>
      </c>
      <c r="AC588" s="39" t="n">
        <f aca="false">IF($P588="",0,IF($P588&lt;Hoje!$L$1,1,IF(AND($P588=Hoje!$L$1,Hoje!$L$2&gt;Semana!$M$3),1,0)))</f>
        <v>0</v>
      </c>
      <c r="AD588" s="39" t="str">
        <f aca="false">IF($F588="","",IF(COUNTA($I588:$K588)=0,0,1/COUNTA($I588:$K588)))</f>
        <v/>
      </c>
      <c r="AE588" s="39" t="str">
        <f aca="false">IF($AH588=0,"",SUM($AH$4:$AH588))</f>
        <v/>
      </c>
      <c r="AF588" s="39" t="str">
        <f aca="false">IF($AI588=0,"",SUM($AI$4:$AI588))</f>
        <v/>
      </c>
      <c r="AG588" s="50" t="str">
        <f aca="false">IF($F588="","",$I588&amp;IF($J588="",""," · "&amp;$J588)&amp;IF($K588="",""," · "&amp;$K588))</f>
        <v/>
      </c>
      <c r="AH588" s="39" t="n">
        <f aca="false">IF(AND($F588&lt;&gt;"",$O588&lt;&gt;"",$O588&lt;=Hoje!$C$3,$P588&gt;=Hoje!$C$3,$R588&lt;&gt;"Cancelada"),1,0)</f>
        <v>0</v>
      </c>
      <c r="AI588" s="39" t="n">
        <f aca="false">IF(AND($F588&lt;&gt;"",$P588&lt;&gt;"",$P588&lt;Hoje!$C$3,$AB588=0,$R588&lt;&gt;"Cancelada"),1,0)</f>
        <v>0</v>
      </c>
      <c r="AJ588" s="50" t="str">
        <f aca="false">IF($F588="","",$D588&amp;"|"&amp;$E588&amp;"|"&amp;$L588)</f>
        <v/>
      </c>
      <c r="AK588" s="39" t="str">
        <f aca="false">IF($AJ588="","",COUNTIF($AJ$4:$AJ588,$AJ588))</f>
        <v/>
      </c>
      <c r="AL588" s="39" t="str">
        <f aca="false">IF($AJ588="","",COUNTIF($AJ$4:$AJ$1004,$AJ588))</f>
        <v/>
      </c>
      <c r="AM588" s="42"/>
      <c r="AN588" s="50" t="str">
        <f aca="false">IF($D588="","",IFERROR(T(VLOOKUP($D588,Listas!$B$5:$H$120,7,0)),""))</f>
        <v/>
      </c>
      <c r="AO588" s="50" t="str">
        <f aca="false">IF(OR($F588="",$L588&lt;&gt;"",$R588="Cancelada",$AT588&lt;&gt;""),"",$AN588&amp;"|"&amp;$D588&amp;"|"&amp;IF($C588="","zzz",$C588)&amp;"|"&amp;TEXT(588,"0000"))</f>
        <v/>
      </c>
      <c r="AP588" s="50" t="str">
        <f aca="false">IF($AO588="","",COUNTIF($AO$5:$AO$1004,"&lt;"&amp;$AO588)-(ROWS($AO$5:$AO$1004)-Hoje!$L$5)+1)</f>
        <v/>
      </c>
      <c r="AQ588" s="50" t="n">
        <f aca="false">IF(AND($F588&lt;&gt;"",$D588=Frota!$C$3),1,0)</f>
        <v>0</v>
      </c>
      <c r="AR588" s="50" t="str">
        <f aca="false">IF($AQ588=0,"",SUM($AQ$4:$AQ588))</f>
        <v/>
      </c>
      <c r="AS588" s="50" t="str">
        <f aca="false">IFERROR(INDEX(Hoje!$K$10:$K$29,MATCH(ROW(),Hoje!$J$10:$J$29,0)),"")</f>
        <v/>
      </c>
      <c r="AT588" s="50" t="str">
        <f aca="false">IF($Q588&lt;&gt;"",$Q588,$AS588)</f>
        <v/>
      </c>
    </row>
    <row r="589" customFormat="false" ht="16.5" hidden="false" customHeight="true" outlineLevel="0" collapsed="false">
      <c r="A589" s="39" t="str">
        <f aca="false">IF($F589="","",ROW())</f>
        <v/>
      </c>
      <c r="B589" s="40" t="str">
        <f aca="false">IF($F589="",IF($D589="","","Falta a atividade"),IF($R589="Cancelada","Cancelada",IF($AB589=1,IF(N($Z589)&gt;0,"Concluída com atraso","Concluída"),IF($R589="Em programação","Em programação",IF($O589="",IF($M589="","Na carteira","Falta a semana"),IF($AC589=1,"VENCIDA",IF($O589&gt;Hoje!$L$1,"Programada",IF($P589&gt;Hoje!$L$1,"Em execução","Fecha hoje"))))))))</f>
        <v/>
      </c>
      <c r="C589" s="41"/>
      <c r="D589" s="42"/>
      <c r="E589" s="42"/>
      <c r="F589" s="42"/>
      <c r="G589" s="43"/>
      <c r="H589" s="43"/>
      <c r="I589" s="44"/>
      <c r="J589" s="44"/>
      <c r="K589" s="44"/>
      <c r="L589" s="45"/>
      <c r="M589" s="46"/>
      <c r="N589" s="45"/>
      <c r="O589" s="47" t="str">
        <f aca="false">IF(OR($L589="",$M589=""),"",(DATE(Semana!$J$3,1,4)-WEEKDAY(DATE(Semana!$J$3,1,4),3))+($L589-1)*7+MATCH($M589,Listas!$F$5:$F$11,0)-1)</f>
        <v/>
      </c>
      <c r="P589" s="47" t="str">
        <f aca="false">IF(OR($F589="",$O589=""),"",$O589+MAX(0,ROUNDUP($AK589*MAX(1,IF($N589="",1,$N589))/MAX(1,$AL589),0)-1))</f>
        <v/>
      </c>
      <c r="Q589" s="48"/>
      <c r="R589" s="43"/>
      <c r="S589" s="49"/>
      <c r="T589" s="42"/>
      <c r="U589" s="42"/>
      <c r="V589" s="39" t="str">
        <f aca="false">IF($F589="","",IF(ISNUMBER(SEARCH("(externo)",$I589&amp;$J589&amp;$K589)),"Terceirizada","Interna"))</f>
        <v/>
      </c>
      <c r="W589" s="47" t="str">
        <f aca="false">IF($O589="","",IF($S589="",$O589,(DATE(Semana!$J$3,1,4)-WEEKDAY(DATE(Semana!$J$3,1,4),3))+($S589-1)*7+IF($M589="",0,MATCH($M589,Listas!$F$5:$F$11,0)-1)))</f>
        <v/>
      </c>
      <c r="X589" s="39" t="str">
        <f aca="false">IF($F589="","",IF(OR($AT589="",$O589=""),0,IF($AT589&lt;=$O589,1,0)))</f>
        <v/>
      </c>
      <c r="Y589" s="39" t="str">
        <f aca="false">IF($F589="","",IF(OR($AT589="",$W589=""),0,IF($AT589&lt;=$W589,1,0)))</f>
        <v/>
      </c>
      <c r="Z589" s="39" t="str">
        <f aca="false">IF(OR($AT589="",$O589=""),"",MAX(0,$AT589-$O589))</f>
        <v/>
      </c>
      <c r="AA589" s="39" t="str">
        <f aca="false">IF($F589="","",IF(AND($S589&lt;&gt;"",$L589&lt;&gt;"",$S589&lt;&gt;$L589),1,0))</f>
        <v/>
      </c>
      <c r="AB589" s="39" t="str">
        <f aca="false">IF($F589="","",IF($R589="Cancelada",0,IF(OR($AT589&lt;&gt;"",$R589="Concluída"),1,0)))</f>
        <v/>
      </c>
      <c r="AC589" s="39" t="n">
        <f aca="false">IF($P589="",0,IF($P589&lt;Hoje!$L$1,1,IF(AND($P589=Hoje!$L$1,Hoje!$L$2&gt;Semana!$M$3),1,0)))</f>
        <v>0</v>
      </c>
      <c r="AD589" s="39" t="str">
        <f aca="false">IF($F589="","",IF(COUNTA($I589:$K589)=0,0,1/COUNTA($I589:$K589)))</f>
        <v/>
      </c>
      <c r="AE589" s="39" t="str">
        <f aca="false">IF($AH589=0,"",SUM($AH$4:$AH589))</f>
        <v/>
      </c>
      <c r="AF589" s="39" t="str">
        <f aca="false">IF($AI589=0,"",SUM($AI$4:$AI589))</f>
        <v/>
      </c>
      <c r="AG589" s="50" t="str">
        <f aca="false">IF($F589="","",$I589&amp;IF($J589="",""," · "&amp;$J589)&amp;IF($K589="",""," · "&amp;$K589))</f>
        <v/>
      </c>
      <c r="AH589" s="39" t="n">
        <f aca="false">IF(AND($F589&lt;&gt;"",$O589&lt;&gt;"",$O589&lt;=Hoje!$C$3,$P589&gt;=Hoje!$C$3,$R589&lt;&gt;"Cancelada"),1,0)</f>
        <v>0</v>
      </c>
      <c r="AI589" s="39" t="n">
        <f aca="false">IF(AND($F589&lt;&gt;"",$P589&lt;&gt;"",$P589&lt;Hoje!$C$3,$AB589=0,$R589&lt;&gt;"Cancelada"),1,0)</f>
        <v>0</v>
      </c>
      <c r="AJ589" s="50" t="str">
        <f aca="false">IF($F589="","",$D589&amp;"|"&amp;$E589&amp;"|"&amp;$L589)</f>
        <v/>
      </c>
      <c r="AK589" s="39" t="str">
        <f aca="false">IF($AJ589="","",COUNTIF($AJ$4:$AJ589,$AJ589))</f>
        <v/>
      </c>
      <c r="AL589" s="39" t="str">
        <f aca="false">IF($AJ589="","",COUNTIF($AJ$4:$AJ$1004,$AJ589))</f>
        <v/>
      </c>
      <c r="AM589" s="42"/>
      <c r="AN589" s="50" t="str">
        <f aca="false">IF($D589="","",IFERROR(T(VLOOKUP($D589,Listas!$B$5:$H$120,7,0)),""))</f>
        <v/>
      </c>
      <c r="AO589" s="50" t="str">
        <f aca="false">IF(OR($F589="",$L589&lt;&gt;"",$R589="Cancelada",$AT589&lt;&gt;""),"",$AN589&amp;"|"&amp;$D589&amp;"|"&amp;IF($C589="","zzz",$C589)&amp;"|"&amp;TEXT(589,"0000"))</f>
        <v/>
      </c>
      <c r="AP589" s="50" t="str">
        <f aca="false">IF($AO589="","",COUNTIF($AO$5:$AO$1004,"&lt;"&amp;$AO589)-(ROWS($AO$5:$AO$1004)-Hoje!$L$5)+1)</f>
        <v/>
      </c>
      <c r="AQ589" s="50" t="n">
        <f aca="false">IF(AND($F589&lt;&gt;"",$D589=Frota!$C$3),1,0)</f>
        <v>0</v>
      </c>
      <c r="AR589" s="50" t="str">
        <f aca="false">IF($AQ589=0,"",SUM($AQ$4:$AQ589))</f>
        <v/>
      </c>
      <c r="AS589" s="50" t="str">
        <f aca="false">IFERROR(INDEX(Hoje!$K$10:$K$29,MATCH(ROW(),Hoje!$J$10:$J$29,0)),"")</f>
        <v/>
      </c>
      <c r="AT589" s="50" t="str">
        <f aca="false">IF($Q589&lt;&gt;"",$Q589,$AS589)</f>
        <v/>
      </c>
    </row>
    <row r="590" customFormat="false" ht="16.5" hidden="false" customHeight="true" outlineLevel="0" collapsed="false">
      <c r="A590" s="39" t="str">
        <f aca="false">IF($F590="","",ROW())</f>
        <v/>
      </c>
      <c r="B590" s="40" t="str">
        <f aca="false">IF($F590="",IF($D590="","","Falta a atividade"),IF($R590="Cancelada","Cancelada",IF($AB590=1,IF(N($Z590)&gt;0,"Concluída com atraso","Concluída"),IF($R590="Em programação","Em programação",IF($O590="",IF($M590="","Na carteira","Falta a semana"),IF($AC590=1,"VENCIDA",IF($O590&gt;Hoje!$L$1,"Programada",IF($P590&gt;Hoje!$L$1,"Em execução","Fecha hoje"))))))))</f>
        <v/>
      </c>
      <c r="C590" s="41"/>
      <c r="D590" s="42"/>
      <c r="E590" s="42"/>
      <c r="F590" s="42"/>
      <c r="G590" s="43"/>
      <c r="H590" s="43"/>
      <c r="I590" s="44"/>
      <c r="J590" s="44"/>
      <c r="K590" s="44"/>
      <c r="L590" s="45"/>
      <c r="M590" s="46"/>
      <c r="N590" s="45"/>
      <c r="O590" s="47" t="str">
        <f aca="false">IF(OR($L590="",$M590=""),"",(DATE(Semana!$J$3,1,4)-WEEKDAY(DATE(Semana!$J$3,1,4),3))+($L590-1)*7+MATCH($M590,Listas!$F$5:$F$11,0)-1)</f>
        <v/>
      </c>
      <c r="P590" s="47" t="str">
        <f aca="false">IF(OR($F590="",$O590=""),"",$O590+MAX(0,ROUNDUP($AK590*MAX(1,IF($N590="",1,$N590))/MAX(1,$AL590),0)-1))</f>
        <v/>
      </c>
      <c r="Q590" s="48"/>
      <c r="R590" s="43"/>
      <c r="S590" s="49"/>
      <c r="T590" s="42"/>
      <c r="U590" s="42"/>
      <c r="V590" s="39" t="str">
        <f aca="false">IF($F590="","",IF(ISNUMBER(SEARCH("(externo)",$I590&amp;$J590&amp;$K590)),"Terceirizada","Interna"))</f>
        <v/>
      </c>
      <c r="W590" s="47" t="str">
        <f aca="false">IF($O590="","",IF($S590="",$O590,(DATE(Semana!$J$3,1,4)-WEEKDAY(DATE(Semana!$J$3,1,4),3))+($S590-1)*7+IF($M590="",0,MATCH($M590,Listas!$F$5:$F$11,0)-1)))</f>
        <v/>
      </c>
      <c r="X590" s="39" t="str">
        <f aca="false">IF($F590="","",IF(OR($AT590="",$O590=""),0,IF($AT590&lt;=$O590,1,0)))</f>
        <v/>
      </c>
      <c r="Y590" s="39" t="str">
        <f aca="false">IF($F590="","",IF(OR($AT590="",$W590=""),0,IF($AT590&lt;=$W590,1,0)))</f>
        <v/>
      </c>
      <c r="Z590" s="39" t="str">
        <f aca="false">IF(OR($AT590="",$O590=""),"",MAX(0,$AT590-$O590))</f>
        <v/>
      </c>
      <c r="AA590" s="39" t="str">
        <f aca="false">IF($F590="","",IF(AND($S590&lt;&gt;"",$L590&lt;&gt;"",$S590&lt;&gt;$L590),1,0))</f>
        <v/>
      </c>
      <c r="AB590" s="39" t="str">
        <f aca="false">IF($F590="","",IF($R590="Cancelada",0,IF(OR($AT590&lt;&gt;"",$R590="Concluída"),1,0)))</f>
        <v/>
      </c>
      <c r="AC590" s="39" t="n">
        <f aca="false">IF($P590="",0,IF($P590&lt;Hoje!$L$1,1,IF(AND($P590=Hoje!$L$1,Hoje!$L$2&gt;Semana!$M$3),1,0)))</f>
        <v>0</v>
      </c>
      <c r="AD590" s="39" t="str">
        <f aca="false">IF($F590="","",IF(COUNTA($I590:$K590)=0,0,1/COUNTA($I590:$K590)))</f>
        <v/>
      </c>
      <c r="AE590" s="39" t="str">
        <f aca="false">IF($AH590=0,"",SUM($AH$4:$AH590))</f>
        <v/>
      </c>
      <c r="AF590" s="39" t="str">
        <f aca="false">IF($AI590=0,"",SUM($AI$4:$AI590))</f>
        <v/>
      </c>
      <c r="AG590" s="50" t="str">
        <f aca="false">IF($F590="","",$I590&amp;IF($J590="",""," · "&amp;$J590)&amp;IF($K590="",""," · "&amp;$K590))</f>
        <v/>
      </c>
      <c r="AH590" s="39" t="n">
        <f aca="false">IF(AND($F590&lt;&gt;"",$O590&lt;&gt;"",$O590&lt;=Hoje!$C$3,$P590&gt;=Hoje!$C$3,$R590&lt;&gt;"Cancelada"),1,0)</f>
        <v>0</v>
      </c>
      <c r="AI590" s="39" t="n">
        <f aca="false">IF(AND($F590&lt;&gt;"",$P590&lt;&gt;"",$P590&lt;Hoje!$C$3,$AB590=0,$R590&lt;&gt;"Cancelada"),1,0)</f>
        <v>0</v>
      </c>
      <c r="AJ590" s="50" t="str">
        <f aca="false">IF($F590="","",$D590&amp;"|"&amp;$E590&amp;"|"&amp;$L590)</f>
        <v/>
      </c>
      <c r="AK590" s="39" t="str">
        <f aca="false">IF($AJ590="","",COUNTIF($AJ$4:$AJ590,$AJ590))</f>
        <v/>
      </c>
      <c r="AL590" s="39" t="str">
        <f aca="false">IF($AJ590="","",COUNTIF($AJ$4:$AJ$1004,$AJ590))</f>
        <v/>
      </c>
      <c r="AM590" s="42"/>
      <c r="AN590" s="50" t="str">
        <f aca="false">IF($D590="","",IFERROR(T(VLOOKUP($D590,Listas!$B$5:$H$120,7,0)),""))</f>
        <v/>
      </c>
      <c r="AO590" s="50" t="str">
        <f aca="false">IF(OR($F590="",$L590&lt;&gt;"",$R590="Cancelada",$AT590&lt;&gt;""),"",$AN590&amp;"|"&amp;$D590&amp;"|"&amp;IF($C590="","zzz",$C590)&amp;"|"&amp;TEXT(590,"0000"))</f>
        <v/>
      </c>
      <c r="AP590" s="50" t="str">
        <f aca="false">IF($AO590="","",COUNTIF($AO$5:$AO$1004,"&lt;"&amp;$AO590)-(ROWS($AO$5:$AO$1004)-Hoje!$L$5)+1)</f>
        <v/>
      </c>
      <c r="AQ590" s="50" t="n">
        <f aca="false">IF(AND($F590&lt;&gt;"",$D590=Frota!$C$3),1,0)</f>
        <v>0</v>
      </c>
      <c r="AR590" s="50" t="str">
        <f aca="false">IF($AQ590=0,"",SUM($AQ$4:$AQ590))</f>
        <v/>
      </c>
      <c r="AS590" s="50" t="str">
        <f aca="false">IFERROR(INDEX(Hoje!$K$10:$K$29,MATCH(ROW(),Hoje!$J$10:$J$29,0)),"")</f>
        <v/>
      </c>
      <c r="AT590" s="50" t="str">
        <f aca="false">IF($Q590&lt;&gt;"",$Q590,$AS590)</f>
        <v/>
      </c>
    </row>
    <row r="591" customFormat="false" ht="16.5" hidden="false" customHeight="true" outlineLevel="0" collapsed="false">
      <c r="A591" s="39" t="str">
        <f aca="false">IF($F591="","",ROW())</f>
        <v/>
      </c>
      <c r="B591" s="40" t="str">
        <f aca="false">IF($F591="",IF($D591="","","Falta a atividade"),IF($R591="Cancelada","Cancelada",IF($AB591=1,IF(N($Z591)&gt;0,"Concluída com atraso","Concluída"),IF($R591="Em programação","Em programação",IF($O591="",IF($M591="","Na carteira","Falta a semana"),IF($AC591=1,"VENCIDA",IF($O591&gt;Hoje!$L$1,"Programada",IF($P591&gt;Hoje!$L$1,"Em execução","Fecha hoje"))))))))</f>
        <v/>
      </c>
      <c r="C591" s="41"/>
      <c r="D591" s="42"/>
      <c r="E591" s="42"/>
      <c r="F591" s="42"/>
      <c r="G591" s="43"/>
      <c r="H591" s="43"/>
      <c r="I591" s="44"/>
      <c r="J591" s="44"/>
      <c r="K591" s="44"/>
      <c r="L591" s="45"/>
      <c r="M591" s="46"/>
      <c r="N591" s="45"/>
      <c r="O591" s="47" t="str">
        <f aca="false">IF(OR($L591="",$M591=""),"",(DATE(Semana!$J$3,1,4)-WEEKDAY(DATE(Semana!$J$3,1,4),3))+($L591-1)*7+MATCH($M591,Listas!$F$5:$F$11,0)-1)</f>
        <v/>
      </c>
      <c r="P591" s="47" t="str">
        <f aca="false">IF(OR($F591="",$O591=""),"",$O591+MAX(0,ROUNDUP($AK591*MAX(1,IF($N591="",1,$N591))/MAX(1,$AL591),0)-1))</f>
        <v/>
      </c>
      <c r="Q591" s="48"/>
      <c r="R591" s="43"/>
      <c r="S591" s="49"/>
      <c r="T591" s="42"/>
      <c r="U591" s="42"/>
      <c r="V591" s="39" t="str">
        <f aca="false">IF($F591="","",IF(ISNUMBER(SEARCH("(externo)",$I591&amp;$J591&amp;$K591)),"Terceirizada","Interna"))</f>
        <v/>
      </c>
      <c r="W591" s="47" t="str">
        <f aca="false">IF($O591="","",IF($S591="",$O591,(DATE(Semana!$J$3,1,4)-WEEKDAY(DATE(Semana!$J$3,1,4),3))+($S591-1)*7+IF($M591="",0,MATCH($M591,Listas!$F$5:$F$11,0)-1)))</f>
        <v/>
      </c>
      <c r="X591" s="39" t="str">
        <f aca="false">IF($F591="","",IF(OR($AT591="",$O591=""),0,IF($AT591&lt;=$O591,1,0)))</f>
        <v/>
      </c>
      <c r="Y591" s="39" t="str">
        <f aca="false">IF($F591="","",IF(OR($AT591="",$W591=""),0,IF($AT591&lt;=$W591,1,0)))</f>
        <v/>
      </c>
      <c r="Z591" s="39" t="str">
        <f aca="false">IF(OR($AT591="",$O591=""),"",MAX(0,$AT591-$O591))</f>
        <v/>
      </c>
      <c r="AA591" s="39" t="str">
        <f aca="false">IF($F591="","",IF(AND($S591&lt;&gt;"",$L591&lt;&gt;"",$S591&lt;&gt;$L591),1,0))</f>
        <v/>
      </c>
      <c r="AB591" s="39" t="str">
        <f aca="false">IF($F591="","",IF($R591="Cancelada",0,IF(OR($AT591&lt;&gt;"",$R591="Concluída"),1,0)))</f>
        <v/>
      </c>
      <c r="AC591" s="39" t="n">
        <f aca="false">IF($P591="",0,IF($P591&lt;Hoje!$L$1,1,IF(AND($P591=Hoje!$L$1,Hoje!$L$2&gt;Semana!$M$3),1,0)))</f>
        <v>0</v>
      </c>
      <c r="AD591" s="39" t="str">
        <f aca="false">IF($F591="","",IF(COUNTA($I591:$K591)=0,0,1/COUNTA($I591:$K591)))</f>
        <v/>
      </c>
      <c r="AE591" s="39" t="str">
        <f aca="false">IF($AH591=0,"",SUM($AH$4:$AH591))</f>
        <v/>
      </c>
      <c r="AF591" s="39" t="str">
        <f aca="false">IF($AI591=0,"",SUM($AI$4:$AI591))</f>
        <v/>
      </c>
      <c r="AG591" s="50" t="str">
        <f aca="false">IF($F591="","",$I591&amp;IF($J591="",""," · "&amp;$J591)&amp;IF($K591="",""," · "&amp;$K591))</f>
        <v/>
      </c>
      <c r="AH591" s="39" t="n">
        <f aca="false">IF(AND($F591&lt;&gt;"",$O591&lt;&gt;"",$O591&lt;=Hoje!$C$3,$P591&gt;=Hoje!$C$3,$R591&lt;&gt;"Cancelada"),1,0)</f>
        <v>0</v>
      </c>
      <c r="AI591" s="39" t="n">
        <f aca="false">IF(AND($F591&lt;&gt;"",$P591&lt;&gt;"",$P591&lt;Hoje!$C$3,$AB591=0,$R591&lt;&gt;"Cancelada"),1,0)</f>
        <v>0</v>
      </c>
      <c r="AJ591" s="50" t="str">
        <f aca="false">IF($F591="","",$D591&amp;"|"&amp;$E591&amp;"|"&amp;$L591)</f>
        <v/>
      </c>
      <c r="AK591" s="39" t="str">
        <f aca="false">IF($AJ591="","",COUNTIF($AJ$4:$AJ591,$AJ591))</f>
        <v/>
      </c>
      <c r="AL591" s="39" t="str">
        <f aca="false">IF($AJ591="","",COUNTIF($AJ$4:$AJ$1004,$AJ591))</f>
        <v/>
      </c>
      <c r="AM591" s="42"/>
      <c r="AN591" s="50" t="str">
        <f aca="false">IF($D591="","",IFERROR(T(VLOOKUP($D591,Listas!$B$5:$H$120,7,0)),""))</f>
        <v/>
      </c>
      <c r="AO591" s="50" t="str">
        <f aca="false">IF(OR($F591="",$L591&lt;&gt;"",$R591="Cancelada",$AT591&lt;&gt;""),"",$AN591&amp;"|"&amp;$D591&amp;"|"&amp;IF($C591="","zzz",$C591)&amp;"|"&amp;TEXT(591,"0000"))</f>
        <v/>
      </c>
      <c r="AP591" s="50" t="str">
        <f aca="false">IF($AO591="","",COUNTIF($AO$5:$AO$1004,"&lt;"&amp;$AO591)-(ROWS($AO$5:$AO$1004)-Hoje!$L$5)+1)</f>
        <v/>
      </c>
      <c r="AQ591" s="50" t="n">
        <f aca="false">IF(AND($F591&lt;&gt;"",$D591=Frota!$C$3),1,0)</f>
        <v>0</v>
      </c>
      <c r="AR591" s="50" t="str">
        <f aca="false">IF($AQ591=0,"",SUM($AQ$4:$AQ591))</f>
        <v/>
      </c>
      <c r="AS591" s="50" t="str">
        <f aca="false">IFERROR(INDEX(Hoje!$K$10:$K$29,MATCH(ROW(),Hoje!$J$10:$J$29,0)),"")</f>
        <v/>
      </c>
      <c r="AT591" s="50" t="str">
        <f aca="false">IF($Q591&lt;&gt;"",$Q591,$AS591)</f>
        <v/>
      </c>
    </row>
    <row r="592" customFormat="false" ht="16.5" hidden="false" customHeight="true" outlineLevel="0" collapsed="false">
      <c r="A592" s="39" t="str">
        <f aca="false">IF($F592="","",ROW())</f>
        <v/>
      </c>
      <c r="B592" s="40" t="str">
        <f aca="false">IF($F592="",IF($D592="","","Falta a atividade"),IF($R592="Cancelada","Cancelada",IF($AB592=1,IF(N($Z592)&gt;0,"Concluída com atraso","Concluída"),IF($R592="Em programação","Em programação",IF($O592="",IF($M592="","Na carteira","Falta a semana"),IF($AC592=1,"VENCIDA",IF($O592&gt;Hoje!$L$1,"Programada",IF($P592&gt;Hoje!$L$1,"Em execução","Fecha hoje"))))))))</f>
        <v/>
      </c>
      <c r="C592" s="41"/>
      <c r="D592" s="42"/>
      <c r="E592" s="42"/>
      <c r="F592" s="42"/>
      <c r="G592" s="43"/>
      <c r="H592" s="43"/>
      <c r="I592" s="44"/>
      <c r="J592" s="44"/>
      <c r="K592" s="44"/>
      <c r="L592" s="45"/>
      <c r="M592" s="46"/>
      <c r="N592" s="45"/>
      <c r="O592" s="47" t="str">
        <f aca="false">IF(OR($L592="",$M592=""),"",(DATE(Semana!$J$3,1,4)-WEEKDAY(DATE(Semana!$J$3,1,4),3))+($L592-1)*7+MATCH($M592,Listas!$F$5:$F$11,0)-1)</f>
        <v/>
      </c>
      <c r="P592" s="47" t="str">
        <f aca="false">IF(OR($F592="",$O592=""),"",$O592+MAX(0,ROUNDUP($AK592*MAX(1,IF($N592="",1,$N592))/MAX(1,$AL592),0)-1))</f>
        <v/>
      </c>
      <c r="Q592" s="48"/>
      <c r="R592" s="43"/>
      <c r="S592" s="49"/>
      <c r="T592" s="42"/>
      <c r="U592" s="42"/>
      <c r="V592" s="39" t="str">
        <f aca="false">IF($F592="","",IF(ISNUMBER(SEARCH("(externo)",$I592&amp;$J592&amp;$K592)),"Terceirizada","Interna"))</f>
        <v/>
      </c>
      <c r="W592" s="47" t="str">
        <f aca="false">IF($O592="","",IF($S592="",$O592,(DATE(Semana!$J$3,1,4)-WEEKDAY(DATE(Semana!$J$3,1,4),3))+($S592-1)*7+IF($M592="",0,MATCH($M592,Listas!$F$5:$F$11,0)-1)))</f>
        <v/>
      </c>
      <c r="X592" s="39" t="str">
        <f aca="false">IF($F592="","",IF(OR($AT592="",$O592=""),0,IF($AT592&lt;=$O592,1,0)))</f>
        <v/>
      </c>
      <c r="Y592" s="39" t="str">
        <f aca="false">IF($F592="","",IF(OR($AT592="",$W592=""),0,IF($AT592&lt;=$W592,1,0)))</f>
        <v/>
      </c>
      <c r="Z592" s="39" t="str">
        <f aca="false">IF(OR($AT592="",$O592=""),"",MAX(0,$AT592-$O592))</f>
        <v/>
      </c>
      <c r="AA592" s="39" t="str">
        <f aca="false">IF($F592="","",IF(AND($S592&lt;&gt;"",$L592&lt;&gt;"",$S592&lt;&gt;$L592),1,0))</f>
        <v/>
      </c>
      <c r="AB592" s="39" t="str">
        <f aca="false">IF($F592="","",IF($R592="Cancelada",0,IF(OR($AT592&lt;&gt;"",$R592="Concluída"),1,0)))</f>
        <v/>
      </c>
      <c r="AC592" s="39" t="n">
        <f aca="false">IF($P592="",0,IF($P592&lt;Hoje!$L$1,1,IF(AND($P592=Hoje!$L$1,Hoje!$L$2&gt;Semana!$M$3),1,0)))</f>
        <v>0</v>
      </c>
      <c r="AD592" s="39" t="str">
        <f aca="false">IF($F592="","",IF(COUNTA($I592:$K592)=0,0,1/COUNTA($I592:$K592)))</f>
        <v/>
      </c>
      <c r="AE592" s="39" t="str">
        <f aca="false">IF($AH592=0,"",SUM($AH$4:$AH592))</f>
        <v/>
      </c>
      <c r="AF592" s="39" t="str">
        <f aca="false">IF($AI592=0,"",SUM($AI$4:$AI592))</f>
        <v/>
      </c>
      <c r="AG592" s="50" t="str">
        <f aca="false">IF($F592="","",$I592&amp;IF($J592="",""," · "&amp;$J592)&amp;IF($K592="",""," · "&amp;$K592))</f>
        <v/>
      </c>
      <c r="AH592" s="39" t="n">
        <f aca="false">IF(AND($F592&lt;&gt;"",$O592&lt;&gt;"",$O592&lt;=Hoje!$C$3,$P592&gt;=Hoje!$C$3,$R592&lt;&gt;"Cancelada"),1,0)</f>
        <v>0</v>
      </c>
      <c r="AI592" s="39" t="n">
        <f aca="false">IF(AND($F592&lt;&gt;"",$P592&lt;&gt;"",$P592&lt;Hoje!$C$3,$AB592=0,$R592&lt;&gt;"Cancelada"),1,0)</f>
        <v>0</v>
      </c>
      <c r="AJ592" s="50" t="str">
        <f aca="false">IF($F592="","",$D592&amp;"|"&amp;$E592&amp;"|"&amp;$L592)</f>
        <v/>
      </c>
      <c r="AK592" s="39" t="str">
        <f aca="false">IF($AJ592="","",COUNTIF($AJ$4:$AJ592,$AJ592))</f>
        <v/>
      </c>
      <c r="AL592" s="39" t="str">
        <f aca="false">IF($AJ592="","",COUNTIF($AJ$4:$AJ$1004,$AJ592))</f>
        <v/>
      </c>
      <c r="AM592" s="42"/>
      <c r="AN592" s="50" t="str">
        <f aca="false">IF($D592="","",IFERROR(T(VLOOKUP($D592,Listas!$B$5:$H$120,7,0)),""))</f>
        <v/>
      </c>
      <c r="AO592" s="50" t="str">
        <f aca="false">IF(OR($F592="",$L592&lt;&gt;"",$R592="Cancelada",$AT592&lt;&gt;""),"",$AN592&amp;"|"&amp;$D592&amp;"|"&amp;IF($C592="","zzz",$C592)&amp;"|"&amp;TEXT(592,"0000"))</f>
        <v/>
      </c>
      <c r="AP592" s="50" t="str">
        <f aca="false">IF($AO592="","",COUNTIF($AO$5:$AO$1004,"&lt;"&amp;$AO592)-(ROWS($AO$5:$AO$1004)-Hoje!$L$5)+1)</f>
        <v/>
      </c>
      <c r="AQ592" s="50" t="n">
        <f aca="false">IF(AND($F592&lt;&gt;"",$D592=Frota!$C$3),1,0)</f>
        <v>0</v>
      </c>
      <c r="AR592" s="50" t="str">
        <f aca="false">IF($AQ592=0,"",SUM($AQ$4:$AQ592))</f>
        <v/>
      </c>
      <c r="AS592" s="50" t="str">
        <f aca="false">IFERROR(INDEX(Hoje!$K$10:$K$29,MATCH(ROW(),Hoje!$J$10:$J$29,0)),"")</f>
        <v/>
      </c>
      <c r="AT592" s="50" t="str">
        <f aca="false">IF($Q592&lt;&gt;"",$Q592,$AS592)</f>
        <v/>
      </c>
    </row>
    <row r="593" customFormat="false" ht="16.5" hidden="false" customHeight="true" outlineLevel="0" collapsed="false">
      <c r="A593" s="39" t="str">
        <f aca="false">IF($F593="","",ROW())</f>
        <v/>
      </c>
      <c r="B593" s="40" t="str">
        <f aca="false">IF($F593="",IF($D593="","","Falta a atividade"),IF($R593="Cancelada","Cancelada",IF($AB593=1,IF(N($Z593)&gt;0,"Concluída com atraso","Concluída"),IF($R593="Em programação","Em programação",IF($O593="",IF($M593="","Na carteira","Falta a semana"),IF($AC593=1,"VENCIDA",IF($O593&gt;Hoje!$L$1,"Programada",IF($P593&gt;Hoje!$L$1,"Em execução","Fecha hoje"))))))))</f>
        <v/>
      </c>
      <c r="C593" s="41"/>
      <c r="D593" s="42"/>
      <c r="E593" s="42"/>
      <c r="F593" s="42"/>
      <c r="G593" s="43"/>
      <c r="H593" s="43"/>
      <c r="I593" s="44"/>
      <c r="J593" s="44"/>
      <c r="K593" s="44"/>
      <c r="L593" s="45"/>
      <c r="M593" s="46"/>
      <c r="N593" s="45"/>
      <c r="O593" s="47" t="str">
        <f aca="false">IF(OR($L593="",$M593=""),"",(DATE(Semana!$J$3,1,4)-WEEKDAY(DATE(Semana!$J$3,1,4),3))+($L593-1)*7+MATCH($M593,Listas!$F$5:$F$11,0)-1)</f>
        <v/>
      </c>
      <c r="P593" s="47" t="str">
        <f aca="false">IF(OR($F593="",$O593=""),"",$O593+MAX(0,ROUNDUP($AK593*MAX(1,IF($N593="",1,$N593))/MAX(1,$AL593),0)-1))</f>
        <v/>
      </c>
      <c r="Q593" s="48"/>
      <c r="R593" s="43"/>
      <c r="S593" s="49"/>
      <c r="T593" s="42"/>
      <c r="U593" s="42"/>
      <c r="V593" s="39" t="str">
        <f aca="false">IF($F593="","",IF(ISNUMBER(SEARCH("(externo)",$I593&amp;$J593&amp;$K593)),"Terceirizada","Interna"))</f>
        <v/>
      </c>
      <c r="W593" s="47" t="str">
        <f aca="false">IF($O593="","",IF($S593="",$O593,(DATE(Semana!$J$3,1,4)-WEEKDAY(DATE(Semana!$J$3,1,4),3))+($S593-1)*7+IF($M593="",0,MATCH($M593,Listas!$F$5:$F$11,0)-1)))</f>
        <v/>
      </c>
      <c r="X593" s="39" t="str">
        <f aca="false">IF($F593="","",IF(OR($AT593="",$O593=""),0,IF($AT593&lt;=$O593,1,0)))</f>
        <v/>
      </c>
      <c r="Y593" s="39" t="str">
        <f aca="false">IF($F593="","",IF(OR($AT593="",$W593=""),0,IF($AT593&lt;=$W593,1,0)))</f>
        <v/>
      </c>
      <c r="Z593" s="39" t="str">
        <f aca="false">IF(OR($AT593="",$O593=""),"",MAX(0,$AT593-$O593))</f>
        <v/>
      </c>
      <c r="AA593" s="39" t="str">
        <f aca="false">IF($F593="","",IF(AND($S593&lt;&gt;"",$L593&lt;&gt;"",$S593&lt;&gt;$L593),1,0))</f>
        <v/>
      </c>
      <c r="AB593" s="39" t="str">
        <f aca="false">IF($F593="","",IF($R593="Cancelada",0,IF(OR($AT593&lt;&gt;"",$R593="Concluída"),1,0)))</f>
        <v/>
      </c>
      <c r="AC593" s="39" t="n">
        <f aca="false">IF($P593="",0,IF($P593&lt;Hoje!$L$1,1,IF(AND($P593=Hoje!$L$1,Hoje!$L$2&gt;Semana!$M$3),1,0)))</f>
        <v>0</v>
      </c>
      <c r="AD593" s="39" t="str">
        <f aca="false">IF($F593="","",IF(COUNTA($I593:$K593)=0,0,1/COUNTA($I593:$K593)))</f>
        <v/>
      </c>
      <c r="AE593" s="39" t="str">
        <f aca="false">IF($AH593=0,"",SUM($AH$4:$AH593))</f>
        <v/>
      </c>
      <c r="AF593" s="39" t="str">
        <f aca="false">IF($AI593=0,"",SUM($AI$4:$AI593))</f>
        <v/>
      </c>
      <c r="AG593" s="50" t="str">
        <f aca="false">IF($F593="","",$I593&amp;IF($J593="",""," · "&amp;$J593)&amp;IF($K593="",""," · "&amp;$K593))</f>
        <v/>
      </c>
      <c r="AH593" s="39" t="n">
        <f aca="false">IF(AND($F593&lt;&gt;"",$O593&lt;&gt;"",$O593&lt;=Hoje!$C$3,$P593&gt;=Hoje!$C$3,$R593&lt;&gt;"Cancelada"),1,0)</f>
        <v>0</v>
      </c>
      <c r="AI593" s="39" t="n">
        <f aca="false">IF(AND($F593&lt;&gt;"",$P593&lt;&gt;"",$P593&lt;Hoje!$C$3,$AB593=0,$R593&lt;&gt;"Cancelada"),1,0)</f>
        <v>0</v>
      </c>
      <c r="AJ593" s="50" t="str">
        <f aca="false">IF($F593="","",$D593&amp;"|"&amp;$E593&amp;"|"&amp;$L593)</f>
        <v/>
      </c>
      <c r="AK593" s="39" t="str">
        <f aca="false">IF($AJ593="","",COUNTIF($AJ$4:$AJ593,$AJ593))</f>
        <v/>
      </c>
      <c r="AL593" s="39" t="str">
        <f aca="false">IF($AJ593="","",COUNTIF($AJ$4:$AJ$1004,$AJ593))</f>
        <v/>
      </c>
      <c r="AM593" s="42"/>
      <c r="AN593" s="50" t="str">
        <f aca="false">IF($D593="","",IFERROR(T(VLOOKUP($D593,Listas!$B$5:$H$120,7,0)),""))</f>
        <v/>
      </c>
      <c r="AO593" s="50" t="str">
        <f aca="false">IF(OR($F593="",$L593&lt;&gt;"",$R593="Cancelada",$AT593&lt;&gt;""),"",$AN593&amp;"|"&amp;$D593&amp;"|"&amp;IF($C593="","zzz",$C593)&amp;"|"&amp;TEXT(593,"0000"))</f>
        <v/>
      </c>
      <c r="AP593" s="50" t="str">
        <f aca="false">IF($AO593="","",COUNTIF($AO$5:$AO$1004,"&lt;"&amp;$AO593)-(ROWS($AO$5:$AO$1004)-Hoje!$L$5)+1)</f>
        <v/>
      </c>
      <c r="AQ593" s="50" t="n">
        <f aca="false">IF(AND($F593&lt;&gt;"",$D593=Frota!$C$3),1,0)</f>
        <v>0</v>
      </c>
      <c r="AR593" s="50" t="str">
        <f aca="false">IF($AQ593=0,"",SUM($AQ$4:$AQ593))</f>
        <v/>
      </c>
      <c r="AS593" s="50" t="str">
        <f aca="false">IFERROR(INDEX(Hoje!$K$10:$K$29,MATCH(ROW(),Hoje!$J$10:$J$29,0)),"")</f>
        <v/>
      </c>
      <c r="AT593" s="50" t="str">
        <f aca="false">IF($Q593&lt;&gt;"",$Q593,$AS593)</f>
        <v/>
      </c>
    </row>
    <row r="594" customFormat="false" ht="16.5" hidden="false" customHeight="true" outlineLevel="0" collapsed="false">
      <c r="A594" s="39" t="str">
        <f aca="false">IF($F594="","",ROW())</f>
        <v/>
      </c>
      <c r="B594" s="40" t="str">
        <f aca="false">IF($F594="",IF($D594="","","Falta a atividade"),IF($R594="Cancelada","Cancelada",IF($AB594=1,IF(N($Z594)&gt;0,"Concluída com atraso","Concluída"),IF($R594="Em programação","Em programação",IF($O594="",IF($M594="","Na carteira","Falta a semana"),IF($AC594=1,"VENCIDA",IF($O594&gt;Hoje!$L$1,"Programada",IF($P594&gt;Hoje!$L$1,"Em execução","Fecha hoje"))))))))</f>
        <v/>
      </c>
      <c r="C594" s="41"/>
      <c r="D594" s="42"/>
      <c r="E594" s="42"/>
      <c r="F594" s="42"/>
      <c r="G594" s="43"/>
      <c r="H594" s="43"/>
      <c r="I594" s="44"/>
      <c r="J594" s="44"/>
      <c r="K594" s="44"/>
      <c r="L594" s="45"/>
      <c r="M594" s="46"/>
      <c r="N594" s="45"/>
      <c r="O594" s="47" t="str">
        <f aca="false">IF(OR($L594="",$M594=""),"",(DATE(Semana!$J$3,1,4)-WEEKDAY(DATE(Semana!$J$3,1,4),3))+($L594-1)*7+MATCH($M594,Listas!$F$5:$F$11,0)-1)</f>
        <v/>
      </c>
      <c r="P594" s="47" t="str">
        <f aca="false">IF(OR($F594="",$O594=""),"",$O594+MAX(0,ROUNDUP($AK594*MAX(1,IF($N594="",1,$N594))/MAX(1,$AL594),0)-1))</f>
        <v/>
      </c>
      <c r="Q594" s="48"/>
      <c r="R594" s="43"/>
      <c r="S594" s="49"/>
      <c r="T594" s="42"/>
      <c r="U594" s="42"/>
      <c r="V594" s="39" t="str">
        <f aca="false">IF($F594="","",IF(ISNUMBER(SEARCH("(externo)",$I594&amp;$J594&amp;$K594)),"Terceirizada","Interna"))</f>
        <v/>
      </c>
      <c r="W594" s="47" t="str">
        <f aca="false">IF($O594="","",IF($S594="",$O594,(DATE(Semana!$J$3,1,4)-WEEKDAY(DATE(Semana!$J$3,1,4),3))+($S594-1)*7+IF($M594="",0,MATCH($M594,Listas!$F$5:$F$11,0)-1)))</f>
        <v/>
      </c>
      <c r="X594" s="39" t="str">
        <f aca="false">IF($F594="","",IF(OR($AT594="",$O594=""),0,IF($AT594&lt;=$O594,1,0)))</f>
        <v/>
      </c>
      <c r="Y594" s="39" t="str">
        <f aca="false">IF($F594="","",IF(OR($AT594="",$W594=""),0,IF($AT594&lt;=$W594,1,0)))</f>
        <v/>
      </c>
      <c r="Z594" s="39" t="str">
        <f aca="false">IF(OR($AT594="",$O594=""),"",MAX(0,$AT594-$O594))</f>
        <v/>
      </c>
      <c r="AA594" s="39" t="str">
        <f aca="false">IF($F594="","",IF(AND($S594&lt;&gt;"",$L594&lt;&gt;"",$S594&lt;&gt;$L594),1,0))</f>
        <v/>
      </c>
      <c r="AB594" s="39" t="str">
        <f aca="false">IF($F594="","",IF($R594="Cancelada",0,IF(OR($AT594&lt;&gt;"",$R594="Concluída"),1,0)))</f>
        <v/>
      </c>
      <c r="AC594" s="39" t="n">
        <f aca="false">IF($P594="",0,IF($P594&lt;Hoje!$L$1,1,IF(AND($P594=Hoje!$L$1,Hoje!$L$2&gt;Semana!$M$3),1,0)))</f>
        <v>0</v>
      </c>
      <c r="AD594" s="39" t="str">
        <f aca="false">IF($F594="","",IF(COUNTA($I594:$K594)=0,0,1/COUNTA($I594:$K594)))</f>
        <v/>
      </c>
      <c r="AE594" s="39" t="str">
        <f aca="false">IF($AH594=0,"",SUM($AH$4:$AH594))</f>
        <v/>
      </c>
      <c r="AF594" s="39" t="str">
        <f aca="false">IF($AI594=0,"",SUM($AI$4:$AI594))</f>
        <v/>
      </c>
      <c r="AG594" s="50" t="str">
        <f aca="false">IF($F594="","",$I594&amp;IF($J594="",""," · "&amp;$J594)&amp;IF($K594="",""," · "&amp;$K594))</f>
        <v/>
      </c>
      <c r="AH594" s="39" t="n">
        <f aca="false">IF(AND($F594&lt;&gt;"",$O594&lt;&gt;"",$O594&lt;=Hoje!$C$3,$P594&gt;=Hoje!$C$3,$R594&lt;&gt;"Cancelada"),1,0)</f>
        <v>0</v>
      </c>
      <c r="AI594" s="39" t="n">
        <f aca="false">IF(AND($F594&lt;&gt;"",$P594&lt;&gt;"",$P594&lt;Hoje!$C$3,$AB594=0,$R594&lt;&gt;"Cancelada"),1,0)</f>
        <v>0</v>
      </c>
      <c r="AJ594" s="50" t="str">
        <f aca="false">IF($F594="","",$D594&amp;"|"&amp;$E594&amp;"|"&amp;$L594)</f>
        <v/>
      </c>
      <c r="AK594" s="39" t="str">
        <f aca="false">IF($AJ594="","",COUNTIF($AJ$4:$AJ594,$AJ594))</f>
        <v/>
      </c>
      <c r="AL594" s="39" t="str">
        <f aca="false">IF($AJ594="","",COUNTIF($AJ$4:$AJ$1004,$AJ594))</f>
        <v/>
      </c>
      <c r="AM594" s="42"/>
      <c r="AN594" s="50" t="str">
        <f aca="false">IF($D594="","",IFERROR(T(VLOOKUP($D594,Listas!$B$5:$H$120,7,0)),""))</f>
        <v/>
      </c>
      <c r="AO594" s="50" t="str">
        <f aca="false">IF(OR($F594="",$L594&lt;&gt;"",$R594="Cancelada",$AT594&lt;&gt;""),"",$AN594&amp;"|"&amp;$D594&amp;"|"&amp;IF($C594="","zzz",$C594)&amp;"|"&amp;TEXT(594,"0000"))</f>
        <v/>
      </c>
      <c r="AP594" s="50" t="str">
        <f aca="false">IF($AO594="","",COUNTIF($AO$5:$AO$1004,"&lt;"&amp;$AO594)-(ROWS($AO$5:$AO$1004)-Hoje!$L$5)+1)</f>
        <v/>
      </c>
      <c r="AQ594" s="50" t="n">
        <f aca="false">IF(AND($F594&lt;&gt;"",$D594=Frota!$C$3),1,0)</f>
        <v>0</v>
      </c>
      <c r="AR594" s="50" t="str">
        <f aca="false">IF($AQ594=0,"",SUM($AQ$4:$AQ594))</f>
        <v/>
      </c>
      <c r="AS594" s="50" t="str">
        <f aca="false">IFERROR(INDEX(Hoje!$K$10:$K$29,MATCH(ROW(),Hoje!$J$10:$J$29,0)),"")</f>
        <v/>
      </c>
      <c r="AT594" s="50" t="str">
        <f aca="false">IF($Q594&lt;&gt;"",$Q594,$AS594)</f>
        <v/>
      </c>
    </row>
    <row r="595" customFormat="false" ht="16.5" hidden="false" customHeight="true" outlineLevel="0" collapsed="false">
      <c r="A595" s="39" t="str">
        <f aca="false">IF($F595="","",ROW())</f>
        <v/>
      </c>
      <c r="B595" s="40" t="str">
        <f aca="false">IF($F595="",IF($D595="","","Falta a atividade"),IF($R595="Cancelada","Cancelada",IF($AB595=1,IF(N($Z595)&gt;0,"Concluída com atraso","Concluída"),IF($R595="Em programação","Em programação",IF($O595="",IF($M595="","Na carteira","Falta a semana"),IF($AC595=1,"VENCIDA",IF($O595&gt;Hoje!$L$1,"Programada",IF($P595&gt;Hoje!$L$1,"Em execução","Fecha hoje"))))))))</f>
        <v/>
      </c>
      <c r="C595" s="41"/>
      <c r="D595" s="42"/>
      <c r="E595" s="42"/>
      <c r="F595" s="42"/>
      <c r="G595" s="43"/>
      <c r="H595" s="43"/>
      <c r="I595" s="44"/>
      <c r="J595" s="44"/>
      <c r="K595" s="44"/>
      <c r="L595" s="45"/>
      <c r="M595" s="46"/>
      <c r="N595" s="45"/>
      <c r="O595" s="47" t="str">
        <f aca="false">IF(OR($L595="",$M595=""),"",(DATE(Semana!$J$3,1,4)-WEEKDAY(DATE(Semana!$J$3,1,4),3))+($L595-1)*7+MATCH($M595,Listas!$F$5:$F$11,0)-1)</f>
        <v/>
      </c>
      <c r="P595" s="47" t="str">
        <f aca="false">IF(OR($F595="",$O595=""),"",$O595+MAX(0,ROUNDUP($AK595*MAX(1,IF($N595="",1,$N595))/MAX(1,$AL595),0)-1))</f>
        <v/>
      </c>
      <c r="Q595" s="48"/>
      <c r="R595" s="43"/>
      <c r="S595" s="49"/>
      <c r="T595" s="42"/>
      <c r="U595" s="42"/>
      <c r="V595" s="39" t="str">
        <f aca="false">IF($F595="","",IF(ISNUMBER(SEARCH("(externo)",$I595&amp;$J595&amp;$K595)),"Terceirizada","Interna"))</f>
        <v/>
      </c>
      <c r="W595" s="47" t="str">
        <f aca="false">IF($O595="","",IF($S595="",$O595,(DATE(Semana!$J$3,1,4)-WEEKDAY(DATE(Semana!$J$3,1,4),3))+($S595-1)*7+IF($M595="",0,MATCH($M595,Listas!$F$5:$F$11,0)-1)))</f>
        <v/>
      </c>
      <c r="X595" s="39" t="str">
        <f aca="false">IF($F595="","",IF(OR($AT595="",$O595=""),0,IF($AT595&lt;=$O595,1,0)))</f>
        <v/>
      </c>
      <c r="Y595" s="39" t="str">
        <f aca="false">IF($F595="","",IF(OR($AT595="",$W595=""),0,IF($AT595&lt;=$W595,1,0)))</f>
        <v/>
      </c>
      <c r="Z595" s="39" t="str">
        <f aca="false">IF(OR($AT595="",$O595=""),"",MAX(0,$AT595-$O595))</f>
        <v/>
      </c>
      <c r="AA595" s="39" t="str">
        <f aca="false">IF($F595="","",IF(AND($S595&lt;&gt;"",$L595&lt;&gt;"",$S595&lt;&gt;$L595),1,0))</f>
        <v/>
      </c>
      <c r="AB595" s="39" t="str">
        <f aca="false">IF($F595="","",IF($R595="Cancelada",0,IF(OR($AT595&lt;&gt;"",$R595="Concluída"),1,0)))</f>
        <v/>
      </c>
      <c r="AC595" s="39" t="n">
        <f aca="false">IF($P595="",0,IF($P595&lt;Hoje!$L$1,1,IF(AND($P595=Hoje!$L$1,Hoje!$L$2&gt;Semana!$M$3),1,0)))</f>
        <v>0</v>
      </c>
      <c r="AD595" s="39" t="str">
        <f aca="false">IF($F595="","",IF(COUNTA($I595:$K595)=0,0,1/COUNTA($I595:$K595)))</f>
        <v/>
      </c>
      <c r="AE595" s="39" t="str">
        <f aca="false">IF($AH595=0,"",SUM($AH$4:$AH595))</f>
        <v/>
      </c>
      <c r="AF595" s="39" t="str">
        <f aca="false">IF($AI595=0,"",SUM($AI$4:$AI595))</f>
        <v/>
      </c>
      <c r="AG595" s="50" t="str">
        <f aca="false">IF($F595="","",$I595&amp;IF($J595="",""," · "&amp;$J595)&amp;IF($K595="",""," · "&amp;$K595))</f>
        <v/>
      </c>
      <c r="AH595" s="39" t="n">
        <f aca="false">IF(AND($F595&lt;&gt;"",$O595&lt;&gt;"",$O595&lt;=Hoje!$C$3,$P595&gt;=Hoje!$C$3,$R595&lt;&gt;"Cancelada"),1,0)</f>
        <v>0</v>
      </c>
      <c r="AI595" s="39" t="n">
        <f aca="false">IF(AND($F595&lt;&gt;"",$P595&lt;&gt;"",$P595&lt;Hoje!$C$3,$AB595=0,$R595&lt;&gt;"Cancelada"),1,0)</f>
        <v>0</v>
      </c>
      <c r="AJ595" s="50" t="str">
        <f aca="false">IF($F595="","",$D595&amp;"|"&amp;$E595&amp;"|"&amp;$L595)</f>
        <v/>
      </c>
      <c r="AK595" s="39" t="str">
        <f aca="false">IF($AJ595="","",COUNTIF($AJ$4:$AJ595,$AJ595))</f>
        <v/>
      </c>
      <c r="AL595" s="39" t="str">
        <f aca="false">IF($AJ595="","",COUNTIF($AJ$4:$AJ$1004,$AJ595))</f>
        <v/>
      </c>
      <c r="AM595" s="42"/>
      <c r="AN595" s="50" t="str">
        <f aca="false">IF($D595="","",IFERROR(T(VLOOKUP($D595,Listas!$B$5:$H$120,7,0)),""))</f>
        <v/>
      </c>
      <c r="AO595" s="50" t="str">
        <f aca="false">IF(OR($F595="",$L595&lt;&gt;"",$R595="Cancelada",$AT595&lt;&gt;""),"",$AN595&amp;"|"&amp;$D595&amp;"|"&amp;IF($C595="","zzz",$C595)&amp;"|"&amp;TEXT(595,"0000"))</f>
        <v/>
      </c>
      <c r="AP595" s="50" t="str">
        <f aca="false">IF($AO595="","",COUNTIF($AO$5:$AO$1004,"&lt;"&amp;$AO595)-(ROWS($AO$5:$AO$1004)-Hoje!$L$5)+1)</f>
        <v/>
      </c>
      <c r="AQ595" s="50" t="n">
        <f aca="false">IF(AND($F595&lt;&gt;"",$D595=Frota!$C$3),1,0)</f>
        <v>0</v>
      </c>
      <c r="AR595" s="50" t="str">
        <f aca="false">IF($AQ595=0,"",SUM($AQ$4:$AQ595))</f>
        <v/>
      </c>
      <c r="AS595" s="50" t="str">
        <f aca="false">IFERROR(INDEX(Hoje!$K$10:$K$29,MATCH(ROW(),Hoje!$J$10:$J$29,0)),"")</f>
        <v/>
      </c>
      <c r="AT595" s="50" t="str">
        <f aca="false">IF($Q595&lt;&gt;"",$Q595,$AS595)</f>
        <v/>
      </c>
    </row>
    <row r="596" customFormat="false" ht="16.5" hidden="false" customHeight="true" outlineLevel="0" collapsed="false">
      <c r="A596" s="39" t="str">
        <f aca="false">IF($F596="","",ROW())</f>
        <v/>
      </c>
      <c r="B596" s="40" t="str">
        <f aca="false">IF($F596="",IF($D596="","","Falta a atividade"),IF($R596="Cancelada","Cancelada",IF($AB596=1,IF(N($Z596)&gt;0,"Concluída com atraso","Concluída"),IF($R596="Em programação","Em programação",IF($O596="",IF($M596="","Na carteira","Falta a semana"),IF($AC596=1,"VENCIDA",IF($O596&gt;Hoje!$L$1,"Programada",IF($P596&gt;Hoje!$L$1,"Em execução","Fecha hoje"))))))))</f>
        <v/>
      </c>
      <c r="C596" s="41"/>
      <c r="D596" s="42"/>
      <c r="E596" s="42"/>
      <c r="F596" s="42"/>
      <c r="G596" s="43"/>
      <c r="H596" s="43"/>
      <c r="I596" s="44"/>
      <c r="J596" s="44"/>
      <c r="K596" s="44"/>
      <c r="L596" s="45"/>
      <c r="M596" s="46"/>
      <c r="N596" s="45"/>
      <c r="O596" s="47" t="str">
        <f aca="false">IF(OR($L596="",$M596=""),"",(DATE(Semana!$J$3,1,4)-WEEKDAY(DATE(Semana!$J$3,1,4),3))+($L596-1)*7+MATCH($M596,Listas!$F$5:$F$11,0)-1)</f>
        <v/>
      </c>
      <c r="P596" s="47" t="str">
        <f aca="false">IF(OR($F596="",$O596=""),"",$O596+MAX(0,ROUNDUP($AK596*MAX(1,IF($N596="",1,$N596))/MAX(1,$AL596),0)-1))</f>
        <v/>
      </c>
      <c r="Q596" s="48"/>
      <c r="R596" s="43"/>
      <c r="S596" s="49"/>
      <c r="T596" s="42"/>
      <c r="U596" s="42"/>
      <c r="V596" s="39" t="str">
        <f aca="false">IF($F596="","",IF(ISNUMBER(SEARCH("(externo)",$I596&amp;$J596&amp;$K596)),"Terceirizada","Interna"))</f>
        <v/>
      </c>
      <c r="W596" s="47" t="str">
        <f aca="false">IF($O596="","",IF($S596="",$O596,(DATE(Semana!$J$3,1,4)-WEEKDAY(DATE(Semana!$J$3,1,4),3))+($S596-1)*7+IF($M596="",0,MATCH($M596,Listas!$F$5:$F$11,0)-1)))</f>
        <v/>
      </c>
      <c r="X596" s="39" t="str">
        <f aca="false">IF($F596="","",IF(OR($AT596="",$O596=""),0,IF($AT596&lt;=$O596,1,0)))</f>
        <v/>
      </c>
      <c r="Y596" s="39" t="str">
        <f aca="false">IF($F596="","",IF(OR($AT596="",$W596=""),0,IF($AT596&lt;=$W596,1,0)))</f>
        <v/>
      </c>
      <c r="Z596" s="39" t="str">
        <f aca="false">IF(OR($AT596="",$O596=""),"",MAX(0,$AT596-$O596))</f>
        <v/>
      </c>
      <c r="AA596" s="39" t="str">
        <f aca="false">IF($F596="","",IF(AND($S596&lt;&gt;"",$L596&lt;&gt;"",$S596&lt;&gt;$L596),1,0))</f>
        <v/>
      </c>
      <c r="AB596" s="39" t="str">
        <f aca="false">IF($F596="","",IF($R596="Cancelada",0,IF(OR($AT596&lt;&gt;"",$R596="Concluída"),1,0)))</f>
        <v/>
      </c>
      <c r="AC596" s="39" t="n">
        <f aca="false">IF($P596="",0,IF($P596&lt;Hoje!$L$1,1,IF(AND($P596=Hoje!$L$1,Hoje!$L$2&gt;Semana!$M$3),1,0)))</f>
        <v>0</v>
      </c>
      <c r="AD596" s="39" t="str">
        <f aca="false">IF($F596="","",IF(COUNTA($I596:$K596)=0,0,1/COUNTA($I596:$K596)))</f>
        <v/>
      </c>
      <c r="AE596" s="39" t="str">
        <f aca="false">IF($AH596=0,"",SUM($AH$4:$AH596))</f>
        <v/>
      </c>
      <c r="AF596" s="39" t="str">
        <f aca="false">IF($AI596=0,"",SUM($AI$4:$AI596))</f>
        <v/>
      </c>
      <c r="AG596" s="50" t="str">
        <f aca="false">IF($F596="","",$I596&amp;IF($J596="",""," · "&amp;$J596)&amp;IF($K596="",""," · "&amp;$K596))</f>
        <v/>
      </c>
      <c r="AH596" s="39" t="n">
        <f aca="false">IF(AND($F596&lt;&gt;"",$O596&lt;&gt;"",$O596&lt;=Hoje!$C$3,$P596&gt;=Hoje!$C$3,$R596&lt;&gt;"Cancelada"),1,0)</f>
        <v>0</v>
      </c>
      <c r="AI596" s="39" t="n">
        <f aca="false">IF(AND($F596&lt;&gt;"",$P596&lt;&gt;"",$P596&lt;Hoje!$C$3,$AB596=0,$R596&lt;&gt;"Cancelada"),1,0)</f>
        <v>0</v>
      </c>
      <c r="AJ596" s="50" t="str">
        <f aca="false">IF($F596="","",$D596&amp;"|"&amp;$E596&amp;"|"&amp;$L596)</f>
        <v/>
      </c>
      <c r="AK596" s="39" t="str">
        <f aca="false">IF($AJ596="","",COUNTIF($AJ$4:$AJ596,$AJ596))</f>
        <v/>
      </c>
      <c r="AL596" s="39" t="str">
        <f aca="false">IF($AJ596="","",COUNTIF($AJ$4:$AJ$1004,$AJ596))</f>
        <v/>
      </c>
      <c r="AM596" s="42"/>
      <c r="AN596" s="50" t="str">
        <f aca="false">IF($D596="","",IFERROR(T(VLOOKUP($D596,Listas!$B$5:$H$120,7,0)),""))</f>
        <v/>
      </c>
      <c r="AO596" s="50" t="str">
        <f aca="false">IF(OR($F596="",$L596&lt;&gt;"",$R596="Cancelada",$AT596&lt;&gt;""),"",$AN596&amp;"|"&amp;$D596&amp;"|"&amp;IF($C596="","zzz",$C596)&amp;"|"&amp;TEXT(596,"0000"))</f>
        <v/>
      </c>
      <c r="AP596" s="50" t="str">
        <f aca="false">IF($AO596="","",COUNTIF($AO$5:$AO$1004,"&lt;"&amp;$AO596)-(ROWS($AO$5:$AO$1004)-Hoje!$L$5)+1)</f>
        <v/>
      </c>
      <c r="AQ596" s="50" t="n">
        <f aca="false">IF(AND($F596&lt;&gt;"",$D596=Frota!$C$3),1,0)</f>
        <v>0</v>
      </c>
      <c r="AR596" s="50" t="str">
        <f aca="false">IF($AQ596=0,"",SUM($AQ$4:$AQ596))</f>
        <v/>
      </c>
      <c r="AS596" s="50" t="str">
        <f aca="false">IFERROR(INDEX(Hoje!$K$10:$K$29,MATCH(ROW(),Hoje!$J$10:$J$29,0)),"")</f>
        <v/>
      </c>
      <c r="AT596" s="50" t="str">
        <f aca="false">IF($Q596&lt;&gt;"",$Q596,$AS596)</f>
        <v/>
      </c>
    </row>
    <row r="597" customFormat="false" ht="16.5" hidden="false" customHeight="true" outlineLevel="0" collapsed="false">
      <c r="A597" s="39" t="str">
        <f aca="false">IF($F597="","",ROW())</f>
        <v/>
      </c>
      <c r="B597" s="40" t="str">
        <f aca="false">IF($F597="",IF($D597="","","Falta a atividade"),IF($R597="Cancelada","Cancelada",IF($AB597=1,IF(N($Z597)&gt;0,"Concluída com atraso","Concluída"),IF($R597="Em programação","Em programação",IF($O597="",IF($M597="","Na carteira","Falta a semana"),IF($AC597=1,"VENCIDA",IF($O597&gt;Hoje!$L$1,"Programada",IF($P597&gt;Hoje!$L$1,"Em execução","Fecha hoje"))))))))</f>
        <v/>
      </c>
      <c r="C597" s="41"/>
      <c r="D597" s="42"/>
      <c r="E597" s="42"/>
      <c r="F597" s="42"/>
      <c r="G597" s="43"/>
      <c r="H597" s="43"/>
      <c r="I597" s="44"/>
      <c r="J597" s="44"/>
      <c r="K597" s="44"/>
      <c r="L597" s="45"/>
      <c r="M597" s="46"/>
      <c r="N597" s="45"/>
      <c r="O597" s="47" t="str">
        <f aca="false">IF(OR($L597="",$M597=""),"",(DATE(Semana!$J$3,1,4)-WEEKDAY(DATE(Semana!$J$3,1,4),3))+($L597-1)*7+MATCH($M597,Listas!$F$5:$F$11,0)-1)</f>
        <v/>
      </c>
      <c r="P597" s="47" t="str">
        <f aca="false">IF(OR($F597="",$O597=""),"",$O597+MAX(0,ROUNDUP($AK597*MAX(1,IF($N597="",1,$N597))/MAX(1,$AL597),0)-1))</f>
        <v/>
      </c>
      <c r="Q597" s="48"/>
      <c r="R597" s="43"/>
      <c r="S597" s="49"/>
      <c r="T597" s="42"/>
      <c r="U597" s="42"/>
      <c r="V597" s="39" t="str">
        <f aca="false">IF($F597="","",IF(ISNUMBER(SEARCH("(externo)",$I597&amp;$J597&amp;$K597)),"Terceirizada","Interna"))</f>
        <v/>
      </c>
      <c r="W597" s="47" t="str">
        <f aca="false">IF($O597="","",IF($S597="",$O597,(DATE(Semana!$J$3,1,4)-WEEKDAY(DATE(Semana!$J$3,1,4),3))+($S597-1)*7+IF($M597="",0,MATCH($M597,Listas!$F$5:$F$11,0)-1)))</f>
        <v/>
      </c>
      <c r="X597" s="39" t="str">
        <f aca="false">IF($F597="","",IF(OR($AT597="",$O597=""),0,IF($AT597&lt;=$O597,1,0)))</f>
        <v/>
      </c>
      <c r="Y597" s="39" t="str">
        <f aca="false">IF($F597="","",IF(OR($AT597="",$W597=""),0,IF($AT597&lt;=$W597,1,0)))</f>
        <v/>
      </c>
      <c r="Z597" s="39" t="str">
        <f aca="false">IF(OR($AT597="",$O597=""),"",MAX(0,$AT597-$O597))</f>
        <v/>
      </c>
      <c r="AA597" s="39" t="str">
        <f aca="false">IF($F597="","",IF(AND($S597&lt;&gt;"",$L597&lt;&gt;"",$S597&lt;&gt;$L597),1,0))</f>
        <v/>
      </c>
      <c r="AB597" s="39" t="str">
        <f aca="false">IF($F597="","",IF($R597="Cancelada",0,IF(OR($AT597&lt;&gt;"",$R597="Concluída"),1,0)))</f>
        <v/>
      </c>
      <c r="AC597" s="39" t="n">
        <f aca="false">IF($P597="",0,IF($P597&lt;Hoje!$L$1,1,IF(AND($P597=Hoje!$L$1,Hoje!$L$2&gt;Semana!$M$3),1,0)))</f>
        <v>0</v>
      </c>
      <c r="AD597" s="39" t="str">
        <f aca="false">IF($F597="","",IF(COUNTA($I597:$K597)=0,0,1/COUNTA($I597:$K597)))</f>
        <v/>
      </c>
      <c r="AE597" s="39" t="str">
        <f aca="false">IF($AH597=0,"",SUM($AH$4:$AH597))</f>
        <v/>
      </c>
      <c r="AF597" s="39" t="str">
        <f aca="false">IF($AI597=0,"",SUM($AI$4:$AI597))</f>
        <v/>
      </c>
      <c r="AG597" s="50" t="str">
        <f aca="false">IF($F597="","",$I597&amp;IF($J597="",""," · "&amp;$J597)&amp;IF($K597="",""," · "&amp;$K597))</f>
        <v/>
      </c>
      <c r="AH597" s="39" t="n">
        <f aca="false">IF(AND($F597&lt;&gt;"",$O597&lt;&gt;"",$O597&lt;=Hoje!$C$3,$P597&gt;=Hoje!$C$3,$R597&lt;&gt;"Cancelada"),1,0)</f>
        <v>0</v>
      </c>
      <c r="AI597" s="39" t="n">
        <f aca="false">IF(AND($F597&lt;&gt;"",$P597&lt;&gt;"",$P597&lt;Hoje!$C$3,$AB597=0,$R597&lt;&gt;"Cancelada"),1,0)</f>
        <v>0</v>
      </c>
      <c r="AJ597" s="50" t="str">
        <f aca="false">IF($F597="","",$D597&amp;"|"&amp;$E597&amp;"|"&amp;$L597)</f>
        <v/>
      </c>
      <c r="AK597" s="39" t="str">
        <f aca="false">IF($AJ597="","",COUNTIF($AJ$4:$AJ597,$AJ597))</f>
        <v/>
      </c>
      <c r="AL597" s="39" t="str">
        <f aca="false">IF($AJ597="","",COUNTIF($AJ$4:$AJ$1004,$AJ597))</f>
        <v/>
      </c>
      <c r="AM597" s="42"/>
      <c r="AN597" s="50" t="str">
        <f aca="false">IF($D597="","",IFERROR(T(VLOOKUP($D597,Listas!$B$5:$H$120,7,0)),""))</f>
        <v/>
      </c>
      <c r="AO597" s="50" t="str">
        <f aca="false">IF(OR($F597="",$L597&lt;&gt;"",$R597="Cancelada",$AT597&lt;&gt;""),"",$AN597&amp;"|"&amp;$D597&amp;"|"&amp;IF($C597="","zzz",$C597)&amp;"|"&amp;TEXT(597,"0000"))</f>
        <v/>
      </c>
      <c r="AP597" s="50" t="str">
        <f aca="false">IF($AO597="","",COUNTIF($AO$5:$AO$1004,"&lt;"&amp;$AO597)-(ROWS($AO$5:$AO$1004)-Hoje!$L$5)+1)</f>
        <v/>
      </c>
      <c r="AQ597" s="50" t="n">
        <f aca="false">IF(AND($F597&lt;&gt;"",$D597=Frota!$C$3),1,0)</f>
        <v>0</v>
      </c>
      <c r="AR597" s="50" t="str">
        <f aca="false">IF($AQ597=0,"",SUM($AQ$4:$AQ597))</f>
        <v/>
      </c>
      <c r="AS597" s="50" t="str">
        <f aca="false">IFERROR(INDEX(Hoje!$K$10:$K$29,MATCH(ROW(),Hoje!$J$10:$J$29,0)),"")</f>
        <v/>
      </c>
      <c r="AT597" s="50" t="str">
        <f aca="false">IF($Q597&lt;&gt;"",$Q597,$AS597)</f>
        <v/>
      </c>
    </row>
    <row r="598" customFormat="false" ht="16.5" hidden="false" customHeight="true" outlineLevel="0" collapsed="false">
      <c r="A598" s="39" t="str">
        <f aca="false">IF($F598="","",ROW())</f>
        <v/>
      </c>
      <c r="B598" s="40" t="str">
        <f aca="false">IF($F598="",IF($D598="","","Falta a atividade"),IF($R598="Cancelada","Cancelada",IF($AB598=1,IF(N($Z598)&gt;0,"Concluída com atraso","Concluída"),IF($R598="Em programação","Em programação",IF($O598="",IF($M598="","Na carteira","Falta a semana"),IF($AC598=1,"VENCIDA",IF($O598&gt;Hoje!$L$1,"Programada",IF($P598&gt;Hoje!$L$1,"Em execução","Fecha hoje"))))))))</f>
        <v/>
      </c>
      <c r="C598" s="41"/>
      <c r="D598" s="42"/>
      <c r="E598" s="42"/>
      <c r="F598" s="42"/>
      <c r="G598" s="43"/>
      <c r="H598" s="43"/>
      <c r="I598" s="44"/>
      <c r="J598" s="44"/>
      <c r="K598" s="44"/>
      <c r="L598" s="45"/>
      <c r="M598" s="46"/>
      <c r="N598" s="45"/>
      <c r="O598" s="47" t="str">
        <f aca="false">IF(OR($L598="",$M598=""),"",(DATE(Semana!$J$3,1,4)-WEEKDAY(DATE(Semana!$J$3,1,4),3))+($L598-1)*7+MATCH($M598,Listas!$F$5:$F$11,0)-1)</f>
        <v/>
      </c>
      <c r="P598" s="47" t="str">
        <f aca="false">IF(OR($F598="",$O598=""),"",$O598+MAX(0,ROUNDUP($AK598*MAX(1,IF($N598="",1,$N598))/MAX(1,$AL598),0)-1))</f>
        <v/>
      </c>
      <c r="Q598" s="48"/>
      <c r="R598" s="43"/>
      <c r="S598" s="49"/>
      <c r="T598" s="42"/>
      <c r="U598" s="42"/>
      <c r="V598" s="39" t="str">
        <f aca="false">IF($F598="","",IF(ISNUMBER(SEARCH("(externo)",$I598&amp;$J598&amp;$K598)),"Terceirizada","Interna"))</f>
        <v/>
      </c>
      <c r="W598" s="47" t="str">
        <f aca="false">IF($O598="","",IF($S598="",$O598,(DATE(Semana!$J$3,1,4)-WEEKDAY(DATE(Semana!$J$3,1,4),3))+($S598-1)*7+IF($M598="",0,MATCH($M598,Listas!$F$5:$F$11,0)-1)))</f>
        <v/>
      </c>
      <c r="X598" s="39" t="str">
        <f aca="false">IF($F598="","",IF(OR($AT598="",$O598=""),0,IF($AT598&lt;=$O598,1,0)))</f>
        <v/>
      </c>
      <c r="Y598" s="39" t="str">
        <f aca="false">IF($F598="","",IF(OR($AT598="",$W598=""),0,IF($AT598&lt;=$W598,1,0)))</f>
        <v/>
      </c>
      <c r="Z598" s="39" t="str">
        <f aca="false">IF(OR($AT598="",$O598=""),"",MAX(0,$AT598-$O598))</f>
        <v/>
      </c>
      <c r="AA598" s="39" t="str">
        <f aca="false">IF($F598="","",IF(AND($S598&lt;&gt;"",$L598&lt;&gt;"",$S598&lt;&gt;$L598),1,0))</f>
        <v/>
      </c>
      <c r="AB598" s="39" t="str">
        <f aca="false">IF($F598="","",IF($R598="Cancelada",0,IF(OR($AT598&lt;&gt;"",$R598="Concluída"),1,0)))</f>
        <v/>
      </c>
      <c r="AC598" s="39" t="n">
        <f aca="false">IF($P598="",0,IF($P598&lt;Hoje!$L$1,1,IF(AND($P598=Hoje!$L$1,Hoje!$L$2&gt;Semana!$M$3),1,0)))</f>
        <v>0</v>
      </c>
      <c r="AD598" s="39" t="str">
        <f aca="false">IF($F598="","",IF(COUNTA($I598:$K598)=0,0,1/COUNTA($I598:$K598)))</f>
        <v/>
      </c>
      <c r="AE598" s="39" t="str">
        <f aca="false">IF($AH598=0,"",SUM($AH$4:$AH598))</f>
        <v/>
      </c>
      <c r="AF598" s="39" t="str">
        <f aca="false">IF($AI598=0,"",SUM($AI$4:$AI598))</f>
        <v/>
      </c>
      <c r="AG598" s="50" t="str">
        <f aca="false">IF($F598="","",$I598&amp;IF($J598="",""," · "&amp;$J598)&amp;IF($K598="",""," · "&amp;$K598))</f>
        <v/>
      </c>
      <c r="AH598" s="39" t="n">
        <f aca="false">IF(AND($F598&lt;&gt;"",$O598&lt;&gt;"",$O598&lt;=Hoje!$C$3,$P598&gt;=Hoje!$C$3,$R598&lt;&gt;"Cancelada"),1,0)</f>
        <v>0</v>
      </c>
      <c r="AI598" s="39" t="n">
        <f aca="false">IF(AND($F598&lt;&gt;"",$P598&lt;&gt;"",$P598&lt;Hoje!$C$3,$AB598=0,$R598&lt;&gt;"Cancelada"),1,0)</f>
        <v>0</v>
      </c>
      <c r="AJ598" s="50" t="str">
        <f aca="false">IF($F598="","",$D598&amp;"|"&amp;$E598&amp;"|"&amp;$L598)</f>
        <v/>
      </c>
      <c r="AK598" s="39" t="str">
        <f aca="false">IF($AJ598="","",COUNTIF($AJ$4:$AJ598,$AJ598))</f>
        <v/>
      </c>
      <c r="AL598" s="39" t="str">
        <f aca="false">IF($AJ598="","",COUNTIF($AJ$4:$AJ$1004,$AJ598))</f>
        <v/>
      </c>
      <c r="AM598" s="42"/>
      <c r="AN598" s="50" t="str">
        <f aca="false">IF($D598="","",IFERROR(T(VLOOKUP($D598,Listas!$B$5:$H$120,7,0)),""))</f>
        <v/>
      </c>
      <c r="AO598" s="50" t="str">
        <f aca="false">IF(OR($F598="",$L598&lt;&gt;"",$R598="Cancelada",$AT598&lt;&gt;""),"",$AN598&amp;"|"&amp;$D598&amp;"|"&amp;IF($C598="","zzz",$C598)&amp;"|"&amp;TEXT(598,"0000"))</f>
        <v/>
      </c>
      <c r="AP598" s="50" t="str">
        <f aca="false">IF($AO598="","",COUNTIF($AO$5:$AO$1004,"&lt;"&amp;$AO598)-(ROWS($AO$5:$AO$1004)-Hoje!$L$5)+1)</f>
        <v/>
      </c>
      <c r="AQ598" s="50" t="n">
        <f aca="false">IF(AND($F598&lt;&gt;"",$D598=Frota!$C$3),1,0)</f>
        <v>0</v>
      </c>
      <c r="AR598" s="50" t="str">
        <f aca="false">IF($AQ598=0,"",SUM($AQ$4:$AQ598))</f>
        <v/>
      </c>
      <c r="AS598" s="50" t="str">
        <f aca="false">IFERROR(INDEX(Hoje!$K$10:$K$29,MATCH(ROW(),Hoje!$J$10:$J$29,0)),"")</f>
        <v/>
      </c>
      <c r="AT598" s="50" t="str">
        <f aca="false">IF($Q598&lt;&gt;"",$Q598,$AS598)</f>
        <v/>
      </c>
    </row>
    <row r="599" customFormat="false" ht="16.5" hidden="false" customHeight="true" outlineLevel="0" collapsed="false">
      <c r="A599" s="39" t="str">
        <f aca="false">IF($F599="","",ROW())</f>
        <v/>
      </c>
      <c r="B599" s="40" t="str">
        <f aca="false">IF($F599="",IF($D599="","","Falta a atividade"),IF($R599="Cancelada","Cancelada",IF($AB599=1,IF(N($Z599)&gt;0,"Concluída com atraso","Concluída"),IF($R599="Em programação","Em programação",IF($O599="",IF($M599="","Na carteira","Falta a semana"),IF($AC599=1,"VENCIDA",IF($O599&gt;Hoje!$L$1,"Programada",IF($P599&gt;Hoje!$L$1,"Em execução","Fecha hoje"))))))))</f>
        <v/>
      </c>
      <c r="C599" s="41"/>
      <c r="D599" s="42"/>
      <c r="E599" s="42"/>
      <c r="F599" s="42"/>
      <c r="G599" s="43"/>
      <c r="H599" s="43"/>
      <c r="I599" s="44"/>
      <c r="J599" s="44"/>
      <c r="K599" s="44"/>
      <c r="L599" s="45"/>
      <c r="M599" s="46"/>
      <c r="N599" s="45"/>
      <c r="O599" s="47" t="str">
        <f aca="false">IF(OR($L599="",$M599=""),"",(DATE(Semana!$J$3,1,4)-WEEKDAY(DATE(Semana!$J$3,1,4),3))+($L599-1)*7+MATCH($M599,Listas!$F$5:$F$11,0)-1)</f>
        <v/>
      </c>
      <c r="P599" s="47" t="str">
        <f aca="false">IF(OR($F599="",$O599=""),"",$O599+MAX(0,ROUNDUP($AK599*MAX(1,IF($N599="",1,$N599))/MAX(1,$AL599),0)-1))</f>
        <v/>
      </c>
      <c r="Q599" s="48"/>
      <c r="R599" s="43"/>
      <c r="S599" s="49"/>
      <c r="T599" s="42"/>
      <c r="U599" s="42"/>
      <c r="V599" s="39" t="str">
        <f aca="false">IF($F599="","",IF(ISNUMBER(SEARCH("(externo)",$I599&amp;$J599&amp;$K599)),"Terceirizada","Interna"))</f>
        <v/>
      </c>
      <c r="W599" s="47" t="str">
        <f aca="false">IF($O599="","",IF($S599="",$O599,(DATE(Semana!$J$3,1,4)-WEEKDAY(DATE(Semana!$J$3,1,4),3))+($S599-1)*7+IF($M599="",0,MATCH($M599,Listas!$F$5:$F$11,0)-1)))</f>
        <v/>
      </c>
      <c r="X599" s="39" t="str">
        <f aca="false">IF($F599="","",IF(OR($AT599="",$O599=""),0,IF($AT599&lt;=$O599,1,0)))</f>
        <v/>
      </c>
      <c r="Y599" s="39" t="str">
        <f aca="false">IF($F599="","",IF(OR($AT599="",$W599=""),0,IF($AT599&lt;=$W599,1,0)))</f>
        <v/>
      </c>
      <c r="Z599" s="39" t="str">
        <f aca="false">IF(OR($AT599="",$O599=""),"",MAX(0,$AT599-$O599))</f>
        <v/>
      </c>
      <c r="AA599" s="39" t="str">
        <f aca="false">IF($F599="","",IF(AND($S599&lt;&gt;"",$L599&lt;&gt;"",$S599&lt;&gt;$L599),1,0))</f>
        <v/>
      </c>
      <c r="AB599" s="39" t="str">
        <f aca="false">IF($F599="","",IF($R599="Cancelada",0,IF(OR($AT599&lt;&gt;"",$R599="Concluída"),1,0)))</f>
        <v/>
      </c>
      <c r="AC599" s="39" t="n">
        <f aca="false">IF($P599="",0,IF($P599&lt;Hoje!$L$1,1,IF(AND($P599=Hoje!$L$1,Hoje!$L$2&gt;Semana!$M$3),1,0)))</f>
        <v>0</v>
      </c>
      <c r="AD599" s="39" t="str">
        <f aca="false">IF($F599="","",IF(COUNTA($I599:$K599)=0,0,1/COUNTA($I599:$K599)))</f>
        <v/>
      </c>
      <c r="AE599" s="39" t="str">
        <f aca="false">IF($AH599=0,"",SUM($AH$4:$AH599))</f>
        <v/>
      </c>
      <c r="AF599" s="39" t="str">
        <f aca="false">IF($AI599=0,"",SUM($AI$4:$AI599))</f>
        <v/>
      </c>
      <c r="AG599" s="50" t="str">
        <f aca="false">IF($F599="","",$I599&amp;IF($J599="",""," · "&amp;$J599)&amp;IF($K599="",""," · "&amp;$K599))</f>
        <v/>
      </c>
      <c r="AH599" s="39" t="n">
        <f aca="false">IF(AND($F599&lt;&gt;"",$O599&lt;&gt;"",$O599&lt;=Hoje!$C$3,$P599&gt;=Hoje!$C$3,$R599&lt;&gt;"Cancelada"),1,0)</f>
        <v>0</v>
      </c>
      <c r="AI599" s="39" t="n">
        <f aca="false">IF(AND($F599&lt;&gt;"",$P599&lt;&gt;"",$P599&lt;Hoje!$C$3,$AB599=0,$R599&lt;&gt;"Cancelada"),1,0)</f>
        <v>0</v>
      </c>
      <c r="AJ599" s="50" t="str">
        <f aca="false">IF($F599="","",$D599&amp;"|"&amp;$E599&amp;"|"&amp;$L599)</f>
        <v/>
      </c>
      <c r="AK599" s="39" t="str">
        <f aca="false">IF($AJ599="","",COUNTIF($AJ$4:$AJ599,$AJ599))</f>
        <v/>
      </c>
      <c r="AL599" s="39" t="str">
        <f aca="false">IF($AJ599="","",COUNTIF($AJ$4:$AJ$1004,$AJ599))</f>
        <v/>
      </c>
      <c r="AM599" s="42"/>
      <c r="AN599" s="50" t="str">
        <f aca="false">IF($D599="","",IFERROR(T(VLOOKUP($D599,Listas!$B$5:$H$120,7,0)),""))</f>
        <v/>
      </c>
      <c r="AO599" s="50" t="str">
        <f aca="false">IF(OR($F599="",$L599&lt;&gt;"",$R599="Cancelada",$AT599&lt;&gt;""),"",$AN599&amp;"|"&amp;$D599&amp;"|"&amp;IF($C599="","zzz",$C599)&amp;"|"&amp;TEXT(599,"0000"))</f>
        <v/>
      </c>
      <c r="AP599" s="50" t="str">
        <f aca="false">IF($AO599="","",COUNTIF($AO$5:$AO$1004,"&lt;"&amp;$AO599)-(ROWS($AO$5:$AO$1004)-Hoje!$L$5)+1)</f>
        <v/>
      </c>
      <c r="AQ599" s="50" t="n">
        <f aca="false">IF(AND($F599&lt;&gt;"",$D599=Frota!$C$3),1,0)</f>
        <v>0</v>
      </c>
      <c r="AR599" s="50" t="str">
        <f aca="false">IF($AQ599=0,"",SUM($AQ$4:$AQ599))</f>
        <v/>
      </c>
      <c r="AS599" s="50" t="str">
        <f aca="false">IFERROR(INDEX(Hoje!$K$10:$K$29,MATCH(ROW(),Hoje!$J$10:$J$29,0)),"")</f>
        <v/>
      </c>
      <c r="AT599" s="50" t="str">
        <f aca="false">IF($Q599&lt;&gt;"",$Q599,$AS599)</f>
        <v/>
      </c>
    </row>
    <row r="600" customFormat="false" ht="16.5" hidden="false" customHeight="true" outlineLevel="0" collapsed="false">
      <c r="A600" s="39" t="str">
        <f aca="false">IF($F600="","",ROW())</f>
        <v/>
      </c>
      <c r="B600" s="40" t="str">
        <f aca="false">IF($F600="",IF($D600="","","Falta a atividade"),IF($R600="Cancelada","Cancelada",IF($AB600=1,IF(N($Z600)&gt;0,"Concluída com atraso","Concluída"),IF($R600="Em programação","Em programação",IF($O600="",IF($M600="","Na carteira","Falta a semana"),IF($AC600=1,"VENCIDA",IF($O600&gt;Hoje!$L$1,"Programada",IF($P600&gt;Hoje!$L$1,"Em execução","Fecha hoje"))))))))</f>
        <v/>
      </c>
      <c r="C600" s="41"/>
      <c r="D600" s="42"/>
      <c r="E600" s="42"/>
      <c r="F600" s="42"/>
      <c r="G600" s="43"/>
      <c r="H600" s="43"/>
      <c r="I600" s="44"/>
      <c r="J600" s="44"/>
      <c r="K600" s="44"/>
      <c r="L600" s="45"/>
      <c r="M600" s="46"/>
      <c r="N600" s="45"/>
      <c r="O600" s="47" t="str">
        <f aca="false">IF(OR($L600="",$M600=""),"",(DATE(Semana!$J$3,1,4)-WEEKDAY(DATE(Semana!$J$3,1,4),3))+($L600-1)*7+MATCH($M600,Listas!$F$5:$F$11,0)-1)</f>
        <v/>
      </c>
      <c r="P600" s="47" t="str">
        <f aca="false">IF(OR($F600="",$O600=""),"",$O600+MAX(0,ROUNDUP($AK600*MAX(1,IF($N600="",1,$N600))/MAX(1,$AL600),0)-1))</f>
        <v/>
      </c>
      <c r="Q600" s="48"/>
      <c r="R600" s="43"/>
      <c r="S600" s="49"/>
      <c r="T600" s="42"/>
      <c r="U600" s="42"/>
      <c r="V600" s="39" t="str">
        <f aca="false">IF($F600="","",IF(ISNUMBER(SEARCH("(externo)",$I600&amp;$J600&amp;$K600)),"Terceirizada","Interna"))</f>
        <v/>
      </c>
      <c r="W600" s="47" t="str">
        <f aca="false">IF($O600="","",IF($S600="",$O600,(DATE(Semana!$J$3,1,4)-WEEKDAY(DATE(Semana!$J$3,1,4),3))+($S600-1)*7+IF($M600="",0,MATCH($M600,Listas!$F$5:$F$11,0)-1)))</f>
        <v/>
      </c>
      <c r="X600" s="39" t="str">
        <f aca="false">IF($F600="","",IF(OR($AT600="",$O600=""),0,IF($AT600&lt;=$O600,1,0)))</f>
        <v/>
      </c>
      <c r="Y600" s="39" t="str">
        <f aca="false">IF($F600="","",IF(OR($AT600="",$W600=""),0,IF($AT600&lt;=$W600,1,0)))</f>
        <v/>
      </c>
      <c r="Z600" s="39" t="str">
        <f aca="false">IF(OR($AT600="",$O600=""),"",MAX(0,$AT600-$O600))</f>
        <v/>
      </c>
      <c r="AA600" s="39" t="str">
        <f aca="false">IF($F600="","",IF(AND($S600&lt;&gt;"",$L600&lt;&gt;"",$S600&lt;&gt;$L600),1,0))</f>
        <v/>
      </c>
      <c r="AB600" s="39" t="str">
        <f aca="false">IF($F600="","",IF($R600="Cancelada",0,IF(OR($AT600&lt;&gt;"",$R600="Concluída"),1,0)))</f>
        <v/>
      </c>
      <c r="AC600" s="39" t="n">
        <f aca="false">IF($P600="",0,IF($P600&lt;Hoje!$L$1,1,IF(AND($P600=Hoje!$L$1,Hoje!$L$2&gt;Semana!$M$3),1,0)))</f>
        <v>0</v>
      </c>
      <c r="AD600" s="39" t="str">
        <f aca="false">IF($F600="","",IF(COUNTA($I600:$K600)=0,0,1/COUNTA($I600:$K600)))</f>
        <v/>
      </c>
      <c r="AE600" s="39" t="str">
        <f aca="false">IF($AH600=0,"",SUM($AH$4:$AH600))</f>
        <v/>
      </c>
      <c r="AF600" s="39" t="str">
        <f aca="false">IF($AI600=0,"",SUM($AI$4:$AI600))</f>
        <v/>
      </c>
      <c r="AG600" s="50" t="str">
        <f aca="false">IF($F600="","",$I600&amp;IF($J600="",""," · "&amp;$J600)&amp;IF($K600="",""," · "&amp;$K600))</f>
        <v/>
      </c>
      <c r="AH600" s="39" t="n">
        <f aca="false">IF(AND($F600&lt;&gt;"",$O600&lt;&gt;"",$O600&lt;=Hoje!$C$3,$P600&gt;=Hoje!$C$3,$R600&lt;&gt;"Cancelada"),1,0)</f>
        <v>0</v>
      </c>
      <c r="AI600" s="39" t="n">
        <f aca="false">IF(AND($F600&lt;&gt;"",$P600&lt;&gt;"",$P600&lt;Hoje!$C$3,$AB600=0,$R600&lt;&gt;"Cancelada"),1,0)</f>
        <v>0</v>
      </c>
      <c r="AJ600" s="50" t="str">
        <f aca="false">IF($F600="","",$D600&amp;"|"&amp;$E600&amp;"|"&amp;$L600)</f>
        <v/>
      </c>
      <c r="AK600" s="39" t="str">
        <f aca="false">IF($AJ600="","",COUNTIF($AJ$4:$AJ600,$AJ600))</f>
        <v/>
      </c>
      <c r="AL600" s="39" t="str">
        <f aca="false">IF($AJ600="","",COUNTIF($AJ$4:$AJ$1004,$AJ600))</f>
        <v/>
      </c>
      <c r="AM600" s="42"/>
      <c r="AN600" s="50" t="str">
        <f aca="false">IF($D600="","",IFERROR(T(VLOOKUP($D600,Listas!$B$5:$H$120,7,0)),""))</f>
        <v/>
      </c>
      <c r="AO600" s="50" t="str">
        <f aca="false">IF(OR($F600="",$L600&lt;&gt;"",$R600="Cancelada",$AT600&lt;&gt;""),"",$AN600&amp;"|"&amp;$D600&amp;"|"&amp;IF($C600="","zzz",$C600)&amp;"|"&amp;TEXT(600,"0000"))</f>
        <v/>
      </c>
      <c r="AP600" s="50" t="str">
        <f aca="false">IF($AO600="","",COUNTIF($AO$5:$AO$1004,"&lt;"&amp;$AO600)-(ROWS($AO$5:$AO$1004)-Hoje!$L$5)+1)</f>
        <v/>
      </c>
      <c r="AQ600" s="50" t="n">
        <f aca="false">IF(AND($F600&lt;&gt;"",$D600=Frota!$C$3),1,0)</f>
        <v>0</v>
      </c>
      <c r="AR600" s="50" t="str">
        <f aca="false">IF($AQ600=0,"",SUM($AQ$4:$AQ600))</f>
        <v/>
      </c>
      <c r="AS600" s="50" t="str">
        <f aca="false">IFERROR(INDEX(Hoje!$K$10:$K$29,MATCH(ROW(),Hoje!$J$10:$J$29,0)),"")</f>
        <v/>
      </c>
      <c r="AT600" s="50" t="str">
        <f aca="false">IF($Q600&lt;&gt;"",$Q600,$AS600)</f>
        <v/>
      </c>
    </row>
    <row r="601" customFormat="false" ht="16.5" hidden="false" customHeight="true" outlineLevel="0" collapsed="false">
      <c r="A601" s="39" t="str">
        <f aca="false">IF($F601="","",ROW())</f>
        <v/>
      </c>
      <c r="B601" s="40" t="str">
        <f aca="false">IF($F601="",IF($D601="","","Falta a atividade"),IF($R601="Cancelada","Cancelada",IF($AB601=1,IF(N($Z601)&gt;0,"Concluída com atraso","Concluída"),IF($R601="Em programação","Em programação",IF($O601="",IF($M601="","Na carteira","Falta a semana"),IF($AC601=1,"VENCIDA",IF($O601&gt;Hoje!$L$1,"Programada",IF($P601&gt;Hoje!$L$1,"Em execução","Fecha hoje"))))))))</f>
        <v/>
      </c>
      <c r="C601" s="41"/>
      <c r="D601" s="42"/>
      <c r="E601" s="42"/>
      <c r="F601" s="42"/>
      <c r="G601" s="43"/>
      <c r="H601" s="43"/>
      <c r="I601" s="44"/>
      <c r="J601" s="44"/>
      <c r="K601" s="44"/>
      <c r="L601" s="45"/>
      <c r="M601" s="46"/>
      <c r="N601" s="45"/>
      <c r="O601" s="47" t="str">
        <f aca="false">IF(OR($L601="",$M601=""),"",(DATE(Semana!$J$3,1,4)-WEEKDAY(DATE(Semana!$J$3,1,4),3))+($L601-1)*7+MATCH($M601,Listas!$F$5:$F$11,0)-1)</f>
        <v/>
      </c>
      <c r="P601" s="47" t="str">
        <f aca="false">IF(OR($F601="",$O601=""),"",$O601+MAX(0,ROUNDUP($AK601*MAX(1,IF($N601="",1,$N601))/MAX(1,$AL601),0)-1))</f>
        <v/>
      </c>
      <c r="Q601" s="48"/>
      <c r="R601" s="43"/>
      <c r="S601" s="49"/>
      <c r="T601" s="42"/>
      <c r="U601" s="42"/>
      <c r="V601" s="39" t="str">
        <f aca="false">IF($F601="","",IF(ISNUMBER(SEARCH("(externo)",$I601&amp;$J601&amp;$K601)),"Terceirizada","Interna"))</f>
        <v/>
      </c>
      <c r="W601" s="47" t="str">
        <f aca="false">IF($O601="","",IF($S601="",$O601,(DATE(Semana!$J$3,1,4)-WEEKDAY(DATE(Semana!$J$3,1,4),3))+($S601-1)*7+IF($M601="",0,MATCH($M601,Listas!$F$5:$F$11,0)-1)))</f>
        <v/>
      </c>
      <c r="X601" s="39" t="str">
        <f aca="false">IF($F601="","",IF(OR($AT601="",$O601=""),0,IF($AT601&lt;=$O601,1,0)))</f>
        <v/>
      </c>
      <c r="Y601" s="39" t="str">
        <f aca="false">IF($F601="","",IF(OR($AT601="",$W601=""),0,IF($AT601&lt;=$W601,1,0)))</f>
        <v/>
      </c>
      <c r="Z601" s="39" t="str">
        <f aca="false">IF(OR($AT601="",$O601=""),"",MAX(0,$AT601-$O601))</f>
        <v/>
      </c>
      <c r="AA601" s="39" t="str">
        <f aca="false">IF($F601="","",IF(AND($S601&lt;&gt;"",$L601&lt;&gt;"",$S601&lt;&gt;$L601),1,0))</f>
        <v/>
      </c>
      <c r="AB601" s="39" t="str">
        <f aca="false">IF($F601="","",IF($R601="Cancelada",0,IF(OR($AT601&lt;&gt;"",$R601="Concluída"),1,0)))</f>
        <v/>
      </c>
      <c r="AC601" s="39" t="n">
        <f aca="false">IF($P601="",0,IF($P601&lt;Hoje!$L$1,1,IF(AND($P601=Hoje!$L$1,Hoje!$L$2&gt;Semana!$M$3),1,0)))</f>
        <v>0</v>
      </c>
      <c r="AD601" s="39" t="str">
        <f aca="false">IF($F601="","",IF(COUNTA($I601:$K601)=0,0,1/COUNTA($I601:$K601)))</f>
        <v/>
      </c>
      <c r="AE601" s="39" t="str">
        <f aca="false">IF($AH601=0,"",SUM($AH$4:$AH601))</f>
        <v/>
      </c>
      <c r="AF601" s="39" t="str">
        <f aca="false">IF($AI601=0,"",SUM($AI$4:$AI601))</f>
        <v/>
      </c>
      <c r="AG601" s="50" t="str">
        <f aca="false">IF($F601="","",$I601&amp;IF($J601="",""," · "&amp;$J601)&amp;IF($K601="",""," · "&amp;$K601))</f>
        <v/>
      </c>
      <c r="AH601" s="39" t="n">
        <f aca="false">IF(AND($F601&lt;&gt;"",$O601&lt;&gt;"",$O601&lt;=Hoje!$C$3,$P601&gt;=Hoje!$C$3,$R601&lt;&gt;"Cancelada"),1,0)</f>
        <v>0</v>
      </c>
      <c r="AI601" s="39" t="n">
        <f aca="false">IF(AND($F601&lt;&gt;"",$P601&lt;&gt;"",$P601&lt;Hoje!$C$3,$AB601=0,$R601&lt;&gt;"Cancelada"),1,0)</f>
        <v>0</v>
      </c>
      <c r="AJ601" s="50" t="str">
        <f aca="false">IF($F601="","",$D601&amp;"|"&amp;$E601&amp;"|"&amp;$L601)</f>
        <v/>
      </c>
      <c r="AK601" s="39" t="str">
        <f aca="false">IF($AJ601="","",COUNTIF($AJ$4:$AJ601,$AJ601))</f>
        <v/>
      </c>
      <c r="AL601" s="39" t="str">
        <f aca="false">IF($AJ601="","",COUNTIF($AJ$4:$AJ$1004,$AJ601))</f>
        <v/>
      </c>
      <c r="AM601" s="42"/>
      <c r="AN601" s="50" t="str">
        <f aca="false">IF($D601="","",IFERROR(T(VLOOKUP($D601,Listas!$B$5:$H$120,7,0)),""))</f>
        <v/>
      </c>
      <c r="AO601" s="50" t="str">
        <f aca="false">IF(OR($F601="",$L601&lt;&gt;"",$R601="Cancelada",$AT601&lt;&gt;""),"",$AN601&amp;"|"&amp;$D601&amp;"|"&amp;IF($C601="","zzz",$C601)&amp;"|"&amp;TEXT(601,"0000"))</f>
        <v/>
      </c>
      <c r="AP601" s="50" t="str">
        <f aca="false">IF($AO601="","",COUNTIF($AO$5:$AO$1004,"&lt;"&amp;$AO601)-(ROWS($AO$5:$AO$1004)-Hoje!$L$5)+1)</f>
        <v/>
      </c>
      <c r="AQ601" s="50" t="n">
        <f aca="false">IF(AND($F601&lt;&gt;"",$D601=Frota!$C$3),1,0)</f>
        <v>0</v>
      </c>
      <c r="AR601" s="50" t="str">
        <f aca="false">IF($AQ601=0,"",SUM($AQ$4:$AQ601))</f>
        <v/>
      </c>
      <c r="AS601" s="50" t="str">
        <f aca="false">IFERROR(INDEX(Hoje!$K$10:$K$29,MATCH(ROW(),Hoje!$J$10:$J$29,0)),"")</f>
        <v/>
      </c>
      <c r="AT601" s="50" t="str">
        <f aca="false">IF($Q601&lt;&gt;"",$Q601,$AS601)</f>
        <v/>
      </c>
    </row>
    <row r="602" customFormat="false" ht="16.5" hidden="false" customHeight="true" outlineLevel="0" collapsed="false">
      <c r="A602" s="39" t="str">
        <f aca="false">IF($F602="","",ROW())</f>
        <v/>
      </c>
      <c r="B602" s="40" t="str">
        <f aca="false">IF($F602="",IF($D602="","","Falta a atividade"),IF($R602="Cancelada","Cancelada",IF($AB602=1,IF(N($Z602)&gt;0,"Concluída com atraso","Concluída"),IF($R602="Em programação","Em programação",IF($O602="",IF($M602="","Na carteira","Falta a semana"),IF($AC602=1,"VENCIDA",IF($O602&gt;Hoje!$L$1,"Programada",IF($P602&gt;Hoje!$L$1,"Em execução","Fecha hoje"))))))))</f>
        <v/>
      </c>
      <c r="C602" s="41"/>
      <c r="D602" s="42"/>
      <c r="E602" s="42"/>
      <c r="F602" s="42"/>
      <c r="G602" s="43"/>
      <c r="H602" s="43"/>
      <c r="I602" s="44"/>
      <c r="J602" s="44"/>
      <c r="K602" s="44"/>
      <c r="L602" s="45"/>
      <c r="M602" s="46"/>
      <c r="N602" s="45"/>
      <c r="O602" s="47" t="str">
        <f aca="false">IF(OR($L602="",$M602=""),"",(DATE(Semana!$J$3,1,4)-WEEKDAY(DATE(Semana!$J$3,1,4),3))+($L602-1)*7+MATCH($M602,Listas!$F$5:$F$11,0)-1)</f>
        <v/>
      </c>
      <c r="P602" s="47" t="str">
        <f aca="false">IF(OR($F602="",$O602=""),"",$O602+MAX(0,ROUNDUP($AK602*MAX(1,IF($N602="",1,$N602))/MAX(1,$AL602),0)-1))</f>
        <v/>
      </c>
      <c r="Q602" s="48"/>
      <c r="R602" s="43"/>
      <c r="S602" s="49"/>
      <c r="T602" s="42"/>
      <c r="U602" s="42"/>
      <c r="V602" s="39" t="str">
        <f aca="false">IF($F602="","",IF(ISNUMBER(SEARCH("(externo)",$I602&amp;$J602&amp;$K602)),"Terceirizada","Interna"))</f>
        <v/>
      </c>
      <c r="W602" s="47" t="str">
        <f aca="false">IF($O602="","",IF($S602="",$O602,(DATE(Semana!$J$3,1,4)-WEEKDAY(DATE(Semana!$J$3,1,4),3))+($S602-1)*7+IF($M602="",0,MATCH($M602,Listas!$F$5:$F$11,0)-1)))</f>
        <v/>
      </c>
      <c r="X602" s="39" t="str">
        <f aca="false">IF($F602="","",IF(OR($AT602="",$O602=""),0,IF($AT602&lt;=$O602,1,0)))</f>
        <v/>
      </c>
      <c r="Y602" s="39" t="str">
        <f aca="false">IF($F602="","",IF(OR($AT602="",$W602=""),0,IF($AT602&lt;=$W602,1,0)))</f>
        <v/>
      </c>
      <c r="Z602" s="39" t="str">
        <f aca="false">IF(OR($AT602="",$O602=""),"",MAX(0,$AT602-$O602))</f>
        <v/>
      </c>
      <c r="AA602" s="39" t="str">
        <f aca="false">IF($F602="","",IF(AND($S602&lt;&gt;"",$L602&lt;&gt;"",$S602&lt;&gt;$L602),1,0))</f>
        <v/>
      </c>
      <c r="AB602" s="39" t="str">
        <f aca="false">IF($F602="","",IF($R602="Cancelada",0,IF(OR($AT602&lt;&gt;"",$R602="Concluída"),1,0)))</f>
        <v/>
      </c>
      <c r="AC602" s="39" t="n">
        <f aca="false">IF($P602="",0,IF($P602&lt;Hoje!$L$1,1,IF(AND($P602=Hoje!$L$1,Hoje!$L$2&gt;Semana!$M$3),1,0)))</f>
        <v>0</v>
      </c>
      <c r="AD602" s="39" t="str">
        <f aca="false">IF($F602="","",IF(COUNTA($I602:$K602)=0,0,1/COUNTA($I602:$K602)))</f>
        <v/>
      </c>
      <c r="AE602" s="39" t="str">
        <f aca="false">IF($AH602=0,"",SUM($AH$4:$AH602))</f>
        <v/>
      </c>
      <c r="AF602" s="39" t="str">
        <f aca="false">IF($AI602=0,"",SUM($AI$4:$AI602))</f>
        <v/>
      </c>
      <c r="AG602" s="50" t="str">
        <f aca="false">IF($F602="","",$I602&amp;IF($J602="",""," · "&amp;$J602)&amp;IF($K602="",""," · "&amp;$K602))</f>
        <v/>
      </c>
      <c r="AH602" s="39" t="n">
        <f aca="false">IF(AND($F602&lt;&gt;"",$O602&lt;&gt;"",$O602&lt;=Hoje!$C$3,$P602&gt;=Hoje!$C$3,$R602&lt;&gt;"Cancelada"),1,0)</f>
        <v>0</v>
      </c>
      <c r="AI602" s="39" t="n">
        <f aca="false">IF(AND($F602&lt;&gt;"",$P602&lt;&gt;"",$P602&lt;Hoje!$C$3,$AB602=0,$R602&lt;&gt;"Cancelada"),1,0)</f>
        <v>0</v>
      </c>
      <c r="AJ602" s="50" t="str">
        <f aca="false">IF($F602="","",$D602&amp;"|"&amp;$E602&amp;"|"&amp;$L602)</f>
        <v/>
      </c>
      <c r="AK602" s="39" t="str">
        <f aca="false">IF($AJ602="","",COUNTIF($AJ$4:$AJ602,$AJ602))</f>
        <v/>
      </c>
      <c r="AL602" s="39" t="str">
        <f aca="false">IF($AJ602="","",COUNTIF($AJ$4:$AJ$1004,$AJ602))</f>
        <v/>
      </c>
      <c r="AM602" s="42"/>
      <c r="AN602" s="50" t="str">
        <f aca="false">IF($D602="","",IFERROR(T(VLOOKUP($D602,Listas!$B$5:$H$120,7,0)),""))</f>
        <v/>
      </c>
      <c r="AO602" s="50" t="str">
        <f aca="false">IF(OR($F602="",$L602&lt;&gt;"",$R602="Cancelada",$AT602&lt;&gt;""),"",$AN602&amp;"|"&amp;$D602&amp;"|"&amp;IF($C602="","zzz",$C602)&amp;"|"&amp;TEXT(602,"0000"))</f>
        <v/>
      </c>
      <c r="AP602" s="50" t="str">
        <f aca="false">IF($AO602="","",COUNTIF($AO$5:$AO$1004,"&lt;"&amp;$AO602)-(ROWS($AO$5:$AO$1004)-Hoje!$L$5)+1)</f>
        <v/>
      </c>
      <c r="AQ602" s="50" t="n">
        <f aca="false">IF(AND($F602&lt;&gt;"",$D602=Frota!$C$3),1,0)</f>
        <v>0</v>
      </c>
      <c r="AR602" s="50" t="str">
        <f aca="false">IF($AQ602=0,"",SUM($AQ$4:$AQ602))</f>
        <v/>
      </c>
      <c r="AS602" s="50" t="str">
        <f aca="false">IFERROR(INDEX(Hoje!$K$10:$K$29,MATCH(ROW(),Hoje!$J$10:$J$29,0)),"")</f>
        <v/>
      </c>
      <c r="AT602" s="50" t="str">
        <f aca="false">IF($Q602&lt;&gt;"",$Q602,$AS602)</f>
        <v/>
      </c>
    </row>
    <row r="603" customFormat="false" ht="16.5" hidden="false" customHeight="true" outlineLevel="0" collapsed="false">
      <c r="A603" s="39" t="str">
        <f aca="false">IF($F603="","",ROW())</f>
        <v/>
      </c>
      <c r="B603" s="40" t="str">
        <f aca="false">IF($F603="",IF($D603="","","Falta a atividade"),IF($R603="Cancelada","Cancelada",IF($AB603=1,IF(N($Z603)&gt;0,"Concluída com atraso","Concluída"),IF($R603="Em programação","Em programação",IF($O603="",IF($M603="","Na carteira","Falta a semana"),IF($AC603=1,"VENCIDA",IF($O603&gt;Hoje!$L$1,"Programada",IF($P603&gt;Hoje!$L$1,"Em execução","Fecha hoje"))))))))</f>
        <v/>
      </c>
      <c r="C603" s="41"/>
      <c r="D603" s="42"/>
      <c r="E603" s="42"/>
      <c r="F603" s="42"/>
      <c r="G603" s="43"/>
      <c r="H603" s="43"/>
      <c r="I603" s="44"/>
      <c r="J603" s="44"/>
      <c r="K603" s="44"/>
      <c r="L603" s="45"/>
      <c r="M603" s="46"/>
      <c r="N603" s="45"/>
      <c r="O603" s="47" t="str">
        <f aca="false">IF(OR($L603="",$M603=""),"",(DATE(Semana!$J$3,1,4)-WEEKDAY(DATE(Semana!$J$3,1,4),3))+($L603-1)*7+MATCH($M603,Listas!$F$5:$F$11,0)-1)</f>
        <v/>
      </c>
      <c r="P603" s="47" t="str">
        <f aca="false">IF(OR($F603="",$O603=""),"",$O603+MAX(0,ROUNDUP($AK603*MAX(1,IF($N603="",1,$N603))/MAX(1,$AL603),0)-1))</f>
        <v/>
      </c>
      <c r="Q603" s="48"/>
      <c r="R603" s="43"/>
      <c r="S603" s="49"/>
      <c r="T603" s="42"/>
      <c r="U603" s="42"/>
      <c r="V603" s="39" t="str">
        <f aca="false">IF($F603="","",IF(ISNUMBER(SEARCH("(externo)",$I603&amp;$J603&amp;$K603)),"Terceirizada","Interna"))</f>
        <v/>
      </c>
      <c r="W603" s="47" t="str">
        <f aca="false">IF($O603="","",IF($S603="",$O603,(DATE(Semana!$J$3,1,4)-WEEKDAY(DATE(Semana!$J$3,1,4),3))+($S603-1)*7+IF($M603="",0,MATCH($M603,Listas!$F$5:$F$11,0)-1)))</f>
        <v/>
      </c>
      <c r="X603" s="39" t="str">
        <f aca="false">IF($F603="","",IF(OR($AT603="",$O603=""),0,IF($AT603&lt;=$O603,1,0)))</f>
        <v/>
      </c>
      <c r="Y603" s="39" t="str">
        <f aca="false">IF($F603="","",IF(OR($AT603="",$W603=""),0,IF($AT603&lt;=$W603,1,0)))</f>
        <v/>
      </c>
      <c r="Z603" s="39" t="str">
        <f aca="false">IF(OR($AT603="",$O603=""),"",MAX(0,$AT603-$O603))</f>
        <v/>
      </c>
      <c r="AA603" s="39" t="str">
        <f aca="false">IF($F603="","",IF(AND($S603&lt;&gt;"",$L603&lt;&gt;"",$S603&lt;&gt;$L603),1,0))</f>
        <v/>
      </c>
      <c r="AB603" s="39" t="str">
        <f aca="false">IF($F603="","",IF($R603="Cancelada",0,IF(OR($AT603&lt;&gt;"",$R603="Concluída"),1,0)))</f>
        <v/>
      </c>
      <c r="AC603" s="39" t="n">
        <f aca="false">IF($P603="",0,IF($P603&lt;Hoje!$L$1,1,IF(AND($P603=Hoje!$L$1,Hoje!$L$2&gt;Semana!$M$3),1,0)))</f>
        <v>0</v>
      </c>
      <c r="AD603" s="39" t="str">
        <f aca="false">IF($F603="","",IF(COUNTA($I603:$K603)=0,0,1/COUNTA($I603:$K603)))</f>
        <v/>
      </c>
      <c r="AE603" s="39" t="str">
        <f aca="false">IF($AH603=0,"",SUM($AH$4:$AH603))</f>
        <v/>
      </c>
      <c r="AF603" s="39" t="str">
        <f aca="false">IF($AI603=0,"",SUM($AI$4:$AI603))</f>
        <v/>
      </c>
      <c r="AG603" s="50" t="str">
        <f aca="false">IF($F603="","",$I603&amp;IF($J603="",""," · "&amp;$J603)&amp;IF($K603="",""," · "&amp;$K603))</f>
        <v/>
      </c>
      <c r="AH603" s="39" t="n">
        <f aca="false">IF(AND($F603&lt;&gt;"",$O603&lt;&gt;"",$O603&lt;=Hoje!$C$3,$P603&gt;=Hoje!$C$3,$R603&lt;&gt;"Cancelada"),1,0)</f>
        <v>0</v>
      </c>
      <c r="AI603" s="39" t="n">
        <f aca="false">IF(AND($F603&lt;&gt;"",$P603&lt;&gt;"",$P603&lt;Hoje!$C$3,$AB603=0,$R603&lt;&gt;"Cancelada"),1,0)</f>
        <v>0</v>
      </c>
      <c r="AJ603" s="50" t="str">
        <f aca="false">IF($F603="","",$D603&amp;"|"&amp;$E603&amp;"|"&amp;$L603)</f>
        <v/>
      </c>
      <c r="AK603" s="39" t="str">
        <f aca="false">IF($AJ603="","",COUNTIF($AJ$4:$AJ603,$AJ603))</f>
        <v/>
      </c>
      <c r="AL603" s="39" t="str">
        <f aca="false">IF($AJ603="","",COUNTIF($AJ$4:$AJ$1004,$AJ603))</f>
        <v/>
      </c>
      <c r="AM603" s="42"/>
      <c r="AN603" s="50" t="str">
        <f aca="false">IF($D603="","",IFERROR(T(VLOOKUP($D603,Listas!$B$5:$H$120,7,0)),""))</f>
        <v/>
      </c>
      <c r="AO603" s="50" t="str">
        <f aca="false">IF(OR($F603="",$L603&lt;&gt;"",$R603="Cancelada",$AT603&lt;&gt;""),"",$AN603&amp;"|"&amp;$D603&amp;"|"&amp;IF($C603="","zzz",$C603)&amp;"|"&amp;TEXT(603,"0000"))</f>
        <v/>
      </c>
      <c r="AP603" s="50" t="str">
        <f aca="false">IF($AO603="","",COUNTIF($AO$5:$AO$1004,"&lt;"&amp;$AO603)-(ROWS($AO$5:$AO$1004)-Hoje!$L$5)+1)</f>
        <v/>
      </c>
      <c r="AQ603" s="50" t="n">
        <f aca="false">IF(AND($F603&lt;&gt;"",$D603=Frota!$C$3),1,0)</f>
        <v>0</v>
      </c>
      <c r="AR603" s="50" t="str">
        <f aca="false">IF($AQ603=0,"",SUM($AQ$4:$AQ603))</f>
        <v/>
      </c>
      <c r="AS603" s="50" t="str">
        <f aca="false">IFERROR(INDEX(Hoje!$K$10:$K$29,MATCH(ROW(),Hoje!$J$10:$J$29,0)),"")</f>
        <v/>
      </c>
      <c r="AT603" s="50" t="str">
        <f aca="false">IF($Q603&lt;&gt;"",$Q603,$AS603)</f>
        <v/>
      </c>
    </row>
    <row r="604" customFormat="false" ht="16.5" hidden="false" customHeight="true" outlineLevel="0" collapsed="false">
      <c r="A604" s="39" t="str">
        <f aca="false">IF($F604="","",ROW())</f>
        <v/>
      </c>
      <c r="B604" s="40" t="str">
        <f aca="false">IF($F604="",IF($D604="","","Falta a atividade"),IF($R604="Cancelada","Cancelada",IF($AB604=1,IF(N($Z604)&gt;0,"Concluída com atraso","Concluída"),IF($R604="Em programação","Em programação",IF($O604="",IF($M604="","Na carteira","Falta a semana"),IF($AC604=1,"VENCIDA",IF($O604&gt;Hoje!$L$1,"Programada",IF($P604&gt;Hoje!$L$1,"Em execução","Fecha hoje"))))))))</f>
        <v/>
      </c>
      <c r="C604" s="41"/>
      <c r="D604" s="42"/>
      <c r="E604" s="42"/>
      <c r="F604" s="42"/>
      <c r="G604" s="43"/>
      <c r="H604" s="43"/>
      <c r="I604" s="44"/>
      <c r="J604" s="44"/>
      <c r="K604" s="44"/>
      <c r="L604" s="45"/>
      <c r="M604" s="46"/>
      <c r="N604" s="45"/>
      <c r="O604" s="47" t="str">
        <f aca="false">IF(OR($L604="",$M604=""),"",(DATE(Semana!$J$3,1,4)-WEEKDAY(DATE(Semana!$J$3,1,4),3))+($L604-1)*7+MATCH($M604,Listas!$F$5:$F$11,0)-1)</f>
        <v/>
      </c>
      <c r="P604" s="47" t="str">
        <f aca="false">IF(OR($F604="",$O604=""),"",$O604+MAX(0,ROUNDUP($AK604*MAX(1,IF($N604="",1,$N604))/MAX(1,$AL604),0)-1))</f>
        <v/>
      </c>
      <c r="Q604" s="48"/>
      <c r="R604" s="43"/>
      <c r="S604" s="49"/>
      <c r="T604" s="42"/>
      <c r="U604" s="42"/>
      <c r="V604" s="39" t="str">
        <f aca="false">IF($F604="","",IF(ISNUMBER(SEARCH("(externo)",$I604&amp;$J604&amp;$K604)),"Terceirizada","Interna"))</f>
        <v/>
      </c>
      <c r="W604" s="47" t="str">
        <f aca="false">IF($O604="","",IF($S604="",$O604,(DATE(Semana!$J$3,1,4)-WEEKDAY(DATE(Semana!$J$3,1,4),3))+($S604-1)*7+IF($M604="",0,MATCH($M604,Listas!$F$5:$F$11,0)-1)))</f>
        <v/>
      </c>
      <c r="X604" s="39" t="str">
        <f aca="false">IF($F604="","",IF(OR($AT604="",$O604=""),0,IF($AT604&lt;=$O604,1,0)))</f>
        <v/>
      </c>
      <c r="Y604" s="39" t="str">
        <f aca="false">IF($F604="","",IF(OR($AT604="",$W604=""),0,IF($AT604&lt;=$W604,1,0)))</f>
        <v/>
      </c>
      <c r="Z604" s="39" t="str">
        <f aca="false">IF(OR($AT604="",$O604=""),"",MAX(0,$AT604-$O604))</f>
        <v/>
      </c>
      <c r="AA604" s="39" t="str">
        <f aca="false">IF($F604="","",IF(AND($S604&lt;&gt;"",$L604&lt;&gt;"",$S604&lt;&gt;$L604),1,0))</f>
        <v/>
      </c>
      <c r="AB604" s="39" t="str">
        <f aca="false">IF($F604="","",IF($R604="Cancelada",0,IF(OR($AT604&lt;&gt;"",$R604="Concluída"),1,0)))</f>
        <v/>
      </c>
      <c r="AC604" s="39" t="n">
        <f aca="false">IF($P604="",0,IF($P604&lt;Hoje!$L$1,1,IF(AND($P604=Hoje!$L$1,Hoje!$L$2&gt;Semana!$M$3),1,0)))</f>
        <v>0</v>
      </c>
      <c r="AD604" s="39" t="str">
        <f aca="false">IF($F604="","",IF(COUNTA($I604:$K604)=0,0,1/COUNTA($I604:$K604)))</f>
        <v/>
      </c>
      <c r="AE604" s="39" t="str">
        <f aca="false">IF($AH604=0,"",SUM($AH$4:$AH604))</f>
        <v/>
      </c>
      <c r="AF604" s="39" t="str">
        <f aca="false">IF($AI604=0,"",SUM($AI$4:$AI604))</f>
        <v/>
      </c>
      <c r="AG604" s="50" t="str">
        <f aca="false">IF($F604="","",$I604&amp;IF($J604="",""," · "&amp;$J604)&amp;IF($K604="",""," · "&amp;$K604))</f>
        <v/>
      </c>
      <c r="AH604" s="39" t="n">
        <f aca="false">IF(AND($F604&lt;&gt;"",$O604&lt;&gt;"",$O604&lt;=Hoje!$C$3,$P604&gt;=Hoje!$C$3,$R604&lt;&gt;"Cancelada"),1,0)</f>
        <v>0</v>
      </c>
      <c r="AI604" s="39" t="n">
        <f aca="false">IF(AND($F604&lt;&gt;"",$P604&lt;&gt;"",$P604&lt;Hoje!$C$3,$AB604=0,$R604&lt;&gt;"Cancelada"),1,0)</f>
        <v>0</v>
      </c>
      <c r="AJ604" s="50" t="str">
        <f aca="false">IF($F604="","",$D604&amp;"|"&amp;$E604&amp;"|"&amp;$L604)</f>
        <v/>
      </c>
      <c r="AK604" s="39" t="str">
        <f aca="false">IF($AJ604="","",COUNTIF($AJ$4:$AJ604,$AJ604))</f>
        <v/>
      </c>
      <c r="AL604" s="39" t="str">
        <f aca="false">IF($AJ604="","",COUNTIF($AJ$4:$AJ$1004,$AJ604))</f>
        <v/>
      </c>
      <c r="AM604" s="42"/>
      <c r="AN604" s="50" t="str">
        <f aca="false">IF($D604="","",IFERROR(T(VLOOKUP($D604,Listas!$B$5:$H$120,7,0)),""))</f>
        <v/>
      </c>
      <c r="AO604" s="50" t="str">
        <f aca="false">IF(OR($F604="",$L604&lt;&gt;"",$R604="Cancelada",$AT604&lt;&gt;""),"",$AN604&amp;"|"&amp;$D604&amp;"|"&amp;IF($C604="","zzz",$C604)&amp;"|"&amp;TEXT(604,"0000"))</f>
        <v/>
      </c>
      <c r="AP604" s="50" t="str">
        <f aca="false">IF($AO604="","",COUNTIF($AO$5:$AO$1004,"&lt;"&amp;$AO604)-(ROWS($AO$5:$AO$1004)-Hoje!$L$5)+1)</f>
        <v/>
      </c>
      <c r="AQ604" s="50" t="n">
        <f aca="false">IF(AND($F604&lt;&gt;"",$D604=Frota!$C$3),1,0)</f>
        <v>0</v>
      </c>
      <c r="AR604" s="50" t="str">
        <f aca="false">IF($AQ604=0,"",SUM($AQ$4:$AQ604))</f>
        <v/>
      </c>
      <c r="AS604" s="50" t="str">
        <f aca="false">IFERROR(INDEX(Hoje!$K$10:$K$29,MATCH(ROW(),Hoje!$J$10:$J$29,0)),"")</f>
        <v/>
      </c>
      <c r="AT604" s="50" t="str">
        <f aca="false">IF($Q604&lt;&gt;"",$Q604,$AS604)</f>
        <v/>
      </c>
    </row>
    <row r="605" customFormat="false" ht="16.5" hidden="false" customHeight="true" outlineLevel="0" collapsed="false">
      <c r="A605" s="39" t="str">
        <f aca="false">IF($F605="","",ROW())</f>
        <v/>
      </c>
      <c r="B605" s="40" t="str">
        <f aca="false">IF($F605="",IF($D605="","","Falta a atividade"),IF($R605="Cancelada","Cancelada",IF($AB605=1,IF(N($Z605)&gt;0,"Concluída com atraso","Concluída"),IF($R605="Em programação","Em programação",IF($O605="",IF($M605="","Na carteira","Falta a semana"),IF($AC605=1,"VENCIDA",IF($O605&gt;Hoje!$L$1,"Programada",IF($P605&gt;Hoje!$L$1,"Em execução","Fecha hoje"))))))))</f>
        <v/>
      </c>
      <c r="C605" s="41"/>
      <c r="D605" s="42"/>
      <c r="E605" s="42"/>
      <c r="F605" s="42"/>
      <c r="G605" s="43"/>
      <c r="H605" s="43"/>
      <c r="I605" s="44"/>
      <c r="J605" s="44"/>
      <c r="K605" s="44"/>
      <c r="L605" s="45"/>
      <c r="M605" s="46"/>
      <c r="N605" s="45"/>
      <c r="O605" s="47" t="str">
        <f aca="false">IF(OR($L605="",$M605=""),"",(DATE(Semana!$J$3,1,4)-WEEKDAY(DATE(Semana!$J$3,1,4),3))+($L605-1)*7+MATCH($M605,Listas!$F$5:$F$11,0)-1)</f>
        <v/>
      </c>
      <c r="P605" s="47" t="str">
        <f aca="false">IF(OR($F605="",$O605=""),"",$O605+MAX(0,ROUNDUP($AK605*MAX(1,IF($N605="",1,$N605))/MAX(1,$AL605),0)-1))</f>
        <v/>
      </c>
      <c r="Q605" s="48"/>
      <c r="R605" s="43"/>
      <c r="S605" s="49"/>
      <c r="T605" s="42"/>
      <c r="U605" s="42"/>
      <c r="V605" s="39" t="str">
        <f aca="false">IF($F605="","",IF(ISNUMBER(SEARCH("(externo)",$I605&amp;$J605&amp;$K605)),"Terceirizada","Interna"))</f>
        <v/>
      </c>
      <c r="W605" s="47" t="str">
        <f aca="false">IF($O605="","",IF($S605="",$O605,(DATE(Semana!$J$3,1,4)-WEEKDAY(DATE(Semana!$J$3,1,4),3))+($S605-1)*7+IF($M605="",0,MATCH($M605,Listas!$F$5:$F$11,0)-1)))</f>
        <v/>
      </c>
      <c r="X605" s="39" t="str">
        <f aca="false">IF($F605="","",IF(OR($AT605="",$O605=""),0,IF($AT605&lt;=$O605,1,0)))</f>
        <v/>
      </c>
      <c r="Y605" s="39" t="str">
        <f aca="false">IF($F605="","",IF(OR($AT605="",$W605=""),0,IF($AT605&lt;=$W605,1,0)))</f>
        <v/>
      </c>
      <c r="Z605" s="39" t="str">
        <f aca="false">IF(OR($AT605="",$O605=""),"",MAX(0,$AT605-$O605))</f>
        <v/>
      </c>
      <c r="AA605" s="39" t="str">
        <f aca="false">IF($F605="","",IF(AND($S605&lt;&gt;"",$L605&lt;&gt;"",$S605&lt;&gt;$L605),1,0))</f>
        <v/>
      </c>
      <c r="AB605" s="39" t="str">
        <f aca="false">IF($F605="","",IF($R605="Cancelada",0,IF(OR($AT605&lt;&gt;"",$R605="Concluída"),1,0)))</f>
        <v/>
      </c>
      <c r="AC605" s="39" t="n">
        <f aca="false">IF($P605="",0,IF($P605&lt;Hoje!$L$1,1,IF(AND($P605=Hoje!$L$1,Hoje!$L$2&gt;Semana!$M$3),1,0)))</f>
        <v>0</v>
      </c>
      <c r="AD605" s="39" t="str">
        <f aca="false">IF($F605="","",IF(COUNTA($I605:$K605)=0,0,1/COUNTA($I605:$K605)))</f>
        <v/>
      </c>
      <c r="AE605" s="39" t="str">
        <f aca="false">IF($AH605=0,"",SUM($AH$4:$AH605))</f>
        <v/>
      </c>
      <c r="AF605" s="39" t="str">
        <f aca="false">IF($AI605=0,"",SUM($AI$4:$AI605))</f>
        <v/>
      </c>
      <c r="AG605" s="50" t="str">
        <f aca="false">IF($F605="","",$I605&amp;IF($J605="",""," · "&amp;$J605)&amp;IF($K605="",""," · "&amp;$K605))</f>
        <v/>
      </c>
      <c r="AH605" s="39" t="n">
        <f aca="false">IF(AND($F605&lt;&gt;"",$O605&lt;&gt;"",$O605&lt;=Hoje!$C$3,$P605&gt;=Hoje!$C$3,$R605&lt;&gt;"Cancelada"),1,0)</f>
        <v>0</v>
      </c>
      <c r="AI605" s="39" t="n">
        <f aca="false">IF(AND($F605&lt;&gt;"",$P605&lt;&gt;"",$P605&lt;Hoje!$C$3,$AB605=0,$R605&lt;&gt;"Cancelada"),1,0)</f>
        <v>0</v>
      </c>
      <c r="AJ605" s="50" t="str">
        <f aca="false">IF($F605="","",$D605&amp;"|"&amp;$E605&amp;"|"&amp;$L605)</f>
        <v/>
      </c>
      <c r="AK605" s="39" t="str">
        <f aca="false">IF($AJ605="","",COUNTIF($AJ$4:$AJ605,$AJ605))</f>
        <v/>
      </c>
      <c r="AL605" s="39" t="str">
        <f aca="false">IF($AJ605="","",COUNTIF($AJ$4:$AJ$1004,$AJ605))</f>
        <v/>
      </c>
      <c r="AM605" s="42"/>
      <c r="AN605" s="50" t="str">
        <f aca="false">IF($D605="","",IFERROR(T(VLOOKUP($D605,Listas!$B$5:$H$120,7,0)),""))</f>
        <v/>
      </c>
      <c r="AO605" s="50" t="str">
        <f aca="false">IF(OR($F605="",$L605&lt;&gt;"",$R605="Cancelada",$AT605&lt;&gt;""),"",$AN605&amp;"|"&amp;$D605&amp;"|"&amp;IF($C605="","zzz",$C605)&amp;"|"&amp;TEXT(605,"0000"))</f>
        <v/>
      </c>
      <c r="AP605" s="50" t="str">
        <f aca="false">IF($AO605="","",COUNTIF($AO$5:$AO$1004,"&lt;"&amp;$AO605)-(ROWS($AO$5:$AO$1004)-Hoje!$L$5)+1)</f>
        <v/>
      </c>
      <c r="AQ605" s="50" t="n">
        <f aca="false">IF(AND($F605&lt;&gt;"",$D605=Frota!$C$3),1,0)</f>
        <v>0</v>
      </c>
      <c r="AR605" s="50" t="str">
        <f aca="false">IF($AQ605=0,"",SUM($AQ$4:$AQ605))</f>
        <v/>
      </c>
      <c r="AS605" s="50" t="str">
        <f aca="false">IFERROR(INDEX(Hoje!$K$10:$K$29,MATCH(ROW(),Hoje!$J$10:$J$29,0)),"")</f>
        <v/>
      </c>
      <c r="AT605" s="50" t="str">
        <f aca="false">IF($Q605&lt;&gt;"",$Q605,$AS605)</f>
        <v/>
      </c>
    </row>
    <row r="606" customFormat="false" ht="16.5" hidden="false" customHeight="true" outlineLevel="0" collapsed="false">
      <c r="A606" s="39" t="str">
        <f aca="false">IF($F606="","",ROW())</f>
        <v/>
      </c>
      <c r="B606" s="40" t="str">
        <f aca="false">IF($F606="",IF($D606="","","Falta a atividade"),IF($R606="Cancelada","Cancelada",IF($AB606=1,IF(N($Z606)&gt;0,"Concluída com atraso","Concluída"),IF($R606="Em programação","Em programação",IF($O606="",IF($M606="","Na carteira","Falta a semana"),IF($AC606=1,"VENCIDA",IF($O606&gt;Hoje!$L$1,"Programada",IF($P606&gt;Hoje!$L$1,"Em execução","Fecha hoje"))))))))</f>
        <v/>
      </c>
      <c r="C606" s="41"/>
      <c r="D606" s="42"/>
      <c r="E606" s="42"/>
      <c r="F606" s="42"/>
      <c r="G606" s="43"/>
      <c r="H606" s="43"/>
      <c r="I606" s="44"/>
      <c r="J606" s="44"/>
      <c r="K606" s="44"/>
      <c r="L606" s="45"/>
      <c r="M606" s="46"/>
      <c r="N606" s="45"/>
      <c r="O606" s="47" t="str">
        <f aca="false">IF(OR($L606="",$M606=""),"",(DATE(Semana!$J$3,1,4)-WEEKDAY(DATE(Semana!$J$3,1,4),3))+($L606-1)*7+MATCH($M606,Listas!$F$5:$F$11,0)-1)</f>
        <v/>
      </c>
      <c r="P606" s="47" t="str">
        <f aca="false">IF(OR($F606="",$O606=""),"",$O606+MAX(0,ROUNDUP($AK606*MAX(1,IF($N606="",1,$N606))/MAX(1,$AL606),0)-1))</f>
        <v/>
      </c>
      <c r="Q606" s="48"/>
      <c r="R606" s="43"/>
      <c r="S606" s="49"/>
      <c r="T606" s="42"/>
      <c r="U606" s="42"/>
      <c r="V606" s="39" t="str">
        <f aca="false">IF($F606="","",IF(ISNUMBER(SEARCH("(externo)",$I606&amp;$J606&amp;$K606)),"Terceirizada","Interna"))</f>
        <v/>
      </c>
      <c r="W606" s="47" t="str">
        <f aca="false">IF($O606="","",IF($S606="",$O606,(DATE(Semana!$J$3,1,4)-WEEKDAY(DATE(Semana!$J$3,1,4),3))+($S606-1)*7+IF($M606="",0,MATCH($M606,Listas!$F$5:$F$11,0)-1)))</f>
        <v/>
      </c>
      <c r="X606" s="39" t="str">
        <f aca="false">IF($F606="","",IF(OR($AT606="",$O606=""),0,IF($AT606&lt;=$O606,1,0)))</f>
        <v/>
      </c>
      <c r="Y606" s="39" t="str">
        <f aca="false">IF($F606="","",IF(OR($AT606="",$W606=""),0,IF($AT606&lt;=$W606,1,0)))</f>
        <v/>
      </c>
      <c r="Z606" s="39" t="str">
        <f aca="false">IF(OR($AT606="",$O606=""),"",MAX(0,$AT606-$O606))</f>
        <v/>
      </c>
      <c r="AA606" s="39" t="str">
        <f aca="false">IF($F606="","",IF(AND($S606&lt;&gt;"",$L606&lt;&gt;"",$S606&lt;&gt;$L606),1,0))</f>
        <v/>
      </c>
      <c r="AB606" s="39" t="str">
        <f aca="false">IF($F606="","",IF($R606="Cancelada",0,IF(OR($AT606&lt;&gt;"",$R606="Concluída"),1,0)))</f>
        <v/>
      </c>
      <c r="AC606" s="39" t="n">
        <f aca="false">IF($P606="",0,IF($P606&lt;Hoje!$L$1,1,IF(AND($P606=Hoje!$L$1,Hoje!$L$2&gt;Semana!$M$3),1,0)))</f>
        <v>0</v>
      </c>
      <c r="AD606" s="39" t="str">
        <f aca="false">IF($F606="","",IF(COUNTA($I606:$K606)=0,0,1/COUNTA($I606:$K606)))</f>
        <v/>
      </c>
      <c r="AE606" s="39" t="str">
        <f aca="false">IF($AH606=0,"",SUM($AH$4:$AH606))</f>
        <v/>
      </c>
      <c r="AF606" s="39" t="str">
        <f aca="false">IF($AI606=0,"",SUM($AI$4:$AI606))</f>
        <v/>
      </c>
      <c r="AG606" s="50" t="str">
        <f aca="false">IF($F606="","",$I606&amp;IF($J606="",""," · "&amp;$J606)&amp;IF($K606="",""," · "&amp;$K606))</f>
        <v/>
      </c>
      <c r="AH606" s="39" t="n">
        <f aca="false">IF(AND($F606&lt;&gt;"",$O606&lt;&gt;"",$O606&lt;=Hoje!$C$3,$P606&gt;=Hoje!$C$3,$R606&lt;&gt;"Cancelada"),1,0)</f>
        <v>0</v>
      </c>
      <c r="AI606" s="39" t="n">
        <f aca="false">IF(AND($F606&lt;&gt;"",$P606&lt;&gt;"",$P606&lt;Hoje!$C$3,$AB606=0,$R606&lt;&gt;"Cancelada"),1,0)</f>
        <v>0</v>
      </c>
      <c r="AJ606" s="50" t="str">
        <f aca="false">IF($F606="","",$D606&amp;"|"&amp;$E606&amp;"|"&amp;$L606)</f>
        <v/>
      </c>
      <c r="AK606" s="39" t="str">
        <f aca="false">IF($AJ606="","",COUNTIF($AJ$4:$AJ606,$AJ606))</f>
        <v/>
      </c>
      <c r="AL606" s="39" t="str">
        <f aca="false">IF($AJ606="","",COUNTIF($AJ$4:$AJ$1004,$AJ606))</f>
        <v/>
      </c>
      <c r="AM606" s="42"/>
      <c r="AN606" s="50" t="str">
        <f aca="false">IF($D606="","",IFERROR(T(VLOOKUP($D606,Listas!$B$5:$H$120,7,0)),""))</f>
        <v/>
      </c>
      <c r="AO606" s="50" t="str">
        <f aca="false">IF(OR($F606="",$L606&lt;&gt;"",$R606="Cancelada",$AT606&lt;&gt;""),"",$AN606&amp;"|"&amp;$D606&amp;"|"&amp;IF($C606="","zzz",$C606)&amp;"|"&amp;TEXT(606,"0000"))</f>
        <v/>
      </c>
      <c r="AP606" s="50" t="str">
        <f aca="false">IF($AO606="","",COUNTIF($AO$5:$AO$1004,"&lt;"&amp;$AO606)-(ROWS($AO$5:$AO$1004)-Hoje!$L$5)+1)</f>
        <v/>
      </c>
      <c r="AQ606" s="50" t="n">
        <f aca="false">IF(AND($F606&lt;&gt;"",$D606=Frota!$C$3),1,0)</f>
        <v>0</v>
      </c>
      <c r="AR606" s="50" t="str">
        <f aca="false">IF($AQ606=0,"",SUM($AQ$4:$AQ606))</f>
        <v/>
      </c>
      <c r="AS606" s="50" t="str">
        <f aca="false">IFERROR(INDEX(Hoje!$K$10:$K$29,MATCH(ROW(),Hoje!$J$10:$J$29,0)),"")</f>
        <v/>
      </c>
      <c r="AT606" s="50" t="str">
        <f aca="false">IF($Q606&lt;&gt;"",$Q606,$AS606)</f>
        <v/>
      </c>
    </row>
    <row r="607" customFormat="false" ht="16.5" hidden="false" customHeight="true" outlineLevel="0" collapsed="false">
      <c r="A607" s="39" t="str">
        <f aca="false">IF($F607="","",ROW())</f>
        <v/>
      </c>
      <c r="B607" s="40" t="str">
        <f aca="false">IF($F607="",IF($D607="","","Falta a atividade"),IF($R607="Cancelada","Cancelada",IF($AB607=1,IF(N($Z607)&gt;0,"Concluída com atraso","Concluída"),IF($R607="Em programação","Em programação",IF($O607="",IF($M607="","Na carteira","Falta a semana"),IF($AC607=1,"VENCIDA",IF($O607&gt;Hoje!$L$1,"Programada",IF($P607&gt;Hoje!$L$1,"Em execução","Fecha hoje"))))))))</f>
        <v/>
      </c>
      <c r="C607" s="41"/>
      <c r="D607" s="42"/>
      <c r="E607" s="42"/>
      <c r="F607" s="42"/>
      <c r="G607" s="43"/>
      <c r="H607" s="43"/>
      <c r="I607" s="44"/>
      <c r="J607" s="44"/>
      <c r="K607" s="44"/>
      <c r="L607" s="45"/>
      <c r="M607" s="46"/>
      <c r="N607" s="45"/>
      <c r="O607" s="47" t="str">
        <f aca="false">IF(OR($L607="",$M607=""),"",(DATE(Semana!$J$3,1,4)-WEEKDAY(DATE(Semana!$J$3,1,4),3))+($L607-1)*7+MATCH($M607,Listas!$F$5:$F$11,0)-1)</f>
        <v/>
      </c>
      <c r="P607" s="47" t="str">
        <f aca="false">IF(OR($F607="",$O607=""),"",$O607+MAX(0,ROUNDUP($AK607*MAX(1,IF($N607="",1,$N607))/MAX(1,$AL607),0)-1))</f>
        <v/>
      </c>
      <c r="Q607" s="48"/>
      <c r="R607" s="43"/>
      <c r="S607" s="49"/>
      <c r="T607" s="42"/>
      <c r="U607" s="42"/>
      <c r="V607" s="39" t="str">
        <f aca="false">IF($F607="","",IF(ISNUMBER(SEARCH("(externo)",$I607&amp;$J607&amp;$K607)),"Terceirizada","Interna"))</f>
        <v/>
      </c>
      <c r="W607" s="47" t="str">
        <f aca="false">IF($O607="","",IF($S607="",$O607,(DATE(Semana!$J$3,1,4)-WEEKDAY(DATE(Semana!$J$3,1,4),3))+($S607-1)*7+IF($M607="",0,MATCH($M607,Listas!$F$5:$F$11,0)-1)))</f>
        <v/>
      </c>
      <c r="X607" s="39" t="str">
        <f aca="false">IF($F607="","",IF(OR($AT607="",$O607=""),0,IF($AT607&lt;=$O607,1,0)))</f>
        <v/>
      </c>
      <c r="Y607" s="39" t="str">
        <f aca="false">IF($F607="","",IF(OR($AT607="",$W607=""),0,IF($AT607&lt;=$W607,1,0)))</f>
        <v/>
      </c>
      <c r="Z607" s="39" t="str">
        <f aca="false">IF(OR($AT607="",$O607=""),"",MAX(0,$AT607-$O607))</f>
        <v/>
      </c>
      <c r="AA607" s="39" t="str">
        <f aca="false">IF($F607="","",IF(AND($S607&lt;&gt;"",$L607&lt;&gt;"",$S607&lt;&gt;$L607),1,0))</f>
        <v/>
      </c>
      <c r="AB607" s="39" t="str">
        <f aca="false">IF($F607="","",IF($R607="Cancelada",0,IF(OR($AT607&lt;&gt;"",$R607="Concluída"),1,0)))</f>
        <v/>
      </c>
      <c r="AC607" s="39" t="n">
        <f aca="false">IF($P607="",0,IF($P607&lt;Hoje!$L$1,1,IF(AND($P607=Hoje!$L$1,Hoje!$L$2&gt;Semana!$M$3),1,0)))</f>
        <v>0</v>
      </c>
      <c r="AD607" s="39" t="str">
        <f aca="false">IF($F607="","",IF(COUNTA($I607:$K607)=0,0,1/COUNTA($I607:$K607)))</f>
        <v/>
      </c>
      <c r="AE607" s="39" t="str">
        <f aca="false">IF($AH607=0,"",SUM($AH$4:$AH607))</f>
        <v/>
      </c>
      <c r="AF607" s="39" t="str">
        <f aca="false">IF($AI607=0,"",SUM($AI$4:$AI607))</f>
        <v/>
      </c>
      <c r="AG607" s="50" t="str">
        <f aca="false">IF($F607="","",$I607&amp;IF($J607="",""," · "&amp;$J607)&amp;IF($K607="",""," · "&amp;$K607))</f>
        <v/>
      </c>
      <c r="AH607" s="39" t="n">
        <f aca="false">IF(AND($F607&lt;&gt;"",$O607&lt;&gt;"",$O607&lt;=Hoje!$C$3,$P607&gt;=Hoje!$C$3,$R607&lt;&gt;"Cancelada"),1,0)</f>
        <v>0</v>
      </c>
      <c r="AI607" s="39" t="n">
        <f aca="false">IF(AND($F607&lt;&gt;"",$P607&lt;&gt;"",$P607&lt;Hoje!$C$3,$AB607=0,$R607&lt;&gt;"Cancelada"),1,0)</f>
        <v>0</v>
      </c>
      <c r="AJ607" s="50" t="str">
        <f aca="false">IF($F607="","",$D607&amp;"|"&amp;$E607&amp;"|"&amp;$L607)</f>
        <v/>
      </c>
      <c r="AK607" s="39" t="str">
        <f aca="false">IF($AJ607="","",COUNTIF($AJ$4:$AJ607,$AJ607))</f>
        <v/>
      </c>
      <c r="AL607" s="39" t="str">
        <f aca="false">IF($AJ607="","",COUNTIF($AJ$4:$AJ$1004,$AJ607))</f>
        <v/>
      </c>
      <c r="AM607" s="42"/>
      <c r="AN607" s="50" t="str">
        <f aca="false">IF($D607="","",IFERROR(T(VLOOKUP($D607,Listas!$B$5:$H$120,7,0)),""))</f>
        <v/>
      </c>
      <c r="AO607" s="50" t="str">
        <f aca="false">IF(OR($F607="",$L607&lt;&gt;"",$R607="Cancelada",$AT607&lt;&gt;""),"",$AN607&amp;"|"&amp;$D607&amp;"|"&amp;IF($C607="","zzz",$C607)&amp;"|"&amp;TEXT(607,"0000"))</f>
        <v/>
      </c>
      <c r="AP607" s="50" t="str">
        <f aca="false">IF($AO607="","",COUNTIF($AO$5:$AO$1004,"&lt;"&amp;$AO607)-(ROWS($AO$5:$AO$1004)-Hoje!$L$5)+1)</f>
        <v/>
      </c>
      <c r="AQ607" s="50" t="n">
        <f aca="false">IF(AND($F607&lt;&gt;"",$D607=Frota!$C$3),1,0)</f>
        <v>0</v>
      </c>
      <c r="AR607" s="50" t="str">
        <f aca="false">IF($AQ607=0,"",SUM($AQ$4:$AQ607))</f>
        <v/>
      </c>
      <c r="AS607" s="50" t="str">
        <f aca="false">IFERROR(INDEX(Hoje!$K$10:$K$29,MATCH(ROW(),Hoje!$J$10:$J$29,0)),"")</f>
        <v/>
      </c>
      <c r="AT607" s="50" t="str">
        <f aca="false">IF($Q607&lt;&gt;"",$Q607,$AS607)</f>
        <v/>
      </c>
    </row>
    <row r="608" customFormat="false" ht="16.5" hidden="false" customHeight="true" outlineLevel="0" collapsed="false">
      <c r="A608" s="39" t="str">
        <f aca="false">IF($F608="","",ROW())</f>
        <v/>
      </c>
      <c r="B608" s="40" t="str">
        <f aca="false">IF($F608="",IF($D608="","","Falta a atividade"),IF($R608="Cancelada","Cancelada",IF($AB608=1,IF(N($Z608)&gt;0,"Concluída com atraso","Concluída"),IF($R608="Em programação","Em programação",IF($O608="",IF($M608="","Na carteira","Falta a semana"),IF($AC608=1,"VENCIDA",IF($O608&gt;Hoje!$L$1,"Programada",IF($P608&gt;Hoje!$L$1,"Em execução","Fecha hoje"))))))))</f>
        <v/>
      </c>
      <c r="C608" s="41"/>
      <c r="D608" s="42"/>
      <c r="E608" s="42"/>
      <c r="F608" s="42"/>
      <c r="G608" s="43"/>
      <c r="H608" s="43"/>
      <c r="I608" s="44"/>
      <c r="J608" s="44"/>
      <c r="K608" s="44"/>
      <c r="L608" s="45"/>
      <c r="M608" s="46"/>
      <c r="N608" s="45"/>
      <c r="O608" s="47" t="str">
        <f aca="false">IF(OR($L608="",$M608=""),"",(DATE(Semana!$J$3,1,4)-WEEKDAY(DATE(Semana!$J$3,1,4),3))+($L608-1)*7+MATCH($M608,Listas!$F$5:$F$11,0)-1)</f>
        <v/>
      </c>
      <c r="P608" s="47" t="str">
        <f aca="false">IF(OR($F608="",$O608=""),"",$O608+MAX(0,ROUNDUP($AK608*MAX(1,IF($N608="",1,$N608))/MAX(1,$AL608),0)-1))</f>
        <v/>
      </c>
      <c r="Q608" s="48"/>
      <c r="R608" s="43"/>
      <c r="S608" s="49"/>
      <c r="T608" s="42"/>
      <c r="U608" s="42"/>
      <c r="V608" s="39" t="str">
        <f aca="false">IF($F608="","",IF(ISNUMBER(SEARCH("(externo)",$I608&amp;$J608&amp;$K608)),"Terceirizada","Interna"))</f>
        <v/>
      </c>
      <c r="W608" s="47" t="str">
        <f aca="false">IF($O608="","",IF($S608="",$O608,(DATE(Semana!$J$3,1,4)-WEEKDAY(DATE(Semana!$J$3,1,4),3))+($S608-1)*7+IF($M608="",0,MATCH($M608,Listas!$F$5:$F$11,0)-1)))</f>
        <v/>
      </c>
      <c r="X608" s="39" t="str">
        <f aca="false">IF($F608="","",IF(OR($AT608="",$O608=""),0,IF($AT608&lt;=$O608,1,0)))</f>
        <v/>
      </c>
      <c r="Y608" s="39" t="str">
        <f aca="false">IF($F608="","",IF(OR($AT608="",$W608=""),0,IF($AT608&lt;=$W608,1,0)))</f>
        <v/>
      </c>
      <c r="Z608" s="39" t="str">
        <f aca="false">IF(OR($AT608="",$O608=""),"",MAX(0,$AT608-$O608))</f>
        <v/>
      </c>
      <c r="AA608" s="39" t="str">
        <f aca="false">IF($F608="","",IF(AND($S608&lt;&gt;"",$L608&lt;&gt;"",$S608&lt;&gt;$L608),1,0))</f>
        <v/>
      </c>
      <c r="AB608" s="39" t="str">
        <f aca="false">IF($F608="","",IF($R608="Cancelada",0,IF(OR($AT608&lt;&gt;"",$R608="Concluída"),1,0)))</f>
        <v/>
      </c>
      <c r="AC608" s="39" t="n">
        <f aca="false">IF($P608="",0,IF($P608&lt;Hoje!$L$1,1,IF(AND($P608=Hoje!$L$1,Hoje!$L$2&gt;Semana!$M$3),1,0)))</f>
        <v>0</v>
      </c>
      <c r="AD608" s="39" t="str">
        <f aca="false">IF($F608="","",IF(COUNTA($I608:$K608)=0,0,1/COUNTA($I608:$K608)))</f>
        <v/>
      </c>
      <c r="AE608" s="39" t="str">
        <f aca="false">IF($AH608=0,"",SUM($AH$4:$AH608))</f>
        <v/>
      </c>
      <c r="AF608" s="39" t="str">
        <f aca="false">IF($AI608=0,"",SUM($AI$4:$AI608))</f>
        <v/>
      </c>
      <c r="AG608" s="50" t="str">
        <f aca="false">IF($F608="","",$I608&amp;IF($J608="",""," · "&amp;$J608)&amp;IF($K608="",""," · "&amp;$K608))</f>
        <v/>
      </c>
      <c r="AH608" s="39" t="n">
        <f aca="false">IF(AND($F608&lt;&gt;"",$O608&lt;&gt;"",$O608&lt;=Hoje!$C$3,$P608&gt;=Hoje!$C$3,$R608&lt;&gt;"Cancelada"),1,0)</f>
        <v>0</v>
      </c>
      <c r="AI608" s="39" t="n">
        <f aca="false">IF(AND($F608&lt;&gt;"",$P608&lt;&gt;"",$P608&lt;Hoje!$C$3,$AB608=0,$R608&lt;&gt;"Cancelada"),1,0)</f>
        <v>0</v>
      </c>
      <c r="AJ608" s="50" t="str">
        <f aca="false">IF($F608="","",$D608&amp;"|"&amp;$E608&amp;"|"&amp;$L608)</f>
        <v/>
      </c>
      <c r="AK608" s="39" t="str">
        <f aca="false">IF($AJ608="","",COUNTIF($AJ$4:$AJ608,$AJ608))</f>
        <v/>
      </c>
      <c r="AL608" s="39" t="str">
        <f aca="false">IF($AJ608="","",COUNTIF($AJ$4:$AJ$1004,$AJ608))</f>
        <v/>
      </c>
      <c r="AM608" s="42"/>
      <c r="AN608" s="50" t="str">
        <f aca="false">IF($D608="","",IFERROR(T(VLOOKUP($D608,Listas!$B$5:$H$120,7,0)),""))</f>
        <v/>
      </c>
      <c r="AO608" s="50" t="str">
        <f aca="false">IF(OR($F608="",$L608&lt;&gt;"",$R608="Cancelada",$AT608&lt;&gt;""),"",$AN608&amp;"|"&amp;$D608&amp;"|"&amp;IF($C608="","zzz",$C608)&amp;"|"&amp;TEXT(608,"0000"))</f>
        <v/>
      </c>
      <c r="AP608" s="50" t="str">
        <f aca="false">IF($AO608="","",COUNTIF($AO$5:$AO$1004,"&lt;"&amp;$AO608)-(ROWS($AO$5:$AO$1004)-Hoje!$L$5)+1)</f>
        <v/>
      </c>
      <c r="AQ608" s="50" t="n">
        <f aca="false">IF(AND($F608&lt;&gt;"",$D608=Frota!$C$3),1,0)</f>
        <v>0</v>
      </c>
      <c r="AR608" s="50" t="str">
        <f aca="false">IF($AQ608=0,"",SUM($AQ$4:$AQ608))</f>
        <v/>
      </c>
      <c r="AS608" s="50" t="str">
        <f aca="false">IFERROR(INDEX(Hoje!$K$10:$K$29,MATCH(ROW(),Hoje!$J$10:$J$29,0)),"")</f>
        <v/>
      </c>
      <c r="AT608" s="50" t="str">
        <f aca="false">IF($Q608&lt;&gt;"",$Q608,$AS608)</f>
        <v/>
      </c>
    </row>
    <row r="609" customFormat="false" ht="16.5" hidden="false" customHeight="true" outlineLevel="0" collapsed="false">
      <c r="A609" s="39" t="str">
        <f aca="false">IF($F609="","",ROW())</f>
        <v/>
      </c>
      <c r="B609" s="40" t="str">
        <f aca="false">IF($F609="",IF($D609="","","Falta a atividade"),IF($R609="Cancelada","Cancelada",IF($AB609=1,IF(N($Z609)&gt;0,"Concluída com atraso","Concluída"),IF($R609="Em programação","Em programação",IF($O609="",IF($M609="","Na carteira","Falta a semana"),IF($AC609=1,"VENCIDA",IF($O609&gt;Hoje!$L$1,"Programada",IF($P609&gt;Hoje!$L$1,"Em execução","Fecha hoje"))))))))</f>
        <v/>
      </c>
      <c r="C609" s="41"/>
      <c r="D609" s="42"/>
      <c r="E609" s="42"/>
      <c r="F609" s="42"/>
      <c r="G609" s="43"/>
      <c r="H609" s="43"/>
      <c r="I609" s="44"/>
      <c r="J609" s="44"/>
      <c r="K609" s="44"/>
      <c r="L609" s="45"/>
      <c r="M609" s="46"/>
      <c r="N609" s="45"/>
      <c r="O609" s="47" t="str">
        <f aca="false">IF(OR($L609="",$M609=""),"",(DATE(Semana!$J$3,1,4)-WEEKDAY(DATE(Semana!$J$3,1,4),3))+($L609-1)*7+MATCH($M609,Listas!$F$5:$F$11,0)-1)</f>
        <v/>
      </c>
      <c r="P609" s="47" t="str">
        <f aca="false">IF(OR($F609="",$O609=""),"",$O609+MAX(0,ROUNDUP($AK609*MAX(1,IF($N609="",1,$N609))/MAX(1,$AL609),0)-1))</f>
        <v/>
      </c>
      <c r="Q609" s="48"/>
      <c r="R609" s="43"/>
      <c r="S609" s="49"/>
      <c r="T609" s="42"/>
      <c r="U609" s="42"/>
      <c r="V609" s="39" t="str">
        <f aca="false">IF($F609="","",IF(ISNUMBER(SEARCH("(externo)",$I609&amp;$J609&amp;$K609)),"Terceirizada","Interna"))</f>
        <v/>
      </c>
      <c r="W609" s="47" t="str">
        <f aca="false">IF($O609="","",IF($S609="",$O609,(DATE(Semana!$J$3,1,4)-WEEKDAY(DATE(Semana!$J$3,1,4),3))+($S609-1)*7+IF($M609="",0,MATCH($M609,Listas!$F$5:$F$11,0)-1)))</f>
        <v/>
      </c>
      <c r="X609" s="39" t="str">
        <f aca="false">IF($F609="","",IF(OR($AT609="",$O609=""),0,IF($AT609&lt;=$O609,1,0)))</f>
        <v/>
      </c>
      <c r="Y609" s="39" t="str">
        <f aca="false">IF($F609="","",IF(OR($AT609="",$W609=""),0,IF($AT609&lt;=$W609,1,0)))</f>
        <v/>
      </c>
      <c r="Z609" s="39" t="str">
        <f aca="false">IF(OR($AT609="",$O609=""),"",MAX(0,$AT609-$O609))</f>
        <v/>
      </c>
      <c r="AA609" s="39" t="str">
        <f aca="false">IF($F609="","",IF(AND($S609&lt;&gt;"",$L609&lt;&gt;"",$S609&lt;&gt;$L609),1,0))</f>
        <v/>
      </c>
      <c r="AB609" s="39" t="str">
        <f aca="false">IF($F609="","",IF($R609="Cancelada",0,IF(OR($AT609&lt;&gt;"",$R609="Concluída"),1,0)))</f>
        <v/>
      </c>
      <c r="AC609" s="39" t="n">
        <f aca="false">IF($P609="",0,IF($P609&lt;Hoje!$L$1,1,IF(AND($P609=Hoje!$L$1,Hoje!$L$2&gt;Semana!$M$3),1,0)))</f>
        <v>0</v>
      </c>
      <c r="AD609" s="39" t="str">
        <f aca="false">IF($F609="","",IF(COUNTA($I609:$K609)=0,0,1/COUNTA($I609:$K609)))</f>
        <v/>
      </c>
      <c r="AE609" s="39" t="str">
        <f aca="false">IF($AH609=0,"",SUM($AH$4:$AH609))</f>
        <v/>
      </c>
      <c r="AF609" s="39" t="str">
        <f aca="false">IF($AI609=0,"",SUM($AI$4:$AI609))</f>
        <v/>
      </c>
      <c r="AG609" s="50" t="str">
        <f aca="false">IF($F609="","",$I609&amp;IF($J609="",""," · "&amp;$J609)&amp;IF($K609="",""," · "&amp;$K609))</f>
        <v/>
      </c>
      <c r="AH609" s="39" t="n">
        <f aca="false">IF(AND($F609&lt;&gt;"",$O609&lt;&gt;"",$O609&lt;=Hoje!$C$3,$P609&gt;=Hoje!$C$3,$R609&lt;&gt;"Cancelada"),1,0)</f>
        <v>0</v>
      </c>
      <c r="AI609" s="39" t="n">
        <f aca="false">IF(AND($F609&lt;&gt;"",$P609&lt;&gt;"",$P609&lt;Hoje!$C$3,$AB609=0,$R609&lt;&gt;"Cancelada"),1,0)</f>
        <v>0</v>
      </c>
      <c r="AJ609" s="50" t="str">
        <f aca="false">IF($F609="","",$D609&amp;"|"&amp;$E609&amp;"|"&amp;$L609)</f>
        <v/>
      </c>
      <c r="AK609" s="39" t="str">
        <f aca="false">IF($AJ609="","",COUNTIF($AJ$4:$AJ609,$AJ609))</f>
        <v/>
      </c>
      <c r="AL609" s="39" t="str">
        <f aca="false">IF($AJ609="","",COUNTIF($AJ$4:$AJ$1004,$AJ609))</f>
        <v/>
      </c>
      <c r="AM609" s="42"/>
      <c r="AN609" s="50" t="str">
        <f aca="false">IF($D609="","",IFERROR(T(VLOOKUP($D609,Listas!$B$5:$H$120,7,0)),""))</f>
        <v/>
      </c>
      <c r="AO609" s="50" t="str">
        <f aca="false">IF(OR($F609="",$L609&lt;&gt;"",$R609="Cancelada",$AT609&lt;&gt;""),"",$AN609&amp;"|"&amp;$D609&amp;"|"&amp;IF($C609="","zzz",$C609)&amp;"|"&amp;TEXT(609,"0000"))</f>
        <v/>
      </c>
      <c r="AP609" s="50" t="str">
        <f aca="false">IF($AO609="","",COUNTIF($AO$5:$AO$1004,"&lt;"&amp;$AO609)-(ROWS($AO$5:$AO$1004)-Hoje!$L$5)+1)</f>
        <v/>
      </c>
      <c r="AQ609" s="50" t="n">
        <f aca="false">IF(AND($F609&lt;&gt;"",$D609=Frota!$C$3),1,0)</f>
        <v>0</v>
      </c>
      <c r="AR609" s="50" t="str">
        <f aca="false">IF($AQ609=0,"",SUM($AQ$4:$AQ609))</f>
        <v/>
      </c>
      <c r="AS609" s="50" t="str">
        <f aca="false">IFERROR(INDEX(Hoje!$K$10:$K$29,MATCH(ROW(),Hoje!$J$10:$J$29,0)),"")</f>
        <v/>
      </c>
      <c r="AT609" s="50" t="str">
        <f aca="false">IF($Q609&lt;&gt;"",$Q609,$AS609)</f>
        <v/>
      </c>
    </row>
    <row r="610" customFormat="false" ht="16.5" hidden="false" customHeight="true" outlineLevel="0" collapsed="false">
      <c r="A610" s="39" t="str">
        <f aca="false">IF($F610="","",ROW())</f>
        <v/>
      </c>
      <c r="B610" s="40" t="str">
        <f aca="false">IF($F610="",IF($D610="","","Falta a atividade"),IF($R610="Cancelada","Cancelada",IF($AB610=1,IF(N($Z610)&gt;0,"Concluída com atraso","Concluída"),IF($R610="Em programação","Em programação",IF($O610="",IF($M610="","Na carteira","Falta a semana"),IF($AC610=1,"VENCIDA",IF($O610&gt;Hoje!$L$1,"Programada",IF($P610&gt;Hoje!$L$1,"Em execução","Fecha hoje"))))))))</f>
        <v/>
      </c>
      <c r="C610" s="41"/>
      <c r="D610" s="42"/>
      <c r="E610" s="42"/>
      <c r="F610" s="42"/>
      <c r="G610" s="43"/>
      <c r="H610" s="43"/>
      <c r="I610" s="44"/>
      <c r="J610" s="44"/>
      <c r="K610" s="44"/>
      <c r="L610" s="45"/>
      <c r="M610" s="46"/>
      <c r="N610" s="45"/>
      <c r="O610" s="47" t="str">
        <f aca="false">IF(OR($L610="",$M610=""),"",(DATE(Semana!$J$3,1,4)-WEEKDAY(DATE(Semana!$J$3,1,4),3))+($L610-1)*7+MATCH($M610,Listas!$F$5:$F$11,0)-1)</f>
        <v/>
      </c>
      <c r="P610" s="47" t="str">
        <f aca="false">IF(OR($F610="",$O610=""),"",$O610+MAX(0,ROUNDUP($AK610*MAX(1,IF($N610="",1,$N610))/MAX(1,$AL610),0)-1))</f>
        <v/>
      </c>
      <c r="Q610" s="48"/>
      <c r="R610" s="43"/>
      <c r="S610" s="49"/>
      <c r="T610" s="42"/>
      <c r="U610" s="42"/>
      <c r="V610" s="39" t="str">
        <f aca="false">IF($F610="","",IF(ISNUMBER(SEARCH("(externo)",$I610&amp;$J610&amp;$K610)),"Terceirizada","Interna"))</f>
        <v/>
      </c>
      <c r="W610" s="47" t="str">
        <f aca="false">IF($O610="","",IF($S610="",$O610,(DATE(Semana!$J$3,1,4)-WEEKDAY(DATE(Semana!$J$3,1,4),3))+($S610-1)*7+IF($M610="",0,MATCH($M610,Listas!$F$5:$F$11,0)-1)))</f>
        <v/>
      </c>
      <c r="X610" s="39" t="str">
        <f aca="false">IF($F610="","",IF(OR($AT610="",$O610=""),0,IF($AT610&lt;=$O610,1,0)))</f>
        <v/>
      </c>
      <c r="Y610" s="39" t="str">
        <f aca="false">IF($F610="","",IF(OR($AT610="",$W610=""),0,IF($AT610&lt;=$W610,1,0)))</f>
        <v/>
      </c>
      <c r="Z610" s="39" t="str">
        <f aca="false">IF(OR($AT610="",$O610=""),"",MAX(0,$AT610-$O610))</f>
        <v/>
      </c>
      <c r="AA610" s="39" t="str">
        <f aca="false">IF($F610="","",IF(AND($S610&lt;&gt;"",$L610&lt;&gt;"",$S610&lt;&gt;$L610),1,0))</f>
        <v/>
      </c>
      <c r="AB610" s="39" t="str">
        <f aca="false">IF($F610="","",IF($R610="Cancelada",0,IF(OR($AT610&lt;&gt;"",$R610="Concluída"),1,0)))</f>
        <v/>
      </c>
      <c r="AC610" s="39" t="n">
        <f aca="false">IF($P610="",0,IF($P610&lt;Hoje!$L$1,1,IF(AND($P610=Hoje!$L$1,Hoje!$L$2&gt;Semana!$M$3),1,0)))</f>
        <v>0</v>
      </c>
      <c r="AD610" s="39" t="str">
        <f aca="false">IF($F610="","",IF(COUNTA($I610:$K610)=0,0,1/COUNTA($I610:$K610)))</f>
        <v/>
      </c>
      <c r="AE610" s="39" t="str">
        <f aca="false">IF($AH610=0,"",SUM($AH$4:$AH610))</f>
        <v/>
      </c>
      <c r="AF610" s="39" t="str">
        <f aca="false">IF($AI610=0,"",SUM($AI$4:$AI610))</f>
        <v/>
      </c>
      <c r="AG610" s="50" t="str">
        <f aca="false">IF($F610="","",$I610&amp;IF($J610="",""," · "&amp;$J610)&amp;IF($K610="",""," · "&amp;$K610))</f>
        <v/>
      </c>
      <c r="AH610" s="39" t="n">
        <f aca="false">IF(AND($F610&lt;&gt;"",$O610&lt;&gt;"",$O610&lt;=Hoje!$C$3,$P610&gt;=Hoje!$C$3,$R610&lt;&gt;"Cancelada"),1,0)</f>
        <v>0</v>
      </c>
      <c r="AI610" s="39" t="n">
        <f aca="false">IF(AND($F610&lt;&gt;"",$P610&lt;&gt;"",$P610&lt;Hoje!$C$3,$AB610=0,$R610&lt;&gt;"Cancelada"),1,0)</f>
        <v>0</v>
      </c>
      <c r="AJ610" s="50" t="str">
        <f aca="false">IF($F610="","",$D610&amp;"|"&amp;$E610&amp;"|"&amp;$L610)</f>
        <v/>
      </c>
      <c r="AK610" s="39" t="str">
        <f aca="false">IF($AJ610="","",COUNTIF($AJ$4:$AJ610,$AJ610))</f>
        <v/>
      </c>
      <c r="AL610" s="39" t="str">
        <f aca="false">IF($AJ610="","",COUNTIF($AJ$4:$AJ$1004,$AJ610))</f>
        <v/>
      </c>
      <c r="AM610" s="42"/>
      <c r="AN610" s="50" t="str">
        <f aca="false">IF($D610="","",IFERROR(T(VLOOKUP($D610,Listas!$B$5:$H$120,7,0)),""))</f>
        <v/>
      </c>
      <c r="AO610" s="50" t="str">
        <f aca="false">IF(OR($F610="",$L610&lt;&gt;"",$R610="Cancelada",$AT610&lt;&gt;""),"",$AN610&amp;"|"&amp;$D610&amp;"|"&amp;IF($C610="","zzz",$C610)&amp;"|"&amp;TEXT(610,"0000"))</f>
        <v/>
      </c>
      <c r="AP610" s="50" t="str">
        <f aca="false">IF($AO610="","",COUNTIF($AO$5:$AO$1004,"&lt;"&amp;$AO610)-(ROWS($AO$5:$AO$1004)-Hoje!$L$5)+1)</f>
        <v/>
      </c>
      <c r="AQ610" s="50" t="n">
        <f aca="false">IF(AND($F610&lt;&gt;"",$D610=Frota!$C$3),1,0)</f>
        <v>0</v>
      </c>
      <c r="AR610" s="50" t="str">
        <f aca="false">IF($AQ610=0,"",SUM($AQ$4:$AQ610))</f>
        <v/>
      </c>
      <c r="AS610" s="50" t="str">
        <f aca="false">IFERROR(INDEX(Hoje!$K$10:$K$29,MATCH(ROW(),Hoje!$J$10:$J$29,0)),"")</f>
        <v/>
      </c>
      <c r="AT610" s="50" t="str">
        <f aca="false">IF($Q610&lt;&gt;"",$Q610,$AS610)</f>
        <v/>
      </c>
    </row>
    <row r="611" customFormat="false" ht="16.5" hidden="false" customHeight="true" outlineLevel="0" collapsed="false">
      <c r="A611" s="39" t="str">
        <f aca="false">IF($F611="","",ROW())</f>
        <v/>
      </c>
      <c r="B611" s="40" t="str">
        <f aca="false">IF($F611="",IF($D611="","","Falta a atividade"),IF($R611="Cancelada","Cancelada",IF($AB611=1,IF(N($Z611)&gt;0,"Concluída com atraso","Concluída"),IF($R611="Em programação","Em programação",IF($O611="",IF($M611="","Na carteira","Falta a semana"),IF($AC611=1,"VENCIDA",IF($O611&gt;Hoje!$L$1,"Programada",IF($P611&gt;Hoje!$L$1,"Em execução","Fecha hoje"))))))))</f>
        <v/>
      </c>
      <c r="C611" s="41"/>
      <c r="D611" s="42"/>
      <c r="E611" s="42"/>
      <c r="F611" s="42"/>
      <c r="G611" s="43"/>
      <c r="H611" s="43"/>
      <c r="I611" s="44"/>
      <c r="J611" s="44"/>
      <c r="K611" s="44"/>
      <c r="L611" s="45"/>
      <c r="M611" s="46"/>
      <c r="N611" s="45"/>
      <c r="O611" s="47" t="str">
        <f aca="false">IF(OR($L611="",$M611=""),"",(DATE(Semana!$J$3,1,4)-WEEKDAY(DATE(Semana!$J$3,1,4),3))+($L611-1)*7+MATCH($M611,Listas!$F$5:$F$11,0)-1)</f>
        <v/>
      </c>
      <c r="P611" s="47" t="str">
        <f aca="false">IF(OR($F611="",$O611=""),"",$O611+MAX(0,ROUNDUP($AK611*MAX(1,IF($N611="",1,$N611))/MAX(1,$AL611),0)-1))</f>
        <v/>
      </c>
      <c r="Q611" s="48"/>
      <c r="R611" s="43"/>
      <c r="S611" s="49"/>
      <c r="T611" s="42"/>
      <c r="U611" s="42"/>
      <c r="V611" s="39" t="str">
        <f aca="false">IF($F611="","",IF(ISNUMBER(SEARCH("(externo)",$I611&amp;$J611&amp;$K611)),"Terceirizada","Interna"))</f>
        <v/>
      </c>
      <c r="W611" s="47" t="str">
        <f aca="false">IF($O611="","",IF($S611="",$O611,(DATE(Semana!$J$3,1,4)-WEEKDAY(DATE(Semana!$J$3,1,4),3))+($S611-1)*7+IF($M611="",0,MATCH($M611,Listas!$F$5:$F$11,0)-1)))</f>
        <v/>
      </c>
      <c r="X611" s="39" t="str">
        <f aca="false">IF($F611="","",IF(OR($AT611="",$O611=""),0,IF($AT611&lt;=$O611,1,0)))</f>
        <v/>
      </c>
      <c r="Y611" s="39" t="str">
        <f aca="false">IF($F611="","",IF(OR($AT611="",$W611=""),0,IF($AT611&lt;=$W611,1,0)))</f>
        <v/>
      </c>
      <c r="Z611" s="39" t="str">
        <f aca="false">IF(OR($AT611="",$O611=""),"",MAX(0,$AT611-$O611))</f>
        <v/>
      </c>
      <c r="AA611" s="39" t="str">
        <f aca="false">IF($F611="","",IF(AND($S611&lt;&gt;"",$L611&lt;&gt;"",$S611&lt;&gt;$L611),1,0))</f>
        <v/>
      </c>
      <c r="AB611" s="39" t="str">
        <f aca="false">IF($F611="","",IF($R611="Cancelada",0,IF(OR($AT611&lt;&gt;"",$R611="Concluída"),1,0)))</f>
        <v/>
      </c>
      <c r="AC611" s="39" t="n">
        <f aca="false">IF($P611="",0,IF($P611&lt;Hoje!$L$1,1,IF(AND($P611=Hoje!$L$1,Hoje!$L$2&gt;Semana!$M$3),1,0)))</f>
        <v>0</v>
      </c>
      <c r="AD611" s="39" t="str">
        <f aca="false">IF($F611="","",IF(COUNTA($I611:$K611)=0,0,1/COUNTA($I611:$K611)))</f>
        <v/>
      </c>
      <c r="AE611" s="39" t="str">
        <f aca="false">IF($AH611=0,"",SUM($AH$4:$AH611))</f>
        <v/>
      </c>
      <c r="AF611" s="39" t="str">
        <f aca="false">IF($AI611=0,"",SUM($AI$4:$AI611))</f>
        <v/>
      </c>
      <c r="AG611" s="50" t="str">
        <f aca="false">IF($F611="","",$I611&amp;IF($J611="",""," · "&amp;$J611)&amp;IF($K611="",""," · "&amp;$K611))</f>
        <v/>
      </c>
      <c r="AH611" s="39" t="n">
        <f aca="false">IF(AND($F611&lt;&gt;"",$O611&lt;&gt;"",$O611&lt;=Hoje!$C$3,$P611&gt;=Hoje!$C$3,$R611&lt;&gt;"Cancelada"),1,0)</f>
        <v>0</v>
      </c>
      <c r="AI611" s="39" t="n">
        <f aca="false">IF(AND($F611&lt;&gt;"",$P611&lt;&gt;"",$P611&lt;Hoje!$C$3,$AB611=0,$R611&lt;&gt;"Cancelada"),1,0)</f>
        <v>0</v>
      </c>
      <c r="AJ611" s="50" t="str">
        <f aca="false">IF($F611="","",$D611&amp;"|"&amp;$E611&amp;"|"&amp;$L611)</f>
        <v/>
      </c>
      <c r="AK611" s="39" t="str">
        <f aca="false">IF($AJ611="","",COUNTIF($AJ$4:$AJ611,$AJ611))</f>
        <v/>
      </c>
      <c r="AL611" s="39" t="str">
        <f aca="false">IF($AJ611="","",COUNTIF($AJ$4:$AJ$1004,$AJ611))</f>
        <v/>
      </c>
      <c r="AM611" s="42"/>
      <c r="AN611" s="50" t="str">
        <f aca="false">IF($D611="","",IFERROR(T(VLOOKUP($D611,Listas!$B$5:$H$120,7,0)),""))</f>
        <v/>
      </c>
      <c r="AO611" s="50" t="str">
        <f aca="false">IF(OR($F611="",$L611&lt;&gt;"",$R611="Cancelada",$AT611&lt;&gt;""),"",$AN611&amp;"|"&amp;$D611&amp;"|"&amp;IF($C611="","zzz",$C611)&amp;"|"&amp;TEXT(611,"0000"))</f>
        <v/>
      </c>
      <c r="AP611" s="50" t="str">
        <f aca="false">IF($AO611="","",COUNTIF($AO$5:$AO$1004,"&lt;"&amp;$AO611)-(ROWS($AO$5:$AO$1004)-Hoje!$L$5)+1)</f>
        <v/>
      </c>
      <c r="AQ611" s="50" t="n">
        <f aca="false">IF(AND($F611&lt;&gt;"",$D611=Frota!$C$3),1,0)</f>
        <v>0</v>
      </c>
      <c r="AR611" s="50" t="str">
        <f aca="false">IF($AQ611=0,"",SUM($AQ$4:$AQ611))</f>
        <v/>
      </c>
      <c r="AS611" s="50" t="str">
        <f aca="false">IFERROR(INDEX(Hoje!$K$10:$K$29,MATCH(ROW(),Hoje!$J$10:$J$29,0)),"")</f>
        <v/>
      </c>
      <c r="AT611" s="50" t="str">
        <f aca="false">IF($Q611&lt;&gt;"",$Q611,$AS611)</f>
        <v/>
      </c>
    </row>
    <row r="612" customFormat="false" ht="16.5" hidden="false" customHeight="true" outlineLevel="0" collapsed="false">
      <c r="A612" s="39" t="str">
        <f aca="false">IF($F612="","",ROW())</f>
        <v/>
      </c>
      <c r="B612" s="40" t="str">
        <f aca="false">IF($F612="",IF($D612="","","Falta a atividade"),IF($R612="Cancelada","Cancelada",IF($AB612=1,IF(N($Z612)&gt;0,"Concluída com atraso","Concluída"),IF($R612="Em programação","Em programação",IF($O612="",IF($M612="","Na carteira","Falta a semana"),IF($AC612=1,"VENCIDA",IF($O612&gt;Hoje!$L$1,"Programada",IF($P612&gt;Hoje!$L$1,"Em execução","Fecha hoje"))))))))</f>
        <v/>
      </c>
      <c r="C612" s="41"/>
      <c r="D612" s="42"/>
      <c r="E612" s="42"/>
      <c r="F612" s="42"/>
      <c r="G612" s="43"/>
      <c r="H612" s="43"/>
      <c r="I612" s="44"/>
      <c r="J612" s="44"/>
      <c r="K612" s="44"/>
      <c r="L612" s="45"/>
      <c r="M612" s="46"/>
      <c r="N612" s="45"/>
      <c r="O612" s="47" t="str">
        <f aca="false">IF(OR($L612="",$M612=""),"",(DATE(Semana!$J$3,1,4)-WEEKDAY(DATE(Semana!$J$3,1,4),3))+($L612-1)*7+MATCH($M612,Listas!$F$5:$F$11,0)-1)</f>
        <v/>
      </c>
      <c r="P612" s="47" t="str">
        <f aca="false">IF(OR($F612="",$O612=""),"",$O612+MAX(0,ROUNDUP($AK612*MAX(1,IF($N612="",1,$N612))/MAX(1,$AL612),0)-1))</f>
        <v/>
      </c>
      <c r="Q612" s="48"/>
      <c r="R612" s="43"/>
      <c r="S612" s="49"/>
      <c r="T612" s="42"/>
      <c r="U612" s="42"/>
      <c r="V612" s="39" t="str">
        <f aca="false">IF($F612="","",IF(ISNUMBER(SEARCH("(externo)",$I612&amp;$J612&amp;$K612)),"Terceirizada","Interna"))</f>
        <v/>
      </c>
      <c r="W612" s="47" t="str">
        <f aca="false">IF($O612="","",IF($S612="",$O612,(DATE(Semana!$J$3,1,4)-WEEKDAY(DATE(Semana!$J$3,1,4),3))+($S612-1)*7+IF($M612="",0,MATCH($M612,Listas!$F$5:$F$11,0)-1)))</f>
        <v/>
      </c>
      <c r="X612" s="39" t="str">
        <f aca="false">IF($F612="","",IF(OR($AT612="",$O612=""),0,IF($AT612&lt;=$O612,1,0)))</f>
        <v/>
      </c>
      <c r="Y612" s="39" t="str">
        <f aca="false">IF($F612="","",IF(OR($AT612="",$W612=""),0,IF($AT612&lt;=$W612,1,0)))</f>
        <v/>
      </c>
      <c r="Z612" s="39" t="str">
        <f aca="false">IF(OR($AT612="",$O612=""),"",MAX(0,$AT612-$O612))</f>
        <v/>
      </c>
      <c r="AA612" s="39" t="str">
        <f aca="false">IF($F612="","",IF(AND($S612&lt;&gt;"",$L612&lt;&gt;"",$S612&lt;&gt;$L612),1,0))</f>
        <v/>
      </c>
      <c r="AB612" s="39" t="str">
        <f aca="false">IF($F612="","",IF($R612="Cancelada",0,IF(OR($AT612&lt;&gt;"",$R612="Concluída"),1,0)))</f>
        <v/>
      </c>
      <c r="AC612" s="39" t="n">
        <f aca="false">IF($P612="",0,IF($P612&lt;Hoje!$L$1,1,IF(AND($P612=Hoje!$L$1,Hoje!$L$2&gt;Semana!$M$3),1,0)))</f>
        <v>0</v>
      </c>
      <c r="AD612" s="39" t="str">
        <f aca="false">IF($F612="","",IF(COUNTA($I612:$K612)=0,0,1/COUNTA($I612:$K612)))</f>
        <v/>
      </c>
      <c r="AE612" s="39" t="str">
        <f aca="false">IF($AH612=0,"",SUM($AH$4:$AH612))</f>
        <v/>
      </c>
      <c r="AF612" s="39" t="str">
        <f aca="false">IF($AI612=0,"",SUM($AI$4:$AI612))</f>
        <v/>
      </c>
      <c r="AG612" s="50" t="str">
        <f aca="false">IF($F612="","",$I612&amp;IF($J612="",""," · "&amp;$J612)&amp;IF($K612="",""," · "&amp;$K612))</f>
        <v/>
      </c>
      <c r="AH612" s="39" t="n">
        <f aca="false">IF(AND($F612&lt;&gt;"",$O612&lt;&gt;"",$O612&lt;=Hoje!$C$3,$P612&gt;=Hoje!$C$3,$R612&lt;&gt;"Cancelada"),1,0)</f>
        <v>0</v>
      </c>
      <c r="AI612" s="39" t="n">
        <f aca="false">IF(AND($F612&lt;&gt;"",$P612&lt;&gt;"",$P612&lt;Hoje!$C$3,$AB612=0,$R612&lt;&gt;"Cancelada"),1,0)</f>
        <v>0</v>
      </c>
      <c r="AJ612" s="50" t="str">
        <f aca="false">IF($F612="","",$D612&amp;"|"&amp;$E612&amp;"|"&amp;$L612)</f>
        <v/>
      </c>
      <c r="AK612" s="39" t="str">
        <f aca="false">IF($AJ612="","",COUNTIF($AJ$4:$AJ612,$AJ612))</f>
        <v/>
      </c>
      <c r="AL612" s="39" t="str">
        <f aca="false">IF($AJ612="","",COUNTIF($AJ$4:$AJ$1004,$AJ612))</f>
        <v/>
      </c>
      <c r="AM612" s="42"/>
      <c r="AN612" s="50" t="str">
        <f aca="false">IF($D612="","",IFERROR(T(VLOOKUP($D612,Listas!$B$5:$H$120,7,0)),""))</f>
        <v/>
      </c>
      <c r="AO612" s="50" t="str">
        <f aca="false">IF(OR($F612="",$L612&lt;&gt;"",$R612="Cancelada",$AT612&lt;&gt;""),"",$AN612&amp;"|"&amp;$D612&amp;"|"&amp;IF($C612="","zzz",$C612)&amp;"|"&amp;TEXT(612,"0000"))</f>
        <v/>
      </c>
      <c r="AP612" s="50" t="str">
        <f aca="false">IF($AO612="","",COUNTIF($AO$5:$AO$1004,"&lt;"&amp;$AO612)-(ROWS($AO$5:$AO$1004)-Hoje!$L$5)+1)</f>
        <v/>
      </c>
      <c r="AQ612" s="50" t="n">
        <f aca="false">IF(AND($F612&lt;&gt;"",$D612=Frota!$C$3),1,0)</f>
        <v>0</v>
      </c>
      <c r="AR612" s="50" t="str">
        <f aca="false">IF($AQ612=0,"",SUM($AQ$4:$AQ612))</f>
        <v/>
      </c>
      <c r="AS612" s="50" t="str">
        <f aca="false">IFERROR(INDEX(Hoje!$K$10:$K$29,MATCH(ROW(),Hoje!$J$10:$J$29,0)),"")</f>
        <v/>
      </c>
      <c r="AT612" s="50" t="str">
        <f aca="false">IF($Q612&lt;&gt;"",$Q612,$AS612)</f>
        <v/>
      </c>
    </row>
    <row r="613" customFormat="false" ht="16.5" hidden="false" customHeight="true" outlineLevel="0" collapsed="false">
      <c r="A613" s="39" t="str">
        <f aca="false">IF($F613="","",ROW())</f>
        <v/>
      </c>
      <c r="B613" s="40" t="str">
        <f aca="false">IF($F613="",IF($D613="","","Falta a atividade"),IF($R613="Cancelada","Cancelada",IF($AB613=1,IF(N($Z613)&gt;0,"Concluída com atraso","Concluída"),IF($R613="Em programação","Em programação",IF($O613="",IF($M613="","Na carteira","Falta a semana"),IF($AC613=1,"VENCIDA",IF($O613&gt;Hoje!$L$1,"Programada",IF($P613&gt;Hoje!$L$1,"Em execução","Fecha hoje"))))))))</f>
        <v/>
      </c>
      <c r="C613" s="41"/>
      <c r="D613" s="42"/>
      <c r="E613" s="42"/>
      <c r="F613" s="42"/>
      <c r="G613" s="43"/>
      <c r="H613" s="43"/>
      <c r="I613" s="44"/>
      <c r="J613" s="44"/>
      <c r="K613" s="44"/>
      <c r="L613" s="45"/>
      <c r="M613" s="46"/>
      <c r="N613" s="45"/>
      <c r="O613" s="47" t="str">
        <f aca="false">IF(OR($L613="",$M613=""),"",(DATE(Semana!$J$3,1,4)-WEEKDAY(DATE(Semana!$J$3,1,4),3))+($L613-1)*7+MATCH($M613,Listas!$F$5:$F$11,0)-1)</f>
        <v/>
      </c>
      <c r="P613" s="47" t="str">
        <f aca="false">IF(OR($F613="",$O613=""),"",$O613+MAX(0,ROUNDUP($AK613*MAX(1,IF($N613="",1,$N613))/MAX(1,$AL613),0)-1))</f>
        <v/>
      </c>
      <c r="Q613" s="48"/>
      <c r="R613" s="43"/>
      <c r="S613" s="49"/>
      <c r="T613" s="42"/>
      <c r="U613" s="42"/>
      <c r="V613" s="39" t="str">
        <f aca="false">IF($F613="","",IF(ISNUMBER(SEARCH("(externo)",$I613&amp;$J613&amp;$K613)),"Terceirizada","Interna"))</f>
        <v/>
      </c>
      <c r="W613" s="47" t="str">
        <f aca="false">IF($O613="","",IF($S613="",$O613,(DATE(Semana!$J$3,1,4)-WEEKDAY(DATE(Semana!$J$3,1,4),3))+($S613-1)*7+IF($M613="",0,MATCH($M613,Listas!$F$5:$F$11,0)-1)))</f>
        <v/>
      </c>
      <c r="X613" s="39" t="str">
        <f aca="false">IF($F613="","",IF(OR($AT613="",$O613=""),0,IF($AT613&lt;=$O613,1,0)))</f>
        <v/>
      </c>
      <c r="Y613" s="39" t="str">
        <f aca="false">IF($F613="","",IF(OR($AT613="",$W613=""),0,IF($AT613&lt;=$W613,1,0)))</f>
        <v/>
      </c>
      <c r="Z613" s="39" t="str">
        <f aca="false">IF(OR($AT613="",$O613=""),"",MAX(0,$AT613-$O613))</f>
        <v/>
      </c>
      <c r="AA613" s="39" t="str">
        <f aca="false">IF($F613="","",IF(AND($S613&lt;&gt;"",$L613&lt;&gt;"",$S613&lt;&gt;$L613),1,0))</f>
        <v/>
      </c>
      <c r="AB613" s="39" t="str">
        <f aca="false">IF($F613="","",IF($R613="Cancelada",0,IF(OR($AT613&lt;&gt;"",$R613="Concluída"),1,0)))</f>
        <v/>
      </c>
      <c r="AC613" s="39" t="n">
        <f aca="false">IF($P613="",0,IF($P613&lt;Hoje!$L$1,1,IF(AND($P613=Hoje!$L$1,Hoje!$L$2&gt;Semana!$M$3),1,0)))</f>
        <v>0</v>
      </c>
      <c r="AD613" s="39" t="str">
        <f aca="false">IF($F613="","",IF(COUNTA($I613:$K613)=0,0,1/COUNTA($I613:$K613)))</f>
        <v/>
      </c>
      <c r="AE613" s="39" t="str">
        <f aca="false">IF($AH613=0,"",SUM($AH$4:$AH613))</f>
        <v/>
      </c>
      <c r="AF613" s="39" t="str">
        <f aca="false">IF($AI613=0,"",SUM($AI$4:$AI613))</f>
        <v/>
      </c>
      <c r="AG613" s="50" t="str">
        <f aca="false">IF($F613="","",$I613&amp;IF($J613="",""," · "&amp;$J613)&amp;IF($K613="",""," · "&amp;$K613))</f>
        <v/>
      </c>
      <c r="AH613" s="39" t="n">
        <f aca="false">IF(AND($F613&lt;&gt;"",$O613&lt;&gt;"",$O613&lt;=Hoje!$C$3,$P613&gt;=Hoje!$C$3,$R613&lt;&gt;"Cancelada"),1,0)</f>
        <v>0</v>
      </c>
      <c r="AI613" s="39" t="n">
        <f aca="false">IF(AND($F613&lt;&gt;"",$P613&lt;&gt;"",$P613&lt;Hoje!$C$3,$AB613=0,$R613&lt;&gt;"Cancelada"),1,0)</f>
        <v>0</v>
      </c>
      <c r="AJ613" s="50" t="str">
        <f aca="false">IF($F613="","",$D613&amp;"|"&amp;$E613&amp;"|"&amp;$L613)</f>
        <v/>
      </c>
      <c r="AK613" s="39" t="str">
        <f aca="false">IF($AJ613="","",COUNTIF($AJ$4:$AJ613,$AJ613))</f>
        <v/>
      </c>
      <c r="AL613" s="39" t="str">
        <f aca="false">IF($AJ613="","",COUNTIF($AJ$4:$AJ$1004,$AJ613))</f>
        <v/>
      </c>
      <c r="AM613" s="42"/>
      <c r="AN613" s="50" t="str">
        <f aca="false">IF($D613="","",IFERROR(T(VLOOKUP($D613,Listas!$B$5:$H$120,7,0)),""))</f>
        <v/>
      </c>
      <c r="AO613" s="50" t="str">
        <f aca="false">IF(OR($F613="",$L613&lt;&gt;"",$R613="Cancelada",$AT613&lt;&gt;""),"",$AN613&amp;"|"&amp;$D613&amp;"|"&amp;IF($C613="","zzz",$C613)&amp;"|"&amp;TEXT(613,"0000"))</f>
        <v/>
      </c>
      <c r="AP613" s="50" t="str">
        <f aca="false">IF($AO613="","",COUNTIF($AO$5:$AO$1004,"&lt;"&amp;$AO613)-(ROWS($AO$5:$AO$1004)-Hoje!$L$5)+1)</f>
        <v/>
      </c>
      <c r="AQ613" s="50" t="n">
        <f aca="false">IF(AND($F613&lt;&gt;"",$D613=Frota!$C$3),1,0)</f>
        <v>0</v>
      </c>
      <c r="AR613" s="50" t="str">
        <f aca="false">IF($AQ613=0,"",SUM($AQ$4:$AQ613))</f>
        <v/>
      </c>
      <c r="AS613" s="50" t="str">
        <f aca="false">IFERROR(INDEX(Hoje!$K$10:$K$29,MATCH(ROW(),Hoje!$J$10:$J$29,0)),"")</f>
        <v/>
      </c>
      <c r="AT613" s="50" t="str">
        <f aca="false">IF($Q613&lt;&gt;"",$Q613,$AS613)</f>
        <v/>
      </c>
    </row>
    <row r="614" customFormat="false" ht="16.5" hidden="false" customHeight="true" outlineLevel="0" collapsed="false">
      <c r="A614" s="39" t="str">
        <f aca="false">IF($F614="","",ROW())</f>
        <v/>
      </c>
      <c r="B614" s="40" t="str">
        <f aca="false">IF($F614="",IF($D614="","","Falta a atividade"),IF($R614="Cancelada","Cancelada",IF($AB614=1,IF(N($Z614)&gt;0,"Concluída com atraso","Concluída"),IF($R614="Em programação","Em programação",IF($O614="",IF($M614="","Na carteira","Falta a semana"),IF($AC614=1,"VENCIDA",IF($O614&gt;Hoje!$L$1,"Programada",IF($P614&gt;Hoje!$L$1,"Em execução","Fecha hoje"))))))))</f>
        <v/>
      </c>
      <c r="C614" s="41"/>
      <c r="D614" s="42"/>
      <c r="E614" s="42"/>
      <c r="F614" s="42"/>
      <c r="G614" s="43"/>
      <c r="H614" s="43"/>
      <c r="I614" s="44"/>
      <c r="J614" s="44"/>
      <c r="K614" s="44"/>
      <c r="L614" s="45"/>
      <c r="M614" s="46"/>
      <c r="N614" s="45"/>
      <c r="O614" s="47" t="str">
        <f aca="false">IF(OR($L614="",$M614=""),"",(DATE(Semana!$J$3,1,4)-WEEKDAY(DATE(Semana!$J$3,1,4),3))+($L614-1)*7+MATCH($M614,Listas!$F$5:$F$11,0)-1)</f>
        <v/>
      </c>
      <c r="P614" s="47" t="str">
        <f aca="false">IF(OR($F614="",$O614=""),"",$O614+MAX(0,ROUNDUP($AK614*MAX(1,IF($N614="",1,$N614))/MAX(1,$AL614),0)-1))</f>
        <v/>
      </c>
      <c r="Q614" s="48"/>
      <c r="R614" s="43"/>
      <c r="S614" s="49"/>
      <c r="T614" s="42"/>
      <c r="U614" s="42"/>
      <c r="V614" s="39" t="str">
        <f aca="false">IF($F614="","",IF(ISNUMBER(SEARCH("(externo)",$I614&amp;$J614&amp;$K614)),"Terceirizada","Interna"))</f>
        <v/>
      </c>
      <c r="W614" s="47" t="str">
        <f aca="false">IF($O614="","",IF($S614="",$O614,(DATE(Semana!$J$3,1,4)-WEEKDAY(DATE(Semana!$J$3,1,4),3))+($S614-1)*7+IF($M614="",0,MATCH($M614,Listas!$F$5:$F$11,0)-1)))</f>
        <v/>
      </c>
      <c r="X614" s="39" t="str">
        <f aca="false">IF($F614="","",IF(OR($AT614="",$O614=""),0,IF($AT614&lt;=$O614,1,0)))</f>
        <v/>
      </c>
      <c r="Y614" s="39" t="str">
        <f aca="false">IF($F614="","",IF(OR($AT614="",$W614=""),0,IF($AT614&lt;=$W614,1,0)))</f>
        <v/>
      </c>
      <c r="Z614" s="39" t="str">
        <f aca="false">IF(OR($AT614="",$O614=""),"",MAX(0,$AT614-$O614))</f>
        <v/>
      </c>
      <c r="AA614" s="39" t="str">
        <f aca="false">IF($F614="","",IF(AND($S614&lt;&gt;"",$L614&lt;&gt;"",$S614&lt;&gt;$L614),1,0))</f>
        <v/>
      </c>
      <c r="AB614" s="39" t="str">
        <f aca="false">IF($F614="","",IF($R614="Cancelada",0,IF(OR($AT614&lt;&gt;"",$R614="Concluída"),1,0)))</f>
        <v/>
      </c>
      <c r="AC614" s="39" t="n">
        <f aca="false">IF($P614="",0,IF($P614&lt;Hoje!$L$1,1,IF(AND($P614=Hoje!$L$1,Hoje!$L$2&gt;Semana!$M$3),1,0)))</f>
        <v>0</v>
      </c>
      <c r="AD614" s="39" t="str">
        <f aca="false">IF($F614="","",IF(COUNTA($I614:$K614)=0,0,1/COUNTA($I614:$K614)))</f>
        <v/>
      </c>
      <c r="AE614" s="39" t="str">
        <f aca="false">IF($AH614=0,"",SUM($AH$4:$AH614))</f>
        <v/>
      </c>
      <c r="AF614" s="39" t="str">
        <f aca="false">IF($AI614=0,"",SUM($AI$4:$AI614))</f>
        <v/>
      </c>
      <c r="AG614" s="50" t="str">
        <f aca="false">IF($F614="","",$I614&amp;IF($J614="",""," · "&amp;$J614)&amp;IF($K614="",""," · "&amp;$K614))</f>
        <v/>
      </c>
      <c r="AH614" s="39" t="n">
        <f aca="false">IF(AND($F614&lt;&gt;"",$O614&lt;&gt;"",$O614&lt;=Hoje!$C$3,$P614&gt;=Hoje!$C$3,$R614&lt;&gt;"Cancelada"),1,0)</f>
        <v>0</v>
      </c>
      <c r="AI614" s="39" t="n">
        <f aca="false">IF(AND($F614&lt;&gt;"",$P614&lt;&gt;"",$P614&lt;Hoje!$C$3,$AB614=0,$R614&lt;&gt;"Cancelada"),1,0)</f>
        <v>0</v>
      </c>
      <c r="AJ614" s="50" t="str">
        <f aca="false">IF($F614="","",$D614&amp;"|"&amp;$E614&amp;"|"&amp;$L614)</f>
        <v/>
      </c>
      <c r="AK614" s="39" t="str">
        <f aca="false">IF($AJ614="","",COUNTIF($AJ$4:$AJ614,$AJ614))</f>
        <v/>
      </c>
      <c r="AL614" s="39" t="str">
        <f aca="false">IF($AJ614="","",COUNTIF($AJ$4:$AJ$1004,$AJ614))</f>
        <v/>
      </c>
      <c r="AM614" s="42"/>
      <c r="AN614" s="50" t="str">
        <f aca="false">IF($D614="","",IFERROR(T(VLOOKUP($D614,Listas!$B$5:$H$120,7,0)),""))</f>
        <v/>
      </c>
      <c r="AO614" s="50" t="str">
        <f aca="false">IF(OR($F614="",$L614&lt;&gt;"",$R614="Cancelada",$AT614&lt;&gt;""),"",$AN614&amp;"|"&amp;$D614&amp;"|"&amp;IF($C614="","zzz",$C614)&amp;"|"&amp;TEXT(614,"0000"))</f>
        <v/>
      </c>
      <c r="AP614" s="50" t="str">
        <f aca="false">IF($AO614="","",COUNTIF($AO$5:$AO$1004,"&lt;"&amp;$AO614)-(ROWS($AO$5:$AO$1004)-Hoje!$L$5)+1)</f>
        <v/>
      </c>
      <c r="AQ614" s="50" t="n">
        <f aca="false">IF(AND($F614&lt;&gt;"",$D614=Frota!$C$3),1,0)</f>
        <v>0</v>
      </c>
      <c r="AR614" s="50" t="str">
        <f aca="false">IF($AQ614=0,"",SUM($AQ$4:$AQ614))</f>
        <v/>
      </c>
      <c r="AS614" s="50" t="str">
        <f aca="false">IFERROR(INDEX(Hoje!$K$10:$K$29,MATCH(ROW(),Hoje!$J$10:$J$29,0)),"")</f>
        <v/>
      </c>
      <c r="AT614" s="50" t="str">
        <f aca="false">IF($Q614&lt;&gt;"",$Q614,$AS614)</f>
        <v/>
      </c>
    </row>
    <row r="615" customFormat="false" ht="16.5" hidden="false" customHeight="true" outlineLevel="0" collapsed="false">
      <c r="A615" s="39" t="str">
        <f aca="false">IF($F615="","",ROW())</f>
        <v/>
      </c>
      <c r="B615" s="40" t="str">
        <f aca="false">IF($F615="",IF($D615="","","Falta a atividade"),IF($R615="Cancelada","Cancelada",IF($AB615=1,IF(N($Z615)&gt;0,"Concluída com atraso","Concluída"),IF($R615="Em programação","Em programação",IF($O615="",IF($M615="","Na carteira","Falta a semana"),IF($AC615=1,"VENCIDA",IF($O615&gt;Hoje!$L$1,"Programada",IF($P615&gt;Hoje!$L$1,"Em execução","Fecha hoje"))))))))</f>
        <v/>
      </c>
      <c r="C615" s="41"/>
      <c r="D615" s="42"/>
      <c r="E615" s="42"/>
      <c r="F615" s="42"/>
      <c r="G615" s="43"/>
      <c r="H615" s="43"/>
      <c r="I615" s="44"/>
      <c r="J615" s="44"/>
      <c r="K615" s="44"/>
      <c r="L615" s="45"/>
      <c r="M615" s="46"/>
      <c r="N615" s="45"/>
      <c r="O615" s="47" t="str">
        <f aca="false">IF(OR($L615="",$M615=""),"",(DATE(Semana!$J$3,1,4)-WEEKDAY(DATE(Semana!$J$3,1,4),3))+($L615-1)*7+MATCH($M615,Listas!$F$5:$F$11,0)-1)</f>
        <v/>
      </c>
      <c r="P615" s="47" t="str">
        <f aca="false">IF(OR($F615="",$O615=""),"",$O615+MAX(0,ROUNDUP($AK615*MAX(1,IF($N615="",1,$N615))/MAX(1,$AL615),0)-1))</f>
        <v/>
      </c>
      <c r="Q615" s="48"/>
      <c r="R615" s="43"/>
      <c r="S615" s="49"/>
      <c r="T615" s="42"/>
      <c r="U615" s="42"/>
      <c r="V615" s="39" t="str">
        <f aca="false">IF($F615="","",IF(ISNUMBER(SEARCH("(externo)",$I615&amp;$J615&amp;$K615)),"Terceirizada","Interna"))</f>
        <v/>
      </c>
      <c r="W615" s="47" t="str">
        <f aca="false">IF($O615="","",IF($S615="",$O615,(DATE(Semana!$J$3,1,4)-WEEKDAY(DATE(Semana!$J$3,1,4),3))+($S615-1)*7+IF($M615="",0,MATCH($M615,Listas!$F$5:$F$11,0)-1)))</f>
        <v/>
      </c>
      <c r="X615" s="39" t="str">
        <f aca="false">IF($F615="","",IF(OR($AT615="",$O615=""),0,IF($AT615&lt;=$O615,1,0)))</f>
        <v/>
      </c>
      <c r="Y615" s="39" t="str">
        <f aca="false">IF($F615="","",IF(OR($AT615="",$W615=""),0,IF($AT615&lt;=$W615,1,0)))</f>
        <v/>
      </c>
      <c r="Z615" s="39" t="str">
        <f aca="false">IF(OR($AT615="",$O615=""),"",MAX(0,$AT615-$O615))</f>
        <v/>
      </c>
      <c r="AA615" s="39" t="str">
        <f aca="false">IF($F615="","",IF(AND($S615&lt;&gt;"",$L615&lt;&gt;"",$S615&lt;&gt;$L615),1,0))</f>
        <v/>
      </c>
      <c r="AB615" s="39" t="str">
        <f aca="false">IF($F615="","",IF($R615="Cancelada",0,IF(OR($AT615&lt;&gt;"",$R615="Concluída"),1,0)))</f>
        <v/>
      </c>
      <c r="AC615" s="39" t="n">
        <f aca="false">IF($P615="",0,IF($P615&lt;Hoje!$L$1,1,IF(AND($P615=Hoje!$L$1,Hoje!$L$2&gt;Semana!$M$3),1,0)))</f>
        <v>0</v>
      </c>
      <c r="AD615" s="39" t="str">
        <f aca="false">IF($F615="","",IF(COUNTA($I615:$K615)=0,0,1/COUNTA($I615:$K615)))</f>
        <v/>
      </c>
      <c r="AE615" s="39" t="str">
        <f aca="false">IF($AH615=0,"",SUM($AH$4:$AH615))</f>
        <v/>
      </c>
      <c r="AF615" s="39" t="str">
        <f aca="false">IF($AI615=0,"",SUM($AI$4:$AI615))</f>
        <v/>
      </c>
      <c r="AG615" s="50" t="str">
        <f aca="false">IF($F615="","",$I615&amp;IF($J615="",""," · "&amp;$J615)&amp;IF($K615="",""," · "&amp;$K615))</f>
        <v/>
      </c>
      <c r="AH615" s="39" t="n">
        <f aca="false">IF(AND($F615&lt;&gt;"",$O615&lt;&gt;"",$O615&lt;=Hoje!$C$3,$P615&gt;=Hoje!$C$3,$R615&lt;&gt;"Cancelada"),1,0)</f>
        <v>0</v>
      </c>
      <c r="AI615" s="39" t="n">
        <f aca="false">IF(AND($F615&lt;&gt;"",$P615&lt;&gt;"",$P615&lt;Hoje!$C$3,$AB615=0,$R615&lt;&gt;"Cancelada"),1,0)</f>
        <v>0</v>
      </c>
      <c r="AJ615" s="50" t="str">
        <f aca="false">IF($F615="","",$D615&amp;"|"&amp;$E615&amp;"|"&amp;$L615)</f>
        <v/>
      </c>
      <c r="AK615" s="39" t="str">
        <f aca="false">IF($AJ615="","",COUNTIF($AJ$4:$AJ615,$AJ615))</f>
        <v/>
      </c>
      <c r="AL615" s="39" t="str">
        <f aca="false">IF($AJ615="","",COUNTIF($AJ$4:$AJ$1004,$AJ615))</f>
        <v/>
      </c>
      <c r="AM615" s="42"/>
      <c r="AN615" s="50" t="str">
        <f aca="false">IF($D615="","",IFERROR(T(VLOOKUP($D615,Listas!$B$5:$H$120,7,0)),""))</f>
        <v/>
      </c>
      <c r="AO615" s="50" t="str">
        <f aca="false">IF(OR($F615="",$L615&lt;&gt;"",$R615="Cancelada",$AT615&lt;&gt;""),"",$AN615&amp;"|"&amp;$D615&amp;"|"&amp;IF($C615="","zzz",$C615)&amp;"|"&amp;TEXT(615,"0000"))</f>
        <v/>
      </c>
      <c r="AP615" s="50" t="str">
        <f aca="false">IF($AO615="","",COUNTIF($AO$5:$AO$1004,"&lt;"&amp;$AO615)-(ROWS($AO$5:$AO$1004)-Hoje!$L$5)+1)</f>
        <v/>
      </c>
      <c r="AQ615" s="50" t="n">
        <f aca="false">IF(AND($F615&lt;&gt;"",$D615=Frota!$C$3),1,0)</f>
        <v>0</v>
      </c>
      <c r="AR615" s="50" t="str">
        <f aca="false">IF($AQ615=0,"",SUM($AQ$4:$AQ615))</f>
        <v/>
      </c>
      <c r="AS615" s="50" t="str">
        <f aca="false">IFERROR(INDEX(Hoje!$K$10:$K$29,MATCH(ROW(),Hoje!$J$10:$J$29,0)),"")</f>
        <v/>
      </c>
      <c r="AT615" s="50" t="str">
        <f aca="false">IF($Q615&lt;&gt;"",$Q615,$AS615)</f>
        <v/>
      </c>
    </row>
    <row r="616" customFormat="false" ht="16.5" hidden="false" customHeight="true" outlineLevel="0" collapsed="false">
      <c r="A616" s="39" t="str">
        <f aca="false">IF($F616="","",ROW())</f>
        <v/>
      </c>
      <c r="B616" s="40" t="str">
        <f aca="false">IF($F616="",IF($D616="","","Falta a atividade"),IF($R616="Cancelada","Cancelada",IF($AB616=1,IF(N($Z616)&gt;0,"Concluída com atraso","Concluída"),IF($R616="Em programação","Em programação",IF($O616="",IF($M616="","Na carteira","Falta a semana"),IF($AC616=1,"VENCIDA",IF($O616&gt;Hoje!$L$1,"Programada",IF($P616&gt;Hoje!$L$1,"Em execução","Fecha hoje"))))))))</f>
        <v/>
      </c>
      <c r="C616" s="41"/>
      <c r="D616" s="42"/>
      <c r="E616" s="42"/>
      <c r="F616" s="42"/>
      <c r="G616" s="43"/>
      <c r="H616" s="43"/>
      <c r="I616" s="44"/>
      <c r="J616" s="44"/>
      <c r="K616" s="44"/>
      <c r="L616" s="45"/>
      <c r="M616" s="46"/>
      <c r="N616" s="45"/>
      <c r="O616" s="47" t="str">
        <f aca="false">IF(OR($L616="",$M616=""),"",(DATE(Semana!$J$3,1,4)-WEEKDAY(DATE(Semana!$J$3,1,4),3))+($L616-1)*7+MATCH($M616,Listas!$F$5:$F$11,0)-1)</f>
        <v/>
      </c>
      <c r="P616" s="47" t="str">
        <f aca="false">IF(OR($F616="",$O616=""),"",$O616+MAX(0,ROUNDUP($AK616*MAX(1,IF($N616="",1,$N616))/MAX(1,$AL616),0)-1))</f>
        <v/>
      </c>
      <c r="Q616" s="48"/>
      <c r="R616" s="43"/>
      <c r="S616" s="49"/>
      <c r="T616" s="42"/>
      <c r="U616" s="42"/>
      <c r="V616" s="39" t="str">
        <f aca="false">IF($F616="","",IF(ISNUMBER(SEARCH("(externo)",$I616&amp;$J616&amp;$K616)),"Terceirizada","Interna"))</f>
        <v/>
      </c>
      <c r="W616" s="47" t="str">
        <f aca="false">IF($O616="","",IF($S616="",$O616,(DATE(Semana!$J$3,1,4)-WEEKDAY(DATE(Semana!$J$3,1,4),3))+($S616-1)*7+IF($M616="",0,MATCH($M616,Listas!$F$5:$F$11,0)-1)))</f>
        <v/>
      </c>
      <c r="X616" s="39" t="str">
        <f aca="false">IF($F616="","",IF(OR($AT616="",$O616=""),0,IF($AT616&lt;=$O616,1,0)))</f>
        <v/>
      </c>
      <c r="Y616" s="39" t="str">
        <f aca="false">IF($F616="","",IF(OR($AT616="",$W616=""),0,IF($AT616&lt;=$W616,1,0)))</f>
        <v/>
      </c>
      <c r="Z616" s="39" t="str">
        <f aca="false">IF(OR($AT616="",$O616=""),"",MAX(0,$AT616-$O616))</f>
        <v/>
      </c>
      <c r="AA616" s="39" t="str">
        <f aca="false">IF($F616="","",IF(AND($S616&lt;&gt;"",$L616&lt;&gt;"",$S616&lt;&gt;$L616),1,0))</f>
        <v/>
      </c>
      <c r="AB616" s="39" t="str">
        <f aca="false">IF($F616="","",IF($R616="Cancelada",0,IF(OR($AT616&lt;&gt;"",$R616="Concluída"),1,0)))</f>
        <v/>
      </c>
      <c r="AC616" s="39" t="n">
        <f aca="false">IF($P616="",0,IF($P616&lt;Hoje!$L$1,1,IF(AND($P616=Hoje!$L$1,Hoje!$L$2&gt;Semana!$M$3),1,0)))</f>
        <v>0</v>
      </c>
      <c r="AD616" s="39" t="str">
        <f aca="false">IF($F616="","",IF(COUNTA($I616:$K616)=0,0,1/COUNTA($I616:$K616)))</f>
        <v/>
      </c>
      <c r="AE616" s="39" t="str">
        <f aca="false">IF($AH616=0,"",SUM($AH$4:$AH616))</f>
        <v/>
      </c>
      <c r="AF616" s="39" t="str">
        <f aca="false">IF($AI616=0,"",SUM($AI$4:$AI616))</f>
        <v/>
      </c>
      <c r="AG616" s="50" t="str">
        <f aca="false">IF($F616="","",$I616&amp;IF($J616="",""," · "&amp;$J616)&amp;IF($K616="",""," · "&amp;$K616))</f>
        <v/>
      </c>
      <c r="AH616" s="39" t="n">
        <f aca="false">IF(AND($F616&lt;&gt;"",$O616&lt;&gt;"",$O616&lt;=Hoje!$C$3,$P616&gt;=Hoje!$C$3,$R616&lt;&gt;"Cancelada"),1,0)</f>
        <v>0</v>
      </c>
      <c r="AI616" s="39" t="n">
        <f aca="false">IF(AND($F616&lt;&gt;"",$P616&lt;&gt;"",$P616&lt;Hoje!$C$3,$AB616=0,$R616&lt;&gt;"Cancelada"),1,0)</f>
        <v>0</v>
      </c>
      <c r="AJ616" s="50" t="str">
        <f aca="false">IF($F616="","",$D616&amp;"|"&amp;$E616&amp;"|"&amp;$L616)</f>
        <v/>
      </c>
      <c r="AK616" s="39" t="str">
        <f aca="false">IF($AJ616="","",COUNTIF($AJ$4:$AJ616,$AJ616))</f>
        <v/>
      </c>
      <c r="AL616" s="39" t="str">
        <f aca="false">IF($AJ616="","",COUNTIF($AJ$4:$AJ$1004,$AJ616))</f>
        <v/>
      </c>
      <c r="AM616" s="42"/>
      <c r="AN616" s="50" t="str">
        <f aca="false">IF($D616="","",IFERROR(T(VLOOKUP($D616,Listas!$B$5:$H$120,7,0)),""))</f>
        <v/>
      </c>
      <c r="AO616" s="50" t="str">
        <f aca="false">IF(OR($F616="",$L616&lt;&gt;"",$R616="Cancelada",$AT616&lt;&gt;""),"",$AN616&amp;"|"&amp;$D616&amp;"|"&amp;IF($C616="","zzz",$C616)&amp;"|"&amp;TEXT(616,"0000"))</f>
        <v/>
      </c>
      <c r="AP616" s="50" t="str">
        <f aca="false">IF($AO616="","",COUNTIF($AO$5:$AO$1004,"&lt;"&amp;$AO616)-(ROWS($AO$5:$AO$1004)-Hoje!$L$5)+1)</f>
        <v/>
      </c>
      <c r="AQ616" s="50" t="n">
        <f aca="false">IF(AND($F616&lt;&gt;"",$D616=Frota!$C$3),1,0)</f>
        <v>0</v>
      </c>
      <c r="AR616" s="50" t="str">
        <f aca="false">IF($AQ616=0,"",SUM($AQ$4:$AQ616))</f>
        <v/>
      </c>
      <c r="AS616" s="50" t="str">
        <f aca="false">IFERROR(INDEX(Hoje!$K$10:$K$29,MATCH(ROW(),Hoje!$J$10:$J$29,0)),"")</f>
        <v/>
      </c>
      <c r="AT616" s="50" t="str">
        <f aca="false">IF($Q616&lt;&gt;"",$Q616,$AS616)</f>
        <v/>
      </c>
    </row>
    <row r="617" customFormat="false" ht="16.5" hidden="false" customHeight="true" outlineLevel="0" collapsed="false">
      <c r="A617" s="39" t="str">
        <f aca="false">IF($F617="","",ROW())</f>
        <v/>
      </c>
      <c r="B617" s="40" t="str">
        <f aca="false">IF($F617="",IF($D617="","","Falta a atividade"),IF($R617="Cancelada","Cancelada",IF($AB617=1,IF(N($Z617)&gt;0,"Concluída com atraso","Concluída"),IF($R617="Em programação","Em programação",IF($O617="",IF($M617="","Na carteira","Falta a semana"),IF($AC617=1,"VENCIDA",IF($O617&gt;Hoje!$L$1,"Programada",IF($P617&gt;Hoje!$L$1,"Em execução","Fecha hoje"))))))))</f>
        <v/>
      </c>
      <c r="C617" s="41"/>
      <c r="D617" s="42"/>
      <c r="E617" s="42"/>
      <c r="F617" s="42"/>
      <c r="G617" s="43"/>
      <c r="H617" s="43"/>
      <c r="I617" s="44"/>
      <c r="J617" s="44"/>
      <c r="K617" s="44"/>
      <c r="L617" s="45"/>
      <c r="M617" s="46"/>
      <c r="N617" s="45"/>
      <c r="O617" s="47" t="str">
        <f aca="false">IF(OR($L617="",$M617=""),"",(DATE(Semana!$J$3,1,4)-WEEKDAY(DATE(Semana!$J$3,1,4),3))+($L617-1)*7+MATCH($M617,Listas!$F$5:$F$11,0)-1)</f>
        <v/>
      </c>
      <c r="P617" s="47" t="str">
        <f aca="false">IF(OR($F617="",$O617=""),"",$O617+MAX(0,ROUNDUP($AK617*MAX(1,IF($N617="",1,$N617))/MAX(1,$AL617),0)-1))</f>
        <v/>
      </c>
      <c r="Q617" s="48"/>
      <c r="R617" s="43"/>
      <c r="S617" s="49"/>
      <c r="T617" s="42"/>
      <c r="U617" s="42"/>
      <c r="V617" s="39" t="str">
        <f aca="false">IF($F617="","",IF(ISNUMBER(SEARCH("(externo)",$I617&amp;$J617&amp;$K617)),"Terceirizada","Interna"))</f>
        <v/>
      </c>
      <c r="W617" s="47" t="str">
        <f aca="false">IF($O617="","",IF($S617="",$O617,(DATE(Semana!$J$3,1,4)-WEEKDAY(DATE(Semana!$J$3,1,4),3))+($S617-1)*7+IF($M617="",0,MATCH($M617,Listas!$F$5:$F$11,0)-1)))</f>
        <v/>
      </c>
      <c r="X617" s="39" t="str">
        <f aca="false">IF($F617="","",IF(OR($AT617="",$O617=""),0,IF($AT617&lt;=$O617,1,0)))</f>
        <v/>
      </c>
      <c r="Y617" s="39" t="str">
        <f aca="false">IF($F617="","",IF(OR($AT617="",$W617=""),0,IF($AT617&lt;=$W617,1,0)))</f>
        <v/>
      </c>
      <c r="Z617" s="39" t="str">
        <f aca="false">IF(OR($AT617="",$O617=""),"",MAX(0,$AT617-$O617))</f>
        <v/>
      </c>
      <c r="AA617" s="39" t="str">
        <f aca="false">IF($F617="","",IF(AND($S617&lt;&gt;"",$L617&lt;&gt;"",$S617&lt;&gt;$L617),1,0))</f>
        <v/>
      </c>
      <c r="AB617" s="39" t="str">
        <f aca="false">IF($F617="","",IF($R617="Cancelada",0,IF(OR($AT617&lt;&gt;"",$R617="Concluída"),1,0)))</f>
        <v/>
      </c>
      <c r="AC617" s="39" t="n">
        <f aca="false">IF($P617="",0,IF($P617&lt;Hoje!$L$1,1,IF(AND($P617=Hoje!$L$1,Hoje!$L$2&gt;Semana!$M$3),1,0)))</f>
        <v>0</v>
      </c>
      <c r="AD617" s="39" t="str">
        <f aca="false">IF($F617="","",IF(COUNTA($I617:$K617)=0,0,1/COUNTA($I617:$K617)))</f>
        <v/>
      </c>
      <c r="AE617" s="39" t="str">
        <f aca="false">IF($AH617=0,"",SUM($AH$4:$AH617))</f>
        <v/>
      </c>
      <c r="AF617" s="39" t="str">
        <f aca="false">IF($AI617=0,"",SUM($AI$4:$AI617))</f>
        <v/>
      </c>
      <c r="AG617" s="50" t="str">
        <f aca="false">IF($F617="","",$I617&amp;IF($J617="",""," · "&amp;$J617)&amp;IF($K617="",""," · "&amp;$K617))</f>
        <v/>
      </c>
      <c r="AH617" s="39" t="n">
        <f aca="false">IF(AND($F617&lt;&gt;"",$O617&lt;&gt;"",$O617&lt;=Hoje!$C$3,$P617&gt;=Hoje!$C$3,$R617&lt;&gt;"Cancelada"),1,0)</f>
        <v>0</v>
      </c>
      <c r="AI617" s="39" t="n">
        <f aca="false">IF(AND($F617&lt;&gt;"",$P617&lt;&gt;"",$P617&lt;Hoje!$C$3,$AB617=0,$R617&lt;&gt;"Cancelada"),1,0)</f>
        <v>0</v>
      </c>
      <c r="AJ617" s="50" t="str">
        <f aca="false">IF($F617="","",$D617&amp;"|"&amp;$E617&amp;"|"&amp;$L617)</f>
        <v/>
      </c>
      <c r="AK617" s="39" t="str">
        <f aca="false">IF($AJ617="","",COUNTIF($AJ$4:$AJ617,$AJ617))</f>
        <v/>
      </c>
      <c r="AL617" s="39" t="str">
        <f aca="false">IF($AJ617="","",COUNTIF($AJ$4:$AJ$1004,$AJ617))</f>
        <v/>
      </c>
      <c r="AM617" s="42"/>
      <c r="AN617" s="50" t="str">
        <f aca="false">IF($D617="","",IFERROR(T(VLOOKUP($D617,Listas!$B$5:$H$120,7,0)),""))</f>
        <v/>
      </c>
      <c r="AO617" s="50" t="str">
        <f aca="false">IF(OR($F617="",$L617&lt;&gt;"",$R617="Cancelada",$AT617&lt;&gt;""),"",$AN617&amp;"|"&amp;$D617&amp;"|"&amp;IF($C617="","zzz",$C617)&amp;"|"&amp;TEXT(617,"0000"))</f>
        <v/>
      </c>
      <c r="AP617" s="50" t="str">
        <f aca="false">IF($AO617="","",COUNTIF($AO$5:$AO$1004,"&lt;"&amp;$AO617)-(ROWS($AO$5:$AO$1004)-Hoje!$L$5)+1)</f>
        <v/>
      </c>
      <c r="AQ617" s="50" t="n">
        <f aca="false">IF(AND($F617&lt;&gt;"",$D617=Frota!$C$3),1,0)</f>
        <v>0</v>
      </c>
      <c r="AR617" s="50" t="str">
        <f aca="false">IF($AQ617=0,"",SUM($AQ$4:$AQ617))</f>
        <v/>
      </c>
      <c r="AS617" s="50" t="str">
        <f aca="false">IFERROR(INDEX(Hoje!$K$10:$K$29,MATCH(ROW(),Hoje!$J$10:$J$29,0)),"")</f>
        <v/>
      </c>
      <c r="AT617" s="50" t="str">
        <f aca="false">IF($Q617&lt;&gt;"",$Q617,$AS617)</f>
        <v/>
      </c>
    </row>
    <row r="618" customFormat="false" ht="16.5" hidden="false" customHeight="true" outlineLevel="0" collapsed="false">
      <c r="A618" s="39" t="str">
        <f aca="false">IF($F618="","",ROW())</f>
        <v/>
      </c>
      <c r="B618" s="40" t="str">
        <f aca="false">IF($F618="",IF($D618="","","Falta a atividade"),IF($R618="Cancelada","Cancelada",IF($AB618=1,IF(N($Z618)&gt;0,"Concluída com atraso","Concluída"),IF($R618="Em programação","Em programação",IF($O618="",IF($M618="","Na carteira","Falta a semana"),IF($AC618=1,"VENCIDA",IF($O618&gt;Hoje!$L$1,"Programada",IF($P618&gt;Hoje!$L$1,"Em execução","Fecha hoje"))))))))</f>
        <v/>
      </c>
      <c r="C618" s="41"/>
      <c r="D618" s="42"/>
      <c r="E618" s="42"/>
      <c r="F618" s="42"/>
      <c r="G618" s="43"/>
      <c r="H618" s="43"/>
      <c r="I618" s="44"/>
      <c r="J618" s="44"/>
      <c r="K618" s="44"/>
      <c r="L618" s="45"/>
      <c r="M618" s="46"/>
      <c r="N618" s="45"/>
      <c r="O618" s="47" t="str">
        <f aca="false">IF(OR($L618="",$M618=""),"",(DATE(Semana!$J$3,1,4)-WEEKDAY(DATE(Semana!$J$3,1,4),3))+($L618-1)*7+MATCH($M618,Listas!$F$5:$F$11,0)-1)</f>
        <v/>
      </c>
      <c r="P618" s="47" t="str">
        <f aca="false">IF(OR($F618="",$O618=""),"",$O618+MAX(0,ROUNDUP($AK618*MAX(1,IF($N618="",1,$N618))/MAX(1,$AL618),0)-1))</f>
        <v/>
      </c>
      <c r="Q618" s="48"/>
      <c r="R618" s="43"/>
      <c r="S618" s="49"/>
      <c r="T618" s="42"/>
      <c r="U618" s="42"/>
      <c r="V618" s="39" t="str">
        <f aca="false">IF($F618="","",IF(ISNUMBER(SEARCH("(externo)",$I618&amp;$J618&amp;$K618)),"Terceirizada","Interna"))</f>
        <v/>
      </c>
      <c r="W618" s="47" t="str">
        <f aca="false">IF($O618="","",IF($S618="",$O618,(DATE(Semana!$J$3,1,4)-WEEKDAY(DATE(Semana!$J$3,1,4),3))+($S618-1)*7+IF($M618="",0,MATCH($M618,Listas!$F$5:$F$11,0)-1)))</f>
        <v/>
      </c>
      <c r="X618" s="39" t="str">
        <f aca="false">IF($F618="","",IF(OR($AT618="",$O618=""),0,IF($AT618&lt;=$O618,1,0)))</f>
        <v/>
      </c>
      <c r="Y618" s="39" t="str">
        <f aca="false">IF($F618="","",IF(OR($AT618="",$W618=""),0,IF($AT618&lt;=$W618,1,0)))</f>
        <v/>
      </c>
      <c r="Z618" s="39" t="str">
        <f aca="false">IF(OR($AT618="",$O618=""),"",MAX(0,$AT618-$O618))</f>
        <v/>
      </c>
      <c r="AA618" s="39" t="str">
        <f aca="false">IF($F618="","",IF(AND($S618&lt;&gt;"",$L618&lt;&gt;"",$S618&lt;&gt;$L618),1,0))</f>
        <v/>
      </c>
      <c r="AB618" s="39" t="str">
        <f aca="false">IF($F618="","",IF($R618="Cancelada",0,IF(OR($AT618&lt;&gt;"",$R618="Concluída"),1,0)))</f>
        <v/>
      </c>
      <c r="AC618" s="39" t="n">
        <f aca="false">IF($P618="",0,IF($P618&lt;Hoje!$L$1,1,IF(AND($P618=Hoje!$L$1,Hoje!$L$2&gt;Semana!$M$3),1,0)))</f>
        <v>0</v>
      </c>
      <c r="AD618" s="39" t="str">
        <f aca="false">IF($F618="","",IF(COUNTA($I618:$K618)=0,0,1/COUNTA($I618:$K618)))</f>
        <v/>
      </c>
      <c r="AE618" s="39" t="str">
        <f aca="false">IF($AH618=0,"",SUM($AH$4:$AH618))</f>
        <v/>
      </c>
      <c r="AF618" s="39" t="str">
        <f aca="false">IF($AI618=0,"",SUM($AI$4:$AI618))</f>
        <v/>
      </c>
      <c r="AG618" s="50" t="str">
        <f aca="false">IF($F618="","",$I618&amp;IF($J618="",""," · "&amp;$J618)&amp;IF($K618="",""," · "&amp;$K618))</f>
        <v/>
      </c>
      <c r="AH618" s="39" t="n">
        <f aca="false">IF(AND($F618&lt;&gt;"",$O618&lt;&gt;"",$O618&lt;=Hoje!$C$3,$P618&gt;=Hoje!$C$3,$R618&lt;&gt;"Cancelada"),1,0)</f>
        <v>0</v>
      </c>
      <c r="AI618" s="39" t="n">
        <f aca="false">IF(AND($F618&lt;&gt;"",$P618&lt;&gt;"",$P618&lt;Hoje!$C$3,$AB618=0,$R618&lt;&gt;"Cancelada"),1,0)</f>
        <v>0</v>
      </c>
      <c r="AJ618" s="50" t="str">
        <f aca="false">IF($F618="","",$D618&amp;"|"&amp;$E618&amp;"|"&amp;$L618)</f>
        <v/>
      </c>
      <c r="AK618" s="39" t="str">
        <f aca="false">IF($AJ618="","",COUNTIF($AJ$4:$AJ618,$AJ618))</f>
        <v/>
      </c>
      <c r="AL618" s="39" t="str">
        <f aca="false">IF($AJ618="","",COUNTIF($AJ$4:$AJ$1004,$AJ618))</f>
        <v/>
      </c>
      <c r="AM618" s="42"/>
      <c r="AN618" s="50" t="str">
        <f aca="false">IF($D618="","",IFERROR(T(VLOOKUP($D618,Listas!$B$5:$H$120,7,0)),""))</f>
        <v/>
      </c>
      <c r="AO618" s="50" t="str">
        <f aca="false">IF(OR($F618="",$L618&lt;&gt;"",$R618="Cancelada",$AT618&lt;&gt;""),"",$AN618&amp;"|"&amp;$D618&amp;"|"&amp;IF($C618="","zzz",$C618)&amp;"|"&amp;TEXT(618,"0000"))</f>
        <v/>
      </c>
      <c r="AP618" s="50" t="str">
        <f aca="false">IF($AO618="","",COUNTIF($AO$5:$AO$1004,"&lt;"&amp;$AO618)-(ROWS($AO$5:$AO$1004)-Hoje!$L$5)+1)</f>
        <v/>
      </c>
      <c r="AQ618" s="50" t="n">
        <f aca="false">IF(AND($F618&lt;&gt;"",$D618=Frota!$C$3),1,0)</f>
        <v>0</v>
      </c>
      <c r="AR618" s="50" t="str">
        <f aca="false">IF($AQ618=0,"",SUM($AQ$4:$AQ618))</f>
        <v/>
      </c>
      <c r="AS618" s="50" t="str">
        <f aca="false">IFERROR(INDEX(Hoje!$K$10:$K$29,MATCH(ROW(),Hoje!$J$10:$J$29,0)),"")</f>
        <v/>
      </c>
      <c r="AT618" s="50" t="str">
        <f aca="false">IF($Q618&lt;&gt;"",$Q618,$AS618)</f>
        <v/>
      </c>
    </row>
    <row r="619" customFormat="false" ht="16.5" hidden="false" customHeight="true" outlineLevel="0" collapsed="false">
      <c r="A619" s="39" t="str">
        <f aca="false">IF($F619="","",ROW())</f>
        <v/>
      </c>
      <c r="B619" s="40" t="str">
        <f aca="false">IF($F619="",IF($D619="","","Falta a atividade"),IF($R619="Cancelada","Cancelada",IF($AB619=1,IF(N($Z619)&gt;0,"Concluída com atraso","Concluída"),IF($R619="Em programação","Em programação",IF($O619="",IF($M619="","Na carteira","Falta a semana"),IF($AC619=1,"VENCIDA",IF($O619&gt;Hoje!$L$1,"Programada",IF($P619&gt;Hoje!$L$1,"Em execução","Fecha hoje"))))))))</f>
        <v/>
      </c>
      <c r="C619" s="41"/>
      <c r="D619" s="42"/>
      <c r="E619" s="42"/>
      <c r="F619" s="42"/>
      <c r="G619" s="43"/>
      <c r="H619" s="43"/>
      <c r="I619" s="44"/>
      <c r="J619" s="44"/>
      <c r="K619" s="44"/>
      <c r="L619" s="45"/>
      <c r="M619" s="46"/>
      <c r="N619" s="45"/>
      <c r="O619" s="47" t="str">
        <f aca="false">IF(OR($L619="",$M619=""),"",(DATE(Semana!$J$3,1,4)-WEEKDAY(DATE(Semana!$J$3,1,4),3))+($L619-1)*7+MATCH($M619,Listas!$F$5:$F$11,0)-1)</f>
        <v/>
      </c>
      <c r="P619" s="47" t="str">
        <f aca="false">IF(OR($F619="",$O619=""),"",$O619+MAX(0,ROUNDUP($AK619*MAX(1,IF($N619="",1,$N619))/MAX(1,$AL619),0)-1))</f>
        <v/>
      </c>
      <c r="Q619" s="48"/>
      <c r="R619" s="43"/>
      <c r="S619" s="49"/>
      <c r="T619" s="42"/>
      <c r="U619" s="42"/>
      <c r="V619" s="39" t="str">
        <f aca="false">IF($F619="","",IF(ISNUMBER(SEARCH("(externo)",$I619&amp;$J619&amp;$K619)),"Terceirizada","Interna"))</f>
        <v/>
      </c>
      <c r="W619" s="47" t="str">
        <f aca="false">IF($O619="","",IF($S619="",$O619,(DATE(Semana!$J$3,1,4)-WEEKDAY(DATE(Semana!$J$3,1,4),3))+($S619-1)*7+IF($M619="",0,MATCH($M619,Listas!$F$5:$F$11,0)-1)))</f>
        <v/>
      </c>
      <c r="X619" s="39" t="str">
        <f aca="false">IF($F619="","",IF(OR($AT619="",$O619=""),0,IF($AT619&lt;=$O619,1,0)))</f>
        <v/>
      </c>
      <c r="Y619" s="39" t="str">
        <f aca="false">IF($F619="","",IF(OR($AT619="",$W619=""),0,IF($AT619&lt;=$W619,1,0)))</f>
        <v/>
      </c>
      <c r="Z619" s="39" t="str">
        <f aca="false">IF(OR($AT619="",$O619=""),"",MAX(0,$AT619-$O619))</f>
        <v/>
      </c>
      <c r="AA619" s="39" t="str">
        <f aca="false">IF($F619="","",IF(AND($S619&lt;&gt;"",$L619&lt;&gt;"",$S619&lt;&gt;$L619),1,0))</f>
        <v/>
      </c>
      <c r="AB619" s="39" t="str">
        <f aca="false">IF($F619="","",IF($R619="Cancelada",0,IF(OR($AT619&lt;&gt;"",$R619="Concluída"),1,0)))</f>
        <v/>
      </c>
      <c r="AC619" s="39" t="n">
        <f aca="false">IF($P619="",0,IF($P619&lt;Hoje!$L$1,1,IF(AND($P619=Hoje!$L$1,Hoje!$L$2&gt;Semana!$M$3),1,0)))</f>
        <v>0</v>
      </c>
      <c r="AD619" s="39" t="str">
        <f aca="false">IF($F619="","",IF(COUNTA($I619:$K619)=0,0,1/COUNTA($I619:$K619)))</f>
        <v/>
      </c>
      <c r="AE619" s="39" t="str">
        <f aca="false">IF($AH619=0,"",SUM($AH$4:$AH619))</f>
        <v/>
      </c>
      <c r="AF619" s="39" t="str">
        <f aca="false">IF($AI619=0,"",SUM($AI$4:$AI619))</f>
        <v/>
      </c>
      <c r="AG619" s="50" t="str">
        <f aca="false">IF($F619="","",$I619&amp;IF($J619="",""," · "&amp;$J619)&amp;IF($K619="",""," · "&amp;$K619))</f>
        <v/>
      </c>
      <c r="AH619" s="39" t="n">
        <f aca="false">IF(AND($F619&lt;&gt;"",$O619&lt;&gt;"",$O619&lt;=Hoje!$C$3,$P619&gt;=Hoje!$C$3,$R619&lt;&gt;"Cancelada"),1,0)</f>
        <v>0</v>
      </c>
      <c r="AI619" s="39" t="n">
        <f aca="false">IF(AND($F619&lt;&gt;"",$P619&lt;&gt;"",$P619&lt;Hoje!$C$3,$AB619=0,$R619&lt;&gt;"Cancelada"),1,0)</f>
        <v>0</v>
      </c>
      <c r="AJ619" s="50" t="str">
        <f aca="false">IF($F619="","",$D619&amp;"|"&amp;$E619&amp;"|"&amp;$L619)</f>
        <v/>
      </c>
      <c r="AK619" s="39" t="str">
        <f aca="false">IF($AJ619="","",COUNTIF($AJ$4:$AJ619,$AJ619))</f>
        <v/>
      </c>
      <c r="AL619" s="39" t="str">
        <f aca="false">IF($AJ619="","",COUNTIF($AJ$4:$AJ$1004,$AJ619))</f>
        <v/>
      </c>
      <c r="AM619" s="42"/>
      <c r="AN619" s="50" t="str">
        <f aca="false">IF($D619="","",IFERROR(T(VLOOKUP($D619,Listas!$B$5:$H$120,7,0)),""))</f>
        <v/>
      </c>
      <c r="AO619" s="50" t="str">
        <f aca="false">IF(OR($F619="",$L619&lt;&gt;"",$R619="Cancelada",$AT619&lt;&gt;""),"",$AN619&amp;"|"&amp;$D619&amp;"|"&amp;IF($C619="","zzz",$C619)&amp;"|"&amp;TEXT(619,"0000"))</f>
        <v/>
      </c>
      <c r="AP619" s="50" t="str">
        <f aca="false">IF($AO619="","",COUNTIF($AO$5:$AO$1004,"&lt;"&amp;$AO619)-(ROWS($AO$5:$AO$1004)-Hoje!$L$5)+1)</f>
        <v/>
      </c>
      <c r="AQ619" s="50" t="n">
        <f aca="false">IF(AND($F619&lt;&gt;"",$D619=Frota!$C$3),1,0)</f>
        <v>0</v>
      </c>
      <c r="AR619" s="50" t="str">
        <f aca="false">IF($AQ619=0,"",SUM($AQ$4:$AQ619))</f>
        <v/>
      </c>
      <c r="AS619" s="50" t="str">
        <f aca="false">IFERROR(INDEX(Hoje!$K$10:$K$29,MATCH(ROW(),Hoje!$J$10:$J$29,0)),"")</f>
        <v/>
      </c>
      <c r="AT619" s="50" t="str">
        <f aca="false">IF($Q619&lt;&gt;"",$Q619,$AS619)</f>
        <v/>
      </c>
    </row>
    <row r="620" customFormat="false" ht="16.5" hidden="false" customHeight="true" outlineLevel="0" collapsed="false">
      <c r="A620" s="39" t="str">
        <f aca="false">IF($F620="","",ROW())</f>
        <v/>
      </c>
      <c r="B620" s="40" t="str">
        <f aca="false">IF($F620="",IF($D620="","","Falta a atividade"),IF($R620="Cancelada","Cancelada",IF($AB620=1,IF(N($Z620)&gt;0,"Concluída com atraso","Concluída"),IF($R620="Em programação","Em programação",IF($O620="",IF($M620="","Na carteira","Falta a semana"),IF($AC620=1,"VENCIDA",IF($O620&gt;Hoje!$L$1,"Programada",IF($P620&gt;Hoje!$L$1,"Em execução","Fecha hoje"))))))))</f>
        <v/>
      </c>
      <c r="C620" s="41"/>
      <c r="D620" s="42"/>
      <c r="E620" s="42"/>
      <c r="F620" s="42"/>
      <c r="G620" s="43"/>
      <c r="H620" s="43"/>
      <c r="I620" s="44"/>
      <c r="J620" s="44"/>
      <c r="K620" s="44"/>
      <c r="L620" s="45"/>
      <c r="M620" s="46"/>
      <c r="N620" s="45"/>
      <c r="O620" s="47" t="str">
        <f aca="false">IF(OR($L620="",$M620=""),"",(DATE(Semana!$J$3,1,4)-WEEKDAY(DATE(Semana!$J$3,1,4),3))+($L620-1)*7+MATCH($M620,Listas!$F$5:$F$11,0)-1)</f>
        <v/>
      </c>
      <c r="P620" s="47" t="str">
        <f aca="false">IF(OR($F620="",$O620=""),"",$O620+MAX(0,ROUNDUP($AK620*MAX(1,IF($N620="",1,$N620))/MAX(1,$AL620),0)-1))</f>
        <v/>
      </c>
      <c r="Q620" s="48"/>
      <c r="R620" s="43"/>
      <c r="S620" s="49"/>
      <c r="T620" s="42"/>
      <c r="U620" s="42"/>
      <c r="V620" s="39" t="str">
        <f aca="false">IF($F620="","",IF(ISNUMBER(SEARCH("(externo)",$I620&amp;$J620&amp;$K620)),"Terceirizada","Interna"))</f>
        <v/>
      </c>
      <c r="W620" s="47" t="str">
        <f aca="false">IF($O620="","",IF($S620="",$O620,(DATE(Semana!$J$3,1,4)-WEEKDAY(DATE(Semana!$J$3,1,4),3))+($S620-1)*7+IF($M620="",0,MATCH($M620,Listas!$F$5:$F$11,0)-1)))</f>
        <v/>
      </c>
      <c r="X620" s="39" t="str">
        <f aca="false">IF($F620="","",IF(OR($AT620="",$O620=""),0,IF($AT620&lt;=$O620,1,0)))</f>
        <v/>
      </c>
      <c r="Y620" s="39" t="str">
        <f aca="false">IF($F620="","",IF(OR($AT620="",$W620=""),0,IF($AT620&lt;=$W620,1,0)))</f>
        <v/>
      </c>
      <c r="Z620" s="39" t="str">
        <f aca="false">IF(OR($AT620="",$O620=""),"",MAX(0,$AT620-$O620))</f>
        <v/>
      </c>
      <c r="AA620" s="39" t="str">
        <f aca="false">IF($F620="","",IF(AND($S620&lt;&gt;"",$L620&lt;&gt;"",$S620&lt;&gt;$L620),1,0))</f>
        <v/>
      </c>
      <c r="AB620" s="39" t="str">
        <f aca="false">IF($F620="","",IF($R620="Cancelada",0,IF(OR($AT620&lt;&gt;"",$R620="Concluída"),1,0)))</f>
        <v/>
      </c>
      <c r="AC620" s="39" t="n">
        <f aca="false">IF($P620="",0,IF($P620&lt;Hoje!$L$1,1,IF(AND($P620=Hoje!$L$1,Hoje!$L$2&gt;Semana!$M$3),1,0)))</f>
        <v>0</v>
      </c>
      <c r="AD620" s="39" t="str">
        <f aca="false">IF($F620="","",IF(COUNTA($I620:$K620)=0,0,1/COUNTA($I620:$K620)))</f>
        <v/>
      </c>
      <c r="AE620" s="39" t="str">
        <f aca="false">IF($AH620=0,"",SUM($AH$4:$AH620))</f>
        <v/>
      </c>
      <c r="AF620" s="39" t="str">
        <f aca="false">IF($AI620=0,"",SUM($AI$4:$AI620))</f>
        <v/>
      </c>
      <c r="AG620" s="50" t="str">
        <f aca="false">IF($F620="","",$I620&amp;IF($J620="",""," · "&amp;$J620)&amp;IF($K620="",""," · "&amp;$K620))</f>
        <v/>
      </c>
      <c r="AH620" s="39" t="n">
        <f aca="false">IF(AND($F620&lt;&gt;"",$O620&lt;&gt;"",$O620&lt;=Hoje!$C$3,$P620&gt;=Hoje!$C$3,$R620&lt;&gt;"Cancelada"),1,0)</f>
        <v>0</v>
      </c>
      <c r="AI620" s="39" t="n">
        <f aca="false">IF(AND($F620&lt;&gt;"",$P620&lt;&gt;"",$P620&lt;Hoje!$C$3,$AB620=0,$R620&lt;&gt;"Cancelada"),1,0)</f>
        <v>0</v>
      </c>
      <c r="AJ620" s="50" t="str">
        <f aca="false">IF($F620="","",$D620&amp;"|"&amp;$E620&amp;"|"&amp;$L620)</f>
        <v/>
      </c>
      <c r="AK620" s="39" t="str">
        <f aca="false">IF($AJ620="","",COUNTIF($AJ$4:$AJ620,$AJ620))</f>
        <v/>
      </c>
      <c r="AL620" s="39" t="str">
        <f aca="false">IF($AJ620="","",COUNTIF($AJ$4:$AJ$1004,$AJ620))</f>
        <v/>
      </c>
      <c r="AM620" s="42"/>
      <c r="AN620" s="50" t="str">
        <f aca="false">IF($D620="","",IFERROR(T(VLOOKUP($D620,Listas!$B$5:$H$120,7,0)),""))</f>
        <v/>
      </c>
      <c r="AO620" s="50" t="str">
        <f aca="false">IF(OR($F620="",$L620&lt;&gt;"",$R620="Cancelada",$AT620&lt;&gt;""),"",$AN620&amp;"|"&amp;$D620&amp;"|"&amp;IF($C620="","zzz",$C620)&amp;"|"&amp;TEXT(620,"0000"))</f>
        <v/>
      </c>
      <c r="AP620" s="50" t="str">
        <f aca="false">IF($AO620="","",COUNTIF($AO$5:$AO$1004,"&lt;"&amp;$AO620)-(ROWS($AO$5:$AO$1004)-Hoje!$L$5)+1)</f>
        <v/>
      </c>
      <c r="AQ620" s="50" t="n">
        <f aca="false">IF(AND($F620&lt;&gt;"",$D620=Frota!$C$3),1,0)</f>
        <v>0</v>
      </c>
      <c r="AR620" s="50" t="str">
        <f aca="false">IF($AQ620=0,"",SUM($AQ$4:$AQ620))</f>
        <v/>
      </c>
      <c r="AS620" s="50" t="str">
        <f aca="false">IFERROR(INDEX(Hoje!$K$10:$K$29,MATCH(ROW(),Hoje!$J$10:$J$29,0)),"")</f>
        <v/>
      </c>
      <c r="AT620" s="50" t="str">
        <f aca="false">IF($Q620&lt;&gt;"",$Q620,$AS620)</f>
        <v/>
      </c>
    </row>
    <row r="621" customFormat="false" ht="16.5" hidden="false" customHeight="true" outlineLevel="0" collapsed="false">
      <c r="A621" s="39" t="str">
        <f aca="false">IF($F621="","",ROW())</f>
        <v/>
      </c>
      <c r="B621" s="40" t="str">
        <f aca="false">IF($F621="",IF($D621="","","Falta a atividade"),IF($R621="Cancelada","Cancelada",IF($AB621=1,IF(N($Z621)&gt;0,"Concluída com atraso","Concluída"),IF($R621="Em programação","Em programação",IF($O621="",IF($M621="","Na carteira","Falta a semana"),IF($AC621=1,"VENCIDA",IF($O621&gt;Hoje!$L$1,"Programada",IF($P621&gt;Hoje!$L$1,"Em execução","Fecha hoje"))))))))</f>
        <v/>
      </c>
      <c r="C621" s="41"/>
      <c r="D621" s="42"/>
      <c r="E621" s="42"/>
      <c r="F621" s="42"/>
      <c r="G621" s="43"/>
      <c r="H621" s="43"/>
      <c r="I621" s="44"/>
      <c r="J621" s="44"/>
      <c r="K621" s="44"/>
      <c r="L621" s="45"/>
      <c r="M621" s="46"/>
      <c r="N621" s="45"/>
      <c r="O621" s="47" t="str">
        <f aca="false">IF(OR($L621="",$M621=""),"",(DATE(Semana!$J$3,1,4)-WEEKDAY(DATE(Semana!$J$3,1,4),3))+($L621-1)*7+MATCH($M621,Listas!$F$5:$F$11,0)-1)</f>
        <v/>
      </c>
      <c r="P621" s="47" t="str">
        <f aca="false">IF(OR($F621="",$O621=""),"",$O621+MAX(0,ROUNDUP($AK621*MAX(1,IF($N621="",1,$N621))/MAX(1,$AL621),0)-1))</f>
        <v/>
      </c>
      <c r="Q621" s="48"/>
      <c r="R621" s="43"/>
      <c r="S621" s="49"/>
      <c r="T621" s="42"/>
      <c r="U621" s="42"/>
      <c r="V621" s="39" t="str">
        <f aca="false">IF($F621="","",IF(ISNUMBER(SEARCH("(externo)",$I621&amp;$J621&amp;$K621)),"Terceirizada","Interna"))</f>
        <v/>
      </c>
      <c r="W621" s="47" t="str">
        <f aca="false">IF($O621="","",IF($S621="",$O621,(DATE(Semana!$J$3,1,4)-WEEKDAY(DATE(Semana!$J$3,1,4),3))+($S621-1)*7+IF($M621="",0,MATCH($M621,Listas!$F$5:$F$11,0)-1)))</f>
        <v/>
      </c>
      <c r="X621" s="39" t="str">
        <f aca="false">IF($F621="","",IF(OR($AT621="",$O621=""),0,IF($AT621&lt;=$O621,1,0)))</f>
        <v/>
      </c>
      <c r="Y621" s="39" t="str">
        <f aca="false">IF($F621="","",IF(OR($AT621="",$W621=""),0,IF($AT621&lt;=$W621,1,0)))</f>
        <v/>
      </c>
      <c r="Z621" s="39" t="str">
        <f aca="false">IF(OR($AT621="",$O621=""),"",MAX(0,$AT621-$O621))</f>
        <v/>
      </c>
      <c r="AA621" s="39" t="str">
        <f aca="false">IF($F621="","",IF(AND($S621&lt;&gt;"",$L621&lt;&gt;"",$S621&lt;&gt;$L621),1,0))</f>
        <v/>
      </c>
      <c r="AB621" s="39" t="str">
        <f aca="false">IF($F621="","",IF($R621="Cancelada",0,IF(OR($AT621&lt;&gt;"",$R621="Concluída"),1,0)))</f>
        <v/>
      </c>
      <c r="AC621" s="39" t="n">
        <f aca="false">IF($P621="",0,IF($P621&lt;Hoje!$L$1,1,IF(AND($P621=Hoje!$L$1,Hoje!$L$2&gt;Semana!$M$3),1,0)))</f>
        <v>0</v>
      </c>
      <c r="AD621" s="39" t="str">
        <f aca="false">IF($F621="","",IF(COUNTA($I621:$K621)=0,0,1/COUNTA($I621:$K621)))</f>
        <v/>
      </c>
      <c r="AE621" s="39" t="str">
        <f aca="false">IF($AH621=0,"",SUM($AH$4:$AH621))</f>
        <v/>
      </c>
      <c r="AF621" s="39" t="str">
        <f aca="false">IF($AI621=0,"",SUM($AI$4:$AI621))</f>
        <v/>
      </c>
      <c r="AG621" s="50" t="str">
        <f aca="false">IF($F621="","",$I621&amp;IF($J621="",""," · "&amp;$J621)&amp;IF($K621="",""," · "&amp;$K621))</f>
        <v/>
      </c>
      <c r="AH621" s="39" t="n">
        <f aca="false">IF(AND($F621&lt;&gt;"",$O621&lt;&gt;"",$O621&lt;=Hoje!$C$3,$P621&gt;=Hoje!$C$3,$R621&lt;&gt;"Cancelada"),1,0)</f>
        <v>0</v>
      </c>
      <c r="AI621" s="39" t="n">
        <f aca="false">IF(AND($F621&lt;&gt;"",$P621&lt;&gt;"",$P621&lt;Hoje!$C$3,$AB621=0,$R621&lt;&gt;"Cancelada"),1,0)</f>
        <v>0</v>
      </c>
      <c r="AJ621" s="50" t="str">
        <f aca="false">IF($F621="","",$D621&amp;"|"&amp;$E621&amp;"|"&amp;$L621)</f>
        <v/>
      </c>
      <c r="AK621" s="39" t="str">
        <f aca="false">IF($AJ621="","",COUNTIF($AJ$4:$AJ621,$AJ621))</f>
        <v/>
      </c>
      <c r="AL621" s="39" t="str">
        <f aca="false">IF($AJ621="","",COUNTIF($AJ$4:$AJ$1004,$AJ621))</f>
        <v/>
      </c>
      <c r="AM621" s="42"/>
      <c r="AN621" s="50" t="str">
        <f aca="false">IF($D621="","",IFERROR(T(VLOOKUP($D621,Listas!$B$5:$H$120,7,0)),""))</f>
        <v/>
      </c>
      <c r="AO621" s="50" t="str">
        <f aca="false">IF(OR($F621="",$L621&lt;&gt;"",$R621="Cancelada",$AT621&lt;&gt;""),"",$AN621&amp;"|"&amp;$D621&amp;"|"&amp;IF($C621="","zzz",$C621)&amp;"|"&amp;TEXT(621,"0000"))</f>
        <v/>
      </c>
      <c r="AP621" s="50" t="str">
        <f aca="false">IF($AO621="","",COUNTIF($AO$5:$AO$1004,"&lt;"&amp;$AO621)-(ROWS($AO$5:$AO$1004)-Hoje!$L$5)+1)</f>
        <v/>
      </c>
      <c r="AQ621" s="50" t="n">
        <f aca="false">IF(AND($F621&lt;&gt;"",$D621=Frota!$C$3),1,0)</f>
        <v>0</v>
      </c>
      <c r="AR621" s="50" t="str">
        <f aca="false">IF($AQ621=0,"",SUM($AQ$4:$AQ621))</f>
        <v/>
      </c>
      <c r="AS621" s="50" t="str">
        <f aca="false">IFERROR(INDEX(Hoje!$K$10:$K$29,MATCH(ROW(),Hoje!$J$10:$J$29,0)),"")</f>
        <v/>
      </c>
      <c r="AT621" s="50" t="str">
        <f aca="false">IF($Q621&lt;&gt;"",$Q621,$AS621)</f>
        <v/>
      </c>
    </row>
    <row r="622" customFormat="false" ht="16.5" hidden="false" customHeight="true" outlineLevel="0" collapsed="false">
      <c r="A622" s="39" t="str">
        <f aca="false">IF($F622="","",ROW())</f>
        <v/>
      </c>
      <c r="B622" s="40" t="str">
        <f aca="false">IF($F622="",IF($D622="","","Falta a atividade"),IF($R622="Cancelada","Cancelada",IF($AB622=1,IF(N($Z622)&gt;0,"Concluída com atraso","Concluída"),IF($R622="Em programação","Em programação",IF($O622="",IF($M622="","Na carteira","Falta a semana"),IF($AC622=1,"VENCIDA",IF($O622&gt;Hoje!$L$1,"Programada",IF($P622&gt;Hoje!$L$1,"Em execução","Fecha hoje"))))))))</f>
        <v/>
      </c>
      <c r="C622" s="41"/>
      <c r="D622" s="42"/>
      <c r="E622" s="42"/>
      <c r="F622" s="42"/>
      <c r="G622" s="43"/>
      <c r="H622" s="43"/>
      <c r="I622" s="44"/>
      <c r="J622" s="44"/>
      <c r="K622" s="44"/>
      <c r="L622" s="45"/>
      <c r="M622" s="46"/>
      <c r="N622" s="45"/>
      <c r="O622" s="47" t="str">
        <f aca="false">IF(OR($L622="",$M622=""),"",(DATE(Semana!$J$3,1,4)-WEEKDAY(DATE(Semana!$J$3,1,4),3))+($L622-1)*7+MATCH($M622,Listas!$F$5:$F$11,0)-1)</f>
        <v/>
      </c>
      <c r="P622" s="47" t="str">
        <f aca="false">IF(OR($F622="",$O622=""),"",$O622+MAX(0,ROUNDUP($AK622*MAX(1,IF($N622="",1,$N622))/MAX(1,$AL622),0)-1))</f>
        <v/>
      </c>
      <c r="Q622" s="48"/>
      <c r="R622" s="43"/>
      <c r="S622" s="49"/>
      <c r="T622" s="42"/>
      <c r="U622" s="42"/>
      <c r="V622" s="39" t="str">
        <f aca="false">IF($F622="","",IF(ISNUMBER(SEARCH("(externo)",$I622&amp;$J622&amp;$K622)),"Terceirizada","Interna"))</f>
        <v/>
      </c>
      <c r="W622" s="47" t="str">
        <f aca="false">IF($O622="","",IF($S622="",$O622,(DATE(Semana!$J$3,1,4)-WEEKDAY(DATE(Semana!$J$3,1,4),3))+($S622-1)*7+IF($M622="",0,MATCH($M622,Listas!$F$5:$F$11,0)-1)))</f>
        <v/>
      </c>
      <c r="X622" s="39" t="str">
        <f aca="false">IF($F622="","",IF(OR($AT622="",$O622=""),0,IF($AT622&lt;=$O622,1,0)))</f>
        <v/>
      </c>
      <c r="Y622" s="39" t="str">
        <f aca="false">IF($F622="","",IF(OR($AT622="",$W622=""),0,IF($AT622&lt;=$W622,1,0)))</f>
        <v/>
      </c>
      <c r="Z622" s="39" t="str">
        <f aca="false">IF(OR($AT622="",$O622=""),"",MAX(0,$AT622-$O622))</f>
        <v/>
      </c>
      <c r="AA622" s="39" t="str">
        <f aca="false">IF($F622="","",IF(AND($S622&lt;&gt;"",$L622&lt;&gt;"",$S622&lt;&gt;$L622),1,0))</f>
        <v/>
      </c>
      <c r="AB622" s="39" t="str">
        <f aca="false">IF($F622="","",IF($R622="Cancelada",0,IF(OR($AT622&lt;&gt;"",$R622="Concluída"),1,0)))</f>
        <v/>
      </c>
      <c r="AC622" s="39" t="n">
        <f aca="false">IF($P622="",0,IF($P622&lt;Hoje!$L$1,1,IF(AND($P622=Hoje!$L$1,Hoje!$L$2&gt;Semana!$M$3),1,0)))</f>
        <v>0</v>
      </c>
      <c r="AD622" s="39" t="str">
        <f aca="false">IF($F622="","",IF(COUNTA($I622:$K622)=0,0,1/COUNTA($I622:$K622)))</f>
        <v/>
      </c>
      <c r="AE622" s="39" t="str">
        <f aca="false">IF($AH622=0,"",SUM($AH$4:$AH622))</f>
        <v/>
      </c>
      <c r="AF622" s="39" t="str">
        <f aca="false">IF($AI622=0,"",SUM($AI$4:$AI622))</f>
        <v/>
      </c>
      <c r="AG622" s="50" t="str">
        <f aca="false">IF($F622="","",$I622&amp;IF($J622="",""," · "&amp;$J622)&amp;IF($K622="",""," · "&amp;$K622))</f>
        <v/>
      </c>
      <c r="AH622" s="39" t="n">
        <f aca="false">IF(AND($F622&lt;&gt;"",$O622&lt;&gt;"",$O622&lt;=Hoje!$C$3,$P622&gt;=Hoje!$C$3,$R622&lt;&gt;"Cancelada"),1,0)</f>
        <v>0</v>
      </c>
      <c r="AI622" s="39" t="n">
        <f aca="false">IF(AND($F622&lt;&gt;"",$P622&lt;&gt;"",$P622&lt;Hoje!$C$3,$AB622=0,$R622&lt;&gt;"Cancelada"),1,0)</f>
        <v>0</v>
      </c>
      <c r="AJ622" s="50" t="str">
        <f aca="false">IF($F622="","",$D622&amp;"|"&amp;$E622&amp;"|"&amp;$L622)</f>
        <v/>
      </c>
      <c r="AK622" s="39" t="str">
        <f aca="false">IF($AJ622="","",COUNTIF($AJ$4:$AJ622,$AJ622))</f>
        <v/>
      </c>
      <c r="AL622" s="39" t="str">
        <f aca="false">IF($AJ622="","",COUNTIF($AJ$4:$AJ$1004,$AJ622))</f>
        <v/>
      </c>
      <c r="AM622" s="42"/>
      <c r="AN622" s="50" t="str">
        <f aca="false">IF($D622="","",IFERROR(T(VLOOKUP($D622,Listas!$B$5:$H$120,7,0)),""))</f>
        <v/>
      </c>
      <c r="AO622" s="50" t="str">
        <f aca="false">IF(OR($F622="",$L622&lt;&gt;"",$R622="Cancelada",$AT622&lt;&gt;""),"",$AN622&amp;"|"&amp;$D622&amp;"|"&amp;IF($C622="","zzz",$C622)&amp;"|"&amp;TEXT(622,"0000"))</f>
        <v/>
      </c>
      <c r="AP622" s="50" t="str">
        <f aca="false">IF($AO622="","",COUNTIF($AO$5:$AO$1004,"&lt;"&amp;$AO622)-(ROWS($AO$5:$AO$1004)-Hoje!$L$5)+1)</f>
        <v/>
      </c>
      <c r="AQ622" s="50" t="n">
        <f aca="false">IF(AND($F622&lt;&gt;"",$D622=Frota!$C$3),1,0)</f>
        <v>0</v>
      </c>
      <c r="AR622" s="50" t="str">
        <f aca="false">IF($AQ622=0,"",SUM($AQ$4:$AQ622))</f>
        <v/>
      </c>
      <c r="AS622" s="50" t="str">
        <f aca="false">IFERROR(INDEX(Hoje!$K$10:$K$29,MATCH(ROW(),Hoje!$J$10:$J$29,0)),"")</f>
        <v/>
      </c>
      <c r="AT622" s="50" t="str">
        <f aca="false">IF($Q622&lt;&gt;"",$Q622,$AS622)</f>
        <v/>
      </c>
    </row>
    <row r="623" customFormat="false" ht="16.5" hidden="false" customHeight="true" outlineLevel="0" collapsed="false">
      <c r="A623" s="39" t="str">
        <f aca="false">IF($F623="","",ROW())</f>
        <v/>
      </c>
      <c r="B623" s="40" t="str">
        <f aca="false">IF($F623="",IF($D623="","","Falta a atividade"),IF($R623="Cancelada","Cancelada",IF($AB623=1,IF(N($Z623)&gt;0,"Concluída com atraso","Concluída"),IF($R623="Em programação","Em programação",IF($O623="",IF($M623="","Na carteira","Falta a semana"),IF($AC623=1,"VENCIDA",IF($O623&gt;Hoje!$L$1,"Programada",IF($P623&gt;Hoje!$L$1,"Em execução","Fecha hoje"))))))))</f>
        <v/>
      </c>
      <c r="C623" s="41"/>
      <c r="D623" s="42"/>
      <c r="E623" s="42"/>
      <c r="F623" s="42"/>
      <c r="G623" s="43"/>
      <c r="H623" s="43"/>
      <c r="I623" s="44"/>
      <c r="J623" s="44"/>
      <c r="K623" s="44"/>
      <c r="L623" s="45"/>
      <c r="M623" s="46"/>
      <c r="N623" s="45"/>
      <c r="O623" s="47" t="str">
        <f aca="false">IF(OR($L623="",$M623=""),"",(DATE(Semana!$J$3,1,4)-WEEKDAY(DATE(Semana!$J$3,1,4),3))+($L623-1)*7+MATCH($M623,Listas!$F$5:$F$11,0)-1)</f>
        <v/>
      </c>
      <c r="P623" s="47" t="str">
        <f aca="false">IF(OR($F623="",$O623=""),"",$O623+MAX(0,ROUNDUP($AK623*MAX(1,IF($N623="",1,$N623))/MAX(1,$AL623),0)-1))</f>
        <v/>
      </c>
      <c r="Q623" s="48"/>
      <c r="R623" s="43"/>
      <c r="S623" s="49"/>
      <c r="T623" s="42"/>
      <c r="U623" s="42"/>
      <c r="V623" s="39" t="str">
        <f aca="false">IF($F623="","",IF(ISNUMBER(SEARCH("(externo)",$I623&amp;$J623&amp;$K623)),"Terceirizada","Interna"))</f>
        <v/>
      </c>
      <c r="W623" s="47" t="str">
        <f aca="false">IF($O623="","",IF($S623="",$O623,(DATE(Semana!$J$3,1,4)-WEEKDAY(DATE(Semana!$J$3,1,4),3))+($S623-1)*7+IF($M623="",0,MATCH($M623,Listas!$F$5:$F$11,0)-1)))</f>
        <v/>
      </c>
      <c r="X623" s="39" t="str">
        <f aca="false">IF($F623="","",IF(OR($AT623="",$O623=""),0,IF($AT623&lt;=$O623,1,0)))</f>
        <v/>
      </c>
      <c r="Y623" s="39" t="str">
        <f aca="false">IF($F623="","",IF(OR($AT623="",$W623=""),0,IF($AT623&lt;=$W623,1,0)))</f>
        <v/>
      </c>
      <c r="Z623" s="39" t="str">
        <f aca="false">IF(OR($AT623="",$O623=""),"",MAX(0,$AT623-$O623))</f>
        <v/>
      </c>
      <c r="AA623" s="39" t="str">
        <f aca="false">IF($F623="","",IF(AND($S623&lt;&gt;"",$L623&lt;&gt;"",$S623&lt;&gt;$L623),1,0))</f>
        <v/>
      </c>
      <c r="AB623" s="39" t="str">
        <f aca="false">IF($F623="","",IF($R623="Cancelada",0,IF(OR($AT623&lt;&gt;"",$R623="Concluída"),1,0)))</f>
        <v/>
      </c>
      <c r="AC623" s="39" t="n">
        <f aca="false">IF($P623="",0,IF($P623&lt;Hoje!$L$1,1,IF(AND($P623=Hoje!$L$1,Hoje!$L$2&gt;Semana!$M$3),1,0)))</f>
        <v>0</v>
      </c>
      <c r="AD623" s="39" t="str">
        <f aca="false">IF($F623="","",IF(COUNTA($I623:$K623)=0,0,1/COUNTA($I623:$K623)))</f>
        <v/>
      </c>
      <c r="AE623" s="39" t="str">
        <f aca="false">IF($AH623=0,"",SUM($AH$4:$AH623))</f>
        <v/>
      </c>
      <c r="AF623" s="39" t="str">
        <f aca="false">IF($AI623=0,"",SUM($AI$4:$AI623))</f>
        <v/>
      </c>
      <c r="AG623" s="50" t="str">
        <f aca="false">IF($F623="","",$I623&amp;IF($J623="",""," · "&amp;$J623)&amp;IF($K623="",""," · "&amp;$K623))</f>
        <v/>
      </c>
      <c r="AH623" s="39" t="n">
        <f aca="false">IF(AND($F623&lt;&gt;"",$O623&lt;&gt;"",$O623&lt;=Hoje!$C$3,$P623&gt;=Hoje!$C$3,$R623&lt;&gt;"Cancelada"),1,0)</f>
        <v>0</v>
      </c>
      <c r="AI623" s="39" t="n">
        <f aca="false">IF(AND($F623&lt;&gt;"",$P623&lt;&gt;"",$P623&lt;Hoje!$C$3,$AB623=0,$R623&lt;&gt;"Cancelada"),1,0)</f>
        <v>0</v>
      </c>
      <c r="AJ623" s="50" t="str">
        <f aca="false">IF($F623="","",$D623&amp;"|"&amp;$E623&amp;"|"&amp;$L623)</f>
        <v/>
      </c>
      <c r="AK623" s="39" t="str">
        <f aca="false">IF($AJ623="","",COUNTIF($AJ$4:$AJ623,$AJ623))</f>
        <v/>
      </c>
      <c r="AL623" s="39" t="str">
        <f aca="false">IF($AJ623="","",COUNTIF($AJ$4:$AJ$1004,$AJ623))</f>
        <v/>
      </c>
      <c r="AM623" s="42"/>
      <c r="AN623" s="50" t="str">
        <f aca="false">IF($D623="","",IFERROR(T(VLOOKUP($D623,Listas!$B$5:$H$120,7,0)),""))</f>
        <v/>
      </c>
      <c r="AO623" s="50" t="str">
        <f aca="false">IF(OR($F623="",$L623&lt;&gt;"",$R623="Cancelada",$AT623&lt;&gt;""),"",$AN623&amp;"|"&amp;$D623&amp;"|"&amp;IF($C623="","zzz",$C623)&amp;"|"&amp;TEXT(623,"0000"))</f>
        <v/>
      </c>
      <c r="AP623" s="50" t="str">
        <f aca="false">IF($AO623="","",COUNTIF($AO$5:$AO$1004,"&lt;"&amp;$AO623)-(ROWS($AO$5:$AO$1004)-Hoje!$L$5)+1)</f>
        <v/>
      </c>
      <c r="AQ623" s="50" t="n">
        <f aca="false">IF(AND($F623&lt;&gt;"",$D623=Frota!$C$3),1,0)</f>
        <v>0</v>
      </c>
      <c r="AR623" s="50" t="str">
        <f aca="false">IF($AQ623=0,"",SUM($AQ$4:$AQ623))</f>
        <v/>
      </c>
      <c r="AS623" s="50" t="str">
        <f aca="false">IFERROR(INDEX(Hoje!$K$10:$K$29,MATCH(ROW(),Hoje!$J$10:$J$29,0)),"")</f>
        <v/>
      </c>
      <c r="AT623" s="50" t="str">
        <f aca="false">IF($Q623&lt;&gt;"",$Q623,$AS623)</f>
        <v/>
      </c>
    </row>
    <row r="624" customFormat="false" ht="16.5" hidden="false" customHeight="true" outlineLevel="0" collapsed="false">
      <c r="A624" s="39" t="str">
        <f aca="false">IF($F624="","",ROW())</f>
        <v/>
      </c>
      <c r="B624" s="40" t="str">
        <f aca="false">IF($F624="",IF($D624="","","Falta a atividade"),IF($R624="Cancelada","Cancelada",IF($AB624=1,IF(N($Z624)&gt;0,"Concluída com atraso","Concluída"),IF($R624="Em programação","Em programação",IF($O624="",IF($M624="","Na carteira","Falta a semana"),IF($AC624=1,"VENCIDA",IF($O624&gt;Hoje!$L$1,"Programada",IF($P624&gt;Hoje!$L$1,"Em execução","Fecha hoje"))))))))</f>
        <v/>
      </c>
      <c r="C624" s="41"/>
      <c r="D624" s="42"/>
      <c r="E624" s="42"/>
      <c r="F624" s="42"/>
      <c r="G624" s="43"/>
      <c r="H624" s="43"/>
      <c r="I624" s="44"/>
      <c r="J624" s="44"/>
      <c r="K624" s="44"/>
      <c r="L624" s="45"/>
      <c r="M624" s="46"/>
      <c r="N624" s="45"/>
      <c r="O624" s="47" t="str">
        <f aca="false">IF(OR($L624="",$M624=""),"",(DATE(Semana!$J$3,1,4)-WEEKDAY(DATE(Semana!$J$3,1,4),3))+($L624-1)*7+MATCH($M624,Listas!$F$5:$F$11,0)-1)</f>
        <v/>
      </c>
      <c r="P624" s="47" t="str">
        <f aca="false">IF(OR($F624="",$O624=""),"",$O624+MAX(0,ROUNDUP($AK624*MAX(1,IF($N624="",1,$N624))/MAX(1,$AL624),0)-1))</f>
        <v/>
      </c>
      <c r="Q624" s="48"/>
      <c r="R624" s="43"/>
      <c r="S624" s="49"/>
      <c r="T624" s="42"/>
      <c r="U624" s="42"/>
      <c r="V624" s="39" t="str">
        <f aca="false">IF($F624="","",IF(ISNUMBER(SEARCH("(externo)",$I624&amp;$J624&amp;$K624)),"Terceirizada","Interna"))</f>
        <v/>
      </c>
      <c r="W624" s="47" t="str">
        <f aca="false">IF($O624="","",IF($S624="",$O624,(DATE(Semana!$J$3,1,4)-WEEKDAY(DATE(Semana!$J$3,1,4),3))+($S624-1)*7+IF($M624="",0,MATCH($M624,Listas!$F$5:$F$11,0)-1)))</f>
        <v/>
      </c>
      <c r="X624" s="39" t="str">
        <f aca="false">IF($F624="","",IF(OR($AT624="",$O624=""),0,IF($AT624&lt;=$O624,1,0)))</f>
        <v/>
      </c>
      <c r="Y624" s="39" t="str">
        <f aca="false">IF($F624="","",IF(OR($AT624="",$W624=""),0,IF($AT624&lt;=$W624,1,0)))</f>
        <v/>
      </c>
      <c r="Z624" s="39" t="str">
        <f aca="false">IF(OR($AT624="",$O624=""),"",MAX(0,$AT624-$O624))</f>
        <v/>
      </c>
      <c r="AA624" s="39" t="str">
        <f aca="false">IF($F624="","",IF(AND($S624&lt;&gt;"",$L624&lt;&gt;"",$S624&lt;&gt;$L624),1,0))</f>
        <v/>
      </c>
      <c r="AB624" s="39" t="str">
        <f aca="false">IF($F624="","",IF($R624="Cancelada",0,IF(OR($AT624&lt;&gt;"",$R624="Concluída"),1,0)))</f>
        <v/>
      </c>
      <c r="AC624" s="39" t="n">
        <f aca="false">IF($P624="",0,IF($P624&lt;Hoje!$L$1,1,IF(AND($P624=Hoje!$L$1,Hoje!$L$2&gt;Semana!$M$3),1,0)))</f>
        <v>0</v>
      </c>
      <c r="AD624" s="39" t="str">
        <f aca="false">IF($F624="","",IF(COUNTA($I624:$K624)=0,0,1/COUNTA($I624:$K624)))</f>
        <v/>
      </c>
      <c r="AE624" s="39" t="str">
        <f aca="false">IF($AH624=0,"",SUM($AH$4:$AH624))</f>
        <v/>
      </c>
      <c r="AF624" s="39" t="str">
        <f aca="false">IF($AI624=0,"",SUM($AI$4:$AI624))</f>
        <v/>
      </c>
      <c r="AG624" s="50" t="str">
        <f aca="false">IF($F624="","",$I624&amp;IF($J624="",""," · "&amp;$J624)&amp;IF($K624="",""," · "&amp;$K624))</f>
        <v/>
      </c>
      <c r="AH624" s="39" t="n">
        <f aca="false">IF(AND($F624&lt;&gt;"",$O624&lt;&gt;"",$O624&lt;=Hoje!$C$3,$P624&gt;=Hoje!$C$3,$R624&lt;&gt;"Cancelada"),1,0)</f>
        <v>0</v>
      </c>
      <c r="AI624" s="39" t="n">
        <f aca="false">IF(AND($F624&lt;&gt;"",$P624&lt;&gt;"",$P624&lt;Hoje!$C$3,$AB624=0,$R624&lt;&gt;"Cancelada"),1,0)</f>
        <v>0</v>
      </c>
      <c r="AJ624" s="50" t="str">
        <f aca="false">IF($F624="","",$D624&amp;"|"&amp;$E624&amp;"|"&amp;$L624)</f>
        <v/>
      </c>
      <c r="AK624" s="39" t="str">
        <f aca="false">IF($AJ624="","",COUNTIF($AJ$4:$AJ624,$AJ624))</f>
        <v/>
      </c>
      <c r="AL624" s="39" t="str">
        <f aca="false">IF($AJ624="","",COUNTIF($AJ$4:$AJ$1004,$AJ624))</f>
        <v/>
      </c>
      <c r="AM624" s="42"/>
      <c r="AN624" s="50" t="str">
        <f aca="false">IF($D624="","",IFERROR(T(VLOOKUP($D624,Listas!$B$5:$H$120,7,0)),""))</f>
        <v/>
      </c>
      <c r="AO624" s="50" t="str">
        <f aca="false">IF(OR($F624="",$L624&lt;&gt;"",$R624="Cancelada",$AT624&lt;&gt;""),"",$AN624&amp;"|"&amp;$D624&amp;"|"&amp;IF($C624="","zzz",$C624)&amp;"|"&amp;TEXT(624,"0000"))</f>
        <v/>
      </c>
      <c r="AP624" s="50" t="str">
        <f aca="false">IF($AO624="","",COUNTIF($AO$5:$AO$1004,"&lt;"&amp;$AO624)-(ROWS($AO$5:$AO$1004)-Hoje!$L$5)+1)</f>
        <v/>
      </c>
      <c r="AQ624" s="50" t="n">
        <f aca="false">IF(AND($F624&lt;&gt;"",$D624=Frota!$C$3),1,0)</f>
        <v>0</v>
      </c>
      <c r="AR624" s="50" t="str">
        <f aca="false">IF($AQ624=0,"",SUM($AQ$4:$AQ624))</f>
        <v/>
      </c>
      <c r="AS624" s="50" t="str">
        <f aca="false">IFERROR(INDEX(Hoje!$K$10:$K$29,MATCH(ROW(),Hoje!$J$10:$J$29,0)),"")</f>
        <v/>
      </c>
      <c r="AT624" s="50" t="str">
        <f aca="false">IF($Q624&lt;&gt;"",$Q624,$AS624)</f>
        <v/>
      </c>
    </row>
    <row r="625" customFormat="false" ht="16.5" hidden="false" customHeight="true" outlineLevel="0" collapsed="false">
      <c r="A625" s="39" t="str">
        <f aca="false">IF($F625="","",ROW())</f>
        <v/>
      </c>
      <c r="B625" s="40" t="str">
        <f aca="false">IF($F625="",IF($D625="","","Falta a atividade"),IF($R625="Cancelada","Cancelada",IF($AB625=1,IF(N($Z625)&gt;0,"Concluída com atraso","Concluída"),IF($R625="Em programação","Em programação",IF($O625="",IF($M625="","Na carteira","Falta a semana"),IF($AC625=1,"VENCIDA",IF($O625&gt;Hoje!$L$1,"Programada",IF($P625&gt;Hoje!$L$1,"Em execução","Fecha hoje"))))))))</f>
        <v/>
      </c>
      <c r="C625" s="41"/>
      <c r="D625" s="42"/>
      <c r="E625" s="42"/>
      <c r="F625" s="42"/>
      <c r="G625" s="43"/>
      <c r="H625" s="43"/>
      <c r="I625" s="44"/>
      <c r="J625" s="44"/>
      <c r="K625" s="44"/>
      <c r="L625" s="45"/>
      <c r="M625" s="46"/>
      <c r="N625" s="45"/>
      <c r="O625" s="47" t="str">
        <f aca="false">IF(OR($L625="",$M625=""),"",(DATE(Semana!$J$3,1,4)-WEEKDAY(DATE(Semana!$J$3,1,4),3))+($L625-1)*7+MATCH($M625,Listas!$F$5:$F$11,0)-1)</f>
        <v/>
      </c>
      <c r="P625" s="47" t="str">
        <f aca="false">IF(OR($F625="",$O625=""),"",$O625+MAX(0,ROUNDUP($AK625*MAX(1,IF($N625="",1,$N625))/MAX(1,$AL625),0)-1))</f>
        <v/>
      </c>
      <c r="Q625" s="48"/>
      <c r="R625" s="43"/>
      <c r="S625" s="49"/>
      <c r="T625" s="42"/>
      <c r="U625" s="42"/>
      <c r="V625" s="39" t="str">
        <f aca="false">IF($F625="","",IF(ISNUMBER(SEARCH("(externo)",$I625&amp;$J625&amp;$K625)),"Terceirizada","Interna"))</f>
        <v/>
      </c>
      <c r="W625" s="47" t="str">
        <f aca="false">IF($O625="","",IF($S625="",$O625,(DATE(Semana!$J$3,1,4)-WEEKDAY(DATE(Semana!$J$3,1,4),3))+($S625-1)*7+IF($M625="",0,MATCH($M625,Listas!$F$5:$F$11,0)-1)))</f>
        <v/>
      </c>
      <c r="X625" s="39" t="str">
        <f aca="false">IF($F625="","",IF(OR($AT625="",$O625=""),0,IF($AT625&lt;=$O625,1,0)))</f>
        <v/>
      </c>
      <c r="Y625" s="39" t="str">
        <f aca="false">IF($F625="","",IF(OR($AT625="",$W625=""),0,IF($AT625&lt;=$W625,1,0)))</f>
        <v/>
      </c>
      <c r="Z625" s="39" t="str">
        <f aca="false">IF(OR($AT625="",$O625=""),"",MAX(0,$AT625-$O625))</f>
        <v/>
      </c>
      <c r="AA625" s="39" t="str">
        <f aca="false">IF($F625="","",IF(AND($S625&lt;&gt;"",$L625&lt;&gt;"",$S625&lt;&gt;$L625),1,0))</f>
        <v/>
      </c>
      <c r="AB625" s="39" t="str">
        <f aca="false">IF($F625="","",IF($R625="Cancelada",0,IF(OR($AT625&lt;&gt;"",$R625="Concluída"),1,0)))</f>
        <v/>
      </c>
      <c r="AC625" s="39" t="n">
        <f aca="false">IF($P625="",0,IF($P625&lt;Hoje!$L$1,1,IF(AND($P625=Hoje!$L$1,Hoje!$L$2&gt;Semana!$M$3),1,0)))</f>
        <v>0</v>
      </c>
      <c r="AD625" s="39" t="str">
        <f aca="false">IF($F625="","",IF(COUNTA($I625:$K625)=0,0,1/COUNTA($I625:$K625)))</f>
        <v/>
      </c>
      <c r="AE625" s="39" t="str">
        <f aca="false">IF($AH625=0,"",SUM($AH$4:$AH625))</f>
        <v/>
      </c>
      <c r="AF625" s="39" t="str">
        <f aca="false">IF($AI625=0,"",SUM($AI$4:$AI625))</f>
        <v/>
      </c>
      <c r="AG625" s="50" t="str">
        <f aca="false">IF($F625="","",$I625&amp;IF($J625="",""," · "&amp;$J625)&amp;IF($K625="",""," · "&amp;$K625))</f>
        <v/>
      </c>
      <c r="AH625" s="39" t="n">
        <f aca="false">IF(AND($F625&lt;&gt;"",$O625&lt;&gt;"",$O625&lt;=Hoje!$C$3,$P625&gt;=Hoje!$C$3,$R625&lt;&gt;"Cancelada"),1,0)</f>
        <v>0</v>
      </c>
      <c r="AI625" s="39" t="n">
        <f aca="false">IF(AND($F625&lt;&gt;"",$P625&lt;&gt;"",$P625&lt;Hoje!$C$3,$AB625=0,$R625&lt;&gt;"Cancelada"),1,0)</f>
        <v>0</v>
      </c>
      <c r="AJ625" s="50" t="str">
        <f aca="false">IF($F625="","",$D625&amp;"|"&amp;$E625&amp;"|"&amp;$L625)</f>
        <v/>
      </c>
      <c r="AK625" s="39" t="str">
        <f aca="false">IF($AJ625="","",COUNTIF($AJ$4:$AJ625,$AJ625))</f>
        <v/>
      </c>
      <c r="AL625" s="39" t="str">
        <f aca="false">IF($AJ625="","",COUNTIF($AJ$4:$AJ$1004,$AJ625))</f>
        <v/>
      </c>
      <c r="AM625" s="42"/>
      <c r="AN625" s="50" t="str">
        <f aca="false">IF($D625="","",IFERROR(T(VLOOKUP($D625,Listas!$B$5:$H$120,7,0)),""))</f>
        <v/>
      </c>
      <c r="AO625" s="50" t="str">
        <f aca="false">IF(OR($F625="",$L625&lt;&gt;"",$R625="Cancelada",$AT625&lt;&gt;""),"",$AN625&amp;"|"&amp;$D625&amp;"|"&amp;IF($C625="","zzz",$C625)&amp;"|"&amp;TEXT(625,"0000"))</f>
        <v/>
      </c>
      <c r="AP625" s="50" t="str">
        <f aca="false">IF($AO625="","",COUNTIF($AO$5:$AO$1004,"&lt;"&amp;$AO625)-(ROWS($AO$5:$AO$1004)-Hoje!$L$5)+1)</f>
        <v/>
      </c>
      <c r="AQ625" s="50" t="n">
        <f aca="false">IF(AND($F625&lt;&gt;"",$D625=Frota!$C$3),1,0)</f>
        <v>0</v>
      </c>
      <c r="AR625" s="50" t="str">
        <f aca="false">IF($AQ625=0,"",SUM($AQ$4:$AQ625))</f>
        <v/>
      </c>
      <c r="AS625" s="50" t="str">
        <f aca="false">IFERROR(INDEX(Hoje!$K$10:$K$29,MATCH(ROW(),Hoje!$J$10:$J$29,0)),"")</f>
        <v/>
      </c>
      <c r="AT625" s="50" t="str">
        <f aca="false">IF($Q625&lt;&gt;"",$Q625,$AS625)</f>
        <v/>
      </c>
    </row>
    <row r="626" customFormat="false" ht="16.5" hidden="false" customHeight="true" outlineLevel="0" collapsed="false">
      <c r="A626" s="39" t="str">
        <f aca="false">IF($F626="","",ROW())</f>
        <v/>
      </c>
      <c r="B626" s="40" t="str">
        <f aca="false">IF($F626="",IF($D626="","","Falta a atividade"),IF($R626="Cancelada","Cancelada",IF($AB626=1,IF(N($Z626)&gt;0,"Concluída com atraso","Concluída"),IF($R626="Em programação","Em programação",IF($O626="",IF($M626="","Na carteira","Falta a semana"),IF($AC626=1,"VENCIDA",IF($O626&gt;Hoje!$L$1,"Programada",IF($P626&gt;Hoje!$L$1,"Em execução","Fecha hoje"))))))))</f>
        <v/>
      </c>
      <c r="C626" s="41"/>
      <c r="D626" s="42"/>
      <c r="E626" s="42"/>
      <c r="F626" s="42"/>
      <c r="G626" s="43"/>
      <c r="H626" s="43"/>
      <c r="I626" s="44"/>
      <c r="J626" s="44"/>
      <c r="K626" s="44"/>
      <c r="L626" s="45"/>
      <c r="M626" s="46"/>
      <c r="N626" s="45"/>
      <c r="O626" s="47" t="str">
        <f aca="false">IF(OR($L626="",$M626=""),"",(DATE(Semana!$J$3,1,4)-WEEKDAY(DATE(Semana!$J$3,1,4),3))+($L626-1)*7+MATCH($M626,Listas!$F$5:$F$11,0)-1)</f>
        <v/>
      </c>
      <c r="P626" s="47" t="str">
        <f aca="false">IF(OR($F626="",$O626=""),"",$O626+MAX(0,ROUNDUP($AK626*MAX(1,IF($N626="",1,$N626))/MAX(1,$AL626),0)-1))</f>
        <v/>
      </c>
      <c r="Q626" s="48"/>
      <c r="R626" s="43"/>
      <c r="S626" s="49"/>
      <c r="T626" s="42"/>
      <c r="U626" s="42"/>
      <c r="V626" s="39" t="str">
        <f aca="false">IF($F626="","",IF(ISNUMBER(SEARCH("(externo)",$I626&amp;$J626&amp;$K626)),"Terceirizada","Interna"))</f>
        <v/>
      </c>
      <c r="W626" s="47" t="str">
        <f aca="false">IF($O626="","",IF($S626="",$O626,(DATE(Semana!$J$3,1,4)-WEEKDAY(DATE(Semana!$J$3,1,4),3))+($S626-1)*7+IF($M626="",0,MATCH($M626,Listas!$F$5:$F$11,0)-1)))</f>
        <v/>
      </c>
      <c r="X626" s="39" t="str">
        <f aca="false">IF($F626="","",IF(OR($AT626="",$O626=""),0,IF($AT626&lt;=$O626,1,0)))</f>
        <v/>
      </c>
      <c r="Y626" s="39" t="str">
        <f aca="false">IF($F626="","",IF(OR($AT626="",$W626=""),0,IF($AT626&lt;=$W626,1,0)))</f>
        <v/>
      </c>
      <c r="Z626" s="39" t="str">
        <f aca="false">IF(OR($AT626="",$O626=""),"",MAX(0,$AT626-$O626))</f>
        <v/>
      </c>
      <c r="AA626" s="39" t="str">
        <f aca="false">IF($F626="","",IF(AND($S626&lt;&gt;"",$L626&lt;&gt;"",$S626&lt;&gt;$L626),1,0))</f>
        <v/>
      </c>
      <c r="AB626" s="39" t="str">
        <f aca="false">IF($F626="","",IF($R626="Cancelada",0,IF(OR($AT626&lt;&gt;"",$R626="Concluída"),1,0)))</f>
        <v/>
      </c>
      <c r="AC626" s="39" t="n">
        <f aca="false">IF($P626="",0,IF($P626&lt;Hoje!$L$1,1,IF(AND($P626=Hoje!$L$1,Hoje!$L$2&gt;Semana!$M$3),1,0)))</f>
        <v>0</v>
      </c>
      <c r="AD626" s="39" t="str">
        <f aca="false">IF($F626="","",IF(COUNTA($I626:$K626)=0,0,1/COUNTA($I626:$K626)))</f>
        <v/>
      </c>
      <c r="AE626" s="39" t="str">
        <f aca="false">IF($AH626=0,"",SUM($AH$4:$AH626))</f>
        <v/>
      </c>
      <c r="AF626" s="39" t="str">
        <f aca="false">IF($AI626=0,"",SUM($AI$4:$AI626))</f>
        <v/>
      </c>
      <c r="AG626" s="50" t="str">
        <f aca="false">IF($F626="","",$I626&amp;IF($J626="",""," · "&amp;$J626)&amp;IF($K626="",""," · "&amp;$K626))</f>
        <v/>
      </c>
      <c r="AH626" s="39" t="n">
        <f aca="false">IF(AND($F626&lt;&gt;"",$O626&lt;&gt;"",$O626&lt;=Hoje!$C$3,$P626&gt;=Hoje!$C$3,$R626&lt;&gt;"Cancelada"),1,0)</f>
        <v>0</v>
      </c>
      <c r="AI626" s="39" t="n">
        <f aca="false">IF(AND($F626&lt;&gt;"",$P626&lt;&gt;"",$P626&lt;Hoje!$C$3,$AB626=0,$R626&lt;&gt;"Cancelada"),1,0)</f>
        <v>0</v>
      </c>
      <c r="AJ626" s="50" t="str">
        <f aca="false">IF($F626="","",$D626&amp;"|"&amp;$E626&amp;"|"&amp;$L626)</f>
        <v/>
      </c>
      <c r="AK626" s="39" t="str">
        <f aca="false">IF($AJ626="","",COUNTIF($AJ$4:$AJ626,$AJ626))</f>
        <v/>
      </c>
      <c r="AL626" s="39" t="str">
        <f aca="false">IF($AJ626="","",COUNTIF($AJ$4:$AJ$1004,$AJ626))</f>
        <v/>
      </c>
      <c r="AM626" s="42"/>
      <c r="AN626" s="50" t="str">
        <f aca="false">IF($D626="","",IFERROR(T(VLOOKUP($D626,Listas!$B$5:$H$120,7,0)),""))</f>
        <v/>
      </c>
      <c r="AO626" s="50" t="str">
        <f aca="false">IF(OR($F626="",$L626&lt;&gt;"",$R626="Cancelada",$AT626&lt;&gt;""),"",$AN626&amp;"|"&amp;$D626&amp;"|"&amp;IF($C626="","zzz",$C626)&amp;"|"&amp;TEXT(626,"0000"))</f>
        <v/>
      </c>
      <c r="AP626" s="50" t="str">
        <f aca="false">IF($AO626="","",COUNTIF($AO$5:$AO$1004,"&lt;"&amp;$AO626)-(ROWS($AO$5:$AO$1004)-Hoje!$L$5)+1)</f>
        <v/>
      </c>
      <c r="AQ626" s="50" t="n">
        <f aca="false">IF(AND($F626&lt;&gt;"",$D626=Frota!$C$3),1,0)</f>
        <v>0</v>
      </c>
      <c r="AR626" s="50" t="str">
        <f aca="false">IF($AQ626=0,"",SUM($AQ$4:$AQ626))</f>
        <v/>
      </c>
      <c r="AS626" s="50" t="str">
        <f aca="false">IFERROR(INDEX(Hoje!$K$10:$K$29,MATCH(ROW(),Hoje!$J$10:$J$29,0)),"")</f>
        <v/>
      </c>
      <c r="AT626" s="50" t="str">
        <f aca="false">IF($Q626&lt;&gt;"",$Q626,$AS626)</f>
        <v/>
      </c>
    </row>
    <row r="627" customFormat="false" ht="16.5" hidden="false" customHeight="true" outlineLevel="0" collapsed="false">
      <c r="A627" s="39" t="str">
        <f aca="false">IF($F627="","",ROW())</f>
        <v/>
      </c>
      <c r="B627" s="40" t="str">
        <f aca="false">IF($F627="",IF($D627="","","Falta a atividade"),IF($R627="Cancelada","Cancelada",IF($AB627=1,IF(N($Z627)&gt;0,"Concluída com atraso","Concluída"),IF($R627="Em programação","Em programação",IF($O627="",IF($M627="","Na carteira","Falta a semana"),IF($AC627=1,"VENCIDA",IF($O627&gt;Hoje!$L$1,"Programada",IF($P627&gt;Hoje!$L$1,"Em execução","Fecha hoje"))))))))</f>
        <v/>
      </c>
      <c r="C627" s="41"/>
      <c r="D627" s="42"/>
      <c r="E627" s="42"/>
      <c r="F627" s="42"/>
      <c r="G627" s="43"/>
      <c r="H627" s="43"/>
      <c r="I627" s="44"/>
      <c r="J627" s="44"/>
      <c r="K627" s="44"/>
      <c r="L627" s="45"/>
      <c r="M627" s="46"/>
      <c r="N627" s="45"/>
      <c r="O627" s="47" t="str">
        <f aca="false">IF(OR($L627="",$M627=""),"",(DATE(Semana!$J$3,1,4)-WEEKDAY(DATE(Semana!$J$3,1,4),3))+($L627-1)*7+MATCH($M627,Listas!$F$5:$F$11,0)-1)</f>
        <v/>
      </c>
      <c r="P627" s="47" t="str">
        <f aca="false">IF(OR($F627="",$O627=""),"",$O627+MAX(0,ROUNDUP($AK627*MAX(1,IF($N627="",1,$N627))/MAX(1,$AL627),0)-1))</f>
        <v/>
      </c>
      <c r="Q627" s="48"/>
      <c r="R627" s="43"/>
      <c r="S627" s="49"/>
      <c r="T627" s="42"/>
      <c r="U627" s="42"/>
      <c r="V627" s="39" t="str">
        <f aca="false">IF($F627="","",IF(ISNUMBER(SEARCH("(externo)",$I627&amp;$J627&amp;$K627)),"Terceirizada","Interna"))</f>
        <v/>
      </c>
      <c r="W627" s="47" t="str">
        <f aca="false">IF($O627="","",IF($S627="",$O627,(DATE(Semana!$J$3,1,4)-WEEKDAY(DATE(Semana!$J$3,1,4),3))+($S627-1)*7+IF($M627="",0,MATCH($M627,Listas!$F$5:$F$11,0)-1)))</f>
        <v/>
      </c>
      <c r="X627" s="39" t="str">
        <f aca="false">IF($F627="","",IF(OR($AT627="",$O627=""),0,IF($AT627&lt;=$O627,1,0)))</f>
        <v/>
      </c>
      <c r="Y627" s="39" t="str">
        <f aca="false">IF($F627="","",IF(OR($AT627="",$W627=""),0,IF($AT627&lt;=$W627,1,0)))</f>
        <v/>
      </c>
      <c r="Z627" s="39" t="str">
        <f aca="false">IF(OR($AT627="",$O627=""),"",MAX(0,$AT627-$O627))</f>
        <v/>
      </c>
      <c r="AA627" s="39" t="str">
        <f aca="false">IF($F627="","",IF(AND($S627&lt;&gt;"",$L627&lt;&gt;"",$S627&lt;&gt;$L627),1,0))</f>
        <v/>
      </c>
      <c r="AB627" s="39" t="str">
        <f aca="false">IF($F627="","",IF($R627="Cancelada",0,IF(OR($AT627&lt;&gt;"",$R627="Concluída"),1,0)))</f>
        <v/>
      </c>
      <c r="AC627" s="39" t="n">
        <f aca="false">IF($P627="",0,IF($P627&lt;Hoje!$L$1,1,IF(AND($P627=Hoje!$L$1,Hoje!$L$2&gt;Semana!$M$3),1,0)))</f>
        <v>0</v>
      </c>
      <c r="AD627" s="39" t="str">
        <f aca="false">IF($F627="","",IF(COUNTA($I627:$K627)=0,0,1/COUNTA($I627:$K627)))</f>
        <v/>
      </c>
      <c r="AE627" s="39" t="str">
        <f aca="false">IF($AH627=0,"",SUM($AH$4:$AH627))</f>
        <v/>
      </c>
      <c r="AF627" s="39" t="str">
        <f aca="false">IF($AI627=0,"",SUM($AI$4:$AI627))</f>
        <v/>
      </c>
      <c r="AG627" s="50" t="str">
        <f aca="false">IF($F627="","",$I627&amp;IF($J627="",""," · "&amp;$J627)&amp;IF($K627="",""," · "&amp;$K627))</f>
        <v/>
      </c>
      <c r="AH627" s="39" t="n">
        <f aca="false">IF(AND($F627&lt;&gt;"",$O627&lt;&gt;"",$O627&lt;=Hoje!$C$3,$P627&gt;=Hoje!$C$3,$R627&lt;&gt;"Cancelada"),1,0)</f>
        <v>0</v>
      </c>
      <c r="AI627" s="39" t="n">
        <f aca="false">IF(AND($F627&lt;&gt;"",$P627&lt;&gt;"",$P627&lt;Hoje!$C$3,$AB627=0,$R627&lt;&gt;"Cancelada"),1,0)</f>
        <v>0</v>
      </c>
      <c r="AJ627" s="50" t="str">
        <f aca="false">IF($F627="","",$D627&amp;"|"&amp;$E627&amp;"|"&amp;$L627)</f>
        <v/>
      </c>
      <c r="AK627" s="39" t="str">
        <f aca="false">IF($AJ627="","",COUNTIF($AJ$4:$AJ627,$AJ627))</f>
        <v/>
      </c>
      <c r="AL627" s="39" t="str">
        <f aca="false">IF($AJ627="","",COUNTIF($AJ$4:$AJ$1004,$AJ627))</f>
        <v/>
      </c>
      <c r="AM627" s="42"/>
      <c r="AN627" s="50" t="str">
        <f aca="false">IF($D627="","",IFERROR(T(VLOOKUP($D627,Listas!$B$5:$H$120,7,0)),""))</f>
        <v/>
      </c>
      <c r="AO627" s="50" t="str">
        <f aca="false">IF(OR($F627="",$L627&lt;&gt;"",$R627="Cancelada",$AT627&lt;&gt;""),"",$AN627&amp;"|"&amp;$D627&amp;"|"&amp;IF($C627="","zzz",$C627)&amp;"|"&amp;TEXT(627,"0000"))</f>
        <v/>
      </c>
      <c r="AP627" s="50" t="str">
        <f aca="false">IF($AO627="","",COUNTIF($AO$5:$AO$1004,"&lt;"&amp;$AO627)-(ROWS($AO$5:$AO$1004)-Hoje!$L$5)+1)</f>
        <v/>
      </c>
      <c r="AQ627" s="50" t="n">
        <f aca="false">IF(AND($F627&lt;&gt;"",$D627=Frota!$C$3),1,0)</f>
        <v>0</v>
      </c>
      <c r="AR627" s="50" t="str">
        <f aca="false">IF($AQ627=0,"",SUM($AQ$4:$AQ627))</f>
        <v/>
      </c>
      <c r="AS627" s="50" t="str">
        <f aca="false">IFERROR(INDEX(Hoje!$K$10:$K$29,MATCH(ROW(),Hoje!$J$10:$J$29,0)),"")</f>
        <v/>
      </c>
      <c r="AT627" s="50" t="str">
        <f aca="false">IF($Q627&lt;&gt;"",$Q627,$AS627)</f>
        <v/>
      </c>
    </row>
    <row r="628" customFormat="false" ht="16.5" hidden="false" customHeight="true" outlineLevel="0" collapsed="false">
      <c r="A628" s="39" t="str">
        <f aca="false">IF($F628="","",ROW())</f>
        <v/>
      </c>
      <c r="B628" s="40" t="str">
        <f aca="false">IF($F628="",IF($D628="","","Falta a atividade"),IF($R628="Cancelada","Cancelada",IF($AB628=1,IF(N($Z628)&gt;0,"Concluída com atraso","Concluída"),IF($R628="Em programação","Em programação",IF($O628="",IF($M628="","Na carteira","Falta a semana"),IF($AC628=1,"VENCIDA",IF($O628&gt;Hoje!$L$1,"Programada",IF($P628&gt;Hoje!$L$1,"Em execução","Fecha hoje"))))))))</f>
        <v/>
      </c>
      <c r="C628" s="41"/>
      <c r="D628" s="42"/>
      <c r="E628" s="42"/>
      <c r="F628" s="42"/>
      <c r="G628" s="43"/>
      <c r="H628" s="43"/>
      <c r="I628" s="44"/>
      <c r="J628" s="44"/>
      <c r="K628" s="44"/>
      <c r="L628" s="45"/>
      <c r="M628" s="46"/>
      <c r="N628" s="45"/>
      <c r="O628" s="47" t="str">
        <f aca="false">IF(OR($L628="",$M628=""),"",(DATE(Semana!$J$3,1,4)-WEEKDAY(DATE(Semana!$J$3,1,4),3))+($L628-1)*7+MATCH($M628,Listas!$F$5:$F$11,0)-1)</f>
        <v/>
      </c>
      <c r="P628" s="47" t="str">
        <f aca="false">IF(OR($F628="",$O628=""),"",$O628+MAX(0,ROUNDUP($AK628*MAX(1,IF($N628="",1,$N628))/MAX(1,$AL628),0)-1))</f>
        <v/>
      </c>
      <c r="Q628" s="48"/>
      <c r="R628" s="43"/>
      <c r="S628" s="49"/>
      <c r="T628" s="42"/>
      <c r="U628" s="42"/>
      <c r="V628" s="39" t="str">
        <f aca="false">IF($F628="","",IF(ISNUMBER(SEARCH("(externo)",$I628&amp;$J628&amp;$K628)),"Terceirizada","Interna"))</f>
        <v/>
      </c>
      <c r="W628" s="47" t="str">
        <f aca="false">IF($O628="","",IF($S628="",$O628,(DATE(Semana!$J$3,1,4)-WEEKDAY(DATE(Semana!$J$3,1,4),3))+($S628-1)*7+IF($M628="",0,MATCH($M628,Listas!$F$5:$F$11,0)-1)))</f>
        <v/>
      </c>
      <c r="X628" s="39" t="str">
        <f aca="false">IF($F628="","",IF(OR($AT628="",$O628=""),0,IF($AT628&lt;=$O628,1,0)))</f>
        <v/>
      </c>
      <c r="Y628" s="39" t="str">
        <f aca="false">IF($F628="","",IF(OR($AT628="",$W628=""),0,IF($AT628&lt;=$W628,1,0)))</f>
        <v/>
      </c>
      <c r="Z628" s="39" t="str">
        <f aca="false">IF(OR($AT628="",$O628=""),"",MAX(0,$AT628-$O628))</f>
        <v/>
      </c>
      <c r="AA628" s="39" t="str">
        <f aca="false">IF($F628="","",IF(AND($S628&lt;&gt;"",$L628&lt;&gt;"",$S628&lt;&gt;$L628),1,0))</f>
        <v/>
      </c>
      <c r="AB628" s="39" t="str">
        <f aca="false">IF($F628="","",IF($R628="Cancelada",0,IF(OR($AT628&lt;&gt;"",$R628="Concluída"),1,0)))</f>
        <v/>
      </c>
      <c r="AC628" s="39" t="n">
        <f aca="false">IF($P628="",0,IF($P628&lt;Hoje!$L$1,1,IF(AND($P628=Hoje!$L$1,Hoje!$L$2&gt;Semana!$M$3),1,0)))</f>
        <v>0</v>
      </c>
      <c r="AD628" s="39" t="str">
        <f aca="false">IF($F628="","",IF(COUNTA($I628:$K628)=0,0,1/COUNTA($I628:$K628)))</f>
        <v/>
      </c>
      <c r="AE628" s="39" t="str">
        <f aca="false">IF($AH628=0,"",SUM($AH$4:$AH628))</f>
        <v/>
      </c>
      <c r="AF628" s="39" t="str">
        <f aca="false">IF($AI628=0,"",SUM($AI$4:$AI628))</f>
        <v/>
      </c>
      <c r="AG628" s="50" t="str">
        <f aca="false">IF($F628="","",$I628&amp;IF($J628="",""," · "&amp;$J628)&amp;IF($K628="",""," · "&amp;$K628))</f>
        <v/>
      </c>
      <c r="AH628" s="39" t="n">
        <f aca="false">IF(AND($F628&lt;&gt;"",$O628&lt;&gt;"",$O628&lt;=Hoje!$C$3,$P628&gt;=Hoje!$C$3,$R628&lt;&gt;"Cancelada"),1,0)</f>
        <v>0</v>
      </c>
      <c r="AI628" s="39" t="n">
        <f aca="false">IF(AND($F628&lt;&gt;"",$P628&lt;&gt;"",$P628&lt;Hoje!$C$3,$AB628=0,$R628&lt;&gt;"Cancelada"),1,0)</f>
        <v>0</v>
      </c>
      <c r="AJ628" s="50" t="str">
        <f aca="false">IF($F628="","",$D628&amp;"|"&amp;$E628&amp;"|"&amp;$L628)</f>
        <v/>
      </c>
      <c r="AK628" s="39" t="str">
        <f aca="false">IF($AJ628="","",COUNTIF($AJ$4:$AJ628,$AJ628))</f>
        <v/>
      </c>
      <c r="AL628" s="39" t="str">
        <f aca="false">IF($AJ628="","",COUNTIF($AJ$4:$AJ$1004,$AJ628))</f>
        <v/>
      </c>
      <c r="AM628" s="42"/>
      <c r="AN628" s="50" t="str">
        <f aca="false">IF($D628="","",IFERROR(T(VLOOKUP($D628,Listas!$B$5:$H$120,7,0)),""))</f>
        <v/>
      </c>
      <c r="AO628" s="50" t="str">
        <f aca="false">IF(OR($F628="",$L628&lt;&gt;"",$R628="Cancelada",$AT628&lt;&gt;""),"",$AN628&amp;"|"&amp;$D628&amp;"|"&amp;IF($C628="","zzz",$C628)&amp;"|"&amp;TEXT(628,"0000"))</f>
        <v/>
      </c>
      <c r="AP628" s="50" t="str">
        <f aca="false">IF($AO628="","",COUNTIF($AO$5:$AO$1004,"&lt;"&amp;$AO628)-(ROWS($AO$5:$AO$1004)-Hoje!$L$5)+1)</f>
        <v/>
      </c>
      <c r="AQ628" s="50" t="n">
        <f aca="false">IF(AND($F628&lt;&gt;"",$D628=Frota!$C$3),1,0)</f>
        <v>0</v>
      </c>
      <c r="AR628" s="50" t="str">
        <f aca="false">IF($AQ628=0,"",SUM($AQ$4:$AQ628))</f>
        <v/>
      </c>
      <c r="AS628" s="50" t="str">
        <f aca="false">IFERROR(INDEX(Hoje!$K$10:$K$29,MATCH(ROW(),Hoje!$J$10:$J$29,0)),"")</f>
        <v/>
      </c>
      <c r="AT628" s="50" t="str">
        <f aca="false">IF($Q628&lt;&gt;"",$Q628,$AS628)</f>
        <v/>
      </c>
    </row>
    <row r="629" customFormat="false" ht="16.5" hidden="false" customHeight="true" outlineLevel="0" collapsed="false">
      <c r="A629" s="39" t="str">
        <f aca="false">IF($F629="","",ROW())</f>
        <v/>
      </c>
      <c r="B629" s="40" t="str">
        <f aca="false">IF($F629="",IF($D629="","","Falta a atividade"),IF($R629="Cancelada","Cancelada",IF($AB629=1,IF(N($Z629)&gt;0,"Concluída com atraso","Concluída"),IF($R629="Em programação","Em programação",IF($O629="",IF($M629="","Na carteira","Falta a semana"),IF($AC629=1,"VENCIDA",IF($O629&gt;Hoje!$L$1,"Programada",IF($P629&gt;Hoje!$L$1,"Em execução","Fecha hoje"))))))))</f>
        <v/>
      </c>
      <c r="C629" s="41"/>
      <c r="D629" s="42"/>
      <c r="E629" s="42"/>
      <c r="F629" s="42"/>
      <c r="G629" s="43"/>
      <c r="H629" s="43"/>
      <c r="I629" s="44"/>
      <c r="J629" s="44"/>
      <c r="K629" s="44"/>
      <c r="L629" s="45"/>
      <c r="M629" s="46"/>
      <c r="N629" s="45"/>
      <c r="O629" s="47" t="str">
        <f aca="false">IF(OR($L629="",$M629=""),"",(DATE(Semana!$J$3,1,4)-WEEKDAY(DATE(Semana!$J$3,1,4),3))+($L629-1)*7+MATCH($M629,Listas!$F$5:$F$11,0)-1)</f>
        <v/>
      </c>
      <c r="P629" s="47" t="str">
        <f aca="false">IF(OR($F629="",$O629=""),"",$O629+MAX(0,ROUNDUP($AK629*MAX(1,IF($N629="",1,$N629))/MAX(1,$AL629),0)-1))</f>
        <v/>
      </c>
      <c r="Q629" s="48"/>
      <c r="R629" s="43"/>
      <c r="S629" s="49"/>
      <c r="T629" s="42"/>
      <c r="U629" s="42"/>
      <c r="V629" s="39" t="str">
        <f aca="false">IF($F629="","",IF(ISNUMBER(SEARCH("(externo)",$I629&amp;$J629&amp;$K629)),"Terceirizada","Interna"))</f>
        <v/>
      </c>
      <c r="W629" s="47" t="str">
        <f aca="false">IF($O629="","",IF($S629="",$O629,(DATE(Semana!$J$3,1,4)-WEEKDAY(DATE(Semana!$J$3,1,4),3))+($S629-1)*7+IF($M629="",0,MATCH($M629,Listas!$F$5:$F$11,0)-1)))</f>
        <v/>
      </c>
      <c r="X629" s="39" t="str">
        <f aca="false">IF($F629="","",IF(OR($AT629="",$O629=""),0,IF($AT629&lt;=$O629,1,0)))</f>
        <v/>
      </c>
      <c r="Y629" s="39" t="str">
        <f aca="false">IF($F629="","",IF(OR($AT629="",$W629=""),0,IF($AT629&lt;=$W629,1,0)))</f>
        <v/>
      </c>
      <c r="Z629" s="39" t="str">
        <f aca="false">IF(OR($AT629="",$O629=""),"",MAX(0,$AT629-$O629))</f>
        <v/>
      </c>
      <c r="AA629" s="39" t="str">
        <f aca="false">IF($F629="","",IF(AND($S629&lt;&gt;"",$L629&lt;&gt;"",$S629&lt;&gt;$L629),1,0))</f>
        <v/>
      </c>
      <c r="AB629" s="39" t="str">
        <f aca="false">IF($F629="","",IF($R629="Cancelada",0,IF(OR($AT629&lt;&gt;"",$R629="Concluída"),1,0)))</f>
        <v/>
      </c>
      <c r="AC629" s="39" t="n">
        <f aca="false">IF($P629="",0,IF($P629&lt;Hoje!$L$1,1,IF(AND($P629=Hoje!$L$1,Hoje!$L$2&gt;Semana!$M$3),1,0)))</f>
        <v>0</v>
      </c>
      <c r="AD629" s="39" t="str">
        <f aca="false">IF($F629="","",IF(COUNTA($I629:$K629)=0,0,1/COUNTA($I629:$K629)))</f>
        <v/>
      </c>
      <c r="AE629" s="39" t="str">
        <f aca="false">IF($AH629=0,"",SUM($AH$4:$AH629))</f>
        <v/>
      </c>
      <c r="AF629" s="39" t="str">
        <f aca="false">IF($AI629=0,"",SUM($AI$4:$AI629))</f>
        <v/>
      </c>
      <c r="AG629" s="50" t="str">
        <f aca="false">IF($F629="","",$I629&amp;IF($J629="",""," · "&amp;$J629)&amp;IF($K629="",""," · "&amp;$K629))</f>
        <v/>
      </c>
      <c r="AH629" s="39" t="n">
        <f aca="false">IF(AND($F629&lt;&gt;"",$O629&lt;&gt;"",$O629&lt;=Hoje!$C$3,$P629&gt;=Hoje!$C$3,$R629&lt;&gt;"Cancelada"),1,0)</f>
        <v>0</v>
      </c>
      <c r="AI629" s="39" t="n">
        <f aca="false">IF(AND($F629&lt;&gt;"",$P629&lt;&gt;"",$P629&lt;Hoje!$C$3,$AB629=0,$R629&lt;&gt;"Cancelada"),1,0)</f>
        <v>0</v>
      </c>
      <c r="AJ629" s="50" t="str">
        <f aca="false">IF($F629="","",$D629&amp;"|"&amp;$E629&amp;"|"&amp;$L629)</f>
        <v/>
      </c>
      <c r="AK629" s="39" t="str">
        <f aca="false">IF($AJ629="","",COUNTIF($AJ$4:$AJ629,$AJ629))</f>
        <v/>
      </c>
      <c r="AL629" s="39" t="str">
        <f aca="false">IF($AJ629="","",COUNTIF($AJ$4:$AJ$1004,$AJ629))</f>
        <v/>
      </c>
      <c r="AM629" s="42"/>
      <c r="AN629" s="50" t="str">
        <f aca="false">IF($D629="","",IFERROR(T(VLOOKUP($D629,Listas!$B$5:$H$120,7,0)),""))</f>
        <v/>
      </c>
      <c r="AO629" s="50" t="str">
        <f aca="false">IF(OR($F629="",$L629&lt;&gt;"",$R629="Cancelada",$AT629&lt;&gt;""),"",$AN629&amp;"|"&amp;$D629&amp;"|"&amp;IF($C629="","zzz",$C629)&amp;"|"&amp;TEXT(629,"0000"))</f>
        <v/>
      </c>
      <c r="AP629" s="50" t="str">
        <f aca="false">IF($AO629="","",COUNTIF($AO$5:$AO$1004,"&lt;"&amp;$AO629)-(ROWS($AO$5:$AO$1004)-Hoje!$L$5)+1)</f>
        <v/>
      </c>
      <c r="AQ629" s="50" t="n">
        <f aca="false">IF(AND($F629&lt;&gt;"",$D629=Frota!$C$3),1,0)</f>
        <v>0</v>
      </c>
      <c r="AR629" s="50" t="str">
        <f aca="false">IF($AQ629=0,"",SUM($AQ$4:$AQ629))</f>
        <v/>
      </c>
      <c r="AS629" s="50" t="str">
        <f aca="false">IFERROR(INDEX(Hoje!$K$10:$K$29,MATCH(ROW(),Hoje!$J$10:$J$29,0)),"")</f>
        <v/>
      </c>
      <c r="AT629" s="50" t="str">
        <f aca="false">IF($Q629&lt;&gt;"",$Q629,$AS629)</f>
        <v/>
      </c>
    </row>
    <row r="630" customFormat="false" ht="16.5" hidden="false" customHeight="true" outlineLevel="0" collapsed="false">
      <c r="A630" s="39" t="str">
        <f aca="false">IF($F630="","",ROW())</f>
        <v/>
      </c>
      <c r="B630" s="40" t="str">
        <f aca="false">IF($F630="",IF($D630="","","Falta a atividade"),IF($R630="Cancelada","Cancelada",IF($AB630=1,IF(N($Z630)&gt;0,"Concluída com atraso","Concluída"),IF($R630="Em programação","Em programação",IF($O630="",IF($M630="","Na carteira","Falta a semana"),IF($AC630=1,"VENCIDA",IF($O630&gt;Hoje!$L$1,"Programada",IF($P630&gt;Hoje!$L$1,"Em execução","Fecha hoje"))))))))</f>
        <v/>
      </c>
      <c r="C630" s="41"/>
      <c r="D630" s="42"/>
      <c r="E630" s="42"/>
      <c r="F630" s="42"/>
      <c r="G630" s="43"/>
      <c r="H630" s="43"/>
      <c r="I630" s="44"/>
      <c r="J630" s="44"/>
      <c r="K630" s="44"/>
      <c r="L630" s="45"/>
      <c r="M630" s="46"/>
      <c r="N630" s="45"/>
      <c r="O630" s="47" t="str">
        <f aca="false">IF(OR($L630="",$M630=""),"",(DATE(Semana!$J$3,1,4)-WEEKDAY(DATE(Semana!$J$3,1,4),3))+($L630-1)*7+MATCH($M630,Listas!$F$5:$F$11,0)-1)</f>
        <v/>
      </c>
      <c r="P630" s="47" t="str">
        <f aca="false">IF(OR($F630="",$O630=""),"",$O630+MAX(0,ROUNDUP($AK630*MAX(1,IF($N630="",1,$N630))/MAX(1,$AL630),0)-1))</f>
        <v/>
      </c>
      <c r="Q630" s="48"/>
      <c r="R630" s="43"/>
      <c r="S630" s="49"/>
      <c r="T630" s="42"/>
      <c r="U630" s="42"/>
      <c r="V630" s="39" t="str">
        <f aca="false">IF($F630="","",IF(ISNUMBER(SEARCH("(externo)",$I630&amp;$J630&amp;$K630)),"Terceirizada","Interna"))</f>
        <v/>
      </c>
      <c r="W630" s="47" t="str">
        <f aca="false">IF($O630="","",IF($S630="",$O630,(DATE(Semana!$J$3,1,4)-WEEKDAY(DATE(Semana!$J$3,1,4),3))+($S630-1)*7+IF($M630="",0,MATCH($M630,Listas!$F$5:$F$11,0)-1)))</f>
        <v/>
      </c>
      <c r="X630" s="39" t="str">
        <f aca="false">IF($F630="","",IF(OR($AT630="",$O630=""),0,IF($AT630&lt;=$O630,1,0)))</f>
        <v/>
      </c>
      <c r="Y630" s="39" t="str">
        <f aca="false">IF($F630="","",IF(OR($AT630="",$W630=""),0,IF($AT630&lt;=$W630,1,0)))</f>
        <v/>
      </c>
      <c r="Z630" s="39" t="str">
        <f aca="false">IF(OR($AT630="",$O630=""),"",MAX(0,$AT630-$O630))</f>
        <v/>
      </c>
      <c r="AA630" s="39" t="str">
        <f aca="false">IF($F630="","",IF(AND($S630&lt;&gt;"",$L630&lt;&gt;"",$S630&lt;&gt;$L630),1,0))</f>
        <v/>
      </c>
      <c r="AB630" s="39" t="str">
        <f aca="false">IF($F630="","",IF($R630="Cancelada",0,IF(OR($AT630&lt;&gt;"",$R630="Concluída"),1,0)))</f>
        <v/>
      </c>
      <c r="AC630" s="39" t="n">
        <f aca="false">IF($P630="",0,IF($P630&lt;Hoje!$L$1,1,IF(AND($P630=Hoje!$L$1,Hoje!$L$2&gt;Semana!$M$3),1,0)))</f>
        <v>0</v>
      </c>
      <c r="AD630" s="39" t="str">
        <f aca="false">IF($F630="","",IF(COUNTA($I630:$K630)=0,0,1/COUNTA($I630:$K630)))</f>
        <v/>
      </c>
      <c r="AE630" s="39" t="str">
        <f aca="false">IF($AH630=0,"",SUM($AH$4:$AH630))</f>
        <v/>
      </c>
      <c r="AF630" s="39" t="str">
        <f aca="false">IF($AI630=0,"",SUM($AI$4:$AI630))</f>
        <v/>
      </c>
      <c r="AG630" s="50" t="str">
        <f aca="false">IF($F630="","",$I630&amp;IF($J630="",""," · "&amp;$J630)&amp;IF($K630="",""," · "&amp;$K630))</f>
        <v/>
      </c>
      <c r="AH630" s="39" t="n">
        <f aca="false">IF(AND($F630&lt;&gt;"",$O630&lt;&gt;"",$O630&lt;=Hoje!$C$3,$P630&gt;=Hoje!$C$3,$R630&lt;&gt;"Cancelada"),1,0)</f>
        <v>0</v>
      </c>
      <c r="AI630" s="39" t="n">
        <f aca="false">IF(AND($F630&lt;&gt;"",$P630&lt;&gt;"",$P630&lt;Hoje!$C$3,$AB630=0,$R630&lt;&gt;"Cancelada"),1,0)</f>
        <v>0</v>
      </c>
      <c r="AJ630" s="50" t="str">
        <f aca="false">IF($F630="","",$D630&amp;"|"&amp;$E630&amp;"|"&amp;$L630)</f>
        <v/>
      </c>
      <c r="AK630" s="39" t="str">
        <f aca="false">IF($AJ630="","",COUNTIF($AJ$4:$AJ630,$AJ630))</f>
        <v/>
      </c>
      <c r="AL630" s="39" t="str">
        <f aca="false">IF($AJ630="","",COUNTIF($AJ$4:$AJ$1004,$AJ630))</f>
        <v/>
      </c>
      <c r="AM630" s="42"/>
      <c r="AN630" s="50" t="str">
        <f aca="false">IF($D630="","",IFERROR(T(VLOOKUP($D630,Listas!$B$5:$H$120,7,0)),""))</f>
        <v/>
      </c>
      <c r="AO630" s="50" t="str">
        <f aca="false">IF(OR($F630="",$L630&lt;&gt;"",$R630="Cancelada",$AT630&lt;&gt;""),"",$AN630&amp;"|"&amp;$D630&amp;"|"&amp;IF($C630="","zzz",$C630)&amp;"|"&amp;TEXT(630,"0000"))</f>
        <v/>
      </c>
      <c r="AP630" s="50" t="str">
        <f aca="false">IF($AO630="","",COUNTIF($AO$5:$AO$1004,"&lt;"&amp;$AO630)-(ROWS($AO$5:$AO$1004)-Hoje!$L$5)+1)</f>
        <v/>
      </c>
      <c r="AQ630" s="50" t="n">
        <f aca="false">IF(AND($F630&lt;&gt;"",$D630=Frota!$C$3),1,0)</f>
        <v>0</v>
      </c>
      <c r="AR630" s="50" t="str">
        <f aca="false">IF($AQ630=0,"",SUM($AQ$4:$AQ630))</f>
        <v/>
      </c>
      <c r="AS630" s="50" t="str">
        <f aca="false">IFERROR(INDEX(Hoje!$K$10:$K$29,MATCH(ROW(),Hoje!$J$10:$J$29,0)),"")</f>
        <v/>
      </c>
      <c r="AT630" s="50" t="str">
        <f aca="false">IF($Q630&lt;&gt;"",$Q630,$AS630)</f>
        <v/>
      </c>
    </row>
    <row r="631" customFormat="false" ht="16.5" hidden="false" customHeight="true" outlineLevel="0" collapsed="false">
      <c r="A631" s="39" t="str">
        <f aca="false">IF($F631="","",ROW())</f>
        <v/>
      </c>
      <c r="B631" s="40" t="str">
        <f aca="false">IF($F631="",IF($D631="","","Falta a atividade"),IF($R631="Cancelada","Cancelada",IF($AB631=1,IF(N($Z631)&gt;0,"Concluída com atraso","Concluída"),IF($R631="Em programação","Em programação",IF($O631="",IF($M631="","Na carteira","Falta a semana"),IF($AC631=1,"VENCIDA",IF($O631&gt;Hoje!$L$1,"Programada",IF($P631&gt;Hoje!$L$1,"Em execução","Fecha hoje"))))))))</f>
        <v/>
      </c>
      <c r="C631" s="41"/>
      <c r="D631" s="42"/>
      <c r="E631" s="42"/>
      <c r="F631" s="42"/>
      <c r="G631" s="43"/>
      <c r="H631" s="43"/>
      <c r="I631" s="44"/>
      <c r="J631" s="44"/>
      <c r="K631" s="44"/>
      <c r="L631" s="45"/>
      <c r="M631" s="46"/>
      <c r="N631" s="45"/>
      <c r="O631" s="47" t="str">
        <f aca="false">IF(OR($L631="",$M631=""),"",(DATE(Semana!$J$3,1,4)-WEEKDAY(DATE(Semana!$J$3,1,4),3))+($L631-1)*7+MATCH($M631,Listas!$F$5:$F$11,0)-1)</f>
        <v/>
      </c>
      <c r="P631" s="47" t="str">
        <f aca="false">IF(OR($F631="",$O631=""),"",$O631+MAX(0,ROUNDUP($AK631*MAX(1,IF($N631="",1,$N631))/MAX(1,$AL631),0)-1))</f>
        <v/>
      </c>
      <c r="Q631" s="48"/>
      <c r="R631" s="43"/>
      <c r="S631" s="49"/>
      <c r="T631" s="42"/>
      <c r="U631" s="42"/>
      <c r="V631" s="39" t="str">
        <f aca="false">IF($F631="","",IF(ISNUMBER(SEARCH("(externo)",$I631&amp;$J631&amp;$K631)),"Terceirizada","Interna"))</f>
        <v/>
      </c>
      <c r="W631" s="47" t="str">
        <f aca="false">IF($O631="","",IF($S631="",$O631,(DATE(Semana!$J$3,1,4)-WEEKDAY(DATE(Semana!$J$3,1,4),3))+($S631-1)*7+IF($M631="",0,MATCH($M631,Listas!$F$5:$F$11,0)-1)))</f>
        <v/>
      </c>
      <c r="X631" s="39" t="str">
        <f aca="false">IF($F631="","",IF(OR($AT631="",$O631=""),0,IF($AT631&lt;=$O631,1,0)))</f>
        <v/>
      </c>
      <c r="Y631" s="39" t="str">
        <f aca="false">IF($F631="","",IF(OR($AT631="",$W631=""),0,IF($AT631&lt;=$W631,1,0)))</f>
        <v/>
      </c>
      <c r="Z631" s="39" t="str">
        <f aca="false">IF(OR($AT631="",$O631=""),"",MAX(0,$AT631-$O631))</f>
        <v/>
      </c>
      <c r="AA631" s="39" t="str">
        <f aca="false">IF($F631="","",IF(AND($S631&lt;&gt;"",$L631&lt;&gt;"",$S631&lt;&gt;$L631),1,0))</f>
        <v/>
      </c>
      <c r="AB631" s="39" t="str">
        <f aca="false">IF($F631="","",IF($R631="Cancelada",0,IF(OR($AT631&lt;&gt;"",$R631="Concluída"),1,0)))</f>
        <v/>
      </c>
      <c r="AC631" s="39" t="n">
        <f aca="false">IF($P631="",0,IF($P631&lt;Hoje!$L$1,1,IF(AND($P631=Hoje!$L$1,Hoje!$L$2&gt;Semana!$M$3),1,0)))</f>
        <v>0</v>
      </c>
      <c r="AD631" s="39" t="str">
        <f aca="false">IF($F631="","",IF(COUNTA($I631:$K631)=0,0,1/COUNTA($I631:$K631)))</f>
        <v/>
      </c>
      <c r="AE631" s="39" t="str">
        <f aca="false">IF($AH631=0,"",SUM($AH$4:$AH631))</f>
        <v/>
      </c>
      <c r="AF631" s="39" t="str">
        <f aca="false">IF($AI631=0,"",SUM($AI$4:$AI631))</f>
        <v/>
      </c>
      <c r="AG631" s="50" t="str">
        <f aca="false">IF($F631="","",$I631&amp;IF($J631="",""," · "&amp;$J631)&amp;IF($K631="",""," · "&amp;$K631))</f>
        <v/>
      </c>
      <c r="AH631" s="39" t="n">
        <f aca="false">IF(AND($F631&lt;&gt;"",$O631&lt;&gt;"",$O631&lt;=Hoje!$C$3,$P631&gt;=Hoje!$C$3,$R631&lt;&gt;"Cancelada"),1,0)</f>
        <v>0</v>
      </c>
      <c r="AI631" s="39" t="n">
        <f aca="false">IF(AND($F631&lt;&gt;"",$P631&lt;&gt;"",$P631&lt;Hoje!$C$3,$AB631=0,$R631&lt;&gt;"Cancelada"),1,0)</f>
        <v>0</v>
      </c>
      <c r="AJ631" s="50" t="str">
        <f aca="false">IF($F631="","",$D631&amp;"|"&amp;$E631&amp;"|"&amp;$L631)</f>
        <v/>
      </c>
      <c r="AK631" s="39" t="str">
        <f aca="false">IF($AJ631="","",COUNTIF($AJ$4:$AJ631,$AJ631))</f>
        <v/>
      </c>
      <c r="AL631" s="39" t="str">
        <f aca="false">IF($AJ631="","",COUNTIF($AJ$4:$AJ$1004,$AJ631))</f>
        <v/>
      </c>
      <c r="AM631" s="42"/>
      <c r="AN631" s="50" t="str">
        <f aca="false">IF($D631="","",IFERROR(T(VLOOKUP($D631,Listas!$B$5:$H$120,7,0)),""))</f>
        <v/>
      </c>
      <c r="AO631" s="50" t="str">
        <f aca="false">IF(OR($F631="",$L631&lt;&gt;"",$R631="Cancelada",$AT631&lt;&gt;""),"",$AN631&amp;"|"&amp;$D631&amp;"|"&amp;IF($C631="","zzz",$C631)&amp;"|"&amp;TEXT(631,"0000"))</f>
        <v/>
      </c>
      <c r="AP631" s="50" t="str">
        <f aca="false">IF($AO631="","",COUNTIF($AO$5:$AO$1004,"&lt;"&amp;$AO631)-(ROWS($AO$5:$AO$1004)-Hoje!$L$5)+1)</f>
        <v/>
      </c>
      <c r="AQ631" s="50" t="n">
        <f aca="false">IF(AND($F631&lt;&gt;"",$D631=Frota!$C$3),1,0)</f>
        <v>0</v>
      </c>
      <c r="AR631" s="50" t="str">
        <f aca="false">IF($AQ631=0,"",SUM($AQ$4:$AQ631))</f>
        <v/>
      </c>
      <c r="AS631" s="50" t="str">
        <f aca="false">IFERROR(INDEX(Hoje!$K$10:$K$29,MATCH(ROW(),Hoje!$J$10:$J$29,0)),"")</f>
        <v/>
      </c>
      <c r="AT631" s="50" t="str">
        <f aca="false">IF($Q631&lt;&gt;"",$Q631,$AS631)</f>
        <v/>
      </c>
    </row>
    <row r="632" customFormat="false" ht="16.5" hidden="false" customHeight="true" outlineLevel="0" collapsed="false">
      <c r="A632" s="39" t="str">
        <f aca="false">IF($F632="","",ROW())</f>
        <v/>
      </c>
      <c r="B632" s="40" t="str">
        <f aca="false">IF($F632="",IF($D632="","","Falta a atividade"),IF($R632="Cancelada","Cancelada",IF($AB632=1,IF(N($Z632)&gt;0,"Concluída com atraso","Concluída"),IF($R632="Em programação","Em programação",IF($O632="",IF($M632="","Na carteira","Falta a semana"),IF($AC632=1,"VENCIDA",IF($O632&gt;Hoje!$L$1,"Programada",IF($P632&gt;Hoje!$L$1,"Em execução","Fecha hoje"))))))))</f>
        <v/>
      </c>
      <c r="C632" s="41"/>
      <c r="D632" s="42"/>
      <c r="E632" s="42"/>
      <c r="F632" s="42"/>
      <c r="G632" s="43"/>
      <c r="H632" s="43"/>
      <c r="I632" s="44"/>
      <c r="J632" s="44"/>
      <c r="K632" s="44"/>
      <c r="L632" s="45"/>
      <c r="M632" s="46"/>
      <c r="N632" s="45"/>
      <c r="O632" s="47" t="str">
        <f aca="false">IF(OR($L632="",$M632=""),"",(DATE(Semana!$J$3,1,4)-WEEKDAY(DATE(Semana!$J$3,1,4),3))+($L632-1)*7+MATCH($M632,Listas!$F$5:$F$11,0)-1)</f>
        <v/>
      </c>
      <c r="P632" s="47" t="str">
        <f aca="false">IF(OR($F632="",$O632=""),"",$O632+MAX(0,ROUNDUP($AK632*MAX(1,IF($N632="",1,$N632))/MAX(1,$AL632),0)-1))</f>
        <v/>
      </c>
      <c r="Q632" s="48"/>
      <c r="R632" s="43"/>
      <c r="S632" s="49"/>
      <c r="T632" s="42"/>
      <c r="U632" s="42"/>
      <c r="V632" s="39" t="str">
        <f aca="false">IF($F632="","",IF(ISNUMBER(SEARCH("(externo)",$I632&amp;$J632&amp;$K632)),"Terceirizada","Interna"))</f>
        <v/>
      </c>
      <c r="W632" s="47" t="str">
        <f aca="false">IF($O632="","",IF($S632="",$O632,(DATE(Semana!$J$3,1,4)-WEEKDAY(DATE(Semana!$J$3,1,4),3))+($S632-1)*7+IF($M632="",0,MATCH($M632,Listas!$F$5:$F$11,0)-1)))</f>
        <v/>
      </c>
      <c r="X632" s="39" t="str">
        <f aca="false">IF($F632="","",IF(OR($AT632="",$O632=""),0,IF($AT632&lt;=$O632,1,0)))</f>
        <v/>
      </c>
      <c r="Y632" s="39" t="str">
        <f aca="false">IF($F632="","",IF(OR($AT632="",$W632=""),0,IF($AT632&lt;=$W632,1,0)))</f>
        <v/>
      </c>
      <c r="Z632" s="39" t="str">
        <f aca="false">IF(OR($AT632="",$O632=""),"",MAX(0,$AT632-$O632))</f>
        <v/>
      </c>
      <c r="AA632" s="39" t="str">
        <f aca="false">IF($F632="","",IF(AND($S632&lt;&gt;"",$L632&lt;&gt;"",$S632&lt;&gt;$L632),1,0))</f>
        <v/>
      </c>
      <c r="AB632" s="39" t="str">
        <f aca="false">IF($F632="","",IF($R632="Cancelada",0,IF(OR($AT632&lt;&gt;"",$R632="Concluída"),1,0)))</f>
        <v/>
      </c>
      <c r="AC632" s="39" t="n">
        <f aca="false">IF($P632="",0,IF($P632&lt;Hoje!$L$1,1,IF(AND($P632=Hoje!$L$1,Hoje!$L$2&gt;Semana!$M$3),1,0)))</f>
        <v>0</v>
      </c>
      <c r="AD632" s="39" t="str">
        <f aca="false">IF($F632="","",IF(COUNTA($I632:$K632)=0,0,1/COUNTA($I632:$K632)))</f>
        <v/>
      </c>
      <c r="AE632" s="39" t="str">
        <f aca="false">IF($AH632=0,"",SUM($AH$4:$AH632))</f>
        <v/>
      </c>
      <c r="AF632" s="39" t="str">
        <f aca="false">IF($AI632=0,"",SUM($AI$4:$AI632))</f>
        <v/>
      </c>
      <c r="AG632" s="50" t="str">
        <f aca="false">IF($F632="","",$I632&amp;IF($J632="",""," · "&amp;$J632)&amp;IF($K632="",""," · "&amp;$K632))</f>
        <v/>
      </c>
      <c r="AH632" s="39" t="n">
        <f aca="false">IF(AND($F632&lt;&gt;"",$O632&lt;&gt;"",$O632&lt;=Hoje!$C$3,$P632&gt;=Hoje!$C$3,$R632&lt;&gt;"Cancelada"),1,0)</f>
        <v>0</v>
      </c>
      <c r="AI632" s="39" t="n">
        <f aca="false">IF(AND($F632&lt;&gt;"",$P632&lt;&gt;"",$P632&lt;Hoje!$C$3,$AB632=0,$R632&lt;&gt;"Cancelada"),1,0)</f>
        <v>0</v>
      </c>
      <c r="AJ632" s="50" t="str">
        <f aca="false">IF($F632="","",$D632&amp;"|"&amp;$E632&amp;"|"&amp;$L632)</f>
        <v/>
      </c>
      <c r="AK632" s="39" t="str">
        <f aca="false">IF($AJ632="","",COUNTIF($AJ$4:$AJ632,$AJ632))</f>
        <v/>
      </c>
      <c r="AL632" s="39" t="str">
        <f aca="false">IF($AJ632="","",COUNTIF($AJ$4:$AJ$1004,$AJ632))</f>
        <v/>
      </c>
      <c r="AM632" s="42"/>
      <c r="AN632" s="50" t="str">
        <f aca="false">IF($D632="","",IFERROR(T(VLOOKUP($D632,Listas!$B$5:$H$120,7,0)),""))</f>
        <v/>
      </c>
      <c r="AO632" s="50" t="str">
        <f aca="false">IF(OR($F632="",$L632&lt;&gt;"",$R632="Cancelada",$AT632&lt;&gt;""),"",$AN632&amp;"|"&amp;$D632&amp;"|"&amp;IF($C632="","zzz",$C632)&amp;"|"&amp;TEXT(632,"0000"))</f>
        <v/>
      </c>
      <c r="AP632" s="50" t="str">
        <f aca="false">IF($AO632="","",COUNTIF($AO$5:$AO$1004,"&lt;"&amp;$AO632)-(ROWS($AO$5:$AO$1004)-Hoje!$L$5)+1)</f>
        <v/>
      </c>
      <c r="AQ632" s="50" t="n">
        <f aca="false">IF(AND($F632&lt;&gt;"",$D632=Frota!$C$3),1,0)</f>
        <v>0</v>
      </c>
      <c r="AR632" s="50" t="str">
        <f aca="false">IF($AQ632=0,"",SUM($AQ$4:$AQ632))</f>
        <v/>
      </c>
      <c r="AS632" s="50" t="str">
        <f aca="false">IFERROR(INDEX(Hoje!$K$10:$K$29,MATCH(ROW(),Hoje!$J$10:$J$29,0)),"")</f>
        <v/>
      </c>
      <c r="AT632" s="50" t="str">
        <f aca="false">IF($Q632&lt;&gt;"",$Q632,$AS632)</f>
        <v/>
      </c>
    </row>
    <row r="633" customFormat="false" ht="16.5" hidden="false" customHeight="true" outlineLevel="0" collapsed="false">
      <c r="A633" s="39" t="str">
        <f aca="false">IF($F633="","",ROW())</f>
        <v/>
      </c>
      <c r="B633" s="40" t="str">
        <f aca="false">IF($F633="",IF($D633="","","Falta a atividade"),IF($R633="Cancelada","Cancelada",IF($AB633=1,IF(N($Z633)&gt;0,"Concluída com atraso","Concluída"),IF($R633="Em programação","Em programação",IF($O633="",IF($M633="","Na carteira","Falta a semana"),IF($AC633=1,"VENCIDA",IF($O633&gt;Hoje!$L$1,"Programada",IF($P633&gt;Hoje!$L$1,"Em execução","Fecha hoje"))))))))</f>
        <v/>
      </c>
      <c r="C633" s="41"/>
      <c r="D633" s="42"/>
      <c r="E633" s="42"/>
      <c r="F633" s="42"/>
      <c r="G633" s="43"/>
      <c r="H633" s="43"/>
      <c r="I633" s="44"/>
      <c r="J633" s="44"/>
      <c r="K633" s="44"/>
      <c r="L633" s="45"/>
      <c r="M633" s="46"/>
      <c r="N633" s="45"/>
      <c r="O633" s="47" t="str">
        <f aca="false">IF(OR($L633="",$M633=""),"",(DATE(Semana!$J$3,1,4)-WEEKDAY(DATE(Semana!$J$3,1,4),3))+($L633-1)*7+MATCH($M633,Listas!$F$5:$F$11,0)-1)</f>
        <v/>
      </c>
      <c r="P633" s="47" t="str">
        <f aca="false">IF(OR($F633="",$O633=""),"",$O633+MAX(0,ROUNDUP($AK633*MAX(1,IF($N633="",1,$N633))/MAX(1,$AL633),0)-1))</f>
        <v/>
      </c>
      <c r="Q633" s="48"/>
      <c r="R633" s="43"/>
      <c r="S633" s="49"/>
      <c r="T633" s="42"/>
      <c r="U633" s="42"/>
      <c r="V633" s="39" t="str">
        <f aca="false">IF($F633="","",IF(ISNUMBER(SEARCH("(externo)",$I633&amp;$J633&amp;$K633)),"Terceirizada","Interna"))</f>
        <v/>
      </c>
      <c r="W633" s="47" t="str">
        <f aca="false">IF($O633="","",IF($S633="",$O633,(DATE(Semana!$J$3,1,4)-WEEKDAY(DATE(Semana!$J$3,1,4),3))+($S633-1)*7+IF($M633="",0,MATCH($M633,Listas!$F$5:$F$11,0)-1)))</f>
        <v/>
      </c>
      <c r="X633" s="39" t="str">
        <f aca="false">IF($F633="","",IF(OR($AT633="",$O633=""),0,IF($AT633&lt;=$O633,1,0)))</f>
        <v/>
      </c>
      <c r="Y633" s="39" t="str">
        <f aca="false">IF($F633="","",IF(OR($AT633="",$W633=""),0,IF($AT633&lt;=$W633,1,0)))</f>
        <v/>
      </c>
      <c r="Z633" s="39" t="str">
        <f aca="false">IF(OR($AT633="",$O633=""),"",MAX(0,$AT633-$O633))</f>
        <v/>
      </c>
      <c r="AA633" s="39" t="str">
        <f aca="false">IF($F633="","",IF(AND($S633&lt;&gt;"",$L633&lt;&gt;"",$S633&lt;&gt;$L633),1,0))</f>
        <v/>
      </c>
      <c r="AB633" s="39" t="str">
        <f aca="false">IF($F633="","",IF($R633="Cancelada",0,IF(OR($AT633&lt;&gt;"",$R633="Concluída"),1,0)))</f>
        <v/>
      </c>
      <c r="AC633" s="39" t="n">
        <f aca="false">IF($P633="",0,IF($P633&lt;Hoje!$L$1,1,IF(AND($P633=Hoje!$L$1,Hoje!$L$2&gt;Semana!$M$3),1,0)))</f>
        <v>0</v>
      </c>
      <c r="AD633" s="39" t="str">
        <f aca="false">IF($F633="","",IF(COUNTA($I633:$K633)=0,0,1/COUNTA($I633:$K633)))</f>
        <v/>
      </c>
      <c r="AE633" s="39" t="str">
        <f aca="false">IF($AH633=0,"",SUM($AH$4:$AH633))</f>
        <v/>
      </c>
      <c r="AF633" s="39" t="str">
        <f aca="false">IF($AI633=0,"",SUM($AI$4:$AI633))</f>
        <v/>
      </c>
      <c r="AG633" s="50" t="str">
        <f aca="false">IF($F633="","",$I633&amp;IF($J633="",""," · "&amp;$J633)&amp;IF($K633="",""," · "&amp;$K633))</f>
        <v/>
      </c>
      <c r="AH633" s="39" t="n">
        <f aca="false">IF(AND($F633&lt;&gt;"",$O633&lt;&gt;"",$O633&lt;=Hoje!$C$3,$P633&gt;=Hoje!$C$3,$R633&lt;&gt;"Cancelada"),1,0)</f>
        <v>0</v>
      </c>
      <c r="AI633" s="39" t="n">
        <f aca="false">IF(AND($F633&lt;&gt;"",$P633&lt;&gt;"",$P633&lt;Hoje!$C$3,$AB633=0,$R633&lt;&gt;"Cancelada"),1,0)</f>
        <v>0</v>
      </c>
      <c r="AJ633" s="50" t="str">
        <f aca="false">IF($F633="","",$D633&amp;"|"&amp;$E633&amp;"|"&amp;$L633)</f>
        <v/>
      </c>
      <c r="AK633" s="39" t="str">
        <f aca="false">IF($AJ633="","",COUNTIF($AJ$4:$AJ633,$AJ633))</f>
        <v/>
      </c>
      <c r="AL633" s="39" t="str">
        <f aca="false">IF($AJ633="","",COUNTIF($AJ$4:$AJ$1004,$AJ633))</f>
        <v/>
      </c>
      <c r="AM633" s="42"/>
      <c r="AN633" s="50" t="str">
        <f aca="false">IF($D633="","",IFERROR(T(VLOOKUP($D633,Listas!$B$5:$H$120,7,0)),""))</f>
        <v/>
      </c>
      <c r="AO633" s="50" t="str">
        <f aca="false">IF(OR($F633="",$L633&lt;&gt;"",$R633="Cancelada",$AT633&lt;&gt;""),"",$AN633&amp;"|"&amp;$D633&amp;"|"&amp;IF($C633="","zzz",$C633)&amp;"|"&amp;TEXT(633,"0000"))</f>
        <v/>
      </c>
      <c r="AP633" s="50" t="str">
        <f aca="false">IF($AO633="","",COUNTIF($AO$5:$AO$1004,"&lt;"&amp;$AO633)-(ROWS($AO$5:$AO$1004)-Hoje!$L$5)+1)</f>
        <v/>
      </c>
      <c r="AQ633" s="50" t="n">
        <f aca="false">IF(AND($F633&lt;&gt;"",$D633=Frota!$C$3),1,0)</f>
        <v>0</v>
      </c>
      <c r="AR633" s="50" t="str">
        <f aca="false">IF($AQ633=0,"",SUM($AQ$4:$AQ633))</f>
        <v/>
      </c>
      <c r="AS633" s="50" t="str">
        <f aca="false">IFERROR(INDEX(Hoje!$K$10:$K$29,MATCH(ROW(),Hoje!$J$10:$J$29,0)),"")</f>
        <v/>
      </c>
      <c r="AT633" s="50" t="str">
        <f aca="false">IF($Q633&lt;&gt;"",$Q633,$AS633)</f>
        <v/>
      </c>
    </row>
    <row r="634" customFormat="false" ht="16.5" hidden="false" customHeight="true" outlineLevel="0" collapsed="false">
      <c r="A634" s="39" t="str">
        <f aca="false">IF($F634="","",ROW())</f>
        <v/>
      </c>
      <c r="B634" s="40" t="str">
        <f aca="false">IF($F634="",IF($D634="","","Falta a atividade"),IF($R634="Cancelada","Cancelada",IF($AB634=1,IF(N($Z634)&gt;0,"Concluída com atraso","Concluída"),IF($R634="Em programação","Em programação",IF($O634="",IF($M634="","Na carteira","Falta a semana"),IF($AC634=1,"VENCIDA",IF($O634&gt;Hoje!$L$1,"Programada",IF($P634&gt;Hoje!$L$1,"Em execução","Fecha hoje"))))))))</f>
        <v/>
      </c>
      <c r="C634" s="41"/>
      <c r="D634" s="42"/>
      <c r="E634" s="42"/>
      <c r="F634" s="42"/>
      <c r="G634" s="43"/>
      <c r="H634" s="43"/>
      <c r="I634" s="44"/>
      <c r="J634" s="44"/>
      <c r="K634" s="44"/>
      <c r="L634" s="45"/>
      <c r="M634" s="46"/>
      <c r="N634" s="45"/>
      <c r="O634" s="47" t="str">
        <f aca="false">IF(OR($L634="",$M634=""),"",(DATE(Semana!$J$3,1,4)-WEEKDAY(DATE(Semana!$J$3,1,4),3))+($L634-1)*7+MATCH($M634,Listas!$F$5:$F$11,0)-1)</f>
        <v/>
      </c>
      <c r="P634" s="47" t="str">
        <f aca="false">IF(OR($F634="",$O634=""),"",$O634+MAX(0,ROUNDUP($AK634*MAX(1,IF($N634="",1,$N634))/MAX(1,$AL634),0)-1))</f>
        <v/>
      </c>
      <c r="Q634" s="48"/>
      <c r="R634" s="43"/>
      <c r="S634" s="49"/>
      <c r="T634" s="42"/>
      <c r="U634" s="42"/>
      <c r="V634" s="39" t="str">
        <f aca="false">IF($F634="","",IF(ISNUMBER(SEARCH("(externo)",$I634&amp;$J634&amp;$K634)),"Terceirizada","Interna"))</f>
        <v/>
      </c>
      <c r="W634" s="47" t="str">
        <f aca="false">IF($O634="","",IF($S634="",$O634,(DATE(Semana!$J$3,1,4)-WEEKDAY(DATE(Semana!$J$3,1,4),3))+($S634-1)*7+IF($M634="",0,MATCH($M634,Listas!$F$5:$F$11,0)-1)))</f>
        <v/>
      </c>
      <c r="X634" s="39" t="str">
        <f aca="false">IF($F634="","",IF(OR($AT634="",$O634=""),0,IF($AT634&lt;=$O634,1,0)))</f>
        <v/>
      </c>
      <c r="Y634" s="39" t="str">
        <f aca="false">IF($F634="","",IF(OR($AT634="",$W634=""),0,IF($AT634&lt;=$W634,1,0)))</f>
        <v/>
      </c>
      <c r="Z634" s="39" t="str">
        <f aca="false">IF(OR($AT634="",$O634=""),"",MAX(0,$AT634-$O634))</f>
        <v/>
      </c>
      <c r="AA634" s="39" t="str">
        <f aca="false">IF($F634="","",IF(AND($S634&lt;&gt;"",$L634&lt;&gt;"",$S634&lt;&gt;$L634),1,0))</f>
        <v/>
      </c>
      <c r="AB634" s="39" t="str">
        <f aca="false">IF($F634="","",IF($R634="Cancelada",0,IF(OR($AT634&lt;&gt;"",$R634="Concluída"),1,0)))</f>
        <v/>
      </c>
      <c r="AC634" s="39" t="n">
        <f aca="false">IF($P634="",0,IF($P634&lt;Hoje!$L$1,1,IF(AND($P634=Hoje!$L$1,Hoje!$L$2&gt;Semana!$M$3),1,0)))</f>
        <v>0</v>
      </c>
      <c r="AD634" s="39" t="str">
        <f aca="false">IF($F634="","",IF(COUNTA($I634:$K634)=0,0,1/COUNTA($I634:$K634)))</f>
        <v/>
      </c>
      <c r="AE634" s="39" t="str">
        <f aca="false">IF($AH634=0,"",SUM($AH$4:$AH634))</f>
        <v/>
      </c>
      <c r="AF634" s="39" t="str">
        <f aca="false">IF($AI634=0,"",SUM($AI$4:$AI634))</f>
        <v/>
      </c>
      <c r="AG634" s="50" t="str">
        <f aca="false">IF($F634="","",$I634&amp;IF($J634="",""," · "&amp;$J634)&amp;IF($K634="",""," · "&amp;$K634))</f>
        <v/>
      </c>
      <c r="AH634" s="39" t="n">
        <f aca="false">IF(AND($F634&lt;&gt;"",$O634&lt;&gt;"",$O634&lt;=Hoje!$C$3,$P634&gt;=Hoje!$C$3,$R634&lt;&gt;"Cancelada"),1,0)</f>
        <v>0</v>
      </c>
      <c r="AI634" s="39" t="n">
        <f aca="false">IF(AND($F634&lt;&gt;"",$P634&lt;&gt;"",$P634&lt;Hoje!$C$3,$AB634=0,$R634&lt;&gt;"Cancelada"),1,0)</f>
        <v>0</v>
      </c>
      <c r="AJ634" s="50" t="str">
        <f aca="false">IF($F634="","",$D634&amp;"|"&amp;$E634&amp;"|"&amp;$L634)</f>
        <v/>
      </c>
      <c r="AK634" s="39" t="str">
        <f aca="false">IF($AJ634="","",COUNTIF($AJ$4:$AJ634,$AJ634))</f>
        <v/>
      </c>
      <c r="AL634" s="39" t="str">
        <f aca="false">IF($AJ634="","",COUNTIF($AJ$4:$AJ$1004,$AJ634))</f>
        <v/>
      </c>
      <c r="AM634" s="42"/>
      <c r="AN634" s="50" t="str">
        <f aca="false">IF($D634="","",IFERROR(T(VLOOKUP($D634,Listas!$B$5:$H$120,7,0)),""))</f>
        <v/>
      </c>
      <c r="AO634" s="50" t="str">
        <f aca="false">IF(OR($F634="",$L634&lt;&gt;"",$R634="Cancelada",$AT634&lt;&gt;""),"",$AN634&amp;"|"&amp;$D634&amp;"|"&amp;IF($C634="","zzz",$C634)&amp;"|"&amp;TEXT(634,"0000"))</f>
        <v/>
      </c>
      <c r="AP634" s="50" t="str">
        <f aca="false">IF($AO634="","",COUNTIF($AO$5:$AO$1004,"&lt;"&amp;$AO634)-(ROWS($AO$5:$AO$1004)-Hoje!$L$5)+1)</f>
        <v/>
      </c>
      <c r="AQ634" s="50" t="n">
        <f aca="false">IF(AND($F634&lt;&gt;"",$D634=Frota!$C$3),1,0)</f>
        <v>0</v>
      </c>
      <c r="AR634" s="50" t="str">
        <f aca="false">IF($AQ634=0,"",SUM($AQ$4:$AQ634))</f>
        <v/>
      </c>
      <c r="AS634" s="50" t="str">
        <f aca="false">IFERROR(INDEX(Hoje!$K$10:$K$29,MATCH(ROW(),Hoje!$J$10:$J$29,0)),"")</f>
        <v/>
      </c>
      <c r="AT634" s="50" t="str">
        <f aca="false">IF($Q634&lt;&gt;"",$Q634,$AS634)</f>
        <v/>
      </c>
    </row>
    <row r="635" customFormat="false" ht="16.5" hidden="false" customHeight="true" outlineLevel="0" collapsed="false">
      <c r="A635" s="39" t="str">
        <f aca="false">IF($F635="","",ROW())</f>
        <v/>
      </c>
      <c r="B635" s="40" t="str">
        <f aca="false">IF($F635="",IF($D635="","","Falta a atividade"),IF($R635="Cancelada","Cancelada",IF($AB635=1,IF(N($Z635)&gt;0,"Concluída com atraso","Concluída"),IF($R635="Em programação","Em programação",IF($O635="",IF($M635="","Na carteira","Falta a semana"),IF($AC635=1,"VENCIDA",IF($O635&gt;Hoje!$L$1,"Programada",IF($P635&gt;Hoje!$L$1,"Em execução","Fecha hoje"))))))))</f>
        <v/>
      </c>
      <c r="C635" s="41"/>
      <c r="D635" s="42"/>
      <c r="E635" s="42"/>
      <c r="F635" s="42"/>
      <c r="G635" s="43"/>
      <c r="H635" s="43"/>
      <c r="I635" s="44"/>
      <c r="J635" s="44"/>
      <c r="K635" s="44"/>
      <c r="L635" s="45"/>
      <c r="M635" s="46"/>
      <c r="N635" s="45"/>
      <c r="O635" s="47" t="str">
        <f aca="false">IF(OR($L635="",$M635=""),"",(DATE(Semana!$J$3,1,4)-WEEKDAY(DATE(Semana!$J$3,1,4),3))+($L635-1)*7+MATCH($M635,Listas!$F$5:$F$11,0)-1)</f>
        <v/>
      </c>
      <c r="P635" s="47" t="str">
        <f aca="false">IF(OR($F635="",$O635=""),"",$O635+MAX(0,ROUNDUP($AK635*MAX(1,IF($N635="",1,$N635))/MAX(1,$AL635),0)-1))</f>
        <v/>
      </c>
      <c r="Q635" s="48"/>
      <c r="R635" s="43"/>
      <c r="S635" s="49"/>
      <c r="T635" s="42"/>
      <c r="U635" s="42"/>
      <c r="V635" s="39" t="str">
        <f aca="false">IF($F635="","",IF(ISNUMBER(SEARCH("(externo)",$I635&amp;$J635&amp;$K635)),"Terceirizada","Interna"))</f>
        <v/>
      </c>
      <c r="W635" s="47" t="str">
        <f aca="false">IF($O635="","",IF($S635="",$O635,(DATE(Semana!$J$3,1,4)-WEEKDAY(DATE(Semana!$J$3,1,4),3))+($S635-1)*7+IF($M635="",0,MATCH($M635,Listas!$F$5:$F$11,0)-1)))</f>
        <v/>
      </c>
      <c r="X635" s="39" t="str">
        <f aca="false">IF($F635="","",IF(OR($AT635="",$O635=""),0,IF($AT635&lt;=$O635,1,0)))</f>
        <v/>
      </c>
      <c r="Y635" s="39" t="str">
        <f aca="false">IF($F635="","",IF(OR($AT635="",$W635=""),0,IF($AT635&lt;=$W635,1,0)))</f>
        <v/>
      </c>
      <c r="Z635" s="39" t="str">
        <f aca="false">IF(OR($AT635="",$O635=""),"",MAX(0,$AT635-$O635))</f>
        <v/>
      </c>
      <c r="AA635" s="39" t="str">
        <f aca="false">IF($F635="","",IF(AND($S635&lt;&gt;"",$L635&lt;&gt;"",$S635&lt;&gt;$L635),1,0))</f>
        <v/>
      </c>
      <c r="AB635" s="39" t="str">
        <f aca="false">IF($F635="","",IF($R635="Cancelada",0,IF(OR($AT635&lt;&gt;"",$R635="Concluída"),1,0)))</f>
        <v/>
      </c>
      <c r="AC635" s="39" t="n">
        <f aca="false">IF($P635="",0,IF($P635&lt;Hoje!$L$1,1,IF(AND($P635=Hoje!$L$1,Hoje!$L$2&gt;Semana!$M$3),1,0)))</f>
        <v>0</v>
      </c>
      <c r="AD635" s="39" t="str">
        <f aca="false">IF($F635="","",IF(COUNTA($I635:$K635)=0,0,1/COUNTA($I635:$K635)))</f>
        <v/>
      </c>
      <c r="AE635" s="39" t="str">
        <f aca="false">IF($AH635=0,"",SUM($AH$4:$AH635))</f>
        <v/>
      </c>
      <c r="AF635" s="39" t="str">
        <f aca="false">IF($AI635=0,"",SUM($AI$4:$AI635))</f>
        <v/>
      </c>
      <c r="AG635" s="50" t="str">
        <f aca="false">IF($F635="","",$I635&amp;IF($J635="",""," · "&amp;$J635)&amp;IF($K635="",""," · "&amp;$K635))</f>
        <v/>
      </c>
      <c r="AH635" s="39" t="n">
        <f aca="false">IF(AND($F635&lt;&gt;"",$O635&lt;&gt;"",$O635&lt;=Hoje!$C$3,$P635&gt;=Hoje!$C$3,$R635&lt;&gt;"Cancelada"),1,0)</f>
        <v>0</v>
      </c>
      <c r="AI635" s="39" t="n">
        <f aca="false">IF(AND($F635&lt;&gt;"",$P635&lt;&gt;"",$P635&lt;Hoje!$C$3,$AB635=0,$R635&lt;&gt;"Cancelada"),1,0)</f>
        <v>0</v>
      </c>
      <c r="AJ635" s="50" t="str">
        <f aca="false">IF($F635="","",$D635&amp;"|"&amp;$E635&amp;"|"&amp;$L635)</f>
        <v/>
      </c>
      <c r="AK635" s="39" t="str">
        <f aca="false">IF($AJ635="","",COUNTIF($AJ$4:$AJ635,$AJ635))</f>
        <v/>
      </c>
      <c r="AL635" s="39" t="str">
        <f aca="false">IF($AJ635="","",COUNTIF($AJ$4:$AJ$1004,$AJ635))</f>
        <v/>
      </c>
      <c r="AM635" s="42"/>
      <c r="AN635" s="50" t="str">
        <f aca="false">IF($D635="","",IFERROR(T(VLOOKUP($D635,Listas!$B$5:$H$120,7,0)),""))</f>
        <v/>
      </c>
      <c r="AO635" s="50" t="str">
        <f aca="false">IF(OR($F635="",$L635&lt;&gt;"",$R635="Cancelada",$AT635&lt;&gt;""),"",$AN635&amp;"|"&amp;$D635&amp;"|"&amp;IF($C635="","zzz",$C635)&amp;"|"&amp;TEXT(635,"0000"))</f>
        <v/>
      </c>
      <c r="AP635" s="50" t="str">
        <f aca="false">IF($AO635="","",COUNTIF($AO$5:$AO$1004,"&lt;"&amp;$AO635)-(ROWS($AO$5:$AO$1004)-Hoje!$L$5)+1)</f>
        <v/>
      </c>
      <c r="AQ635" s="50" t="n">
        <f aca="false">IF(AND($F635&lt;&gt;"",$D635=Frota!$C$3),1,0)</f>
        <v>0</v>
      </c>
      <c r="AR635" s="50" t="str">
        <f aca="false">IF($AQ635=0,"",SUM($AQ$4:$AQ635))</f>
        <v/>
      </c>
      <c r="AS635" s="50" t="str">
        <f aca="false">IFERROR(INDEX(Hoje!$K$10:$K$29,MATCH(ROW(),Hoje!$J$10:$J$29,0)),"")</f>
        <v/>
      </c>
      <c r="AT635" s="50" t="str">
        <f aca="false">IF($Q635&lt;&gt;"",$Q635,$AS635)</f>
        <v/>
      </c>
    </row>
    <row r="636" customFormat="false" ht="16.5" hidden="false" customHeight="true" outlineLevel="0" collapsed="false">
      <c r="A636" s="39" t="str">
        <f aca="false">IF($F636="","",ROW())</f>
        <v/>
      </c>
      <c r="B636" s="40" t="str">
        <f aca="false">IF($F636="",IF($D636="","","Falta a atividade"),IF($R636="Cancelada","Cancelada",IF($AB636=1,IF(N($Z636)&gt;0,"Concluída com atraso","Concluída"),IF($R636="Em programação","Em programação",IF($O636="",IF($M636="","Na carteira","Falta a semana"),IF($AC636=1,"VENCIDA",IF($O636&gt;Hoje!$L$1,"Programada",IF($P636&gt;Hoje!$L$1,"Em execução","Fecha hoje"))))))))</f>
        <v/>
      </c>
      <c r="C636" s="41"/>
      <c r="D636" s="42"/>
      <c r="E636" s="42"/>
      <c r="F636" s="42"/>
      <c r="G636" s="43"/>
      <c r="H636" s="43"/>
      <c r="I636" s="44"/>
      <c r="J636" s="44"/>
      <c r="K636" s="44"/>
      <c r="L636" s="45"/>
      <c r="M636" s="46"/>
      <c r="N636" s="45"/>
      <c r="O636" s="47" t="str">
        <f aca="false">IF(OR($L636="",$M636=""),"",(DATE(Semana!$J$3,1,4)-WEEKDAY(DATE(Semana!$J$3,1,4),3))+($L636-1)*7+MATCH($M636,Listas!$F$5:$F$11,0)-1)</f>
        <v/>
      </c>
      <c r="P636" s="47" t="str">
        <f aca="false">IF(OR($F636="",$O636=""),"",$O636+MAX(0,ROUNDUP($AK636*MAX(1,IF($N636="",1,$N636))/MAX(1,$AL636),0)-1))</f>
        <v/>
      </c>
      <c r="Q636" s="48"/>
      <c r="R636" s="43"/>
      <c r="S636" s="49"/>
      <c r="T636" s="42"/>
      <c r="U636" s="42"/>
      <c r="V636" s="39" t="str">
        <f aca="false">IF($F636="","",IF(ISNUMBER(SEARCH("(externo)",$I636&amp;$J636&amp;$K636)),"Terceirizada","Interna"))</f>
        <v/>
      </c>
      <c r="W636" s="47" t="str">
        <f aca="false">IF($O636="","",IF($S636="",$O636,(DATE(Semana!$J$3,1,4)-WEEKDAY(DATE(Semana!$J$3,1,4),3))+($S636-1)*7+IF($M636="",0,MATCH($M636,Listas!$F$5:$F$11,0)-1)))</f>
        <v/>
      </c>
      <c r="X636" s="39" t="str">
        <f aca="false">IF($F636="","",IF(OR($AT636="",$O636=""),0,IF($AT636&lt;=$O636,1,0)))</f>
        <v/>
      </c>
      <c r="Y636" s="39" t="str">
        <f aca="false">IF($F636="","",IF(OR($AT636="",$W636=""),0,IF($AT636&lt;=$W636,1,0)))</f>
        <v/>
      </c>
      <c r="Z636" s="39" t="str">
        <f aca="false">IF(OR($AT636="",$O636=""),"",MAX(0,$AT636-$O636))</f>
        <v/>
      </c>
      <c r="AA636" s="39" t="str">
        <f aca="false">IF($F636="","",IF(AND($S636&lt;&gt;"",$L636&lt;&gt;"",$S636&lt;&gt;$L636),1,0))</f>
        <v/>
      </c>
      <c r="AB636" s="39" t="str">
        <f aca="false">IF($F636="","",IF($R636="Cancelada",0,IF(OR($AT636&lt;&gt;"",$R636="Concluída"),1,0)))</f>
        <v/>
      </c>
      <c r="AC636" s="39" t="n">
        <f aca="false">IF($P636="",0,IF($P636&lt;Hoje!$L$1,1,IF(AND($P636=Hoje!$L$1,Hoje!$L$2&gt;Semana!$M$3),1,0)))</f>
        <v>0</v>
      </c>
      <c r="AD636" s="39" t="str">
        <f aca="false">IF($F636="","",IF(COUNTA($I636:$K636)=0,0,1/COUNTA($I636:$K636)))</f>
        <v/>
      </c>
      <c r="AE636" s="39" t="str">
        <f aca="false">IF($AH636=0,"",SUM($AH$4:$AH636))</f>
        <v/>
      </c>
      <c r="AF636" s="39" t="str">
        <f aca="false">IF($AI636=0,"",SUM($AI$4:$AI636))</f>
        <v/>
      </c>
      <c r="AG636" s="50" t="str">
        <f aca="false">IF($F636="","",$I636&amp;IF($J636="",""," · "&amp;$J636)&amp;IF($K636="",""," · "&amp;$K636))</f>
        <v/>
      </c>
      <c r="AH636" s="39" t="n">
        <f aca="false">IF(AND($F636&lt;&gt;"",$O636&lt;&gt;"",$O636&lt;=Hoje!$C$3,$P636&gt;=Hoje!$C$3,$R636&lt;&gt;"Cancelada"),1,0)</f>
        <v>0</v>
      </c>
      <c r="AI636" s="39" t="n">
        <f aca="false">IF(AND($F636&lt;&gt;"",$P636&lt;&gt;"",$P636&lt;Hoje!$C$3,$AB636=0,$R636&lt;&gt;"Cancelada"),1,0)</f>
        <v>0</v>
      </c>
      <c r="AJ636" s="50" t="str">
        <f aca="false">IF($F636="","",$D636&amp;"|"&amp;$E636&amp;"|"&amp;$L636)</f>
        <v/>
      </c>
      <c r="AK636" s="39" t="str">
        <f aca="false">IF($AJ636="","",COUNTIF($AJ$4:$AJ636,$AJ636))</f>
        <v/>
      </c>
      <c r="AL636" s="39" t="str">
        <f aca="false">IF($AJ636="","",COUNTIF($AJ$4:$AJ$1004,$AJ636))</f>
        <v/>
      </c>
      <c r="AM636" s="42"/>
      <c r="AN636" s="50" t="str">
        <f aca="false">IF($D636="","",IFERROR(T(VLOOKUP($D636,Listas!$B$5:$H$120,7,0)),""))</f>
        <v/>
      </c>
      <c r="AO636" s="50" t="str">
        <f aca="false">IF(OR($F636="",$L636&lt;&gt;"",$R636="Cancelada",$AT636&lt;&gt;""),"",$AN636&amp;"|"&amp;$D636&amp;"|"&amp;IF($C636="","zzz",$C636)&amp;"|"&amp;TEXT(636,"0000"))</f>
        <v/>
      </c>
      <c r="AP636" s="50" t="str">
        <f aca="false">IF($AO636="","",COUNTIF($AO$5:$AO$1004,"&lt;"&amp;$AO636)-(ROWS($AO$5:$AO$1004)-Hoje!$L$5)+1)</f>
        <v/>
      </c>
      <c r="AQ636" s="50" t="n">
        <f aca="false">IF(AND($F636&lt;&gt;"",$D636=Frota!$C$3),1,0)</f>
        <v>0</v>
      </c>
      <c r="AR636" s="50" t="str">
        <f aca="false">IF($AQ636=0,"",SUM($AQ$4:$AQ636))</f>
        <v/>
      </c>
      <c r="AS636" s="50" t="str">
        <f aca="false">IFERROR(INDEX(Hoje!$K$10:$K$29,MATCH(ROW(),Hoje!$J$10:$J$29,0)),"")</f>
        <v/>
      </c>
      <c r="AT636" s="50" t="str">
        <f aca="false">IF($Q636&lt;&gt;"",$Q636,$AS636)</f>
        <v/>
      </c>
    </row>
    <row r="637" customFormat="false" ht="16.5" hidden="false" customHeight="true" outlineLevel="0" collapsed="false">
      <c r="A637" s="39" t="str">
        <f aca="false">IF($F637="","",ROW())</f>
        <v/>
      </c>
      <c r="B637" s="40" t="str">
        <f aca="false">IF($F637="",IF($D637="","","Falta a atividade"),IF($R637="Cancelada","Cancelada",IF($AB637=1,IF(N($Z637)&gt;0,"Concluída com atraso","Concluída"),IF($R637="Em programação","Em programação",IF($O637="",IF($M637="","Na carteira","Falta a semana"),IF($AC637=1,"VENCIDA",IF($O637&gt;Hoje!$L$1,"Programada",IF($P637&gt;Hoje!$L$1,"Em execução","Fecha hoje"))))))))</f>
        <v/>
      </c>
      <c r="C637" s="41"/>
      <c r="D637" s="42"/>
      <c r="E637" s="42"/>
      <c r="F637" s="42"/>
      <c r="G637" s="43"/>
      <c r="H637" s="43"/>
      <c r="I637" s="44"/>
      <c r="J637" s="44"/>
      <c r="K637" s="44"/>
      <c r="L637" s="45"/>
      <c r="M637" s="46"/>
      <c r="N637" s="45"/>
      <c r="O637" s="47" t="str">
        <f aca="false">IF(OR($L637="",$M637=""),"",(DATE(Semana!$J$3,1,4)-WEEKDAY(DATE(Semana!$J$3,1,4),3))+($L637-1)*7+MATCH($M637,Listas!$F$5:$F$11,0)-1)</f>
        <v/>
      </c>
      <c r="P637" s="47" t="str">
        <f aca="false">IF(OR($F637="",$O637=""),"",$O637+MAX(0,ROUNDUP($AK637*MAX(1,IF($N637="",1,$N637))/MAX(1,$AL637),0)-1))</f>
        <v/>
      </c>
      <c r="Q637" s="48"/>
      <c r="R637" s="43"/>
      <c r="S637" s="49"/>
      <c r="T637" s="42"/>
      <c r="U637" s="42"/>
      <c r="V637" s="39" t="str">
        <f aca="false">IF($F637="","",IF(ISNUMBER(SEARCH("(externo)",$I637&amp;$J637&amp;$K637)),"Terceirizada","Interna"))</f>
        <v/>
      </c>
      <c r="W637" s="47" t="str">
        <f aca="false">IF($O637="","",IF($S637="",$O637,(DATE(Semana!$J$3,1,4)-WEEKDAY(DATE(Semana!$J$3,1,4),3))+($S637-1)*7+IF($M637="",0,MATCH($M637,Listas!$F$5:$F$11,0)-1)))</f>
        <v/>
      </c>
      <c r="X637" s="39" t="str">
        <f aca="false">IF($F637="","",IF(OR($AT637="",$O637=""),0,IF($AT637&lt;=$O637,1,0)))</f>
        <v/>
      </c>
      <c r="Y637" s="39" t="str">
        <f aca="false">IF($F637="","",IF(OR($AT637="",$W637=""),0,IF($AT637&lt;=$W637,1,0)))</f>
        <v/>
      </c>
      <c r="Z637" s="39" t="str">
        <f aca="false">IF(OR($AT637="",$O637=""),"",MAX(0,$AT637-$O637))</f>
        <v/>
      </c>
      <c r="AA637" s="39" t="str">
        <f aca="false">IF($F637="","",IF(AND($S637&lt;&gt;"",$L637&lt;&gt;"",$S637&lt;&gt;$L637),1,0))</f>
        <v/>
      </c>
      <c r="AB637" s="39" t="str">
        <f aca="false">IF($F637="","",IF($R637="Cancelada",0,IF(OR($AT637&lt;&gt;"",$R637="Concluída"),1,0)))</f>
        <v/>
      </c>
      <c r="AC637" s="39" t="n">
        <f aca="false">IF($P637="",0,IF($P637&lt;Hoje!$L$1,1,IF(AND($P637=Hoje!$L$1,Hoje!$L$2&gt;Semana!$M$3),1,0)))</f>
        <v>0</v>
      </c>
      <c r="AD637" s="39" t="str">
        <f aca="false">IF($F637="","",IF(COUNTA($I637:$K637)=0,0,1/COUNTA($I637:$K637)))</f>
        <v/>
      </c>
      <c r="AE637" s="39" t="str">
        <f aca="false">IF($AH637=0,"",SUM($AH$4:$AH637))</f>
        <v/>
      </c>
      <c r="AF637" s="39" t="str">
        <f aca="false">IF($AI637=0,"",SUM($AI$4:$AI637))</f>
        <v/>
      </c>
      <c r="AG637" s="50" t="str">
        <f aca="false">IF($F637="","",$I637&amp;IF($J637="",""," · "&amp;$J637)&amp;IF($K637="",""," · "&amp;$K637))</f>
        <v/>
      </c>
      <c r="AH637" s="39" t="n">
        <f aca="false">IF(AND($F637&lt;&gt;"",$O637&lt;&gt;"",$O637&lt;=Hoje!$C$3,$P637&gt;=Hoje!$C$3,$R637&lt;&gt;"Cancelada"),1,0)</f>
        <v>0</v>
      </c>
      <c r="AI637" s="39" t="n">
        <f aca="false">IF(AND($F637&lt;&gt;"",$P637&lt;&gt;"",$P637&lt;Hoje!$C$3,$AB637=0,$R637&lt;&gt;"Cancelada"),1,0)</f>
        <v>0</v>
      </c>
      <c r="AJ637" s="50" t="str">
        <f aca="false">IF($F637="","",$D637&amp;"|"&amp;$E637&amp;"|"&amp;$L637)</f>
        <v/>
      </c>
      <c r="AK637" s="39" t="str">
        <f aca="false">IF($AJ637="","",COUNTIF($AJ$4:$AJ637,$AJ637))</f>
        <v/>
      </c>
      <c r="AL637" s="39" t="str">
        <f aca="false">IF($AJ637="","",COUNTIF($AJ$4:$AJ$1004,$AJ637))</f>
        <v/>
      </c>
      <c r="AM637" s="42"/>
      <c r="AN637" s="50" t="str">
        <f aca="false">IF($D637="","",IFERROR(T(VLOOKUP($D637,Listas!$B$5:$H$120,7,0)),""))</f>
        <v/>
      </c>
      <c r="AO637" s="50" t="str">
        <f aca="false">IF(OR($F637="",$L637&lt;&gt;"",$R637="Cancelada",$AT637&lt;&gt;""),"",$AN637&amp;"|"&amp;$D637&amp;"|"&amp;IF($C637="","zzz",$C637)&amp;"|"&amp;TEXT(637,"0000"))</f>
        <v/>
      </c>
      <c r="AP637" s="50" t="str">
        <f aca="false">IF($AO637="","",COUNTIF($AO$5:$AO$1004,"&lt;"&amp;$AO637)-(ROWS($AO$5:$AO$1004)-Hoje!$L$5)+1)</f>
        <v/>
      </c>
      <c r="AQ637" s="50" t="n">
        <f aca="false">IF(AND($F637&lt;&gt;"",$D637=Frota!$C$3),1,0)</f>
        <v>0</v>
      </c>
      <c r="AR637" s="50" t="str">
        <f aca="false">IF($AQ637=0,"",SUM($AQ$4:$AQ637))</f>
        <v/>
      </c>
      <c r="AS637" s="50" t="str">
        <f aca="false">IFERROR(INDEX(Hoje!$K$10:$K$29,MATCH(ROW(),Hoje!$J$10:$J$29,0)),"")</f>
        <v/>
      </c>
      <c r="AT637" s="50" t="str">
        <f aca="false">IF($Q637&lt;&gt;"",$Q637,$AS637)</f>
        <v/>
      </c>
    </row>
    <row r="638" customFormat="false" ht="16.5" hidden="false" customHeight="true" outlineLevel="0" collapsed="false">
      <c r="A638" s="39" t="str">
        <f aca="false">IF($F638="","",ROW())</f>
        <v/>
      </c>
      <c r="B638" s="40" t="str">
        <f aca="false">IF($F638="",IF($D638="","","Falta a atividade"),IF($R638="Cancelada","Cancelada",IF($AB638=1,IF(N($Z638)&gt;0,"Concluída com atraso","Concluída"),IF($R638="Em programação","Em programação",IF($O638="",IF($M638="","Na carteira","Falta a semana"),IF($AC638=1,"VENCIDA",IF($O638&gt;Hoje!$L$1,"Programada",IF($P638&gt;Hoje!$L$1,"Em execução","Fecha hoje"))))))))</f>
        <v/>
      </c>
      <c r="C638" s="41"/>
      <c r="D638" s="42"/>
      <c r="E638" s="42"/>
      <c r="F638" s="42"/>
      <c r="G638" s="43"/>
      <c r="H638" s="43"/>
      <c r="I638" s="44"/>
      <c r="J638" s="44"/>
      <c r="K638" s="44"/>
      <c r="L638" s="45"/>
      <c r="M638" s="46"/>
      <c r="N638" s="45"/>
      <c r="O638" s="47" t="str">
        <f aca="false">IF(OR($L638="",$M638=""),"",(DATE(Semana!$J$3,1,4)-WEEKDAY(DATE(Semana!$J$3,1,4),3))+($L638-1)*7+MATCH($M638,Listas!$F$5:$F$11,0)-1)</f>
        <v/>
      </c>
      <c r="P638" s="47" t="str">
        <f aca="false">IF(OR($F638="",$O638=""),"",$O638+MAX(0,ROUNDUP($AK638*MAX(1,IF($N638="",1,$N638))/MAX(1,$AL638),0)-1))</f>
        <v/>
      </c>
      <c r="Q638" s="48"/>
      <c r="R638" s="43"/>
      <c r="S638" s="49"/>
      <c r="T638" s="42"/>
      <c r="U638" s="42"/>
      <c r="V638" s="39" t="str">
        <f aca="false">IF($F638="","",IF(ISNUMBER(SEARCH("(externo)",$I638&amp;$J638&amp;$K638)),"Terceirizada","Interna"))</f>
        <v/>
      </c>
      <c r="W638" s="47" t="str">
        <f aca="false">IF($O638="","",IF($S638="",$O638,(DATE(Semana!$J$3,1,4)-WEEKDAY(DATE(Semana!$J$3,1,4),3))+($S638-1)*7+IF($M638="",0,MATCH($M638,Listas!$F$5:$F$11,0)-1)))</f>
        <v/>
      </c>
      <c r="X638" s="39" t="str">
        <f aca="false">IF($F638="","",IF(OR($AT638="",$O638=""),0,IF($AT638&lt;=$O638,1,0)))</f>
        <v/>
      </c>
      <c r="Y638" s="39" t="str">
        <f aca="false">IF($F638="","",IF(OR($AT638="",$W638=""),0,IF($AT638&lt;=$W638,1,0)))</f>
        <v/>
      </c>
      <c r="Z638" s="39" t="str">
        <f aca="false">IF(OR($AT638="",$O638=""),"",MAX(0,$AT638-$O638))</f>
        <v/>
      </c>
      <c r="AA638" s="39" t="str">
        <f aca="false">IF($F638="","",IF(AND($S638&lt;&gt;"",$L638&lt;&gt;"",$S638&lt;&gt;$L638),1,0))</f>
        <v/>
      </c>
      <c r="AB638" s="39" t="str">
        <f aca="false">IF($F638="","",IF($R638="Cancelada",0,IF(OR($AT638&lt;&gt;"",$R638="Concluída"),1,0)))</f>
        <v/>
      </c>
      <c r="AC638" s="39" t="n">
        <f aca="false">IF($P638="",0,IF($P638&lt;Hoje!$L$1,1,IF(AND($P638=Hoje!$L$1,Hoje!$L$2&gt;Semana!$M$3),1,0)))</f>
        <v>0</v>
      </c>
      <c r="AD638" s="39" t="str">
        <f aca="false">IF($F638="","",IF(COUNTA($I638:$K638)=0,0,1/COUNTA($I638:$K638)))</f>
        <v/>
      </c>
      <c r="AE638" s="39" t="str">
        <f aca="false">IF($AH638=0,"",SUM($AH$4:$AH638))</f>
        <v/>
      </c>
      <c r="AF638" s="39" t="str">
        <f aca="false">IF($AI638=0,"",SUM($AI$4:$AI638))</f>
        <v/>
      </c>
      <c r="AG638" s="50" t="str">
        <f aca="false">IF($F638="","",$I638&amp;IF($J638="",""," · "&amp;$J638)&amp;IF($K638="",""," · "&amp;$K638))</f>
        <v/>
      </c>
      <c r="AH638" s="39" t="n">
        <f aca="false">IF(AND($F638&lt;&gt;"",$O638&lt;&gt;"",$O638&lt;=Hoje!$C$3,$P638&gt;=Hoje!$C$3,$R638&lt;&gt;"Cancelada"),1,0)</f>
        <v>0</v>
      </c>
      <c r="AI638" s="39" t="n">
        <f aca="false">IF(AND($F638&lt;&gt;"",$P638&lt;&gt;"",$P638&lt;Hoje!$C$3,$AB638=0,$R638&lt;&gt;"Cancelada"),1,0)</f>
        <v>0</v>
      </c>
      <c r="AJ638" s="50" t="str">
        <f aca="false">IF($F638="","",$D638&amp;"|"&amp;$E638&amp;"|"&amp;$L638)</f>
        <v/>
      </c>
      <c r="AK638" s="39" t="str">
        <f aca="false">IF($AJ638="","",COUNTIF($AJ$4:$AJ638,$AJ638))</f>
        <v/>
      </c>
      <c r="AL638" s="39" t="str">
        <f aca="false">IF($AJ638="","",COUNTIF($AJ$4:$AJ$1004,$AJ638))</f>
        <v/>
      </c>
      <c r="AM638" s="42"/>
      <c r="AN638" s="50" t="str">
        <f aca="false">IF($D638="","",IFERROR(T(VLOOKUP($D638,Listas!$B$5:$H$120,7,0)),""))</f>
        <v/>
      </c>
      <c r="AO638" s="50" t="str">
        <f aca="false">IF(OR($F638="",$L638&lt;&gt;"",$R638="Cancelada",$AT638&lt;&gt;""),"",$AN638&amp;"|"&amp;$D638&amp;"|"&amp;IF($C638="","zzz",$C638)&amp;"|"&amp;TEXT(638,"0000"))</f>
        <v/>
      </c>
      <c r="AP638" s="50" t="str">
        <f aca="false">IF($AO638="","",COUNTIF($AO$5:$AO$1004,"&lt;"&amp;$AO638)-(ROWS($AO$5:$AO$1004)-Hoje!$L$5)+1)</f>
        <v/>
      </c>
      <c r="AQ638" s="50" t="n">
        <f aca="false">IF(AND($F638&lt;&gt;"",$D638=Frota!$C$3),1,0)</f>
        <v>0</v>
      </c>
      <c r="AR638" s="50" t="str">
        <f aca="false">IF($AQ638=0,"",SUM($AQ$4:$AQ638))</f>
        <v/>
      </c>
      <c r="AS638" s="50" t="str">
        <f aca="false">IFERROR(INDEX(Hoje!$K$10:$K$29,MATCH(ROW(),Hoje!$J$10:$J$29,0)),"")</f>
        <v/>
      </c>
      <c r="AT638" s="50" t="str">
        <f aca="false">IF($Q638&lt;&gt;"",$Q638,$AS638)</f>
        <v/>
      </c>
    </row>
    <row r="639" customFormat="false" ht="16.5" hidden="false" customHeight="true" outlineLevel="0" collapsed="false">
      <c r="A639" s="39" t="str">
        <f aca="false">IF($F639="","",ROW())</f>
        <v/>
      </c>
      <c r="B639" s="40" t="str">
        <f aca="false">IF($F639="",IF($D639="","","Falta a atividade"),IF($R639="Cancelada","Cancelada",IF($AB639=1,IF(N($Z639)&gt;0,"Concluída com atraso","Concluída"),IF($R639="Em programação","Em programação",IF($O639="",IF($M639="","Na carteira","Falta a semana"),IF($AC639=1,"VENCIDA",IF($O639&gt;Hoje!$L$1,"Programada",IF($P639&gt;Hoje!$L$1,"Em execução","Fecha hoje"))))))))</f>
        <v/>
      </c>
      <c r="C639" s="41"/>
      <c r="D639" s="42"/>
      <c r="E639" s="42"/>
      <c r="F639" s="42"/>
      <c r="G639" s="43"/>
      <c r="H639" s="43"/>
      <c r="I639" s="44"/>
      <c r="J639" s="44"/>
      <c r="K639" s="44"/>
      <c r="L639" s="45"/>
      <c r="M639" s="46"/>
      <c r="N639" s="45"/>
      <c r="O639" s="47" t="str">
        <f aca="false">IF(OR($L639="",$M639=""),"",(DATE(Semana!$J$3,1,4)-WEEKDAY(DATE(Semana!$J$3,1,4),3))+($L639-1)*7+MATCH($M639,Listas!$F$5:$F$11,0)-1)</f>
        <v/>
      </c>
      <c r="P639" s="47" t="str">
        <f aca="false">IF(OR($F639="",$O639=""),"",$O639+MAX(0,ROUNDUP($AK639*MAX(1,IF($N639="",1,$N639))/MAX(1,$AL639),0)-1))</f>
        <v/>
      </c>
      <c r="Q639" s="48"/>
      <c r="R639" s="43"/>
      <c r="S639" s="49"/>
      <c r="T639" s="42"/>
      <c r="U639" s="42"/>
      <c r="V639" s="39" t="str">
        <f aca="false">IF($F639="","",IF(ISNUMBER(SEARCH("(externo)",$I639&amp;$J639&amp;$K639)),"Terceirizada","Interna"))</f>
        <v/>
      </c>
      <c r="W639" s="47" t="str">
        <f aca="false">IF($O639="","",IF($S639="",$O639,(DATE(Semana!$J$3,1,4)-WEEKDAY(DATE(Semana!$J$3,1,4),3))+($S639-1)*7+IF($M639="",0,MATCH($M639,Listas!$F$5:$F$11,0)-1)))</f>
        <v/>
      </c>
      <c r="X639" s="39" t="str">
        <f aca="false">IF($F639="","",IF(OR($AT639="",$O639=""),0,IF($AT639&lt;=$O639,1,0)))</f>
        <v/>
      </c>
      <c r="Y639" s="39" t="str">
        <f aca="false">IF($F639="","",IF(OR($AT639="",$W639=""),0,IF($AT639&lt;=$W639,1,0)))</f>
        <v/>
      </c>
      <c r="Z639" s="39" t="str">
        <f aca="false">IF(OR($AT639="",$O639=""),"",MAX(0,$AT639-$O639))</f>
        <v/>
      </c>
      <c r="AA639" s="39" t="str">
        <f aca="false">IF($F639="","",IF(AND($S639&lt;&gt;"",$L639&lt;&gt;"",$S639&lt;&gt;$L639),1,0))</f>
        <v/>
      </c>
      <c r="AB639" s="39" t="str">
        <f aca="false">IF($F639="","",IF($R639="Cancelada",0,IF(OR($AT639&lt;&gt;"",$R639="Concluída"),1,0)))</f>
        <v/>
      </c>
      <c r="AC639" s="39" t="n">
        <f aca="false">IF($P639="",0,IF($P639&lt;Hoje!$L$1,1,IF(AND($P639=Hoje!$L$1,Hoje!$L$2&gt;Semana!$M$3),1,0)))</f>
        <v>0</v>
      </c>
      <c r="AD639" s="39" t="str">
        <f aca="false">IF($F639="","",IF(COUNTA($I639:$K639)=0,0,1/COUNTA($I639:$K639)))</f>
        <v/>
      </c>
      <c r="AE639" s="39" t="str">
        <f aca="false">IF($AH639=0,"",SUM($AH$4:$AH639))</f>
        <v/>
      </c>
      <c r="AF639" s="39" t="str">
        <f aca="false">IF($AI639=0,"",SUM($AI$4:$AI639))</f>
        <v/>
      </c>
      <c r="AG639" s="50" t="str">
        <f aca="false">IF($F639="","",$I639&amp;IF($J639="",""," · "&amp;$J639)&amp;IF($K639="",""," · "&amp;$K639))</f>
        <v/>
      </c>
      <c r="AH639" s="39" t="n">
        <f aca="false">IF(AND($F639&lt;&gt;"",$O639&lt;&gt;"",$O639&lt;=Hoje!$C$3,$P639&gt;=Hoje!$C$3,$R639&lt;&gt;"Cancelada"),1,0)</f>
        <v>0</v>
      </c>
      <c r="AI639" s="39" t="n">
        <f aca="false">IF(AND($F639&lt;&gt;"",$P639&lt;&gt;"",$P639&lt;Hoje!$C$3,$AB639=0,$R639&lt;&gt;"Cancelada"),1,0)</f>
        <v>0</v>
      </c>
      <c r="AJ639" s="50" t="str">
        <f aca="false">IF($F639="","",$D639&amp;"|"&amp;$E639&amp;"|"&amp;$L639)</f>
        <v/>
      </c>
      <c r="AK639" s="39" t="str">
        <f aca="false">IF($AJ639="","",COUNTIF($AJ$4:$AJ639,$AJ639))</f>
        <v/>
      </c>
      <c r="AL639" s="39" t="str">
        <f aca="false">IF($AJ639="","",COUNTIF($AJ$4:$AJ$1004,$AJ639))</f>
        <v/>
      </c>
      <c r="AM639" s="42"/>
      <c r="AN639" s="50" t="str">
        <f aca="false">IF($D639="","",IFERROR(T(VLOOKUP($D639,Listas!$B$5:$H$120,7,0)),""))</f>
        <v/>
      </c>
      <c r="AO639" s="50" t="str">
        <f aca="false">IF(OR($F639="",$L639&lt;&gt;"",$R639="Cancelada",$AT639&lt;&gt;""),"",$AN639&amp;"|"&amp;$D639&amp;"|"&amp;IF($C639="","zzz",$C639)&amp;"|"&amp;TEXT(639,"0000"))</f>
        <v/>
      </c>
      <c r="AP639" s="50" t="str">
        <f aca="false">IF($AO639="","",COUNTIF($AO$5:$AO$1004,"&lt;"&amp;$AO639)-(ROWS($AO$5:$AO$1004)-Hoje!$L$5)+1)</f>
        <v/>
      </c>
      <c r="AQ639" s="50" t="n">
        <f aca="false">IF(AND($F639&lt;&gt;"",$D639=Frota!$C$3),1,0)</f>
        <v>0</v>
      </c>
      <c r="AR639" s="50" t="str">
        <f aca="false">IF($AQ639=0,"",SUM($AQ$4:$AQ639))</f>
        <v/>
      </c>
      <c r="AS639" s="50" t="str">
        <f aca="false">IFERROR(INDEX(Hoje!$K$10:$K$29,MATCH(ROW(),Hoje!$J$10:$J$29,0)),"")</f>
        <v/>
      </c>
      <c r="AT639" s="50" t="str">
        <f aca="false">IF($Q639&lt;&gt;"",$Q639,$AS639)</f>
        <v/>
      </c>
    </row>
    <row r="640" customFormat="false" ht="16.5" hidden="false" customHeight="true" outlineLevel="0" collapsed="false">
      <c r="A640" s="39" t="str">
        <f aca="false">IF($F640="","",ROW())</f>
        <v/>
      </c>
      <c r="B640" s="40" t="str">
        <f aca="false">IF($F640="",IF($D640="","","Falta a atividade"),IF($R640="Cancelada","Cancelada",IF($AB640=1,IF(N($Z640)&gt;0,"Concluída com atraso","Concluída"),IF($R640="Em programação","Em programação",IF($O640="",IF($M640="","Na carteira","Falta a semana"),IF($AC640=1,"VENCIDA",IF($O640&gt;Hoje!$L$1,"Programada",IF($P640&gt;Hoje!$L$1,"Em execução","Fecha hoje"))))))))</f>
        <v/>
      </c>
      <c r="C640" s="41"/>
      <c r="D640" s="42"/>
      <c r="E640" s="42"/>
      <c r="F640" s="42"/>
      <c r="G640" s="43"/>
      <c r="H640" s="43"/>
      <c r="I640" s="44"/>
      <c r="J640" s="44"/>
      <c r="K640" s="44"/>
      <c r="L640" s="45"/>
      <c r="M640" s="46"/>
      <c r="N640" s="45"/>
      <c r="O640" s="47" t="str">
        <f aca="false">IF(OR($L640="",$M640=""),"",(DATE(Semana!$J$3,1,4)-WEEKDAY(DATE(Semana!$J$3,1,4),3))+($L640-1)*7+MATCH($M640,Listas!$F$5:$F$11,0)-1)</f>
        <v/>
      </c>
      <c r="P640" s="47" t="str">
        <f aca="false">IF(OR($F640="",$O640=""),"",$O640+MAX(0,ROUNDUP($AK640*MAX(1,IF($N640="",1,$N640))/MAX(1,$AL640),0)-1))</f>
        <v/>
      </c>
      <c r="Q640" s="48"/>
      <c r="R640" s="43"/>
      <c r="S640" s="49"/>
      <c r="T640" s="42"/>
      <c r="U640" s="42"/>
      <c r="V640" s="39" t="str">
        <f aca="false">IF($F640="","",IF(ISNUMBER(SEARCH("(externo)",$I640&amp;$J640&amp;$K640)),"Terceirizada","Interna"))</f>
        <v/>
      </c>
      <c r="W640" s="47" t="str">
        <f aca="false">IF($O640="","",IF($S640="",$O640,(DATE(Semana!$J$3,1,4)-WEEKDAY(DATE(Semana!$J$3,1,4),3))+($S640-1)*7+IF($M640="",0,MATCH($M640,Listas!$F$5:$F$11,0)-1)))</f>
        <v/>
      </c>
      <c r="X640" s="39" t="str">
        <f aca="false">IF($F640="","",IF(OR($AT640="",$O640=""),0,IF($AT640&lt;=$O640,1,0)))</f>
        <v/>
      </c>
      <c r="Y640" s="39" t="str">
        <f aca="false">IF($F640="","",IF(OR($AT640="",$W640=""),0,IF($AT640&lt;=$W640,1,0)))</f>
        <v/>
      </c>
      <c r="Z640" s="39" t="str">
        <f aca="false">IF(OR($AT640="",$O640=""),"",MAX(0,$AT640-$O640))</f>
        <v/>
      </c>
      <c r="AA640" s="39" t="str">
        <f aca="false">IF($F640="","",IF(AND($S640&lt;&gt;"",$L640&lt;&gt;"",$S640&lt;&gt;$L640),1,0))</f>
        <v/>
      </c>
      <c r="AB640" s="39" t="str">
        <f aca="false">IF($F640="","",IF($R640="Cancelada",0,IF(OR($AT640&lt;&gt;"",$R640="Concluída"),1,0)))</f>
        <v/>
      </c>
      <c r="AC640" s="39" t="n">
        <f aca="false">IF($P640="",0,IF($P640&lt;Hoje!$L$1,1,IF(AND($P640=Hoje!$L$1,Hoje!$L$2&gt;Semana!$M$3),1,0)))</f>
        <v>0</v>
      </c>
      <c r="AD640" s="39" t="str">
        <f aca="false">IF($F640="","",IF(COUNTA($I640:$K640)=0,0,1/COUNTA($I640:$K640)))</f>
        <v/>
      </c>
      <c r="AE640" s="39" t="str">
        <f aca="false">IF($AH640=0,"",SUM($AH$4:$AH640))</f>
        <v/>
      </c>
      <c r="AF640" s="39" t="str">
        <f aca="false">IF($AI640=0,"",SUM($AI$4:$AI640))</f>
        <v/>
      </c>
      <c r="AG640" s="50" t="str">
        <f aca="false">IF($F640="","",$I640&amp;IF($J640="",""," · "&amp;$J640)&amp;IF($K640="",""," · "&amp;$K640))</f>
        <v/>
      </c>
      <c r="AH640" s="39" t="n">
        <f aca="false">IF(AND($F640&lt;&gt;"",$O640&lt;&gt;"",$O640&lt;=Hoje!$C$3,$P640&gt;=Hoje!$C$3,$R640&lt;&gt;"Cancelada"),1,0)</f>
        <v>0</v>
      </c>
      <c r="AI640" s="39" t="n">
        <f aca="false">IF(AND($F640&lt;&gt;"",$P640&lt;&gt;"",$P640&lt;Hoje!$C$3,$AB640=0,$R640&lt;&gt;"Cancelada"),1,0)</f>
        <v>0</v>
      </c>
      <c r="AJ640" s="50" t="str">
        <f aca="false">IF($F640="","",$D640&amp;"|"&amp;$E640&amp;"|"&amp;$L640)</f>
        <v/>
      </c>
      <c r="AK640" s="39" t="str">
        <f aca="false">IF($AJ640="","",COUNTIF($AJ$4:$AJ640,$AJ640))</f>
        <v/>
      </c>
      <c r="AL640" s="39" t="str">
        <f aca="false">IF($AJ640="","",COUNTIF($AJ$4:$AJ$1004,$AJ640))</f>
        <v/>
      </c>
      <c r="AM640" s="42"/>
      <c r="AN640" s="50" t="str">
        <f aca="false">IF($D640="","",IFERROR(T(VLOOKUP($D640,Listas!$B$5:$H$120,7,0)),""))</f>
        <v/>
      </c>
      <c r="AO640" s="50" t="str">
        <f aca="false">IF(OR($F640="",$L640&lt;&gt;"",$R640="Cancelada",$AT640&lt;&gt;""),"",$AN640&amp;"|"&amp;$D640&amp;"|"&amp;IF($C640="","zzz",$C640)&amp;"|"&amp;TEXT(640,"0000"))</f>
        <v/>
      </c>
      <c r="AP640" s="50" t="str">
        <f aca="false">IF($AO640="","",COUNTIF($AO$5:$AO$1004,"&lt;"&amp;$AO640)-(ROWS($AO$5:$AO$1004)-Hoje!$L$5)+1)</f>
        <v/>
      </c>
      <c r="AQ640" s="50" t="n">
        <f aca="false">IF(AND($F640&lt;&gt;"",$D640=Frota!$C$3),1,0)</f>
        <v>0</v>
      </c>
      <c r="AR640" s="50" t="str">
        <f aca="false">IF($AQ640=0,"",SUM($AQ$4:$AQ640))</f>
        <v/>
      </c>
      <c r="AS640" s="50" t="str">
        <f aca="false">IFERROR(INDEX(Hoje!$K$10:$K$29,MATCH(ROW(),Hoje!$J$10:$J$29,0)),"")</f>
        <v/>
      </c>
      <c r="AT640" s="50" t="str">
        <f aca="false">IF($Q640&lt;&gt;"",$Q640,$AS640)</f>
        <v/>
      </c>
    </row>
    <row r="641" customFormat="false" ht="16.5" hidden="false" customHeight="true" outlineLevel="0" collapsed="false">
      <c r="A641" s="39" t="str">
        <f aca="false">IF($F641="","",ROW())</f>
        <v/>
      </c>
      <c r="B641" s="40" t="str">
        <f aca="false">IF($F641="",IF($D641="","","Falta a atividade"),IF($R641="Cancelada","Cancelada",IF($AB641=1,IF(N($Z641)&gt;0,"Concluída com atraso","Concluída"),IF($R641="Em programação","Em programação",IF($O641="",IF($M641="","Na carteira","Falta a semana"),IF($AC641=1,"VENCIDA",IF($O641&gt;Hoje!$L$1,"Programada",IF($P641&gt;Hoje!$L$1,"Em execução","Fecha hoje"))))))))</f>
        <v/>
      </c>
      <c r="C641" s="41"/>
      <c r="D641" s="42"/>
      <c r="E641" s="42"/>
      <c r="F641" s="42"/>
      <c r="G641" s="43"/>
      <c r="H641" s="43"/>
      <c r="I641" s="44"/>
      <c r="J641" s="44"/>
      <c r="K641" s="44"/>
      <c r="L641" s="45"/>
      <c r="M641" s="46"/>
      <c r="N641" s="45"/>
      <c r="O641" s="47" t="str">
        <f aca="false">IF(OR($L641="",$M641=""),"",(DATE(Semana!$J$3,1,4)-WEEKDAY(DATE(Semana!$J$3,1,4),3))+($L641-1)*7+MATCH($M641,Listas!$F$5:$F$11,0)-1)</f>
        <v/>
      </c>
      <c r="P641" s="47" t="str">
        <f aca="false">IF(OR($F641="",$O641=""),"",$O641+MAX(0,ROUNDUP($AK641*MAX(1,IF($N641="",1,$N641))/MAX(1,$AL641),0)-1))</f>
        <v/>
      </c>
      <c r="Q641" s="48"/>
      <c r="R641" s="43"/>
      <c r="S641" s="49"/>
      <c r="T641" s="42"/>
      <c r="U641" s="42"/>
      <c r="V641" s="39" t="str">
        <f aca="false">IF($F641="","",IF(ISNUMBER(SEARCH("(externo)",$I641&amp;$J641&amp;$K641)),"Terceirizada","Interna"))</f>
        <v/>
      </c>
      <c r="W641" s="47" t="str">
        <f aca="false">IF($O641="","",IF($S641="",$O641,(DATE(Semana!$J$3,1,4)-WEEKDAY(DATE(Semana!$J$3,1,4),3))+($S641-1)*7+IF($M641="",0,MATCH($M641,Listas!$F$5:$F$11,0)-1)))</f>
        <v/>
      </c>
      <c r="X641" s="39" t="str">
        <f aca="false">IF($F641="","",IF(OR($AT641="",$O641=""),0,IF($AT641&lt;=$O641,1,0)))</f>
        <v/>
      </c>
      <c r="Y641" s="39" t="str">
        <f aca="false">IF($F641="","",IF(OR($AT641="",$W641=""),0,IF($AT641&lt;=$W641,1,0)))</f>
        <v/>
      </c>
      <c r="Z641" s="39" t="str">
        <f aca="false">IF(OR($AT641="",$O641=""),"",MAX(0,$AT641-$O641))</f>
        <v/>
      </c>
      <c r="AA641" s="39" t="str">
        <f aca="false">IF($F641="","",IF(AND($S641&lt;&gt;"",$L641&lt;&gt;"",$S641&lt;&gt;$L641),1,0))</f>
        <v/>
      </c>
      <c r="AB641" s="39" t="str">
        <f aca="false">IF($F641="","",IF($R641="Cancelada",0,IF(OR($AT641&lt;&gt;"",$R641="Concluída"),1,0)))</f>
        <v/>
      </c>
      <c r="AC641" s="39" t="n">
        <f aca="false">IF($P641="",0,IF($P641&lt;Hoje!$L$1,1,IF(AND($P641=Hoje!$L$1,Hoje!$L$2&gt;Semana!$M$3),1,0)))</f>
        <v>0</v>
      </c>
      <c r="AD641" s="39" t="str">
        <f aca="false">IF($F641="","",IF(COUNTA($I641:$K641)=0,0,1/COUNTA($I641:$K641)))</f>
        <v/>
      </c>
      <c r="AE641" s="39" t="str">
        <f aca="false">IF($AH641=0,"",SUM($AH$4:$AH641))</f>
        <v/>
      </c>
      <c r="AF641" s="39" t="str">
        <f aca="false">IF($AI641=0,"",SUM($AI$4:$AI641))</f>
        <v/>
      </c>
      <c r="AG641" s="50" t="str">
        <f aca="false">IF($F641="","",$I641&amp;IF($J641="",""," · "&amp;$J641)&amp;IF($K641="",""," · "&amp;$K641))</f>
        <v/>
      </c>
      <c r="AH641" s="39" t="n">
        <f aca="false">IF(AND($F641&lt;&gt;"",$O641&lt;&gt;"",$O641&lt;=Hoje!$C$3,$P641&gt;=Hoje!$C$3,$R641&lt;&gt;"Cancelada"),1,0)</f>
        <v>0</v>
      </c>
      <c r="AI641" s="39" t="n">
        <f aca="false">IF(AND($F641&lt;&gt;"",$P641&lt;&gt;"",$P641&lt;Hoje!$C$3,$AB641=0,$R641&lt;&gt;"Cancelada"),1,0)</f>
        <v>0</v>
      </c>
      <c r="AJ641" s="50" t="str">
        <f aca="false">IF($F641="","",$D641&amp;"|"&amp;$E641&amp;"|"&amp;$L641)</f>
        <v/>
      </c>
      <c r="AK641" s="39" t="str">
        <f aca="false">IF($AJ641="","",COUNTIF($AJ$4:$AJ641,$AJ641))</f>
        <v/>
      </c>
      <c r="AL641" s="39" t="str">
        <f aca="false">IF($AJ641="","",COUNTIF($AJ$4:$AJ$1004,$AJ641))</f>
        <v/>
      </c>
      <c r="AM641" s="42"/>
      <c r="AN641" s="50" t="str">
        <f aca="false">IF($D641="","",IFERROR(T(VLOOKUP($D641,Listas!$B$5:$H$120,7,0)),""))</f>
        <v/>
      </c>
      <c r="AO641" s="50" t="str">
        <f aca="false">IF(OR($F641="",$L641&lt;&gt;"",$R641="Cancelada",$AT641&lt;&gt;""),"",$AN641&amp;"|"&amp;$D641&amp;"|"&amp;IF($C641="","zzz",$C641)&amp;"|"&amp;TEXT(641,"0000"))</f>
        <v/>
      </c>
      <c r="AP641" s="50" t="str">
        <f aca="false">IF($AO641="","",COUNTIF($AO$5:$AO$1004,"&lt;"&amp;$AO641)-(ROWS($AO$5:$AO$1004)-Hoje!$L$5)+1)</f>
        <v/>
      </c>
      <c r="AQ641" s="50" t="n">
        <f aca="false">IF(AND($F641&lt;&gt;"",$D641=Frota!$C$3),1,0)</f>
        <v>0</v>
      </c>
      <c r="AR641" s="50" t="str">
        <f aca="false">IF($AQ641=0,"",SUM($AQ$4:$AQ641))</f>
        <v/>
      </c>
      <c r="AS641" s="50" t="str">
        <f aca="false">IFERROR(INDEX(Hoje!$K$10:$K$29,MATCH(ROW(),Hoje!$J$10:$J$29,0)),"")</f>
        <v/>
      </c>
      <c r="AT641" s="50" t="str">
        <f aca="false">IF($Q641&lt;&gt;"",$Q641,$AS641)</f>
        <v/>
      </c>
    </row>
    <row r="642" customFormat="false" ht="16.5" hidden="false" customHeight="true" outlineLevel="0" collapsed="false">
      <c r="A642" s="39" t="str">
        <f aca="false">IF($F642="","",ROW())</f>
        <v/>
      </c>
      <c r="B642" s="40" t="str">
        <f aca="false">IF($F642="",IF($D642="","","Falta a atividade"),IF($R642="Cancelada","Cancelada",IF($AB642=1,IF(N($Z642)&gt;0,"Concluída com atraso","Concluída"),IF($R642="Em programação","Em programação",IF($O642="",IF($M642="","Na carteira","Falta a semana"),IF($AC642=1,"VENCIDA",IF($O642&gt;Hoje!$L$1,"Programada",IF($P642&gt;Hoje!$L$1,"Em execução","Fecha hoje"))))))))</f>
        <v/>
      </c>
      <c r="C642" s="41"/>
      <c r="D642" s="42"/>
      <c r="E642" s="42"/>
      <c r="F642" s="42"/>
      <c r="G642" s="43"/>
      <c r="H642" s="43"/>
      <c r="I642" s="44"/>
      <c r="J642" s="44"/>
      <c r="K642" s="44"/>
      <c r="L642" s="45"/>
      <c r="M642" s="46"/>
      <c r="N642" s="45"/>
      <c r="O642" s="47" t="str">
        <f aca="false">IF(OR($L642="",$M642=""),"",(DATE(Semana!$J$3,1,4)-WEEKDAY(DATE(Semana!$J$3,1,4),3))+($L642-1)*7+MATCH($M642,Listas!$F$5:$F$11,0)-1)</f>
        <v/>
      </c>
      <c r="P642" s="47" t="str">
        <f aca="false">IF(OR($F642="",$O642=""),"",$O642+MAX(0,ROUNDUP($AK642*MAX(1,IF($N642="",1,$N642))/MAX(1,$AL642),0)-1))</f>
        <v/>
      </c>
      <c r="Q642" s="48"/>
      <c r="R642" s="43"/>
      <c r="S642" s="49"/>
      <c r="T642" s="42"/>
      <c r="U642" s="42"/>
      <c r="V642" s="39" t="str">
        <f aca="false">IF($F642="","",IF(ISNUMBER(SEARCH("(externo)",$I642&amp;$J642&amp;$K642)),"Terceirizada","Interna"))</f>
        <v/>
      </c>
      <c r="W642" s="47" t="str">
        <f aca="false">IF($O642="","",IF($S642="",$O642,(DATE(Semana!$J$3,1,4)-WEEKDAY(DATE(Semana!$J$3,1,4),3))+($S642-1)*7+IF($M642="",0,MATCH($M642,Listas!$F$5:$F$11,0)-1)))</f>
        <v/>
      </c>
      <c r="X642" s="39" t="str">
        <f aca="false">IF($F642="","",IF(OR($AT642="",$O642=""),0,IF($AT642&lt;=$O642,1,0)))</f>
        <v/>
      </c>
      <c r="Y642" s="39" t="str">
        <f aca="false">IF($F642="","",IF(OR($AT642="",$W642=""),0,IF($AT642&lt;=$W642,1,0)))</f>
        <v/>
      </c>
      <c r="Z642" s="39" t="str">
        <f aca="false">IF(OR($AT642="",$O642=""),"",MAX(0,$AT642-$O642))</f>
        <v/>
      </c>
      <c r="AA642" s="39" t="str">
        <f aca="false">IF($F642="","",IF(AND($S642&lt;&gt;"",$L642&lt;&gt;"",$S642&lt;&gt;$L642),1,0))</f>
        <v/>
      </c>
      <c r="AB642" s="39" t="str">
        <f aca="false">IF($F642="","",IF($R642="Cancelada",0,IF(OR($AT642&lt;&gt;"",$R642="Concluída"),1,0)))</f>
        <v/>
      </c>
      <c r="AC642" s="39" t="n">
        <f aca="false">IF($P642="",0,IF($P642&lt;Hoje!$L$1,1,IF(AND($P642=Hoje!$L$1,Hoje!$L$2&gt;Semana!$M$3),1,0)))</f>
        <v>0</v>
      </c>
      <c r="AD642" s="39" t="str">
        <f aca="false">IF($F642="","",IF(COUNTA($I642:$K642)=0,0,1/COUNTA($I642:$K642)))</f>
        <v/>
      </c>
      <c r="AE642" s="39" t="str">
        <f aca="false">IF($AH642=0,"",SUM($AH$4:$AH642))</f>
        <v/>
      </c>
      <c r="AF642" s="39" t="str">
        <f aca="false">IF($AI642=0,"",SUM($AI$4:$AI642))</f>
        <v/>
      </c>
      <c r="AG642" s="50" t="str">
        <f aca="false">IF($F642="","",$I642&amp;IF($J642="",""," · "&amp;$J642)&amp;IF($K642="",""," · "&amp;$K642))</f>
        <v/>
      </c>
      <c r="AH642" s="39" t="n">
        <f aca="false">IF(AND($F642&lt;&gt;"",$O642&lt;&gt;"",$O642&lt;=Hoje!$C$3,$P642&gt;=Hoje!$C$3,$R642&lt;&gt;"Cancelada"),1,0)</f>
        <v>0</v>
      </c>
      <c r="AI642" s="39" t="n">
        <f aca="false">IF(AND($F642&lt;&gt;"",$P642&lt;&gt;"",$P642&lt;Hoje!$C$3,$AB642=0,$R642&lt;&gt;"Cancelada"),1,0)</f>
        <v>0</v>
      </c>
      <c r="AJ642" s="50" t="str">
        <f aca="false">IF($F642="","",$D642&amp;"|"&amp;$E642&amp;"|"&amp;$L642)</f>
        <v/>
      </c>
      <c r="AK642" s="39" t="str">
        <f aca="false">IF($AJ642="","",COUNTIF($AJ$4:$AJ642,$AJ642))</f>
        <v/>
      </c>
      <c r="AL642" s="39" t="str">
        <f aca="false">IF($AJ642="","",COUNTIF($AJ$4:$AJ$1004,$AJ642))</f>
        <v/>
      </c>
      <c r="AM642" s="42"/>
      <c r="AN642" s="50" t="str">
        <f aca="false">IF($D642="","",IFERROR(T(VLOOKUP($D642,Listas!$B$5:$H$120,7,0)),""))</f>
        <v/>
      </c>
      <c r="AO642" s="50" t="str">
        <f aca="false">IF(OR($F642="",$L642&lt;&gt;"",$R642="Cancelada",$AT642&lt;&gt;""),"",$AN642&amp;"|"&amp;$D642&amp;"|"&amp;IF($C642="","zzz",$C642)&amp;"|"&amp;TEXT(642,"0000"))</f>
        <v/>
      </c>
      <c r="AP642" s="50" t="str">
        <f aca="false">IF($AO642="","",COUNTIF($AO$5:$AO$1004,"&lt;"&amp;$AO642)-(ROWS($AO$5:$AO$1004)-Hoje!$L$5)+1)</f>
        <v/>
      </c>
      <c r="AQ642" s="50" t="n">
        <f aca="false">IF(AND($F642&lt;&gt;"",$D642=Frota!$C$3),1,0)</f>
        <v>0</v>
      </c>
      <c r="AR642" s="50" t="str">
        <f aca="false">IF($AQ642=0,"",SUM($AQ$4:$AQ642))</f>
        <v/>
      </c>
      <c r="AS642" s="50" t="str">
        <f aca="false">IFERROR(INDEX(Hoje!$K$10:$K$29,MATCH(ROW(),Hoje!$J$10:$J$29,0)),"")</f>
        <v/>
      </c>
      <c r="AT642" s="50" t="str">
        <f aca="false">IF($Q642&lt;&gt;"",$Q642,$AS642)</f>
        <v/>
      </c>
    </row>
    <row r="643" customFormat="false" ht="16.5" hidden="false" customHeight="true" outlineLevel="0" collapsed="false">
      <c r="A643" s="39" t="str">
        <f aca="false">IF($F643="","",ROW())</f>
        <v/>
      </c>
      <c r="B643" s="40" t="str">
        <f aca="false">IF($F643="",IF($D643="","","Falta a atividade"),IF($R643="Cancelada","Cancelada",IF($AB643=1,IF(N($Z643)&gt;0,"Concluída com atraso","Concluída"),IF($R643="Em programação","Em programação",IF($O643="",IF($M643="","Na carteira","Falta a semana"),IF($AC643=1,"VENCIDA",IF($O643&gt;Hoje!$L$1,"Programada",IF($P643&gt;Hoje!$L$1,"Em execução","Fecha hoje"))))))))</f>
        <v/>
      </c>
      <c r="C643" s="41"/>
      <c r="D643" s="42"/>
      <c r="E643" s="42"/>
      <c r="F643" s="42"/>
      <c r="G643" s="43"/>
      <c r="H643" s="43"/>
      <c r="I643" s="44"/>
      <c r="J643" s="44"/>
      <c r="K643" s="44"/>
      <c r="L643" s="45"/>
      <c r="M643" s="46"/>
      <c r="N643" s="45"/>
      <c r="O643" s="47" t="str">
        <f aca="false">IF(OR($L643="",$M643=""),"",(DATE(Semana!$J$3,1,4)-WEEKDAY(DATE(Semana!$J$3,1,4),3))+($L643-1)*7+MATCH($M643,Listas!$F$5:$F$11,0)-1)</f>
        <v/>
      </c>
      <c r="P643" s="47" t="str">
        <f aca="false">IF(OR($F643="",$O643=""),"",$O643+MAX(0,ROUNDUP($AK643*MAX(1,IF($N643="",1,$N643))/MAX(1,$AL643),0)-1))</f>
        <v/>
      </c>
      <c r="Q643" s="48"/>
      <c r="R643" s="43"/>
      <c r="S643" s="49"/>
      <c r="T643" s="42"/>
      <c r="U643" s="42"/>
      <c r="V643" s="39" t="str">
        <f aca="false">IF($F643="","",IF(ISNUMBER(SEARCH("(externo)",$I643&amp;$J643&amp;$K643)),"Terceirizada","Interna"))</f>
        <v/>
      </c>
      <c r="W643" s="47" t="str">
        <f aca="false">IF($O643="","",IF($S643="",$O643,(DATE(Semana!$J$3,1,4)-WEEKDAY(DATE(Semana!$J$3,1,4),3))+($S643-1)*7+IF($M643="",0,MATCH($M643,Listas!$F$5:$F$11,0)-1)))</f>
        <v/>
      </c>
      <c r="X643" s="39" t="str">
        <f aca="false">IF($F643="","",IF(OR($AT643="",$O643=""),0,IF($AT643&lt;=$O643,1,0)))</f>
        <v/>
      </c>
      <c r="Y643" s="39" t="str">
        <f aca="false">IF($F643="","",IF(OR($AT643="",$W643=""),0,IF($AT643&lt;=$W643,1,0)))</f>
        <v/>
      </c>
      <c r="Z643" s="39" t="str">
        <f aca="false">IF(OR($AT643="",$O643=""),"",MAX(0,$AT643-$O643))</f>
        <v/>
      </c>
      <c r="AA643" s="39" t="str">
        <f aca="false">IF($F643="","",IF(AND($S643&lt;&gt;"",$L643&lt;&gt;"",$S643&lt;&gt;$L643),1,0))</f>
        <v/>
      </c>
      <c r="AB643" s="39" t="str">
        <f aca="false">IF($F643="","",IF($R643="Cancelada",0,IF(OR($AT643&lt;&gt;"",$R643="Concluída"),1,0)))</f>
        <v/>
      </c>
      <c r="AC643" s="39" t="n">
        <f aca="false">IF($P643="",0,IF($P643&lt;Hoje!$L$1,1,IF(AND($P643=Hoje!$L$1,Hoje!$L$2&gt;Semana!$M$3),1,0)))</f>
        <v>0</v>
      </c>
      <c r="AD643" s="39" t="str">
        <f aca="false">IF($F643="","",IF(COUNTA($I643:$K643)=0,0,1/COUNTA($I643:$K643)))</f>
        <v/>
      </c>
      <c r="AE643" s="39" t="str">
        <f aca="false">IF($AH643=0,"",SUM($AH$4:$AH643))</f>
        <v/>
      </c>
      <c r="AF643" s="39" t="str">
        <f aca="false">IF($AI643=0,"",SUM($AI$4:$AI643))</f>
        <v/>
      </c>
      <c r="AG643" s="50" t="str">
        <f aca="false">IF($F643="","",$I643&amp;IF($J643="",""," · "&amp;$J643)&amp;IF($K643="",""," · "&amp;$K643))</f>
        <v/>
      </c>
      <c r="AH643" s="39" t="n">
        <f aca="false">IF(AND($F643&lt;&gt;"",$O643&lt;&gt;"",$O643&lt;=Hoje!$C$3,$P643&gt;=Hoje!$C$3,$R643&lt;&gt;"Cancelada"),1,0)</f>
        <v>0</v>
      </c>
      <c r="AI643" s="39" t="n">
        <f aca="false">IF(AND($F643&lt;&gt;"",$P643&lt;&gt;"",$P643&lt;Hoje!$C$3,$AB643=0,$R643&lt;&gt;"Cancelada"),1,0)</f>
        <v>0</v>
      </c>
      <c r="AJ643" s="50" t="str">
        <f aca="false">IF($F643="","",$D643&amp;"|"&amp;$E643&amp;"|"&amp;$L643)</f>
        <v/>
      </c>
      <c r="AK643" s="39" t="str">
        <f aca="false">IF($AJ643="","",COUNTIF($AJ$4:$AJ643,$AJ643))</f>
        <v/>
      </c>
      <c r="AL643" s="39" t="str">
        <f aca="false">IF($AJ643="","",COUNTIF($AJ$4:$AJ$1004,$AJ643))</f>
        <v/>
      </c>
      <c r="AM643" s="42"/>
      <c r="AN643" s="50" t="str">
        <f aca="false">IF($D643="","",IFERROR(T(VLOOKUP($D643,Listas!$B$5:$H$120,7,0)),""))</f>
        <v/>
      </c>
      <c r="AO643" s="50" t="str">
        <f aca="false">IF(OR($F643="",$L643&lt;&gt;"",$R643="Cancelada",$AT643&lt;&gt;""),"",$AN643&amp;"|"&amp;$D643&amp;"|"&amp;IF($C643="","zzz",$C643)&amp;"|"&amp;TEXT(643,"0000"))</f>
        <v/>
      </c>
      <c r="AP643" s="50" t="str">
        <f aca="false">IF($AO643="","",COUNTIF($AO$5:$AO$1004,"&lt;"&amp;$AO643)-(ROWS($AO$5:$AO$1004)-Hoje!$L$5)+1)</f>
        <v/>
      </c>
      <c r="AQ643" s="50" t="n">
        <f aca="false">IF(AND($F643&lt;&gt;"",$D643=Frota!$C$3),1,0)</f>
        <v>0</v>
      </c>
      <c r="AR643" s="50" t="str">
        <f aca="false">IF($AQ643=0,"",SUM($AQ$4:$AQ643))</f>
        <v/>
      </c>
      <c r="AS643" s="50" t="str">
        <f aca="false">IFERROR(INDEX(Hoje!$K$10:$K$29,MATCH(ROW(),Hoje!$J$10:$J$29,0)),"")</f>
        <v/>
      </c>
      <c r="AT643" s="50" t="str">
        <f aca="false">IF($Q643&lt;&gt;"",$Q643,$AS643)</f>
        <v/>
      </c>
    </row>
    <row r="644" customFormat="false" ht="16.5" hidden="false" customHeight="true" outlineLevel="0" collapsed="false">
      <c r="A644" s="39" t="str">
        <f aca="false">IF($F644="","",ROW())</f>
        <v/>
      </c>
      <c r="B644" s="40" t="str">
        <f aca="false">IF($F644="",IF($D644="","","Falta a atividade"),IF($R644="Cancelada","Cancelada",IF($AB644=1,IF(N($Z644)&gt;0,"Concluída com atraso","Concluída"),IF($R644="Em programação","Em programação",IF($O644="",IF($M644="","Na carteira","Falta a semana"),IF($AC644=1,"VENCIDA",IF($O644&gt;Hoje!$L$1,"Programada",IF($P644&gt;Hoje!$L$1,"Em execução","Fecha hoje"))))))))</f>
        <v/>
      </c>
      <c r="C644" s="41"/>
      <c r="D644" s="42"/>
      <c r="E644" s="42"/>
      <c r="F644" s="42"/>
      <c r="G644" s="43"/>
      <c r="H644" s="43"/>
      <c r="I644" s="44"/>
      <c r="J644" s="44"/>
      <c r="K644" s="44"/>
      <c r="L644" s="45"/>
      <c r="M644" s="46"/>
      <c r="N644" s="45"/>
      <c r="O644" s="47" t="str">
        <f aca="false">IF(OR($L644="",$M644=""),"",(DATE(Semana!$J$3,1,4)-WEEKDAY(DATE(Semana!$J$3,1,4),3))+($L644-1)*7+MATCH($M644,Listas!$F$5:$F$11,0)-1)</f>
        <v/>
      </c>
      <c r="P644" s="47" t="str">
        <f aca="false">IF(OR($F644="",$O644=""),"",$O644+MAX(0,ROUNDUP($AK644*MAX(1,IF($N644="",1,$N644))/MAX(1,$AL644),0)-1))</f>
        <v/>
      </c>
      <c r="Q644" s="48"/>
      <c r="R644" s="43"/>
      <c r="S644" s="49"/>
      <c r="T644" s="42"/>
      <c r="U644" s="42"/>
      <c r="V644" s="39" t="str">
        <f aca="false">IF($F644="","",IF(ISNUMBER(SEARCH("(externo)",$I644&amp;$J644&amp;$K644)),"Terceirizada","Interna"))</f>
        <v/>
      </c>
      <c r="W644" s="47" t="str">
        <f aca="false">IF($O644="","",IF($S644="",$O644,(DATE(Semana!$J$3,1,4)-WEEKDAY(DATE(Semana!$J$3,1,4),3))+($S644-1)*7+IF($M644="",0,MATCH($M644,Listas!$F$5:$F$11,0)-1)))</f>
        <v/>
      </c>
      <c r="X644" s="39" t="str">
        <f aca="false">IF($F644="","",IF(OR($AT644="",$O644=""),0,IF($AT644&lt;=$O644,1,0)))</f>
        <v/>
      </c>
      <c r="Y644" s="39" t="str">
        <f aca="false">IF($F644="","",IF(OR($AT644="",$W644=""),0,IF($AT644&lt;=$W644,1,0)))</f>
        <v/>
      </c>
      <c r="Z644" s="39" t="str">
        <f aca="false">IF(OR($AT644="",$O644=""),"",MAX(0,$AT644-$O644))</f>
        <v/>
      </c>
      <c r="AA644" s="39" t="str">
        <f aca="false">IF($F644="","",IF(AND($S644&lt;&gt;"",$L644&lt;&gt;"",$S644&lt;&gt;$L644),1,0))</f>
        <v/>
      </c>
      <c r="AB644" s="39" t="str">
        <f aca="false">IF($F644="","",IF($R644="Cancelada",0,IF(OR($AT644&lt;&gt;"",$R644="Concluída"),1,0)))</f>
        <v/>
      </c>
      <c r="AC644" s="39" t="n">
        <f aca="false">IF($P644="",0,IF($P644&lt;Hoje!$L$1,1,IF(AND($P644=Hoje!$L$1,Hoje!$L$2&gt;Semana!$M$3),1,0)))</f>
        <v>0</v>
      </c>
      <c r="AD644" s="39" t="str">
        <f aca="false">IF($F644="","",IF(COUNTA($I644:$K644)=0,0,1/COUNTA($I644:$K644)))</f>
        <v/>
      </c>
      <c r="AE644" s="39" t="str">
        <f aca="false">IF($AH644=0,"",SUM($AH$4:$AH644))</f>
        <v/>
      </c>
      <c r="AF644" s="39" t="str">
        <f aca="false">IF($AI644=0,"",SUM($AI$4:$AI644))</f>
        <v/>
      </c>
      <c r="AG644" s="50" t="str">
        <f aca="false">IF($F644="","",$I644&amp;IF($J644="",""," · "&amp;$J644)&amp;IF($K644="",""," · "&amp;$K644))</f>
        <v/>
      </c>
      <c r="AH644" s="39" t="n">
        <f aca="false">IF(AND($F644&lt;&gt;"",$O644&lt;&gt;"",$O644&lt;=Hoje!$C$3,$P644&gt;=Hoje!$C$3,$R644&lt;&gt;"Cancelada"),1,0)</f>
        <v>0</v>
      </c>
      <c r="AI644" s="39" t="n">
        <f aca="false">IF(AND($F644&lt;&gt;"",$P644&lt;&gt;"",$P644&lt;Hoje!$C$3,$AB644=0,$R644&lt;&gt;"Cancelada"),1,0)</f>
        <v>0</v>
      </c>
      <c r="AJ644" s="50" t="str">
        <f aca="false">IF($F644="","",$D644&amp;"|"&amp;$E644&amp;"|"&amp;$L644)</f>
        <v/>
      </c>
      <c r="AK644" s="39" t="str">
        <f aca="false">IF($AJ644="","",COUNTIF($AJ$4:$AJ644,$AJ644))</f>
        <v/>
      </c>
      <c r="AL644" s="39" t="str">
        <f aca="false">IF($AJ644="","",COUNTIF($AJ$4:$AJ$1004,$AJ644))</f>
        <v/>
      </c>
      <c r="AM644" s="42"/>
      <c r="AN644" s="50" t="str">
        <f aca="false">IF($D644="","",IFERROR(T(VLOOKUP($D644,Listas!$B$5:$H$120,7,0)),""))</f>
        <v/>
      </c>
      <c r="AO644" s="50" t="str">
        <f aca="false">IF(OR($F644="",$L644&lt;&gt;"",$R644="Cancelada",$AT644&lt;&gt;""),"",$AN644&amp;"|"&amp;$D644&amp;"|"&amp;IF($C644="","zzz",$C644)&amp;"|"&amp;TEXT(644,"0000"))</f>
        <v/>
      </c>
      <c r="AP644" s="50" t="str">
        <f aca="false">IF($AO644="","",COUNTIF($AO$5:$AO$1004,"&lt;"&amp;$AO644)-(ROWS($AO$5:$AO$1004)-Hoje!$L$5)+1)</f>
        <v/>
      </c>
      <c r="AQ644" s="50" t="n">
        <f aca="false">IF(AND($F644&lt;&gt;"",$D644=Frota!$C$3),1,0)</f>
        <v>0</v>
      </c>
      <c r="AR644" s="50" t="str">
        <f aca="false">IF($AQ644=0,"",SUM($AQ$4:$AQ644))</f>
        <v/>
      </c>
      <c r="AS644" s="50" t="str">
        <f aca="false">IFERROR(INDEX(Hoje!$K$10:$K$29,MATCH(ROW(),Hoje!$J$10:$J$29,0)),"")</f>
        <v/>
      </c>
      <c r="AT644" s="50" t="str">
        <f aca="false">IF($Q644&lt;&gt;"",$Q644,$AS644)</f>
        <v/>
      </c>
    </row>
    <row r="645" customFormat="false" ht="16.5" hidden="false" customHeight="true" outlineLevel="0" collapsed="false">
      <c r="A645" s="39" t="str">
        <f aca="false">IF($F645="","",ROW())</f>
        <v/>
      </c>
      <c r="B645" s="40" t="str">
        <f aca="false">IF($F645="",IF($D645="","","Falta a atividade"),IF($R645="Cancelada","Cancelada",IF($AB645=1,IF(N($Z645)&gt;0,"Concluída com atraso","Concluída"),IF($R645="Em programação","Em programação",IF($O645="",IF($M645="","Na carteira","Falta a semana"),IF($AC645=1,"VENCIDA",IF($O645&gt;Hoje!$L$1,"Programada",IF($P645&gt;Hoje!$L$1,"Em execução","Fecha hoje"))))))))</f>
        <v/>
      </c>
      <c r="C645" s="41"/>
      <c r="D645" s="42"/>
      <c r="E645" s="42"/>
      <c r="F645" s="42"/>
      <c r="G645" s="43"/>
      <c r="H645" s="43"/>
      <c r="I645" s="44"/>
      <c r="J645" s="44"/>
      <c r="K645" s="44"/>
      <c r="L645" s="45"/>
      <c r="M645" s="46"/>
      <c r="N645" s="45"/>
      <c r="O645" s="47" t="str">
        <f aca="false">IF(OR($L645="",$M645=""),"",(DATE(Semana!$J$3,1,4)-WEEKDAY(DATE(Semana!$J$3,1,4),3))+($L645-1)*7+MATCH($M645,Listas!$F$5:$F$11,0)-1)</f>
        <v/>
      </c>
      <c r="P645" s="47" t="str">
        <f aca="false">IF(OR($F645="",$O645=""),"",$O645+MAX(0,ROUNDUP($AK645*MAX(1,IF($N645="",1,$N645))/MAX(1,$AL645),0)-1))</f>
        <v/>
      </c>
      <c r="Q645" s="48"/>
      <c r="R645" s="43"/>
      <c r="S645" s="49"/>
      <c r="T645" s="42"/>
      <c r="U645" s="42"/>
      <c r="V645" s="39" t="str">
        <f aca="false">IF($F645="","",IF(ISNUMBER(SEARCH("(externo)",$I645&amp;$J645&amp;$K645)),"Terceirizada","Interna"))</f>
        <v/>
      </c>
      <c r="W645" s="47" t="str">
        <f aca="false">IF($O645="","",IF($S645="",$O645,(DATE(Semana!$J$3,1,4)-WEEKDAY(DATE(Semana!$J$3,1,4),3))+($S645-1)*7+IF($M645="",0,MATCH($M645,Listas!$F$5:$F$11,0)-1)))</f>
        <v/>
      </c>
      <c r="X645" s="39" t="str">
        <f aca="false">IF($F645="","",IF(OR($AT645="",$O645=""),0,IF($AT645&lt;=$O645,1,0)))</f>
        <v/>
      </c>
      <c r="Y645" s="39" t="str">
        <f aca="false">IF($F645="","",IF(OR($AT645="",$W645=""),0,IF($AT645&lt;=$W645,1,0)))</f>
        <v/>
      </c>
      <c r="Z645" s="39" t="str">
        <f aca="false">IF(OR($AT645="",$O645=""),"",MAX(0,$AT645-$O645))</f>
        <v/>
      </c>
      <c r="AA645" s="39" t="str">
        <f aca="false">IF($F645="","",IF(AND($S645&lt;&gt;"",$L645&lt;&gt;"",$S645&lt;&gt;$L645),1,0))</f>
        <v/>
      </c>
      <c r="AB645" s="39" t="str">
        <f aca="false">IF($F645="","",IF($R645="Cancelada",0,IF(OR($AT645&lt;&gt;"",$R645="Concluída"),1,0)))</f>
        <v/>
      </c>
      <c r="AC645" s="39" t="n">
        <f aca="false">IF($P645="",0,IF($P645&lt;Hoje!$L$1,1,IF(AND($P645=Hoje!$L$1,Hoje!$L$2&gt;Semana!$M$3),1,0)))</f>
        <v>0</v>
      </c>
      <c r="AD645" s="39" t="str">
        <f aca="false">IF($F645="","",IF(COUNTA($I645:$K645)=0,0,1/COUNTA($I645:$K645)))</f>
        <v/>
      </c>
      <c r="AE645" s="39" t="str">
        <f aca="false">IF($AH645=0,"",SUM($AH$4:$AH645))</f>
        <v/>
      </c>
      <c r="AF645" s="39" t="str">
        <f aca="false">IF($AI645=0,"",SUM($AI$4:$AI645))</f>
        <v/>
      </c>
      <c r="AG645" s="50" t="str">
        <f aca="false">IF($F645="","",$I645&amp;IF($J645="",""," · "&amp;$J645)&amp;IF($K645="",""," · "&amp;$K645))</f>
        <v/>
      </c>
      <c r="AH645" s="39" t="n">
        <f aca="false">IF(AND($F645&lt;&gt;"",$O645&lt;&gt;"",$O645&lt;=Hoje!$C$3,$P645&gt;=Hoje!$C$3,$R645&lt;&gt;"Cancelada"),1,0)</f>
        <v>0</v>
      </c>
      <c r="AI645" s="39" t="n">
        <f aca="false">IF(AND($F645&lt;&gt;"",$P645&lt;&gt;"",$P645&lt;Hoje!$C$3,$AB645=0,$R645&lt;&gt;"Cancelada"),1,0)</f>
        <v>0</v>
      </c>
      <c r="AJ645" s="50" t="str">
        <f aca="false">IF($F645="","",$D645&amp;"|"&amp;$E645&amp;"|"&amp;$L645)</f>
        <v/>
      </c>
      <c r="AK645" s="39" t="str">
        <f aca="false">IF($AJ645="","",COUNTIF($AJ$4:$AJ645,$AJ645))</f>
        <v/>
      </c>
      <c r="AL645" s="39" t="str">
        <f aca="false">IF($AJ645="","",COUNTIF($AJ$4:$AJ$1004,$AJ645))</f>
        <v/>
      </c>
      <c r="AM645" s="42"/>
      <c r="AN645" s="50" t="str">
        <f aca="false">IF($D645="","",IFERROR(T(VLOOKUP($D645,Listas!$B$5:$H$120,7,0)),""))</f>
        <v/>
      </c>
      <c r="AO645" s="50" t="str">
        <f aca="false">IF(OR($F645="",$L645&lt;&gt;"",$R645="Cancelada",$AT645&lt;&gt;""),"",$AN645&amp;"|"&amp;$D645&amp;"|"&amp;IF($C645="","zzz",$C645)&amp;"|"&amp;TEXT(645,"0000"))</f>
        <v/>
      </c>
      <c r="AP645" s="50" t="str">
        <f aca="false">IF($AO645="","",COUNTIF($AO$5:$AO$1004,"&lt;"&amp;$AO645)-(ROWS($AO$5:$AO$1004)-Hoje!$L$5)+1)</f>
        <v/>
      </c>
      <c r="AQ645" s="50" t="n">
        <f aca="false">IF(AND($F645&lt;&gt;"",$D645=Frota!$C$3),1,0)</f>
        <v>0</v>
      </c>
      <c r="AR645" s="50" t="str">
        <f aca="false">IF($AQ645=0,"",SUM($AQ$4:$AQ645))</f>
        <v/>
      </c>
      <c r="AS645" s="50" t="str">
        <f aca="false">IFERROR(INDEX(Hoje!$K$10:$K$29,MATCH(ROW(),Hoje!$J$10:$J$29,0)),"")</f>
        <v/>
      </c>
      <c r="AT645" s="50" t="str">
        <f aca="false">IF($Q645&lt;&gt;"",$Q645,$AS645)</f>
        <v/>
      </c>
    </row>
    <row r="646" customFormat="false" ht="16.5" hidden="false" customHeight="true" outlineLevel="0" collapsed="false">
      <c r="A646" s="39" t="str">
        <f aca="false">IF($F646="","",ROW())</f>
        <v/>
      </c>
      <c r="B646" s="40" t="str">
        <f aca="false">IF($F646="",IF($D646="","","Falta a atividade"),IF($R646="Cancelada","Cancelada",IF($AB646=1,IF(N($Z646)&gt;0,"Concluída com atraso","Concluída"),IF($R646="Em programação","Em programação",IF($O646="",IF($M646="","Na carteira","Falta a semana"),IF($AC646=1,"VENCIDA",IF($O646&gt;Hoje!$L$1,"Programada",IF($P646&gt;Hoje!$L$1,"Em execução","Fecha hoje"))))))))</f>
        <v/>
      </c>
      <c r="C646" s="41"/>
      <c r="D646" s="42"/>
      <c r="E646" s="42"/>
      <c r="F646" s="42"/>
      <c r="G646" s="43"/>
      <c r="H646" s="43"/>
      <c r="I646" s="44"/>
      <c r="J646" s="44"/>
      <c r="K646" s="44"/>
      <c r="L646" s="45"/>
      <c r="M646" s="46"/>
      <c r="N646" s="45"/>
      <c r="O646" s="47" t="str">
        <f aca="false">IF(OR($L646="",$M646=""),"",(DATE(Semana!$J$3,1,4)-WEEKDAY(DATE(Semana!$J$3,1,4),3))+($L646-1)*7+MATCH($M646,Listas!$F$5:$F$11,0)-1)</f>
        <v/>
      </c>
      <c r="P646" s="47" t="str">
        <f aca="false">IF(OR($F646="",$O646=""),"",$O646+MAX(0,ROUNDUP($AK646*MAX(1,IF($N646="",1,$N646))/MAX(1,$AL646),0)-1))</f>
        <v/>
      </c>
      <c r="Q646" s="48"/>
      <c r="R646" s="43"/>
      <c r="S646" s="49"/>
      <c r="T646" s="42"/>
      <c r="U646" s="42"/>
      <c r="V646" s="39" t="str">
        <f aca="false">IF($F646="","",IF(ISNUMBER(SEARCH("(externo)",$I646&amp;$J646&amp;$K646)),"Terceirizada","Interna"))</f>
        <v/>
      </c>
      <c r="W646" s="47" t="str">
        <f aca="false">IF($O646="","",IF($S646="",$O646,(DATE(Semana!$J$3,1,4)-WEEKDAY(DATE(Semana!$J$3,1,4),3))+($S646-1)*7+IF($M646="",0,MATCH($M646,Listas!$F$5:$F$11,0)-1)))</f>
        <v/>
      </c>
      <c r="X646" s="39" t="str">
        <f aca="false">IF($F646="","",IF(OR($AT646="",$O646=""),0,IF($AT646&lt;=$O646,1,0)))</f>
        <v/>
      </c>
      <c r="Y646" s="39" t="str">
        <f aca="false">IF($F646="","",IF(OR($AT646="",$W646=""),0,IF($AT646&lt;=$W646,1,0)))</f>
        <v/>
      </c>
      <c r="Z646" s="39" t="str">
        <f aca="false">IF(OR($AT646="",$O646=""),"",MAX(0,$AT646-$O646))</f>
        <v/>
      </c>
      <c r="AA646" s="39" t="str">
        <f aca="false">IF($F646="","",IF(AND($S646&lt;&gt;"",$L646&lt;&gt;"",$S646&lt;&gt;$L646),1,0))</f>
        <v/>
      </c>
      <c r="AB646" s="39" t="str">
        <f aca="false">IF($F646="","",IF($R646="Cancelada",0,IF(OR($AT646&lt;&gt;"",$R646="Concluída"),1,0)))</f>
        <v/>
      </c>
      <c r="AC646" s="39" t="n">
        <f aca="false">IF($P646="",0,IF($P646&lt;Hoje!$L$1,1,IF(AND($P646=Hoje!$L$1,Hoje!$L$2&gt;Semana!$M$3),1,0)))</f>
        <v>0</v>
      </c>
      <c r="AD646" s="39" t="str">
        <f aca="false">IF($F646="","",IF(COUNTA($I646:$K646)=0,0,1/COUNTA($I646:$K646)))</f>
        <v/>
      </c>
      <c r="AE646" s="39" t="str">
        <f aca="false">IF($AH646=0,"",SUM($AH$4:$AH646))</f>
        <v/>
      </c>
      <c r="AF646" s="39" t="str">
        <f aca="false">IF($AI646=0,"",SUM($AI$4:$AI646))</f>
        <v/>
      </c>
      <c r="AG646" s="50" t="str">
        <f aca="false">IF($F646="","",$I646&amp;IF($J646="",""," · "&amp;$J646)&amp;IF($K646="",""," · "&amp;$K646))</f>
        <v/>
      </c>
      <c r="AH646" s="39" t="n">
        <f aca="false">IF(AND($F646&lt;&gt;"",$O646&lt;&gt;"",$O646&lt;=Hoje!$C$3,$P646&gt;=Hoje!$C$3,$R646&lt;&gt;"Cancelada"),1,0)</f>
        <v>0</v>
      </c>
      <c r="AI646" s="39" t="n">
        <f aca="false">IF(AND($F646&lt;&gt;"",$P646&lt;&gt;"",$P646&lt;Hoje!$C$3,$AB646=0,$R646&lt;&gt;"Cancelada"),1,0)</f>
        <v>0</v>
      </c>
      <c r="AJ646" s="50" t="str">
        <f aca="false">IF($F646="","",$D646&amp;"|"&amp;$E646&amp;"|"&amp;$L646)</f>
        <v/>
      </c>
      <c r="AK646" s="39" t="str">
        <f aca="false">IF($AJ646="","",COUNTIF($AJ$4:$AJ646,$AJ646))</f>
        <v/>
      </c>
      <c r="AL646" s="39" t="str">
        <f aca="false">IF($AJ646="","",COUNTIF($AJ$4:$AJ$1004,$AJ646))</f>
        <v/>
      </c>
      <c r="AM646" s="42"/>
      <c r="AN646" s="50" t="str">
        <f aca="false">IF($D646="","",IFERROR(T(VLOOKUP($D646,Listas!$B$5:$H$120,7,0)),""))</f>
        <v/>
      </c>
      <c r="AO646" s="50" t="str">
        <f aca="false">IF(OR($F646="",$L646&lt;&gt;"",$R646="Cancelada",$AT646&lt;&gt;""),"",$AN646&amp;"|"&amp;$D646&amp;"|"&amp;IF($C646="","zzz",$C646)&amp;"|"&amp;TEXT(646,"0000"))</f>
        <v/>
      </c>
      <c r="AP646" s="50" t="str">
        <f aca="false">IF($AO646="","",COUNTIF($AO$5:$AO$1004,"&lt;"&amp;$AO646)-(ROWS($AO$5:$AO$1004)-Hoje!$L$5)+1)</f>
        <v/>
      </c>
      <c r="AQ646" s="50" t="n">
        <f aca="false">IF(AND($F646&lt;&gt;"",$D646=Frota!$C$3),1,0)</f>
        <v>0</v>
      </c>
      <c r="AR646" s="50" t="str">
        <f aca="false">IF($AQ646=0,"",SUM($AQ$4:$AQ646))</f>
        <v/>
      </c>
      <c r="AS646" s="50" t="str">
        <f aca="false">IFERROR(INDEX(Hoje!$K$10:$K$29,MATCH(ROW(),Hoje!$J$10:$J$29,0)),"")</f>
        <v/>
      </c>
      <c r="AT646" s="50" t="str">
        <f aca="false">IF($Q646&lt;&gt;"",$Q646,$AS646)</f>
        <v/>
      </c>
    </row>
    <row r="647" customFormat="false" ht="16.5" hidden="false" customHeight="true" outlineLevel="0" collapsed="false">
      <c r="A647" s="39" t="str">
        <f aca="false">IF($F647="","",ROW())</f>
        <v/>
      </c>
      <c r="B647" s="40" t="str">
        <f aca="false">IF($F647="",IF($D647="","","Falta a atividade"),IF($R647="Cancelada","Cancelada",IF($AB647=1,IF(N($Z647)&gt;0,"Concluída com atraso","Concluída"),IF($R647="Em programação","Em programação",IF($O647="",IF($M647="","Na carteira","Falta a semana"),IF($AC647=1,"VENCIDA",IF($O647&gt;Hoje!$L$1,"Programada",IF($P647&gt;Hoje!$L$1,"Em execução","Fecha hoje"))))))))</f>
        <v/>
      </c>
      <c r="C647" s="41"/>
      <c r="D647" s="42"/>
      <c r="E647" s="42"/>
      <c r="F647" s="42"/>
      <c r="G647" s="43"/>
      <c r="H647" s="43"/>
      <c r="I647" s="44"/>
      <c r="J647" s="44"/>
      <c r="K647" s="44"/>
      <c r="L647" s="45"/>
      <c r="M647" s="46"/>
      <c r="N647" s="45"/>
      <c r="O647" s="47" t="str">
        <f aca="false">IF(OR($L647="",$M647=""),"",(DATE(Semana!$J$3,1,4)-WEEKDAY(DATE(Semana!$J$3,1,4),3))+($L647-1)*7+MATCH($M647,Listas!$F$5:$F$11,0)-1)</f>
        <v/>
      </c>
      <c r="P647" s="47" t="str">
        <f aca="false">IF(OR($F647="",$O647=""),"",$O647+MAX(0,ROUNDUP($AK647*MAX(1,IF($N647="",1,$N647))/MAX(1,$AL647),0)-1))</f>
        <v/>
      </c>
      <c r="Q647" s="48"/>
      <c r="R647" s="43"/>
      <c r="S647" s="49"/>
      <c r="T647" s="42"/>
      <c r="U647" s="42"/>
      <c r="V647" s="39" t="str">
        <f aca="false">IF($F647="","",IF(ISNUMBER(SEARCH("(externo)",$I647&amp;$J647&amp;$K647)),"Terceirizada","Interna"))</f>
        <v/>
      </c>
      <c r="W647" s="47" t="str">
        <f aca="false">IF($O647="","",IF($S647="",$O647,(DATE(Semana!$J$3,1,4)-WEEKDAY(DATE(Semana!$J$3,1,4),3))+($S647-1)*7+IF($M647="",0,MATCH($M647,Listas!$F$5:$F$11,0)-1)))</f>
        <v/>
      </c>
      <c r="X647" s="39" t="str">
        <f aca="false">IF($F647="","",IF(OR($AT647="",$O647=""),0,IF($AT647&lt;=$O647,1,0)))</f>
        <v/>
      </c>
      <c r="Y647" s="39" t="str">
        <f aca="false">IF($F647="","",IF(OR($AT647="",$W647=""),0,IF($AT647&lt;=$W647,1,0)))</f>
        <v/>
      </c>
      <c r="Z647" s="39" t="str">
        <f aca="false">IF(OR($AT647="",$O647=""),"",MAX(0,$AT647-$O647))</f>
        <v/>
      </c>
      <c r="AA647" s="39" t="str">
        <f aca="false">IF($F647="","",IF(AND($S647&lt;&gt;"",$L647&lt;&gt;"",$S647&lt;&gt;$L647),1,0))</f>
        <v/>
      </c>
      <c r="AB647" s="39" t="str">
        <f aca="false">IF($F647="","",IF($R647="Cancelada",0,IF(OR($AT647&lt;&gt;"",$R647="Concluída"),1,0)))</f>
        <v/>
      </c>
      <c r="AC647" s="39" t="n">
        <f aca="false">IF($P647="",0,IF($P647&lt;Hoje!$L$1,1,IF(AND($P647=Hoje!$L$1,Hoje!$L$2&gt;Semana!$M$3),1,0)))</f>
        <v>0</v>
      </c>
      <c r="AD647" s="39" t="str">
        <f aca="false">IF($F647="","",IF(COUNTA($I647:$K647)=0,0,1/COUNTA($I647:$K647)))</f>
        <v/>
      </c>
      <c r="AE647" s="39" t="str">
        <f aca="false">IF($AH647=0,"",SUM($AH$4:$AH647))</f>
        <v/>
      </c>
      <c r="AF647" s="39" t="str">
        <f aca="false">IF($AI647=0,"",SUM($AI$4:$AI647))</f>
        <v/>
      </c>
      <c r="AG647" s="50" t="str">
        <f aca="false">IF($F647="","",$I647&amp;IF($J647="",""," · "&amp;$J647)&amp;IF($K647="",""," · "&amp;$K647))</f>
        <v/>
      </c>
      <c r="AH647" s="39" t="n">
        <f aca="false">IF(AND($F647&lt;&gt;"",$O647&lt;&gt;"",$O647&lt;=Hoje!$C$3,$P647&gt;=Hoje!$C$3,$R647&lt;&gt;"Cancelada"),1,0)</f>
        <v>0</v>
      </c>
      <c r="AI647" s="39" t="n">
        <f aca="false">IF(AND($F647&lt;&gt;"",$P647&lt;&gt;"",$P647&lt;Hoje!$C$3,$AB647=0,$R647&lt;&gt;"Cancelada"),1,0)</f>
        <v>0</v>
      </c>
      <c r="AJ647" s="50" t="str">
        <f aca="false">IF($F647="","",$D647&amp;"|"&amp;$E647&amp;"|"&amp;$L647)</f>
        <v/>
      </c>
      <c r="AK647" s="39" t="str">
        <f aca="false">IF($AJ647="","",COUNTIF($AJ$4:$AJ647,$AJ647))</f>
        <v/>
      </c>
      <c r="AL647" s="39" t="str">
        <f aca="false">IF($AJ647="","",COUNTIF($AJ$4:$AJ$1004,$AJ647))</f>
        <v/>
      </c>
      <c r="AM647" s="42"/>
      <c r="AN647" s="50" t="str">
        <f aca="false">IF($D647="","",IFERROR(T(VLOOKUP($D647,Listas!$B$5:$H$120,7,0)),""))</f>
        <v/>
      </c>
      <c r="AO647" s="50" t="str">
        <f aca="false">IF(OR($F647="",$L647&lt;&gt;"",$R647="Cancelada",$AT647&lt;&gt;""),"",$AN647&amp;"|"&amp;$D647&amp;"|"&amp;IF($C647="","zzz",$C647)&amp;"|"&amp;TEXT(647,"0000"))</f>
        <v/>
      </c>
      <c r="AP647" s="50" t="str">
        <f aca="false">IF($AO647="","",COUNTIF($AO$5:$AO$1004,"&lt;"&amp;$AO647)-(ROWS($AO$5:$AO$1004)-Hoje!$L$5)+1)</f>
        <v/>
      </c>
      <c r="AQ647" s="50" t="n">
        <f aca="false">IF(AND($F647&lt;&gt;"",$D647=Frota!$C$3),1,0)</f>
        <v>0</v>
      </c>
      <c r="AR647" s="50" t="str">
        <f aca="false">IF($AQ647=0,"",SUM($AQ$4:$AQ647))</f>
        <v/>
      </c>
      <c r="AS647" s="50" t="str">
        <f aca="false">IFERROR(INDEX(Hoje!$K$10:$K$29,MATCH(ROW(),Hoje!$J$10:$J$29,0)),"")</f>
        <v/>
      </c>
      <c r="AT647" s="50" t="str">
        <f aca="false">IF($Q647&lt;&gt;"",$Q647,$AS647)</f>
        <v/>
      </c>
    </row>
    <row r="648" customFormat="false" ht="16.5" hidden="false" customHeight="true" outlineLevel="0" collapsed="false">
      <c r="A648" s="39" t="str">
        <f aca="false">IF($F648="","",ROW())</f>
        <v/>
      </c>
      <c r="B648" s="40" t="str">
        <f aca="false">IF($F648="",IF($D648="","","Falta a atividade"),IF($R648="Cancelada","Cancelada",IF($AB648=1,IF(N($Z648)&gt;0,"Concluída com atraso","Concluída"),IF($R648="Em programação","Em programação",IF($O648="",IF($M648="","Na carteira","Falta a semana"),IF($AC648=1,"VENCIDA",IF($O648&gt;Hoje!$L$1,"Programada",IF($P648&gt;Hoje!$L$1,"Em execução","Fecha hoje"))))))))</f>
        <v/>
      </c>
      <c r="C648" s="41"/>
      <c r="D648" s="42"/>
      <c r="E648" s="42"/>
      <c r="F648" s="42"/>
      <c r="G648" s="43"/>
      <c r="H648" s="43"/>
      <c r="I648" s="44"/>
      <c r="J648" s="44"/>
      <c r="K648" s="44"/>
      <c r="L648" s="45"/>
      <c r="M648" s="46"/>
      <c r="N648" s="45"/>
      <c r="O648" s="47" t="str">
        <f aca="false">IF(OR($L648="",$M648=""),"",(DATE(Semana!$J$3,1,4)-WEEKDAY(DATE(Semana!$J$3,1,4),3))+($L648-1)*7+MATCH($M648,Listas!$F$5:$F$11,0)-1)</f>
        <v/>
      </c>
      <c r="P648" s="47" t="str">
        <f aca="false">IF(OR($F648="",$O648=""),"",$O648+MAX(0,ROUNDUP($AK648*MAX(1,IF($N648="",1,$N648))/MAX(1,$AL648),0)-1))</f>
        <v/>
      </c>
      <c r="Q648" s="48"/>
      <c r="R648" s="43"/>
      <c r="S648" s="49"/>
      <c r="T648" s="42"/>
      <c r="U648" s="42"/>
      <c r="V648" s="39" t="str">
        <f aca="false">IF($F648="","",IF(ISNUMBER(SEARCH("(externo)",$I648&amp;$J648&amp;$K648)),"Terceirizada","Interna"))</f>
        <v/>
      </c>
      <c r="W648" s="47" t="str">
        <f aca="false">IF($O648="","",IF($S648="",$O648,(DATE(Semana!$J$3,1,4)-WEEKDAY(DATE(Semana!$J$3,1,4),3))+($S648-1)*7+IF($M648="",0,MATCH($M648,Listas!$F$5:$F$11,0)-1)))</f>
        <v/>
      </c>
      <c r="X648" s="39" t="str">
        <f aca="false">IF($F648="","",IF(OR($AT648="",$O648=""),0,IF($AT648&lt;=$O648,1,0)))</f>
        <v/>
      </c>
      <c r="Y648" s="39" t="str">
        <f aca="false">IF($F648="","",IF(OR($AT648="",$W648=""),0,IF($AT648&lt;=$W648,1,0)))</f>
        <v/>
      </c>
      <c r="Z648" s="39" t="str">
        <f aca="false">IF(OR($AT648="",$O648=""),"",MAX(0,$AT648-$O648))</f>
        <v/>
      </c>
      <c r="AA648" s="39" t="str">
        <f aca="false">IF($F648="","",IF(AND($S648&lt;&gt;"",$L648&lt;&gt;"",$S648&lt;&gt;$L648),1,0))</f>
        <v/>
      </c>
      <c r="AB648" s="39" t="str">
        <f aca="false">IF($F648="","",IF($R648="Cancelada",0,IF(OR($AT648&lt;&gt;"",$R648="Concluída"),1,0)))</f>
        <v/>
      </c>
      <c r="AC648" s="39" t="n">
        <f aca="false">IF($P648="",0,IF($P648&lt;Hoje!$L$1,1,IF(AND($P648=Hoje!$L$1,Hoje!$L$2&gt;Semana!$M$3),1,0)))</f>
        <v>0</v>
      </c>
      <c r="AD648" s="39" t="str">
        <f aca="false">IF($F648="","",IF(COUNTA($I648:$K648)=0,0,1/COUNTA($I648:$K648)))</f>
        <v/>
      </c>
      <c r="AE648" s="39" t="str">
        <f aca="false">IF($AH648=0,"",SUM($AH$4:$AH648))</f>
        <v/>
      </c>
      <c r="AF648" s="39" t="str">
        <f aca="false">IF($AI648=0,"",SUM($AI$4:$AI648))</f>
        <v/>
      </c>
      <c r="AG648" s="50" t="str">
        <f aca="false">IF($F648="","",$I648&amp;IF($J648="",""," · "&amp;$J648)&amp;IF($K648="",""," · "&amp;$K648))</f>
        <v/>
      </c>
      <c r="AH648" s="39" t="n">
        <f aca="false">IF(AND($F648&lt;&gt;"",$O648&lt;&gt;"",$O648&lt;=Hoje!$C$3,$P648&gt;=Hoje!$C$3,$R648&lt;&gt;"Cancelada"),1,0)</f>
        <v>0</v>
      </c>
      <c r="AI648" s="39" t="n">
        <f aca="false">IF(AND($F648&lt;&gt;"",$P648&lt;&gt;"",$P648&lt;Hoje!$C$3,$AB648=0,$R648&lt;&gt;"Cancelada"),1,0)</f>
        <v>0</v>
      </c>
      <c r="AJ648" s="50" t="str">
        <f aca="false">IF($F648="","",$D648&amp;"|"&amp;$E648&amp;"|"&amp;$L648)</f>
        <v/>
      </c>
      <c r="AK648" s="39" t="str">
        <f aca="false">IF($AJ648="","",COUNTIF($AJ$4:$AJ648,$AJ648))</f>
        <v/>
      </c>
      <c r="AL648" s="39" t="str">
        <f aca="false">IF($AJ648="","",COUNTIF($AJ$4:$AJ$1004,$AJ648))</f>
        <v/>
      </c>
      <c r="AM648" s="42"/>
      <c r="AN648" s="50" t="str">
        <f aca="false">IF($D648="","",IFERROR(T(VLOOKUP($D648,Listas!$B$5:$H$120,7,0)),""))</f>
        <v/>
      </c>
      <c r="AO648" s="50" t="str">
        <f aca="false">IF(OR($F648="",$L648&lt;&gt;"",$R648="Cancelada",$AT648&lt;&gt;""),"",$AN648&amp;"|"&amp;$D648&amp;"|"&amp;IF($C648="","zzz",$C648)&amp;"|"&amp;TEXT(648,"0000"))</f>
        <v/>
      </c>
      <c r="AP648" s="50" t="str">
        <f aca="false">IF($AO648="","",COUNTIF($AO$5:$AO$1004,"&lt;"&amp;$AO648)-(ROWS($AO$5:$AO$1004)-Hoje!$L$5)+1)</f>
        <v/>
      </c>
      <c r="AQ648" s="50" t="n">
        <f aca="false">IF(AND($F648&lt;&gt;"",$D648=Frota!$C$3),1,0)</f>
        <v>0</v>
      </c>
      <c r="AR648" s="50" t="str">
        <f aca="false">IF($AQ648=0,"",SUM($AQ$4:$AQ648))</f>
        <v/>
      </c>
      <c r="AS648" s="50" t="str">
        <f aca="false">IFERROR(INDEX(Hoje!$K$10:$K$29,MATCH(ROW(),Hoje!$J$10:$J$29,0)),"")</f>
        <v/>
      </c>
      <c r="AT648" s="50" t="str">
        <f aca="false">IF($Q648&lt;&gt;"",$Q648,$AS648)</f>
        <v/>
      </c>
    </row>
    <row r="649" customFormat="false" ht="16.5" hidden="false" customHeight="true" outlineLevel="0" collapsed="false">
      <c r="A649" s="39" t="str">
        <f aca="false">IF($F649="","",ROW())</f>
        <v/>
      </c>
      <c r="B649" s="40" t="str">
        <f aca="false">IF($F649="",IF($D649="","","Falta a atividade"),IF($R649="Cancelada","Cancelada",IF($AB649=1,IF(N($Z649)&gt;0,"Concluída com atraso","Concluída"),IF($R649="Em programação","Em programação",IF($O649="",IF($M649="","Na carteira","Falta a semana"),IF($AC649=1,"VENCIDA",IF($O649&gt;Hoje!$L$1,"Programada",IF($P649&gt;Hoje!$L$1,"Em execução","Fecha hoje"))))))))</f>
        <v/>
      </c>
      <c r="C649" s="41"/>
      <c r="D649" s="42"/>
      <c r="E649" s="42"/>
      <c r="F649" s="42"/>
      <c r="G649" s="43"/>
      <c r="H649" s="43"/>
      <c r="I649" s="44"/>
      <c r="J649" s="44"/>
      <c r="K649" s="44"/>
      <c r="L649" s="45"/>
      <c r="M649" s="46"/>
      <c r="N649" s="45"/>
      <c r="O649" s="47" t="str">
        <f aca="false">IF(OR($L649="",$M649=""),"",(DATE(Semana!$J$3,1,4)-WEEKDAY(DATE(Semana!$J$3,1,4),3))+($L649-1)*7+MATCH($M649,Listas!$F$5:$F$11,0)-1)</f>
        <v/>
      </c>
      <c r="P649" s="47" t="str">
        <f aca="false">IF(OR($F649="",$O649=""),"",$O649+MAX(0,ROUNDUP($AK649*MAX(1,IF($N649="",1,$N649))/MAX(1,$AL649),0)-1))</f>
        <v/>
      </c>
      <c r="Q649" s="48"/>
      <c r="R649" s="43"/>
      <c r="S649" s="49"/>
      <c r="T649" s="42"/>
      <c r="U649" s="42"/>
      <c r="V649" s="39" t="str">
        <f aca="false">IF($F649="","",IF(ISNUMBER(SEARCH("(externo)",$I649&amp;$J649&amp;$K649)),"Terceirizada","Interna"))</f>
        <v/>
      </c>
      <c r="W649" s="47" t="str">
        <f aca="false">IF($O649="","",IF($S649="",$O649,(DATE(Semana!$J$3,1,4)-WEEKDAY(DATE(Semana!$J$3,1,4),3))+($S649-1)*7+IF($M649="",0,MATCH($M649,Listas!$F$5:$F$11,0)-1)))</f>
        <v/>
      </c>
      <c r="X649" s="39" t="str">
        <f aca="false">IF($F649="","",IF(OR($AT649="",$O649=""),0,IF($AT649&lt;=$O649,1,0)))</f>
        <v/>
      </c>
      <c r="Y649" s="39" t="str">
        <f aca="false">IF($F649="","",IF(OR($AT649="",$W649=""),0,IF($AT649&lt;=$W649,1,0)))</f>
        <v/>
      </c>
      <c r="Z649" s="39" t="str">
        <f aca="false">IF(OR($AT649="",$O649=""),"",MAX(0,$AT649-$O649))</f>
        <v/>
      </c>
      <c r="AA649" s="39" t="str">
        <f aca="false">IF($F649="","",IF(AND($S649&lt;&gt;"",$L649&lt;&gt;"",$S649&lt;&gt;$L649),1,0))</f>
        <v/>
      </c>
      <c r="AB649" s="39" t="str">
        <f aca="false">IF($F649="","",IF($R649="Cancelada",0,IF(OR($AT649&lt;&gt;"",$R649="Concluída"),1,0)))</f>
        <v/>
      </c>
      <c r="AC649" s="39" t="n">
        <f aca="false">IF($P649="",0,IF($P649&lt;Hoje!$L$1,1,IF(AND($P649=Hoje!$L$1,Hoje!$L$2&gt;Semana!$M$3),1,0)))</f>
        <v>0</v>
      </c>
      <c r="AD649" s="39" t="str">
        <f aca="false">IF($F649="","",IF(COUNTA($I649:$K649)=0,0,1/COUNTA($I649:$K649)))</f>
        <v/>
      </c>
      <c r="AE649" s="39" t="str">
        <f aca="false">IF($AH649=0,"",SUM($AH$4:$AH649))</f>
        <v/>
      </c>
      <c r="AF649" s="39" t="str">
        <f aca="false">IF($AI649=0,"",SUM($AI$4:$AI649))</f>
        <v/>
      </c>
      <c r="AG649" s="50" t="str">
        <f aca="false">IF($F649="","",$I649&amp;IF($J649="",""," · "&amp;$J649)&amp;IF($K649="",""," · "&amp;$K649))</f>
        <v/>
      </c>
      <c r="AH649" s="39" t="n">
        <f aca="false">IF(AND($F649&lt;&gt;"",$O649&lt;&gt;"",$O649&lt;=Hoje!$C$3,$P649&gt;=Hoje!$C$3,$R649&lt;&gt;"Cancelada"),1,0)</f>
        <v>0</v>
      </c>
      <c r="AI649" s="39" t="n">
        <f aca="false">IF(AND($F649&lt;&gt;"",$P649&lt;&gt;"",$P649&lt;Hoje!$C$3,$AB649=0,$R649&lt;&gt;"Cancelada"),1,0)</f>
        <v>0</v>
      </c>
      <c r="AJ649" s="50" t="str">
        <f aca="false">IF($F649="","",$D649&amp;"|"&amp;$E649&amp;"|"&amp;$L649)</f>
        <v/>
      </c>
      <c r="AK649" s="39" t="str">
        <f aca="false">IF($AJ649="","",COUNTIF($AJ$4:$AJ649,$AJ649))</f>
        <v/>
      </c>
      <c r="AL649" s="39" t="str">
        <f aca="false">IF($AJ649="","",COUNTIF($AJ$4:$AJ$1004,$AJ649))</f>
        <v/>
      </c>
      <c r="AM649" s="42"/>
      <c r="AN649" s="50" t="str">
        <f aca="false">IF($D649="","",IFERROR(T(VLOOKUP($D649,Listas!$B$5:$H$120,7,0)),""))</f>
        <v/>
      </c>
      <c r="AO649" s="50" t="str">
        <f aca="false">IF(OR($F649="",$L649&lt;&gt;"",$R649="Cancelada",$AT649&lt;&gt;""),"",$AN649&amp;"|"&amp;$D649&amp;"|"&amp;IF($C649="","zzz",$C649)&amp;"|"&amp;TEXT(649,"0000"))</f>
        <v/>
      </c>
      <c r="AP649" s="50" t="str">
        <f aca="false">IF($AO649="","",COUNTIF($AO$5:$AO$1004,"&lt;"&amp;$AO649)-(ROWS($AO$5:$AO$1004)-Hoje!$L$5)+1)</f>
        <v/>
      </c>
      <c r="AQ649" s="50" t="n">
        <f aca="false">IF(AND($F649&lt;&gt;"",$D649=Frota!$C$3),1,0)</f>
        <v>0</v>
      </c>
      <c r="AR649" s="50" t="str">
        <f aca="false">IF($AQ649=0,"",SUM($AQ$4:$AQ649))</f>
        <v/>
      </c>
      <c r="AS649" s="50" t="str">
        <f aca="false">IFERROR(INDEX(Hoje!$K$10:$K$29,MATCH(ROW(),Hoje!$J$10:$J$29,0)),"")</f>
        <v/>
      </c>
      <c r="AT649" s="50" t="str">
        <f aca="false">IF($Q649&lt;&gt;"",$Q649,$AS649)</f>
        <v/>
      </c>
    </row>
    <row r="650" customFormat="false" ht="16.5" hidden="false" customHeight="true" outlineLevel="0" collapsed="false">
      <c r="A650" s="39" t="str">
        <f aca="false">IF($F650="","",ROW())</f>
        <v/>
      </c>
      <c r="B650" s="40" t="str">
        <f aca="false">IF($F650="",IF($D650="","","Falta a atividade"),IF($R650="Cancelada","Cancelada",IF($AB650=1,IF(N($Z650)&gt;0,"Concluída com atraso","Concluída"),IF($R650="Em programação","Em programação",IF($O650="",IF($M650="","Na carteira","Falta a semana"),IF($AC650=1,"VENCIDA",IF($O650&gt;Hoje!$L$1,"Programada",IF($P650&gt;Hoje!$L$1,"Em execução","Fecha hoje"))))))))</f>
        <v/>
      </c>
      <c r="C650" s="41"/>
      <c r="D650" s="42"/>
      <c r="E650" s="42"/>
      <c r="F650" s="42"/>
      <c r="G650" s="43"/>
      <c r="H650" s="43"/>
      <c r="I650" s="44"/>
      <c r="J650" s="44"/>
      <c r="K650" s="44"/>
      <c r="L650" s="45"/>
      <c r="M650" s="46"/>
      <c r="N650" s="45"/>
      <c r="O650" s="47" t="str">
        <f aca="false">IF(OR($L650="",$M650=""),"",(DATE(Semana!$J$3,1,4)-WEEKDAY(DATE(Semana!$J$3,1,4),3))+($L650-1)*7+MATCH($M650,Listas!$F$5:$F$11,0)-1)</f>
        <v/>
      </c>
      <c r="P650" s="47" t="str">
        <f aca="false">IF(OR($F650="",$O650=""),"",$O650+MAX(0,ROUNDUP($AK650*MAX(1,IF($N650="",1,$N650))/MAX(1,$AL650),0)-1))</f>
        <v/>
      </c>
      <c r="Q650" s="48"/>
      <c r="R650" s="43"/>
      <c r="S650" s="49"/>
      <c r="T650" s="42"/>
      <c r="U650" s="42"/>
      <c r="V650" s="39" t="str">
        <f aca="false">IF($F650="","",IF(ISNUMBER(SEARCH("(externo)",$I650&amp;$J650&amp;$K650)),"Terceirizada","Interna"))</f>
        <v/>
      </c>
      <c r="W650" s="47" t="str">
        <f aca="false">IF($O650="","",IF($S650="",$O650,(DATE(Semana!$J$3,1,4)-WEEKDAY(DATE(Semana!$J$3,1,4),3))+($S650-1)*7+IF($M650="",0,MATCH($M650,Listas!$F$5:$F$11,0)-1)))</f>
        <v/>
      </c>
      <c r="X650" s="39" t="str">
        <f aca="false">IF($F650="","",IF(OR($AT650="",$O650=""),0,IF($AT650&lt;=$O650,1,0)))</f>
        <v/>
      </c>
      <c r="Y650" s="39" t="str">
        <f aca="false">IF($F650="","",IF(OR($AT650="",$W650=""),0,IF($AT650&lt;=$W650,1,0)))</f>
        <v/>
      </c>
      <c r="Z650" s="39" t="str">
        <f aca="false">IF(OR($AT650="",$O650=""),"",MAX(0,$AT650-$O650))</f>
        <v/>
      </c>
      <c r="AA650" s="39" t="str">
        <f aca="false">IF($F650="","",IF(AND($S650&lt;&gt;"",$L650&lt;&gt;"",$S650&lt;&gt;$L650),1,0))</f>
        <v/>
      </c>
      <c r="AB650" s="39" t="str">
        <f aca="false">IF($F650="","",IF($R650="Cancelada",0,IF(OR($AT650&lt;&gt;"",$R650="Concluída"),1,0)))</f>
        <v/>
      </c>
      <c r="AC650" s="39" t="n">
        <f aca="false">IF($P650="",0,IF($P650&lt;Hoje!$L$1,1,IF(AND($P650=Hoje!$L$1,Hoje!$L$2&gt;Semana!$M$3),1,0)))</f>
        <v>0</v>
      </c>
      <c r="AD650" s="39" t="str">
        <f aca="false">IF($F650="","",IF(COUNTA($I650:$K650)=0,0,1/COUNTA($I650:$K650)))</f>
        <v/>
      </c>
      <c r="AE650" s="39" t="str">
        <f aca="false">IF($AH650=0,"",SUM($AH$4:$AH650))</f>
        <v/>
      </c>
      <c r="AF650" s="39" t="str">
        <f aca="false">IF($AI650=0,"",SUM($AI$4:$AI650))</f>
        <v/>
      </c>
      <c r="AG650" s="50" t="str">
        <f aca="false">IF($F650="","",$I650&amp;IF($J650="",""," · "&amp;$J650)&amp;IF($K650="",""," · "&amp;$K650))</f>
        <v/>
      </c>
      <c r="AH650" s="39" t="n">
        <f aca="false">IF(AND($F650&lt;&gt;"",$O650&lt;&gt;"",$O650&lt;=Hoje!$C$3,$P650&gt;=Hoje!$C$3,$R650&lt;&gt;"Cancelada"),1,0)</f>
        <v>0</v>
      </c>
      <c r="AI650" s="39" t="n">
        <f aca="false">IF(AND($F650&lt;&gt;"",$P650&lt;&gt;"",$P650&lt;Hoje!$C$3,$AB650=0,$R650&lt;&gt;"Cancelada"),1,0)</f>
        <v>0</v>
      </c>
      <c r="AJ650" s="50" t="str">
        <f aca="false">IF($F650="","",$D650&amp;"|"&amp;$E650&amp;"|"&amp;$L650)</f>
        <v/>
      </c>
      <c r="AK650" s="39" t="str">
        <f aca="false">IF($AJ650="","",COUNTIF($AJ$4:$AJ650,$AJ650))</f>
        <v/>
      </c>
      <c r="AL650" s="39" t="str">
        <f aca="false">IF($AJ650="","",COUNTIF($AJ$4:$AJ$1004,$AJ650))</f>
        <v/>
      </c>
      <c r="AM650" s="42"/>
      <c r="AN650" s="50" t="str">
        <f aca="false">IF($D650="","",IFERROR(T(VLOOKUP($D650,Listas!$B$5:$H$120,7,0)),""))</f>
        <v/>
      </c>
      <c r="AO650" s="50" t="str">
        <f aca="false">IF(OR($F650="",$L650&lt;&gt;"",$R650="Cancelada",$AT650&lt;&gt;""),"",$AN650&amp;"|"&amp;$D650&amp;"|"&amp;IF($C650="","zzz",$C650)&amp;"|"&amp;TEXT(650,"0000"))</f>
        <v/>
      </c>
      <c r="AP650" s="50" t="str">
        <f aca="false">IF($AO650="","",COUNTIF($AO$5:$AO$1004,"&lt;"&amp;$AO650)-(ROWS($AO$5:$AO$1004)-Hoje!$L$5)+1)</f>
        <v/>
      </c>
      <c r="AQ650" s="50" t="n">
        <f aca="false">IF(AND($F650&lt;&gt;"",$D650=Frota!$C$3),1,0)</f>
        <v>0</v>
      </c>
      <c r="AR650" s="50" t="str">
        <f aca="false">IF($AQ650=0,"",SUM($AQ$4:$AQ650))</f>
        <v/>
      </c>
      <c r="AS650" s="50" t="str">
        <f aca="false">IFERROR(INDEX(Hoje!$K$10:$K$29,MATCH(ROW(),Hoje!$J$10:$J$29,0)),"")</f>
        <v/>
      </c>
      <c r="AT650" s="50" t="str">
        <f aca="false">IF($Q650&lt;&gt;"",$Q650,$AS650)</f>
        <v/>
      </c>
    </row>
    <row r="651" customFormat="false" ht="16.5" hidden="false" customHeight="true" outlineLevel="0" collapsed="false">
      <c r="A651" s="39" t="str">
        <f aca="false">IF($F651="","",ROW())</f>
        <v/>
      </c>
      <c r="B651" s="40" t="str">
        <f aca="false">IF($F651="",IF($D651="","","Falta a atividade"),IF($R651="Cancelada","Cancelada",IF($AB651=1,IF(N($Z651)&gt;0,"Concluída com atraso","Concluída"),IF($R651="Em programação","Em programação",IF($O651="",IF($M651="","Na carteira","Falta a semana"),IF($AC651=1,"VENCIDA",IF($O651&gt;Hoje!$L$1,"Programada",IF($P651&gt;Hoje!$L$1,"Em execução","Fecha hoje"))))))))</f>
        <v/>
      </c>
      <c r="C651" s="41"/>
      <c r="D651" s="42"/>
      <c r="E651" s="42"/>
      <c r="F651" s="42"/>
      <c r="G651" s="43"/>
      <c r="H651" s="43"/>
      <c r="I651" s="44"/>
      <c r="J651" s="44"/>
      <c r="K651" s="44"/>
      <c r="L651" s="45"/>
      <c r="M651" s="46"/>
      <c r="N651" s="45"/>
      <c r="O651" s="47" t="str">
        <f aca="false">IF(OR($L651="",$M651=""),"",(DATE(Semana!$J$3,1,4)-WEEKDAY(DATE(Semana!$J$3,1,4),3))+($L651-1)*7+MATCH($M651,Listas!$F$5:$F$11,0)-1)</f>
        <v/>
      </c>
      <c r="P651" s="47" t="str">
        <f aca="false">IF(OR($F651="",$O651=""),"",$O651+MAX(0,ROUNDUP($AK651*MAX(1,IF($N651="",1,$N651))/MAX(1,$AL651),0)-1))</f>
        <v/>
      </c>
      <c r="Q651" s="48"/>
      <c r="R651" s="43"/>
      <c r="S651" s="49"/>
      <c r="T651" s="42"/>
      <c r="U651" s="42"/>
      <c r="V651" s="39" t="str">
        <f aca="false">IF($F651="","",IF(ISNUMBER(SEARCH("(externo)",$I651&amp;$J651&amp;$K651)),"Terceirizada","Interna"))</f>
        <v/>
      </c>
      <c r="W651" s="47" t="str">
        <f aca="false">IF($O651="","",IF($S651="",$O651,(DATE(Semana!$J$3,1,4)-WEEKDAY(DATE(Semana!$J$3,1,4),3))+($S651-1)*7+IF($M651="",0,MATCH($M651,Listas!$F$5:$F$11,0)-1)))</f>
        <v/>
      </c>
      <c r="X651" s="39" t="str">
        <f aca="false">IF($F651="","",IF(OR($AT651="",$O651=""),0,IF($AT651&lt;=$O651,1,0)))</f>
        <v/>
      </c>
      <c r="Y651" s="39" t="str">
        <f aca="false">IF($F651="","",IF(OR($AT651="",$W651=""),0,IF($AT651&lt;=$W651,1,0)))</f>
        <v/>
      </c>
      <c r="Z651" s="39" t="str">
        <f aca="false">IF(OR($AT651="",$O651=""),"",MAX(0,$AT651-$O651))</f>
        <v/>
      </c>
      <c r="AA651" s="39" t="str">
        <f aca="false">IF($F651="","",IF(AND($S651&lt;&gt;"",$L651&lt;&gt;"",$S651&lt;&gt;$L651),1,0))</f>
        <v/>
      </c>
      <c r="AB651" s="39" t="str">
        <f aca="false">IF($F651="","",IF($R651="Cancelada",0,IF(OR($AT651&lt;&gt;"",$R651="Concluída"),1,0)))</f>
        <v/>
      </c>
      <c r="AC651" s="39" t="n">
        <f aca="false">IF($P651="",0,IF($P651&lt;Hoje!$L$1,1,IF(AND($P651=Hoje!$L$1,Hoje!$L$2&gt;Semana!$M$3),1,0)))</f>
        <v>0</v>
      </c>
      <c r="AD651" s="39" t="str">
        <f aca="false">IF($F651="","",IF(COUNTA($I651:$K651)=0,0,1/COUNTA($I651:$K651)))</f>
        <v/>
      </c>
      <c r="AE651" s="39" t="str">
        <f aca="false">IF($AH651=0,"",SUM($AH$4:$AH651))</f>
        <v/>
      </c>
      <c r="AF651" s="39" t="str">
        <f aca="false">IF($AI651=0,"",SUM($AI$4:$AI651))</f>
        <v/>
      </c>
      <c r="AG651" s="50" t="str">
        <f aca="false">IF($F651="","",$I651&amp;IF($J651="",""," · "&amp;$J651)&amp;IF($K651="",""," · "&amp;$K651))</f>
        <v/>
      </c>
      <c r="AH651" s="39" t="n">
        <f aca="false">IF(AND($F651&lt;&gt;"",$O651&lt;&gt;"",$O651&lt;=Hoje!$C$3,$P651&gt;=Hoje!$C$3,$R651&lt;&gt;"Cancelada"),1,0)</f>
        <v>0</v>
      </c>
      <c r="AI651" s="39" t="n">
        <f aca="false">IF(AND($F651&lt;&gt;"",$P651&lt;&gt;"",$P651&lt;Hoje!$C$3,$AB651=0,$R651&lt;&gt;"Cancelada"),1,0)</f>
        <v>0</v>
      </c>
      <c r="AJ651" s="50" t="str">
        <f aca="false">IF($F651="","",$D651&amp;"|"&amp;$E651&amp;"|"&amp;$L651)</f>
        <v/>
      </c>
      <c r="AK651" s="39" t="str">
        <f aca="false">IF($AJ651="","",COUNTIF($AJ$4:$AJ651,$AJ651))</f>
        <v/>
      </c>
      <c r="AL651" s="39" t="str">
        <f aca="false">IF($AJ651="","",COUNTIF($AJ$4:$AJ$1004,$AJ651))</f>
        <v/>
      </c>
      <c r="AM651" s="42"/>
      <c r="AN651" s="50" t="str">
        <f aca="false">IF($D651="","",IFERROR(T(VLOOKUP($D651,Listas!$B$5:$H$120,7,0)),""))</f>
        <v/>
      </c>
      <c r="AO651" s="50" t="str">
        <f aca="false">IF(OR($F651="",$L651&lt;&gt;"",$R651="Cancelada",$AT651&lt;&gt;""),"",$AN651&amp;"|"&amp;$D651&amp;"|"&amp;IF($C651="","zzz",$C651)&amp;"|"&amp;TEXT(651,"0000"))</f>
        <v/>
      </c>
      <c r="AP651" s="50" t="str">
        <f aca="false">IF($AO651="","",COUNTIF($AO$5:$AO$1004,"&lt;"&amp;$AO651)-(ROWS($AO$5:$AO$1004)-Hoje!$L$5)+1)</f>
        <v/>
      </c>
      <c r="AQ651" s="50" t="n">
        <f aca="false">IF(AND($F651&lt;&gt;"",$D651=Frota!$C$3),1,0)</f>
        <v>0</v>
      </c>
      <c r="AR651" s="50" t="str">
        <f aca="false">IF($AQ651=0,"",SUM($AQ$4:$AQ651))</f>
        <v/>
      </c>
      <c r="AS651" s="50" t="str">
        <f aca="false">IFERROR(INDEX(Hoje!$K$10:$K$29,MATCH(ROW(),Hoje!$J$10:$J$29,0)),"")</f>
        <v/>
      </c>
      <c r="AT651" s="50" t="str">
        <f aca="false">IF($Q651&lt;&gt;"",$Q651,$AS651)</f>
        <v/>
      </c>
    </row>
    <row r="652" customFormat="false" ht="16.5" hidden="false" customHeight="true" outlineLevel="0" collapsed="false">
      <c r="A652" s="39" t="str">
        <f aca="false">IF($F652="","",ROW())</f>
        <v/>
      </c>
      <c r="B652" s="40" t="str">
        <f aca="false">IF($F652="",IF($D652="","","Falta a atividade"),IF($R652="Cancelada","Cancelada",IF($AB652=1,IF(N($Z652)&gt;0,"Concluída com atraso","Concluída"),IF($R652="Em programação","Em programação",IF($O652="",IF($M652="","Na carteira","Falta a semana"),IF($AC652=1,"VENCIDA",IF($O652&gt;Hoje!$L$1,"Programada",IF($P652&gt;Hoje!$L$1,"Em execução","Fecha hoje"))))))))</f>
        <v/>
      </c>
      <c r="C652" s="41"/>
      <c r="D652" s="42"/>
      <c r="E652" s="42"/>
      <c r="F652" s="42"/>
      <c r="G652" s="43"/>
      <c r="H652" s="43"/>
      <c r="I652" s="44"/>
      <c r="J652" s="44"/>
      <c r="K652" s="44"/>
      <c r="L652" s="45"/>
      <c r="M652" s="46"/>
      <c r="N652" s="45"/>
      <c r="O652" s="47" t="str">
        <f aca="false">IF(OR($L652="",$M652=""),"",(DATE(Semana!$J$3,1,4)-WEEKDAY(DATE(Semana!$J$3,1,4),3))+($L652-1)*7+MATCH($M652,Listas!$F$5:$F$11,0)-1)</f>
        <v/>
      </c>
      <c r="P652" s="47" t="str">
        <f aca="false">IF(OR($F652="",$O652=""),"",$O652+MAX(0,ROUNDUP($AK652*MAX(1,IF($N652="",1,$N652))/MAX(1,$AL652),0)-1))</f>
        <v/>
      </c>
      <c r="Q652" s="48"/>
      <c r="R652" s="43"/>
      <c r="S652" s="49"/>
      <c r="T652" s="42"/>
      <c r="U652" s="42"/>
      <c r="V652" s="39" t="str">
        <f aca="false">IF($F652="","",IF(ISNUMBER(SEARCH("(externo)",$I652&amp;$J652&amp;$K652)),"Terceirizada","Interna"))</f>
        <v/>
      </c>
      <c r="W652" s="47" t="str">
        <f aca="false">IF($O652="","",IF($S652="",$O652,(DATE(Semana!$J$3,1,4)-WEEKDAY(DATE(Semana!$J$3,1,4),3))+($S652-1)*7+IF($M652="",0,MATCH($M652,Listas!$F$5:$F$11,0)-1)))</f>
        <v/>
      </c>
      <c r="X652" s="39" t="str">
        <f aca="false">IF($F652="","",IF(OR($AT652="",$O652=""),0,IF($AT652&lt;=$O652,1,0)))</f>
        <v/>
      </c>
      <c r="Y652" s="39" t="str">
        <f aca="false">IF($F652="","",IF(OR($AT652="",$W652=""),0,IF($AT652&lt;=$W652,1,0)))</f>
        <v/>
      </c>
      <c r="Z652" s="39" t="str">
        <f aca="false">IF(OR($AT652="",$O652=""),"",MAX(0,$AT652-$O652))</f>
        <v/>
      </c>
      <c r="AA652" s="39" t="str">
        <f aca="false">IF($F652="","",IF(AND($S652&lt;&gt;"",$L652&lt;&gt;"",$S652&lt;&gt;$L652),1,0))</f>
        <v/>
      </c>
      <c r="AB652" s="39" t="str">
        <f aca="false">IF($F652="","",IF($R652="Cancelada",0,IF(OR($AT652&lt;&gt;"",$R652="Concluída"),1,0)))</f>
        <v/>
      </c>
      <c r="AC652" s="39" t="n">
        <f aca="false">IF($P652="",0,IF($P652&lt;Hoje!$L$1,1,IF(AND($P652=Hoje!$L$1,Hoje!$L$2&gt;Semana!$M$3),1,0)))</f>
        <v>0</v>
      </c>
      <c r="AD652" s="39" t="str">
        <f aca="false">IF($F652="","",IF(COUNTA($I652:$K652)=0,0,1/COUNTA($I652:$K652)))</f>
        <v/>
      </c>
      <c r="AE652" s="39" t="str">
        <f aca="false">IF($AH652=0,"",SUM($AH$4:$AH652))</f>
        <v/>
      </c>
      <c r="AF652" s="39" t="str">
        <f aca="false">IF($AI652=0,"",SUM($AI$4:$AI652))</f>
        <v/>
      </c>
      <c r="AG652" s="50" t="str">
        <f aca="false">IF($F652="","",$I652&amp;IF($J652="",""," · "&amp;$J652)&amp;IF($K652="",""," · "&amp;$K652))</f>
        <v/>
      </c>
      <c r="AH652" s="39" t="n">
        <f aca="false">IF(AND($F652&lt;&gt;"",$O652&lt;&gt;"",$O652&lt;=Hoje!$C$3,$P652&gt;=Hoje!$C$3,$R652&lt;&gt;"Cancelada"),1,0)</f>
        <v>0</v>
      </c>
      <c r="AI652" s="39" t="n">
        <f aca="false">IF(AND($F652&lt;&gt;"",$P652&lt;&gt;"",$P652&lt;Hoje!$C$3,$AB652=0,$R652&lt;&gt;"Cancelada"),1,0)</f>
        <v>0</v>
      </c>
      <c r="AJ652" s="50" t="str">
        <f aca="false">IF($F652="","",$D652&amp;"|"&amp;$E652&amp;"|"&amp;$L652)</f>
        <v/>
      </c>
      <c r="AK652" s="39" t="str">
        <f aca="false">IF($AJ652="","",COUNTIF($AJ$4:$AJ652,$AJ652))</f>
        <v/>
      </c>
      <c r="AL652" s="39" t="str">
        <f aca="false">IF($AJ652="","",COUNTIF($AJ$4:$AJ$1004,$AJ652))</f>
        <v/>
      </c>
      <c r="AM652" s="42"/>
      <c r="AN652" s="50" t="str">
        <f aca="false">IF($D652="","",IFERROR(T(VLOOKUP($D652,Listas!$B$5:$H$120,7,0)),""))</f>
        <v/>
      </c>
      <c r="AO652" s="50" t="str">
        <f aca="false">IF(OR($F652="",$L652&lt;&gt;"",$R652="Cancelada",$AT652&lt;&gt;""),"",$AN652&amp;"|"&amp;$D652&amp;"|"&amp;IF($C652="","zzz",$C652)&amp;"|"&amp;TEXT(652,"0000"))</f>
        <v/>
      </c>
      <c r="AP652" s="50" t="str">
        <f aca="false">IF($AO652="","",COUNTIF($AO$5:$AO$1004,"&lt;"&amp;$AO652)-(ROWS($AO$5:$AO$1004)-Hoje!$L$5)+1)</f>
        <v/>
      </c>
      <c r="AQ652" s="50" t="n">
        <f aca="false">IF(AND($F652&lt;&gt;"",$D652=Frota!$C$3),1,0)</f>
        <v>0</v>
      </c>
      <c r="AR652" s="50" t="str">
        <f aca="false">IF($AQ652=0,"",SUM($AQ$4:$AQ652))</f>
        <v/>
      </c>
      <c r="AS652" s="50" t="str">
        <f aca="false">IFERROR(INDEX(Hoje!$K$10:$K$29,MATCH(ROW(),Hoje!$J$10:$J$29,0)),"")</f>
        <v/>
      </c>
      <c r="AT652" s="50" t="str">
        <f aca="false">IF($Q652&lt;&gt;"",$Q652,$AS652)</f>
        <v/>
      </c>
    </row>
    <row r="653" customFormat="false" ht="16.5" hidden="false" customHeight="true" outlineLevel="0" collapsed="false">
      <c r="A653" s="39" t="str">
        <f aca="false">IF($F653="","",ROW())</f>
        <v/>
      </c>
      <c r="B653" s="40" t="str">
        <f aca="false">IF($F653="",IF($D653="","","Falta a atividade"),IF($R653="Cancelada","Cancelada",IF($AB653=1,IF(N($Z653)&gt;0,"Concluída com atraso","Concluída"),IF($R653="Em programação","Em programação",IF($O653="",IF($M653="","Na carteira","Falta a semana"),IF($AC653=1,"VENCIDA",IF($O653&gt;Hoje!$L$1,"Programada",IF($P653&gt;Hoje!$L$1,"Em execução","Fecha hoje"))))))))</f>
        <v/>
      </c>
      <c r="C653" s="41"/>
      <c r="D653" s="42"/>
      <c r="E653" s="42"/>
      <c r="F653" s="42"/>
      <c r="G653" s="43"/>
      <c r="H653" s="43"/>
      <c r="I653" s="44"/>
      <c r="J653" s="44"/>
      <c r="K653" s="44"/>
      <c r="L653" s="45"/>
      <c r="M653" s="46"/>
      <c r="N653" s="45"/>
      <c r="O653" s="47" t="str">
        <f aca="false">IF(OR($L653="",$M653=""),"",(DATE(Semana!$J$3,1,4)-WEEKDAY(DATE(Semana!$J$3,1,4),3))+($L653-1)*7+MATCH($M653,Listas!$F$5:$F$11,0)-1)</f>
        <v/>
      </c>
      <c r="P653" s="47" t="str">
        <f aca="false">IF(OR($F653="",$O653=""),"",$O653+MAX(0,ROUNDUP($AK653*MAX(1,IF($N653="",1,$N653))/MAX(1,$AL653),0)-1))</f>
        <v/>
      </c>
      <c r="Q653" s="48"/>
      <c r="R653" s="43"/>
      <c r="S653" s="49"/>
      <c r="T653" s="42"/>
      <c r="U653" s="42"/>
      <c r="V653" s="39" t="str">
        <f aca="false">IF($F653="","",IF(ISNUMBER(SEARCH("(externo)",$I653&amp;$J653&amp;$K653)),"Terceirizada","Interna"))</f>
        <v/>
      </c>
      <c r="W653" s="47" t="str">
        <f aca="false">IF($O653="","",IF($S653="",$O653,(DATE(Semana!$J$3,1,4)-WEEKDAY(DATE(Semana!$J$3,1,4),3))+($S653-1)*7+IF($M653="",0,MATCH($M653,Listas!$F$5:$F$11,0)-1)))</f>
        <v/>
      </c>
      <c r="X653" s="39" t="str">
        <f aca="false">IF($F653="","",IF(OR($AT653="",$O653=""),0,IF($AT653&lt;=$O653,1,0)))</f>
        <v/>
      </c>
      <c r="Y653" s="39" t="str">
        <f aca="false">IF($F653="","",IF(OR($AT653="",$W653=""),0,IF($AT653&lt;=$W653,1,0)))</f>
        <v/>
      </c>
      <c r="Z653" s="39" t="str">
        <f aca="false">IF(OR($AT653="",$O653=""),"",MAX(0,$AT653-$O653))</f>
        <v/>
      </c>
      <c r="AA653" s="39" t="str">
        <f aca="false">IF($F653="","",IF(AND($S653&lt;&gt;"",$L653&lt;&gt;"",$S653&lt;&gt;$L653),1,0))</f>
        <v/>
      </c>
      <c r="AB653" s="39" t="str">
        <f aca="false">IF($F653="","",IF($R653="Cancelada",0,IF(OR($AT653&lt;&gt;"",$R653="Concluída"),1,0)))</f>
        <v/>
      </c>
      <c r="AC653" s="39" t="n">
        <f aca="false">IF($P653="",0,IF($P653&lt;Hoje!$L$1,1,IF(AND($P653=Hoje!$L$1,Hoje!$L$2&gt;Semana!$M$3),1,0)))</f>
        <v>0</v>
      </c>
      <c r="AD653" s="39" t="str">
        <f aca="false">IF($F653="","",IF(COUNTA($I653:$K653)=0,0,1/COUNTA($I653:$K653)))</f>
        <v/>
      </c>
      <c r="AE653" s="39" t="str">
        <f aca="false">IF($AH653=0,"",SUM($AH$4:$AH653))</f>
        <v/>
      </c>
      <c r="AF653" s="39" t="str">
        <f aca="false">IF($AI653=0,"",SUM($AI$4:$AI653))</f>
        <v/>
      </c>
      <c r="AG653" s="50" t="str">
        <f aca="false">IF($F653="","",$I653&amp;IF($J653="",""," · "&amp;$J653)&amp;IF($K653="",""," · "&amp;$K653))</f>
        <v/>
      </c>
      <c r="AH653" s="39" t="n">
        <f aca="false">IF(AND($F653&lt;&gt;"",$O653&lt;&gt;"",$O653&lt;=Hoje!$C$3,$P653&gt;=Hoje!$C$3,$R653&lt;&gt;"Cancelada"),1,0)</f>
        <v>0</v>
      </c>
      <c r="AI653" s="39" t="n">
        <f aca="false">IF(AND($F653&lt;&gt;"",$P653&lt;&gt;"",$P653&lt;Hoje!$C$3,$AB653=0,$R653&lt;&gt;"Cancelada"),1,0)</f>
        <v>0</v>
      </c>
      <c r="AJ653" s="50" t="str">
        <f aca="false">IF($F653="","",$D653&amp;"|"&amp;$E653&amp;"|"&amp;$L653)</f>
        <v/>
      </c>
      <c r="AK653" s="39" t="str">
        <f aca="false">IF($AJ653="","",COUNTIF($AJ$4:$AJ653,$AJ653))</f>
        <v/>
      </c>
      <c r="AL653" s="39" t="str">
        <f aca="false">IF($AJ653="","",COUNTIF($AJ$4:$AJ$1004,$AJ653))</f>
        <v/>
      </c>
      <c r="AM653" s="42"/>
      <c r="AN653" s="50" t="str">
        <f aca="false">IF($D653="","",IFERROR(T(VLOOKUP($D653,Listas!$B$5:$H$120,7,0)),""))</f>
        <v/>
      </c>
      <c r="AO653" s="50" t="str">
        <f aca="false">IF(OR($F653="",$L653&lt;&gt;"",$R653="Cancelada",$AT653&lt;&gt;""),"",$AN653&amp;"|"&amp;$D653&amp;"|"&amp;IF($C653="","zzz",$C653)&amp;"|"&amp;TEXT(653,"0000"))</f>
        <v/>
      </c>
      <c r="AP653" s="50" t="str">
        <f aca="false">IF($AO653="","",COUNTIF($AO$5:$AO$1004,"&lt;"&amp;$AO653)-(ROWS($AO$5:$AO$1004)-Hoje!$L$5)+1)</f>
        <v/>
      </c>
      <c r="AQ653" s="50" t="n">
        <f aca="false">IF(AND($F653&lt;&gt;"",$D653=Frota!$C$3),1,0)</f>
        <v>0</v>
      </c>
      <c r="AR653" s="50" t="str">
        <f aca="false">IF($AQ653=0,"",SUM($AQ$4:$AQ653))</f>
        <v/>
      </c>
      <c r="AS653" s="50" t="str">
        <f aca="false">IFERROR(INDEX(Hoje!$K$10:$K$29,MATCH(ROW(),Hoje!$J$10:$J$29,0)),"")</f>
        <v/>
      </c>
      <c r="AT653" s="50" t="str">
        <f aca="false">IF($Q653&lt;&gt;"",$Q653,$AS653)</f>
        <v/>
      </c>
    </row>
    <row r="654" customFormat="false" ht="16.5" hidden="false" customHeight="true" outlineLevel="0" collapsed="false">
      <c r="A654" s="39" t="str">
        <f aca="false">IF($F654="","",ROW())</f>
        <v/>
      </c>
      <c r="B654" s="40" t="str">
        <f aca="false">IF($F654="",IF($D654="","","Falta a atividade"),IF($R654="Cancelada","Cancelada",IF($AB654=1,IF(N($Z654)&gt;0,"Concluída com atraso","Concluída"),IF($R654="Em programação","Em programação",IF($O654="",IF($M654="","Na carteira","Falta a semana"),IF($AC654=1,"VENCIDA",IF($O654&gt;Hoje!$L$1,"Programada",IF($P654&gt;Hoje!$L$1,"Em execução","Fecha hoje"))))))))</f>
        <v/>
      </c>
      <c r="C654" s="41"/>
      <c r="D654" s="42"/>
      <c r="E654" s="42"/>
      <c r="F654" s="42"/>
      <c r="G654" s="43"/>
      <c r="H654" s="43"/>
      <c r="I654" s="44"/>
      <c r="J654" s="44"/>
      <c r="K654" s="44"/>
      <c r="L654" s="45"/>
      <c r="M654" s="46"/>
      <c r="N654" s="45"/>
      <c r="O654" s="47" t="str">
        <f aca="false">IF(OR($L654="",$M654=""),"",(DATE(Semana!$J$3,1,4)-WEEKDAY(DATE(Semana!$J$3,1,4),3))+($L654-1)*7+MATCH($M654,Listas!$F$5:$F$11,0)-1)</f>
        <v/>
      </c>
      <c r="P654" s="47" t="str">
        <f aca="false">IF(OR($F654="",$O654=""),"",$O654+MAX(0,ROUNDUP($AK654*MAX(1,IF($N654="",1,$N654))/MAX(1,$AL654),0)-1))</f>
        <v/>
      </c>
      <c r="Q654" s="48"/>
      <c r="R654" s="43"/>
      <c r="S654" s="49"/>
      <c r="T654" s="42"/>
      <c r="U654" s="42"/>
      <c r="V654" s="39" t="str">
        <f aca="false">IF($F654="","",IF(ISNUMBER(SEARCH("(externo)",$I654&amp;$J654&amp;$K654)),"Terceirizada","Interna"))</f>
        <v/>
      </c>
      <c r="W654" s="47" t="str">
        <f aca="false">IF($O654="","",IF($S654="",$O654,(DATE(Semana!$J$3,1,4)-WEEKDAY(DATE(Semana!$J$3,1,4),3))+($S654-1)*7+IF($M654="",0,MATCH($M654,Listas!$F$5:$F$11,0)-1)))</f>
        <v/>
      </c>
      <c r="X654" s="39" t="str">
        <f aca="false">IF($F654="","",IF(OR($AT654="",$O654=""),0,IF($AT654&lt;=$O654,1,0)))</f>
        <v/>
      </c>
      <c r="Y654" s="39" t="str">
        <f aca="false">IF($F654="","",IF(OR($AT654="",$W654=""),0,IF($AT654&lt;=$W654,1,0)))</f>
        <v/>
      </c>
      <c r="Z654" s="39" t="str">
        <f aca="false">IF(OR($AT654="",$O654=""),"",MAX(0,$AT654-$O654))</f>
        <v/>
      </c>
      <c r="AA654" s="39" t="str">
        <f aca="false">IF($F654="","",IF(AND($S654&lt;&gt;"",$L654&lt;&gt;"",$S654&lt;&gt;$L654),1,0))</f>
        <v/>
      </c>
      <c r="AB654" s="39" t="str">
        <f aca="false">IF($F654="","",IF($R654="Cancelada",0,IF(OR($AT654&lt;&gt;"",$R654="Concluída"),1,0)))</f>
        <v/>
      </c>
      <c r="AC654" s="39" t="n">
        <f aca="false">IF($P654="",0,IF($P654&lt;Hoje!$L$1,1,IF(AND($P654=Hoje!$L$1,Hoje!$L$2&gt;Semana!$M$3),1,0)))</f>
        <v>0</v>
      </c>
      <c r="AD654" s="39" t="str">
        <f aca="false">IF($F654="","",IF(COUNTA($I654:$K654)=0,0,1/COUNTA($I654:$K654)))</f>
        <v/>
      </c>
      <c r="AE654" s="39" t="str">
        <f aca="false">IF($AH654=0,"",SUM($AH$4:$AH654))</f>
        <v/>
      </c>
      <c r="AF654" s="39" t="str">
        <f aca="false">IF($AI654=0,"",SUM($AI$4:$AI654))</f>
        <v/>
      </c>
      <c r="AG654" s="50" t="str">
        <f aca="false">IF($F654="","",$I654&amp;IF($J654="",""," · "&amp;$J654)&amp;IF($K654="",""," · "&amp;$K654))</f>
        <v/>
      </c>
      <c r="AH654" s="39" t="n">
        <f aca="false">IF(AND($F654&lt;&gt;"",$O654&lt;&gt;"",$O654&lt;=Hoje!$C$3,$P654&gt;=Hoje!$C$3,$R654&lt;&gt;"Cancelada"),1,0)</f>
        <v>0</v>
      </c>
      <c r="AI654" s="39" t="n">
        <f aca="false">IF(AND($F654&lt;&gt;"",$P654&lt;&gt;"",$P654&lt;Hoje!$C$3,$AB654=0,$R654&lt;&gt;"Cancelada"),1,0)</f>
        <v>0</v>
      </c>
      <c r="AJ654" s="50" t="str">
        <f aca="false">IF($F654="","",$D654&amp;"|"&amp;$E654&amp;"|"&amp;$L654)</f>
        <v/>
      </c>
      <c r="AK654" s="39" t="str">
        <f aca="false">IF($AJ654="","",COUNTIF($AJ$4:$AJ654,$AJ654))</f>
        <v/>
      </c>
      <c r="AL654" s="39" t="str">
        <f aca="false">IF($AJ654="","",COUNTIF($AJ$4:$AJ$1004,$AJ654))</f>
        <v/>
      </c>
      <c r="AM654" s="42"/>
      <c r="AN654" s="50" t="str">
        <f aca="false">IF($D654="","",IFERROR(T(VLOOKUP($D654,Listas!$B$5:$H$120,7,0)),""))</f>
        <v/>
      </c>
      <c r="AO654" s="50" t="str">
        <f aca="false">IF(OR($F654="",$L654&lt;&gt;"",$R654="Cancelada",$AT654&lt;&gt;""),"",$AN654&amp;"|"&amp;$D654&amp;"|"&amp;IF($C654="","zzz",$C654)&amp;"|"&amp;TEXT(654,"0000"))</f>
        <v/>
      </c>
      <c r="AP654" s="50" t="str">
        <f aca="false">IF($AO654="","",COUNTIF($AO$5:$AO$1004,"&lt;"&amp;$AO654)-(ROWS($AO$5:$AO$1004)-Hoje!$L$5)+1)</f>
        <v/>
      </c>
      <c r="AQ654" s="50" t="n">
        <f aca="false">IF(AND($F654&lt;&gt;"",$D654=Frota!$C$3),1,0)</f>
        <v>0</v>
      </c>
      <c r="AR654" s="50" t="str">
        <f aca="false">IF($AQ654=0,"",SUM($AQ$4:$AQ654))</f>
        <v/>
      </c>
      <c r="AS654" s="50" t="str">
        <f aca="false">IFERROR(INDEX(Hoje!$K$10:$K$29,MATCH(ROW(),Hoje!$J$10:$J$29,0)),"")</f>
        <v/>
      </c>
      <c r="AT654" s="50" t="str">
        <f aca="false">IF($Q654&lt;&gt;"",$Q654,$AS654)</f>
        <v/>
      </c>
    </row>
    <row r="655" customFormat="false" ht="16.5" hidden="false" customHeight="true" outlineLevel="0" collapsed="false">
      <c r="A655" s="39" t="str">
        <f aca="false">IF($F655="","",ROW())</f>
        <v/>
      </c>
      <c r="B655" s="40" t="str">
        <f aca="false">IF($F655="",IF($D655="","","Falta a atividade"),IF($R655="Cancelada","Cancelada",IF($AB655=1,IF(N($Z655)&gt;0,"Concluída com atraso","Concluída"),IF($R655="Em programação","Em programação",IF($O655="",IF($M655="","Na carteira","Falta a semana"),IF($AC655=1,"VENCIDA",IF($O655&gt;Hoje!$L$1,"Programada",IF($P655&gt;Hoje!$L$1,"Em execução","Fecha hoje"))))))))</f>
        <v/>
      </c>
      <c r="C655" s="41"/>
      <c r="D655" s="42"/>
      <c r="E655" s="42"/>
      <c r="F655" s="42"/>
      <c r="G655" s="43"/>
      <c r="H655" s="43"/>
      <c r="I655" s="44"/>
      <c r="J655" s="44"/>
      <c r="K655" s="44"/>
      <c r="L655" s="45"/>
      <c r="M655" s="46"/>
      <c r="N655" s="45"/>
      <c r="O655" s="47" t="str">
        <f aca="false">IF(OR($L655="",$M655=""),"",(DATE(Semana!$J$3,1,4)-WEEKDAY(DATE(Semana!$J$3,1,4),3))+($L655-1)*7+MATCH($M655,Listas!$F$5:$F$11,0)-1)</f>
        <v/>
      </c>
      <c r="P655" s="47" t="str">
        <f aca="false">IF(OR($F655="",$O655=""),"",$O655+MAX(0,ROUNDUP($AK655*MAX(1,IF($N655="",1,$N655))/MAX(1,$AL655),0)-1))</f>
        <v/>
      </c>
      <c r="Q655" s="48"/>
      <c r="R655" s="43"/>
      <c r="S655" s="49"/>
      <c r="T655" s="42"/>
      <c r="U655" s="42"/>
      <c r="V655" s="39" t="str">
        <f aca="false">IF($F655="","",IF(ISNUMBER(SEARCH("(externo)",$I655&amp;$J655&amp;$K655)),"Terceirizada","Interna"))</f>
        <v/>
      </c>
      <c r="W655" s="47" t="str">
        <f aca="false">IF($O655="","",IF($S655="",$O655,(DATE(Semana!$J$3,1,4)-WEEKDAY(DATE(Semana!$J$3,1,4),3))+($S655-1)*7+IF($M655="",0,MATCH($M655,Listas!$F$5:$F$11,0)-1)))</f>
        <v/>
      </c>
      <c r="X655" s="39" t="str">
        <f aca="false">IF($F655="","",IF(OR($AT655="",$O655=""),0,IF($AT655&lt;=$O655,1,0)))</f>
        <v/>
      </c>
      <c r="Y655" s="39" t="str">
        <f aca="false">IF($F655="","",IF(OR($AT655="",$W655=""),0,IF($AT655&lt;=$W655,1,0)))</f>
        <v/>
      </c>
      <c r="Z655" s="39" t="str">
        <f aca="false">IF(OR($AT655="",$O655=""),"",MAX(0,$AT655-$O655))</f>
        <v/>
      </c>
      <c r="AA655" s="39" t="str">
        <f aca="false">IF($F655="","",IF(AND($S655&lt;&gt;"",$L655&lt;&gt;"",$S655&lt;&gt;$L655),1,0))</f>
        <v/>
      </c>
      <c r="AB655" s="39" t="str">
        <f aca="false">IF($F655="","",IF($R655="Cancelada",0,IF(OR($AT655&lt;&gt;"",$R655="Concluída"),1,0)))</f>
        <v/>
      </c>
      <c r="AC655" s="39" t="n">
        <f aca="false">IF($P655="",0,IF($P655&lt;Hoje!$L$1,1,IF(AND($P655=Hoje!$L$1,Hoje!$L$2&gt;Semana!$M$3),1,0)))</f>
        <v>0</v>
      </c>
      <c r="AD655" s="39" t="str">
        <f aca="false">IF($F655="","",IF(COUNTA($I655:$K655)=0,0,1/COUNTA($I655:$K655)))</f>
        <v/>
      </c>
      <c r="AE655" s="39" t="str">
        <f aca="false">IF($AH655=0,"",SUM($AH$4:$AH655))</f>
        <v/>
      </c>
      <c r="AF655" s="39" t="str">
        <f aca="false">IF($AI655=0,"",SUM($AI$4:$AI655))</f>
        <v/>
      </c>
      <c r="AG655" s="50" t="str">
        <f aca="false">IF($F655="","",$I655&amp;IF($J655="",""," · "&amp;$J655)&amp;IF($K655="",""," · "&amp;$K655))</f>
        <v/>
      </c>
      <c r="AH655" s="39" t="n">
        <f aca="false">IF(AND($F655&lt;&gt;"",$O655&lt;&gt;"",$O655&lt;=Hoje!$C$3,$P655&gt;=Hoje!$C$3,$R655&lt;&gt;"Cancelada"),1,0)</f>
        <v>0</v>
      </c>
      <c r="AI655" s="39" t="n">
        <f aca="false">IF(AND($F655&lt;&gt;"",$P655&lt;&gt;"",$P655&lt;Hoje!$C$3,$AB655=0,$R655&lt;&gt;"Cancelada"),1,0)</f>
        <v>0</v>
      </c>
      <c r="AJ655" s="50" t="str">
        <f aca="false">IF($F655="","",$D655&amp;"|"&amp;$E655&amp;"|"&amp;$L655)</f>
        <v/>
      </c>
      <c r="AK655" s="39" t="str">
        <f aca="false">IF($AJ655="","",COUNTIF($AJ$4:$AJ655,$AJ655))</f>
        <v/>
      </c>
      <c r="AL655" s="39" t="str">
        <f aca="false">IF($AJ655="","",COUNTIF($AJ$4:$AJ$1004,$AJ655))</f>
        <v/>
      </c>
      <c r="AM655" s="42"/>
      <c r="AN655" s="50" t="str">
        <f aca="false">IF($D655="","",IFERROR(T(VLOOKUP($D655,Listas!$B$5:$H$120,7,0)),""))</f>
        <v/>
      </c>
      <c r="AO655" s="50" t="str">
        <f aca="false">IF(OR($F655="",$L655&lt;&gt;"",$R655="Cancelada",$AT655&lt;&gt;""),"",$AN655&amp;"|"&amp;$D655&amp;"|"&amp;IF($C655="","zzz",$C655)&amp;"|"&amp;TEXT(655,"0000"))</f>
        <v/>
      </c>
      <c r="AP655" s="50" t="str">
        <f aca="false">IF($AO655="","",COUNTIF($AO$5:$AO$1004,"&lt;"&amp;$AO655)-(ROWS($AO$5:$AO$1004)-Hoje!$L$5)+1)</f>
        <v/>
      </c>
      <c r="AQ655" s="50" t="n">
        <f aca="false">IF(AND($F655&lt;&gt;"",$D655=Frota!$C$3),1,0)</f>
        <v>0</v>
      </c>
      <c r="AR655" s="50" t="str">
        <f aca="false">IF($AQ655=0,"",SUM($AQ$4:$AQ655))</f>
        <v/>
      </c>
      <c r="AS655" s="50" t="str">
        <f aca="false">IFERROR(INDEX(Hoje!$K$10:$K$29,MATCH(ROW(),Hoje!$J$10:$J$29,0)),"")</f>
        <v/>
      </c>
      <c r="AT655" s="50" t="str">
        <f aca="false">IF($Q655&lt;&gt;"",$Q655,$AS655)</f>
        <v/>
      </c>
    </row>
    <row r="656" customFormat="false" ht="16.5" hidden="false" customHeight="true" outlineLevel="0" collapsed="false">
      <c r="A656" s="39" t="str">
        <f aca="false">IF($F656="","",ROW())</f>
        <v/>
      </c>
      <c r="B656" s="40" t="str">
        <f aca="false">IF($F656="",IF($D656="","","Falta a atividade"),IF($R656="Cancelada","Cancelada",IF($AB656=1,IF(N($Z656)&gt;0,"Concluída com atraso","Concluída"),IF($R656="Em programação","Em programação",IF($O656="",IF($M656="","Na carteira","Falta a semana"),IF($AC656=1,"VENCIDA",IF($O656&gt;Hoje!$L$1,"Programada",IF($P656&gt;Hoje!$L$1,"Em execução","Fecha hoje"))))))))</f>
        <v/>
      </c>
      <c r="C656" s="41"/>
      <c r="D656" s="42"/>
      <c r="E656" s="42"/>
      <c r="F656" s="42"/>
      <c r="G656" s="43"/>
      <c r="H656" s="43"/>
      <c r="I656" s="44"/>
      <c r="J656" s="44"/>
      <c r="K656" s="44"/>
      <c r="L656" s="45"/>
      <c r="M656" s="46"/>
      <c r="N656" s="45"/>
      <c r="O656" s="47" t="str">
        <f aca="false">IF(OR($L656="",$M656=""),"",(DATE(Semana!$J$3,1,4)-WEEKDAY(DATE(Semana!$J$3,1,4),3))+($L656-1)*7+MATCH($M656,Listas!$F$5:$F$11,0)-1)</f>
        <v/>
      </c>
      <c r="P656" s="47" t="str">
        <f aca="false">IF(OR($F656="",$O656=""),"",$O656+MAX(0,ROUNDUP($AK656*MAX(1,IF($N656="",1,$N656))/MAX(1,$AL656),0)-1))</f>
        <v/>
      </c>
      <c r="Q656" s="48"/>
      <c r="R656" s="43"/>
      <c r="S656" s="49"/>
      <c r="T656" s="42"/>
      <c r="U656" s="42"/>
      <c r="V656" s="39" t="str">
        <f aca="false">IF($F656="","",IF(ISNUMBER(SEARCH("(externo)",$I656&amp;$J656&amp;$K656)),"Terceirizada","Interna"))</f>
        <v/>
      </c>
      <c r="W656" s="47" t="str">
        <f aca="false">IF($O656="","",IF($S656="",$O656,(DATE(Semana!$J$3,1,4)-WEEKDAY(DATE(Semana!$J$3,1,4),3))+($S656-1)*7+IF($M656="",0,MATCH($M656,Listas!$F$5:$F$11,0)-1)))</f>
        <v/>
      </c>
      <c r="X656" s="39" t="str">
        <f aca="false">IF($F656="","",IF(OR($AT656="",$O656=""),0,IF($AT656&lt;=$O656,1,0)))</f>
        <v/>
      </c>
      <c r="Y656" s="39" t="str">
        <f aca="false">IF($F656="","",IF(OR($AT656="",$W656=""),0,IF($AT656&lt;=$W656,1,0)))</f>
        <v/>
      </c>
      <c r="Z656" s="39" t="str">
        <f aca="false">IF(OR($AT656="",$O656=""),"",MAX(0,$AT656-$O656))</f>
        <v/>
      </c>
      <c r="AA656" s="39" t="str">
        <f aca="false">IF($F656="","",IF(AND($S656&lt;&gt;"",$L656&lt;&gt;"",$S656&lt;&gt;$L656),1,0))</f>
        <v/>
      </c>
      <c r="AB656" s="39" t="str">
        <f aca="false">IF($F656="","",IF($R656="Cancelada",0,IF(OR($AT656&lt;&gt;"",$R656="Concluída"),1,0)))</f>
        <v/>
      </c>
      <c r="AC656" s="39" t="n">
        <f aca="false">IF($P656="",0,IF($P656&lt;Hoje!$L$1,1,IF(AND($P656=Hoje!$L$1,Hoje!$L$2&gt;Semana!$M$3),1,0)))</f>
        <v>0</v>
      </c>
      <c r="AD656" s="39" t="str">
        <f aca="false">IF($F656="","",IF(COUNTA($I656:$K656)=0,0,1/COUNTA($I656:$K656)))</f>
        <v/>
      </c>
      <c r="AE656" s="39" t="str">
        <f aca="false">IF($AH656=0,"",SUM($AH$4:$AH656))</f>
        <v/>
      </c>
      <c r="AF656" s="39" t="str">
        <f aca="false">IF($AI656=0,"",SUM($AI$4:$AI656))</f>
        <v/>
      </c>
      <c r="AG656" s="50" t="str">
        <f aca="false">IF($F656="","",$I656&amp;IF($J656="",""," · "&amp;$J656)&amp;IF($K656="",""," · "&amp;$K656))</f>
        <v/>
      </c>
      <c r="AH656" s="39" t="n">
        <f aca="false">IF(AND($F656&lt;&gt;"",$O656&lt;&gt;"",$O656&lt;=Hoje!$C$3,$P656&gt;=Hoje!$C$3,$R656&lt;&gt;"Cancelada"),1,0)</f>
        <v>0</v>
      </c>
      <c r="AI656" s="39" t="n">
        <f aca="false">IF(AND($F656&lt;&gt;"",$P656&lt;&gt;"",$P656&lt;Hoje!$C$3,$AB656=0,$R656&lt;&gt;"Cancelada"),1,0)</f>
        <v>0</v>
      </c>
      <c r="AJ656" s="50" t="str">
        <f aca="false">IF($F656="","",$D656&amp;"|"&amp;$E656&amp;"|"&amp;$L656)</f>
        <v/>
      </c>
      <c r="AK656" s="39" t="str">
        <f aca="false">IF($AJ656="","",COUNTIF($AJ$4:$AJ656,$AJ656))</f>
        <v/>
      </c>
      <c r="AL656" s="39" t="str">
        <f aca="false">IF($AJ656="","",COUNTIF($AJ$4:$AJ$1004,$AJ656))</f>
        <v/>
      </c>
      <c r="AM656" s="42"/>
      <c r="AN656" s="50" t="str">
        <f aca="false">IF($D656="","",IFERROR(T(VLOOKUP($D656,Listas!$B$5:$H$120,7,0)),""))</f>
        <v/>
      </c>
      <c r="AO656" s="50" t="str">
        <f aca="false">IF(OR($F656="",$L656&lt;&gt;"",$R656="Cancelada",$AT656&lt;&gt;""),"",$AN656&amp;"|"&amp;$D656&amp;"|"&amp;IF($C656="","zzz",$C656)&amp;"|"&amp;TEXT(656,"0000"))</f>
        <v/>
      </c>
      <c r="AP656" s="50" t="str">
        <f aca="false">IF($AO656="","",COUNTIF($AO$5:$AO$1004,"&lt;"&amp;$AO656)-(ROWS($AO$5:$AO$1004)-Hoje!$L$5)+1)</f>
        <v/>
      </c>
      <c r="AQ656" s="50" t="n">
        <f aca="false">IF(AND($F656&lt;&gt;"",$D656=Frota!$C$3),1,0)</f>
        <v>0</v>
      </c>
      <c r="AR656" s="50" t="str">
        <f aca="false">IF($AQ656=0,"",SUM($AQ$4:$AQ656))</f>
        <v/>
      </c>
      <c r="AS656" s="50" t="str">
        <f aca="false">IFERROR(INDEX(Hoje!$K$10:$K$29,MATCH(ROW(),Hoje!$J$10:$J$29,0)),"")</f>
        <v/>
      </c>
      <c r="AT656" s="50" t="str">
        <f aca="false">IF($Q656&lt;&gt;"",$Q656,$AS656)</f>
        <v/>
      </c>
    </row>
    <row r="657" customFormat="false" ht="16.5" hidden="false" customHeight="true" outlineLevel="0" collapsed="false">
      <c r="A657" s="39" t="str">
        <f aca="false">IF($F657="","",ROW())</f>
        <v/>
      </c>
      <c r="B657" s="40" t="str">
        <f aca="false">IF($F657="",IF($D657="","","Falta a atividade"),IF($R657="Cancelada","Cancelada",IF($AB657=1,IF(N($Z657)&gt;0,"Concluída com atraso","Concluída"),IF($R657="Em programação","Em programação",IF($O657="",IF($M657="","Na carteira","Falta a semana"),IF($AC657=1,"VENCIDA",IF($O657&gt;Hoje!$L$1,"Programada",IF($P657&gt;Hoje!$L$1,"Em execução","Fecha hoje"))))))))</f>
        <v/>
      </c>
      <c r="C657" s="41"/>
      <c r="D657" s="42"/>
      <c r="E657" s="42"/>
      <c r="F657" s="42"/>
      <c r="G657" s="43"/>
      <c r="H657" s="43"/>
      <c r="I657" s="44"/>
      <c r="J657" s="44"/>
      <c r="K657" s="44"/>
      <c r="L657" s="45"/>
      <c r="M657" s="46"/>
      <c r="N657" s="45"/>
      <c r="O657" s="47" t="str">
        <f aca="false">IF(OR($L657="",$M657=""),"",(DATE(Semana!$J$3,1,4)-WEEKDAY(DATE(Semana!$J$3,1,4),3))+($L657-1)*7+MATCH($M657,Listas!$F$5:$F$11,0)-1)</f>
        <v/>
      </c>
      <c r="P657" s="47" t="str">
        <f aca="false">IF(OR($F657="",$O657=""),"",$O657+MAX(0,ROUNDUP($AK657*MAX(1,IF($N657="",1,$N657))/MAX(1,$AL657),0)-1))</f>
        <v/>
      </c>
      <c r="Q657" s="48"/>
      <c r="R657" s="43"/>
      <c r="S657" s="49"/>
      <c r="T657" s="42"/>
      <c r="U657" s="42"/>
      <c r="V657" s="39" t="str">
        <f aca="false">IF($F657="","",IF(ISNUMBER(SEARCH("(externo)",$I657&amp;$J657&amp;$K657)),"Terceirizada","Interna"))</f>
        <v/>
      </c>
      <c r="W657" s="47" t="str">
        <f aca="false">IF($O657="","",IF($S657="",$O657,(DATE(Semana!$J$3,1,4)-WEEKDAY(DATE(Semana!$J$3,1,4),3))+($S657-1)*7+IF($M657="",0,MATCH($M657,Listas!$F$5:$F$11,0)-1)))</f>
        <v/>
      </c>
      <c r="X657" s="39" t="str">
        <f aca="false">IF($F657="","",IF(OR($AT657="",$O657=""),0,IF($AT657&lt;=$O657,1,0)))</f>
        <v/>
      </c>
      <c r="Y657" s="39" t="str">
        <f aca="false">IF($F657="","",IF(OR($AT657="",$W657=""),0,IF($AT657&lt;=$W657,1,0)))</f>
        <v/>
      </c>
      <c r="Z657" s="39" t="str">
        <f aca="false">IF(OR($AT657="",$O657=""),"",MAX(0,$AT657-$O657))</f>
        <v/>
      </c>
      <c r="AA657" s="39" t="str">
        <f aca="false">IF($F657="","",IF(AND($S657&lt;&gt;"",$L657&lt;&gt;"",$S657&lt;&gt;$L657),1,0))</f>
        <v/>
      </c>
      <c r="AB657" s="39" t="str">
        <f aca="false">IF($F657="","",IF($R657="Cancelada",0,IF(OR($AT657&lt;&gt;"",$R657="Concluída"),1,0)))</f>
        <v/>
      </c>
      <c r="AC657" s="39" t="n">
        <f aca="false">IF($P657="",0,IF($P657&lt;Hoje!$L$1,1,IF(AND($P657=Hoje!$L$1,Hoje!$L$2&gt;Semana!$M$3),1,0)))</f>
        <v>0</v>
      </c>
      <c r="AD657" s="39" t="str">
        <f aca="false">IF($F657="","",IF(COUNTA($I657:$K657)=0,0,1/COUNTA($I657:$K657)))</f>
        <v/>
      </c>
      <c r="AE657" s="39" t="str">
        <f aca="false">IF($AH657=0,"",SUM($AH$4:$AH657))</f>
        <v/>
      </c>
      <c r="AF657" s="39" t="str">
        <f aca="false">IF($AI657=0,"",SUM($AI$4:$AI657))</f>
        <v/>
      </c>
      <c r="AG657" s="50" t="str">
        <f aca="false">IF($F657="","",$I657&amp;IF($J657="",""," · "&amp;$J657)&amp;IF($K657="",""," · "&amp;$K657))</f>
        <v/>
      </c>
      <c r="AH657" s="39" t="n">
        <f aca="false">IF(AND($F657&lt;&gt;"",$O657&lt;&gt;"",$O657&lt;=Hoje!$C$3,$P657&gt;=Hoje!$C$3,$R657&lt;&gt;"Cancelada"),1,0)</f>
        <v>0</v>
      </c>
      <c r="AI657" s="39" t="n">
        <f aca="false">IF(AND($F657&lt;&gt;"",$P657&lt;&gt;"",$P657&lt;Hoje!$C$3,$AB657=0,$R657&lt;&gt;"Cancelada"),1,0)</f>
        <v>0</v>
      </c>
      <c r="AJ657" s="50" t="str">
        <f aca="false">IF($F657="","",$D657&amp;"|"&amp;$E657&amp;"|"&amp;$L657)</f>
        <v/>
      </c>
      <c r="AK657" s="39" t="str">
        <f aca="false">IF($AJ657="","",COUNTIF($AJ$4:$AJ657,$AJ657))</f>
        <v/>
      </c>
      <c r="AL657" s="39" t="str">
        <f aca="false">IF($AJ657="","",COUNTIF($AJ$4:$AJ$1004,$AJ657))</f>
        <v/>
      </c>
      <c r="AM657" s="42"/>
      <c r="AN657" s="50" t="str">
        <f aca="false">IF($D657="","",IFERROR(T(VLOOKUP($D657,Listas!$B$5:$H$120,7,0)),""))</f>
        <v/>
      </c>
      <c r="AO657" s="50" t="str">
        <f aca="false">IF(OR($F657="",$L657&lt;&gt;"",$R657="Cancelada",$AT657&lt;&gt;""),"",$AN657&amp;"|"&amp;$D657&amp;"|"&amp;IF($C657="","zzz",$C657)&amp;"|"&amp;TEXT(657,"0000"))</f>
        <v/>
      </c>
      <c r="AP657" s="50" t="str">
        <f aca="false">IF($AO657="","",COUNTIF($AO$5:$AO$1004,"&lt;"&amp;$AO657)-(ROWS($AO$5:$AO$1004)-Hoje!$L$5)+1)</f>
        <v/>
      </c>
      <c r="AQ657" s="50" t="n">
        <f aca="false">IF(AND($F657&lt;&gt;"",$D657=Frota!$C$3),1,0)</f>
        <v>0</v>
      </c>
      <c r="AR657" s="50" t="str">
        <f aca="false">IF($AQ657=0,"",SUM($AQ$4:$AQ657))</f>
        <v/>
      </c>
      <c r="AS657" s="50" t="str">
        <f aca="false">IFERROR(INDEX(Hoje!$K$10:$K$29,MATCH(ROW(),Hoje!$J$10:$J$29,0)),"")</f>
        <v/>
      </c>
      <c r="AT657" s="50" t="str">
        <f aca="false">IF($Q657&lt;&gt;"",$Q657,$AS657)</f>
        <v/>
      </c>
    </row>
    <row r="658" customFormat="false" ht="16.5" hidden="false" customHeight="true" outlineLevel="0" collapsed="false">
      <c r="A658" s="39" t="str">
        <f aca="false">IF($F658="","",ROW())</f>
        <v/>
      </c>
      <c r="B658" s="40" t="str">
        <f aca="false">IF($F658="",IF($D658="","","Falta a atividade"),IF($R658="Cancelada","Cancelada",IF($AB658=1,IF(N($Z658)&gt;0,"Concluída com atraso","Concluída"),IF($R658="Em programação","Em programação",IF($O658="",IF($M658="","Na carteira","Falta a semana"),IF($AC658=1,"VENCIDA",IF($O658&gt;Hoje!$L$1,"Programada",IF($P658&gt;Hoje!$L$1,"Em execução","Fecha hoje"))))))))</f>
        <v/>
      </c>
      <c r="C658" s="41"/>
      <c r="D658" s="42"/>
      <c r="E658" s="42"/>
      <c r="F658" s="42"/>
      <c r="G658" s="43"/>
      <c r="H658" s="43"/>
      <c r="I658" s="44"/>
      <c r="J658" s="44"/>
      <c r="K658" s="44"/>
      <c r="L658" s="45"/>
      <c r="M658" s="46"/>
      <c r="N658" s="45"/>
      <c r="O658" s="47" t="str">
        <f aca="false">IF(OR($L658="",$M658=""),"",(DATE(Semana!$J$3,1,4)-WEEKDAY(DATE(Semana!$J$3,1,4),3))+($L658-1)*7+MATCH($M658,Listas!$F$5:$F$11,0)-1)</f>
        <v/>
      </c>
      <c r="P658" s="47" t="str">
        <f aca="false">IF(OR($F658="",$O658=""),"",$O658+MAX(0,ROUNDUP($AK658*MAX(1,IF($N658="",1,$N658))/MAX(1,$AL658),0)-1))</f>
        <v/>
      </c>
      <c r="Q658" s="48"/>
      <c r="R658" s="43"/>
      <c r="S658" s="49"/>
      <c r="T658" s="42"/>
      <c r="U658" s="42"/>
      <c r="V658" s="39" t="str">
        <f aca="false">IF($F658="","",IF(ISNUMBER(SEARCH("(externo)",$I658&amp;$J658&amp;$K658)),"Terceirizada","Interna"))</f>
        <v/>
      </c>
      <c r="W658" s="47" t="str">
        <f aca="false">IF($O658="","",IF($S658="",$O658,(DATE(Semana!$J$3,1,4)-WEEKDAY(DATE(Semana!$J$3,1,4),3))+($S658-1)*7+IF($M658="",0,MATCH($M658,Listas!$F$5:$F$11,0)-1)))</f>
        <v/>
      </c>
      <c r="X658" s="39" t="str">
        <f aca="false">IF($F658="","",IF(OR($AT658="",$O658=""),0,IF($AT658&lt;=$O658,1,0)))</f>
        <v/>
      </c>
      <c r="Y658" s="39" t="str">
        <f aca="false">IF($F658="","",IF(OR($AT658="",$W658=""),0,IF($AT658&lt;=$W658,1,0)))</f>
        <v/>
      </c>
      <c r="Z658" s="39" t="str">
        <f aca="false">IF(OR($AT658="",$O658=""),"",MAX(0,$AT658-$O658))</f>
        <v/>
      </c>
      <c r="AA658" s="39" t="str">
        <f aca="false">IF($F658="","",IF(AND($S658&lt;&gt;"",$L658&lt;&gt;"",$S658&lt;&gt;$L658),1,0))</f>
        <v/>
      </c>
      <c r="AB658" s="39" t="str">
        <f aca="false">IF($F658="","",IF($R658="Cancelada",0,IF(OR($AT658&lt;&gt;"",$R658="Concluída"),1,0)))</f>
        <v/>
      </c>
      <c r="AC658" s="39" t="n">
        <f aca="false">IF($P658="",0,IF($P658&lt;Hoje!$L$1,1,IF(AND($P658=Hoje!$L$1,Hoje!$L$2&gt;Semana!$M$3),1,0)))</f>
        <v>0</v>
      </c>
      <c r="AD658" s="39" t="str">
        <f aca="false">IF($F658="","",IF(COUNTA($I658:$K658)=0,0,1/COUNTA($I658:$K658)))</f>
        <v/>
      </c>
      <c r="AE658" s="39" t="str">
        <f aca="false">IF($AH658=0,"",SUM($AH$4:$AH658))</f>
        <v/>
      </c>
      <c r="AF658" s="39" t="str">
        <f aca="false">IF($AI658=0,"",SUM($AI$4:$AI658))</f>
        <v/>
      </c>
      <c r="AG658" s="50" t="str">
        <f aca="false">IF($F658="","",$I658&amp;IF($J658="",""," · "&amp;$J658)&amp;IF($K658="",""," · "&amp;$K658))</f>
        <v/>
      </c>
      <c r="AH658" s="39" t="n">
        <f aca="false">IF(AND($F658&lt;&gt;"",$O658&lt;&gt;"",$O658&lt;=Hoje!$C$3,$P658&gt;=Hoje!$C$3,$R658&lt;&gt;"Cancelada"),1,0)</f>
        <v>0</v>
      </c>
      <c r="AI658" s="39" t="n">
        <f aca="false">IF(AND($F658&lt;&gt;"",$P658&lt;&gt;"",$P658&lt;Hoje!$C$3,$AB658=0,$R658&lt;&gt;"Cancelada"),1,0)</f>
        <v>0</v>
      </c>
      <c r="AJ658" s="50" t="str">
        <f aca="false">IF($F658="","",$D658&amp;"|"&amp;$E658&amp;"|"&amp;$L658)</f>
        <v/>
      </c>
      <c r="AK658" s="39" t="str">
        <f aca="false">IF($AJ658="","",COUNTIF($AJ$4:$AJ658,$AJ658))</f>
        <v/>
      </c>
      <c r="AL658" s="39" t="str">
        <f aca="false">IF($AJ658="","",COUNTIF($AJ$4:$AJ$1004,$AJ658))</f>
        <v/>
      </c>
      <c r="AM658" s="42"/>
      <c r="AN658" s="50" t="str">
        <f aca="false">IF($D658="","",IFERROR(T(VLOOKUP($D658,Listas!$B$5:$H$120,7,0)),""))</f>
        <v/>
      </c>
      <c r="AO658" s="50" t="str">
        <f aca="false">IF(OR($F658="",$L658&lt;&gt;"",$R658="Cancelada",$AT658&lt;&gt;""),"",$AN658&amp;"|"&amp;$D658&amp;"|"&amp;IF($C658="","zzz",$C658)&amp;"|"&amp;TEXT(658,"0000"))</f>
        <v/>
      </c>
      <c r="AP658" s="50" t="str">
        <f aca="false">IF($AO658="","",COUNTIF($AO$5:$AO$1004,"&lt;"&amp;$AO658)-(ROWS($AO$5:$AO$1004)-Hoje!$L$5)+1)</f>
        <v/>
      </c>
      <c r="AQ658" s="50" t="n">
        <f aca="false">IF(AND($F658&lt;&gt;"",$D658=Frota!$C$3),1,0)</f>
        <v>0</v>
      </c>
      <c r="AR658" s="50" t="str">
        <f aca="false">IF($AQ658=0,"",SUM($AQ$4:$AQ658))</f>
        <v/>
      </c>
      <c r="AS658" s="50" t="str">
        <f aca="false">IFERROR(INDEX(Hoje!$K$10:$K$29,MATCH(ROW(),Hoje!$J$10:$J$29,0)),"")</f>
        <v/>
      </c>
      <c r="AT658" s="50" t="str">
        <f aca="false">IF($Q658&lt;&gt;"",$Q658,$AS658)</f>
        <v/>
      </c>
    </row>
    <row r="659" customFormat="false" ht="16.5" hidden="false" customHeight="true" outlineLevel="0" collapsed="false">
      <c r="A659" s="39" t="str">
        <f aca="false">IF($F659="","",ROW())</f>
        <v/>
      </c>
      <c r="B659" s="40" t="str">
        <f aca="false">IF($F659="",IF($D659="","","Falta a atividade"),IF($R659="Cancelada","Cancelada",IF($AB659=1,IF(N($Z659)&gt;0,"Concluída com atraso","Concluída"),IF($R659="Em programação","Em programação",IF($O659="",IF($M659="","Na carteira","Falta a semana"),IF($AC659=1,"VENCIDA",IF($O659&gt;Hoje!$L$1,"Programada",IF($P659&gt;Hoje!$L$1,"Em execução","Fecha hoje"))))))))</f>
        <v/>
      </c>
      <c r="C659" s="41"/>
      <c r="D659" s="42"/>
      <c r="E659" s="42"/>
      <c r="F659" s="42"/>
      <c r="G659" s="43"/>
      <c r="H659" s="43"/>
      <c r="I659" s="44"/>
      <c r="J659" s="44"/>
      <c r="K659" s="44"/>
      <c r="L659" s="45"/>
      <c r="M659" s="46"/>
      <c r="N659" s="45"/>
      <c r="O659" s="47" t="str">
        <f aca="false">IF(OR($L659="",$M659=""),"",(DATE(Semana!$J$3,1,4)-WEEKDAY(DATE(Semana!$J$3,1,4),3))+($L659-1)*7+MATCH($M659,Listas!$F$5:$F$11,0)-1)</f>
        <v/>
      </c>
      <c r="P659" s="47" t="str">
        <f aca="false">IF(OR($F659="",$O659=""),"",$O659+MAX(0,ROUNDUP($AK659*MAX(1,IF($N659="",1,$N659))/MAX(1,$AL659),0)-1))</f>
        <v/>
      </c>
      <c r="Q659" s="48"/>
      <c r="R659" s="43"/>
      <c r="S659" s="49"/>
      <c r="T659" s="42"/>
      <c r="U659" s="42"/>
      <c r="V659" s="39" t="str">
        <f aca="false">IF($F659="","",IF(ISNUMBER(SEARCH("(externo)",$I659&amp;$J659&amp;$K659)),"Terceirizada","Interna"))</f>
        <v/>
      </c>
      <c r="W659" s="47" t="str">
        <f aca="false">IF($O659="","",IF($S659="",$O659,(DATE(Semana!$J$3,1,4)-WEEKDAY(DATE(Semana!$J$3,1,4),3))+($S659-1)*7+IF($M659="",0,MATCH($M659,Listas!$F$5:$F$11,0)-1)))</f>
        <v/>
      </c>
      <c r="X659" s="39" t="str">
        <f aca="false">IF($F659="","",IF(OR($AT659="",$O659=""),0,IF($AT659&lt;=$O659,1,0)))</f>
        <v/>
      </c>
      <c r="Y659" s="39" t="str">
        <f aca="false">IF($F659="","",IF(OR($AT659="",$W659=""),0,IF($AT659&lt;=$W659,1,0)))</f>
        <v/>
      </c>
      <c r="Z659" s="39" t="str">
        <f aca="false">IF(OR($AT659="",$O659=""),"",MAX(0,$AT659-$O659))</f>
        <v/>
      </c>
      <c r="AA659" s="39" t="str">
        <f aca="false">IF($F659="","",IF(AND($S659&lt;&gt;"",$L659&lt;&gt;"",$S659&lt;&gt;$L659),1,0))</f>
        <v/>
      </c>
      <c r="AB659" s="39" t="str">
        <f aca="false">IF($F659="","",IF($R659="Cancelada",0,IF(OR($AT659&lt;&gt;"",$R659="Concluída"),1,0)))</f>
        <v/>
      </c>
      <c r="AC659" s="39" t="n">
        <f aca="false">IF($P659="",0,IF($P659&lt;Hoje!$L$1,1,IF(AND($P659=Hoje!$L$1,Hoje!$L$2&gt;Semana!$M$3),1,0)))</f>
        <v>0</v>
      </c>
      <c r="AD659" s="39" t="str">
        <f aca="false">IF($F659="","",IF(COUNTA($I659:$K659)=0,0,1/COUNTA($I659:$K659)))</f>
        <v/>
      </c>
      <c r="AE659" s="39" t="str">
        <f aca="false">IF($AH659=0,"",SUM($AH$4:$AH659))</f>
        <v/>
      </c>
      <c r="AF659" s="39" t="str">
        <f aca="false">IF($AI659=0,"",SUM($AI$4:$AI659))</f>
        <v/>
      </c>
      <c r="AG659" s="50" t="str">
        <f aca="false">IF($F659="","",$I659&amp;IF($J659="",""," · "&amp;$J659)&amp;IF($K659="",""," · "&amp;$K659))</f>
        <v/>
      </c>
      <c r="AH659" s="39" t="n">
        <f aca="false">IF(AND($F659&lt;&gt;"",$O659&lt;&gt;"",$O659&lt;=Hoje!$C$3,$P659&gt;=Hoje!$C$3,$R659&lt;&gt;"Cancelada"),1,0)</f>
        <v>0</v>
      </c>
      <c r="AI659" s="39" t="n">
        <f aca="false">IF(AND($F659&lt;&gt;"",$P659&lt;&gt;"",$P659&lt;Hoje!$C$3,$AB659=0,$R659&lt;&gt;"Cancelada"),1,0)</f>
        <v>0</v>
      </c>
      <c r="AJ659" s="50" t="str">
        <f aca="false">IF($F659="","",$D659&amp;"|"&amp;$E659&amp;"|"&amp;$L659)</f>
        <v/>
      </c>
      <c r="AK659" s="39" t="str">
        <f aca="false">IF($AJ659="","",COUNTIF($AJ$4:$AJ659,$AJ659))</f>
        <v/>
      </c>
      <c r="AL659" s="39" t="str">
        <f aca="false">IF($AJ659="","",COUNTIF($AJ$4:$AJ$1004,$AJ659))</f>
        <v/>
      </c>
      <c r="AM659" s="42"/>
      <c r="AN659" s="50" t="str">
        <f aca="false">IF($D659="","",IFERROR(T(VLOOKUP($D659,Listas!$B$5:$H$120,7,0)),""))</f>
        <v/>
      </c>
      <c r="AO659" s="50" t="str">
        <f aca="false">IF(OR($F659="",$L659&lt;&gt;"",$R659="Cancelada",$AT659&lt;&gt;""),"",$AN659&amp;"|"&amp;$D659&amp;"|"&amp;IF($C659="","zzz",$C659)&amp;"|"&amp;TEXT(659,"0000"))</f>
        <v/>
      </c>
      <c r="AP659" s="50" t="str">
        <f aca="false">IF($AO659="","",COUNTIF($AO$5:$AO$1004,"&lt;"&amp;$AO659)-(ROWS($AO$5:$AO$1004)-Hoje!$L$5)+1)</f>
        <v/>
      </c>
      <c r="AQ659" s="50" t="n">
        <f aca="false">IF(AND($F659&lt;&gt;"",$D659=Frota!$C$3),1,0)</f>
        <v>0</v>
      </c>
      <c r="AR659" s="50" t="str">
        <f aca="false">IF($AQ659=0,"",SUM($AQ$4:$AQ659))</f>
        <v/>
      </c>
      <c r="AS659" s="50" t="str">
        <f aca="false">IFERROR(INDEX(Hoje!$K$10:$K$29,MATCH(ROW(),Hoje!$J$10:$J$29,0)),"")</f>
        <v/>
      </c>
      <c r="AT659" s="50" t="str">
        <f aca="false">IF($Q659&lt;&gt;"",$Q659,$AS659)</f>
        <v/>
      </c>
    </row>
    <row r="660" customFormat="false" ht="16.5" hidden="false" customHeight="true" outlineLevel="0" collapsed="false">
      <c r="A660" s="39" t="str">
        <f aca="false">IF($F660="","",ROW())</f>
        <v/>
      </c>
      <c r="B660" s="40" t="str">
        <f aca="false">IF($F660="",IF($D660="","","Falta a atividade"),IF($R660="Cancelada","Cancelada",IF($AB660=1,IF(N($Z660)&gt;0,"Concluída com atraso","Concluída"),IF($R660="Em programação","Em programação",IF($O660="",IF($M660="","Na carteira","Falta a semana"),IF($AC660=1,"VENCIDA",IF($O660&gt;Hoje!$L$1,"Programada",IF($P660&gt;Hoje!$L$1,"Em execução","Fecha hoje"))))))))</f>
        <v/>
      </c>
      <c r="C660" s="41"/>
      <c r="D660" s="42"/>
      <c r="E660" s="42"/>
      <c r="F660" s="42"/>
      <c r="G660" s="43"/>
      <c r="H660" s="43"/>
      <c r="I660" s="44"/>
      <c r="J660" s="44"/>
      <c r="K660" s="44"/>
      <c r="L660" s="45"/>
      <c r="M660" s="46"/>
      <c r="N660" s="45"/>
      <c r="O660" s="47" t="str">
        <f aca="false">IF(OR($L660="",$M660=""),"",(DATE(Semana!$J$3,1,4)-WEEKDAY(DATE(Semana!$J$3,1,4),3))+($L660-1)*7+MATCH($M660,Listas!$F$5:$F$11,0)-1)</f>
        <v/>
      </c>
      <c r="P660" s="47" t="str">
        <f aca="false">IF(OR($F660="",$O660=""),"",$O660+MAX(0,ROUNDUP($AK660*MAX(1,IF($N660="",1,$N660))/MAX(1,$AL660),0)-1))</f>
        <v/>
      </c>
      <c r="Q660" s="48"/>
      <c r="R660" s="43"/>
      <c r="S660" s="49"/>
      <c r="T660" s="42"/>
      <c r="U660" s="42"/>
      <c r="V660" s="39" t="str">
        <f aca="false">IF($F660="","",IF(ISNUMBER(SEARCH("(externo)",$I660&amp;$J660&amp;$K660)),"Terceirizada","Interna"))</f>
        <v/>
      </c>
      <c r="W660" s="47" t="str">
        <f aca="false">IF($O660="","",IF($S660="",$O660,(DATE(Semana!$J$3,1,4)-WEEKDAY(DATE(Semana!$J$3,1,4),3))+($S660-1)*7+IF($M660="",0,MATCH($M660,Listas!$F$5:$F$11,0)-1)))</f>
        <v/>
      </c>
      <c r="X660" s="39" t="str">
        <f aca="false">IF($F660="","",IF(OR($AT660="",$O660=""),0,IF($AT660&lt;=$O660,1,0)))</f>
        <v/>
      </c>
      <c r="Y660" s="39" t="str">
        <f aca="false">IF($F660="","",IF(OR($AT660="",$W660=""),0,IF($AT660&lt;=$W660,1,0)))</f>
        <v/>
      </c>
      <c r="Z660" s="39" t="str">
        <f aca="false">IF(OR($AT660="",$O660=""),"",MAX(0,$AT660-$O660))</f>
        <v/>
      </c>
      <c r="AA660" s="39" t="str">
        <f aca="false">IF($F660="","",IF(AND($S660&lt;&gt;"",$L660&lt;&gt;"",$S660&lt;&gt;$L660),1,0))</f>
        <v/>
      </c>
      <c r="AB660" s="39" t="str">
        <f aca="false">IF($F660="","",IF($R660="Cancelada",0,IF(OR($AT660&lt;&gt;"",$R660="Concluída"),1,0)))</f>
        <v/>
      </c>
      <c r="AC660" s="39" t="n">
        <f aca="false">IF($P660="",0,IF($P660&lt;Hoje!$L$1,1,IF(AND($P660=Hoje!$L$1,Hoje!$L$2&gt;Semana!$M$3),1,0)))</f>
        <v>0</v>
      </c>
      <c r="AD660" s="39" t="str">
        <f aca="false">IF($F660="","",IF(COUNTA($I660:$K660)=0,0,1/COUNTA($I660:$K660)))</f>
        <v/>
      </c>
      <c r="AE660" s="39" t="str">
        <f aca="false">IF($AH660=0,"",SUM($AH$4:$AH660))</f>
        <v/>
      </c>
      <c r="AF660" s="39" t="str">
        <f aca="false">IF($AI660=0,"",SUM($AI$4:$AI660))</f>
        <v/>
      </c>
      <c r="AG660" s="50" t="str">
        <f aca="false">IF($F660="","",$I660&amp;IF($J660="",""," · "&amp;$J660)&amp;IF($K660="",""," · "&amp;$K660))</f>
        <v/>
      </c>
      <c r="AH660" s="39" t="n">
        <f aca="false">IF(AND($F660&lt;&gt;"",$O660&lt;&gt;"",$O660&lt;=Hoje!$C$3,$P660&gt;=Hoje!$C$3,$R660&lt;&gt;"Cancelada"),1,0)</f>
        <v>0</v>
      </c>
      <c r="AI660" s="39" t="n">
        <f aca="false">IF(AND($F660&lt;&gt;"",$P660&lt;&gt;"",$P660&lt;Hoje!$C$3,$AB660=0,$R660&lt;&gt;"Cancelada"),1,0)</f>
        <v>0</v>
      </c>
      <c r="AJ660" s="50" t="str">
        <f aca="false">IF($F660="","",$D660&amp;"|"&amp;$E660&amp;"|"&amp;$L660)</f>
        <v/>
      </c>
      <c r="AK660" s="39" t="str">
        <f aca="false">IF($AJ660="","",COUNTIF($AJ$4:$AJ660,$AJ660))</f>
        <v/>
      </c>
      <c r="AL660" s="39" t="str">
        <f aca="false">IF($AJ660="","",COUNTIF($AJ$4:$AJ$1004,$AJ660))</f>
        <v/>
      </c>
      <c r="AM660" s="42"/>
      <c r="AN660" s="50" t="str">
        <f aca="false">IF($D660="","",IFERROR(T(VLOOKUP($D660,Listas!$B$5:$H$120,7,0)),""))</f>
        <v/>
      </c>
      <c r="AO660" s="50" t="str">
        <f aca="false">IF(OR($F660="",$L660&lt;&gt;"",$R660="Cancelada",$AT660&lt;&gt;""),"",$AN660&amp;"|"&amp;$D660&amp;"|"&amp;IF($C660="","zzz",$C660)&amp;"|"&amp;TEXT(660,"0000"))</f>
        <v/>
      </c>
      <c r="AP660" s="50" t="str">
        <f aca="false">IF($AO660="","",COUNTIF($AO$5:$AO$1004,"&lt;"&amp;$AO660)-(ROWS($AO$5:$AO$1004)-Hoje!$L$5)+1)</f>
        <v/>
      </c>
      <c r="AQ660" s="50" t="n">
        <f aca="false">IF(AND($F660&lt;&gt;"",$D660=Frota!$C$3),1,0)</f>
        <v>0</v>
      </c>
      <c r="AR660" s="50" t="str">
        <f aca="false">IF($AQ660=0,"",SUM($AQ$4:$AQ660))</f>
        <v/>
      </c>
      <c r="AS660" s="50" t="str">
        <f aca="false">IFERROR(INDEX(Hoje!$K$10:$K$29,MATCH(ROW(),Hoje!$J$10:$J$29,0)),"")</f>
        <v/>
      </c>
      <c r="AT660" s="50" t="str">
        <f aca="false">IF($Q660&lt;&gt;"",$Q660,$AS660)</f>
        <v/>
      </c>
    </row>
    <row r="661" customFormat="false" ht="16.5" hidden="false" customHeight="true" outlineLevel="0" collapsed="false">
      <c r="A661" s="39" t="str">
        <f aca="false">IF($F661="","",ROW())</f>
        <v/>
      </c>
      <c r="B661" s="40" t="str">
        <f aca="false">IF($F661="",IF($D661="","","Falta a atividade"),IF($R661="Cancelada","Cancelada",IF($AB661=1,IF(N($Z661)&gt;0,"Concluída com atraso","Concluída"),IF($R661="Em programação","Em programação",IF($O661="",IF($M661="","Na carteira","Falta a semana"),IF($AC661=1,"VENCIDA",IF($O661&gt;Hoje!$L$1,"Programada",IF($P661&gt;Hoje!$L$1,"Em execução","Fecha hoje"))))))))</f>
        <v/>
      </c>
      <c r="C661" s="41"/>
      <c r="D661" s="42"/>
      <c r="E661" s="42"/>
      <c r="F661" s="42"/>
      <c r="G661" s="43"/>
      <c r="H661" s="43"/>
      <c r="I661" s="44"/>
      <c r="J661" s="44"/>
      <c r="K661" s="44"/>
      <c r="L661" s="45"/>
      <c r="M661" s="46"/>
      <c r="N661" s="45"/>
      <c r="O661" s="47" t="str">
        <f aca="false">IF(OR($L661="",$M661=""),"",(DATE(Semana!$J$3,1,4)-WEEKDAY(DATE(Semana!$J$3,1,4),3))+($L661-1)*7+MATCH($M661,Listas!$F$5:$F$11,0)-1)</f>
        <v/>
      </c>
      <c r="P661" s="47" t="str">
        <f aca="false">IF(OR($F661="",$O661=""),"",$O661+MAX(0,ROUNDUP($AK661*MAX(1,IF($N661="",1,$N661))/MAX(1,$AL661),0)-1))</f>
        <v/>
      </c>
      <c r="Q661" s="48"/>
      <c r="R661" s="43"/>
      <c r="S661" s="49"/>
      <c r="T661" s="42"/>
      <c r="U661" s="42"/>
      <c r="V661" s="39" t="str">
        <f aca="false">IF($F661="","",IF(ISNUMBER(SEARCH("(externo)",$I661&amp;$J661&amp;$K661)),"Terceirizada","Interna"))</f>
        <v/>
      </c>
      <c r="W661" s="47" t="str">
        <f aca="false">IF($O661="","",IF($S661="",$O661,(DATE(Semana!$J$3,1,4)-WEEKDAY(DATE(Semana!$J$3,1,4),3))+($S661-1)*7+IF($M661="",0,MATCH($M661,Listas!$F$5:$F$11,0)-1)))</f>
        <v/>
      </c>
      <c r="X661" s="39" t="str">
        <f aca="false">IF($F661="","",IF(OR($AT661="",$O661=""),0,IF($AT661&lt;=$O661,1,0)))</f>
        <v/>
      </c>
      <c r="Y661" s="39" t="str">
        <f aca="false">IF($F661="","",IF(OR($AT661="",$W661=""),0,IF($AT661&lt;=$W661,1,0)))</f>
        <v/>
      </c>
      <c r="Z661" s="39" t="str">
        <f aca="false">IF(OR($AT661="",$O661=""),"",MAX(0,$AT661-$O661))</f>
        <v/>
      </c>
      <c r="AA661" s="39" t="str">
        <f aca="false">IF($F661="","",IF(AND($S661&lt;&gt;"",$L661&lt;&gt;"",$S661&lt;&gt;$L661),1,0))</f>
        <v/>
      </c>
      <c r="AB661" s="39" t="str">
        <f aca="false">IF($F661="","",IF($R661="Cancelada",0,IF(OR($AT661&lt;&gt;"",$R661="Concluída"),1,0)))</f>
        <v/>
      </c>
      <c r="AC661" s="39" t="n">
        <f aca="false">IF($P661="",0,IF($P661&lt;Hoje!$L$1,1,IF(AND($P661=Hoje!$L$1,Hoje!$L$2&gt;Semana!$M$3),1,0)))</f>
        <v>0</v>
      </c>
      <c r="AD661" s="39" t="str">
        <f aca="false">IF($F661="","",IF(COUNTA($I661:$K661)=0,0,1/COUNTA($I661:$K661)))</f>
        <v/>
      </c>
      <c r="AE661" s="39" t="str">
        <f aca="false">IF($AH661=0,"",SUM($AH$4:$AH661))</f>
        <v/>
      </c>
      <c r="AF661" s="39" t="str">
        <f aca="false">IF($AI661=0,"",SUM($AI$4:$AI661))</f>
        <v/>
      </c>
      <c r="AG661" s="50" t="str">
        <f aca="false">IF($F661="","",$I661&amp;IF($J661="",""," · "&amp;$J661)&amp;IF($K661="",""," · "&amp;$K661))</f>
        <v/>
      </c>
      <c r="AH661" s="39" t="n">
        <f aca="false">IF(AND($F661&lt;&gt;"",$O661&lt;&gt;"",$O661&lt;=Hoje!$C$3,$P661&gt;=Hoje!$C$3,$R661&lt;&gt;"Cancelada"),1,0)</f>
        <v>0</v>
      </c>
      <c r="AI661" s="39" t="n">
        <f aca="false">IF(AND($F661&lt;&gt;"",$P661&lt;&gt;"",$P661&lt;Hoje!$C$3,$AB661=0,$R661&lt;&gt;"Cancelada"),1,0)</f>
        <v>0</v>
      </c>
      <c r="AJ661" s="50" t="str">
        <f aca="false">IF($F661="","",$D661&amp;"|"&amp;$E661&amp;"|"&amp;$L661)</f>
        <v/>
      </c>
      <c r="AK661" s="39" t="str">
        <f aca="false">IF($AJ661="","",COUNTIF($AJ$4:$AJ661,$AJ661))</f>
        <v/>
      </c>
      <c r="AL661" s="39" t="str">
        <f aca="false">IF($AJ661="","",COUNTIF($AJ$4:$AJ$1004,$AJ661))</f>
        <v/>
      </c>
      <c r="AM661" s="42"/>
      <c r="AN661" s="50" t="str">
        <f aca="false">IF($D661="","",IFERROR(T(VLOOKUP($D661,Listas!$B$5:$H$120,7,0)),""))</f>
        <v/>
      </c>
      <c r="AO661" s="50" t="str">
        <f aca="false">IF(OR($F661="",$L661&lt;&gt;"",$R661="Cancelada",$AT661&lt;&gt;""),"",$AN661&amp;"|"&amp;$D661&amp;"|"&amp;IF($C661="","zzz",$C661)&amp;"|"&amp;TEXT(661,"0000"))</f>
        <v/>
      </c>
      <c r="AP661" s="50" t="str">
        <f aca="false">IF($AO661="","",COUNTIF($AO$5:$AO$1004,"&lt;"&amp;$AO661)-(ROWS($AO$5:$AO$1004)-Hoje!$L$5)+1)</f>
        <v/>
      </c>
      <c r="AQ661" s="50" t="n">
        <f aca="false">IF(AND($F661&lt;&gt;"",$D661=Frota!$C$3),1,0)</f>
        <v>0</v>
      </c>
      <c r="AR661" s="50" t="str">
        <f aca="false">IF($AQ661=0,"",SUM($AQ$4:$AQ661))</f>
        <v/>
      </c>
      <c r="AS661" s="50" t="str">
        <f aca="false">IFERROR(INDEX(Hoje!$K$10:$K$29,MATCH(ROW(),Hoje!$J$10:$J$29,0)),"")</f>
        <v/>
      </c>
      <c r="AT661" s="50" t="str">
        <f aca="false">IF($Q661&lt;&gt;"",$Q661,$AS661)</f>
        <v/>
      </c>
    </row>
    <row r="662" customFormat="false" ht="16.5" hidden="false" customHeight="true" outlineLevel="0" collapsed="false">
      <c r="A662" s="39" t="str">
        <f aca="false">IF($F662="","",ROW())</f>
        <v/>
      </c>
      <c r="B662" s="40" t="str">
        <f aca="false">IF($F662="",IF($D662="","","Falta a atividade"),IF($R662="Cancelada","Cancelada",IF($AB662=1,IF(N($Z662)&gt;0,"Concluída com atraso","Concluída"),IF($R662="Em programação","Em programação",IF($O662="",IF($M662="","Na carteira","Falta a semana"),IF($AC662=1,"VENCIDA",IF($O662&gt;Hoje!$L$1,"Programada",IF($P662&gt;Hoje!$L$1,"Em execução","Fecha hoje"))))))))</f>
        <v/>
      </c>
      <c r="C662" s="41"/>
      <c r="D662" s="42"/>
      <c r="E662" s="42"/>
      <c r="F662" s="42"/>
      <c r="G662" s="43"/>
      <c r="H662" s="43"/>
      <c r="I662" s="44"/>
      <c r="J662" s="44"/>
      <c r="K662" s="44"/>
      <c r="L662" s="45"/>
      <c r="M662" s="46"/>
      <c r="N662" s="45"/>
      <c r="O662" s="47" t="str">
        <f aca="false">IF(OR($L662="",$M662=""),"",(DATE(Semana!$J$3,1,4)-WEEKDAY(DATE(Semana!$J$3,1,4),3))+($L662-1)*7+MATCH($M662,Listas!$F$5:$F$11,0)-1)</f>
        <v/>
      </c>
      <c r="P662" s="47" t="str">
        <f aca="false">IF(OR($F662="",$O662=""),"",$O662+MAX(0,ROUNDUP($AK662*MAX(1,IF($N662="",1,$N662))/MAX(1,$AL662),0)-1))</f>
        <v/>
      </c>
      <c r="Q662" s="48"/>
      <c r="R662" s="43"/>
      <c r="S662" s="49"/>
      <c r="T662" s="42"/>
      <c r="U662" s="42"/>
      <c r="V662" s="39" t="str">
        <f aca="false">IF($F662="","",IF(ISNUMBER(SEARCH("(externo)",$I662&amp;$J662&amp;$K662)),"Terceirizada","Interna"))</f>
        <v/>
      </c>
      <c r="W662" s="47" t="str">
        <f aca="false">IF($O662="","",IF($S662="",$O662,(DATE(Semana!$J$3,1,4)-WEEKDAY(DATE(Semana!$J$3,1,4),3))+($S662-1)*7+IF($M662="",0,MATCH($M662,Listas!$F$5:$F$11,0)-1)))</f>
        <v/>
      </c>
      <c r="X662" s="39" t="str">
        <f aca="false">IF($F662="","",IF(OR($AT662="",$O662=""),0,IF($AT662&lt;=$O662,1,0)))</f>
        <v/>
      </c>
      <c r="Y662" s="39" t="str">
        <f aca="false">IF($F662="","",IF(OR($AT662="",$W662=""),0,IF($AT662&lt;=$W662,1,0)))</f>
        <v/>
      </c>
      <c r="Z662" s="39" t="str">
        <f aca="false">IF(OR($AT662="",$O662=""),"",MAX(0,$AT662-$O662))</f>
        <v/>
      </c>
      <c r="AA662" s="39" t="str">
        <f aca="false">IF($F662="","",IF(AND($S662&lt;&gt;"",$L662&lt;&gt;"",$S662&lt;&gt;$L662),1,0))</f>
        <v/>
      </c>
      <c r="AB662" s="39" t="str">
        <f aca="false">IF($F662="","",IF($R662="Cancelada",0,IF(OR($AT662&lt;&gt;"",$R662="Concluída"),1,0)))</f>
        <v/>
      </c>
      <c r="AC662" s="39" t="n">
        <f aca="false">IF($P662="",0,IF($P662&lt;Hoje!$L$1,1,IF(AND($P662=Hoje!$L$1,Hoje!$L$2&gt;Semana!$M$3),1,0)))</f>
        <v>0</v>
      </c>
      <c r="AD662" s="39" t="str">
        <f aca="false">IF($F662="","",IF(COUNTA($I662:$K662)=0,0,1/COUNTA($I662:$K662)))</f>
        <v/>
      </c>
      <c r="AE662" s="39" t="str">
        <f aca="false">IF($AH662=0,"",SUM($AH$4:$AH662))</f>
        <v/>
      </c>
      <c r="AF662" s="39" t="str">
        <f aca="false">IF($AI662=0,"",SUM($AI$4:$AI662))</f>
        <v/>
      </c>
      <c r="AG662" s="50" t="str">
        <f aca="false">IF($F662="","",$I662&amp;IF($J662="",""," · "&amp;$J662)&amp;IF($K662="",""," · "&amp;$K662))</f>
        <v/>
      </c>
      <c r="AH662" s="39" t="n">
        <f aca="false">IF(AND($F662&lt;&gt;"",$O662&lt;&gt;"",$O662&lt;=Hoje!$C$3,$P662&gt;=Hoje!$C$3,$R662&lt;&gt;"Cancelada"),1,0)</f>
        <v>0</v>
      </c>
      <c r="AI662" s="39" t="n">
        <f aca="false">IF(AND($F662&lt;&gt;"",$P662&lt;&gt;"",$P662&lt;Hoje!$C$3,$AB662=0,$R662&lt;&gt;"Cancelada"),1,0)</f>
        <v>0</v>
      </c>
      <c r="AJ662" s="50" t="str">
        <f aca="false">IF($F662="","",$D662&amp;"|"&amp;$E662&amp;"|"&amp;$L662)</f>
        <v/>
      </c>
      <c r="AK662" s="39" t="str">
        <f aca="false">IF($AJ662="","",COUNTIF($AJ$4:$AJ662,$AJ662))</f>
        <v/>
      </c>
      <c r="AL662" s="39" t="str">
        <f aca="false">IF($AJ662="","",COUNTIF($AJ$4:$AJ$1004,$AJ662))</f>
        <v/>
      </c>
      <c r="AM662" s="42"/>
      <c r="AN662" s="50" t="str">
        <f aca="false">IF($D662="","",IFERROR(T(VLOOKUP($D662,Listas!$B$5:$H$120,7,0)),""))</f>
        <v/>
      </c>
      <c r="AO662" s="50" t="str">
        <f aca="false">IF(OR($F662="",$L662&lt;&gt;"",$R662="Cancelada",$AT662&lt;&gt;""),"",$AN662&amp;"|"&amp;$D662&amp;"|"&amp;IF($C662="","zzz",$C662)&amp;"|"&amp;TEXT(662,"0000"))</f>
        <v/>
      </c>
      <c r="AP662" s="50" t="str">
        <f aca="false">IF($AO662="","",COUNTIF($AO$5:$AO$1004,"&lt;"&amp;$AO662)-(ROWS($AO$5:$AO$1004)-Hoje!$L$5)+1)</f>
        <v/>
      </c>
      <c r="AQ662" s="50" t="n">
        <f aca="false">IF(AND($F662&lt;&gt;"",$D662=Frota!$C$3),1,0)</f>
        <v>0</v>
      </c>
      <c r="AR662" s="50" t="str">
        <f aca="false">IF($AQ662=0,"",SUM($AQ$4:$AQ662))</f>
        <v/>
      </c>
      <c r="AS662" s="50" t="str">
        <f aca="false">IFERROR(INDEX(Hoje!$K$10:$K$29,MATCH(ROW(),Hoje!$J$10:$J$29,0)),"")</f>
        <v/>
      </c>
      <c r="AT662" s="50" t="str">
        <f aca="false">IF($Q662&lt;&gt;"",$Q662,$AS662)</f>
        <v/>
      </c>
    </row>
    <row r="663" customFormat="false" ht="16.5" hidden="false" customHeight="true" outlineLevel="0" collapsed="false">
      <c r="A663" s="39" t="str">
        <f aca="false">IF($F663="","",ROW())</f>
        <v/>
      </c>
      <c r="B663" s="40" t="str">
        <f aca="false">IF($F663="",IF($D663="","","Falta a atividade"),IF($R663="Cancelada","Cancelada",IF($AB663=1,IF(N($Z663)&gt;0,"Concluída com atraso","Concluída"),IF($R663="Em programação","Em programação",IF($O663="",IF($M663="","Na carteira","Falta a semana"),IF($AC663=1,"VENCIDA",IF($O663&gt;Hoje!$L$1,"Programada",IF($P663&gt;Hoje!$L$1,"Em execução","Fecha hoje"))))))))</f>
        <v/>
      </c>
      <c r="C663" s="41"/>
      <c r="D663" s="42"/>
      <c r="E663" s="42"/>
      <c r="F663" s="42"/>
      <c r="G663" s="43"/>
      <c r="H663" s="43"/>
      <c r="I663" s="44"/>
      <c r="J663" s="44"/>
      <c r="K663" s="44"/>
      <c r="L663" s="45"/>
      <c r="M663" s="46"/>
      <c r="N663" s="45"/>
      <c r="O663" s="47" t="str">
        <f aca="false">IF(OR($L663="",$M663=""),"",(DATE(Semana!$J$3,1,4)-WEEKDAY(DATE(Semana!$J$3,1,4),3))+($L663-1)*7+MATCH($M663,Listas!$F$5:$F$11,0)-1)</f>
        <v/>
      </c>
      <c r="P663" s="47" t="str">
        <f aca="false">IF(OR($F663="",$O663=""),"",$O663+MAX(0,ROUNDUP($AK663*MAX(1,IF($N663="",1,$N663))/MAX(1,$AL663),0)-1))</f>
        <v/>
      </c>
      <c r="Q663" s="48"/>
      <c r="R663" s="43"/>
      <c r="S663" s="49"/>
      <c r="T663" s="42"/>
      <c r="U663" s="42"/>
      <c r="V663" s="39" t="str">
        <f aca="false">IF($F663="","",IF(ISNUMBER(SEARCH("(externo)",$I663&amp;$J663&amp;$K663)),"Terceirizada","Interna"))</f>
        <v/>
      </c>
      <c r="W663" s="47" t="str">
        <f aca="false">IF($O663="","",IF($S663="",$O663,(DATE(Semana!$J$3,1,4)-WEEKDAY(DATE(Semana!$J$3,1,4),3))+($S663-1)*7+IF($M663="",0,MATCH($M663,Listas!$F$5:$F$11,0)-1)))</f>
        <v/>
      </c>
      <c r="X663" s="39" t="str">
        <f aca="false">IF($F663="","",IF(OR($AT663="",$O663=""),0,IF($AT663&lt;=$O663,1,0)))</f>
        <v/>
      </c>
      <c r="Y663" s="39" t="str">
        <f aca="false">IF($F663="","",IF(OR($AT663="",$W663=""),0,IF($AT663&lt;=$W663,1,0)))</f>
        <v/>
      </c>
      <c r="Z663" s="39" t="str">
        <f aca="false">IF(OR($AT663="",$O663=""),"",MAX(0,$AT663-$O663))</f>
        <v/>
      </c>
      <c r="AA663" s="39" t="str">
        <f aca="false">IF($F663="","",IF(AND($S663&lt;&gt;"",$L663&lt;&gt;"",$S663&lt;&gt;$L663),1,0))</f>
        <v/>
      </c>
      <c r="AB663" s="39" t="str">
        <f aca="false">IF($F663="","",IF($R663="Cancelada",0,IF(OR($AT663&lt;&gt;"",$R663="Concluída"),1,0)))</f>
        <v/>
      </c>
      <c r="AC663" s="39" t="n">
        <f aca="false">IF($P663="",0,IF($P663&lt;Hoje!$L$1,1,IF(AND($P663=Hoje!$L$1,Hoje!$L$2&gt;Semana!$M$3),1,0)))</f>
        <v>0</v>
      </c>
      <c r="AD663" s="39" t="str">
        <f aca="false">IF($F663="","",IF(COUNTA($I663:$K663)=0,0,1/COUNTA($I663:$K663)))</f>
        <v/>
      </c>
      <c r="AE663" s="39" t="str">
        <f aca="false">IF($AH663=0,"",SUM($AH$4:$AH663))</f>
        <v/>
      </c>
      <c r="AF663" s="39" t="str">
        <f aca="false">IF($AI663=0,"",SUM($AI$4:$AI663))</f>
        <v/>
      </c>
      <c r="AG663" s="50" t="str">
        <f aca="false">IF($F663="","",$I663&amp;IF($J663="",""," · "&amp;$J663)&amp;IF($K663="",""," · "&amp;$K663))</f>
        <v/>
      </c>
      <c r="AH663" s="39" t="n">
        <f aca="false">IF(AND($F663&lt;&gt;"",$O663&lt;&gt;"",$O663&lt;=Hoje!$C$3,$P663&gt;=Hoje!$C$3,$R663&lt;&gt;"Cancelada"),1,0)</f>
        <v>0</v>
      </c>
      <c r="AI663" s="39" t="n">
        <f aca="false">IF(AND($F663&lt;&gt;"",$P663&lt;&gt;"",$P663&lt;Hoje!$C$3,$AB663=0,$R663&lt;&gt;"Cancelada"),1,0)</f>
        <v>0</v>
      </c>
      <c r="AJ663" s="50" t="str">
        <f aca="false">IF($F663="","",$D663&amp;"|"&amp;$E663&amp;"|"&amp;$L663)</f>
        <v/>
      </c>
      <c r="AK663" s="39" t="str">
        <f aca="false">IF($AJ663="","",COUNTIF($AJ$4:$AJ663,$AJ663))</f>
        <v/>
      </c>
      <c r="AL663" s="39" t="str">
        <f aca="false">IF($AJ663="","",COUNTIF($AJ$4:$AJ$1004,$AJ663))</f>
        <v/>
      </c>
      <c r="AM663" s="42"/>
      <c r="AN663" s="50" t="str">
        <f aca="false">IF($D663="","",IFERROR(T(VLOOKUP($D663,Listas!$B$5:$H$120,7,0)),""))</f>
        <v/>
      </c>
      <c r="AO663" s="50" t="str">
        <f aca="false">IF(OR($F663="",$L663&lt;&gt;"",$R663="Cancelada",$AT663&lt;&gt;""),"",$AN663&amp;"|"&amp;$D663&amp;"|"&amp;IF($C663="","zzz",$C663)&amp;"|"&amp;TEXT(663,"0000"))</f>
        <v/>
      </c>
      <c r="AP663" s="50" t="str">
        <f aca="false">IF($AO663="","",COUNTIF($AO$5:$AO$1004,"&lt;"&amp;$AO663)-(ROWS($AO$5:$AO$1004)-Hoje!$L$5)+1)</f>
        <v/>
      </c>
      <c r="AQ663" s="50" t="n">
        <f aca="false">IF(AND($F663&lt;&gt;"",$D663=Frota!$C$3),1,0)</f>
        <v>0</v>
      </c>
      <c r="AR663" s="50" t="str">
        <f aca="false">IF($AQ663=0,"",SUM($AQ$4:$AQ663))</f>
        <v/>
      </c>
      <c r="AS663" s="50" t="str">
        <f aca="false">IFERROR(INDEX(Hoje!$K$10:$K$29,MATCH(ROW(),Hoje!$J$10:$J$29,0)),"")</f>
        <v/>
      </c>
      <c r="AT663" s="50" t="str">
        <f aca="false">IF($Q663&lt;&gt;"",$Q663,$AS663)</f>
        <v/>
      </c>
    </row>
    <row r="664" customFormat="false" ht="16.5" hidden="false" customHeight="true" outlineLevel="0" collapsed="false">
      <c r="A664" s="39" t="str">
        <f aca="false">IF($F664="","",ROW())</f>
        <v/>
      </c>
      <c r="B664" s="40" t="str">
        <f aca="false">IF($F664="",IF($D664="","","Falta a atividade"),IF($R664="Cancelada","Cancelada",IF($AB664=1,IF(N($Z664)&gt;0,"Concluída com atraso","Concluída"),IF($R664="Em programação","Em programação",IF($O664="",IF($M664="","Na carteira","Falta a semana"),IF($AC664=1,"VENCIDA",IF($O664&gt;Hoje!$L$1,"Programada",IF($P664&gt;Hoje!$L$1,"Em execução","Fecha hoje"))))))))</f>
        <v/>
      </c>
      <c r="C664" s="41"/>
      <c r="D664" s="42"/>
      <c r="E664" s="42"/>
      <c r="F664" s="42"/>
      <c r="G664" s="43"/>
      <c r="H664" s="43"/>
      <c r="I664" s="44"/>
      <c r="J664" s="44"/>
      <c r="K664" s="44"/>
      <c r="L664" s="45"/>
      <c r="M664" s="46"/>
      <c r="N664" s="45"/>
      <c r="O664" s="47" t="str">
        <f aca="false">IF(OR($L664="",$M664=""),"",(DATE(Semana!$J$3,1,4)-WEEKDAY(DATE(Semana!$J$3,1,4),3))+($L664-1)*7+MATCH($M664,Listas!$F$5:$F$11,0)-1)</f>
        <v/>
      </c>
      <c r="P664" s="47" t="str">
        <f aca="false">IF(OR($F664="",$O664=""),"",$O664+MAX(0,ROUNDUP($AK664*MAX(1,IF($N664="",1,$N664))/MAX(1,$AL664),0)-1))</f>
        <v/>
      </c>
      <c r="Q664" s="48"/>
      <c r="R664" s="43"/>
      <c r="S664" s="49"/>
      <c r="T664" s="42"/>
      <c r="U664" s="42"/>
      <c r="V664" s="39" t="str">
        <f aca="false">IF($F664="","",IF(ISNUMBER(SEARCH("(externo)",$I664&amp;$J664&amp;$K664)),"Terceirizada","Interna"))</f>
        <v/>
      </c>
      <c r="W664" s="47" t="str">
        <f aca="false">IF($O664="","",IF($S664="",$O664,(DATE(Semana!$J$3,1,4)-WEEKDAY(DATE(Semana!$J$3,1,4),3))+($S664-1)*7+IF($M664="",0,MATCH($M664,Listas!$F$5:$F$11,0)-1)))</f>
        <v/>
      </c>
      <c r="X664" s="39" t="str">
        <f aca="false">IF($F664="","",IF(OR($AT664="",$O664=""),0,IF($AT664&lt;=$O664,1,0)))</f>
        <v/>
      </c>
      <c r="Y664" s="39" t="str">
        <f aca="false">IF($F664="","",IF(OR($AT664="",$W664=""),0,IF($AT664&lt;=$W664,1,0)))</f>
        <v/>
      </c>
      <c r="Z664" s="39" t="str">
        <f aca="false">IF(OR($AT664="",$O664=""),"",MAX(0,$AT664-$O664))</f>
        <v/>
      </c>
      <c r="AA664" s="39" t="str">
        <f aca="false">IF($F664="","",IF(AND($S664&lt;&gt;"",$L664&lt;&gt;"",$S664&lt;&gt;$L664),1,0))</f>
        <v/>
      </c>
      <c r="AB664" s="39" t="str">
        <f aca="false">IF($F664="","",IF($R664="Cancelada",0,IF(OR($AT664&lt;&gt;"",$R664="Concluída"),1,0)))</f>
        <v/>
      </c>
      <c r="AC664" s="39" t="n">
        <f aca="false">IF($P664="",0,IF($P664&lt;Hoje!$L$1,1,IF(AND($P664=Hoje!$L$1,Hoje!$L$2&gt;Semana!$M$3),1,0)))</f>
        <v>0</v>
      </c>
      <c r="AD664" s="39" t="str">
        <f aca="false">IF($F664="","",IF(COUNTA($I664:$K664)=0,0,1/COUNTA($I664:$K664)))</f>
        <v/>
      </c>
      <c r="AE664" s="39" t="str">
        <f aca="false">IF($AH664=0,"",SUM($AH$4:$AH664))</f>
        <v/>
      </c>
      <c r="AF664" s="39" t="str">
        <f aca="false">IF($AI664=0,"",SUM($AI$4:$AI664))</f>
        <v/>
      </c>
      <c r="AG664" s="50" t="str">
        <f aca="false">IF($F664="","",$I664&amp;IF($J664="",""," · "&amp;$J664)&amp;IF($K664="",""," · "&amp;$K664))</f>
        <v/>
      </c>
      <c r="AH664" s="39" t="n">
        <f aca="false">IF(AND($F664&lt;&gt;"",$O664&lt;&gt;"",$O664&lt;=Hoje!$C$3,$P664&gt;=Hoje!$C$3,$R664&lt;&gt;"Cancelada"),1,0)</f>
        <v>0</v>
      </c>
      <c r="AI664" s="39" t="n">
        <f aca="false">IF(AND($F664&lt;&gt;"",$P664&lt;&gt;"",$P664&lt;Hoje!$C$3,$AB664=0,$R664&lt;&gt;"Cancelada"),1,0)</f>
        <v>0</v>
      </c>
      <c r="AJ664" s="50" t="str">
        <f aca="false">IF($F664="","",$D664&amp;"|"&amp;$E664&amp;"|"&amp;$L664)</f>
        <v/>
      </c>
      <c r="AK664" s="39" t="str">
        <f aca="false">IF($AJ664="","",COUNTIF($AJ$4:$AJ664,$AJ664))</f>
        <v/>
      </c>
      <c r="AL664" s="39" t="str">
        <f aca="false">IF($AJ664="","",COUNTIF($AJ$4:$AJ$1004,$AJ664))</f>
        <v/>
      </c>
      <c r="AM664" s="42"/>
      <c r="AN664" s="50" t="str">
        <f aca="false">IF($D664="","",IFERROR(T(VLOOKUP($D664,Listas!$B$5:$H$120,7,0)),""))</f>
        <v/>
      </c>
      <c r="AO664" s="50" t="str">
        <f aca="false">IF(OR($F664="",$L664&lt;&gt;"",$R664="Cancelada",$AT664&lt;&gt;""),"",$AN664&amp;"|"&amp;$D664&amp;"|"&amp;IF($C664="","zzz",$C664)&amp;"|"&amp;TEXT(664,"0000"))</f>
        <v/>
      </c>
      <c r="AP664" s="50" t="str">
        <f aca="false">IF($AO664="","",COUNTIF($AO$5:$AO$1004,"&lt;"&amp;$AO664)-(ROWS($AO$5:$AO$1004)-Hoje!$L$5)+1)</f>
        <v/>
      </c>
      <c r="AQ664" s="50" t="n">
        <f aca="false">IF(AND($F664&lt;&gt;"",$D664=Frota!$C$3),1,0)</f>
        <v>0</v>
      </c>
      <c r="AR664" s="50" t="str">
        <f aca="false">IF($AQ664=0,"",SUM($AQ$4:$AQ664))</f>
        <v/>
      </c>
      <c r="AS664" s="50" t="str">
        <f aca="false">IFERROR(INDEX(Hoje!$K$10:$K$29,MATCH(ROW(),Hoje!$J$10:$J$29,0)),"")</f>
        <v/>
      </c>
      <c r="AT664" s="50" t="str">
        <f aca="false">IF($Q664&lt;&gt;"",$Q664,$AS664)</f>
        <v/>
      </c>
    </row>
    <row r="665" customFormat="false" ht="16.5" hidden="false" customHeight="true" outlineLevel="0" collapsed="false">
      <c r="A665" s="39" t="str">
        <f aca="false">IF($F665="","",ROW())</f>
        <v/>
      </c>
      <c r="B665" s="40" t="str">
        <f aca="false">IF($F665="",IF($D665="","","Falta a atividade"),IF($R665="Cancelada","Cancelada",IF($AB665=1,IF(N($Z665)&gt;0,"Concluída com atraso","Concluída"),IF($R665="Em programação","Em programação",IF($O665="",IF($M665="","Na carteira","Falta a semana"),IF($AC665=1,"VENCIDA",IF($O665&gt;Hoje!$L$1,"Programada",IF($P665&gt;Hoje!$L$1,"Em execução","Fecha hoje"))))))))</f>
        <v/>
      </c>
      <c r="C665" s="41"/>
      <c r="D665" s="42"/>
      <c r="E665" s="42"/>
      <c r="F665" s="42"/>
      <c r="G665" s="43"/>
      <c r="H665" s="43"/>
      <c r="I665" s="44"/>
      <c r="J665" s="44"/>
      <c r="K665" s="44"/>
      <c r="L665" s="45"/>
      <c r="M665" s="46"/>
      <c r="N665" s="45"/>
      <c r="O665" s="47" t="str">
        <f aca="false">IF(OR($L665="",$M665=""),"",(DATE(Semana!$J$3,1,4)-WEEKDAY(DATE(Semana!$J$3,1,4),3))+($L665-1)*7+MATCH($M665,Listas!$F$5:$F$11,0)-1)</f>
        <v/>
      </c>
      <c r="P665" s="47" t="str">
        <f aca="false">IF(OR($F665="",$O665=""),"",$O665+MAX(0,ROUNDUP($AK665*MAX(1,IF($N665="",1,$N665))/MAX(1,$AL665),0)-1))</f>
        <v/>
      </c>
      <c r="Q665" s="48"/>
      <c r="R665" s="43"/>
      <c r="S665" s="49"/>
      <c r="T665" s="42"/>
      <c r="U665" s="42"/>
      <c r="V665" s="39" t="str">
        <f aca="false">IF($F665="","",IF(ISNUMBER(SEARCH("(externo)",$I665&amp;$J665&amp;$K665)),"Terceirizada","Interna"))</f>
        <v/>
      </c>
      <c r="W665" s="47" t="str">
        <f aca="false">IF($O665="","",IF($S665="",$O665,(DATE(Semana!$J$3,1,4)-WEEKDAY(DATE(Semana!$J$3,1,4),3))+($S665-1)*7+IF($M665="",0,MATCH($M665,Listas!$F$5:$F$11,0)-1)))</f>
        <v/>
      </c>
      <c r="X665" s="39" t="str">
        <f aca="false">IF($F665="","",IF(OR($AT665="",$O665=""),0,IF($AT665&lt;=$O665,1,0)))</f>
        <v/>
      </c>
      <c r="Y665" s="39" t="str">
        <f aca="false">IF($F665="","",IF(OR($AT665="",$W665=""),0,IF($AT665&lt;=$W665,1,0)))</f>
        <v/>
      </c>
      <c r="Z665" s="39" t="str">
        <f aca="false">IF(OR($AT665="",$O665=""),"",MAX(0,$AT665-$O665))</f>
        <v/>
      </c>
      <c r="AA665" s="39" t="str">
        <f aca="false">IF($F665="","",IF(AND($S665&lt;&gt;"",$L665&lt;&gt;"",$S665&lt;&gt;$L665),1,0))</f>
        <v/>
      </c>
      <c r="AB665" s="39" t="str">
        <f aca="false">IF($F665="","",IF($R665="Cancelada",0,IF(OR($AT665&lt;&gt;"",$R665="Concluída"),1,0)))</f>
        <v/>
      </c>
      <c r="AC665" s="39" t="n">
        <f aca="false">IF($P665="",0,IF($P665&lt;Hoje!$L$1,1,IF(AND($P665=Hoje!$L$1,Hoje!$L$2&gt;Semana!$M$3),1,0)))</f>
        <v>0</v>
      </c>
      <c r="AD665" s="39" t="str">
        <f aca="false">IF($F665="","",IF(COUNTA($I665:$K665)=0,0,1/COUNTA($I665:$K665)))</f>
        <v/>
      </c>
      <c r="AE665" s="39" t="str">
        <f aca="false">IF($AH665=0,"",SUM($AH$4:$AH665))</f>
        <v/>
      </c>
      <c r="AF665" s="39" t="str">
        <f aca="false">IF($AI665=0,"",SUM($AI$4:$AI665))</f>
        <v/>
      </c>
      <c r="AG665" s="50" t="str">
        <f aca="false">IF($F665="","",$I665&amp;IF($J665="",""," · "&amp;$J665)&amp;IF($K665="",""," · "&amp;$K665))</f>
        <v/>
      </c>
      <c r="AH665" s="39" t="n">
        <f aca="false">IF(AND($F665&lt;&gt;"",$O665&lt;&gt;"",$O665&lt;=Hoje!$C$3,$P665&gt;=Hoje!$C$3,$R665&lt;&gt;"Cancelada"),1,0)</f>
        <v>0</v>
      </c>
      <c r="AI665" s="39" t="n">
        <f aca="false">IF(AND($F665&lt;&gt;"",$P665&lt;&gt;"",$P665&lt;Hoje!$C$3,$AB665=0,$R665&lt;&gt;"Cancelada"),1,0)</f>
        <v>0</v>
      </c>
      <c r="AJ665" s="50" t="str">
        <f aca="false">IF($F665="","",$D665&amp;"|"&amp;$E665&amp;"|"&amp;$L665)</f>
        <v/>
      </c>
      <c r="AK665" s="39" t="str">
        <f aca="false">IF($AJ665="","",COUNTIF($AJ$4:$AJ665,$AJ665))</f>
        <v/>
      </c>
      <c r="AL665" s="39" t="str">
        <f aca="false">IF($AJ665="","",COUNTIF($AJ$4:$AJ$1004,$AJ665))</f>
        <v/>
      </c>
      <c r="AM665" s="42"/>
      <c r="AN665" s="50" t="str">
        <f aca="false">IF($D665="","",IFERROR(T(VLOOKUP($D665,Listas!$B$5:$H$120,7,0)),""))</f>
        <v/>
      </c>
      <c r="AO665" s="50" t="str">
        <f aca="false">IF(OR($F665="",$L665&lt;&gt;"",$R665="Cancelada",$AT665&lt;&gt;""),"",$AN665&amp;"|"&amp;$D665&amp;"|"&amp;IF($C665="","zzz",$C665)&amp;"|"&amp;TEXT(665,"0000"))</f>
        <v/>
      </c>
      <c r="AP665" s="50" t="str">
        <f aca="false">IF($AO665="","",COUNTIF($AO$5:$AO$1004,"&lt;"&amp;$AO665)-(ROWS($AO$5:$AO$1004)-Hoje!$L$5)+1)</f>
        <v/>
      </c>
      <c r="AQ665" s="50" t="n">
        <f aca="false">IF(AND($F665&lt;&gt;"",$D665=Frota!$C$3),1,0)</f>
        <v>0</v>
      </c>
      <c r="AR665" s="50" t="str">
        <f aca="false">IF($AQ665=0,"",SUM($AQ$4:$AQ665))</f>
        <v/>
      </c>
      <c r="AS665" s="50" t="str">
        <f aca="false">IFERROR(INDEX(Hoje!$K$10:$K$29,MATCH(ROW(),Hoje!$J$10:$J$29,0)),"")</f>
        <v/>
      </c>
      <c r="AT665" s="50" t="str">
        <f aca="false">IF($Q665&lt;&gt;"",$Q665,$AS665)</f>
        <v/>
      </c>
    </row>
    <row r="666" customFormat="false" ht="16.5" hidden="false" customHeight="true" outlineLevel="0" collapsed="false">
      <c r="A666" s="39" t="str">
        <f aca="false">IF($F666="","",ROW())</f>
        <v/>
      </c>
      <c r="B666" s="40" t="str">
        <f aca="false">IF($F666="",IF($D666="","","Falta a atividade"),IF($R666="Cancelada","Cancelada",IF($AB666=1,IF(N($Z666)&gt;0,"Concluída com atraso","Concluída"),IF($R666="Em programação","Em programação",IF($O666="",IF($M666="","Na carteira","Falta a semana"),IF($AC666=1,"VENCIDA",IF($O666&gt;Hoje!$L$1,"Programada",IF($P666&gt;Hoje!$L$1,"Em execução","Fecha hoje"))))))))</f>
        <v/>
      </c>
      <c r="C666" s="41"/>
      <c r="D666" s="42"/>
      <c r="E666" s="42"/>
      <c r="F666" s="42"/>
      <c r="G666" s="43"/>
      <c r="H666" s="43"/>
      <c r="I666" s="44"/>
      <c r="J666" s="44"/>
      <c r="K666" s="44"/>
      <c r="L666" s="45"/>
      <c r="M666" s="46"/>
      <c r="N666" s="45"/>
      <c r="O666" s="47" t="str">
        <f aca="false">IF(OR($L666="",$M666=""),"",(DATE(Semana!$J$3,1,4)-WEEKDAY(DATE(Semana!$J$3,1,4),3))+($L666-1)*7+MATCH($M666,Listas!$F$5:$F$11,0)-1)</f>
        <v/>
      </c>
      <c r="P666" s="47" t="str">
        <f aca="false">IF(OR($F666="",$O666=""),"",$O666+MAX(0,ROUNDUP($AK666*MAX(1,IF($N666="",1,$N666))/MAX(1,$AL666),0)-1))</f>
        <v/>
      </c>
      <c r="Q666" s="48"/>
      <c r="R666" s="43"/>
      <c r="S666" s="49"/>
      <c r="T666" s="42"/>
      <c r="U666" s="42"/>
      <c r="V666" s="39" t="str">
        <f aca="false">IF($F666="","",IF(ISNUMBER(SEARCH("(externo)",$I666&amp;$J666&amp;$K666)),"Terceirizada","Interna"))</f>
        <v/>
      </c>
      <c r="W666" s="47" t="str">
        <f aca="false">IF($O666="","",IF($S666="",$O666,(DATE(Semana!$J$3,1,4)-WEEKDAY(DATE(Semana!$J$3,1,4),3))+($S666-1)*7+IF($M666="",0,MATCH($M666,Listas!$F$5:$F$11,0)-1)))</f>
        <v/>
      </c>
      <c r="X666" s="39" t="str">
        <f aca="false">IF($F666="","",IF(OR($AT666="",$O666=""),0,IF($AT666&lt;=$O666,1,0)))</f>
        <v/>
      </c>
      <c r="Y666" s="39" t="str">
        <f aca="false">IF($F666="","",IF(OR($AT666="",$W666=""),0,IF($AT666&lt;=$W666,1,0)))</f>
        <v/>
      </c>
      <c r="Z666" s="39" t="str">
        <f aca="false">IF(OR($AT666="",$O666=""),"",MAX(0,$AT666-$O666))</f>
        <v/>
      </c>
      <c r="AA666" s="39" t="str">
        <f aca="false">IF($F666="","",IF(AND($S666&lt;&gt;"",$L666&lt;&gt;"",$S666&lt;&gt;$L666),1,0))</f>
        <v/>
      </c>
      <c r="AB666" s="39" t="str">
        <f aca="false">IF($F666="","",IF($R666="Cancelada",0,IF(OR($AT666&lt;&gt;"",$R666="Concluída"),1,0)))</f>
        <v/>
      </c>
      <c r="AC666" s="39" t="n">
        <f aca="false">IF($P666="",0,IF($P666&lt;Hoje!$L$1,1,IF(AND($P666=Hoje!$L$1,Hoje!$L$2&gt;Semana!$M$3),1,0)))</f>
        <v>0</v>
      </c>
      <c r="AD666" s="39" t="str">
        <f aca="false">IF($F666="","",IF(COUNTA($I666:$K666)=0,0,1/COUNTA($I666:$K666)))</f>
        <v/>
      </c>
      <c r="AE666" s="39" t="str">
        <f aca="false">IF($AH666=0,"",SUM($AH$4:$AH666))</f>
        <v/>
      </c>
      <c r="AF666" s="39" t="str">
        <f aca="false">IF($AI666=0,"",SUM($AI$4:$AI666))</f>
        <v/>
      </c>
      <c r="AG666" s="50" t="str">
        <f aca="false">IF($F666="","",$I666&amp;IF($J666="",""," · "&amp;$J666)&amp;IF($K666="",""," · "&amp;$K666))</f>
        <v/>
      </c>
      <c r="AH666" s="39" t="n">
        <f aca="false">IF(AND($F666&lt;&gt;"",$O666&lt;&gt;"",$O666&lt;=Hoje!$C$3,$P666&gt;=Hoje!$C$3,$R666&lt;&gt;"Cancelada"),1,0)</f>
        <v>0</v>
      </c>
      <c r="AI666" s="39" t="n">
        <f aca="false">IF(AND($F666&lt;&gt;"",$P666&lt;&gt;"",$P666&lt;Hoje!$C$3,$AB666=0,$R666&lt;&gt;"Cancelada"),1,0)</f>
        <v>0</v>
      </c>
      <c r="AJ666" s="50" t="str">
        <f aca="false">IF($F666="","",$D666&amp;"|"&amp;$E666&amp;"|"&amp;$L666)</f>
        <v/>
      </c>
      <c r="AK666" s="39" t="str">
        <f aca="false">IF($AJ666="","",COUNTIF($AJ$4:$AJ666,$AJ666))</f>
        <v/>
      </c>
      <c r="AL666" s="39" t="str">
        <f aca="false">IF($AJ666="","",COUNTIF($AJ$4:$AJ$1004,$AJ666))</f>
        <v/>
      </c>
      <c r="AM666" s="42"/>
      <c r="AN666" s="50" t="str">
        <f aca="false">IF($D666="","",IFERROR(T(VLOOKUP($D666,Listas!$B$5:$H$120,7,0)),""))</f>
        <v/>
      </c>
      <c r="AO666" s="50" t="str">
        <f aca="false">IF(OR($F666="",$L666&lt;&gt;"",$R666="Cancelada",$AT666&lt;&gt;""),"",$AN666&amp;"|"&amp;$D666&amp;"|"&amp;IF($C666="","zzz",$C666)&amp;"|"&amp;TEXT(666,"0000"))</f>
        <v/>
      </c>
      <c r="AP666" s="50" t="str">
        <f aca="false">IF($AO666="","",COUNTIF($AO$5:$AO$1004,"&lt;"&amp;$AO666)-(ROWS($AO$5:$AO$1004)-Hoje!$L$5)+1)</f>
        <v/>
      </c>
      <c r="AQ666" s="50" t="n">
        <f aca="false">IF(AND($F666&lt;&gt;"",$D666=Frota!$C$3),1,0)</f>
        <v>0</v>
      </c>
      <c r="AR666" s="50" t="str">
        <f aca="false">IF($AQ666=0,"",SUM($AQ$4:$AQ666))</f>
        <v/>
      </c>
      <c r="AS666" s="50" t="str">
        <f aca="false">IFERROR(INDEX(Hoje!$K$10:$K$29,MATCH(ROW(),Hoje!$J$10:$J$29,0)),"")</f>
        <v/>
      </c>
      <c r="AT666" s="50" t="str">
        <f aca="false">IF($Q666&lt;&gt;"",$Q666,$AS666)</f>
        <v/>
      </c>
    </row>
    <row r="667" customFormat="false" ht="16.5" hidden="false" customHeight="true" outlineLevel="0" collapsed="false">
      <c r="A667" s="39" t="str">
        <f aca="false">IF($F667="","",ROW())</f>
        <v/>
      </c>
      <c r="B667" s="40" t="str">
        <f aca="false">IF($F667="",IF($D667="","","Falta a atividade"),IF($R667="Cancelada","Cancelada",IF($AB667=1,IF(N($Z667)&gt;0,"Concluída com atraso","Concluída"),IF($R667="Em programação","Em programação",IF($O667="",IF($M667="","Na carteira","Falta a semana"),IF($AC667=1,"VENCIDA",IF($O667&gt;Hoje!$L$1,"Programada",IF($P667&gt;Hoje!$L$1,"Em execução","Fecha hoje"))))))))</f>
        <v/>
      </c>
      <c r="C667" s="41"/>
      <c r="D667" s="42"/>
      <c r="E667" s="42"/>
      <c r="F667" s="42"/>
      <c r="G667" s="43"/>
      <c r="H667" s="43"/>
      <c r="I667" s="44"/>
      <c r="J667" s="44"/>
      <c r="K667" s="44"/>
      <c r="L667" s="45"/>
      <c r="M667" s="46"/>
      <c r="N667" s="45"/>
      <c r="O667" s="47" t="str">
        <f aca="false">IF(OR($L667="",$M667=""),"",(DATE(Semana!$J$3,1,4)-WEEKDAY(DATE(Semana!$J$3,1,4),3))+($L667-1)*7+MATCH($M667,Listas!$F$5:$F$11,0)-1)</f>
        <v/>
      </c>
      <c r="P667" s="47" t="str">
        <f aca="false">IF(OR($F667="",$O667=""),"",$O667+MAX(0,ROUNDUP($AK667*MAX(1,IF($N667="",1,$N667))/MAX(1,$AL667),0)-1))</f>
        <v/>
      </c>
      <c r="Q667" s="48"/>
      <c r="R667" s="43"/>
      <c r="S667" s="49"/>
      <c r="T667" s="42"/>
      <c r="U667" s="42"/>
      <c r="V667" s="39" t="str">
        <f aca="false">IF($F667="","",IF(ISNUMBER(SEARCH("(externo)",$I667&amp;$J667&amp;$K667)),"Terceirizada","Interna"))</f>
        <v/>
      </c>
      <c r="W667" s="47" t="str">
        <f aca="false">IF($O667="","",IF($S667="",$O667,(DATE(Semana!$J$3,1,4)-WEEKDAY(DATE(Semana!$J$3,1,4),3))+($S667-1)*7+IF($M667="",0,MATCH($M667,Listas!$F$5:$F$11,0)-1)))</f>
        <v/>
      </c>
      <c r="X667" s="39" t="str">
        <f aca="false">IF($F667="","",IF(OR($AT667="",$O667=""),0,IF($AT667&lt;=$O667,1,0)))</f>
        <v/>
      </c>
      <c r="Y667" s="39" t="str">
        <f aca="false">IF($F667="","",IF(OR($AT667="",$W667=""),0,IF($AT667&lt;=$W667,1,0)))</f>
        <v/>
      </c>
      <c r="Z667" s="39" t="str">
        <f aca="false">IF(OR($AT667="",$O667=""),"",MAX(0,$AT667-$O667))</f>
        <v/>
      </c>
      <c r="AA667" s="39" t="str">
        <f aca="false">IF($F667="","",IF(AND($S667&lt;&gt;"",$L667&lt;&gt;"",$S667&lt;&gt;$L667),1,0))</f>
        <v/>
      </c>
      <c r="AB667" s="39" t="str">
        <f aca="false">IF($F667="","",IF($R667="Cancelada",0,IF(OR($AT667&lt;&gt;"",$R667="Concluída"),1,0)))</f>
        <v/>
      </c>
      <c r="AC667" s="39" t="n">
        <f aca="false">IF($P667="",0,IF($P667&lt;Hoje!$L$1,1,IF(AND($P667=Hoje!$L$1,Hoje!$L$2&gt;Semana!$M$3),1,0)))</f>
        <v>0</v>
      </c>
      <c r="AD667" s="39" t="str">
        <f aca="false">IF($F667="","",IF(COUNTA($I667:$K667)=0,0,1/COUNTA($I667:$K667)))</f>
        <v/>
      </c>
      <c r="AE667" s="39" t="str">
        <f aca="false">IF($AH667=0,"",SUM($AH$4:$AH667))</f>
        <v/>
      </c>
      <c r="AF667" s="39" t="str">
        <f aca="false">IF($AI667=0,"",SUM($AI$4:$AI667))</f>
        <v/>
      </c>
      <c r="AG667" s="50" t="str">
        <f aca="false">IF($F667="","",$I667&amp;IF($J667="",""," · "&amp;$J667)&amp;IF($K667="",""," · "&amp;$K667))</f>
        <v/>
      </c>
      <c r="AH667" s="39" t="n">
        <f aca="false">IF(AND($F667&lt;&gt;"",$O667&lt;&gt;"",$O667&lt;=Hoje!$C$3,$P667&gt;=Hoje!$C$3,$R667&lt;&gt;"Cancelada"),1,0)</f>
        <v>0</v>
      </c>
      <c r="AI667" s="39" t="n">
        <f aca="false">IF(AND($F667&lt;&gt;"",$P667&lt;&gt;"",$P667&lt;Hoje!$C$3,$AB667=0,$R667&lt;&gt;"Cancelada"),1,0)</f>
        <v>0</v>
      </c>
      <c r="AJ667" s="50" t="str">
        <f aca="false">IF($F667="","",$D667&amp;"|"&amp;$E667&amp;"|"&amp;$L667)</f>
        <v/>
      </c>
      <c r="AK667" s="39" t="str">
        <f aca="false">IF($AJ667="","",COUNTIF($AJ$4:$AJ667,$AJ667))</f>
        <v/>
      </c>
      <c r="AL667" s="39" t="str">
        <f aca="false">IF($AJ667="","",COUNTIF($AJ$4:$AJ$1004,$AJ667))</f>
        <v/>
      </c>
      <c r="AM667" s="42"/>
      <c r="AN667" s="50" t="str">
        <f aca="false">IF($D667="","",IFERROR(T(VLOOKUP($D667,Listas!$B$5:$H$120,7,0)),""))</f>
        <v/>
      </c>
      <c r="AO667" s="50" t="str">
        <f aca="false">IF(OR($F667="",$L667&lt;&gt;"",$R667="Cancelada",$AT667&lt;&gt;""),"",$AN667&amp;"|"&amp;$D667&amp;"|"&amp;IF($C667="","zzz",$C667)&amp;"|"&amp;TEXT(667,"0000"))</f>
        <v/>
      </c>
      <c r="AP667" s="50" t="str">
        <f aca="false">IF($AO667="","",COUNTIF($AO$5:$AO$1004,"&lt;"&amp;$AO667)-(ROWS($AO$5:$AO$1004)-Hoje!$L$5)+1)</f>
        <v/>
      </c>
      <c r="AQ667" s="50" t="n">
        <f aca="false">IF(AND($F667&lt;&gt;"",$D667=Frota!$C$3),1,0)</f>
        <v>0</v>
      </c>
      <c r="AR667" s="50" t="str">
        <f aca="false">IF($AQ667=0,"",SUM($AQ$4:$AQ667))</f>
        <v/>
      </c>
      <c r="AS667" s="50" t="str">
        <f aca="false">IFERROR(INDEX(Hoje!$K$10:$K$29,MATCH(ROW(),Hoje!$J$10:$J$29,0)),"")</f>
        <v/>
      </c>
      <c r="AT667" s="50" t="str">
        <f aca="false">IF($Q667&lt;&gt;"",$Q667,$AS667)</f>
        <v/>
      </c>
    </row>
    <row r="668" customFormat="false" ht="16.5" hidden="false" customHeight="true" outlineLevel="0" collapsed="false">
      <c r="A668" s="39" t="str">
        <f aca="false">IF($F668="","",ROW())</f>
        <v/>
      </c>
      <c r="B668" s="40" t="str">
        <f aca="false">IF($F668="",IF($D668="","","Falta a atividade"),IF($R668="Cancelada","Cancelada",IF($AB668=1,IF(N($Z668)&gt;0,"Concluída com atraso","Concluída"),IF($R668="Em programação","Em programação",IF($O668="",IF($M668="","Na carteira","Falta a semana"),IF($AC668=1,"VENCIDA",IF($O668&gt;Hoje!$L$1,"Programada",IF($P668&gt;Hoje!$L$1,"Em execução","Fecha hoje"))))))))</f>
        <v/>
      </c>
      <c r="C668" s="41"/>
      <c r="D668" s="42"/>
      <c r="E668" s="42"/>
      <c r="F668" s="42"/>
      <c r="G668" s="43"/>
      <c r="H668" s="43"/>
      <c r="I668" s="44"/>
      <c r="J668" s="44"/>
      <c r="K668" s="44"/>
      <c r="L668" s="45"/>
      <c r="M668" s="46"/>
      <c r="N668" s="45"/>
      <c r="O668" s="47" t="str">
        <f aca="false">IF(OR($L668="",$M668=""),"",(DATE(Semana!$J$3,1,4)-WEEKDAY(DATE(Semana!$J$3,1,4),3))+($L668-1)*7+MATCH($M668,Listas!$F$5:$F$11,0)-1)</f>
        <v/>
      </c>
      <c r="P668" s="47" t="str">
        <f aca="false">IF(OR($F668="",$O668=""),"",$O668+MAX(0,ROUNDUP($AK668*MAX(1,IF($N668="",1,$N668))/MAX(1,$AL668),0)-1))</f>
        <v/>
      </c>
      <c r="Q668" s="48"/>
      <c r="R668" s="43"/>
      <c r="S668" s="49"/>
      <c r="T668" s="42"/>
      <c r="U668" s="42"/>
      <c r="V668" s="39" t="str">
        <f aca="false">IF($F668="","",IF(ISNUMBER(SEARCH("(externo)",$I668&amp;$J668&amp;$K668)),"Terceirizada","Interna"))</f>
        <v/>
      </c>
      <c r="W668" s="47" t="str">
        <f aca="false">IF($O668="","",IF($S668="",$O668,(DATE(Semana!$J$3,1,4)-WEEKDAY(DATE(Semana!$J$3,1,4),3))+($S668-1)*7+IF($M668="",0,MATCH($M668,Listas!$F$5:$F$11,0)-1)))</f>
        <v/>
      </c>
      <c r="X668" s="39" t="str">
        <f aca="false">IF($F668="","",IF(OR($AT668="",$O668=""),0,IF($AT668&lt;=$O668,1,0)))</f>
        <v/>
      </c>
      <c r="Y668" s="39" t="str">
        <f aca="false">IF($F668="","",IF(OR($AT668="",$W668=""),0,IF($AT668&lt;=$W668,1,0)))</f>
        <v/>
      </c>
      <c r="Z668" s="39" t="str">
        <f aca="false">IF(OR($AT668="",$O668=""),"",MAX(0,$AT668-$O668))</f>
        <v/>
      </c>
      <c r="AA668" s="39" t="str">
        <f aca="false">IF($F668="","",IF(AND($S668&lt;&gt;"",$L668&lt;&gt;"",$S668&lt;&gt;$L668),1,0))</f>
        <v/>
      </c>
      <c r="AB668" s="39" t="str">
        <f aca="false">IF($F668="","",IF($R668="Cancelada",0,IF(OR($AT668&lt;&gt;"",$R668="Concluída"),1,0)))</f>
        <v/>
      </c>
      <c r="AC668" s="39" t="n">
        <f aca="false">IF($P668="",0,IF($P668&lt;Hoje!$L$1,1,IF(AND($P668=Hoje!$L$1,Hoje!$L$2&gt;Semana!$M$3),1,0)))</f>
        <v>0</v>
      </c>
      <c r="AD668" s="39" t="str">
        <f aca="false">IF($F668="","",IF(COUNTA($I668:$K668)=0,0,1/COUNTA($I668:$K668)))</f>
        <v/>
      </c>
      <c r="AE668" s="39" t="str">
        <f aca="false">IF($AH668=0,"",SUM($AH$4:$AH668))</f>
        <v/>
      </c>
      <c r="AF668" s="39" t="str">
        <f aca="false">IF($AI668=0,"",SUM($AI$4:$AI668))</f>
        <v/>
      </c>
      <c r="AG668" s="50" t="str">
        <f aca="false">IF($F668="","",$I668&amp;IF($J668="",""," · "&amp;$J668)&amp;IF($K668="",""," · "&amp;$K668))</f>
        <v/>
      </c>
      <c r="AH668" s="39" t="n">
        <f aca="false">IF(AND($F668&lt;&gt;"",$O668&lt;&gt;"",$O668&lt;=Hoje!$C$3,$P668&gt;=Hoje!$C$3,$R668&lt;&gt;"Cancelada"),1,0)</f>
        <v>0</v>
      </c>
      <c r="AI668" s="39" t="n">
        <f aca="false">IF(AND($F668&lt;&gt;"",$P668&lt;&gt;"",$P668&lt;Hoje!$C$3,$AB668=0,$R668&lt;&gt;"Cancelada"),1,0)</f>
        <v>0</v>
      </c>
      <c r="AJ668" s="50" t="str">
        <f aca="false">IF($F668="","",$D668&amp;"|"&amp;$E668&amp;"|"&amp;$L668)</f>
        <v/>
      </c>
      <c r="AK668" s="39" t="str">
        <f aca="false">IF($AJ668="","",COUNTIF($AJ$4:$AJ668,$AJ668))</f>
        <v/>
      </c>
      <c r="AL668" s="39" t="str">
        <f aca="false">IF($AJ668="","",COUNTIF($AJ$4:$AJ$1004,$AJ668))</f>
        <v/>
      </c>
      <c r="AM668" s="42"/>
      <c r="AN668" s="50" t="str">
        <f aca="false">IF($D668="","",IFERROR(T(VLOOKUP($D668,Listas!$B$5:$H$120,7,0)),""))</f>
        <v/>
      </c>
      <c r="AO668" s="50" t="str">
        <f aca="false">IF(OR($F668="",$L668&lt;&gt;"",$R668="Cancelada",$AT668&lt;&gt;""),"",$AN668&amp;"|"&amp;$D668&amp;"|"&amp;IF($C668="","zzz",$C668)&amp;"|"&amp;TEXT(668,"0000"))</f>
        <v/>
      </c>
      <c r="AP668" s="50" t="str">
        <f aca="false">IF($AO668="","",COUNTIF($AO$5:$AO$1004,"&lt;"&amp;$AO668)-(ROWS($AO$5:$AO$1004)-Hoje!$L$5)+1)</f>
        <v/>
      </c>
      <c r="AQ668" s="50" t="n">
        <f aca="false">IF(AND($F668&lt;&gt;"",$D668=Frota!$C$3),1,0)</f>
        <v>0</v>
      </c>
      <c r="AR668" s="50" t="str">
        <f aca="false">IF($AQ668=0,"",SUM($AQ$4:$AQ668))</f>
        <v/>
      </c>
      <c r="AS668" s="50" t="str">
        <f aca="false">IFERROR(INDEX(Hoje!$K$10:$K$29,MATCH(ROW(),Hoje!$J$10:$J$29,0)),"")</f>
        <v/>
      </c>
      <c r="AT668" s="50" t="str">
        <f aca="false">IF($Q668&lt;&gt;"",$Q668,$AS668)</f>
        <v/>
      </c>
    </row>
    <row r="669" customFormat="false" ht="16.5" hidden="false" customHeight="true" outlineLevel="0" collapsed="false">
      <c r="A669" s="39" t="str">
        <f aca="false">IF($F669="","",ROW())</f>
        <v/>
      </c>
      <c r="B669" s="40" t="str">
        <f aca="false">IF($F669="",IF($D669="","","Falta a atividade"),IF($R669="Cancelada","Cancelada",IF($AB669=1,IF(N($Z669)&gt;0,"Concluída com atraso","Concluída"),IF($R669="Em programação","Em programação",IF($O669="",IF($M669="","Na carteira","Falta a semana"),IF($AC669=1,"VENCIDA",IF($O669&gt;Hoje!$L$1,"Programada",IF($P669&gt;Hoje!$L$1,"Em execução","Fecha hoje"))))))))</f>
        <v/>
      </c>
      <c r="C669" s="41"/>
      <c r="D669" s="42"/>
      <c r="E669" s="42"/>
      <c r="F669" s="42"/>
      <c r="G669" s="43"/>
      <c r="H669" s="43"/>
      <c r="I669" s="44"/>
      <c r="J669" s="44"/>
      <c r="K669" s="44"/>
      <c r="L669" s="45"/>
      <c r="M669" s="46"/>
      <c r="N669" s="45"/>
      <c r="O669" s="47" t="str">
        <f aca="false">IF(OR($L669="",$M669=""),"",(DATE(Semana!$J$3,1,4)-WEEKDAY(DATE(Semana!$J$3,1,4),3))+($L669-1)*7+MATCH($M669,Listas!$F$5:$F$11,0)-1)</f>
        <v/>
      </c>
      <c r="P669" s="47" t="str">
        <f aca="false">IF(OR($F669="",$O669=""),"",$O669+MAX(0,ROUNDUP($AK669*MAX(1,IF($N669="",1,$N669))/MAX(1,$AL669),0)-1))</f>
        <v/>
      </c>
      <c r="Q669" s="48"/>
      <c r="R669" s="43"/>
      <c r="S669" s="49"/>
      <c r="T669" s="42"/>
      <c r="U669" s="42"/>
      <c r="V669" s="39" t="str">
        <f aca="false">IF($F669="","",IF(ISNUMBER(SEARCH("(externo)",$I669&amp;$J669&amp;$K669)),"Terceirizada","Interna"))</f>
        <v/>
      </c>
      <c r="W669" s="47" t="str">
        <f aca="false">IF($O669="","",IF($S669="",$O669,(DATE(Semana!$J$3,1,4)-WEEKDAY(DATE(Semana!$J$3,1,4),3))+($S669-1)*7+IF($M669="",0,MATCH($M669,Listas!$F$5:$F$11,0)-1)))</f>
        <v/>
      </c>
      <c r="X669" s="39" t="str">
        <f aca="false">IF($F669="","",IF(OR($AT669="",$O669=""),0,IF($AT669&lt;=$O669,1,0)))</f>
        <v/>
      </c>
      <c r="Y669" s="39" t="str">
        <f aca="false">IF($F669="","",IF(OR($AT669="",$W669=""),0,IF($AT669&lt;=$W669,1,0)))</f>
        <v/>
      </c>
      <c r="Z669" s="39" t="str">
        <f aca="false">IF(OR($AT669="",$O669=""),"",MAX(0,$AT669-$O669))</f>
        <v/>
      </c>
      <c r="AA669" s="39" t="str">
        <f aca="false">IF($F669="","",IF(AND($S669&lt;&gt;"",$L669&lt;&gt;"",$S669&lt;&gt;$L669),1,0))</f>
        <v/>
      </c>
      <c r="AB669" s="39" t="str">
        <f aca="false">IF($F669="","",IF($R669="Cancelada",0,IF(OR($AT669&lt;&gt;"",$R669="Concluída"),1,0)))</f>
        <v/>
      </c>
      <c r="AC669" s="39" t="n">
        <f aca="false">IF($P669="",0,IF($P669&lt;Hoje!$L$1,1,IF(AND($P669=Hoje!$L$1,Hoje!$L$2&gt;Semana!$M$3),1,0)))</f>
        <v>0</v>
      </c>
      <c r="AD669" s="39" t="str">
        <f aca="false">IF($F669="","",IF(COUNTA($I669:$K669)=0,0,1/COUNTA($I669:$K669)))</f>
        <v/>
      </c>
      <c r="AE669" s="39" t="str">
        <f aca="false">IF($AH669=0,"",SUM($AH$4:$AH669))</f>
        <v/>
      </c>
      <c r="AF669" s="39" t="str">
        <f aca="false">IF($AI669=0,"",SUM($AI$4:$AI669))</f>
        <v/>
      </c>
      <c r="AG669" s="50" t="str">
        <f aca="false">IF($F669="","",$I669&amp;IF($J669="",""," · "&amp;$J669)&amp;IF($K669="",""," · "&amp;$K669))</f>
        <v/>
      </c>
      <c r="AH669" s="39" t="n">
        <f aca="false">IF(AND($F669&lt;&gt;"",$O669&lt;&gt;"",$O669&lt;=Hoje!$C$3,$P669&gt;=Hoje!$C$3,$R669&lt;&gt;"Cancelada"),1,0)</f>
        <v>0</v>
      </c>
      <c r="AI669" s="39" t="n">
        <f aca="false">IF(AND($F669&lt;&gt;"",$P669&lt;&gt;"",$P669&lt;Hoje!$C$3,$AB669=0,$R669&lt;&gt;"Cancelada"),1,0)</f>
        <v>0</v>
      </c>
      <c r="AJ669" s="50" t="str">
        <f aca="false">IF($F669="","",$D669&amp;"|"&amp;$E669&amp;"|"&amp;$L669)</f>
        <v/>
      </c>
      <c r="AK669" s="39" t="str">
        <f aca="false">IF($AJ669="","",COUNTIF($AJ$4:$AJ669,$AJ669))</f>
        <v/>
      </c>
      <c r="AL669" s="39" t="str">
        <f aca="false">IF($AJ669="","",COUNTIF($AJ$4:$AJ$1004,$AJ669))</f>
        <v/>
      </c>
      <c r="AM669" s="42"/>
      <c r="AN669" s="50" t="str">
        <f aca="false">IF($D669="","",IFERROR(T(VLOOKUP($D669,Listas!$B$5:$H$120,7,0)),""))</f>
        <v/>
      </c>
      <c r="AO669" s="50" t="str">
        <f aca="false">IF(OR($F669="",$L669&lt;&gt;"",$R669="Cancelada",$AT669&lt;&gt;""),"",$AN669&amp;"|"&amp;$D669&amp;"|"&amp;IF($C669="","zzz",$C669)&amp;"|"&amp;TEXT(669,"0000"))</f>
        <v/>
      </c>
      <c r="AP669" s="50" t="str">
        <f aca="false">IF($AO669="","",COUNTIF($AO$5:$AO$1004,"&lt;"&amp;$AO669)-(ROWS($AO$5:$AO$1004)-Hoje!$L$5)+1)</f>
        <v/>
      </c>
      <c r="AQ669" s="50" t="n">
        <f aca="false">IF(AND($F669&lt;&gt;"",$D669=Frota!$C$3),1,0)</f>
        <v>0</v>
      </c>
      <c r="AR669" s="50" t="str">
        <f aca="false">IF($AQ669=0,"",SUM($AQ$4:$AQ669))</f>
        <v/>
      </c>
      <c r="AS669" s="50" t="str">
        <f aca="false">IFERROR(INDEX(Hoje!$K$10:$K$29,MATCH(ROW(),Hoje!$J$10:$J$29,0)),"")</f>
        <v/>
      </c>
      <c r="AT669" s="50" t="str">
        <f aca="false">IF($Q669&lt;&gt;"",$Q669,$AS669)</f>
        <v/>
      </c>
    </row>
    <row r="670" customFormat="false" ht="16.5" hidden="false" customHeight="true" outlineLevel="0" collapsed="false">
      <c r="A670" s="39" t="str">
        <f aca="false">IF($F670="","",ROW())</f>
        <v/>
      </c>
      <c r="B670" s="40" t="str">
        <f aca="false">IF($F670="",IF($D670="","","Falta a atividade"),IF($R670="Cancelada","Cancelada",IF($AB670=1,IF(N($Z670)&gt;0,"Concluída com atraso","Concluída"),IF($R670="Em programação","Em programação",IF($O670="",IF($M670="","Na carteira","Falta a semana"),IF($AC670=1,"VENCIDA",IF($O670&gt;Hoje!$L$1,"Programada",IF($P670&gt;Hoje!$L$1,"Em execução","Fecha hoje"))))))))</f>
        <v/>
      </c>
      <c r="C670" s="41"/>
      <c r="D670" s="42"/>
      <c r="E670" s="42"/>
      <c r="F670" s="42"/>
      <c r="G670" s="43"/>
      <c r="H670" s="43"/>
      <c r="I670" s="44"/>
      <c r="J670" s="44"/>
      <c r="K670" s="44"/>
      <c r="L670" s="45"/>
      <c r="M670" s="46"/>
      <c r="N670" s="45"/>
      <c r="O670" s="47" t="str">
        <f aca="false">IF(OR($L670="",$M670=""),"",(DATE(Semana!$J$3,1,4)-WEEKDAY(DATE(Semana!$J$3,1,4),3))+($L670-1)*7+MATCH($M670,Listas!$F$5:$F$11,0)-1)</f>
        <v/>
      </c>
      <c r="P670" s="47" t="str">
        <f aca="false">IF(OR($F670="",$O670=""),"",$O670+MAX(0,ROUNDUP($AK670*MAX(1,IF($N670="",1,$N670))/MAX(1,$AL670),0)-1))</f>
        <v/>
      </c>
      <c r="Q670" s="48"/>
      <c r="R670" s="43"/>
      <c r="S670" s="49"/>
      <c r="T670" s="42"/>
      <c r="U670" s="42"/>
      <c r="V670" s="39" t="str">
        <f aca="false">IF($F670="","",IF(ISNUMBER(SEARCH("(externo)",$I670&amp;$J670&amp;$K670)),"Terceirizada","Interna"))</f>
        <v/>
      </c>
      <c r="W670" s="47" t="str">
        <f aca="false">IF($O670="","",IF($S670="",$O670,(DATE(Semana!$J$3,1,4)-WEEKDAY(DATE(Semana!$J$3,1,4),3))+($S670-1)*7+IF($M670="",0,MATCH($M670,Listas!$F$5:$F$11,0)-1)))</f>
        <v/>
      </c>
      <c r="X670" s="39" t="str">
        <f aca="false">IF($F670="","",IF(OR($AT670="",$O670=""),0,IF($AT670&lt;=$O670,1,0)))</f>
        <v/>
      </c>
      <c r="Y670" s="39" t="str">
        <f aca="false">IF($F670="","",IF(OR($AT670="",$W670=""),0,IF($AT670&lt;=$W670,1,0)))</f>
        <v/>
      </c>
      <c r="Z670" s="39" t="str">
        <f aca="false">IF(OR($AT670="",$O670=""),"",MAX(0,$AT670-$O670))</f>
        <v/>
      </c>
      <c r="AA670" s="39" t="str">
        <f aca="false">IF($F670="","",IF(AND($S670&lt;&gt;"",$L670&lt;&gt;"",$S670&lt;&gt;$L670),1,0))</f>
        <v/>
      </c>
      <c r="AB670" s="39" t="str">
        <f aca="false">IF($F670="","",IF($R670="Cancelada",0,IF(OR($AT670&lt;&gt;"",$R670="Concluída"),1,0)))</f>
        <v/>
      </c>
      <c r="AC670" s="39" t="n">
        <f aca="false">IF($P670="",0,IF($P670&lt;Hoje!$L$1,1,IF(AND($P670=Hoje!$L$1,Hoje!$L$2&gt;Semana!$M$3),1,0)))</f>
        <v>0</v>
      </c>
      <c r="AD670" s="39" t="str">
        <f aca="false">IF($F670="","",IF(COUNTA($I670:$K670)=0,0,1/COUNTA($I670:$K670)))</f>
        <v/>
      </c>
      <c r="AE670" s="39" t="str">
        <f aca="false">IF($AH670=0,"",SUM($AH$4:$AH670))</f>
        <v/>
      </c>
      <c r="AF670" s="39" t="str">
        <f aca="false">IF($AI670=0,"",SUM($AI$4:$AI670))</f>
        <v/>
      </c>
      <c r="AG670" s="50" t="str">
        <f aca="false">IF($F670="","",$I670&amp;IF($J670="",""," · "&amp;$J670)&amp;IF($K670="",""," · "&amp;$K670))</f>
        <v/>
      </c>
      <c r="AH670" s="39" t="n">
        <f aca="false">IF(AND($F670&lt;&gt;"",$O670&lt;&gt;"",$O670&lt;=Hoje!$C$3,$P670&gt;=Hoje!$C$3,$R670&lt;&gt;"Cancelada"),1,0)</f>
        <v>0</v>
      </c>
      <c r="AI670" s="39" t="n">
        <f aca="false">IF(AND($F670&lt;&gt;"",$P670&lt;&gt;"",$P670&lt;Hoje!$C$3,$AB670=0,$R670&lt;&gt;"Cancelada"),1,0)</f>
        <v>0</v>
      </c>
      <c r="AJ670" s="50" t="str">
        <f aca="false">IF($F670="","",$D670&amp;"|"&amp;$E670&amp;"|"&amp;$L670)</f>
        <v/>
      </c>
      <c r="AK670" s="39" t="str">
        <f aca="false">IF($AJ670="","",COUNTIF($AJ$4:$AJ670,$AJ670))</f>
        <v/>
      </c>
      <c r="AL670" s="39" t="str">
        <f aca="false">IF($AJ670="","",COUNTIF($AJ$4:$AJ$1004,$AJ670))</f>
        <v/>
      </c>
      <c r="AM670" s="42"/>
      <c r="AN670" s="50" t="str">
        <f aca="false">IF($D670="","",IFERROR(T(VLOOKUP($D670,Listas!$B$5:$H$120,7,0)),""))</f>
        <v/>
      </c>
      <c r="AO670" s="50" t="str">
        <f aca="false">IF(OR($F670="",$L670&lt;&gt;"",$R670="Cancelada",$AT670&lt;&gt;""),"",$AN670&amp;"|"&amp;$D670&amp;"|"&amp;IF($C670="","zzz",$C670)&amp;"|"&amp;TEXT(670,"0000"))</f>
        <v/>
      </c>
      <c r="AP670" s="50" t="str">
        <f aca="false">IF($AO670="","",COUNTIF($AO$5:$AO$1004,"&lt;"&amp;$AO670)-(ROWS($AO$5:$AO$1004)-Hoje!$L$5)+1)</f>
        <v/>
      </c>
      <c r="AQ670" s="50" t="n">
        <f aca="false">IF(AND($F670&lt;&gt;"",$D670=Frota!$C$3),1,0)</f>
        <v>0</v>
      </c>
      <c r="AR670" s="50" t="str">
        <f aca="false">IF($AQ670=0,"",SUM($AQ$4:$AQ670))</f>
        <v/>
      </c>
      <c r="AS670" s="50" t="str">
        <f aca="false">IFERROR(INDEX(Hoje!$K$10:$K$29,MATCH(ROW(),Hoje!$J$10:$J$29,0)),"")</f>
        <v/>
      </c>
      <c r="AT670" s="50" t="str">
        <f aca="false">IF($Q670&lt;&gt;"",$Q670,$AS670)</f>
        <v/>
      </c>
    </row>
    <row r="671" customFormat="false" ht="16.5" hidden="false" customHeight="true" outlineLevel="0" collapsed="false">
      <c r="A671" s="39" t="str">
        <f aca="false">IF($F671="","",ROW())</f>
        <v/>
      </c>
      <c r="B671" s="40" t="str">
        <f aca="false">IF($F671="",IF($D671="","","Falta a atividade"),IF($R671="Cancelada","Cancelada",IF($AB671=1,IF(N($Z671)&gt;0,"Concluída com atraso","Concluída"),IF($R671="Em programação","Em programação",IF($O671="",IF($M671="","Na carteira","Falta a semana"),IF($AC671=1,"VENCIDA",IF($O671&gt;Hoje!$L$1,"Programada",IF($P671&gt;Hoje!$L$1,"Em execução","Fecha hoje"))))))))</f>
        <v/>
      </c>
      <c r="C671" s="41"/>
      <c r="D671" s="42"/>
      <c r="E671" s="42"/>
      <c r="F671" s="42"/>
      <c r="G671" s="43"/>
      <c r="H671" s="43"/>
      <c r="I671" s="44"/>
      <c r="J671" s="44"/>
      <c r="K671" s="44"/>
      <c r="L671" s="45"/>
      <c r="M671" s="46"/>
      <c r="N671" s="45"/>
      <c r="O671" s="47" t="str">
        <f aca="false">IF(OR($L671="",$M671=""),"",(DATE(Semana!$J$3,1,4)-WEEKDAY(DATE(Semana!$J$3,1,4),3))+($L671-1)*7+MATCH($M671,Listas!$F$5:$F$11,0)-1)</f>
        <v/>
      </c>
      <c r="P671" s="47" t="str">
        <f aca="false">IF(OR($F671="",$O671=""),"",$O671+MAX(0,ROUNDUP($AK671*MAX(1,IF($N671="",1,$N671))/MAX(1,$AL671),0)-1))</f>
        <v/>
      </c>
      <c r="Q671" s="48"/>
      <c r="R671" s="43"/>
      <c r="S671" s="49"/>
      <c r="T671" s="42"/>
      <c r="U671" s="42"/>
      <c r="V671" s="39" t="str">
        <f aca="false">IF($F671="","",IF(ISNUMBER(SEARCH("(externo)",$I671&amp;$J671&amp;$K671)),"Terceirizada","Interna"))</f>
        <v/>
      </c>
      <c r="W671" s="47" t="str">
        <f aca="false">IF($O671="","",IF($S671="",$O671,(DATE(Semana!$J$3,1,4)-WEEKDAY(DATE(Semana!$J$3,1,4),3))+($S671-1)*7+IF($M671="",0,MATCH($M671,Listas!$F$5:$F$11,0)-1)))</f>
        <v/>
      </c>
      <c r="X671" s="39" t="str">
        <f aca="false">IF($F671="","",IF(OR($AT671="",$O671=""),0,IF($AT671&lt;=$O671,1,0)))</f>
        <v/>
      </c>
      <c r="Y671" s="39" t="str">
        <f aca="false">IF($F671="","",IF(OR($AT671="",$W671=""),0,IF($AT671&lt;=$W671,1,0)))</f>
        <v/>
      </c>
      <c r="Z671" s="39" t="str">
        <f aca="false">IF(OR($AT671="",$O671=""),"",MAX(0,$AT671-$O671))</f>
        <v/>
      </c>
      <c r="AA671" s="39" t="str">
        <f aca="false">IF($F671="","",IF(AND($S671&lt;&gt;"",$L671&lt;&gt;"",$S671&lt;&gt;$L671),1,0))</f>
        <v/>
      </c>
      <c r="AB671" s="39" t="str">
        <f aca="false">IF($F671="","",IF($R671="Cancelada",0,IF(OR($AT671&lt;&gt;"",$R671="Concluída"),1,0)))</f>
        <v/>
      </c>
      <c r="AC671" s="39" t="n">
        <f aca="false">IF($P671="",0,IF($P671&lt;Hoje!$L$1,1,IF(AND($P671=Hoje!$L$1,Hoje!$L$2&gt;Semana!$M$3),1,0)))</f>
        <v>0</v>
      </c>
      <c r="AD671" s="39" t="str">
        <f aca="false">IF($F671="","",IF(COUNTA($I671:$K671)=0,0,1/COUNTA($I671:$K671)))</f>
        <v/>
      </c>
      <c r="AE671" s="39" t="str">
        <f aca="false">IF($AH671=0,"",SUM($AH$4:$AH671))</f>
        <v/>
      </c>
      <c r="AF671" s="39" t="str">
        <f aca="false">IF($AI671=0,"",SUM($AI$4:$AI671))</f>
        <v/>
      </c>
      <c r="AG671" s="50" t="str">
        <f aca="false">IF($F671="","",$I671&amp;IF($J671="",""," · "&amp;$J671)&amp;IF($K671="",""," · "&amp;$K671))</f>
        <v/>
      </c>
      <c r="AH671" s="39" t="n">
        <f aca="false">IF(AND($F671&lt;&gt;"",$O671&lt;&gt;"",$O671&lt;=Hoje!$C$3,$P671&gt;=Hoje!$C$3,$R671&lt;&gt;"Cancelada"),1,0)</f>
        <v>0</v>
      </c>
      <c r="AI671" s="39" t="n">
        <f aca="false">IF(AND($F671&lt;&gt;"",$P671&lt;&gt;"",$P671&lt;Hoje!$C$3,$AB671=0,$R671&lt;&gt;"Cancelada"),1,0)</f>
        <v>0</v>
      </c>
      <c r="AJ671" s="50" t="str">
        <f aca="false">IF($F671="","",$D671&amp;"|"&amp;$E671&amp;"|"&amp;$L671)</f>
        <v/>
      </c>
      <c r="AK671" s="39" t="str">
        <f aca="false">IF($AJ671="","",COUNTIF($AJ$4:$AJ671,$AJ671))</f>
        <v/>
      </c>
      <c r="AL671" s="39" t="str">
        <f aca="false">IF($AJ671="","",COUNTIF($AJ$4:$AJ$1004,$AJ671))</f>
        <v/>
      </c>
      <c r="AM671" s="42"/>
      <c r="AN671" s="50" t="str">
        <f aca="false">IF($D671="","",IFERROR(T(VLOOKUP($D671,Listas!$B$5:$H$120,7,0)),""))</f>
        <v/>
      </c>
      <c r="AO671" s="50" t="str">
        <f aca="false">IF(OR($F671="",$L671&lt;&gt;"",$R671="Cancelada",$AT671&lt;&gt;""),"",$AN671&amp;"|"&amp;$D671&amp;"|"&amp;IF($C671="","zzz",$C671)&amp;"|"&amp;TEXT(671,"0000"))</f>
        <v/>
      </c>
      <c r="AP671" s="50" t="str">
        <f aca="false">IF($AO671="","",COUNTIF($AO$5:$AO$1004,"&lt;"&amp;$AO671)-(ROWS($AO$5:$AO$1004)-Hoje!$L$5)+1)</f>
        <v/>
      </c>
      <c r="AQ671" s="50" t="n">
        <f aca="false">IF(AND($F671&lt;&gt;"",$D671=Frota!$C$3),1,0)</f>
        <v>0</v>
      </c>
      <c r="AR671" s="50" t="str">
        <f aca="false">IF($AQ671=0,"",SUM($AQ$4:$AQ671))</f>
        <v/>
      </c>
      <c r="AS671" s="50" t="str">
        <f aca="false">IFERROR(INDEX(Hoje!$K$10:$K$29,MATCH(ROW(),Hoje!$J$10:$J$29,0)),"")</f>
        <v/>
      </c>
      <c r="AT671" s="50" t="str">
        <f aca="false">IF($Q671&lt;&gt;"",$Q671,$AS671)</f>
        <v/>
      </c>
    </row>
    <row r="672" customFormat="false" ht="16.5" hidden="false" customHeight="true" outlineLevel="0" collapsed="false">
      <c r="A672" s="39" t="str">
        <f aca="false">IF($F672="","",ROW())</f>
        <v/>
      </c>
      <c r="B672" s="40" t="str">
        <f aca="false">IF($F672="",IF($D672="","","Falta a atividade"),IF($R672="Cancelada","Cancelada",IF($AB672=1,IF(N($Z672)&gt;0,"Concluída com atraso","Concluída"),IF($R672="Em programação","Em programação",IF($O672="",IF($M672="","Na carteira","Falta a semana"),IF($AC672=1,"VENCIDA",IF($O672&gt;Hoje!$L$1,"Programada",IF($P672&gt;Hoje!$L$1,"Em execução","Fecha hoje"))))))))</f>
        <v/>
      </c>
      <c r="C672" s="41"/>
      <c r="D672" s="42"/>
      <c r="E672" s="42"/>
      <c r="F672" s="42"/>
      <c r="G672" s="43"/>
      <c r="H672" s="43"/>
      <c r="I672" s="44"/>
      <c r="J672" s="44"/>
      <c r="K672" s="44"/>
      <c r="L672" s="45"/>
      <c r="M672" s="46"/>
      <c r="N672" s="45"/>
      <c r="O672" s="47" t="str">
        <f aca="false">IF(OR($L672="",$M672=""),"",(DATE(Semana!$J$3,1,4)-WEEKDAY(DATE(Semana!$J$3,1,4),3))+($L672-1)*7+MATCH($M672,Listas!$F$5:$F$11,0)-1)</f>
        <v/>
      </c>
      <c r="P672" s="47" t="str">
        <f aca="false">IF(OR($F672="",$O672=""),"",$O672+MAX(0,ROUNDUP($AK672*MAX(1,IF($N672="",1,$N672))/MAX(1,$AL672),0)-1))</f>
        <v/>
      </c>
      <c r="Q672" s="48"/>
      <c r="R672" s="43"/>
      <c r="S672" s="49"/>
      <c r="T672" s="42"/>
      <c r="U672" s="42"/>
      <c r="V672" s="39" t="str">
        <f aca="false">IF($F672="","",IF(ISNUMBER(SEARCH("(externo)",$I672&amp;$J672&amp;$K672)),"Terceirizada","Interna"))</f>
        <v/>
      </c>
      <c r="W672" s="47" t="str">
        <f aca="false">IF($O672="","",IF($S672="",$O672,(DATE(Semana!$J$3,1,4)-WEEKDAY(DATE(Semana!$J$3,1,4),3))+($S672-1)*7+IF($M672="",0,MATCH($M672,Listas!$F$5:$F$11,0)-1)))</f>
        <v/>
      </c>
      <c r="X672" s="39" t="str">
        <f aca="false">IF($F672="","",IF(OR($AT672="",$O672=""),0,IF($AT672&lt;=$O672,1,0)))</f>
        <v/>
      </c>
      <c r="Y672" s="39" t="str">
        <f aca="false">IF($F672="","",IF(OR($AT672="",$W672=""),0,IF($AT672&lt;=$W672,1,0)))</f>
        <v/>
      </c>
      <c r="Z672" s="39" t="str">
        <f aca="false">IF(OR($AT672="",$O672=""),"",MAX(0,$AT672-$O672))</f>
        <v/>
      </c>
      <c r="AA672" s="39" t="str">
        <f aca="false">IF($F672="","",IF(AND($S672&lt;&gt;"",$L672&lt;&gt;"",$S672&lt;&gt;$L672),1,0))</f>
        <v/>
      </c>
      <c r="AB672" s="39" t="str">
        <f aca="false">IF($F672="","",IF($R672="Cancelada",0,IF(OR($AT672&lt;&gt;"",$R672="Concluída"),1,0)))</f>
        <v/>
      </c>
      <c r="AC672" s="39" t="n">
        <f aca="false">IF($P672="",0,IF($P672&lt;Hoje!$L$1,1,IF(AND($P672=Hoje!$L$1,Hoje!$L$2&gt;Semana!$M$3),1,0)))</f>
        <v>0</v>
      </c>
      <c r="AD672" s="39" t="str">
        <f aca="false">IF($F672="","",IF(COUNTA($I672:$K672)=0,0,1/COUNTA($I672:$K672)))</f>
        <v/>
      </c>
      <c r="AE672" s="39" t="str">
        <f aca="false">IF($AH672=0,"",SUM($AH$4:$AH672))</f>
        <v/>
      </c>
      <c r="AF672" s="39" t="str">
        <f aca="false">IF($AI672=0,"",SUM($AI$4:$AI672))</f>
        <v/>
      </c>
      <c r="AG672" s="50" t="str">
        <f aca="false">IF($F672="","",$I672&amp;IF($J672="",""," · "&amp;$J672)&amp;IF($K672="",""," · "&amp;$K672))</f>
        <v/>
      </c>
      <c r="AH672" s="39" t="n">
        <f aca="false">IF(AND($F672&lt;&gt;"",$O672&lt;&gt;"",$O672&lt;=Hoje!$C$3,$P672&gt;=Hoje!$C$3,$R672&lt;&gt;"Cancelada"),1,0)</f>
        <v>0</v>
      </c>
      <c r="AI672" s="39" t="n">
        <f aca="false">IF(AND($F672&lt;&gt;"",$P672&lt;&gt;"",$P672&lt;Hoje!$C$3,$AB672=0,$R672&lt;&gt;"Cancelada"),1,0)</f>
        <v>0</v>
      </c>
      <c r="AJ672" s="50" t="str">
        <f aca="false">IF($F672="","",$D672&amp;"|"&amp;$E672&amp;"|"&amp;$L672)</f>
        <v/>
      </c>
      <c r="AK672" s="39" t="str">
        <f aca="false">IF($AJ672="","",COUNTIF($AJ$4:$AJ672,$AJ672))</f>
        <v/>
      </c>
      <c r="AL672" s="39" t="str">
        <f aca="false">IF($AJ672="","",COUNTIF($AJ$4:$AJ$1004,$AJ672))</f>
        <v/>
      </c>
      <c r="AM672" s="42"/>
      <c r="AN672" s="50" t="str">
        <f aca="false">IF($D672="","",IFERROR(T(VLOOKUP($D672,Listas!$B$5:$H$120,7,0)),""))</f>
        <v/>
      </c>
      <c r="AO672" s="50" t="str">
        <f aca="false">IF(OR($F672="",$L672&lt;&gt;"",$R672="Cancelada",$AT672&lt;&gt;""),"",$AN672&amp;"|"&amp;$D672&amp;"|"&amp;IF($C672="","zzz",$C672)&amp;"|"&amp;TEXT(672,"0000"))</f>
        <v/>
      </c>
      <c r="AP672" s="50" t="str">
        <f aca="false">IF($AO672="","",COUNTIF($AO$5:$AO$1004,"&lt;"&amp;$AO672)-(ROWS($AO$5:$AO$1004)-Hoje!$L$5)+1)</f>
        <v/>
      </c>
      <c r="AQ672" s="50" t="n">
        <f aca="false">IF(AND($F672&lt;&gt;"",$D672=Frota!$C$3),1,0)</f>
        <v>0</v>
      </c>
      <c r="AR672" s="50" t="str">
        <f aca="false">IF($AQ672=0,"",SUM($AQ$4:$AQ672))</f>
        <v/>
      </c>
      <c r="AS672" s="50" t="str">
        <f aca="false">IFERROR(INDEX(Hoje!$K$10:$K$29,MATCH(ROW(),Hoje!$J$10:$J$29,0)),"")</f>
        <v/>
      </c>
      <c r="AT672" s="50" t="str">
        <f aca="false">IF($Q672&lt;&gt;"",$Q672,$AS672)</f>
        <v/>
      </c>
    </row>
    <row r="673" customFormat="false" ht="16.5" hidden="false" customHeight="true" outlineLevel="0" collapsed="false">
      <c r="A673" s="39" t="str">
        <f aca="false">IF($F673="","",ROW())</f>
        <v/>
      </c>
      <c r="B673" s="40" t="str">
        <f aca="false">IF($F673="",IF($D673="","","Falta a atividade"),IF($R673="Cancelada","Cancelada",IF($AB673=1,IF(N($Z673)&gt;0,"Concluída com atraso","Concluída"),IF($R673="Em programação","Em programação",IF($O673="",IF($M673="","Na carteira","Falta a semana"),IF($AC673=1,"VENCIDA",IF($O673&gt;Hoje!$L$1,"Programada",IF($P673&gt;Hoje!$L$1,"Em execução","Fecha hoje"))))))))</f>
        <v/>
      </c>
      <c r="C673" s="41"/>
      <c r="D673" s="42"/>
      <c r="E673" s="42"/>
      <c r="F673" s="42"/>
      <c r="G673" s="43"/>
      <c r="H673" s="43"/>
      <c r="I673" s="44"/>
      <c r="J673" s="44"/>
      <c r="K673" s="44"/>
      <c r="L673" s="45"/>
      <c r="M673" s="46"/>
      <c r="N673" s="45"/>
      <c r="O673" s="47" t="str">
        <f aca="false">IF(OR($L673="",$M673=""),"",(DATE(Semana!$J$3,1,4)-WEEKDAY(DATE(Semana!$J$3,1,4),3))+($L673-1)*7+MATCH($M673,Listas!$F$5:$F$11,0)-1)</f>
        <v/>
      </c>
      <c r="P673" s="47" t="str">
        <f aca="false">IF(OR($F673="",$O673=""),"",$O673+MAX(0,ROUNDUP($AK673*MAX(1,IF($N673="",1,$N673))/MAX(1,$AL673),0)-1))</f>
        <v/>
      </c>
      <c r="Q673" s="48"/>
      <c r="R673" s="43"/>
      <c r="S673" s="49"/>
      <c r="T673" s="42"/>
      <c r="U673" s="42"/>
      <c r="V673" s="39" t="str">
        <f aca="false">IF($F673="","",IF(ISNUMBER(SEARCH("(externo)",$I673&amp;$J673&amp;$K673)),"Terceirizada","Interna"))</f>
        <v/>
      </c>
      <c r="W673" s="47" t="str">
        <f aca="false">IF($O673="","",IF($S673="",$O673,(DATE(Semana!$J$3,1,4)-WEEKDAY(DATE(Semana!$J$3,1,4),3))+($S673-1)*7+IF($M673="",0,MATCH($M673,Listas!$F$5:$F$11,0)-1)))</f>
        <v/>
      </c>
      <c r="X673" s="39" t="str">
        <f aca="false">IF($F673="","",IF(OR($AT673="",$O673=""),0,IF($AT673&lt;=$O673,1,0)))</f>
        <v/>
      </c>
      <c r="Y673" s="39" t="str">
        <f aca="false">IF($F673="","",IF(OR($AT673="",$W673=""),0,IF($AT673&lt;=$W673,1,0)))</f>
        <v/>
      </c>
      <c r="Z673" s="39" t="str">
        <f aca="false">IF(OR($AT673="",$O673=""),"",MAX(0,$AT673-$O673))</f>
        <v/>
      </c>
      <c r="AA673" s="39" t="str">
        <f aca="false">IF($F673="","",IF(AND($S673&lt;&gt;"",$L673&lt;&gt;"",$S673&lt;&gt;$L673),1,0))</f>
        <v/>
      </c>
      <c r="AB673" s="39" t="str">
        <f aca="false">IF($F673="","",IF($R673="Cancelada",0,IF(OR($AT673&lt;&gt;"",$R673="Concluída"),1,0)))</f>
        <v/>
      </c>
      <c r="AC673" s="39" t="n">
        <f aca="false">IF($P673="",0,IF($P673&lt;Hoje!$L$1,1,IF(AND($P673=Hoje!$L$1,Hoje!$L$2&gt;Semana!$M$3),1,0)))</f>
        <v>0</v>
      </c>
      <c r="AD673" s="39" t="str">
        <f aca="false">IF($F673="","",IF(COUNTA($I673:$K673)=0,0,1/COUNTA($I673:$K673)))</f>
        <v/>
      </c>
      <c r="AE673" s="39" t="str">
        <f aca="false">IF($AH673=0,"",SUM($AH$4:$AH673))</f>
        <v/>
      </c>
      <c r="AF673" s="39" t="str">
        <f aca="false">IF($AI673=0,"",SUM($AI$4:$AI673))</f>
        <v/>
      </c>
      <c r="AG673" s="50" t="str">
        <f aca="false">IF($F673="","",$I673&amp;IF($J673="",""," · "&amp;$J673)&amp;IF($K673="",""," · "&amp;$K673))</f>
        <v/>
      </c>
      <c r="AH673" s="39" t="n">
        <f aca="false">IF(AND($F673&lt;&gt;"",$O673&lt;&gt;"",$O673&lt;=Hoje!$C$3,$P673&gt;=Hoje!$C$3,$R673&lt;&gt;"Cancelada"),1,0)</f>
        <v>0</v>
      </c>
      <c r="AI673" s="39" t="n">
        <f aca="false">IF(AND($F673&lt;&gt;"",$P673&lt;&gt;"",$P673&lt;Hoje!$C$3,$AB673=0,$R673&lt;&gt;"Cancelada"),1,0)</f>
        <v>0</v>
      </c>
      <c r="AJ673" s="50" t="str">
        <f aca="false">IF($F673="","",$D673&amp;"|"&amp;$E673&amp;"|"&amp;$L673)</f>
        <v/>
      </c>
      <c r="AK673" s="39" t="str">
        <f aca="false">IF($AJ673="","",COUNTIF($AJ$4:$AJ673,$AJ673))</f>
        <v/>
      </c>
      <c r="AL673" s="39" t="str">
        <f aca="false">IF($AJ673="","",COUNTIF($AJ$4:$AJ$1004,$AJ673))</f>
        <v/>
      </c>
      <c r="AM673" s="42"/>
      <c r="AN673" s="50" t="str">
        <f aca="false">IF($D673="","",IFERROR(T(VLOOKUP($D673,Listas!$B$5:$H$120,7,0)),""))</f>
        <v/>
      </c>
      <c r="AO673" s="50" t="str">
        <f aca="false">IF(OR($F673="",$L673&lt;&gt;"",$R673="Cancelada",$AT673&lt;&gt;""),"",$AN673&amp;"|"&amp;$D673&amp;"|"&amp;IF($C673="","zzz",$C673)&amp;"|"&amp;TEXT(673,"0000"))</f>
        <v/>
      </c>
      <c r="AP673" s="50" t="str">
        <f aca="false">IF($AO673="","",COUNTIF($AO$5:$AO$1004,"&lt;"&amp;$AO673)-(ROWS($AO$5:$AO$1004)-Hoje!$L$5)+1)</f>
        <v/>
      </c>
      <c r="AQ673" s="50" t="n">
        <f aca="false">IF(AND($F673&lt;&gt;"",$D673=Frota!$C$3),1,0)</f>
        <v>0</v>
      </c>
      <c r="AR673" s="50" t="str">
        <f aca="false">IF($AQ673=0,"",SUM($AQ$4:$AQ673))</f>
        <v/>
      </c>
      <c r="AS673" s="50" t="str">
        <f aca="false">IFERROR(INDEX(Hoje!$K$10:$K$29,MATCH(ROW(),Hoje!$J$10:$J$29,0)),"")</f>
        <v/>
      </c>
      <c r="AT673" s="50" t="str">
        <f aca="false">IF($Q673&lt;&gt;"",$Q673,$AS673)</f>
        <v/>
      </c>
    </row>
    <row r="674" customFormat="false" ht="16.5" hidden="false" customHeight="true" outlineLevel="0" collapsed="false">
      <c r="A674" s="39" t="str">
        <f aca="false">IF($F674="","",ROW())</f>
        <v/>
      </c>
      <c r="B674" s="40" t="str">
        <f aca="false">IF($F674="",IF($D674="","","Falta a atividade"),IF($R674="Cancelada","Cancelada",IF($AB674=1,IF(N($Z674)&gt;0,"Concluída com atraso","Concluída"),IF($R674="Em programação","Em programação",IF($O674="",IF($M674="","Na carteira","Falta a semana"),IF($AC674=1,"VENCIDA",IF($O674&gt;Hoje!$L$1,"Programada",IF($P674&gt;Hoje!$L$1,"Em execução","Fecha hoje"))))))))</f>
        <v/>
      </c>
      <c r="C674" s="41"/>
      <c r="D674" s="42"/>
      <c r="E674" s="42"/>
      <c r="F674" s="42"/>
      <c r="G674" s="43"/>
      <c r="H674" s="43"/>
      <c r="I674" s="44"/>
      <c r="J674" s="44"/>
      <c r="K674" s="44"/>
      <c r="L674" s="45"/>
      <c r="M674" s="46"/>
      <c r="N674" s="45"/>
      <c r="O674" s="47" t="str">
        <f aca="false">IF(OR($L674="",$M674=""),"",(DATE(Semana!$J$3,1,4)-WEEKDAY(DATE(Semana!$J$3,1,4),3))+($L674-1)*7+MATCH($M674,Listas!$F$5:$F$11,0)-1)</f>
        <v/>
      </c>
      <c r="P674" s="47" t="str">
        <f aca="false">IF(OR($F674="",$O674=""),"",$O674+MAX(0,ROUNDUP($AK674*MAX(1,IF($N674="",1,$N674))/MAX(1,$AL674),0)-1))</f>
        <v/>
      </c>
      <c r="Q674" s="48"/>
      <c r="R674" s="43"/>
      <c r="S674" s="49"/>
      <c r="T674" s="42"/>
      <c r="U674" s="42"/>
      <c r="V674" s="39" t="str">
        <f aca="false">IF($F674="","",IF(ISNUMBER(SEARCH("(externo)",$I674&amp;$J674&amp;$K674)),"Terceirizada","Interna"))</f>
        <v/>
      </c>
      <c r="W674" s="47" t="str">
        <f aca="false">IF($O674="","",IF($S674="",$O674,(DATE(Semana!$J$3,1,4)-WEEKDAY(DATE(Semana!$J$3,1,4),3))+($S674-1)*7+IF($M674="",0,MATCH($M674,Listas!$F$5:$F$11,0)-1)))</f>
        <v/>
      </c>
      <c r="X674" s="39" t="str">
        <f aca="false">IF($F674="","",IF(OR($AT674="",$O674=""),0,IF($AT674&lt;=$O674,1,0)))</f>
        <v/>
      </c>
      <c r="Y674" s="39" t="str">
        <f aca="false">IF($F674="","",IF(OR($AT674="",$W674=""),0,IF($AT674&lt;=$W674,1,0)))</f>
        <v/>
      </c>
      <c r="Z674" s="39" t="str">
        <f aca="false">IF(OR($AT674="",$O674=""),"",MAX(0,$AT674-$O674))</f>
        <v/>
      </c>
      <c r="AA674" s="39" t="str">
        <f aca="false">IF($F674="","",IF(AND($S674&lt;&gt;"",$L674&lt;&gt;"",$S674&lt;&gt;$L674),1,0))</f>
        <v/>
      </c>
      <c r="AB674" s="39" t="str">
        <f aca="false">IF($F674="","",IF($R674="Cancelada",0,IF(OR($AT674&lt;&gt;"",$R674="Concluída"),1,0)))</f>
        <v/>
      </c>
      <c r="AC674" s="39" t="n">
        <f aca="false">IF($P674="",0,IF($P674&lt;Hoje!$L$1,1,IF(AND($P674=Hoje!$L$1,Hoje!$L$2&gt;Semana!$M$3),1,0)))</f>
        <v>0</v>
      </c>
      <c r="AD674" s="39" t="str">
        <f aca="false">IF($F674="","",IF(COUNTA($I674:$K674)=0,0,1/COUNTA($I674:$K674)))</f>
        <v/>
      </c>
      <c r="AE674" s="39" t="str">
        <f aca="false">IF($AH674=0,"",SUM($AH$4:$AH674))</f>
        <v/>
      </c>
      <c r="AF674" s="39" t="str">
        <f aca="false">IF($AI674=0,"",SUM($AI$4:$AI674))</f>
        <v/>
      </c>
      <c r="AG674" s="50" t="str">
        <f aca="false">IF($F674="","",$I674&amp;IF($J674="",""," · "&amp;$J674)&amp;IF($K674="",""," · "&amp;$K674))</f>
        <v/>
      </c>
      <c r="AH674" s="39" t="n">
        <f aca="false">IF(AND($F674&lt;&gt;"",$O674&lt;&gt;"",$O674&lt;=Hoje!$C$3,$P674&gt;=Hoje!$C$3,$R674&lt;&gt;"Cancelada"),1,0)</f>
        <v>0</v>
      </c>
      <c r="AI674" s="39" t="n">
        <f aca="false">IF(AND($F674&lt;&gt;"",$P674&lt;&gt;"",$P674&lt;Hoje!$C$3,$AB674=0,$R674&lt;&gt;"Cancelada"),1,0)</f>
        <v>0</v>
      </c>
      <c r="AJ674" s="50" t="str">
        <f aca="false">IF($F674="","",$D674&amp;"|"&amp;$E674&amp;"|"&amp;$L674)</f>
        <v/>
      </c>
      <c r="AK674" s="39" t="str">
        <f aca="false">IF($AJ674="","",COUNTIF($AJ$4:$AJ674,$AJ674))</f>
        <v/>
      </c>
      <c r="AL674" s="39" t="str">
        <f aca="false">IF($AJ674="","",COUNTIF($AJ$4:$AJ$1004,$AJ674))</f>
        <v/>
      </c>
      <c r="AM674" s="42"/>
      <c r="AN674" s="50" t="str">
        <f aca="false">IF($D674="","",IFERROR(T(VLOOKUP($D674,Listas!$B$5:$H$120,7,0)),""))</f>
        <v/>
      </c>
      <c r="AO674" s="50" t="str">
        <f aca="false">IF(OR($F674="",$L674&lt;&gt;"",$R674="Cancelada",$AT674&lt;&gt;""),"",$AN674&amp;"|"&amp;$D674&amp;"|"&amp;IF($C674="","zzz",$C674)&amp;"|"&amp;TEXT(674,"0000"))</f>
        <v/>
      </c>
      <c r="AP674" s="50" t="str">
        <f aca="false">IF($AO674="","",COUNTIF($AO$5:$AO$1004,"&lt;"&amp;$AO674)-(ROWS($AO$5:$AO$1004)-Hoje!$L$5)+1)</f>
        <v/>
      </c>
      <c r="AQ674" s="50" t="n">
        <f aca="false">IF(AND($F674&lt;&gt;"",$D674=Frota!$C$3),1,0)</f>
        <v>0</v>
      </c>
      <c r="AR674" s="50" t="str">
        <f aca="false">IF($AQ674=0,"",SUM($AQ$4:$AQ674))</f>
        <v/>
      </c>
      <c r="AS674" s="50" t="str">
        <f aca="false">IFERROR(INDEX(Hoje!$K$10:$K$29,MATCH(ROW(),Hoje!$J$10:$J$29,0)),"")</f>
        <v/>
      </c>
      <c r="AT674" s="50" t="str">
        <f aca="false">IF($Q674&lt;&gt;"",$Q674,$AS674)</f>
        <v/>
      </c>
    </row>
    <row r="675" customFormat="false" ht="16.5" hidden="false" customHeight="true" outlineLevel="0" collapsed="false">
      <c r="A675" s="39" t="str">
        <f aca="false">IF($F675="","",ROW())</f>
        <v/>
      </c>
      <c r="B675" s="40" t="str">
        <f aca="false">IF($F675="",IF($D675="","","Falta a atividade"),IF($R675="Cancelada","Cancelada",IF($AB675=1,IF(N($Z675)&gt;0,"Concluída com atraso","Concluída"),IF($R675="Em programação","Em programação",IF($O675="",IF($M675="","Na carteira","Falta a semana"),IF($AC675=1,"VENCIDA",IF($O675&gt;Hoje!$L$1,"Programada",IF($P675&gt;Hoje!$L$1,"Em execução","Fecha hoje"))))))))</f>
        <v/>
      </c>
      <c r="C675" s="41"/>
      <c r="D675" s="42"/>
      <c r="E675" s="42"/>
      <c r="F675" s="42"/>
      <c r="G675" s="43"/>
      <c r="H675" s="43"/>
      <c r="I675" s="44"/>
      <c r="J675" s="44"/>
      <c r="K675" s="44"/>
      <c r="L675" s="45"/>
      <c r="M675" s="46"/>
      <c r="N675" s="45"/>
      <c r="O675" s="47" t="str">
        <f aca="false">IF(OR($L675="",$M675=""),"",(DATE(Semana!$J$3,1,4)-WEEKDAY(DATE(Semana!$J$3,1,4),3))+($L675-1)*7+MATCH($M675,Listas!$F$5:$F$11,0)-1)</f>
        <v/>
      </c>
      <c r="P675" s="47" t="str">
        <f aca="false">IF(OR($F675="",$O675=""),"",$O675+MAX(0,ROUNDUP($AK675*MAX(1,IF($N675="",1,$N675))/MAX(1,$AL675),0)-1))</f>
        <v/>
      </c>
      <c r="Q675" s="48"/>
      <c r="R675" s="43"/>
      <c r="S675" s="49"/>
      <c r="T675" s="42"/>
      <c r="U675" s="42"/>
      <c r="V675" s="39" t="str">
        <f aca="false">IF($F675="","",IF(ISNUMBER(SEARCH("(externo)",$I675&amp;$J675&amp;$K675)),"Terceirizada","Interna"))</f>
        <v/>
      </c>
      <c r="W675" s="47" t="str">
        <f aca="false">IF($O675="","",IF($S675="",$O675,(DATE(Semana!$J$3,1,4)-WEEKDAY(DATE(Semana!$J$3,1,4),3))+($S675-1)*7+IF($M675="",0,MATCH($M675,Listas!$F$5:$F$11,0)-1)))</f>
        <v/>
      </c>
      <c r="X675" s="39" t="str">
        <f aca="false">IF($F675="","",IF(OR($AT675="",$O675=""),0,IF($AT675&lt;=$O675,1,0)))</f>
        <v/>
      </c>
      <c r="Y675" s="39" t="str">
        <f aca="false">IF($F675="","",IF(OR($AT675="",$W675=""),0,IF($AT675&lt;=$W675,1,0)))</f>
        <v/>
      </c>
      <c r="Z675" s="39" t="str">
        <f aca="false">IF(OR($AT675="",$O675=""),"",MAX(0,$AT675-$O675))</f>
        <v/>
      </c>
      <c r="AA675" s="39" t="str">
        <f aca="false">IF($F675="","",IF(AND($S675&lt;&gt;"",$L675&lt;&gt;"",$S675&lt;&gt;$L675),1,0))</f>
        <v/>
      </c>
      <c r="AB675" s="39" t="str">
        <f aca="false">IF($F675="","",IF($R675="Cancelada",0,IF(OR($AT675&lt;&gt;"",$R675="Concluída"),1,0)))</f>
        <v/>
      </c>
      <c r="AC675" s="39" t="n">
        <f aca="false">IF($P675="",0,IF($P675&lt;Hoje!$L$1,1,IF(AND($P675=Hoje!$L$1,Hoje!$L$2&gt;Semana!$M$3),1,0)))</f>
        <v>0</v>
      </c>
      <c r="AD675" s="39" t="str">
        <f aca="false">IF($F675="","",IF(COUNTA($I675:$K675)=0,0,1/COUNTA($I675:$K675)))</f>
        <v/>
      </c>
      <c r="AE675" s="39" t="str">
        <f aca="false">IF($AH675=0,"",SUM($AH$4:$AH675))</f>
        <v/>
      </c>
      <c r="AF675" s="39" t="str">
        <f aca="false">IF($AI675=0,"",SUM($AI$4:$AI675))</f>
        <v/>
      </c>
      <c r="AG675" s="50" t="str">
        <f aca="false">IF($F675="","",$I675&amp;IF($J675="",""," · "&amp;$J675)&amp;IF($K675="",""," · "&amp;$K675))</f>
        <v/>
      </c>
      <c r="AH675" s="39" t="n">
        <f aca="false">IF(AND($F675&lt;&gt;"",$O675&lt;&gt;"",$O675&lt;=Hoje!$C$3,$P675&gt;=Hoje!$C$3,$R675&lt;&gt;"Cancelada"),1,0)</f>
        <v>0</v>
      </c>
      <c r="AI675" s="39" t="n">
        <f aca="false">IF(AND($F675&lt;&gt;"",$P675&lt;&gt;"",$P675&lt;Hoje!$C$3,$AB675=0,$R675&lt;&gt;"Cancelada"),1,0)</f>
        <v>0</v>
      </c>
      <c r="AJ675" s="50" t="str">
        <f aca="false">IF($F675="","",$D675&amp;"|"&amp;$E675&amp;"|"&amp;$L675)</f>
        <v/>
      </c>
      <c r="AK675" s="39" t="str">
        <f aca="false">IF($AJ675="","",COUNTIF($AJ$4:$AJ675,$AJ675))</f>
        <v/>
      </c>
      <c r="AL675" s="39" t="str">
        <f aca="false">IF($AJ675="","",COUNTIF($AJ$4:$AJ$1004,$AJ675))</f>
        <v/>
      </c>
      <c r="AM675" s="42"/>
      <c r="AN675" s="50" t="str">
        <f aca="false">IF($D675="","",IFERROR(T(VLOOKUP($D675,Listas!$B$5:$H$120,7,0)),""))</f>
        <v/>
      </c>
      <c r="AO675" s="50" t="str">
        <f aca="false">IF(OR($F675="",$L675&lt;&gt;"",$R675="Cancelada",$AT675&lt;&gt;""),"",$AN675&amp;"|"&amp;$D675&amp;"|"&amp;IF($C675="","zzz",$C675)&amp;"|"&amp;TEXT(675,"0000"))</f>
        <v/>
      </c>
      <c r="AP675" s="50" t="str">
        <f aca="false">IF($AO675="","",COUNTIF($AO$5:$AO$1004,"&lt;"&amp;$AO675)-(ROWS($AO$5:$AO$1004)-Hoje!$L$5)+1)</f>
        <v/>
      </c>
      <c r="AQ675" s="50" t="n">
        <f aca="false">IF(AND($F675&lt;&gt;"",$D675=Frota!$C$3),1,0)</f>
        <v>0</v>
      </c>
      <c r="AR675" s="50" t="str">
        <f aca="false">IF($AQ675=0,"",SUM($AQ$4:$AQ675))</f>
        <v/>
      </c>
      <c r="AS675" s="50" t="str">
        <f aca="false">IFERROR(INDEX(Hoje!$K$10:$K$29,MATCH(ROW(),Hoje!$J$10:$J$29,0)),"")</f>
        <v/>
      </c>
      <c r="AT675" s="50" t="str">
        <f aca="false">IF($Q675&lt;&gt;"",$Q675,$AS675)</f>
        <v/>
      </c>
    </row>
    <row r="676" customFormat="false" ht="16.5" hidden="false" customHeight="true" outlineLevel="0" collapsed="false">
      <c r="A676" s="39" t="str">
        <f aca="false">IF($F676="","",ROW())</f>
        <v/>
      </c>
      <c r="B676" s="40" t="str">
        <f aca="false">IF($F676="",IF($D676="","","Falta a atividade"),IF($R676="Cancelada","Cancelada",IF($AB676=1,IF(N($Z676)&gt;0,"Concluída com atraso","Concluída"),IF($R676="Em programação","Em programação",IF($O676="",IF($M676="","Na carteira","Falta a semana"),IF($AC676=1,"VENCIDA",IF($O676&gt;Hoje!$L$1,"Programada",IF($P676&gt;Hoje!$L$1,"Em execução","Fecha hoje"))))))))</f>
        <v/>
      </c>
      <c r="C676" s="41"/>
      <c r="D676" s="42"/>
      <c r="E676" s="42"/>
      <c r="F676" s="42"/>
      <c r="G676" s="43"/>
      <c r="H676" s="43"/>
      <c r="I676" s="44"/>
      <c r="J676" s="44"/>
      <c r="K676" s="44"/>
      <c r="L676" s="45"/>
      <c r="M676" s="46"/>
      <c r="N676" s="45"/>
      <c r="O676" s="47" t="str">
        <f aca="false">IF(OR($L676="",$M676=""),"",(DATE(Semana!$J$3,1,4)-WEEKDAY(DATE(Semana!$J$3,1,4),3))+($L676-1)*7+MATCH($M676,Listas!$F$5:$F$11,0)-1)</f>
        <v/>
      </c>
      <c r="P676" s="47" t="str">
        <f aca="false">IF(OR($F676="",$O676=""),"",$O676+MAX(0,ROUNDUP($AK676*MAX(1,IF($N676="",1,$N676))/MAX(1,$AL676),0)-1))</f>
        <v/>
      </c>
      <c r="Q676" s="48"/>
      <c r="R676" s="43"/>
      <c r="S676" s="49"/>
      <c r="T676" s="42"/>
      <c r="U676" s="42"/>
      <c r="V676" s="39" t="str">
        <f aca="false">IF($F676="","",IF(ISNUMBER(SEARCH("(externo)",$I676&amp;$J676&amp;$K676)),"Terceirizada","Interna"))</f>
        <v/>
      </c>
      <c r="W676" s="47" t="str">
        <f aca="false">IF($O676="","",IF($S676="",$O676,(DATE(Semana!$J$3,1,4)-WEEKDAY(DATE(Semana!$J$3,1,4),3))+($S676-1)*7+IF($M676="",0,MATCH($M676,Listas!$F$5:$F$11,0)-1)))</f>
        <v/>
      </c>
      <c r="X676" s="39" t="str">
        <f aca="false">IF($F676="","",IF(OR($AT676="",$O676=""),0,IF($AT676&lt;=$O676,1,0)))</f>
        <v/>
      </c>
      <c r="Y676" s="39" t="str">
        <f aca="false">IF($F676="","",IF(OR($AT676="",$W676=""),0,IF($AT676&lt;=$W676,1,0)))</f>
        <v/>
      </c>
      <c r="Z676" s="39" t="str">
        <f aca="false">IF(OR($AT676="",$O676=""),"",MAX(0,$AT676-$O676))</f>
        <v/>
      </c>
      <c r="AA676" s="39" t="str">
        <f aca="false">IF($F676="","",IF(AND($S676&lt;&gt;"",$L676&lt;&gt;"",$S676&lt;&gt;$L676),1,0))</f>
        <v/>
      </c>
      <c r="AB676" s="39" t="str">
        <f aca="false">IF($F676="","",IF($R676="Cancelada",0,IF(OR($AT676&lt;&gt;"",$R676="Concluída"),1,0)))</f>
        <v/>
      </c>
      <c r="AC676" s="39" t="n">
        <f aca="false">IF($P676="",0,IF($P676&lt;Hoje!$L$1,1,IF(AND($P676=Hoje!$L$1,Hoje!$L$2&gt;Semana!$M$3),1,0)))</f>
        <v>0</v>
      </c>
      <c r="AD676" s="39" t="str">
        <f aca="false">IF($F676="","",IF(COUNTA($I676:$K676)=0,0,1/COUNTA($I676:$K676)))</f>
        <v/>
      </c>
      <c r="AE676" s="39" t="str">
        <f aca="false">IF($AH676=0,"",SUM($AH$4:$AH676))</f>
        <v/>
      </c>
      <c r="AF676" s="39" t="str">
        <f aca="false">IF($AI676=0,"",SUM($AI$4:$AI676))</f>
        <v/>
      </c>
      <c r="AG676" s="50" t="str">
        <f aca="false">IF($F676="","",$I676&amp;IF($J676="",""," · "&amp;$J676)&amp;IF($K676="",""," · "&amp;$K676))</f>
        <v/>
      </c>
      <c r="AH676" s="39" t="n">
        <f aca="false">IF(AND($F676&lt;&gt;"",$O676&lt;&gt;"",$O676&lt;=Hoje!$C$3,$P676&gt;=Hoje!$C$3,$R676&lt;&gt;"Cancelada"),1,0)</f>
        <v>0</v>
      </c>
      <c r="AI676" s="39" t="n">
        <f aca="false">IF(AND($F676&lt;&gt;"",$P676&lt;&gt;"",$P676&lt;Hoje!$C$3,$AB676=0,$R676&lt;&gt;"Cancelada"),1,0)</f>
        <v>0</v>
      </c>
      <c r="AJ676" s="50" t="str">
        <f aca="false">IF($F676="","",$D676&amp;"|"&amp;$E676&amp;"|"&amp;$L676)</f>
        <v/>
      </c>
      <c r="AK676" s="39" t="str">
        <f aca="false">IF($AJ676="","",COUNTIF($AJ$4:$AJ676,$AJ676))</f>
        <v/>
      </c>
      <c r="AL676" s="39" t="str">
        <f aca="false">IF($AJ676="","",COUNTIF($AJ$4:$AJ$1004,$AJ676))</f>
        <v/>
      </c>
      <c r="AM676" s="42"/>
      <c r="AN676" s="50" t="str">
        <f aca="false">IF($D676="","",IFERROR(T(VLOOKUP($D676,Listas!$B$5:$H$120,7,0)),""))</f>
        <v/>
      </c>
      <c r="AO676" s="50" t="str">
        <f aca="false">IF(OR($F676="",$L676&lt;&gt;"",$R676="Cancelada",$AT676&lt;&gt;""),"",$AN676&amp;"|"&amp;$D676&amp;"|"&amp;IF($C676="","zzz",$C676)&amp;"|"&amp;TEXT(676,"0000"))</f>
        <v/>
      </c>
      <c r="AP676" s="50" t="str">
        <f aca="false">IF($AO676="","",COUNTIF($AO$5:$AO$1004,"&lt;"&amp;$AO676)-(ROWS($AO$5:$AO$1004)-Hoje!$L$5)+1)</f>
        <v/>
      </c>
      <c r="AQ676" s="50" t="n">
        <f aca="false">IF(AND($F676&lt;&gt;"",$D676=Frota!$C$3),1,0)</f>
        <v>0</v>
      </c>
      <c r="AR676" s="50" t="str">
        <f aca="false">IF($AQ676=0,"",SUM($AQ$4:$AQ676))</f>
        <v/>
      </c>
      <c r="AS676" s="50" t="str">
        <f aca="false">IFERROR(INDEX(Hoje!$K$10:$K$29,MATCH(ROW(),Hoje!$J$10:$J$29,0)),"")</f>
        <v/>
      </c>
      <c r="AT676" s="50" t="str">
        <f aca="false">IF($Q676&lt;&gt;"",$Q676,$AS676)</f>
        <v/>
      </c>
    </row>
    <row r="677" customFormat="false" ht="16.5" hidden="false" customHeight="true" outlineLevel="0" collapsed="false">
      <c r="A677" s="39" t="str">
        <f aca="false">IF($F677="","",ROW())</f>
        <v/>
      </c>
      <c r="B677" s="40" t="str">
        <f aca="false">IF($F677="",IF($D677="","","Falta a atividade"),IF($R677="Cancelada","Cancelada",IF($AB677=1,IF(N($Z677)&gt;0,"Concluída com atraso","Concluída"),IF($R677="Em programação","Em programação",IF($O677="",IF($M677="","Na carteira","Falta a semana"),IF($AC677=1,"VENCIDA",IF($O677&gt;Hoje!$L$1,"Programada",IF($P677&gt;Hoje!$L$1,"Em execução","Fecha hoje"))))))))</f>
        <v/>
      </c>
      <c r="C677" s="41"/>
      <c r="D677" s="42"/>
      <c r="E677" s="42"/>
      <c r="F677" s="42"/>
      <c r="G677" s="43"/>
      <c r="H677" s="43"/>
      <c r="I677" s="44"/>
      <c r="J677" s="44"/>
      <c r="K677" s="44"/>
      <c r="L677" s="45"/>
      <c r="M677" s="46"/>
      <c r="N677" s="45"/>
      <c r="O677" s="47" t="str">
        <f aca="false">IF(OR($L677="",$M677=""),"",(DATE(Semana!$J$3,1,4)-WEEKDAY(DATE(Semana!$J$3,1,4),3))+($L677-1)*7+MATCH($M677,Listas!$F$5:$F$11,0)-1)</f>
        <v/>
      </c>
      <c r="P677" s="47" t="str">
        <f aca="false">IF(OR($F677="",$O677=""),"",$O677+MAX(0,ROUNDUP($AK677*MAX(1,IF($N677="",1,$N677))/MAX(1,$AL677),0)-1))</f>
        <v/>
      </c>
      <c r="Q677" s="48"/>
      <c r="R677" s="43"/>
      <c r="S677" s="49"/>
      <c r="T677" s="42"/>
      <c r="U677" s="42"/>
      <c r="V677" s="39" t="str">
        <f aca="false">IF($F677="","",IF(ISNUMBER(SEARCH("(externo)",$I677&amp;$J677&amp;$K677)),"Terceirizada","Interna"))</f>
        <v/>
      </c>
      <c r="W677" s="47" t="str">
        <f aca="false">IF($O677="","",IF($S677="",$O677,(DATE(Semana!$J$3,1,4)-WEEKDAY(DATE(Semana!$J$3,1,4),3))+($S677-1)*7+IF($M677="",0,MATCH($M677,Listas!$F$5:$F$11,0)-1)))</f>
        <v/>
      </c>
      <c r="X677" s="39" t="str">
        <f aca="false">IF($F677="","",IF(OR($AT677="",$O677=""),0,IF($AT677&lt;=$O677,1,0)))</f>
        <v/>
      </c>
      <c r="Y677" s="39" t="str">
        <f aca="false">IF($F677="","",IF(OR($AT677="",$W677=""),0,IF($AT677&lt;=$W677,1,0)))</f>
        <v/>
      </c>
      <c r="Z677" s="39" t="str">
        <f aca="false">IF(OR($AT677="",$O677=""),"",MAX(0,$AT677-$O677))</f>
        <v/>
      </c>
      <c r="AA677" s="39" t="str">
        <f aca="false">IF($F677="","",IF(AND($S677&lt;&gt;"",$L677&lt;&gt;"",$S677&lt;&gt;$L677),1,0))</f>
        <v/>
      </c>
      <c r="AB677" s="39" t="str">
        <f aca="false">IF($F677="","",IF($R677="Cancelada",0,IF(OR($AT677&lt;&gt;"",$R677="Concluída"),1,0)))</f>
        <v/>
      </c>
      <c r="AC677" s="39" t="n">
        <f aca="false">IF($P677="",0,IF($P677&lt;Hoje!$L$1,1,IF(AND($P677=Hoje!$L$1,Hoje!$L$2&gt;Semana!$M$3),1,0)))</f>
        <v>0</v>
      </c>
      <c r="AD677" s="39" t="str">
        <f aca="false">IF($F677="","",IF(COUNTA($I677:$K677)=0,0,1/COUNTA($I677:$K677)))</f>
        <v/>
      </c>
      <c r="AE677" s="39" t="str">
        <f aca="false">IF($AH677=0,"",SUM($AH$4:$AH677))</f>
        <v/>
      </c>
      <c r="AF677" s="39" t="str">
        <f aca="false">IF($AI677=0,"",SUM($AI$4:$AI677))</f>
        <v/>
      </c>
      <c r="AG677" s="50" t="str">
        <f aca="false">IF($F677="","",$I677&amp;IF($J677="",""," · "&amp;$J677)&amp;IF($K677="",""," · "&amp;$K677))</f>
        <v/>
      </c>
      <c r="AH677" s="39" t="n">
        <f aca="false">IF(AND($F677&lt;&gt;"",$O677&lt;&gt;"",$O677&lt;=Hoje!$C$3,$P677&gt;=Hoje!$C$3,$R677&lt;&gt;"Cancelada"),1,0)</f>
        <v>0</v>
      </c>
      <c r="AI677" s="39" t="n">
        <f aca="false">IF(AND($F677&lt;&gt;"",$P677&lt;&gt;"",$P677&lt;Hoje!$C$3,$AB677=0,$R677&lt;&gt;"Cancelada"),1,0)</f>
        <v>0</v>
      </c>
      <c r="AJ677" s="50" t="str">
        <f aca="false">IF($F677="","",$D677&amp;"|"&amp;$E677&amp;"|"&amp;$L677)</f>
        <v/>
      </c>
      <c r="AK677" s="39" t="str">
        <f aca="false">IF($AJ677="","",COUNTIF($AJ$4:$AJ677,$AJ677))</f>
        <v/>
      </c>
      <c r="AL677" s="39" t="str">
        <f aca="false">IF($AJ677="","",COUNTIF($AJ$4:$AJ$1004,$AJ677))</f>
        <v/>
      </c>
      <c r="AM677" s="42"/>
      <c r="AN677" s="50" t="str">
        <f aca="false">IF($D677="","",IFERROR(T(VLOOKUP($D677,Listas!$B$5:$H$120,7,0)),""))</f>
        <v/>
      </c>
      <c r="AO677" s="50" t="str">
        <f aca="false">IF(OR($F677="",$L677&lt;&gt;"",$R677="Cancelada",$AT677&lt;&gt;""),"",$AN677&amp;"|"&amp;$D677&amp;"|"&amp;IF($C677="","zzz",$C677)&amp;"|"&amp;TEXT(677,"0000"))</f>
        <v/>
      </c>
      <c r="AP677" s="50" t="str">
        <f aca="false">IF($AO677="","",COUNTIF($AO$5:$AO$1004,"&lt;"&amp;$AO677)-(ROWS($AO$5:$AO$1004)-Hoje!$L$5)+1)</f>
        <v/>
      </c>
      <c r="AQ677" s="50" t="n">
        <f aca="false">IF(AND($F677&lt;&gt;"",$D677=Frota!$C$3),1,0)</f>
        <v>0</v>
      </c>
      <c r="AR677" s="50" t="str">
        <f aca="false">IF($AQ677=0,"",SUM($AQ$4:$AQ677))</f>
        <v/>
      </c>
      <c r="AS677" s="50" t="str">
        <f aca="false">IFERROR(INDEX(Hoje!$K$10:$K$29,MATCH(ROW(),Hoje!$J$10:$J$29,0)),"")</f>
        <v/>
      </c>
      <c r="AT677" s="50" t="str">
        <f aca="false">IF($Q677&lt;&gt;"",$Q677,$AS677)</f>
        <v/>
      </c>
    </row>
    <row r="678" customFormat="false" ht="16.5" hidden="false" customHeight="true" outlineLevel="0" collapsed="false">
      <c r="A678" s="39" t="str">
        <f aca="false">IF($F678="","",ROW())</f>
        <v/>
      </c>
      <c r="B678" s="40" t="str">
        <f aca="false">IF($F678="",IF($D678="","","Falta a atividade"),IF($R678="Cancelada","Cancelada",IF($AB678=1,IF(N($Z678)&gt;0,"Concluída com atraso","Concluída"),IF($R678="Em programação","Em programação",IF($O678="",IF($M678="","Na carteira","Falta a semana"),IF($AC678=1,"VENCIDA",IF($O678&gt;Hoje!$L$1,"Programada",IF($P678&gt;Hoje!$L$1,"Em execução","Fecha hoje"))))))))</f>
        <v/>
      </c>
      <c r="C678" s="41"/>
      <c r="D678" s="42"/>
      <c r="E678" s="42"/>
      <c r="F678" s="42"/>
      <c r="G678" s="43"/>
      <c r="H678" s="43"/>
      <c r="I678" s="44"/>
      <c r="J678" s="44"/>
      <c r="K678" s="44"/>
      <c r="L678" s="45"/>
      <c r="M678" s="46"/>
      <c r="N678" s="45"/>
      <c r="O678" s="47" t="str">
        <f aca="false">IF(OR($L678="",$M678=""),"",(DATE(Semana!$J$3,1,4)-WEEKDAY(DATE(Semana!$J$3,1,4),3))+($L678-1)*7+MATCH($M678,Listas!$F$5:$F$11,0)-1)</f>
        <v/>
      </c>
      <c r="P678" s="47" t="str">
        <f aca="false">IF(OR($F678="",$O678=""),"",$O678+MAX(0,ROUNDUP($AK678*MAX(1,IF($N678="",1,$N678))/MAX(1,$AL678),0)-1))</f>
        <v/>
      </c>
      <c r="Q678" s="48"/>
      <c r="R678" s="43"/>
      <c r="S678" s="49"/>
      <c r="T678" s="42"/>
      <c r="U678" s="42"/>
      <c r="V678" s="39" t="str">
        <f aca="false">IF($F678="","",IF(ISNUMBER(SEARCH("(externo)",$I678&amp;$J678&amp;$K678)),"Terceirizada","Interna"))</f>
        <v/>
      </c>
      <c r="W678" s="47" t="str">
        <f aca="false">IF($O678="","",IF($S678="",$O678,(DATE(Semana!$J$3,1,4)-WEEKDAY(DATE(Semana!$J$3,1,4),3))+($S678-1)*7+IF($M678="",0,MATCH($M678,Listas!$F$5:$F$11,0)-1)))</f>
        <v/>
      </c>
      <c r="X678" s="39" t="str">
        <f aca="false">IF($F678="","",IF(OR($AT678="",$O678=""),0,IF($AT678&lt;=$O678,1,0)))</f>
        <v/>
      </c>
      <c r="Y678" s="39" t="str">
        <f aca="false">IF($F678="","",IF(OR($AT678="",$W678=""),0,IF($AT678&lt;=$W678,1,0)))</f>
        <v/>
      </c>
      <c r="Z678" s="39" t="str">
        <f aca="false">IF(OR($AT678="",$O678=""),"",MAX(0,$AT678-$O678))</f>
        <v/>
      </c>
      <c r="AA678" s="39" t="str">
        <f aca="false">IF($F678="","",IF(AND($S678&lt;&gt;"",$L678&lt;&gt;"",$S678&lt;&gt;$L678),1,0))</f>
        <v/>
      </c>
      <c r="AB678" s="39" t="str">
        <f aca="false">IF($F678="","",IF($R678="Cancelada",0,IF(OR($AT678&lt;&gt;"",$R678="Concluída"),1,0)))</f>
        <v/>
      </c>
      <c r="AC678" s="39" t="n">
        <f aca="false">IF($P678="",0,IF($P678&lt;Hoje!$L$1,1,IF(AND($P678=Hoje!$L$1,Hoje!$L$2&gt;Semana!$M$3),1,0)))</f>
        <v>0</v>
      </c>
      <c r="AD678" s="39" t="str">
        <f aca="false">IF($F678="","",IF(COUNTA($I678:$K678)=0,0,1/COUNTA($I678:$K678)))</f>
        <v/>
      </c>
      <c r="AE678" s="39" t="str">
        <f aca="false">IF($AH678=0,"",SUM($AH$4:$AH678))</f>
        <v/>
      </c>
      <c r="AF678" s="39" t="str">
        <f aca="false">IF($AI678=0,"",SUM($AI$4:$AI678))</f>
        <v/>
      </c>
      <c r="AG678" s="50" t="str">
        <f aca="false">IF($F678="","",$I678&amp;IF($J678="",""," · "&amp;$J678)&amp;IF($K678="",""," · "&amp;$K678))</f>
        <v/>
      </c>
      <c r="AH678" s="39" t="n">
        <f aca="false">IF(AND($F678&lt;&gt;"",$O678&lt;&gt;"",$O678&lt;=Hoje!$C$3,$P678&gt;=Hoje!$C$3,$R678&lt;&gt;"Cancelada"),1,0)</f>
        <v>0</v>
      </c>
      <c r="AI678" s="39" t="n">
        <f aca="false">IF(AND($F678&lt;&gt;"",$P678&lt;&gt;"",$P678&lt;Hoje!$C$3,$AB678=0,$R678&lt;&gt;"Cancelada"),1,0)</f>
        <v>0</v>
      </c>
      <c r="AJ678" s="50" t="str">
        <f aca="false">IF($F678="","",$D678&amp;"|"&amp;$E678&amp;"|"&amp;$L678)</f>
        <v/>
      </c>
      <c r="AK678" s="39" t="str">
        <f aca="false">IF($AJ678="","",COUNTIF($AJ$4:$AJ678,$AJ678))</f>
        <v/>
      </c>
      <c r="AL678" s="39" t="str">
        <f aca="false">IF($AJ678="","",COUNTIF($AJ$4:$AJ$1004,$AJ678))</f>
        <v/>
      </c>
      <c r="AM678" s="42"/>
      <c r="AN678" s="50" t="str">
        <f aca="false">IF($D678="","",IFERROR(T(VLOOKUP($D678,Listas!$B$5:$H$120,7,0)),""))</f>
        <v/>
      </c>
      <c r="AO678" s="50" t="str">
        <f aca="false">IF(OR($F678="",$L678&lt;&gt;"",$R678="Cancelada",$AT678&lt;&gt;""),"",$AN678&amp;"|"&amp;$D678&amp;"|"&amp;IF($C678="","zzz",$C678)&amp;"|"&amp;TEXT(678,"0000"))</f>
        <v/>
      </c>
      <c r="AP678" s="50" t="str">
        <f aca="false">IF($AO678="","",COUNTIF($AO$5:$AO$1004,"&lt;"&amp;$AO678)-(ROWS($AO$5:$AO$1004)-Hoje!$L$5)+1)</f>
        <v/>
      </c>
      <c r="AQ678" s="50" t="n">
        <f aca="false">IF(AND($F678&lt;&gt;"",$D678=Frota!$C$3),1,0)</f>
        <v>0</v>
      </c>
      <c r="AR678" s="50" t="str">
        <f aca="false">IF($AQ678=0,"",SUM($AQ$4:$AQ678))</f>
        <v/>
      </c>
      <c r="AS678" s="50" t="str">
        <f aca="false">IFERROR(INDEX(Hoje!$K$10:$K$29,MATCH(ROW(),Hoje!$J$10:$J$29,0)),"")</f>
        <v/>
      </c>
      <c r="AT678" s="50" t="str">
        <f aca="false">IF($Q678&lt;&gt;"",$Q678,$AS678)</f>
        <v/>
      </c>
    </row>
    <row r="679" customFormat="false" ht="16.5" hidden="false" customHeight="true" outlineLevel="0" collapsed="false">
      <c r="A679" s="39" t="str">
        <f aca="false">IF($F679="","",ROW())</f>
        <v/>
      </c>
      <c r="B679" s="40" t="str">
        <f aca="false">IF($F679="",IF($D679="","","Falta a atividade"),IF($R679="Cancelada","Cancelada",IF($AB679=1,IF(N($Z679)&gt;0,"Concluída com atraso","Concluída"),IF($R679="Em programação","Em programação",IF($O679="",IF($M679="","Na carteira","Falta a semana"),IF($AC679=1,"VENCIDA",IF($O679&gt;Hoje!$L$1,"Programada",IF($P679&gt;Hoje!$L$1,"Em execução","Fecha hoje"))))))))</f>
        <v/>
      </c>
      <c r="C679" s="41"/>
      <c r="D679" s="42"/>
      <c r="E679" s="42"/>
      <c r="F679" s="42"/>
      <c r="G679" s="43"/>
      <c r="H679" s="43"/>
      <c r="I679" s="44"/>
      <c r="J679" s="44"/>
      <c r="K679" s="44"/>
      <c r="L679" s="45"/>
      <c r="M679" s="46"/>
      <c r="N679" s="45"/>
      <c r="O679" s="47" t="str">
        <f aca="false">IF(OR($L679="",$M679=""),"",(DATE(Semana!$J$3,1,4)-WEEKDAY(DATE(Semana!$J$3,1,4),3))+($L679-1)*7+MATCH($M679,Listas!$F$5:$F$11,0)-1)</f>
        <v/>
      </c>
      <c r="P679" s="47" t="str">
        <f aca="false">IF(OR($F679="",$O679=""),"",$O679+MAX(0,ROUNDUP($AK679*MAX(1,IF($N679="",1,$N679))/MAX(1,$AL679),0)-1))</f>
        <v/>
      </c>
      <c r="Q679" s="48"/>
      <c r="R679" s="43"/>
      <c r="S679" s="49"/>
      <c r="T679" s="42"/>
      <c r="U679" s="42"/>
      <c r="V679" s="39" t="str">
        <f aca="false">IF($F679="","",IF(ISNUMBER(SEARCH("(externo)",$I679&amp;$J679&amp;$K679)),"Terceirizada","Interna"))</f>
        <v/>
      </c>
      <c r="W679" s="47" t="str">
        <f aca="false">IF($O679="","",IF($S679="",$O679,(DATE(Semana!$J$3,1,4)-WEEKDAY(DATE(Semana!$J$3,1,4),3))+($S679-1)*7+IF($M679="",0,MATCH($M679,Listas!$F$5:$F$11,0)-1)))</f>
        <v/>
      </c>
      <c r="X679" s="39" t="str">
        <f aca="false">IF($F679="","",IF(OR($AT679="",$O679=""),0,IF($AT679&lt;=$O679,1,0)))</f>
        <v/>
      </c>
      <c r="Y679" s="39" t="str">
        <f aca="false">IF($F679="","",IF(OR($AT679="",$W679=""),0,IF($AT679&lt;=$W679,1,0)))</f>
        <v/>
      </c>
      <c r="Z679" s="39" t="str">
        <f aca="false">IF(OR($AT679="",$O679=""),"",MAX(0,$AT679-$O679))</f>
        <v/>
      </c>
      <c r="AA679" s="39" t="str">
        <f aca="false">IF($F679="","",IF(AND($S679&lt;&gt;"",$L679&lt;&gt;"",$S679&lt;&gt;$L679),1,0))</f>
        <v/>
      </c>
      <c r="AB679" s="39" t="str">
        <f aca="false">IF($F679="","",IF($R679="Cancelada",0,IF(OR($AT679&lt;&gt;"",$R679="Concluída"),1,0)))</f>
        <v/>
      </c>
      <c r="AC679" s="39" t="n">
        <f aca="false">IF($P679="",0,IF($P679&lt;Hoje!$L$1,1,IF(AND($P679=Hoje!$L$1,Hoje!$L$2&gt;Semana!$M$3),1,0)))</f>
        <v>0</v>
      </c>
      <c r="AD679" s="39" t="str">
        <f aca="false">IF($F679="","",IF(COUNTA($I679:$K679)=0,0,1/COUNTA($I679:$K679)))</f>
        <v/>
      </c>
      <c r="AE679" s="39" t="str">
        <f aca="false">IF($AH679=0,"",SUM($AH$4:$AH679))</f>
        <v/>
      </c>
      <c r="AF679" s="39" t="str">
        <f aca="false">IF($AI679=0,"",SUM($AI$4:$AI679))</f>
        <v/>
      </c>
      <c r="AG679" s="50" t="str">
        <f aca="false">IF($F679="","",$I679&amp;IF($J679="",""," · "&amp;$J679)&amp;IF($K679="",""," · "&amp;$K679))</f>
        <v/>
      </c>
      <c r="AH679" s="39" t="n">
        <f aca="false">IF(AND($F679&lt;&gt;"",$O679&lt;&gt;"",$O679&lt;=Hoje!$C$3,$P679&gt;=Hoje!$C$3,$R679&lt;&gt;"Cancelada"),1,0)</f>
        <v>0</v>
      </c>
      <c r="AI679" s="39" t="n">
        <f aca="false">IF(AND($F679&lt;&gt;"",$P679&lt;&gt;"",$P679&lt;Hoje!$C$3,$AB679=0,$R679&lt;&gt;"Cancelada"),1,0)</f>
        <v>0</v>
      </c>
      <c r="AJ679" s="50" t="str">
        <f aca="false">IF($F679="","",$D679&amp;"|"&amp;$E679&amp;"|"&amp;$L679)</f>
        <v/>
      </c>
      <c r="AK679" s="39" t="str">
        <f aca="false">IF($AJ679="","",COUNTIF($AJ$4:$AJ679,$AJ679))</f>
        <v/>
      </c>
      <c r="AL679" s="39" t="str">
        <f aca="false">IF($AJ679="","",COUNTIF($AJ$4:$AJ$1004,$AJ679))</f>
        <v/>
      </c>
      <c r="AM679" s="42"/>
      <c r="AN679" s="50" t="str">
        <f aca="false">IF($D679="","",IFERROR(T(VLOOKUP($D679,Listas!$B$5:$H$120,7,0)),""))</f>
        <v/>
      </c>
      <c r="AO679" s="50" t="str">
        <f aca="false">IF(OR($F679="",$L679&lt;&gt;"",$R679="Cancelada",$AT679&lt;&gt;""),"",$AN679&amp;"|"&amp;$D679&amp;"|"&amp;IF($C679="","zzz",$C679)&amp;"|"&amp;TEXT(679,"0000"))</f>
        <v/>
      </c>
      <c r="AP679" s="50" t="str">
        <f aca="false">IF($AO679="","",COUNTIF($AO$5:$AO$1004,"&lt;"&amp;$AO679)-(ROWS($AO$5:$AO$1004)-Hoje!$L$5)+1)</f>
        <v/>
      </c>
      <c r="AQ679" s="50" t="n">
        <f aca="false">IF(AND($F679&lt;&gt;"",$D679=Frota!$C$3),1,0)</f>
        <v>0</v>
      </c>
      <c r="AR679" s="50" t="str">
        <f aca="false">IF($AQ679=0,"",SUM($AQ$4:$AQ679))</f>
        <v/>
      </c>
      <c r="AS679" s="50" t="str">
        <f aca="false">IFERROR(INDEX(Hoje!$K$10:$K$29,MATCH(ROW(),Hoje!$J$10:$J$29,0)),"")</f>
        <v/>
      </c>
      <c r="AT679" s="50" t="str">
        <f aca="false">IF($Q679&lt;&gt;"",$Q679,$AS679)</f>
        <v/>
      </c>
    </row>
    <row r="680" customFormat="false" ht="16.5" hidden="false" customHeight="true" outlineLevel="0" collapsed="false">
      <c r="A680" s="39" t="str">
        <f aca="false">IF($F680="","",ROW())</f>
        <v/>
      </c>
      <c r="B680" s="40" t="str">
        <f aca="false">IF($F680="",IF($D680="","","Falta a atividade"),IF($R680="Cancelada","Cancelada",IF($AB680=1,IF(N($Z680)&gt;0,"Concluída com atraso","Concluída"),IF($R680="Em programação","Em programação",IF($O680="",IF($M680="","Na carteira","Falta a semana"),IF($AC680=1,"VENCIDA",IF($O680&gt;Hoje!$L$1,"Programada",IF($P680&gt;Hoje!$L$1,"Em execução","Fecha hoje"))))))))</f>
        <v/>
      </c>
      <c r="C680" s="41"/>
      <c r="D680" s="42"/>
      <c r="E680" s="42"/>
      <c r="F680" s="42"/>
      <c r="G680" s="43"/>
      <c r="H680" s="43"/>
      <c r="I680" s="44"/>
      <c r="J680" s="44"/>
      <c r="K680" s="44"/>
      <c r="L680" s="45"/>
      <c r="M680" s="46"/>
      <c r="N680" s="45"/>
      <c r="O680" s="47" t="str">
        <f aca="false">IF(OR($L680="",$M680=""),"",(DATE(Semana!$J$3,1,4)-WEEKDAY(DATE(Semana!$J$3,1,4),3))+($L680-1)*7+MATCH($M680,Listas!$F$5:$F$11,0)-1)</f>
        <v/>
      </c>
      <c r="P680" s="47" t="str">
        <f aca="false">IF(OR($F680="",$O680=""),"",$O680+MAX(0,ROUNDUP($AK680*MAX(1,IF($N680="",1,$N680))/MAX(1,$AL680),0)-1))</f>
        <v/>
      </c>
      <c r="Q680" s="48"/>
      <c r="R680" s="43"/>
      <c r="S680" s="49"/>
      <c r="T680" s="42"/>
      <c r="U680" s="42"/>
      <c r="V680" s="39" t="str">
        <f aca="false">IF($F680="","",IF(ISNUMBER(SEARCH("(externo)",$I680&amp;$J680&amp;$K680)),"Terceirizada","Interna"))</f>
        <v/>
      </c>
      <c r="W680" s="47" t="str">
        <f aca="false">IF($O680="","",IF($S680="",$O680,(DATE(Semana!$J$3,1,4)-WEEKDAY(DATE(Semana!$J$3,1,4),3))+($S680-1)*7+IF($M680="",0,MATCH($M680,Listas!$F$5:$F$11,0)-1)))</f>
        <v/>
      </c>
      <c r="X680" s="39" t="str">
        <f aca="false">IF($F680="","",IF(OR($AT680="",$O680=""),0,IF($AT680&lt;=$O680,1,0)))</f>
        <v/>
      </c>
      <c r="Y680" s="39" t="str">
        <f aca="false">IF($F680="","",IF(OR($AT680="",$W680=""),0,IF($AT680&lt;=$W680,1,0)))</f>
        <v/>
      </c>
      <c r="Z680" s="39" t="str">
        <f aca="false">IF(OR($AT680="",$O680=""),"",MAX(0,$AT680-$O680))</f>
        <v/>
      </c>
      <c r="AA680" s="39" t="str">
        <f aca="false">IF($F680="","",IF(AND($S680&lt;&gt;"",$L680&lt;&gt;"",$S680&lt;&gt;$L680),1,0))</f>
        <v/>
      </c>
      <c r="AB680" s="39" t="str">
        <f aca="false">IF($F680="","",IF($R680="Cancelada",0,IF(OR($AT680&lt;&gt;"",$R680="Concluída"),1,0)))</f>
        <v/>
      </c>
      <c r="AC680" s="39" t="n">
        <f aca="false">IF($P680="",0,IF($P680&lt;Hoje!$L$1,1,IF(AND($P680=Hoje!$L$1,Hoje!$L$2&gt;Semana!$M$3),1,0)))</f>
        <v>0</v>
      </c>
      <c r="AD680" s="39" t="str">
        <f aca="false">IF($F680="","",IF(COUNTA($I680:$K680)=0,0,1/COUNTA($I680:$K680)))</f>
        <v/>
      </c>
      <c r="AE680" s="39" t="str">
        <f aca="false">IF($AH680=0,"",SUM($AH$4:$AH680))</f>
        <v/>
      </c>
      <c r="AF680" s="39" t="str">
        <f aca="false">IF($AI680=0,"",SUM($AI$4:$AI680))</f>
        <v/>
      </c>
      <c r="AG680" s="50" t="str">
        <f aca="false">IF($F680="","",$I680&amp;IF($J680="",""," · "&amp;$J680)&amp;IF($K680="",""," · "&amp;$K680))</f>
        <v/>
      </c>
      <c r="AH680" s="39" t="n">
        <f aca="false">IF(AND($F680&lt;&gt;"",$O680&lt;&gt;"",$O680&lt;=Hoje!$C$3,$P680&gt;=Hoje!$C$3,$R680&lt;&gt;"Cancelada"),1,0)</f>
        <v>0</v>
      </c>
      <c r="AI680" s="39" t="n">
        <f aca="false">IF(AND($F680&lt;&gt;"",$P680&lt;&gt;"",$P680&lt;Hoje!$C$3,$AB680=0,$R680&lt;&gt;"Cancelada"),1,0)</f>
        <v>0</v>
      </c>
      <c r="AJ680" s="50" t="str">
        <f aca="false">IF($F680="","",$D680&amp;"|"&amp;$E680&amp;"|"&amp;$L680)</f>
        <v/>
      </c>
      <c r="AK680" s="39" t="str">
        <f aca="false">IF($AJ680="","",COUNTIF($AJ$4:$AJ680,$AJ680))</f>
        <v/>
      </c>
      <c r="AL680" s="39" t="str">
        <f aca="false">IF($AJ680="","",COUNTIF($AJ$4:$AJ$1004,$AJ680))</f>
        <v/>
      </c>
      <c r="AM680" s="42"/>
      <c r="AN680" s="50" t="str">
        <f aca="false">IF($D680="","",IFERROR(T(VLOOKUP($D680,Listas!$B$5:$H$120,7,0)),""))</f>
        <v/>
      </c>
      <c r="AO680" s="50" t="str">
        <f aca="false">IF(OR($F680="",$L680&lt;&gt;"",$R680="Cancelada",$AT680&lt;&gt;""),"",$AN680&amp;"|"&amp;$D680&amp;"|"&amp;IF($C680="","zzz",$C680)&amp;"|"&amp;TEXT(680,"0000"))</f>
        <v/>
      </c>
      <c r="AP680" s="50" t="str">
        <f aca="false">IF($AO680="","",COUNTIF($AO$5:$AO$1004,"&lt;"&amp;$AO680)-(ROWS($AO$5:$AO$1004)-Hoje!$L$5)+1)</f>
        <v/>
      </c>
      <c r="AQ680" s="50" t="n">
        <f aca="false">IF(AND($F680&lt;&gt;"",$D680=Frota!$C$3),1,0)</f>
        <v>0</v>
      </c>
      <c r="AR680" s="50" t="str">
        <f aca="false">IF($AQ680=0,"",SUM($AQ$4:$AQ680))</f>
        <v/>
      </c>
      <c r="AS680" s="50" t="str">
        <f aca="false">IFERROR(INDEX(Hoje!$K$10:$K$29,MATCH(ROW(),Hoje!$J$10:$J$29,0)),"")</f>
        <v/>
      </c>
      <c r="AT680" s="50" t="str">
        <f aca="false">IF($Q680&lt;&gt;"",$Q680,$AS680)</f>
        <v/>
      </c>
    </row>
    <row r="681" customFormat="false" ht="16.5" hidden="false" customHeight="true" outlineLevel="0" collapsed="false">
      <c r="A681" s="39" t="str">
        <f aca="false">IF($F681="","",ROW())</f>
        <v/>
      </c>
      <c r="B681" s="40" t="str">
        <f aca="false">IF($F681="",IF($D681="","","Falta a atividade"),IF($R681="Cancelada","Cancelada",IF($AB681=1,IF(N($Z681)&gt;0,"Concluída com atraso","Concluída"),IF($R681="Em programação","Em programação",IF($O681="",IF($M681="","Na carteira","Falta a semana"),IF($AC681=1,"VENCIDA",IF($O681&gt;Hoje!$L$1,"Programada",IF($P681&gt;Hoje!$L$1,"Em execução","Fecha hoje"))))))))</f>
        <v/>
      </c>
      <c r="C681" s="41"/>
      <c r="D681" s="42"/>
      <c r="E681" s="42"/>
      <c r="F681" s="42"/>
      <c r="G681" s="43"/>
      <c r="H681" s="43"/>
      <c r="I681" s="44"/>
      <c r="J681" s="44"/>
      <c r="K681" s="44"/>
      <c r="L681" s="45"/>
      <c r="M681" s="46"/>
      <c r="N681" s="45"/>
      <c r="O681" s="47" t="str">
        <f aca="false">IF(OR($L681="",$M681=""),"",(DATE(Semana!$J$3,1,4)-WEEKDAY(DATE(Semana!$J$3,1,4),3))+($L681-1)*7+MATCH($M681,Listas!$F$5:$F$11,0)-1)</f>
        <v/>
      </c>
      <c r="P681" s="47" t="str">
        <f aca="false">IF(OR($F681="",$O681=""),"",$O681+MAX(0,ROUNDUP($AK681*MAX(1,IF($N681="",1,$N681))/MAX(1,$AL681),0)-1))</f>
        <v/>
      </c>
      <c r="Q681" s="48"/>
      <c r="R681" s="43"/>
      <c r="S681" s="49"/>
      <c r="T681" s="42"/>
      <c r="U681" s="42"/>
      <c r="V681" s="39" t="str">
        <f aca="false">IF($F681="","",IF(ISNUMBER(SEARCH("(externo)",$I681&amp;$J681&amp;$K681)),"Terceirizada","Interna"))</f>
        <v/>
      </c>
      <c r="W681" s="47" t="str">
        <f aca="false">IF($O681="","",IF($S681="",$O681,(DATE(Semana!$J$3,1,4)-WEEKDAY(DATE(Semana!$J$3,1,4),3))+($S681-1)*7+IF($M681="",0,MATCH($M681,Listas!$F$5:$F$11,0)-1)))</f>
        <v/>
      </c>
      <c r="X681" s="39" t="str">
        <f aca="false">IF($F681="","",IF(OR($AT681="",$O681=""),0,IF($AT681&lt;=$O681,1,0)))</f>
        <v/>
      </c>
      <c r="Y681" s="39" t="str">
        <f aca="false">IF($F681="","",IF(OR($AT681="",$W681=""),0,IF($AT681&lt;=$W681,1,0)))</f>
        <v/>
      </c>
      <c r="Z681" s="39" t="str">
        <f aca="false">IF(OR($AT681="",$O681=""),"",MAX(0,$AT681-$O681))</f>
        <v/>
      </c>
      <c r="AA681" s="39" t="str">
        <f aca="false">IF($F681="","",IF(AND($S681&lt;&gt;"",$L681&lt;&gt;"",$S681&lt;&gt;$L681),1,0))</f>
        <v/>
      </c>
      <c r="AB681" s="39" t="str">
        <f aca="false">IF($F681="","",IF($R681="Cancelada",0,IF(OR($AT681&lt;&gt;"",$R681="Concluída"),1,0)))</f>
        <v/>
      </c>
      <c r="AC681" s="39" t="n">
        <f aca="false">IF($P681="",0,IF($P681&lt;Hoje!$L$1,1,IF(AND($P681=Hoje!$L$1,Hoje!$L$2&gt;Semana!$M$3),1,0)))</f>
        <v>0</v>
      </c>
      <c r="AD681" s="39" t="str">
        <f aca="false">IF($F681="","",IF(COUNTA($I681:$K681)=0,0,1/COUNTA($I681:$K681)))</f>
        <v/>
      </c>
      <c r="AE681" s="39" t="str">
        <f aca="false">IF($AH681=0,"",SUM($AH$4:$AH681))</f>
        <v/>
      </c>
      <c r="AF681" s="39" t="str">
        <f aca="false">IF($AI681=0,"",SUM($AI$4:$AI681))</f>
        <v/>
      </c>
      <c r="AG681" s="50" t="str">
        <f aca="false">IF($F681="","",$I681&amp;IF($J681="",""," · "&amp;$J681)&amp;IF($K681="",""," · "&amp;$K681))</f>
        <v/>
      </c>
      <c r="AH681" s="39" t="n">
        <f aca="false">IF(AND($F681&lt;&gt;"",$O681&lt;&gt;"",$O681&lt;=Hoje!$C$3,$P681&gt;=Hoje!$C$3,$R681&lt;&gt;"Cancelada"),1,0)</f>
        <v>0</v>
      </c>
      <c r="AI681" s="39" t="n">
        <f aca="false">IF(AND($F681&lt;&gt;"",$P681&lt;&gt;"",$P681&lt;Hoje!$C$3,$AB681=0,$R681&lt;&gt;"Cancelada"),1,0)</f>
        <v>0</v>
      </c>
      <c r="AJ681" s="50" t="str">
        <f aca="false">IF($F681="","",$D681&amp;"|"&amp;$E681&amp;"|"&amp;$L681)</f>
        <v/>
      </c>
      <c r="AK681" s="39" t="str">
        <f aca="false">IF($AJ681="","",COUNTIF($AJ$4:$AJ681,$AJ681))</f>
        <v/>
      </c>
      <c r="AL681" s="39" t="str">
        <f aca="false">IF($AJ681="","",COUNTIF($AJ$4:$AJ$1004,$AJ681))</f>
        <v/>
      </c>
      <c r="AM681" s="42"/>
      <c r="AN681" s="50" t="str">
        <f aca="false">IF($D681="","",IFERROR(T(VLOOKUP($D681,Listas!$B$5:$H$120,7,0)),""))</f>
        <v/>
      </c>
      <c r="AO681" s="50" t="str">
        <f aca="false">IF(OR($F681="",$L681&lt;&gt;"",$R681="Cancelada",$AT681&lt;&gt;""),"",$AN681&amp;"|"&amp;$D681&amp;"|"&amp;IF($C681="","zzz",$C681)&amp;"|"&amp;TEXT(681,"0000"))</f>
        <v/>
      </c>
      <c r="AP681" s="50" t="str">
        <f aca="false">IF($AO681="","",COUNTIF($AO$5:$AO$1004,"&lt;"&amp;$AO681)-(ROWS($AO$5:$AO$1004)-Hoje!$L$5)+1)</f>
        <v/>
      </c>
      <c r="AQ681" s="50" t="n">
        <f aca="false">IF(AND($F681&lt;&gt;"",$D681=Frota!$C$3),1,0)</f>
        <v>0</v>
      </c>
      <c r="AR681" s="50" t="str">
        <f aca="false">IF($AQ681=0,"",SUM($AQ$4:$AQ681))</f>
        <v/>
      </c>
      <c r="AS681" s="50" t="str">
        <f aca="false">IFERROR(INDEX(Hoje!$K$10:$K$29,MATCH(ROW(),Hoje!$J$10:$J$29,0)),"")</f>
        <v/>
      </c>
      <c r="AT681" s="50" t="str">
        <f aca="false">IF($Q681&lt;&gt;"",$Q681,$AS681)</f>
        <v/>
      </c>
    </row>
    <row r="682" customFormat="false" ht="16.5" hidden="false" customHeight="true" outlineLevel="0" collapsed="false">
      <c r="A682" s="39" t="str">
        <f aca="false">IF($F682="","",ROW())</f>
        <v/>
      </c>
      <c r="B682" s="40" t="str">
        <f aca="false">IF($F682="",IF($D682="","","Falta a atividade"),IF($R682="Cancelada","Cancelada",IF($AB682=1,IF(N($Z682)&gt;0,"Concluída com atraso","Concluída"),IF($R682="Em programação","Em programação",IF($O682="",IF($M682="","Na carteira","Falta a semana"),IF($AC682=1,"VENCIDA",IF($O682&gt;Hoje!$L$1,"Programada",IF($P682&gt;Hoje!$L$1,"Em execução","Fecha hoje"))))))))</f>
        <v/>
      </c>
      <c r="C682" s="41"/>
      <c r="D682" s="42"/>
      <c r="E682" s="42"/>
      <c r="F682" s="42"/>
      <c r="G682" s="43"/>
      <c r="H682" s="43"/>
      <c r="I682" s="44"/>
      <c r="J682" s="44"/>
      <c r="K682" s="44"/>
      <c r="L682" s="45"/>
      <c r="M682" s="46"/>
      <c r="N682" s="45"/>
      <c r="O682" s="47" t="str">
        <f aca="false">IF(OR($L682="",$M682=""),"",(DATE(Semana!$J$3,1,4)-WEEKDAY(DATE(Semana!$J$3,1,4),3))+($L682-1)*7+MATCH($M682,Listas!$F$5:$F$11,0)-1)</f>
        <v/>
      </c>
      <c r="P682" s="47" t="str">
        <f aca="false">IF(OR($F682="",$O682=""),"",$O682+MAX(0,ROUNDUP($AK682*MAX(1,IF($N682="",1,$N682))/MAX(1,$AL682),0)-1))</f>
        <v/>
      </c>
      <c r="Q682" s="48"/>
      <c r="R682" s="43"/>
      <c r="S682" s="49"/>
      <c r="T682" s="42"/>
      <c r="U682" s="42"/>
      <c r="V682" s="39" t="str">
        <f aca="false">IF($F682="","",IF(ISNUMBER(SEARCH("(externo)",$I682&amp;$J682&amp;$K682)),"Terceirizada","Interna"))</f>
        <v/>
      </c>
      <c r="W682" s="47" t="str">
        <f aca="false">IF($O682="","",IF($S682="",$O682,(DATE(Semana!$J$3,1,4)-WEEKDAY(DATE(Semana!$J$3,1,4),3))+($S682-1)*7+IF($M682="",0,MATCH($M682,Listas!$F$5:$F$11,0)-1)))</f>
        <v/>
      </c>
      <c r="X682" s="39" t="str">
        <f aca="false">IF($F682="","",IF(OR($AT682="",$O682=""),0,IF($AT682&lt;=$O682,1,0)))</f>
        <v/>
      </c>
      <c r="Y682" s="39" t="str">
        <f aca="false">IF($F682="","",IF(OR($AT682="",$W682=""),0,IF($AT682&lt;=$W682,1,0)))</f>
        <v/>
      </c>
      <c r="Z682" s="39" t="str">
        <f aca="false">IF(OR($AT682="",$O682=""),"",MAX(0,$AT682-$O682))</f>
        <v/>
      </c>
      <c r="AA682" s="39" t="str">
        <f aca="false">IF($F682="","",IF(AND($S682&lt;&gt;"",$L682&lt;&gt;"",$S682&lt;&gt;$L682),1,0))</f>
        <v/>
      </c>
      <c r="AB682" s="39" t="str">
        <f aca="false">IF($F682="","",IF($R682="Cancelada",0,IF(OR($AT682&lt;&gt;"",$R682="Concluída"),1,0)))</f>
        <v/>
      </c>
      <c r="AC682" s="39" t="n">
        <f aca="false">IF($P682="",0,IF($P682&lt;Hoje!$L$1,1,IF(AND($P682=Hoje!$L$1,Hoje!$L$2&gt;Semana!$M$3),1,0)))</f>
        <v>0</v>
      </c>
      <c r="AD682" s="39" t="str">
        <f aca="false">IF($F682="","",IF(COUNTA($I682:$K682)=0,0,1/COUNTA($I682:$K682)))</f>
        <v/>
      </c>
      <c r="AE682" s="39" t="str">
        <f aca="false">IF($AH682=0,"",SUM($AH$4:$AH682))</f>
        <v/>
      </c>
      <c r="AF682" s="39" t="str">
        <f aca="false">IF($AI682=0,"",SUM($AI$4:$AI682))</f>
        <v/>
      </c>
      <c r="AG682" s="50" t="str">
        <f aca="false">IF($F682="","",$I682&amp;IF($J682="",""," · "&amp;$J682)&amp;IF($K682="",""," · "&amp;$K682))</f>
        <v/>
      </c>
      <c r="AH682" s="39" t="n">
        <f aca="false">IF(AND($F682&lt;&gt;"",$O682&lt;&gt;"",$O682&lt;=Hoje!$C$3,$P682&gt;=Hoje!$C$3,$R682&lt;&gt;"Cancelada"),1,0)</f>
        <v>0</v>
      </c>
      <c r="AI682" s="39" t="n">
        <f aca="false">IF(AND($F682&lt;&gt;"",$P682&lt;&gt;"",$P682&lt;Hoje!$C$3,$AB682=0,$R682&lt;&gt;"Cancelada"),1,0)</f>
        <v>0</v>
      </c>
      <c r="AJ682" s="50" t="str">
        <f aca="false">IF($F682="","",$D682&amp;"|"&amp;$E682&amp;"|"&amp;$L682)</f>
        <v/>
      </c>
      <c r="AK682" s="39" t="str">
        <f aca="false">IF($AJ682="","",COUNTIF($AJ$4:$AJ682,$AJ682))</f>
        <v/>
      </c>
      <c r="AL682" s="39" t="str">
        <f aca="false">IF($AJ682="","",COUNTIF($AJ$4:$AJ$1004,$AJ682))</f>
        <v/>
      </c>
      <c r="AM682" s="42"/>
      <c r="AN682" s="50" t="str">
        <f aca="false">IF($D682="","",IFERROR(T(VLOOKUP($D682,Listas!$B$5:$H$120,7,0)),""))</f>
        <v/>
      </c>
      <c r="AO682" s="50" t="str">
        <f aca="false">IF(OR($F682="",$L682&lt;&gt;"",$R682="Cancelada",$AT682&lt;&gt;""),"",$AN682&amp;"|"&amp;$D682&amp;"|"&amp;IF($C682="","zzz",$C682)&amp;"|"&amp;TEXT(682,"0000"))</f>
        <v/>
      </c>
      <c r="AP682" s="50" t="str">
        <f aca="false">IF($AO682="","",COUNTIF($AO$5:$AO$1004,"&lt;"&amp;$AO682)-(ROWS($AO$5:$AO$1004)-Hoje!$L$5)+1)</f>
        <v/>
      </c>
      <c r="AQ682" s="50" t="n">
        <f aca="false">IF(AND($F682&lt;&gt;"",$D682=Frota!$C$3),1,0)</f>
        <v>0</v>
      </c>
      <c r="AR682" s="50" t="str">
        <f aca="false">IF($AQ682=0,"",SUM($AQ$4:$AQ682))</f>
        <v/>
      </c>
      <c r="AS682" s="50" t="str">
        <f aca="false">IFERROR(INDEX(Hoje!$K$10:$K$29,MATCH(ROW(),Hoje!$J$10:$J$29,0)),"")</f>
        <v/>
      </c>
      <c r="AT682" s="50" t="str">
        <f aca="false">IF($Q682&lt;&gt;"",$Q682,$AS682)</f>
        <v/>
      </c>
    </row>
    <row r="683" customFormat="false" ht="16.5" hidden="false" customHeight="true" outlineLevel="0" collapsed="false">
      <c r="A683" s="39" t="str">
        <f aca="false">IF($F683="","",ROW())</f>
        <v/>
      </c>
      <c r="B683" s="40" t="str">
        <f aca="false">IF($F683="",IF($D683="","","Falta a atividade"),IF($R683="Cancelada","Cancelada",IF($AB683=1,IF(N($Z683)&gt;0,"Concluída com atraso","Concluída"),IF($R683="Em programação","Em programação",IF($O683="",IF($M683="","Na carteira","Falta a semana"),IF($AC683=1,"VENCIDA",IF($O683&gt;Hoje!$L$1,"Programada",IF($P683&gt;Hoje!$L$1,"Em execução","Fecha hoje"))))))))</f>
        <v/>
      </c>
      <c r="C683" s="41"/>
      <c r="D683" s="42"/>
      <c r="E683" s="42"/>
      <c r="F683" s="42"/>
      <c r="G683" s="43"/>
      <c r="H683" s="43"/>
      <c r="I683" s="44"/>
      <c r="J683" s="44"/>
      <c r="K683" s="44"/>
      <c r="L683" s="45"/>
      <c r="M683" s="46"/>
      <c r="N683" s="45"/>
      <c r="O683" s="47" t="str">
        <f aca="false">IF(OR($L683="",$M683=""),"",(DATE(Semana!$J$3,1,4)-WEEKDAY(DATE(Semana!$J$3,1,4),3))+($L683-1)*7+MATCH($M683,Listas!$F$5:$F$11,0)-1)</f>
        <v/>
      </c>
      <c r="P683" s="47" t="str">
        <f aca="false">IF(OR($F683="",$O683=""),"",$O683+MAX(0,ROUNDUP($AK683*MAX(1,IF($N683="",1,$N683))/MAX(1,$AL683),0)-1))</f>
        <v/>
      </c>
      <c r="Q683" s="48"/>
      <c r="R683" s="43"/>
      <c r="S683" s="49"/>
      <c r="T683" s="42"/>
      <c r="U683" s="42"/>
      <c r="V683" s="39" t="str">
        <f aca="false">IF($F683="","",IF(ISNUMBER(SEARCH("(externo)",$I683&amp;$J683&amp;$K683)),"Terceirizada","Interna"))</f>
        <v/>
      </c>
      <c r="W683" s="47" t="str">
        <f aca="false">IF($O683="","",IF($S683="",$O683,(DATE(Semana!$J$3,1,4)-WEEKDAY(DATE(Semana!$J$3,1,4),3))+($S683-1)*7+IF($M683="",0,MATCH($M683,Listas!$F$5:$F$11,0)-1)))</f>
        <v/>
      </c>
      <c r="X683" s="39" t="str">
        <f aca="false">IF($F683="","",IF(OR($AT683="",$O683=""),0,IF($AT683&lt;=$O683,1,0)))</f>
        <v/>
      </c>
      <c r="Y683" s="39" t="str">
        <f aca="false">IF($F683="","",IF(OR($AT683="",$W683=""),0,IF($AT683&lt;=$W683,1,0)))</f>
        <v/>
      </c>
      <c r="Z683" s="39" t="str">
        <f aca="false">IF(OR($AT683="",$O683=""),"",MAX(0,$AT683-$O683))</f>
        <v/>
      </c>
      <c r="AA683" s="39" t="str">
        <f aca="false">IF($F683="","",IF(AND($S683&lt;&gt;"",$L683&lt;&gt;"",$S683&lt;&gt;$L683),1,0))</f>
        <v/>
      </c>
      <c r="AB683" s="39" t="str">
        <f aca="false">IF($F683="","",IF($R683="Cancelada",0,IF(OR($AT683&lt;&gt;"",$R683="Concluída"),1,0)))</f>
        <v/>
      </c>
      <c r="AC683" s="39" t="n">
        <f aca="false">IF($P683="",0,IF($P683&lt;Hoje!$L$1,1,IF(AND($P683=Hoje!$L$1,Hoje!$L$2&gt;Semana!$M$3),1,0)))</f>
        <v>0</v>
      </c>
      <c r="AD683" s="39" t="str">
        <f aca="false">IF($F683="","",IF(COUNTA($I683:$K683)=0,0,1/COUNTA($I683:$K683)))</f>
        <v/>
      </c>
      <c r="AE683" s="39" t="str">
        <f aca="false">IF($AH683=0,"",SUM($AH$4:$AH683))</f>
        <v/>
      </c>
      <c r="AF683" s="39" t="str">
        <f aca="false">IF($AI683=0,"",SUM($AI$4:$AI683))</f>
        <v/>
      </c>
      <c r="AG683" s="50" t="str">
        <f aca="false">IF($F683="","",$I683&amp;IF($J683="",""," · "&amp;$J683)&amp;IF($K683="",""," · "&amp;$K683))</f>
        <v/>
      </c>
      <c r="AH683" s="39" t="n">
        <f aca="false">IF(AND($F683&lt;&gt;"",$O683&lt;&gt;"",$O683&lt;=Hoje!$C$3,$P683&gt;=Hoje!$C$3,$R683&lt;&gt;"Cancelada"),1,0)</f>
        <v>0</v>
      </c>
      <c r="AI683" s="39" t="n">
        <f aca="false">IF(AND($F683&lt;&gt;"",$P683&lt;&gt;"",$P683&lt;Hoje!$C$3,$AB683=0,$R683&lt;&gt;"Cancelada"),1,0)</f>
        <v>0</v>
      </c>
      <c r="AJ683" s="50" t="str">
        <f aca="false">IF($F683="","",$D683&amp;"|"&amp;$E683&amp;"|"&amp;$L683)</f>
        <v/>
      </c>
      <c r="AK683" s="39" t="str">
        <f aca="false">IF($AJ683="","",COUNTIF($AJ$4:$AJ683,$AJ683))</f>
        <v/>
      </c>
      <c r="AL683" s="39" t="str">
        <f aca="false">IF($AJ683="","",COUNTIF($AJ$4:$AJ$1004,$AJ683))</f>
        <v/>
      </c>
      <c r="AM683" s="42"/>
      <c r="AN683" s="50" t="str">
        <f aca="false">IF($D683="","",IFERROR(T(VLOOKUP($D683,Listas!$B$5:$H$120,7,0)),""))</f>
        <v/>
      </c>
      <c r="AO683" s="50" t="str">
        <f aca="false">IF(OR($F683="",$L683&lt;&gt;"",$R683="Cancelada",$AT683&lt;&gt;""),"",$AN683&amp;"|"&amp;$D683&amp;"|"&amp;IF($C683="","zzz",$C683)&amp;"|"&amp;TEXT(683,"0000"))</f>
        <v/>
      </c>
      <c r="AP683" s="50" t="str">
        <f aca="false">IF($AO683="","",COUNTIF($AO$5:$AO$1004,"&lt;"&amp;$AO683)-(ROWS($AO$5:$AO$1004)-Hoje!$L$5)+1)</f>
        <v/>
      </c>
      <c r="AQ683" s="50" t="n">
        <f aca="false">IF(AND($F683&lt;&gt;"",$D683=Frota!$C$3),1,0)</f>
        <v>0</v>
      </c>
      <c r="AR683" s="50" t="str">
        <f aca="false">IF($AQ683=0,"",SUM($AQ$4:$AQ683))</f>
        <v/>
      </c>
      <c r="AS683" s="50" t="str">
        <f aca="false">IFERROR(INDEX(Hoje!$K$10:$K$29,MATCH(ROW(),Hoje!$J$10:$J$29,0)),"")</f>
        <v/>
      </c>
      <c r="AT683" s="50" t="str">
        <f aca="false">IF($Q683&lt;&gt;"",$Q683,$AS683)</f>
        <v/>
      </c>
    </row>
    <row r="684" customFormat="false" ht="16.5" hidden="false" customHeight="true" outlineLevel="0" collapsed="false">
      <c r="A684" s="39" t="str">
        <f aca="false">IF($F684="","",ROW())</f>
        <v/>
      </c>
      <c r="B684" s="40" t="str">
        <f aca="false">IF($F684="",IF($D684="","","Falta a atividade"),IF($R684="Cancelada","Cancelada",IF($AB684=1,IF(N($Z684)&gt;0,"Concluída com atraso","Concluída"),IF($R684="Em programação","Em programação",IF($O684="",IF($M684="","Na carteira","Falta a semana"),IF($AC684=1,"VENCIDA",IF($O684&gt;Hoje!$L$1,"Programada",IF($P684&gt;Hoje!$L$1,"Em execução","Fecha hoje"))))))))</f>
        <v/>
      </c>
      <c r="C684" s="41"/>
      <c r="D684" s="42"/>
      <c r="E684" s="42"/>
      <c r="F684" s="42"/>
      <c r="G684" s="43"/>
      <c r="H684" s="43"/>
      <c r="I684" s="44"/>
      <c r="J684" s="44"/>
      <c r="K684" s="44"/>
      <c r="L684" s="45"/>
      <c r="M684" s="46"/>
      <c r="N684" s="45"/>
      <c r="O684" s="47" t="str">
        <f aca="false">IF(OR($L684="",$M684=""),"",(DATE(Semana!$J$3,1,4)-WEEKDAY(DATE(Semana!$J$3,1,4),3))+($L684-1)*7+MATCH($M684,Listas!$F$5:$F$11,0)-1)</f>
        <v/>
      </c>
      <c r="P684" s="47" t="str">
        <f aca="false">IF(OR($F684="",$O684=""),"",$O684+MAX(0,ROUNDUP($AK684*MAX(1,IF($N684="",1,$N684))/MAX(1,$AL684),0)-1))</f>
        <v/>
      </c>
      <c r="Q684" s="48"/>
      <c r="R684" s="43"/>
      <c r="S684" s="49"/>
      <c r="T684" s="42"/>
      <c r="U684" s="42"/>
      <c r="V684" s="39" t="str">
        <f aca="false">IF($F684="","",IF(ISNUMBER(SEARCH("(externo)",$I684&amp;$J684&amp;$K684)),"Terceirizada","Interna"))</f>
        <v/>
      </c>
      <c r="W684" s="47" t="str">
        <f aca="false">IF($O684="","",IF($S684="",$O684,(DATE(Semana!$J$3,1,4)-WEEKDAY(DATE(Semana!$J$3,1,4),3))+($S684-1)*7+IF($M684="",0,MATCH($M684,Listas!$F$5:$F$11,0)-1)))</f>
        <v/>
      </c>
      <c r="X684" s="39" t="str">
        <f aca="false">IF($F684="","",IF(OR($AT684="",$O684=""),0,IF($AT684&lt;=$O684,1,0)))</f>
        <v/>
      </c>
      <c r="Y684" s="39" t="str">
        <f aca="false">IF($F684="","",IF(OR($AT684="",$W684=""),0,IF($AT684&lt;=$W684,1,0)))</f>
        <v/>
      </c>
      <c r="Z684" s="39" t="str">
        <f aca="false">IF(OR($AT684="",$O684=""),"",MAX(0,$AT684-$O684))</f>
        <v/>
      </c>
      <c r="AA684" s="39" t="str">
        <f aca="false">IF($F684="","",IF(AND($S684&lt;&gt;"",$L684&lt;&gt;"",$S684&lt;&gt;$L684),1,0))</f>
        <v/>
      </c>
      <c r="AB684" s="39" t="str">
        <f aca="false">IF($F684="","",IF($R684="Cancelada",0,IF(OR($AT684&lt;&gt;"",$R684="Concluída"),1,0)))</f>
        <v/>
      </c>
      <c r="AC684" s="39" t="n">
        <f aca="false">IF($P684="",0,IF($P684&lt;Hoje!$L$1,1,IF(AND($P684=Hoje!$L$1,Hoje!$L$2&gt;Semana!$M$3),1,0)))</f>
        <v>0</v>
      </c>
      <c r="AD684" s="39" t="str">
        <f aca="false">IF($F684="","",IF(COUNTA($I684:$K684)=0,0,1/COUNTA($I684:$K684)))</f>
        <v/>
      </c>
      <c r="AE684" s="39" t="str">
        <f aca="false">IF($AH684=0,"",SUM($AH$4:$AH684))</f>
        <v/>
      </c>
      <c r="AF684" s="39" t="str">
        <f aca="false">IF($AI684=0,"",SUM($AI$4:$AI684))</f>
        <v/>
      </c>
      <c r="AG684" s="50" t="str">
        <f aca="false">IF($F684="","",$I684&amp;IF($J684="",""," · "&amp;$J684)&amp;IF($K684="",""," · "&amp;$K684))</f>
        <v/>
      </c>
      <c r="AH684" s="39" t="n">
        <f aca="false">IF(AND($F684&lt;&gt;"",$O684&lt;&gt;"",$O684&lt;=Hoje!$C$3,$P684&gt;=Hoje!$C$3,$R684&lt;&gt;"Cancelada"),1,0)</f>
        <v>0</v>
      </c>
      <c r="AI684" s="39" t="n">
        <f aca="false">IF(AND($F684&lt;&gt;"",$P684&lt;&gt;"",$P684&lt;Hoje!$C$3,$AB684=0,$R684&lt;&gt;"Cancelada"),1,0)</f>
        <v>0</v>
      </c>
      <c r="AJ684" s="50" t="str">
        <f aca="false">IF($F684="","",$D684&amp;"|"&amp;$E684&amp;"|"&amp;$L684)</f>
        <v/>
      </c>
      <c r="AK684" s="39" t="str">
        <f aca="false">IF($AJ684="","",COUNTIF($AJ$4:$AJ684,$AJ684))</f>
        <v/>
      </c>
      <c r="AL684" s="39" t="str">
        <f aca="false">IF($AJ684="","",COUNTIF($AJ$4:$AJ$1004,$AJ684))</f>
        <v/>
      </c>
      <c r="AM684" s="42"/>
      <c r="AN684" s="50" t="str">
        <f aca="false">IF($D684="","",IFERROR(T(VLOOKUP($D684,Listas!$B$5:$H$120,7,0)),""))</f>
        <v/>
      </c>
      <c r="AO684" s="50" t="str">
        <f aca="false">IF(OR($F684="",$L684&lt;&gt;"",$R684="Cancelada",$AT684&lt;&gt;""),"",$AN684&amp;"|"&amp;$D684&amp;"|"&amp;IF($C684="","zzz",$C684)&amp;"|"&amp;TEXT(684,"0000"))</f>
        <v/>
      </c>
      <c r="AP684" s="50" t="str">
        <f aca="false">IF($AO684="","",COUNTIF($AO$5:$AO$1004,"&lt;"&amp;$AO684)-(ROWS($AO$5:$AO$1004)-Hoje!$L$5)+1)</f>
        <v/>
      </c>
      <c r="AQ684" s="50" t="n">
        <f aca="false">IF(AND($F684&lt;&gt;"",$D684=Frota!$C$3),1,0)</f>
        <v>0</v>
      </c>
      <c r="AR684" s="50" t="str">
        <f aca="false">IF($AQ684=0,"",SUM($AQ$4:$AQ684))</f>
        <v/>
      </c>
      <c r="AS684" s="50" t="str">
        <f aca="false">IFERROR(INDEX(Hoje!$K$10:$K$29,MATCH(ROW(),Hoje!$J$10:$J$29,0)),"")</f>
        <v/>
      </c>
      <c r="AT684" s="50" t="str">
        <f aca="false">IF($Q684&lt;&gt;"",$Q684,$AS684)</f>
        <v/>
      </c>
    </row>
    <row r="685" customFormat="false" ht="16.5" hidden="false" customHeight="true" outlineLevel="0" collapsed="false">
      <c r="A685" s="39" t="str">
        <f aca="false">IF($F685="","",ROW())</f>
        <v/>
      </c>
      <c r="B685" s="40" t="str">
        <f aca="false">IF($F685="",IF($D685="","","Falta a atividade"),IF($R685="Cancelada","Cancelada",IF($AB685=1,IF(N($Z685)&gt;0,"Concluída com atraso","Concluída"),IF($R685="Em programação","Em programação",IF($O685="",IF($M685="","Na carteira","Falta a semana"),IF($AC685=1,"VENCIDA",IF($O685&gt;Hoje!$L$1,"Programada",IF($P685&gt;Hoje!$L$1,"Em execução","Fecha hoje"))))))))</f>
        <v/>
      </c>
      <c r="C685" s="41"/>
      <c r="D685" s="42"/>
      <c r="E685" s="42"/>
      <c r="F685" s="42"/>
      <c r="G685" s="43"/>
      <c r="H685" s="43"/>
      <c r="I685" s="44"/>
      <c r="J685" s="44"/>
      <c r="K685" s="44"/>
      <c r="L685" s="45"/>
      <c r="M685" s="46"/>
      <c r="N685" s="45"/>
      <c r="O685" s="47" t="str">
        <f aca="false">IF(OR($L685="",$M685=""),"",(DATE(Semana!$J$3,1,4)-WEEKDAY(DATE(Semana!$J$3,1,4),3))+($L685-1)*7+MATCH($M685,Listas!$F$5:$F$11,0)-1)</f>
        <v/>
      </c>
      <c r="P685" s="47" t="str">
        <f aca="false">IF(OR($F685="",$O685=""),"",$O685+MAX(0,ROUNDUP($AK685*MAX(1,IF($N685="",1,$N685))/MAX(1,$AL685),0)-1))</f>
        <v/>
      </c>
      <c r="Q685" s="48"/>
      <c r="R685" s="43"/>
      <c r="S685" s="49"/>
      <c r="T685" s="42"/>
      <c r="U685" s="42"/>
      <c r="V685" s="39" t="str">
        <f aca="false">IF($F685="","",IF(ISNUMBER(SEARCH("(externo)",$I685&amp;$J685&amp;$K685)),"Terceirizada","Interna"))</f>
        <v/>
      </c>
      <c r="W685" s="47" t="str">
        <f aca="false">IF($O685="","",IF($S685="",$O685,(DATE(Semana!$J$3,1,4)-WEEKDAY(DATE(Semana!$J$3,1,4),3))+($S685-1)*7+IF($M685="",0,MATCH($M685,Listas!$F$5:$F$11,0)-1)))</f>
        <v/>
      </c>
      <c r="X685" s="39" t="str">
        <f aca="false">IF($F685="","",IF(OR($AT685="",$O685=""),0,IF($AT685&lt;=$O685,1,0)))</f>
        <v/>
      </c>
      <c r="Y685" s="39" t="str">
        <f aca="false">IF($F685="","",IF(OR($AT685="",$W685=""),0,IF($AT685&lt;=$W685,1,0)))</f>
        <v/>
      </c>
      <c r="Z685" s="39" t="str">
        <f aca="false">IF(OR($AT685="",$O685=""),"",MAX(0,$AT685-$O685))</f>
        <v/>
      </c>
      <c r="AA685" s="39" t="str">
        <f aca="false">IF($F685="","",IF(AND($S685&lt;&gt;"",$L685&lt;&gt;"",$S685&lt;&gt;$L685),1,0))</f>
        <v/>
      </c>
      <c r="AB685" s="39" t="str">
        <f aca="false">IF($F685="","",IF($R685="Cancelada",0,IF(OR($AT685&lt;&gt;"",$R685="Concluída"),1,0)))</f>
        <v/>
      </c>
      <c r="AC685" s="39" t="n">
        <f aca="false">IF($P685="",0,IF($P685&lt;Hoje!$L$1,1,IF(AND($P685=Hoje!$L$1,Hoje!$L$2&gt;Semana!$M$3),1,0)))</f>
        <v>0</v>
      </c>
      <c r="AD685" s="39" t="str">
        <f aca="false">IF($F685="","",IF(COUNTA($I685:$K685)=0,0,1/COUNTA($I685:$K685)))</f>
        <v/>
      </c>
      <c r="AE685" s="39" t="str">
        <f aca="false">IF($AH685=0,"",SUM($AH$4:$AH685))</f>
        <v/>
      </c>
      <c r="AF685" s="39" t="str">
        <f aca="false">IF($AI685=0,"",SUM($AI$4:$AI685))</f>
        <v/>
      </c>
      <c r="AG685" s="50" t="str">
        <f aca="false">IF($F685="","",$I685&amp;IF($J685="",""," · "&amp;$J685)&amp;IF($K685="",""," · "&amp;$K685))</f>
        <v/>
      </c>
      <c r="AH685" s="39" t="n">
        <f aca="false">IF(AND($F685&lt;&gt;"",$O685&lt;&gt;"",$O685&lt;=Hoje!$C$3,$P685&gt;=Hoje!$C$3,$R685&lt;&gt;"Cancelada"),1,0)</f>
        <v>0</v>
      </c>
      <c r="AI685" s="39" t="n">
        <f aca="false">IF(AND($F685&lt;&gt;"",$P685&lt;&gt;"",$P685&lt;Hoje!$C$3,$AB685=0,$R685&lt;&gt;"Cancelada"),1,0)</f>
        <v>0</v>
      </c>
      <c r="AJ685" s="50" t="str">
        <f aca="false">IF($F685="","",$D685&amp;"|"&amp;$E685&amp;"|"&amp;$L685)</f>
        <v/>
      </c>
      <c r="AK685" s="39" t="str">
        <f aca="false">IF($AJ685="","",COUNTIF($AJ$4:$AJ685,$AJ685))</f>
        <v/>
      </c>
      <c r="AL685" s="39" t="str">
        <f aca="false">IF($AJ685="","",COUNTIF($AJ$4:$AJ$1004,$AJ685))</f>
        <v/>
      </c>
      <c r="AM685" s="42"/>
      <c r="AN685" s="50" t="str">
        <f aca="false">IF($D685="","",IFERROR(T(VLOOKUP($D685,Listas!$B$5:$H$120,7,0)),""))</f>
        <v/>
      </c>
      <c r="AO685" s="50" t="str">
        <f aca="false">IF(OR($F685="",$L685&lt;&gt;"",$R685="Cancelada",$AT685&lt;&gt;""),"",$AN685&amp;"|"&amp;$D685&amp;"|"&amp;IF($C685="","zzz",$C685)&amp;"|"&amp;TEXT(685,"0000"))</f>
        <v/>
      </c>
      <c r="AP685" s="50" t="str">
        <f aca="false">IF($AO685="","",COUNTIF($AO$5:$AO$1004,"&lt;"&amp;$AO685)-(ROWS($AO$5:$AO$1004)-Hoje!$L$5)+1)</f>
        <v/>
      </c>
      <c r="AQ685" s="50" t="n">
        <f aca="false">IF(AND($F685&lt;&gt;"",$D685=Frota!$C$3),1,0)</f>
        <v>0</v>
      </c>
      <c r="AR685" s="50" t="str">
        <f aca="false">IF($AQ685=0,"",SUM($AQ$4:$AQ685))</f>
        <v/>
      </c>
      <c r="AS685" s="50" t="str">
        <f aca="false">IFERROR(INDEX(Hoje!$K$10:$K$29,MATCH(ROW(),Hoje!$J$10:$J$29,0)),"")</f>
        <v/>
      </c>
      <c r="AT685" s="50" t="str">
        <f aca="false">IF($Q685&lt;&gt;"",$Q685,$AS685)</f>
        <v/>
      </c>
    </row>
    <row r="686" customFormat="false" ht="16.5" hidden="false" customHeight="true" outlineLevel="0" collapsed="false">
      <c r="A686" s="39" t="str">
        <f aca="false">IF($F686="","",ROW())</f>
        <v/>
      </c>
      <c r="B686" s="40" t="str">
        <f aca="false">IF($F686="",IF($D686="","","Falta a atividade"),IF($R686="Cancelada","Cancelada",IF($AB686=1,IF(N($Z686)&gt;0,"Concluída com atraso","Concluída"),IF($R686="Em programação","Em programação",IF($O686="",IF($M686="","Na carteira","Falta a semana"),IF($AC686=1,"VENCIDA",IF($O686&gt;Hoje!$L$1,"Programada",IF($P686&gt;Hoje!$L$1,"Em execução","Fecha hoje"))))))))</f>
        <v/>
      </c>
      <c r="C686" s="41"/>
      <c r="D686" s="42"/>
      <c r="E686" s="42"/>
      <c r="F686" s="42"/>
      <c r="G686" s="43"/>
      <c r="H686" s="43"/>
      <c r="I686" s="44"/>
      <c r="J686" s="44"/>
      <c r="K686" s="44"/>
      <c r="L686" s="45"/>
      <c r="M686" s="46"/>
      <c r="N686" s="45"/>
      <c r="O686" s="47" t="str">
        <f aca="false">IF(OR($L686="",$M686=""),"",(DATE(Semana!$J$3,1,4)-WEEKDAY(DATE(Semana!$J$3,1,4),3))+($L686-1)*7+MATCH($M686,Listas!$F$5:$F$11,0)-1)</f>
        <v/>
      </c>
      <c r="P686" s="47" t="str">
        <f aca="false">IF(OR($F686="",$O686=""),"",$O686+MAX(0,ROUNDUP($AK686*MAX(1,IF($N686="",1,$N686))/MAX(1,$AL686),0)-1))</f>
        <v/>
      </c>
      <c r="Q686" s="48"/>
      <c r="R686" s="43"/>
      <c r="S686" s="49"/>
      <c r="T686" s="42"/>
      <c r="U686" s="42"/>
      <c r="V686" s="39" t="str">
        <f aca="false">IF($F686="","",IF(ISNUMBER(SEARCH("(externo)",$I686&amp;$J686&amp;$K686)),"Terceirizada","Interna"))</f>
        <v/>
      </c>
      <c r="W686" s="47" t="str">
        <f aca="false">IF($O686="","",IF($S686="",$O686,(DATE(Semana!$J$3,1,4)-WEEKDAY(DATE(Semana!$J$3,1,4),3))+($S686-1)*7+IF($M686="",0,MATCH($M686,Listas!$F$5:$F$11,0)-1)))</f>
        <v/>
      </c>
      <c r="X686" s="39" t="str">
        <f aca="false">IF($F686="","",IF(OR($AT686="",$O686=""),0,IF($AT686&lt;=$O686,1,0)))</f>
        <v/>
      </c>
      <c r="Y686" s="39" t="str">
        <f aca="false">IF($F686="","",IF(OR($AT686="",$W686=""),0,IF($AT686&lt;=$W686,1,0)))</f>
        <v/>
      </c>
      <c r="Z686" s="39" t="str">
        <f aca="false">IF(OR($AT686="",$O686=""),"",MAX(0,$AT686-$O686))</f>
        <v/>
      </c>
      <c r="AA686" s="39" t="str">
        <f aca="false">IF($F686="","",IF(AND($S686&lt;&gt;"",$L686&lt;&gt;"",$S686&lt;&gt;$L686),1,0))</f>
        <v/>
      </c>
      <c r="AB686" s="39" t="str">
        <f aca="false">IF($F686="","",IF($R686="Cancelada",0,IF(OR($AT686&lt;&gt;"",$R686="Concluída"),1,0)))</f>
        <v/>
      </c>
      <c r="AC686" s="39" t="n">
        <f aca="false">IF($P686="",0,IF($P686&lt;Hoje!$L$1,1,IF(AND($P686=Hoje!$L$1,Hoje!$L$2&gt;Semana!$M$3),1,0)))</f>
        <v>0</v>
      </c>
      <c r="AD686" s="39" t="str">
        <f aca="false">IF($F686="","",IF(COUNTA($I686:$K686)=0,0,1/COUNTA($I686:$K686)))</f>
        <v/>
      </c>
      <c r="AE686" s="39" t="str">
        <f aca="false">IF($AH686=0,"",SUM($AH$4:$AH686))</f>
        <v/>
      </c>
      <c r="AF686" s="39" t="str">
        <f aca="false">IF($AI686=0,"",SUM($AI$4:$AI686))</f>
        <v/>
      </c>
      <c r="AG686" s="50" t="str">
        <f aca="false">IF($F686="","",$I686&amp;IF($J686="",""," · "&amp;$J686)&amp;IF($K686="",""," · "&amp;$K686))</f>
        <v/>
      </c>
      <c r="AH686" s="39" t="n">
        <f aca="false">IF(AND($F686&lt;&gt;"",$O686&lt;&gt;"",$O686&lt;=Hoje!$C$3,$P686&gt;=Hoje!$C$3,$R686&lt;&gt;"Cancelada"),1,0)</f>
        <v>0</v>
      </c>
      <c r="AI686" s="39" t="n">
        <f aca="false">IF(AND($F686&lt;&gt;"",$P686&lt;&gt;"",$P686&lt;Hoje!$C$3,$AB686=0,$R686&lt;&gt;"Cancelada"),1,0)</f>
        <v>0</v>
      </c>
      <c r="AJ686" s="50" t="str">
        <f aca="false">IF($F686="","",$D686&amp;"|"&amp;$E686&amp;"|"&amp;$L686)</f>
        <v/>
      </c>
      <c r="AK686" s="39" t="str">
        <f aca="false">IF($AJ686="","",COUNTIF($AJ$4:$AJ686,$AJ686))</f>
        <v/>
      </c>
      <c r="AL686" s="39" t="str">
        <f aca="false">IF($AJ686="","",COUNTIF($AJ$4:$AJ$1004,$AJ686))</f>
        <v/>
      </c>
      <c r="AM686" s="42"/>
      <c r="AN686" s="50" t="str">
        <f aca="false">IF($D686="","",IFERROR(T(VLOOKUP($D686,Listas!$B$5:$H$120,7,0)),""))</f>
        <v/>
      </c>
      <c r="AO686" s="50" t="str">
        <f aca="false">IF(OR($F686="",$L686&lt;&gt;"",$R686="Cancelada",$AT686&lt;&gt;""),"",$AN686&amp;"|"&amp;$D686&amp;"|"&amp;IF($C686="","zzz",$C686)&amp;"|"&amp;TEXT(686,"0000"))</f>
        <v/>
      </c>
      <c r="AP686" s="50" t="str">
        <f aca="false">IF($AO686="","",COUNTIF($AO$5:$AO$1004,"&lt;"&amp;$AO686)-(ROWS($AO$5:$AO$1004)-Hoje!$L$5)+1)</f>
        <v/>
      </c>
      <c r="AQ686" s="50" t="n">
        <f aca="false">IF(AND($F686&lt;&gt;"",$D686=Frota!$C$3),1,0)</f>
        <v>0</v>
      </c>
      <c r="AR686" s="50" t="str">
        <f aca="false">IF($AQ686=0,"",SUM($AQ$4:$AQ686))</f>
        <v/>
      </c>
      <c r="AS686" s="50" t="str">
        <f aca="false">IFERROR(INDEX(Hoje!$K$10:$K$29,MATCH(ROW(),Hoje!$J$10:$J$29,0)),"")</f>
        <v/>
      </c>
      <c r="AT686" s="50" t="str">
        <f aca="false">IF($Q686&lt;&gt;"",$Q686,$AS686)</f>
        <v/>
      </c>
    </row>
    <row r="687" customFormat="false" ht="16.5" hidden="false" customHeight="true" outlineLevel="0" collapsed="false">
      <c r="A687" s="39" t="str">
        <f aca="false">IF($F687="","",ROW())</f>
        <v/>
      </c>
      <c r="B687" s="40" t="str">
        <f aca="false">IF($F687="",IF($D687="","","Falta a atividade"),IF($R687="Cancelada","Cancelada",IF($AB687=1,IF(N($Z687)&gt;0,"Concluída com atraso","Concluída"),IF($R687="Em programação","Em programação",IF($O687="",IF($M687="","Na carteira","Falta a semana"),IF($AC687=1,"VENCIDA",IF($O687&gt;Hoje!$L$1,"Programada",IF($P687&gt;Hoje!$L$1,"Em execução","Fecha hoje"))))))))</f>
        <v/>
      </c>
      <c r="C687" s="41"/>
      <c r="D687" s="42"/>
      <c r="E687" s="42"/>
      <c r="F687" s="42"/>
      <c r="G687" s="43"/>
      <c r="H687" s="43"/>
      <c r="I687" s="44"/>
      <c r="J687" s="44"/>
      <c r="K687" s="44"/>
      <c r="L687" s="45"/>
      <c r="M687" s="46"/>
      <c r="N687" s="45"/>
      <c r="O687" s="47" t="str">
        <f aca="false">IF(OR($L687="",$M687=""),"",(DATE(Semana!$J$3,1,4)-WEEKDAY(DATE(Semana!$J$3,1,4),3))+($L687-1)*7+MATCH($M687,Listas!$F$5:$F$11,0)-1)</f>
        <v/>
      </c>
      <c r="P687" s="47" t="str">
        <f aca="false">IF(OR($F687="",$O687=""),"",$O687+MAX(0,ROUNDUP($AK687*MAX(1,IF($N687="",1,$N687))/MAX(1,$AL687),0)-1))</f>
        <v/>
      </c>
      <c r="Q687" s="48"/>
      <c r="R687" s="43"/>
      <c r="S687" s="49"/>
      <c r="T687" s="42"/>
      <c r="U687" s="42"/>
      <c r="V687" s="39" t="str">
        <f aca="false">IF($F687="","",IF(ISNUMBER(SEARCH("(externo)",$I687&amp;$J687&amp;$K687)),"Terceirizada","Interna"))</f>
        <v/>
      </c>
      <c r="W687" s="47" t="str">
        <f aca="false">IF($O687="","",IF($S687="",$O687,(DATE(Semana!$J$3,1,4)-WEEKDAY(DATE(Semana!$J$3,1,4),3))+($S687-1)*7+IF($M687="",0,MATCH($M687,Listas!$F$5:$F$11,0)-1)))</f>
        <v/>
      </c>
      <c r="X687" s="39" t="str">
        <f aca="false">IF($F687="","",IF(OR($AT687="",$O687=""),0,IF($AT687&lt;=$O687,1,0)))</f>
        <v/>
      </c>
      <c r="Y687" s="39" t="str">
        <f aca="false">IF($F687="","",IF(OR($AT687="",$W687=""),0,IF($AT687&lt;=$W687,1,0)))</f>
        <v/>
      </c>
      <c r="Z687" s="39" t="str">
        <f aca="false">IF(OR($AT687="",$O687=""),"",MAX(0,$AT687-$O687))</f>
        <v/>
      </c>
      <c r="AA687" s="39" t="str">
        <f aca="false">IF($F687="","",IF(AND($S687&lt;&gt;"",$L687&lt;&gt;"",$S687&lt;&gt;$L687),1,0))</f>
        <v/>
      </c>
      <c r="AB687" s="39" t="str">
        <f aca="false">IF($F687="","",IF($R687="Cancelada",0,IF(OR($AT687&lt;&gt;"",$R687="Concluída"),1,0)))</f>
        <v/>
      </c>
      <c r="AC687" s="39" t="n">
        <f aca="false">IF($P687="",0,IF($P687&lt;Hoje!$L$1,1,IF(AND($P687=Hoje!$L$1,Hoje!$L$2&gt;Semana!$M$3),1,0)))</f>
        <v>0</v>
      </c>
      <c r="AD687" s="39" t="str">
        <f aca="false">IF($F687="","",IF(COUNTA($I687:$K687)=0,0,1/COUNTA($I687:$K687)))</f>
        <v/>
      </c>
      <c r="AE687" s="39" t="str">
        <f aca="false">IF($AH687=0,"",SUM($AH$4:$AH687))</f>
        <v/>
      </c>
      <c r="AF687" s="39" t="str">
        <f aca="false">IF($AI687=0,"",SUM($AI$4:$AI687))</f>
        <v/>
      </c>
      <c r="AG687" s="50" t="str">
        <f aca="false">IF($F687="","",$I687&amp;IF($J687="",""," · "&amp;$J687)&amp;IF($K687="",""," · "&amp;$K687))</f>
        <v/>
      </c>
      <c r="AH687" s="39" t="n">
        <f aca="false">IF(AND($F687&lt;&gt;"",$O687&lt;&gt;"",$O687&lt;=Hoje!$C$3,$P687&gt;=Hoje!$C$3,$R687&lt;&gt;"Cancelada"),1,0)</f>
        <v>0</v>
      </c>
      <c r="AI687" s="39" t="n">
        <f aca="false">IF(AND($F687&lt;&gt;"",$P687&lt;&gt;"",$P687&lt;Hoje!$C$3,$AB687=0,$R687&lt;&gt;"Cancelada"),1,0)</f>
        <v>0</v>
      </c>
      <c r="AJ687" s="50" t="str">
        <f aca="false">IF($F687="","",$D687&amp;"|"&amp;$E687&amp;"|"&amp;$L687)</f>
        <v/>
      </c>
      <c r="AK687" s="39" t="str">
        <f aca="false">IF($AJ687="","",COUNTIF($AJ$4:$AJ687,$AJ687))</f>
        <v/>
      </c>
      <c r="AL687" s="39" t="str">
        <f aca="false">IF($AJ687="","",COUNTIF($AJ$4:$AJ$1004,$AJ687))</f>
        <v/>
      </c>
      <c r="AM687" s="42"/>
      <c r="AN687" s="50" t="str">
        <f aca="false">IF($D687="","",IFERROR(T(VLOOKUP($D687,Listas!$B$5:$H$120,7,0)),""))</f>
        <v/>
      </c>
      <c r="AO687" s="50" t="str">
        <f aca="false">IF(OR($F687="",$L687&lt;&gt;"",$R687="Cancelada",$AT687&lt;&gt;""),"",$AN687&amp;"|"&amp;$D687&amp;"|"&amp;IF($C687="","zzz",$C687)&amp;"|"&amp;TEXT(687,"0000"))</f>
        <v/>
      </c>
      <c r="AP687" s="50" t="str">
        <f aca="false">IF($AO687="","",COUNTIF($AO$5:$AO$1004,"&lt;"&amp;$AO687)-(ROWS($AO$5:$AO$1004)-Hoje!$L$5)+1)</f>
        <v/>
      </c>
      <c r="AQ687" s="50" t="n">
        <f aca="false">IF(AND($F687&lt;&gt;"",$D687=Frota!$C$3),1,0)</f>
        <v>0</v>
      </c>
      <c r="AR687" s="50" t="str">
        <f aca="false">IF($AQ687=0,"",SUM($AQ$4:$AQ687))</f>
        <v/>
      </c>
      <c r="AS687" s="50" t="str">
        <f aca="false">IFERROR(INDEX(Hoje!$K$10:$K$29,MATCH(ROW(),Hoje!$J$10:$J$29,0)),"")</f>
        <v/>
      </c>
      <c r="AT687" s="50" t="str">
        <f aca="false">IF($Q687&lt;&gt;"",$Q687,$AS687)</f>
        <v/>
      </c>
    </row>
    <row r="688" customFormat="false" ht="16.5" hidden="false" customHeight="true" outlineLevel="0" collapsed="false">
      <c r="A688" s="39" t="str">
        <f aca="false">IF($F688="","",ROW())</f>
        <v/>
      </c>
      <c r="B688" s="40" t="str">
        <f aca="false">IF($F688="",IF($D688="","","Falta a atividade"),IF($R688="Cancelada","Cancelada",IF($AB688=1,IF(N($Z688)&gt;0,"Concluída com atraso","Concluída"),IF($R688="Em programação","Em programação",IF($O688="",IF($M688="","Na carteira","Falta a semana"),IF($AC688=1,"VENCIDA",IF($O688&gt;Hoje!$L$1,"Programada",IF($P688&gt;Hoje!$L$1,"Em execução","Fecha hoje"))))))))</f>
        <v/>
      </c>
      <c r="C688" s="41"/>
      <c r="D688" s="42"/>
      <c r="E688" s="42"/>
      <c r="F688" s="42"/>
      <c r="G688" s="43"/>
      <c r="H688" s="43"/>
      <c r="I688" s="44"/>
      <c r="J688" s="44"/>
      <c r="K688" s="44"/>
      <c r="L688" s="45"/>
      <c r="M688" s="46"/>
      <c r="N688" s="45"/>
      <c r="O688" s="47" t="str">
        <f aca="false">IF(OR($L688="",$M688=""),"",(DATE(Semana!$J$3,1,4)-WEEKDAY(DATE(Semana!$J$3,1,4),3))+($L688-1)*7+MATCH($M688,Listas!$F$5:$F$11,0)-1)</f>
        <v/>
      </c>
      <c r="P688" s="47" t="str">
        <f aca="false">IF(OR($F688="",$O688=""),"",$O688+MAX(0,ROUNDUP($AK688*MAX(1,IF($N688="",1,$N688))/MAX(1,$AL688),0)-1))</f>
        <v/>
      </c>
      <c r="Q688" s="48"/>
      <c r="R688" s="43"/>
      <c r="S688" s="49"/>
      <c r="T688" s="42"/>
      <c r="U688" s="42"/>
      <c r="V688" s="39" t="str">
        <f aca="false">IF($F688="","",IF(ISNUMBER(SEARCH("(externo)",$I688&amp;$J688&amp;$K688)),"Terceirizada","Interna"))</f>
        <v/>
      </c>
      <c r="W688" s="47" t="str">
        <f aca="false">IF($O688="","",IF($S688="",$O688,(DATE(Semana!$J$3,1,4)-WEEKDAY(DATE(Semana!$J$3,1,4),3))+($S688-1)*7+IF($M688="",0,MATCH($M688,Listas!$F$5:$F$11,0)-1)))</f>
        <v/>
      </c>
      <c r="X688" s="39" t="str">
        <f aca="false">IF($F688="","",IF(OR($AT688="",$O688=""),0,IF($AT688&lt;=$O688,1,0)))</f>
        <v/>
      </c>
      <c r="Y688" s="39" t="str">
        <f aca="false">IF($F688="","",IF(OR($AT688="",$W688=""),0,IF($AT688&lt;=$W688,1,0)))</f>
        <v/>
      </c>
      <c r="Z688" s="39" t="str">
        <f aca="false">IF(OR($AT688="",$O688=""),"",MAX(0,$AT688-$O688))</f>
        <v/>
      </c>
      <c r="AA688" s="39" t="str">
        <f aca="false">IF($F688="","",IF(AND($S688&lt;&gt;"",$L688&lt;&gt;"",$S688&lt;&gt;$L688),1,0))</f>
        <v/>
      </c>
      <c r="AB688" s="39" t="str">
        <f aca="false">IF($F688="","",IF($R688="Cancelada",0,IF(OR($AT688&lt;&gt;"",$R688="Concluída"),1,0)))</f>
        <v/>
      </c>
      <c r="AC688" s="39" t="n">
        <f aca="false">IF($P688="",0,IF($P688&lt;Hoje!$L$1,1,IF(AND($P688=Hoje!$L$1,Hoje!$L$2&gt;Semana!$M$3),1,0)))</f>
        <v>0</v>
      </c>
      <c r="AD688" s="39" t="str">
        <f aca="false">IF($F688="","",IF(COUNTA($I688:$K688)=0,0,1/COUNTA($I688:$K688)))</f>
        <v/>
      </c>
      <c r="AE688" s="39" t="str">
        <f aca="false">IF($AH688=0,"",SUM($AH$4:$AH688))</f>
        <v/>
      </c>
      <c r="AF688" s="39" t="str">
        <f aca="false">IF($AI688=0,"",SUM($AI$4:$AI688))</f>
        <v/>
      </c>
      <c r="AG688" s="50" t="str">
        <f aca="false">IF($F688="","",$I688&amp;IF($J688="",""," · "&amp;$J688)&amp;IF($K688="",""," · "&amp;$K688))</f>
        <v/>
      </c>
      <c r="AH688" s="39" t="n">
        <f aca="false">IF(AND($F688&lt;&gt;"",$O688&lt;&gt;"",$O688&lt;=Hoje!$C$3,$P688&gt;=Hoje!$C$3,$R688&lt;&gt;"Cancelada"),1,0)</f>
        <v>0</v>
      </c>
      <c r="AI688" s="39" t="n">
        <f aca="false">IF(AND($F688&lt;&gt;"",$P688&lt;&gt;"",$P688&lt;Hoje!$C$3,$AB688=0,$R688&lt;&gt;"Cancelada"),1,0)</f>
        <v>0</v>
      </c>
      <c r="AJ688" s="50" t="str">
        <f aca="false">IF($F688="","",$D688&amp;"|"&amp;$E688&amp;"|"&amp;$L688)</f>
        <v/>
      </c>
      <c r="AK688" s="39" t="str">
        <f aca="false">IF($AJ688="","",COUNTIF($AJ$4:$AJ688,$AJ688))</f>
        <v/>
      </c>
      <c r="AL688" s="39" t="str">
        <f aca="false">IF($AJ688="","",COUNTIF($AJ$4:$AJ$1004,$AJ688))</f>
        <v/>
      </c>
      <c r="AM688" s="42"/>
      <c r="AN688" s="50" t="str">
        <f aca="false">IF($D688="","",IFERROR(T(VLOOKUP($D688,Listas!$B$5:$H$120,7,0)),""))</f>
        <v/>
      </c>
      <c r="AO688" s="50" t="str">
        <f aca="false">IF(OR($F688="",$L688&lt;&gt;"",$R688="Cancelada",$AT688&lt;&gt;""),"",$AN688&amp;"|"&amp;$D688&amp;"|"&amp;IF($C688="","zzz",$C688)&amp;"|"&amp;TEXT(688,"0000"))</f>
        <v/>
      </c>
      <c r="AP688" s="50" t="str">
        <f aca="false">IF($AO688="","",COUNTIF($AO$5:$AO$1004,"&lt;"&amp;$AO688)-(ROWS($AO$5:$AO$1004)-Hoje!$L$5)+1)</f>
        <v/>
      </c>
      <c r="AQ688" s="50" t="n">
        <f aca="false">IF(AND($F688&lt;&gt;"",$D688=Frota!$C$3),1,0)</f>
        <v>0</v>
      </c>
      <c r="AR688" s="50" t="str">
        <f aca="false">IF($AQ688=0,"",SUM($AQ$4:$AQ688))</f>
        <v/>
      </c>
      <c r="AS688" s="50" t="str">
        <f aca="false">IFERROR(INDEX(Hoje!$K$10:$K$29,MATCH(ROW(),Hoje!$J$10:$J$29,0)),"")</f>
        <v/>
      </c>
      <c r="AT688" s="50" t="str">
        <f aca="false">IF($Q688&lt;&gt;"",$Q688,$AS688)</f>
        <v/>
      </c>
    </row>
    <row r="689" customFormat="false" ht="16.5" hidden="false" customHeight="true" outlineLevel="0" collapsed="false">
      <c r="A689" s="39" t="str">
        <f aca="false">IF($F689="","",ROW())</f>
        <v/>
      </c>
      <c r="B689" s="40" t="str">
        <f aca="false">IF($F689="",IF($D689="","","Falta a atividade"),IF($R689="Cancelada","Cancelada",IF($AB689=1,IF(N($Z689)&gt;0,"Concluída com atraso","Concluída"),IF($R689="Em programação","Em programação",IF($O689="",IF($M689="","Na carteira","Falta a semana"),IF($AC689=1,"VENCIDA",IF($O689&gt;Hoje!$L$1,"Programada",IF($P689&gt;Hoje!$L$1,"Em execução","Fecha hoje"))))))))</f>
        <v/>
      </c>
      <c r="C689" s="41"/>
      <c r="D689" s="42"/>
      <c r="E689" s="42"/>
      <c r="F689" s="42"/>
      <c r="G689" s="43"/>
      <c r="H689" s="43"/>
      <c r="I689" s="44"/>
      <c r="J689" s="44"/>
      <c r="K689" s="44"/>
      <c r="L689" s="45"/>
      <c r="M689" s="46"/>
      <c r="N689" s="45"/>
      <c r="O689" s="47" t="str">
        <f aca="false">IF(OR($L689="",$M689=""),"",(DATE(Semana!$J$3,1,4)-WEEKDAY(DATE(Semana!$J$3,1,4),3))+($L689-1)*7+MATCH($M689,Listas!$F$5:$F$11,0)-1)</f>
        <v/>
      </c>
      <c r="P689" s="47" t="str">
        <f aca="false">IF(OR($F689="",$O689=""),"",$O689+MAX(0,ROUNDUP($AK689*MAX(1,IF($N689="",1,$N689))/MAX(1,$AL689),0)-1))</f>
        <v/>
      </c>
      <c r="Q689" s="48"/>
      <c r="R689" s="43"/>
      <c r="S689" s="49"/>
      <c r="T689" s="42"/>
      <c r="U689" s="42"/>
      <c r="V689" s="39" t="str">
        <f aca="false">IF($F689="","",IF(ISNUMBER(SEARCH("(externo)",$I689&amp;$J689&amp;$K689)),"Terceirizada","Interna"))</f>
        <v/>
      </c>
      <c r="W689" s="47" t="str">
        <f aca="false">IF($O689="","",IF($S689="",$O689,(DATE(Semana!$J$3,1,4)-WEEKDAY(DATE(Semana!$J$3,1,4),3))+($S689-1)*7+IF($M689="",0,MATCH($M689,Listas!$F$5:$F$11,0)-1)))</f>
        <v/>
      </c>
      <c r="X689" s="39" t="str">
        <f aca="false">IF($F689="","",IF(OR($AT689="",$O689=""),0,IF($AT689&lt;=$O689,1,0)))</f>
        <v/>
      </c>
      <c r="Y689" s="39" t="str">
        <f aca="false">IF($F689="","",IF(OR($AT689="",$W689=""),0,IF($AT689&lt;=$W689,1,0)))</f>
        <v/>
      </c>
      <c r="Z689" s="39" t="str">
        <f aca="false">IF(OR($AT689="",$O689=""),"",MAX(0,$AT689-$O689))</f>
        <v/>
      </c>
      <c r="AA689" s="39" t="str">
        <f aca="false">IF($F689="","",IF(AND($S689&lt;&gt;"",$L689&lt;&gt;"",$S689&lt;&gt;$L689),1,0))</f>
        <v/>
      </c>
      <c r="AB689" s="39" t="str">
        <f aca="false">IF($F689="","",IF($R689="Cancelada",0,IF(OR($AT689&lt;&gt;"",$R689="Concluída"),1,0)))</f>
        <v/>
      </c>
      <c r="AC689" s="39" t="n">
        <f aca="false">IF($P689="",0,IF($P689&lt;Hoje!$L$1,1,IF(AND($P689=Hoje!$L$1,Hoje!$L$2&gt;Semana!$M$3),1,0)))</f>
        <v>0</v>
      </c>
      <c r="AD689" s="39" t="str">
        <f aca="false">IF($F689="","",IF(COUNTA($I689:$K689)=0,0,1/COUNTA($I689:$K689)))</f>
        <v/>
      </c>
      <c r="AE689" s="39" t="str">
        <f aca="false">IF($AH689=0,"",SUM($AH$4:$AH689))</f>
        <v/>
      </c>
      <c r="AF689" s="39" t="str">
        <f aca="false">IF($AI689=0,"",SUM($AI$4:$AI689))</f>
        <v/>
      </c>
      <c r="AG689" s="50" t="str">
        <f aca="false">IF($F689="","",$I689&amp;IF($J689="",""," · "&amp;$J689)&amp;IF($K689="",""," · "&amp;$K689))</f>
        <v/>
      </c>
      <c r="AH689" s="39" t="n">
        <f aca="false">IF(AND($F689&lt;&gt;"",$O689&lt;&gt;"",$O689&lt;=Hoje!$C$3,$P689&gt;=Hoje!$C$3,$R689&lt;&gt;"Cancelada"),1,0)</f>
        <v>0</v>
      </c>
      <c r="AI689" s="39" t="n">
        <f aca="false">IF(AND($F689&lt;&gt;"",$P689&lt;&gt;"",$P689&lt;Hoje!$C$3,$AB689=0,$R689&lt;&gt;"Cancelada"),1,0)</f>
        <v>0</v>
      </c>
      <c r="AJ689" s="50" t="str">
        <f aca="false">IF($F689="","",$D689&amp;"|"&amp;$E689&amp;"|"&amp;$L689)</f>
        <v/>
      </c>
      <c r="AK689" s="39" t="str">
        <f aca="false">IF($AJ689="","",COUNTIF($AJ$4:$AJ689,$AJ689))</f>
        <v/>
      </c>
      <c r="AL689" s="39" t="str">
        <f aca="false">IF($AJ689="","",COUNTIF($AJ$4:$AJ$1004,$AJ689))</f>
        <v/>
      </c>
      <c r="AM689" s="42"/>
      <c r="AN689" s="50" t="str">
        <f aca="false">IF($D689="","",IFERROR(T(VLOOKUP($D689,Listas!$B$5:$H$120,7,0)),""))</f>
        <v/>
      </c>
      <c r="AO689" s="50" t="str">
        <f aca="false">IF(OR($F689="",$L689&lt;&gt;"",$R689="Cancelada",$AT689&lt;&gt;""),"",$AN689&amp;"|"&amp;$D689&amp;"|"&amp;IF($C689="","zzz",$C689)&amp;"|"&amp;TEXT(689,"0000"))</f>
        <v/>
      </c>
      <c r="AP689" s="50" t="str">
        <f aca="false">IF($AO689="","",COUNTIF($AO$5:$AO$1004,"&lt;"&amp;$AO689)-(ROWS($AO$5:$AO$1004)-Hoje!$L$5)+1)</f>
        <v/>
      </c>
      <c r="AQ689" s="50" t="n">
        <f aca="false">IF(AND($F689&lt;&gt;"",$D689=Frota!$C$3),1,0)</f>
        <v>0</v>
      </c>
      <c r="AR689" s="50" t="str">
        <f aca="false">IF($AQ689=0,"",SUM($AQ$4:$AQ689))</f>
        <v/>
      </c>
      <c r="AS689" s="50" t="str">
        <f aca="false">IFERROR(INDEX(Hoje!$K$10:$K$29,MATCH(ROW(),Hoje!$J$10:$J$29,0)),"")</f>
        <v/>
      </c>
      <c r="AT689" s="50" t="str">
        <f aca="false">IF($Q689&lt;&gt;"",$Q689,$AS689)</f>
        <v/>
      </c>
    </row>
    <row r="690" customFormat="false" ht="16.5" hidden="false" customHeight="true" outlineLevel="0" collapsed="false">
      <c r="A690" s="39" t="str">
        <f aca="false">IF($F690="","",ROW())</f>
        <v/>
      </c>
      <c r="B690" s="40" t="str">
        <f aca="false">IF($F690="",IF($D690="","","Falta a atividade"),IF($R690="Cancelada","Cancelada",IF($AB690=1,IF(N($Z690)&gt;0,"Concluída com atraso","Concluída"),IF($R690="Em programação","Em programação",IF($O690="",IF($M690="","Na carteira","Falta a semana"),IF($AC690=1,"VENCIDA",IF($O690&gt;Hoje!$L$1,"Programada",IF($P690&gt;Hoje!$L$1,"Em execução","Fecha hoje"))))))))</f>
        <v/>
      </c>
      <c r="C690" s="41"/>
      <c r="D690" s="42"/>
      <c r="E690" s="42"/>
      <c r="F690" s="42"/>
      <c r="G690" s="43"/>
      <c r="H690" s="43"/>
      <c r="I690" s="44"/>
      <c r="J690" s="44"/>
      <c r="K690" s="44"/>
      <c r="L690" s="45"/>
      <c r="M690" s="46"/>
      <c r="N690" s="45"/>
      <c r="O690" s="47" t="str">
        <f aca="false">IF(OR($L690="",$M690=""),"",(DATE(Semana!$J$3,1,4)-WEEKDAY(DATE(Semana!$J$3,1,4),3))+($L690-1)*7+MATCH($M690,Listas!$F$5:$F$11,0)-1)</f>
        <v/>
      </c>
      <c r="P690" s="47" t="str">
        <f aca="false">IF(OR($F690="",$O690=""),"",$O690+MAX(0,ROUNDUP($AK690*MAX(1,IF($N690="",1,$N690))/MAX(1,$AL690),0)-1))</f>
        <v/>
      </c>
      <c r="Q690" s="48"/>
      <c r="R690" s="43"/>
      <c r="S690" s="49"/>
      <c r="T690" s="42"/>
      <c r="U690" s="42"/>
      <c r="V690" s="39" t="str">
        <f aca="false">IF($F690="","",IF(ISNUMBER(SEARCH("(externo)",$I690&amp;$J690&amp;$K690)),"Terceirizada","Interna"))</f>
        <v/>
      </c>
      <c r="W690" s="47" t="str">
        <f aca="false">IF($O690="","",IF($S690="",$O690,(DATE(Semana!$J$3,1,4)-WEEKDAY(DATE(Semana!$J$3,1,4),3))+($S690-1)*7+IF($M690="",0,MATCH($M690,Listas!$F$5:$F$11,0)-1)))</f>
        <v/>
      </c>
      <c r="X690" s="39" t="str">
        <f aca="false">IF($F690="","",IF(OR($AT690="",$O690=""),0,IF($AT690&lt;=$O690,1,0)))</f>
        <v/>
      </c>
      <c r="Y690" s="39" t="str">
        <f aca="false">IF($F690="","",IF(OR($AT690="",$W690=""),0,IF($AT690&lt;=$W690,1,0)))</f>
        <v/>
      </c>
      <c r="Z690" s="39" t="str">
        <f aca="false">IF(OR($AT690="",$O690=""),"",MAX(0,$AT690-$O690))</f>
        <v/>
      </c>
      <c r="AA690" s="39" t="str">
        <f aca="false">IF($F690="","",IF(AND($S690&lt;&gt;"",$L690&lt;&gt;"",$S690&lt;&gt;$L690),1,0))</f>
        <v/>
      </c>
      <c r="AB690" s="39" t="str">
        <f aca="false">IF($F690="","",IF($R690="Cancelada",0,IF(OR($AT690&lt;&gt;"",$R690="Concluída"),1,0)))</f>
        <v/>
      </c>
      <c r="AC690" s="39" t="n">
        <f aca="false">IF($P690="",0,IF($P690&lt;Hoje!$L$1,1,IF(AND($P690=Hoje!$L$1,Hoje!$L$2&gt;Semana!$M$3),1,0)))</f>
        <v>0</v>
      </c>
      <c r="AD690" s="39" t="str">
        <f aca="false">IF($F690="","",IF(COUNTA($I690:$K690)=0,0,1/COUNTA($I690:$K690)))</f>
        <v/>
      </c>
      <c r="AE690" s="39" t="str">
        <f aca="false">IF($AH690=0,"",SUM($AH$4:$AH690))</f>
        <v/>
      </c>
      <c r="AF690" s="39" t="str">
        <f aca="false">IF($AI690=0,"",SUM($AI$4:$AI690))</f>
        <v/>
      </c>
      <c r="AG690" s="50" t="str">
        <f aca="false">IF($F690="","",$I690&amp;IF($J690="",""," · "&amp;$J690)&amp;IF($K690="",""," · "&amp;$K690))</f>
        <v/>
      </c>
      <c r="AH690" s="39" t="n">
        <f aca="false">IF(AND($F690&lt;&gt;"",$O690&lt;&gt;"",$O690&lt;=Hoje!$C$3,$P690&gt;=Hoje!$C$3,$R690&lt;&gt;"Cancelada"),1,0)</f>
        <v>0</v>
      </c>
      <c r="AI690" s="39" t="n">
        <f aca="false">IF(AND($F690&lt;&gt;"",$P690&lt;&gt;"",$P690&lt;Hoje!$C$3,$AB690=0,$R690&lt;&gt;"Cancelada"),1,0)</f>
        <v>0</v>
      </c>
      <c r="AJ690" s="50" t="str">
        <f aca="false">IF($F690="","",$D690&amp;"|"&amp;$E690&amp;"|"&amp;$L690)</f>
        <v/>
      </c>
      <c r="AK690" s="39" t="str">
        <f aca="false">IF($AJ690="","",COUNTIF($AJ$4:$AJ690,$AJ690))</f>
        <v/>
      </c>
      <c r="AL690" s="39" t="str">
        <f aca="false">IF($AJ690="","",COUNTIF($AJ$4:$AJ$1004,$AJ690))</f>
        <v/>
      </c>
      <c r="AM690" s="42"/>
      <c r="AN690" s="50" t="str">
        <f aca="false">IF($D690="","",IFERROR(T(VLOOKUP($D690,Listas!$B$5:$H$120,7,0)),""))</f>
        <v/>
      </c>
      <c r="AO690" s="50" t="str">
        <f aca="false">IF(OR($F690="",$L690&lt;&gt;"",$R690="Cancelada",$AT690&lt;&gt;""),"",$AN690&amp;"|"&amp;$D690&amp;"|"&amp;IF($C690="","zzz",$C690)&amp;"|"&amp;TEXT(690,"0000"))</f>
        <v/>
      </c>
      <c r="AP690" s="50" t="str">
        <f aca="false">IF($AO690="","",COUNTIF($AO$5:$AO$1004,"&lt;"&amp;$AO690)-(ROWS($AO$5:$AO$1004)-Hoje!$L$5)+1)</f>
        <v/>
      </c>
      <c r="AQ690" s="50" t="n">
        <f aca="false">IF(AND($F690&lt;&gt;"",$D690=Frota!$C$3),1,0)</f>
        <v>0</v>
      </c>
      <c r="AR690" s="50" t="str">
        <f aca="false">IF($AQ690=0,"",SUM($AQ$4:$AQ690))</f>
        <v/>
      </c>
      <c r="AS690" s="50" t="str">
        <f aca="false">IFERROR(INDEX(Hoje!$K$10:$K$29,MATCH(ROW(),Hoje!$J$10:$J$29,0)),"")</f>
        <v/>
      </c>
      <c r="AT690" s="50" t="str">
        <f aca="false">IF($Q690&lt;&gt;"",$Q690,$AS690)</f>
        <v/>
      </c>
    </row>
    <row r="691" customFormat="false" ht="16.5" hidden="false" customHeight="true" outlineLevel="0" collapsed="false">
      <c r="A691" s="39" t="str">
        <f aca="false">IF($F691="","",ROW())</f>
        <v/>
      </c>
      <c r="B691" s="40" t="str">
        <f aca="false">IF($F691="",IF($D691="","","Falta a atividade"),IF($R691="Cancelada","Cancelada",IF($AB691=1,IF(N($Z691)&gt;0,"Concluída com atraso","Concluída"),IF($R691="Em programação","Em programação",IF($O691="",IF($M691="","Na carteira","Falta a semana"),IF($AC691=1,"VENCIDA",IF($O691&gt;Hoje!$L$1,"Programada",IF($P691&gt;Hoje!$L$1,"Em execução","Fecha hoje"))))))))</f>
        <v/>
      </c>
      <c r="C691" s="41"/>
      <c r="D691" s="42"/>
      <c r="E691" s="42"/>
      <c r="F691" s="42"/>
      <c r="G691" s="43"/>
      <c r="H691" s="43"/>
      <c r="I691" s="44"/>
      <c r="J691" s="44"/>
      <c r="K691" s="44"/>
      <c r="L691" s="45"/>
      <c r="M691" s="46"/>
      <c r="N691" s="45"/>
      <c r="O691" s="47" t="str">
        <f aca="false">IF(OR($L691="",$M691=""),"",(DATE(Semana!$J$3,1,4)-WEEKDAY(DATE(Semana!$J$3,1,4),3))+($L691-1)*7+MATCH($M691,Listas!$F$5:$F$11,0)-1)</f>
        <v/>
      </c>
      <c r="P691" s="47" t="str">
        <f aca="false">IF(OR($F691="",$O691=""),"",$O691+MAX(0,ROUNDUP($AK691*MAX(1,IF($N691="",1,$N691))/MAX(1,$AL691),0)-1))</f>
        <v/>
      </c>
      <c r="Q691" s="48"/>
      <c r="R691" s="43"/>
      <c r="S691" s="49"/>
      <c r="T691" s="42"/>
      <c r="U691" s="42"/>
      <c r="V691" s="39" t="str">
        <f aca="false">IF($F691="","",IF(ISNUMBER(SEARCH("(externo)",$I691&amp;$J691&amp;$K691)),"Terceirizada","Interna"))</f>
        <v/>
      </c>
      <c r="W691" s="47" t="str">
        <f aca="false">IF($O691="","",IF($S691="",$O691,(DATE(Semana!$J$3,1,4)-WEEKDAY(DATE(Semana!$J$3,1,4),3))+($S691-1)*7+IF($M691="",0,MATCH($M691,Listas!$F$5:$F$11,0)-1)))</f>
        <v/>
      </c>
      <c r="X691" s="39" t="str">
        <f aca="false">IF($F691="","",IF(OR($AT691="",$O691=""),0,IF($AT691&lt;=$O691,1,0)))</f>
        <v/>
      </c>
      <c r="Y691" s="39" t="str">
        <f aca="false">IF($F691="","",IF(OR($AT691="",$W691=""),0,IF($AT691&lt;=$W691,1,0)))</f>
        <v/>
      </c>
      <c r="Z691" s="39" t="str">
        <f aca="false">IF(OR($AT691="",$O691=""),"",MAX(0,$AT691-$O691))</f>
        <v/>
      </c>
      <c r="AA691" s="39" t="str">
        <f aca="false">IF($F691="","",IF(AND($S691&lt;&gt;"",$L691&lt;&gt;"",$S691&lt;&gt;$L691),1,0))</f>
        <v/>
      </c>
      <c r="AB691" s="39" t="str">
        <f aca="false">IF($F691="","",IF($R691="Cancelada",0,IF(OR($AT691&lt;&gt;"",$R691="Concluída"),1,0)))</f>
        <v/>
      </c>
      <c r="AC691" s="39" t="n">
        <f aca="false">IF($P691="",0,IF($P691&lt;Hoje!$L$1,1,IF(AND($P691=Hoje!$L$1,Hoje!$L$2&gt;Semana!$M$3),1,0)))</f>
        <v>0</v>
      </c>
      <c r="AD691" s="39" t="str">
        <f aca="false">IF($F691="","",IF(COUNTA($I691:$K691)=0,0,1/COUNTA($I691:$K691)))</f>
        <v/>
      </c>
      <c r="AE691" s="39" t="str">
        <f aca="false">IF($AH691=0,"",SUM($AH$4:$AH691))</f>
        <v/>
      </c>
      <c r="AF691" s="39" t="str">
        <f aca="false">IF($AI691=0,"",SUM($AI$4:$AI691))</f>
        <v/>
      </c>
      <c r="AG691" s="50" t="str">
        <f aca="false">IF($F691="","",$I691&amp;IF($J691="",""," · "&amp;$J691)&amp;IF($K691="",""," · "&amp;$K691))</f>
        <v/>
      </c>
      <c r="AH691" s="39" t="n">
        <f aca="false">IF(AND($F691&lt;&gt;"",$O691&lt;&gt;"",$O691&lt;=Hoje!$C$3,$P691&gt;=Hoje!$C$3,$R691&lt;&gt;"Cancelada"),1,0)</f>
        <v>0</v>
      </c>
      <c r="AI691" s="39" t="n">
        <f aca="false">IF(AND($F691&lt;&gt;"",$P691&lt;&gt;"",$P691&lt;Hoje!$C$3,$AB691=0,$R691&lt;&gt;"Cancelada"),1,0)</f>
        <v>0</v>
      </c>
      <c r="AJ691" s="50" t="str">
        <f aca="false">IF($F691="","",$D691&amp;"|"&amp;$E691&amp;"|"&amp;$L691)</f>
        <v/>
      </c>
      <c r="AK691" s="39" t="str">
        <f aca="false">IF($AJ691="","",COUNTIF($AJ$4:$AJ691,$AJ691))</f>
        <v/>
      </c>
      <c r="AL691" s="39" t="str">
        <f aca="false">IF($AJ691="","",COUNTIF($AJ$4:$AJ$1004,$AJ691))</f>
        <v/>
      </c>
      <c r="AM691" s="42"/>
      <c r="AN691" s="50" t="str">
        <f aca="false">IF($D691="","",IFERROR(T(VLOOKUP($D691,Listas!$B$5:$H$120,7,0)),""))</f>
        <v/>
      </c>
      <c r="AO691" s="50" t="str">
        <f aca="false">IF(OR($F691="",$L691&lt;&gt;"",$R691="Cancelada",$AT691&lt;&gt;""),"",$AN691&amp;"|"&amp;$D691&amp;"|"&amp;IF($C691="","zzz",$C691)&amp;"|"&amp;TEXT(691,"0000"))</f>
        <v/>
      </c>
      <c r="AP691" s="50" t="str">
        <f aca="false">IF($AO691="","",COUNTIF($AO$5:$AO$1004,"&lt;"&amp;$AO691)-(ROWS($AO$5:$AO$1004)-Hoje!$L$5)+1)</f>
        <v/>
      </c>
      <c r="AQ691" s="50" t="n">
        <f aca="false">IF(AND($F691&lt;&gt;"",$D691=Frota!$C$3),1,0)</f>
        <v>0</v>
      </c>
      <c r="AR691" s="50" t="str">
        <f aca="false">IF($AQ691=0,"",SUM($AQ$4:$AQ691))</f>
        <v/>
      </c>
      <c r="AS691" s="50" t="str">
        <f aca="false">IFERROR(INDEX(Hoje!$K$10:$K$29,MATCH(ROW(),Hoje!$J$10:$J$29,0)),"")</f>
        <v/>
      </c>
      <c r="AT691" s="50" t="str">
        <f aca="false">IF($Q691&lt;&gt;"",$Q691,$AS691)</f>
        <v/>
      </c>
    </row>
    <row r="692" customFormat="false" ht="16.5" hidden="false" customHeight="true" outlineLevel="0" collapsed="false">
      <c r="A692" s="39" t="str">
        <f aca="false">IF($F692="","",ROW())</f>
        <v/>
      </c>
      <c r="B692" s="40" t="str">
        <f aca="false">IF($F692="",IF($D692="","","Falta a atividade"),IF($R692="Cancelada","Cancelada",IF($AB692=1,IF(N($Z692)&gt;0,"Concluída com atraso","Concluída"),IF($R692="Em programação","Em programação",IF($O692="",IF($M692="","Na carteira","Falta a semana"),IF($AC692=1,"VENCIDA",IF($O692&gt;Hoje!$L$1,"Programada",IF($P692&gt;Hoje!$L$1,"Em execução","Fecha hoje"))))))))</f>
        <v/>
      </c>
      <c r="C692" s="41"/>
      <c r="D692" s="42"/>
      <c r="E692" s="42"/>
      <c r="F692" s="42"/>
      <c r="G692" s="43"/>
      <c r="H692" s="43"/>
      <c r="I692" s="44"/>
      <c r="J692" s="44"/>
      <c r="K692" s="44"/>
      <c r="L692" s="45"/>
      <c r="M692" s="46"/>
      <c r="N692" s="45"/>
      <c r="O692" s="47" t="str">
        <f aca="false">IF(OR($L692="",$M692=""),"",(DATE(Semana!$J$3,1,4)-WEEKDAY(DATE(Semana!$J$3,1,4),3))+($L692-1)*7+MATCH($M692,Listas!$F$5:$F$11,0)-1)</f>
        <v/>
      </c>
      <c r="P692" s="47" t="str">
        <f aca="false">IF(OR($F692="",$O692=""),"",$O692+MAX(0,ROUNDUP($AK692*MAX(1,IF($N692="",1,$N692))/MAX(1,$AL692),0)-1))</f>
        <v/>
      </c>
      <c r="Q692" s="48"/>
      <c r="R692" s="43"/>
      <c r="S692" s="49"/>
      <c r="T692" s="42"/>
      <c r="U692" s="42"/>
      <c r="V692" s="39" t="str">
        <f aca="false">IF($F692="","",IF(ISNUMBER(SEARCH("(externo)",$I692&amp;$J692&amp;$K692)),"Terceirizada","Interna"))</f>
        <v/>
      </c>
      <c r="W692" s="47" t="str">
        <f aca="false">IF($O692="","",IF($S692="",$O692,(DATE(Semana!$J$3,1,4)-WEEKDAY(DATE(Semana!$J$3,1,4),3))+($S692-1)*7+IF($M692="",0,MATCH($M692,Listas!$F$5:$F$11,0)-1)))</f>
        <v/>
      </c>
      <c r="X692" s="39" t="str">
        <f aca="false">IF($F692="","",IF(OR($AT692="",$O692=""),0,IF($AT692&lt;=$O692,1,0)))</f>
        <v/>
      </c>
      <c r="Y692" s="39" t="str">
        <f aca="false">IF($F692="","",IF(OR($AT692="",$W692=""),0,IF($AT692&lt;=$W692,1,0)))</f>
        <v/>
      </c>
      <c r="Z692" s="39" t="str">
        <f aca="false">IF(OR($AT692="",$O692=""),"",MAX(0,$AT692-$O692))</f>
        <v/>
      </c>
      <c r="AA692" s="39" t="str">
        <f aca="false">IF($F692="","",IF(AND($S692&lt;&gt;"",$L692&lt;&gt;"",$S692&lt;&gt;$L692),1,0))</f>
        <v/>
      </c>
      <c r="AB692" s="39" t="str">
        <f aca="false">IF($F692="","",IF($R692="Cancelada",0,IF(OR($AT692&lt;&gt;"",$R692="Concluída"),1,0)))</f>
        <v/>
      </c>
      <c r="AC692" s="39" t="n">
        <f aca="false">IF($P692="",0,IF($P692&lt;Hoje!$L$1,1,IF(AND($P692=Hoje!$L$1,Hoje!$L$2&gt;Semana!$M$3),1,0)))</f>
        <v>0</v>
      </c>
      <c r="AD692" s="39" t="str">
        <f aca="false">IF($F692="","",IF(COUNTA($I692:$K692)=0,0,1/COUNTA($I692:$K692)))</f>
        <v/>
      </c>
      <c r="AE692" s="39" t="str">
        <f aca="false">IF($AH692=0,"",SUM($AH$4:$AH692))</f>
        <v/>
      </c>
      <c r="AF692" s="39" t="str">
        <f aca="false">IF($AI692=0,"",SUM($AI$4:$AI692))</f>
        <v/>
      </c>
      <c r="AG692" s="50" t="str">
        <f aca="false">IF($F692="","",$I692&amp;IF($J692="",""," · "&amp;$J692)&amp;IF($K692="",""," · "&amp;$K692))</f>
        <v/>
      </c>
      <c r="AH692" s="39" t="n">
        <f aca="false">IF(AND($F692&lt;&gt;"",$O692&lt;&gt;"",$O692&lt;=Hoje!$C$3,$P692&gt;=Hoje!$C$3,$R692&lt;&gt;"Cancelada"),1,0)</f>
        <v>0</v>
      </c>
      <c r="AI692" s="39" t="n">
        <f aca="false">IF(AND($F692&lt;&gt;"",$P692&lt;&gt;"",$P692&lt;Hoje!$C$3,$AB692=0,$R692&lt;&gt;"Cancelada"),1,0)</f>
        <v>0</v>
      </c>
      <c r="AJ692" s="50" t="str">
        <f aca="false">IF($F692="","",$D692&amp;"|"&amp;$E692&amp;"|"&amp;$L692)</f>
        <v/>
      </c>
      <c r="AK692" s="39" t="str">
        <f aca="false">IF($AJ692="","",COUNTIF($AJ$4:$AJ692,$AJ692))</f>
        <v/>
      </c>
      <c r="AL692" s="39" t="str">
        <f aca="false">IF($AJ692="","",COUNTIF($AJ$4:$AJ$1004,$AJ692))</f>
        <v/>
      </c>
      <c r="AM692" s="42"/>
      <c r="AN692" s="50" t="str">
        <f aca="false">IF($D692="","",IFERROR(T(VLOOKUP($D692,Listas!$B$5:$H$120,7,0)),""))</f>
        <v/>
      </c>
      <c r="AO692" s="50" t="str">
        <f aca="false">IF(OR($F692="",$L692&lt;&gt;"",$R692="Cancelada",$AT692&lt;&gt;""),"",$AN692&amp;"|"&amp;$D692&amp;"|"&amp;IF($C692="","zzz",$C692)&amp;"|"&amp;TEXT(692,"0000"))</f>
        <v/>
      </c>
      <c r="AP692" s="50" t="str">
        <f aca="false">IF($AO692="","",COUNTIF($AO$5:$AO$1004,"&lt;"&amp;$AO692)-(ROWS($AO$5:$AO$1004)-Hoje!$L$5)+1)</f>
        <v/>
      </c>
      <c r="AQ692" s="50" t="n">
        <f aca="false">IF(AND($F692&lt;&gt;"",$D692=Frota!$C$3),1,0)</f>
        <v>0</v>
      </c>
      <c r="AR692" s="50" t="str">
        <f aca="false">IF($AQ692=0,"",SUM($AQ$4:$AQ692))</f>
        <v/>
      </c>
      <c r="AS692" s="50" t="str">
        <f aca="false">IFERROR(INDEX(Hoje!$K$10:$K$29,MATCH(ROW(),Hoje!$J$10:$J$29,0)),"")</f>
        <v/>
      </c>
      <c r="AT692" s="50" t="str">
        <f aca="false">IF($Q692&lt;&gt;"",$Q692,$AS692)</f>
        <v/>
      </c>
    </row>
    <row r="693" customFormat="false" ht="16.5" hidden="false" customHeight="true" outlineLevel="0" collapsed="false">
      <c r="A693" s="39" t="str">
        <f aca="false">IF($F693="","",ROW())</f>
        <v/>
      </c>
      <c r="B693" s="40" t="str">
        <f aca="false">IF($F693="",IF($D693="","","Falta a atividade"),IF($R693="Cancelada","Cancelada",IF($AB693=1,IF(N($Z693)&gt;0,"Concluída com atraso","Concluída"),IF($R693="Em programação","Em programação",IF($O693="",IF($M693="","Na carteira","Falta a semana"),IF($AC693=1,"VENCIDA",IF($O693&gt;Hoje!$L$1,"Programada",IF($P693&gt;Hoje!$L$1,"Em execução","Fecha hoje"))))))))</f>
        <v/>
      </c>
      <c r="C693" s="41"/>
      <c r="D693" s="42"/>
      <c r="E693" s="42"/>
      <c r="F693" s="42"/>
      <c r="G693" s="43"/>
      <c r="H693" s="43"/>
      <c r="I693" s="44"/>
      <c r="J693" s="44"/>
      <c r="K693" s="44"/>
      <c r="L693" s="45"/>
      <c r="M693" s="46"/>
      <c r="N693" s="45"/>
      <c r="O693" s="47" t="str">
        <f aca="false">IF(OR($L693="",$M693=""),"",(DATE(Semana!$J$3,1,4)-WEEKDAY(DATE(Semana!$J$3,1,4),3))+($L693-1)*7+MATCH($M693,Listas!$F$5:$F$11,0)-1)</f>
        <v/>
      </c>
      <c r="P693" s="47" t="str">
        <f aca="false">IF(OR($F693="",$O693=""),"",$O693+MAX(0,ROUNDUP($AK693*MAX(1,IF($N693="",1,$N693))/MAX(1,$AL693),0)-1))</f>
        <v/>
      </c>
      <c r="Q693" s="48"/>
      <c r="R693" s="43"/>
      <c r="S693" s="49"/>
      <c r="T693" s="42"/>
      <c r="U693" s="42"/>
      <c r="V693" s="39" t="str">
        <f aca="false">IF($F693="","",IF(ISNUMBER(SEARCH("(externo)",$I693&amp;$J693&amp;$K693)),"Terceirizada","Interna"))</f>
        <v/>
      </c>
      <c r="W693" s="47" t="str">
        <f aca="false">IF($O693="","",IF($S693="",$O693,(DATE(Semana!$J$3,1,4)-WEEKDAY(DATE(Semana!$J$3,1,4),3))+($S693-1)*7+IF($M693="",0,MATCH($M693,Listas!$F$5:$F$11,0)-1)))</f>
        <v/>
      </c>
      <c r="X693" s="39" t="str">
        <f aca="false">IF($F693="","",IF(OR($AT693="",$O693=""),0,IF($AT693&lt;=$O693,1,0)))</f>
        <v/>
      </c>
      <c r="Y693" s="39" t="str">
        <f aca="false">IF($F693="","",IF(OR($AT693="",$W693=""),0,IF($AT693&lt;=$W693,1,0)))</f>
        <v/>
      </c>
      <c r="Z693" s="39" t="str">
        <f aca="false">IF(OR($AT693="",$O693=""),"",MAX(0,$AT693-$O693))</f>
        <v/>
      </c>
      <c r="AA693" s="39" t="str">
        <f aca="false">IF($F693="","",IF(AND($S693&lt;&gt;"",$L693&lt;&gt;"",$S693&lt;&gt;$L693),1,0))</f>
        <v/>
      </c>
      <c r="AB693" s="39" t="str">
        <f aca="false">IF($F693="","",IF($R693="Cancelada",0,IF(OR($AT693&lt;&gt;"",$R693="Concluída"),1,0)))</f>
        <v/>
      </c>
      <c r="AC693" s="39" t="n">
        <f aca="false">IF($P693="",0,IF($P693&lt;Hoje!$L$1,1,IF(AND($P693=Hoje!$L$1,Hoje!$L$2&gt;Semana!$M$3),1,0)))</f>
        <v>0</v>
      </c>
      <c r="AD693" s="39" t="str">
        <f aca="false">IF($F693="","",IF(COUNTA($I693:$K693)=0,0,1/COUNTA($I693:$K693)))</f>
        <v/>
      </c>
      <c r="AE693" s="39" t="str">
        <f aca="false">IF($AH693=0,"",SUM($AH$4:$AH693))</f>
        <v/>
      </c>
      <c r="AF693" s="39" t="str">
        <f aca="false">IF($AI693=0,"",SUM($AI$4:$AI693))</f>
        <v/>
      </c>
      <c r="AG693" s="50" t="str">
        <f aca="false">IF($F693="","",$I693&amp;IF($J693="",""," · "&amp;$J693)&amp;IF($K693="",""," · "&amp;$K693))</f>
        <v/>
      </c>
      <c r="AH693" s="39" t="n">
        <f aca="false">IF(AND($F693&lt;&gt;"",$O693&lt;&gt;"",$O693&lt;=Hoje!$C$3,$P693&gt;=Hoje!$C$3,$R693&lt;&gt;"Cancelada"),1,0)</f>
        <v>0</v>
      </c>
      <c r="AI693" s="39" t="n">
        <f aca="false">IF(AND($F693&lt;&gt;"",$P693&lt;&gt;"",$P693&lt;Hoje!$C$3,$AB693=0,$R693&lt;&gt;"Cancelada"),1,0)</f>
        <v>0</v>
      </c>
      <c r="AJ693" s="50" t="str">
        <f aca="false">IF($F693="","",$D693&amp;"|"&amp;$E693&amp;"|"&amp;$L693)</f>
        <v/>
      </c>
      <c r="AK693" s="39" t="str">
        <f aca="false">IF($AJ693="","",COUNTIF($AJ$4:$AJ693,$AJ693))</f>
        <v/>
      </c>
      <c r="AL693" s="39" t="str">
        <f aca="false">IF($AJ693="","",COUNTIF($AJ$4:$AJ$1004,$AJ693))</f>
        <v/>
      </c>
      <c r="AM693" s="42"/>
      <c r="AN693" s="50" t="str">
        <f aca="false">IF($D693="","",IFERROR(T(VLOOKUP($D693,Listas!$B$5:$H$120,7,0)),""))</f>
        <v/>
      </c>
      <c r="AO693" s="50" t="str">
        <f aca="false">IF(OR($F693="",$L693&lt;&gt;"",$R693="Cancelada",$AT693&lt;&gt;""),"",$AN693&amp;"|"&amp;$D693&amp;"|"&amp;IF($C693="","zzz",$C693)&amp;"|"&amp;TEXT(693,"0000"))</f>
        <v/>
      </c>
      <c r="AP693" s="50" t="str">
        <f aca="false">IF($AO693="","",COUNTIF($AO$5:$AO$1004,"&lt;"&amp;$AO693)-(ROWS($AO$5:$AO$1004)-Hoje!$L$5)+1)</f>
        <v/>
      </c>
      <c r="AQ693" s="50" t="n">
        <f aca="false">IF(AND($F693&lt;&gt;"",$D693=Frota!$C$3),1,0)</f>
        <v>0</v>
      </c>
      <c r="AR693" s="50" t="str">
        <f aca="false">IF($AQ693=0,"",SUM($AQ$4:$AQ693))</f>
        <v/>
      </c>
      <c r="AS693" s="50" t="str">
        <f aca="false">IFERROR(INDEX(Hoje!$K$10:$K$29,MATCH(ROW(),Hoje!$J$10:$J$29,0)),"")</f>
        <v/>
      </c>
      <c r="AT693" s="50" t="str">
        <f aca="false">IF($Q693&lt;&gt;"",$Q693,$AS693)</f>
        <v/>
      </c>
    </row>
    <row r="694" customFormat="false" ht="16.5" hidden="false" customHeight="true" outlineLevel="0" collapsed="false">
      <c r="A694" s="39" t="str">
        <f aca="false">IF($F694="","",ROW())</f>
        <v/>
      </c>
      <c r="B694" s="40" t="str">
        <f aca="false">IF($F694="",IF($D694="","","Falta a atividade"),IF($R694="Cancelada","Cancelada",IF($AB694=1,IF(N($Z694)&gt;0,"Concluída com atraso","Concluída"),IF($R694="Em programação","Em programação",IF($O694="",IF($M694="","Na carteira","Falta a semana"),IF($AC694=1,"VENCIDA",IF($O694&gt;Hoje!$L$1,"Programada",IF($P694&gt;Hoje!$L$1,"Em execução","Fecha hoje"))))))))</f>
        <v/>
      </c>
      <c r="C694" s="41"/>
      <c r="D694" s="42"/>
      <c r="E694" s="42"/>
      <c r="F694" s="42"/>
      <c r="G694" s="43"/>
      <c r="H694" s="43"/>
      <c r="I694" s="44"/>
      <c r="J694" s="44"/>
      <c r="K694" s="44"/>
      <c r="L694" s="45"/>
      <c r="M694" s="46"/>
      <c r="N694" s="45"/>
      <c r="O694" s="47" t="str">
        <f aca="false">IF(OR($L694="",$M694=""),"",(DATE(Semana!$J$3,1,4)-WEEKDAY(DATE(Semana!$J$3,1,4),3))+($L694-1)*7+MATCH($M694,Listas!$F$5:$F$11,0)-1)</f>
        <v/>
      </c>
      <c r="P694" s="47" t="str">
        <f aca="false">IF(OR($F694="",$O694=""),"",$O694+MAX(0,ROUNDUP($AK694*MAX(1,IF($N694="",1,$N694))/MAX(1,$AL694),0)-1))</f>
        <v/>
      </c>
      <c r="Q694" s="48"/>
      <c r="R694" s="43"/>
      <c r="S694" s="49"/>
      <c r="T694" s="42"/>
      <c r="U694" s="42"/>
      <c r="V694" s="39" t="str">
        <f aca="false">IF($F694="","",IF(ISNUMBER(SEARCH("(externo)",$I694&amp;$J694&amp;$K694)),"Terceirizada","Interna"))</f>
        <v/>
      </c>
      <c r="W694" s="47" t="str">
        <f aca="false">IF($O694="","",IF($S694="",$O694,(DATE(Semana!$J$3,1,4)-WEEKDAY(DATE(Semana!$J$3,1,4),3))+($S694-1)*7+IF($M694="",0,MATCH($M694,Listas!$F$5:$F$11,0)-1)))</f>
        <v/>
      </c>
      <c r="X694" s="39" t="str">
        <f aca="false">IF($F694="","",IF(OR($AT694="",$O694=""),0,IF($AT694&lt;=$O694,1,0)))</f>
        <v/>
      </c>
      <c r="Y694" s="39" t="str">
        <f aca="false">IF($F694="","",IF(OR($AT694="",$W694=""),0,IF($AT694&lt;=$W694,1,0)))</f>
        <v/>
      </c>
      <c r="Z694" s="39" t="str">
        <f aca="false">IF(OR($AT694="",$O694=""),"",MAX(0,$AT694-$O694))</f>
        <v/>
      </c>
      <c r="AA694" s="39" t="str">
        <f aca="false">IF($F694="","",IF(AND($S694&lt;&gt;"",$L694&lt;&gt;"",$S694&lt;&gt;$L694),1,0))</f>
        <v/>
      </c>
      <c r="AB694" s="39" t="str">
        <f aca="false">IF($F694="","",IF($R694="Cancelada",0,IF(OR($AT694&lt;&gt;"",$R694="Concluída"),1,0)))</f>
        <v/>
      </c>
      <c r="AC694" s="39" t="n">
        <f aca="false">IF($P694="",0,IF($P694&lt;Hoje!$L$1,1,IF(AND($P694=Hoje!$L$1,Hoje!$L$2&gt;Semana!$M$3),1,0)))</f>
        <v>0</v>
      </c>
      <c r="AD694" s="39" t="str">
        <f aca="false">IF($F694="","",IF(COUNTA($I694:$K694)=0,0,1/COUNTA($I694:$K694)))</f>
        <v/>
      </c>
      <c r="AE694" s="39" t="str">
        <f aca="false">IF($AH694=0,"",SUM($AH$4:$AH694))</f>
        <v/>
      </c>
      <c r="AF694" s="39" t="str">
        <f aca="false">IF($AI694=0,"",SUM($AI$4:$AI694))</f>
        <v/>
      </c>
      <c r="AG694" s="50" t="str">
        <f aca="false">IF($F694="","",$I694&amp;IF($J694="",""," · "&amp;$J694)&amp;IF($K694="",""," · "&amp;$K694))</f>
        <v/>
      </c>
      <c r="AH694" s="39" t="n">
        <f aca="false">IF(AND($F694&lt;&gt;"",$O694&lt;&gt;"",$O694&lt;=Hoje!$C$3,$P694&gt;=Hoje!$C$3,$R694&lt;&gt;"Cancelada"),1,0)</f>
        <v>0</v>
      </c>
      <c r="AI694" s="39" t="n">
        <f aca="false">IF(AND($F694&lt;&gt;"",$P694&lt;&gt;"",$P694&lt;Hoje!$C$3,$AB694=0,$R694&lt;&gt;"Cancelada"),1,0)</f>
        <v>0</v>
      </c>
      <c r="AJ694" s="50" t="str">
        <f aca="false">IF($F694="","",$D694&amp;"|"&amp;$E694&amp;"|"&amp;$L694)</f>
        <v/>
      </c>
      <c r="AK694" s="39" t="str">
        <f aca="false">IF($AJ694="","",COUNTIF($AJ$4:$AJ694,$AJ694))</f>
        <v/>
      </c>
      <c r="AL694" s="39" t="str">
        <f aca="false">IF($AJ694="","",COUNTIF($AJ$4:$AJ$1004,$AJ694))</f>
        <v/>
      </c>
      <c r="AM694" s="42"/>
      <c r="AN694" s="50" t="str">
        <f aca="false">IF($D694="","",IFERROR(T(VLOOKUP($D694,Listas!$B$5:$H$120,7,0)),""))</f>
        <v/>
      </c>
      <c r="AO694" s="50" t="str">
        <f aca="false">IF(OR($F694="",$L694&lt;&gt;"",$R694="Cancelada",$AT694&lt;&gt;""),"",$AN694&amp;"|"&amp;$D694&amp;"|"&amp;IF($C694="","zzz",$C694)&amp;"|"&amp;TEXT(694,"0000"))</f>
        <v/>
      </c>
      <c r="AP694" s="50" t="str">
        <f aca="false">IF($AO694="","",COUNTIF($AO$5:$AO$1004,"&lt;"&amp;$AO694)-(ROWS($AO$5:$AO$1004)-Hoje!$L$5)+1)</f>
        <v/>
      </c>
      <c r="AQ694" s="50" t="n">
        <f aca="false">IF(AND($F694&lt;&gt;"",$D694=Frota!$C$3),1,0)</f>
        <v>0</v>
      </c>
      <c r="AR694" s="50" t="str">
        <f aca="false">IF($AQ694=0,"",SUM($AQ$4:$AQ694))</f>
        <v/>
      </c>
      <c r="AS694" s="50" t="str">
        <f aca="false">IFERROR(INDEX(Hoje!$K$10:$K$29,MATCH(ROW(),Hoje!$J$10:$J$29,0)),"")</f>
        <v/>
      </c>
      <c r="AT694" s="50" t="str">
        <f aca="false">IF($Q694&lt;&gt;"",$Q694,$AS694)</f>
        <v/>
      </c>
    </row>
    <row r="695" customFormat="false" ht="16.5" hidden="false" customHeight="true" outlineLevel="0" collapsed="false">
      <c r="A695" s="39" t="str">
        <f aca="false">IF($F695="","",ROW())</f>
        <v/>
      </c>
      <c r="B695" s="40" t="str">
        <f aca="false">IF($F695="",IF($D695="","","Falta a atividade"),IF($R695="Cancelada","Cancelada",IF($AB695=1,IF(N($Z695)&gt;0,"Concluída com atraso","Concluída"),IF($R695="Em programação","Em programação",IF($O695="",IF($M695="","Na carteira","Falta a semana"),IF($AC695=1,"VENCIDA",IF($O695&gt;Hoje!$L$1,"Programada",IF($P695&gt;Hoje!$L$1,"Em execução","Fecha hoje"))))))))</f>
        <v/>
      </c>
      <c r="C695" s="41"/>
      <c r="D695" s="42"/>
      <c r="E695" s="42"/>
      <c r="F695" s="42"/>
      <c r="G695" s="43"/>
      <c r="H695" s="43"/>
      <c r="I695" s="44"/>
      <c r="J695" s="44"/>
      <c r="K695" s="44"/>
      <c r="L695" s="45"/>
      <c r="M695" s="46"/>
      <c r="N695" s="45"/>
      <c r="O695" s="47" t="str">
        <f aca="false">IF(OR($L695="",$M695=""),"",(DATE(Semana!$J$3,1,4)-WEEKDAY(DATE(Semana!$J$3,1,4),3))+($L695-1)*7+MATCH($M695,Listas!$F$5:$F$11,0)-1)</f>
        <v/>
      </c>
      <c r="P695" s="47" t="str">
        <f aca="false">IF(OR($F695="",$O695=""),"",$O695+MAX(0,ROUNDUP($AK695*MAX(1,IF($N695="",1,$N695))/MAX(1,$AL695),0)-1))</f>
        <v/>
      </c>
      <c r="Q695" s="48"/>
      <c r="R695" s="43"/>
      <c r="S695" s="49"/>
      <c r="T695" s="42"/>
      <c r="U695" s="42"/>
      <c r="V695" s="39" t="str">
        <f aca="false">IF($F695="","",IF(ISNUMBER(SEARCH("(externo)",$I695&amp;$J695&amp;$K695)),"Terceirizada","Interna"))</f>
        <v/>
      </c>
      <c r="W695" s="47" t="str">
        <f aca="false">IF($O695="","",IF($S695="",$O695,(DATE(Semana!$J$3,1,4)-WEEKDAY(DATE(Semana!$J$3,1,4),3))+($S695-1)*7+IF($M695="",0,MATCH($M695,Listas!$F$5:$F$11,0)-1)))</f>
        <v/>
      </c>
      <c r="X695" s="39" t="str">
        <f aca="false">IF($F695="","",IF(OR($AT695="",$O695=""),0,IF($AT695&lt;=$O695,1,0)))</f>
        <v/>
      </c>
      <c r="Y695" s="39" t="str">
        <f aca="false">IF($F695="","",IF(OR($AT695="",$W695=""),0,IF($AT695&lt;=$W695,1,0)))</f>
        <v/>
      </c>
      <c r="Z695" s="39" t="str">
        <f aca="false">IF(OR($AT695="",$O695=""),"",MAX(0,$AT695-$O695))</f>
        <v/>
      </c>
      <c r="AA695" s="39" t="str">
        <f aca="false">IF($F695="","",IF(AND($S695&lt;&gt;"",$L695&lt;&gt;"",$S695&lt;&gt;$L695),1,0))</f>
        <v/>
      </c>
      <c r="AB695" s="39" t="str">
        <f aca="false">IF($F695="","",IF($R695="Cancelada",0,IF(OR($AT695&lt;&gt;"",$R695="Concluída"),1,0)))</f>
        <v/>
      </c>
      <c r="AC695" s="39" t="n">
        <f aca="false">IF($P695="",0,IF($P695&lt;Hoje!$L$1,1,IF(AND($P695=Hoje!$L$1,Hoje!$L$2&gt;Semana!$M$3),1,0)))</f>
        <v>0</v>
      </c>
      <c r="AD695" s="39" t="str">
        <f aca="false">IF($F695="","",IF(COUNTA($I695:$K695)=0,0,1/COUNTA($I695:$K695)))</f>
        <v/>
      </c>
      <c r="AE695" s="39" t="str">
        <f aca="false">IF($AH695=0,"",SUM($AH$4:$AH695))</f>
        <v/>
      </c>
      <c r="AF695" s="39" t="str">
        <f aca="false">IF($AI695=0,"",SUM($AI$4:$AI695))</f>
        <v/>
      </c>
      <c r="AG695" s="50" t="str">
        <f aca="false">IF($F695="","",$I695&amp;IF($J695="",""," · "&amp;$J695)&amp;IF($K695="",""," · "&amp;$K695))</f>
        <v/>
      </c>
      <c r="AH695" s="39" t="n">
        <f aca="false">IF(AND($F695&lt;&gt;"",$O695&lt;&gt;"",$O695&lt;=Hoje!$C$3,$P695&gt;=Hoje!$C$3,$R695&lt;&gt;"Cancelada"),1,0)</f>
        <v>0</v>
      </c>
      <c r="AI695" s="39" t="n">
        <f aca="false">IF(AND($F695&lt;&gt;"",$P695&lt;&gt;"",$P695&lt;Hoje!$C$3,$AB695=0,$R695&lt;&gt;"Cancelada"),1,0)</f>
        <v>0</v>
      </c>
      <c r="AJ695" s="50" t="str">
        <f aca="false">IF($F695="","",$D695&amp;"|"&amp;$E695&amp;"|"&amp;$L695)</f>
        <v/>
      </c>
      <c r="AK695" s="39" t="str">
        <f aca="false">IF($AJ695="","",COUNTIF($AJ$4:$AJ695,$AJ695))</f>
        <v/>
      </c>
      <c r="AL695" s="39" t="str">
        <f aca="false">IF($AJ695="","",COUNTIF($AJ$4:$AJ$1004,$AJ695))</f>
        <v/>
      </c>
      <c r="AM695" s="42"/>
      <c r="AN695" s="50" t="str">
        <f aca="false">IF($D695="","",IFERROR(T(VLOOKUP($D695,Listas!$B$5:$H$120,7,0)),""))</f>
        <v/>
      </c>
      <c r="AO695" s="50" t="str">
        <f aca="false">IF(OR($F695="",$L695&lt;&gt;"",$R695="Cancelada",$AT695&lt;&gt;""),"",$AN695&amp;"|"&amp;$D695&amp;"|"&amp;IF($C695="","zzz",$C695)&amp;"|"&amp;TEXT(695,"0000"))</f>
        <v/>
      </c>
      <c r="AP695" s="50" t="str">
        <f aca="false">IF($AO695="","",COUNTIF($AO$5:$AO$1004,"&lt;"&amp;$AO695)-(ROWS($AO$5:$AO$1004)-Hoje!$L$5)+1)</f>
        <v/>
      </c>
      <c r="AQ695" s="50" t="n">
        <f aca="false">IF(AND($F695&lt;&gt;"",$D695=Frota!$C$3),1,0)</f>
        <v>0</v>
      </c>
      <c r="AR695" s="50" t="str">
        <f aca="false">IF($AQ695=0,"",SUM($AQ$4:$AQ695))</f>
        <v/>
      </c>
      <c r="AS695" s="50" t="str">
        <f aca="false">IFERROR(INDEX(Hoje!$K$10:$K$29,MATCH(ROW(),Hoje!$J$10:$J$29,0)),"")</f>
        <v/>
      </c>
      <c r="AT695" s="50" t="str">
        <f aca="false">IF($Q695&lt;&gt;"",$Q695,$AS695)</f>
        <v/>
      </c>
    </row>
    <row r="696" customFormat="false" ht="16.5" hidden="false" customHeight="true" outlineLevel="0" collapsed="false">
      <c r="A696" s="39" t="str">
        <f aca="false">IF($F696="","",ROW())</f>
        <v/>
      </c>
      <c r="B696" s="40" t="str">
        <f aca="false">IF($F696="",IF($D696="","","Falta a atividade"),IF($R696="Cancelada","Cancelada",IF($AB696=1,IF(N($Z696)&gt;0,"Concluída com atraso","Concluída"),IF($R696="Em programação","Em programação",IF($O696="",IF($M696="","Na carteira","Falta a semana"),IF($AC696=1,"VENCIDA",IF($O696&gt;Hoje!$L$1,"Programada",IF($P696&gt;Hoje!$L$1,"Em execução","Fecha hoje"))))))))</f>
        <v/>
      </c>
      <c r="C696" s="41"/>
      <c r="D696" s="42"/>
      <c r="E696" s="42"/>
      <c r="F696" s="42"/>
      <c r="G696" s="43"/>
      <c r="H696" s="43"/>
      <c r="I696" s="44"/>
      <c r="J696" s="44"/>
      <c r="K696" s="44"/>
      <c r="L696" s="45"/>
      <c r="M696" s="46"/>
      <c r="N696" s="45"/>
      <c r="O696" s="47" t="str">
        <f aca="false">IF(OR($L696="",$M696=""),"",(DATE(Semana!$J$3,1,4)-WEEKDAY(DATE(Semana!$J$3,1,4),3))+($L696-1)*7+MATCH($M696,Listas!$F$5:$F$11,0)-1)</f>
        <v/>
      </c>
      <c r="P696" s="47" t="str">
        <f aca="false">IF(OR($F696="",$O696=""),"",$O696+MAX(0,ROUNDUP($AK696*MAX(1,IF($N696="",1,$N696))/MAX(1,$AL696),0)-1))</f>
        <v/>
      </c>
      <c r="Q696" s="48"/>
      <c r="R696" s="43"/>
      <c r="S696" s="49"/>
      <c r="T696" s="42"/>
      <c r="U696" s="42"/>
      <c r="V696" s="39" t="str">
        <f aca="false">IF($F696="","",IF(ISNUMBER(SEARCH("(externo)",$I696&amp;$J696&amp;$K696)),"Terceirizada","Interna"))</f>
        <v/>
      </c>
      <c r="W696" s="47" t="str">
        <f aca="false">IF($O696="","",IF($S696="",$O696,(DATE(Semana!$J$3,1,4)-WEEKDAY(DATE(Semana!$J$3,1,4),3))+($S696-1)*7+IF($M696="",0,MATCH($M696,Listas!$F$5:$F$11,0)-1)))</f>
        <v/>
      </c>
      <c r="X696" s="39" t="str">
        <f aca="false">IF($F696="","",IF(OR($AT696="",$O696=""),0,IF($AT696&lt;=$O696,1,0)))</f>
        <v/>
      </c>
      <c r="Y696" s="39" t="str">
        <f aca="false">IF($F696="","",IF(OR($AT696="",$W696=""),0,IF($AT696&lt;=$W696,1,0)))</f>
        <v/>
      </c>
      <c r="Z696" s="39" t="str">
        <f aca="false">IF(OR($AT696="",$O696=""),"",MAX(0,$AT696-$O696))</f>
        <v/>
      </c>
      <c r="AA696" s="39" t="str">
        <f aca="false">IF($F696="","",IF(AND($S696&lt;&gt;"",$L696&lt;&gt;"",$S696&lt;&gt;$L696),1,0))</f>
        <v/>
      </c>
      <c r="AB696" s="39" t="str">
        <f aca="false">IF($F696="","",IF($R696="Cancelada",0,IF(OR($AT696&lt;&gt;"",$R696="Concluída"),1,0)))</f>
        <v/>
      </c>
      <c r="AC696" s="39" t="n">
        <f aca="false">IF($P696="",0,IF($P696&lt;Hoje!$L$1,1,IF(AND($P696=Hoje!$L$1,Hoje!$L$2&gt;Semana!$M$3),1,0)))</f>
        <v>0</v>
      </c>
      <c r="AD696" s="39" t="str">
        <f aca="false">IF($F696="","",IF(COUNTA($I696:$K696)=0,0,1/COUNTA($I696:$K696)))</f>
        <v/>
      </c>
      <c r="AE696" s="39" t="str">
        <f aca="false">IF($AH696=0,"",SUM($AH$4:$AH696))</f>
        <v/>
      </c>
      <c r="AF696" s="39" t="str">
        <f aca="false">IF($AI696=0,"",SUM($AI$4:$AI696))</f>
        <v/>
      </c>
      <c r="AG696" s="50" t="str">
        <f aca="false">IF($F696="","",$I696&amp;IF($J696="",""," · "&amp;$J696)&amp;IF($K696="",""," · "&amp;$K696))</f>
        <v/>
      </c>
      <c r="AH696" s="39" t="n">
        <f aca="false">IF(AND($F696&lt;&gt;"",$O696&lt;&gt;"",$O696&lt;=Hoje!$C$3,$P696&gt;=Hoje!$C$3,$R696&lt;&gt;"Cancelada"),1,0)</f>
        <v>0</v>
      </c>
      <c r="AI696" s="39" t="n">
        <f aca="false">IF(AND($F696&lt;&gt;"",$P696&lt;&gt;"",$P696&lt;Hoje!$C$3,$AB696=0,$R696&lt;&gt;"Cancelada"),1,0)</f>
        <v>0</v>
      </c>
      <c r="AJ696" s="50" t="str">
        <f aca="false">IF($F696="","",$D696&amp;"|"&amp;$E696&amp;"|"&amp;$L696)</f>
        <v/>
      </c>
      <c r="AK696" s="39" t="str">
        <f aca="false">IF($AJ696="","",COUNTIF($AJ$4:$AJ696,$AJ696))</f>
        <v/>
      </c>
      <c r="AL696" s="39" t="str">
        <f aca="false">IF($AJ696="","",COUNTIF($AJ$4:$AJ$1004,$AJ696))</f>
        <v/>
      </c>
      <c r="AM696" s="42"/>
      <c r="AN696" s="50" t="str">
        <f aca="false">IF($D696="","",IFERROR(T(VLOOKUP($D696,Listas!$B$5:$H$120,7,0)),""))</f>
        <v/>
      </c>
      <c r="AO696" s="50" t="str">
        <f aca="false">IF(OR($F696="",$L696&lt;&gt;"",$R696="Cancelada",$AT696&lt;&gt;""),"",$AN696&amp;"|"&amp;$D696&amp;"|"&amp;IF($C696="","zzz",$C696)&amp;"|"&amp;TEXT(696,"0000"))</f>
        <v/>
      </c>
      <c r="AP696" s="50" t="str">
        <f aca="false">IF($AO696="","",COUNTIF($AO$5:$AO$1004,"&lt;"&amp;$AO696)-(ROWS($AO$5:$AO$1004)-Hoje!$L$5)+1)</f>
        <v/>
      </c>
      <c r="AQ696" s="50" t="n">
        <f aca="false">IF(AND($F696&lt;&gt;"",$D696=Frota!$C$3),1,0)</f>
        <v>0</v>
      </c>
      <c r="AR696" s="50" t="str">
        <f aca="false">IF($AQ696=0,"",SUM($AQ$4:$AQ696))</f>
        <v/>
      </c>
      <c r="AS696" s="50" t="str">
        <f aca="false">IFERROR(INDEX(Hoje!$K$10:$K$29,MATCH(ROW(),Hoje!$J$10:$J$29,0)),"")</f>
        <v/>
      </c>
      <c r="AT696" s="50" t="str">
        <f aca="false">IF($Q696&lt;&gt;"",$Q696,$AS696)</f>
        <v/>
      </c>
    </row>
    <row r="697" customFormat="false" ht="16.5" hidden="false" customHeight="true" outlineLevel="0" collapsed="false">
      <c r="A697" s="39" t="str">
        <f aca="false">IF($F697="","",ROW())</f>
        <v/>
      </c>
      <c r="B697" s="40" t="str">
        <f aca="false">IF($F697="",IF($D697="","","Falta a atividade"),IF($R697="Cancelada","Cancelada",IF($AB697=1,IF(N($Z697)&gt;0,"Concluída com atraso","Concluída"),IF($R697="Em programação","Em programação",IF($O697="",IF($M697="","Na carteira","Falta a semana"),IF($AC697=1,"VENCIDA",IF($O697&gt;Hoje!$L$1,"Programada",IF($P697&gt;Hoje!$L$1,"Em execução","Fecha hoje"))))))))</f>
        <v/>
      </c>
      <c r="C697" s="41"/>
      <c r="D697" s="42"/>
      <c r="E697" s="42"/>
      <c r="F697" s="42"/>
      <c r="G697" s="43"/>
      <c r="H697" s="43"/>
      <c r="I697" s="44"/>
      <c r="J697" s="44"/>
      <c r="K697" s="44"/>
      <c r="L697" s="45"/>
      <c r="M697" s="46"/>
      <c r="N697" s="45"/>
      <c r="O697" s="47" t="str">
        <f aca="false">IF(OR($L697="",$M697=""),"",(DATE(Semana!$J$3,1,4)-WEEKDAY(DATE(Semana!$J$3,1,4),3))+($L697-1)*7+MATCH($M697,Listas!$F$5:$F$11,0)-1)</f>
        <v/>
      </c>
      <c r="P697" s="47" t="str">
        <f aca="false">IF(OR($F697="",$O697=""),"",$O697+MAX(0,ROUNDUP($AK697*MAX(1,IF($N697="",1,$N697))/MAX(1,$AL697),0)-1))</f>
        <v/>
      </c>
      <c r="Q697" s="48"/>
      <c r="R697" s="43"/>
      <c r="S697" s="49"/>
      <c r="T697" s="42"/>
      <c r="U697" s="42"/>
      <c r="V697" s="39" t="str">
        <f aca="false">IF($F697="","",IF(ISNUMBER(SEARCH("(externo)",$I697&amp;$J697&amp;$K697)),"Terceirizada","Interna"))</f>
        <v/>
      </c>
      <c r="W697" s="47" t="str">
        <f aca="false">IF($O697="","",IF($S697="",$O697,(DATE(Semana!$J$3,1,4)-WEEKDAY(DATE(Semana!$J$3,1,4),3))+($S697-1)*7+IF($M697="",0,MATCH($M697,Listas!$F$5:$F$11,0)-1)))</f>
        <v/>
      </c>
      <c r="X697" s="39" t="str">
        <f aca="false">IF($F697="","",IF(OR($AT697="",$O697=""),0,IF($AT697&lt;=$O697,1,0)))</f>
        <v/>
      </c>
      <c r="Y697" s="39" t="str">
        <f aca="false">IF($F697="","",IF(OR($AT697="",$W697=""),0,IF($AT697&lt;=$W697,1,0)))</f>
        <v/>
      </c>
      <c r="Z697" s="39" t="str">
        <f aca="false">IF(OR($AT697="",$O697=""),"",MAX(0,$AT697-$O697))</f>
        <v/>
      </c>
      <c r="AA697" s="39" t="str">
        <f aca="false">IF($F697="","",IF(AND($S697&lt;&gt;"",$L697&lt;&gt;"",$S697&lt;&gt;$L697),1,0))</f>
        <v/>
      </c>
      <c r="AB697" s="39" t="str">
        <f aca="false">IF($F697="","",IF($R697="Cancelada",0,IF(OR($AT697&lt;&gt;"",$R697="Concluída"),1,0)))</f>
        <v/>
      </c>
      <c r="AC697" s="39" t="n">
        <f aca="false">IF($P697="",0,IF($P697&lt;Hoje!$L$1,1,IF(AND($P697=Hoje!$L$1,Hoje!$L$2&gt;Semana!$M$3),1,0)))</f>
        <v>0</v>
      </c>
      <c r="AD697" s="39" t="str">
        <f aca="false">IF($F697="","",IF(COUNTA($I697:$K697)=0,0,1/COUNTA($I697:$K697)))</f>
        <v/>
      </c>
      <c r="AE697" s="39" t="str">
        <f aca="false">IF($AH697=0,"",SUM($AH$4:$AH697))</f>
        <v/>
      </c>
      <c r="AF697" s="39" t="str">
        <f aca="false">IF($AI697=0,"",SUM($AI$4:$AI697))</f>
        <v/>
      </c>
      <c r="AG697" s="50" t="str">
        <f aca="false">IF($F697="","",$I697&amp;IF($J697="",""," · "&amp;$J697)&amp;IF($K697="",""," · "&amp;$K697))</f>
        <v/>
      </c>
      <c r="AH697" s="39" t="n">
        <f aca="false">IF(AND($F697&lt;&gt;"",$O697&lt;&gt;"",$O697&lt;=Hoje!$C$3,$P697&gt;=Hoje!$C$3,$R697&lt;&gt;"Cancelada"),1,0)</f>
        <v>0</v>
      </c>
      <c r="AI697" s="39" t="n">
        <f aca="false">IF(AND($F697&lt;&gt;"",$P697&lt;&gt;"",$P697&lt;Hoje!$C$3,$AB697=0,$R697&lt;&gt;"Cancelada"),1,0)</f>
        <v>0</v>
      </c>
      <c r="AJ697" s="50" t="str">
        <f aca="false">IF($F697="","",$D697&amp;"|"&amp;$E697&amp;"|"&amp;$L697)</f>
        <v/>
      </c>
      <c r="AK697" s="39" t="str">
        <f aca="false">IF($AJ697="","",COUNTIF($AJ$4:$AJ697,$AJ697))</f>
        <v/>
      </c>
      <c r="AL697" s="39" t="str">
        <f aca="false">IF($AJ697="","",COUNTIF($AJ$4:$AJ$1004,$AJ697))</f>
        <v/>
      </c>
      <c r="AM697" s="42"/>
      <c r="AN697" s="50" t="str">
        <f aca="false">IF($D697="","",IFERROR(T(VLOOKUP($D697,Listas!$B$5:$H$120,7,0)),""))</f>
        <v/>
      </c>
      <c r="AO697" s="50" t="str">
        <f aca="false">IF(OR($F697="",$L697&lt;&gt;"",$R697="Cancelada",$AT697&lt;&gt;""),"",$AN697&amp;"|"&amp;$D697&amp;"|"&amp;IF($C697="","zzz",$C697)&amp;"|"&amp;TEXT(697,"0000"))</f>
        <v/>
      </c>
      <c r="AP697" s="50" t="str">
        <f aca="false">IF($AO697="","",COUNTIF($AO$5:$AO$1004,"&lt;"&amp;$AO697)-(ROWS($AO$5:$AO$1004)-Hoje!$L$5)+1)</f>
        <v/>
      </c>
      <c r="AQ697" s="50" t="n">
        <f aca="false">IF(AND($F697&lt;&gt;"",$D697=Frota!$C$3),1,0)</f>
        <v>0</v>
      </c>
      <c r="AR697" s="50" t="str">
        <f aca="false">IF($AQ697=0,"",SUM($AQ$4:$AQ697))</f>
        <v/>
      </c>
      <c r="AS697" s="50" t="str">
        <f aca="false">IFERROR(INDEX(Hoje!$K$10:$K$29,MATCH(ROW(),Hoje!$J$10:$J$29,0)),"")</f>
        <v/>
      </c>
      <c r="AT697" s="50" t="str">
        <f aca="false">IF($Q697&lt;&gt;"",$Q697,$AS697)</f>
        <v/>
      </c>
    </row>
    <row r="698" customFormat="false" ht="16.5" hidden="false" customHeight="true" outlineLevel="0" collapsed="false">
      <c r="A698" s="39" t="str">
        <f aca="false">IF($F698="","",ROW())</f>
        <v/>
      </c>
      <c r="B698" s="40" t="str">
        <f aca="false">IF($F698="",IF($D698="","","Falta a atividade"),IF($R698="Cancelada","Cancelada",IF($AB698=1,IF(N($Z698)&gt;0,"Concluída com atraso","Concluída"),IF($R698="Em programação","Em programação",IF($O698="",IF($M698="","Na carteira","Falta a semana"),IF($AC698=1,"VENCIDA",IF($O698&gt;Hoje!$L$1,"Programada",IF($P698&gt;Hoje!$L$1,"Em execução","Fecha hoje"))))))))</f>
        <v/>
      </c>
      <c r="C698" s="41"/>
      <c r="D698" s="42"/>
      <c r="E698" s="42"/>
      <c r="F698" s="42"/>
      <c r="G698" s="43"/>
      <c r="H698" s="43"/>
      <c r="I698" s="44"/>
      <c r="J698" s="44"/>
      <c r="K698" s="44"/>
      <c r="L698" s="45"/>
      <c r="M698" s="46"/>
      <c r="N698" s="45"/>
      <c r="O698" s="47" t="str">
        <f aca="false">IF(OR($L698="",$M698=""),"",(DATE(Semana!$J$3,1,4)-WEEKDAY(DATE(Semana!$J$3,1,4),3))+($L698-1)*7+MATCH($M698,Listas!$F$5:$F$11,0)-1)</f>
        <v/>
      </c>
      <c r="P698" s="47" t="str">
        <f aca="false">IF(OR($F698="",$O698=""),"",$O698+MAX(0,ROUNDUP($AK698*MAX(1,IF($N698="",1,$N698))/MAX(1,$AL698),0)-1))</f>
        <v/>
      </c>
      <c r="Q698" s="48"/>
      <c r="R698" s="43"/>
      <c r="S698" s="49"/>
      <c r="T698" s="42"/>
      <c r="U698" s="42"/>
      <c r="V698" s="39" t="str">
        <f aca="false">IF($F698="","",IF(ISNUMBER(SEARCH("(externo)",$I698&amp;$J698&amp;$K698)),"Terceirizada","Interna"))</f>
        <v/>
      </c>
      <c r="W698" s="47" t="str">
        <f aca="false">IF($O698="","",IF($S698="",$O698,(DATE(Semana!$J$3,1,4)-WEEKDAY(DATE(Semana!$J$3,1,4),3))+($S698-1)*7+IF($M698="",0,MATCH($M698,Listas!$F$5:$F$11,0)-1)))</f>
        <v/>
      </c>
      <c r="X698" s="39" t="str">
        <f aca="false">IF($F698="","",IF(OR($AT698="",$O698=""),0,IF($AT698&lt;=$O698,1,0)))</f>
        <v/>
      </c>
      <c r="Y698" s="39" t="str">
        <f aca="false">IF($F698="","",IF(OR($AT698="",$W698=""),0,IF($AT698&lt;=$W698,1,0)))</f>
        <v/>
      </c>
      <c r="Z698" s="39" t="str">
        <f aca="false">IF(OR($AT698="",$O698=""),"",MAX(0,$AT698-$O698))</f>
        <v/>
      </c>
      <c r="AA698" s="39" t="str">
        <f aca="false">IF($F698="","",IF(AND($S698&lt;&gt;"",$L698&lt;&gt;"",$S698&lt;&gt;$L698),1,0))</f>
        <v/>
      </c>
      <c r="AB698" s="39" t="str">
        <f aca="false">IF($F698="","",IF($R698="Cancelada",0,IF(OR($AT698&lt;&gt;"",$R698="Concluída"),1,0)))</f>
        <v/>
      </c>
      <c r="AC698" s="39" t="n">
        <f aca="false">IF($P698="",0,IF($P698&lt;Hoje!$L$1,1,IF(AND($P698=Hoje!$L$1,Hoje!$L$2&gt;Semana!$M$3),1,0)))</f>
        <v>0</v>
      </c>
      <c r="AD698" s="39" t="str">
        <f aca="false">IF($F698="","",IF(COUNTA($I698:$K698)=0,0,1/COUNTA($I698:$K698)))</f>
        <v/>
      </c>
      <c r="AE698" s="39" t="str">
        <f aca="false">IF($AH698=0,"",SUM($AH$4:$AH698))</f>
        <v/>
      </c>
      <c r="AF698" s="39" t="str">
        <f aca="false">IF($AI698=0,"",SUM($AI$4:$AI698))</f>
        <v/>
      </c>
      <c r="AG698" s="50" t="str">
        <f aca="false">IF($F698="","",$I698&amp;IF($J698="",""," · "&amp;$J698)&amp;IF($K698="",""," · "&amp;$K698))</f>
        <v/>
      </c>
      <c r="AH698" s="39" t="n">
        <f aca="false">IF(AND($F698&lt;&gt;"",$O698&lt;&gt;"",$O698&lt;=Hoje!$C$3,$P698&gt;=Hoje!$C$3,$R698&lt;&gt;"Cancelada"),1,0)</f>
        <v>0</v>
      </c>
      <c r="AI698" s="39" t="n">
        <f aca="false">IF(AND($F698&lt;&gt;"",$P698&lt;&gt;"",$P698&lt;Hoje!$C$3,$AB698=0,$R698&lt;&gt;"Cancelada"),1,0)</f>
        <v>0</v>
      </c>
      <c r="AJ698" s="50" t="str">
        <f aca="false">IF($F698="","",$D698&amp;"|"&amp;$E698&amp;"|"&amp;$L698)</f>
        <v/>
      </c>
      <c r="AK698" s="39" t="str">
        <f aca="false">IF($AJ698="","",COUNTIF($AJ$4:$AJ698,$AJ698))</f>
        <v/>
      </c>
      <c r="AL698" s="39" t="str">
        <f aca="false">IF($AJ698="","",COUNTIF($AJ$4:$AJ$1004,$AJ698))</f>
        <v/>
      </c>
      <c r="AM698" s="42"/>
      <c r="AN698" s="50" t="str">
        <f aca="false">IF($D698="","",IFERROR(T(VLOOKUP($D698,Listas!$B$5:$H$120,7,0)),""))</f>
        <v/>
      </c>
      <c r="AO698" s="50" t="str">
        <f aca="false">IF(OR($F698="",$L698&lt;&gt;"",$R698="Cancelada",$AT698&lt;&gt;""),"",$AN698&amp;"|"&amp;$D698&amp;"|"&amp;IF($C698="","zzz",$C698)&amp;"|"&amp;TEXT(698,"0000"))</f>
        <v/>
      </c>
      <c r="AP698" s="50" t="str">
        <f aca="false">IF($AO698="","",COUNTIF($AO$5:$AO$1004,"&lt;"&amp;$AO698)-(ROWS($AO$5:$AO$1004)-Hoje!$L$5)+1)</f>
        <v/>
      </c>
      <c r="AQ698" s="50" t="n">
        <f aca="false">IF(AND($F698&lt;&gt;"",$D698=Frota!$C$3),1,0)</f>
        <v>0</v>
      </c>
      <c r="AR698" s="50" t="str">
        <f aca="false">IF($AQ698=0,"",SUM($AQ$4:$AQ698))</f>
        <v/>
      </c>
      <c r="AS698" s="50" t="str">
        <f aca="false">IFERROR(INDEX(Hoje!$K$10:$K$29,MATCH(ROW(),Hoje!$J$10:$J$29,0)),"")</f>
        <v/>
      </c>
      <c r="AT698" s="50" t="str">
        <f aca="false">IF($Q698&lt;&gt;"",$Q698,$AS698)</f>
        <v/>
      </c>
    </row>
    <row r="699" customFormat="false" ht="16.5" hidden="false" customHeight="true" outlineLevel="0" collapsed="false">
      <c r="A699" s="39" t="str">
        <f aca="false">IF($F699="","",ROW())</f>
        <v/>
      </c>
      <c r="B699" s="40" t="str">
        <f aca="false">IF($F699="",IF($D699="","","Falta a atividade"),IF($R699="Cancelada","Cancelada",IF($AB699=1,IF(N($Z699)&gt;0,"Concluída com atraso","Concluída"),IF($R699="Em programação","Em programação",IF($O699="",IF($M699="","Na carteira","Falta a semana"),IF($AC699=1,"VENCIDA",IF($O699&gt;Hoje!$L$1,"Programada",IF($P699&gt;Hoje!$L$1,"Em execução","Fecha hoje"))))))))</f>
        <v/>
      </c>
      <c r="C699" s="41"/>
      <c r="D699" s="42"/>
      <c r="E699" s="42"/>
      <c r="F699" s="42"/>
      <c r="G699" s="43"/>
      <c r="H699" s="43"/>
      <c r="I699" s="44"/>
      <c r="J699" s="44"/>
      <c r="K699" s="44"/>
      <c r="L699" s="45"/>
      <c r="M699" s="46"/>
      <c r="N699" s="45"/>
      <c r="O699" s="47" t="str">
        <f aca="false">IF(OR($L699="",$M699=""),"",(DATE(Semana!$J$3,1,4)-WEEKDAY(DATE(Semana!$J$3,1,4),3))+($L699-1)*7+MATCH($M699,Listas!$F$5:$F$11,0)-1)</f>
        <v/>
      </c>
      <c r="P699" s="47" t="str">
        <f aca="false">IF(OR($F699="",$O699=""),"",$O699+MAX(0,ROUNDUP($AK699*MAX(1,IF($N699="",1,$N699))/MAX(1,$AL699),0)-1))</f>
        <v/>
      </c>
      <c r="Q699" s="48"/>
      <c r="R699" s="43"/>
      <c r="S699" s="49"/>
      <c r="T699" s="42"/>
      <c r="U699" s="42"/>
      <c r="V699" s="39" t="str">
        <f aca="false">IF($F699="","",IF(ISNUMBER(SEARCH("(externo)",$I699&amp;$J699&amp;$K699)),"Terceirizada","Interna"))</f>
        <v/>
      </c>
      <c r="W699" s="47" t="str">
        <f aca="false">IF($O699="","",IF($S699="",$O699,(DATE(Semana!$J$3,1,4)-WEEKDAY(DATE(Semana!$J$3,1,4),3))+($S699-1)*7+IF($M699="",0,MATCH($M699,Listas!$F$5:$F$11,0)-1)))</f>
        <v/>
      </c>
      <c r="X699" s="39" t="str">
        <f aca="false">IF($F699="","",IF(OR($AT699="",$O699=""),0,IF($AT699&lt;=$O699,1,0)))</f>
        <v/>
      </c>
      <c r="Y699" s="39" t="str">
        <f aca="false">IF($F699="","",IF(OR($AT699="",$W699=""),0,IF($AT699&lt;=$W699,1,0)))</f>
        <v/>
      </c>
      <c r="Z699" s="39" t="str">
        <f aca="false">IF(OR($AT699="",$O699=""),"",MAX(0,$AT699-$O699))</f>
        <v/>
      </c>
      <c r="AA699" s="39" t="str">
        <f aca="false">IF($F699="","",IF(AND($S699&lt;&gt;"",$L699&lt;&gt;"",$S699&lt;&gt;$L699),1,0))</f>
        <v/>
      </c>
      <c r="AB699" s="39" t="str">
        <f aca="false">IF($F699="","",IF($R699="Cancelada",0,IF(OR($AT699&lt;&gt;"",$R699="Concluída"),1,0)))</f>
        <v/>
      </c>
      <c r="AC699" s="39" t="n">
        <f aca="false">IF($P699="",0,IF($P699&lt;Hoje!$L$1,1,IF(AND($P699=Hoje!$L$1,Hoje!$L$2&gt;Semana!$M$3),1,0)))</f>
        <v>0</v>
      </c>
      <c r="AD699" s="39" t="str">
        <f aca="false">IF($F699="","",IF(COUNTA($I699:$K699)=0,0,1/COUNTA($I699:$K699)))</f>
        <v/>
      </c>
      <c r="AE699" s="39" t="str">
        <f aca="false">IF($AH699=0,"",SUM($AH$4:$AH699))</f>
        <v/>
      </c>
      <c r="AF699" s="39" t="str">
        <f aca="false">IF($AI699=0,"",SUM($AI$4:$AI699))</f>
        <v/>
      </c>
      <c r="AG699" s="50" t="str">
        <f aca="false">IF($F699="","",$I699&amp;IF($J699="",""," · "&amp;$J699)&amp;IF($K699="",""," · "&amp;$K699))</f>
        <v/>
      </c>
      <c r="AH699" s="39" t="n">
        <f aca="false">IF(AND($F699&lt;&gt;"",$O699&lt;&gt;"",$O699&lt;=Hoje!$C$3,$P699&gt;=Hoje!$C$3,$R699&lt;&gt;"Cancelada"),1,0)</f>
        <v>0</v>
      </c>
      <c r="AI699" s="39" t="n">
        <f aca="false">IF(AND($F699&lt;&gt;"",$P699&lt;&gt;"",$P699&lt;Hoje!$C$3,$AB699=0,$R699&lt;&gt;"Cancelada"),1,0)</f>
        <v>0</v>
      </c>
      <c r="AJ699" s="50" t="str">
        <f aca="false">IF($F699="","",$D699&amp;"|"&amp;$E699&amp;"|"&amp;$L699)</f>
        <v/>
      </c>
      <c r="AK699" s="39" t="str">
        <f aca="false">IF($AJ699="","",COUNTIF($AJ$4:$AJ699,$AJ699))</f>
        <v/>
      </c>
      <c r="AL699" s="39" t="str">
        <f aca="false">IF($AJ699="","",COUNTIF($AJ$4:$AJ$1004,$AJ699))</f>
        <v/>
      </c>
      <c r="AM699" s="42"/>
      <c r="AN699" s="50" t="str">
        <f aca="false">IF($D699="","",IFERROR(T(VLOOKUP($D699,Listas!$B$5:$H$120,7,0)),""))</f>
        <v/>
      </c>
      <c r="AO699" s="50" t="str">
        <f aca="false">IF(OR($F699="",$L699&lt;&gt;"",$R699="Cancelada",$AT699&lt;&gt;""),"",$AN699&amp;"|"&amp;$D699&amp;"|"&amp;IF($C699="","zzz",$C699)&amp;"|"&amp;TEXT(699,"0000"))</f>
        <v/>
      </c>
      <c r="AP699" s="50" t="str">
        <f aca="false">IF($AO699="","",COUNTIF($AO$5:$AO$1004,"&lt;"&amp;$AO699)-(ROWS($AO$5:$AO$1004)-Hoje!$L$5)+1)</f>
        <v/>
      </c>
      <c r="AQ699" s="50" t="n">
        <f aca="false">IF(AND($F699&lt;&gt;"",$D699=Frota!$C$3),1,0)</f>
        <v>0</v>
      </c>
      <c r="AR699" s="50" t="str">
        <f aca="false">IF($AQ699=0,"",SUM($AQ$4:$AQ699))</f>
        <v/>
      </c>
      <c r="AS699" s="50" t="str">
        <f aca="false">IFERROR(INDEX(Hoje!$K$10:$K$29,MATCH(ROW(),Hoje!$J$10:$J$29,0)),"")</f>
        <v/>
      </c>
      <c r="AT699" s="50" t="str">
        <f aca="false">IF($Q699&lt;&gt;"",$Q699,$AS699)</f>
        <v/>
      </c>
    </row>
    <row r="700" customFormat="false" ht="16.5" hidden="false" customHeight="true" outlineLevel="0" collapsed="false">
      <c r="A700" s="39" t="str">
        <f aca="false">IF($F700="","",ROW())</f>
        <v/>
      </c>
      <c r="B700" s="40" t="str">
        <f aca="false">IF($F700="",IF($D700="","","Falta a atividade"),IF($R700="Cancelada","Cancelada",IF($AB700=1,IF(N($Z700)&gt;0,"Concluída com atraso","Concluída"),IF($R700="Em programação","Em programação",IF($O700="",IF($M700="","Na carteira","Falta a semana"),IF($AC700=1,"VENCIDA",IF($O700&gt;Hoje!$L$1,"Programada",IF($P700&gt;Hoje!$L$1,"Em execução","Fecha hoje"))))))))</f>
        <v/>
      </c>
      <c r="C700" s="41"/>
      <c r="D700" s="42"/>
      <c r="E700" s="42"/>
      <c r="F700" s="42"/>
      <c r="G700" s="43"/>
      <c r="H700" s="43"/>
      <c r="I700" s="44"/>
      <c r="J700" s="44"/>
      <c r="K700" s="44"/>
      <c r="L700" s="45"/>
      <c r="M700" s="46"/>
      <c r="N700" s="45"/>
      <c r="O700" s="47" t="str">
        <f aca="false">IF(OR($L700="",$M700=""),"",(DATE(Semana!$J$3,1,4)-WEEKDAY(DATE(Semana!$J$3,1,4),3))+($L700-1)*7+MATCH($M700,Listas!$F$5:$F$11,0)-1)</f>
        <v/>
      </c>
      <c r="P700" s="47" t="str">
        <f aca="false">IF(OR($F700="",$O700=""),"",$O700+MAX(0,ROUNDUP($AK700*MAX(1,IF($N700="",1,$N700))/MAX(1,$AL700),0)-1))</f>
        <v/>
      </c>
      <c r="Q700" s="48"/>
      <c r="R700" s="43"/>
      <c r="S700" s="49"/>
      <c r="T700" s="42"/>
      <c r="U700" s="42"/>
      <c r="V700" s="39" t="str">
        <f aca="false">IF($F700="","",IF(ISNUMBER(SEARCH("(externo)",$I700&amp;$J700&amp;$K700)),"Terceirizada","Interna"))</f>
        <v/>
      </c>
      <c r="W700" s="47" t="str">
        <f aca="false">IF($O700="","",IF($S700="",$O700,(DATE(Semana!$J$3,1,4)-WEEKDAY(DATE(Semana!$J$3,1,4),3))+($S700-1)*7+IF($M700="",0,MATCH($M700,Listas!$F$5:$F$11,0)-1)))</f>
        <v/>
      </c>
      <c r="X700" s="39" t="str">
        <f aca="false">IF($F700="","",IF(OR($AT700="",$O700=""),0,IF($AT700&lt;=$O700,1,0)))</f>
        <v/>
      </c>
      <c r="Y700" s="39" t="str">
        <f aca="false">IF($F700="","",IF(OR($AT700="",$W700=""),0,IF($AT700&lt;=$W700,1,0)))</f>
        <v/>
      </c>
      <c r="Z700" s="39" t="str">
        <f aca="false">IF(OR($AT700="",$O700=""),"",MAX(0,$AT700-$O700))</f>
        <v/>
      </c>
      <c r="AA700" s="39" t="str">
        <f aca="false">IF($F700="","",IF(AND($S700&lt;&gt;"",$L700&lt;&gt;"",$S700&lt;&gt;$L700),1,0))</f>
        <v/>
      </c>
      <c r="AB700" s="39" t="str">
        <f aca="false">IF($F700="","",IF($R700="Cancelada",0,IF(OR($AT700&lt;&gt;"",$R700="Concluída"),1,0)))</f>
        <v/>
      </c>
      <c r="AC700" s="39" t="n">
        <f aca="false">IF($P700="",0,IF($P700&lt;Hoje!$L$1,1,IF(AND($P700=Hoje!$L$1,Hoje!$L$2&gt;Semana!$M$3),1,0)))</f>
        <v>0</v>
      </c>
      <c r="AD700" s="39" t="str">
        <f aca="false">IF($F700="","",IF(COUNTA($I700:$K700)=0,0,1/COUNTA($I700:$K700)))</f>
        <v/>
      </c>
      <c r="AE700" s="39" t="str">
        <f aca="false">IF($AH700=0,"",SUM($AH$4:$AH700))</f>
        <v/>
      </c>
      <c r="AF700" s="39" t="str">
        <f aca="false">IF($AI700=0,"",SUM($AI$4:$AI700))</f>
        <v/>
      </c>
      <c r="AG700" s="50" t="str">
        <f aca="false">IF($F700="","",$I700&amp;IF($J700="",""," · "&amp;$J700)&amp;IF($K700="",""," · "&amp;$K700))</f>
        <v/>
      </c>
      <c r="AH700" s="39" t="n">
        <f aca="false">IF(AND($F700&lt;&gt;"",$O700&lt;&gt;"",$O700&lt;=Hoje!$C$3,$P700&gt;=Hoje!$C$3,$R700&lt;&gt;"Cancelada"),1,0)</f>
        <v>0</v>
      </c>
      <c r="AI700" s="39" t="n">
        <f aca="false">IF(AND($F700&lt;&gt;"",$P700&lt;&gt;"",$P700&lt;Hoje!$C$3,$AB700=0,$R700&lt;&gt;"Cancelada"),1,0)</f>
        <v>0</v>
      </c>
      <c r="AJ700" s="50" t="str">
        <f aca="false">IF($F700="","",$D700&amp;"|"&amp;$E700&amp;"|"&amp;$L700)</f>
        <v/>
      </c>
      <c r="AK700" s="39" t="str">
        <f aca="false">IF($AJ700="","",COUNTIF($AJ$4:$AJ700,$AJ700))</f>
        <v/>
      </c>
      <c r="AL700" s="39" t="str">
        <f aca="false">IF($AJ700="","",COUNTIF($AJ$4:$AJ$1004,$AJ700))</f>
        <v/>
      </c>
      <c r="AM700" s="42"/>
      <c r="AN700" s="50" t="str">
        <f aca="false">IF($D700="","",IFERROR(T(VLOOKUP($D700,Listas!$B$5:$H$120,7,0)),""))</f>
        <v/>
      </c>
      <c r="AO700" s="50" t="str">
        <f aca="false">IF(OR($F700="",$L700&lt;&gt;"",$R700="Cancelada",$AT700&lt;&gt;""),"",$AN700&amp;"|"&amp;$D700&amp;"|"&amp;IF($C700="","zzz",$C700)&amp;"|"&amp;TEXT(700,"0000"))</f>
        <v/>
      </c>
      <c r="AP700" s="50" t="str">
        <f aca="false">IF($AO700="","",COUNTIF($AO$5:$AO$1004,"&lt;"&amp;$AO700)-(ROWS($AO$5:$AO$1004)-Hoje!$L$5)+1)</f>
        <v/>
      </c>
      <c r="AQ700" s="50" t="n">
        <f aca="false">IF(AND($F700&lt;&gt;"",$D700=Frota!$C$3),1,0)</f>
        <v>0</v>
      </c>
      <c r="AR700" s="50" t="str">
        <f aca="false">IF($AQ700=0,"",SUM($AQ$4:$AQ700))</f>
        <v/>
      </c>
      <c r="AS700" s="50" t="str">
        <f aca="false">IFERROR(INDEX(Hoje!$K$10:$K$29,MATCH(ROW(),Hoje!$J$10:$J$29,0)),"")</f>
        <v/>
      </c>
      <c r="AT700" s="50" t="str">
        <f aca="false">IF($Q700&lt;&gt;"",$Q700,$AS700)</f>
        <v/>
      </c>
    </row>
    <row r="701" customFormat="false" ht="16.5" hidden="false" customHeight="true" outlineLevel="0" collapsed="false">
      <c r="A701" s="39" t="str">
        <f aca="false">IF($F701="","",ROW())</f>
        <v/>
      </c>
      <c r="B701" s="40" t="str">
        <f aca="false">IF($F701="",IF($D701="","","Falta a atividade"),IF($R701="Cancelada","Cancelada",IF($AB701=1,IF(N($Z701)&gt;0,"Concluída com atraso","Concluída"),IF($R701="Em programação","Em programação",IF($O701="",IF($M701="","Na carteira","Falta a semana"),IF($AC701=1,"VENCIDA",IF($O701&gt;Hoje!$L$1,"Programada",IF($P701&gt;Hoje!$L$1,"Em execução","Fecha hoje"))))))))</f>
        <v/>
      </c>
      <c r="C701" s="41"/>
      <c r="D701" s="42"/>
      <c r="E701" s="42"/>
      <c r="F701" s="42"/>
      <c r="G701" s="43"/>
      <c r="H701" s="43"/>
      <c r="I701" s="44"/>
      <c r="J701" s="44"/>
      <c r="K701" s="44"/>
      <c r="L701" s="45"/>
      <c r="M701" s="46"/>
      <c r="N701" s="45"/>
      <c r="O701" s="47" t="str">
        <f aca="false">IF(OR($L701="",$M701=""),"",(DATE(Semana!$J$3,1,4)-WEEKDAY(DATE(Semana!$J$3,1,4),3))+($L701-1)*7+MATCH($M701,Listas!$F$5:$F$11,0)-1)</f>
        <v/>
      </c>
      <c r="P701" s="47" t="str">
        <f aca="false">IF(OR($F701="",$O701=""),"",$O701+MAX(0,ROUNDUP($AK701*MAX(1,IF($N701="",1,$N701))/MAX(1,$AL701),0)-1))</f>
        <v/>
      </c>
      <c r="Q701" s="48"/>
      <c r="R701" s="43"/>
      <c r="S701" s="49"/>
      <c r="T701" s="42"/>
      <c r="U701" s="42"/>
      <c r="V701" s="39" t="str">
        <f aca="false">IF($F701="","",IF(ISNUMBER(SEARCH("(externo)",$I701&amp;$J701&amp;$K701)),"Terceirizada","Interna"))</f>
        <v/>
      </c>
      <c r="W701" s="47" t="str">
        <f aca="false">IF($O701="","",IF($S701="",$O701,(DATE(Semana!$J$3,1,4)-WEEKDAY(DATE(Semana!$J$3,1,4),3))+($S701-1)*7+IF($M701="",0,MATCH($M701,Listas!$F$5:$F$11,0)-1)))</f>
        <v/>
      </c>
      <c r="X701" s="39" t="str">
        <f aca="false">IF($F701="","",IF(OR($AT701="",$O701=""),0,IF($AT701&lt;=$O701,1,0)))</f>
        <v/>
      </c>
      <c r="Y701" s="39" t="str">
        <f aca="false">IF($F701="","",IF(OR($AT701="",$W701=""),0,IF($AT701&lt;=$W701,1,0)))</f>
        <v/>
      </c>
      <c r="Z701" s="39" t="str">
        <f aca="false">IF(OR($AT701="",$O701=""),"",MAX(0,$AT701-$O701))</f>
        <v/>
      </c>
      <c r="AA701" s="39" t="str">
        <f aca="false">IF($F701="","",IF(AND($S701&lt;&gt;"",$L701&lt;&gt;"",$S701&lt;&gt;$L701),1,0))</f>
        <v/>
      </c>
      <c r="AB701" s="39" t="str">
        <f aca="false">IF($F701="","",IF($R701="Cancelada",0,IF(OR($AT701&lt;&gt;"",$R701="Concluída"),1,0)))</f>
        <v/>
      </c>
      <c r="AC701" s="39" t="n">
        <f aca="false">IF($P701="",0,IF($P701&lt;Hoje!$L$1,1,IF(AND($P701=Hoje!$L$1,Hoje!$L$2&gt;Semana!$M$3),1,0)))</f>
        <v>0</v>
      </c>
      <c r="AD701" s="39" t="str">
        <f aca="false">IF($F701="","",IF(COUNTA($I701:$K701)=0,0,1/COUNTA($I701:$K701)))</f>
        <v/>
      </c>
      <c r="AE701" s="39" t="str">
        <f aca="false">IF($AH701=0,"",SUM($AH$4:$AH701))</f>
        <v/>
      </c>
      <c r="AF701" s="39" t="str">
        <f aca="false">IF($AI701=0,"",SUM($AI$4:$AI701))</f>
        <v/>
      </c>
      <c r="AG701" s="50" t="str">
        <f aca="false">IF($F701="","",$I701&amp;IF($J701="",""," · "&amp;$J701)&amp;IF($K701="",""," · "&amp;$K701))</f>
        <v/>
      </c>
      <c r="AH701" s="39" t="n">
        <f aca="false">IF(AND($F701&lt;&gt;"",$O701&lt;&gt;"",$O701&lt;=Hoje!$C$3,$P701&gt;=Hoje!$C$3,$R701&lt;&gt;"Cancelada"),1,0)</f>
        <v>0</v>
      </c>
      <c r="AI701" s="39" t="n">
        <f aca="false">IF(AND($F701&lt;&gt;"",$P701&lt;&gt;"",$P701&lt;Hoje!$C$3,$AB701=0,$R701&lt;&gt;"Cancelada"),1,0)</f>
        <v>0</v>
      </c>
      <c r="AJ701" s="50" t="str">
        <f aca="false">IF($F701="","",$D701&amp;"|"&amp;$E701&amp;"|"&amp;$L701)</f>
        <v/>
      </c>
      <c r="AK701" s="39" t="str">
        <f aca="false">IF($AJ701="","",COUNTIF($AJ$4:$AJ701,$AJ701))</f>
        <v/>
      </c>
      <c r="AL701" s="39" t="str">
        <f aca="false">IF($AJ701="","",COUNTIF($AJ$4:$AJ$1004,$AJ701))</f>
        <v/>
      </c>
      <c r="AM701" s="42"/>
      <c r="AN701" s="50" t="str">
        <f aca="false">IF($D701="","",IFERROR(T(VLOOKUP($D701,Listas!$B$5:$H$120,7,0)),""))</f>
        <v/>
      </c>
      <c r="AO701" s="50" t="str">
        <f aca="false">IF(OR($F701="",$L701&lt;&gt;"",$R701="Cancelada",$AT701&lt;&gt;""),"",$AN701&amp;"|"&amp;$D701&amp;"|"&amp;IF($C701="","zzz",$C701)&amp;"|"&amp;TEXT(701,"0000"))</f>
        <v/>
      </c>
      <c r="AP701" s="50" t="str">
        <f aca="false">IF($AO701="","",COUNTIF($AO$5:$AO$1004,"&lt;"&amp;$AO701)-(ROWS($AO$5:$AO$1004)-Hoje!$L$5)+1)</f>
        <v/>
      </c>
      <c r="AQ701" s="50" t="n">
        <f aca="false">IF(AND($F701&lt;&gt;"",$D701=Frota!$C$3),1,0)</f>
        <v>0</v>
      </c>
      <c r="AR701" s="50" t="str">
        <f aca="false">IF($AQ701=0,"",SUM($AQ$4:$AQ701))</f>
        <v/>
      </c>
      <c r="AS701" s="50" t="str">
        <f aca="false">IFERROR(INDEX(Hoje!$K$10:$K$29,MATCH(ROW(),Hoje!$J$10:$J$29,0)),"")</f>
        <v/>
      </c>
      <c r="AT701" s="50" t="str">
        <f aca="false">IF($Q701&lt;&gt;"",$Q701,$AS701)</f>
        <v/>
      </c>
    </row>
    <row r="702" customFormat="false" ht="16.5" hidden="false" customHeight="true" outlineLevel="0" collapsed="false">
      <c r="A702" s="39" t="str">
        <f aca="false">IF($F702="","",ROW())</f>
        <v/>
      </c>
      <c r="B702" s="40" t="str">
        <f aca="false">IF($F702="",IF($D702="","","Falta a atividade"),IF($R702="Cancelada","Cancelada",IF($AB702=1,IF(N($Z702)&gt;0,"Concluída com atraso","Concluída"),IF($R702="Em programação","Em programação",IF($O702="",IF($M702="","Na carteira","Falta a semana"),IF($AC702=1,"VENCIDA",IF($O702&gt;Hoje!$L$1,"Programada",IF($P702&gt;Hoje!$L$1,"Em execução","Fecha hoje"))))))))</f>
        <v/>
      </c>
      <c r="C702" s="41"/>
      <c r="D702" s="42"/>
      <c r="E702" s="42"/>
      <c r="F702" s="42"/>
      <c r="G702" s="43"/>
      <c r="H702" s="43"/>
      <c r="I702" s="44"/>
      <c r="J702" s="44"/>
      <c r="K702" s="44"/>
      <c r="L702" s="45"/>
      <c r="M702" s="46"/>
      <c r="N702" s="45"/>
      <c r="O702" s="47" t="str">
        <f aca="false">IF(OR($L702="",$M702=""),"",(DATE(Semana!$J$3,1,4)-WEEKDAY(DATE(Semana!$J$3,1,4),3))+($L702-1)*7+MATCH($M702,Listas!$F$5:$F$11,0)-1)</f>
        <v/>
      </c>
      <c r="P702" s="47" t="str">
        <f aca="false">IF(OR($F702="",$O702=""),"",$O702+MAX(0,ROUNDUP($AK702*MAX(1,IF($N702="",1,$N702))/MAX(1,$AL702),0)-1))</f>
        <v/>
      </c>
      <c r="Q702" s="48"/>
      <c r="R702" s="43"/>
      <c r="S702" s="49"/>
      <c r="T702" s="42"/>
      <c r="U702" s="42"/>
      <c r="V702" s="39" t="str">
        <f aca="false">IF($F702="","",IF(ISNUMBER(SEARCH("(externo)",$I702&amp;$J702&amp;$K702)),"Terceirizada","Interna"))</f>
        <v/>
      </c>
      <c r="W702" s="47" t="str">
        <f aca="false">IF($O702="","",IF($S702="",$O702,(DATE(Semana!$J$3,1,4)-WEEKDAY(DATE(Semana!$J$3,1,4),3))+($S702-1)*7+IF($M702="",0,MATCH($M702,Listas!$F$5:$F$11,0)-1)))</f>
        <v/>
      </c>
      <c r="X702" s="39" t="str">
        <f aca="false">IF($F702="","",IF(OR($AT702="",$O702=""),0,IF($AT702&lt;=$O702,1,0)))</f>
        <v/>
      </c>
      <c r="Y702" s="39" t="str">
        <f aca="false">IF($F702="","",IF(OR($AT702="",$W702=""),0,IF($AT702&lt;=$W702,1,0)))</f>
        <v/>
      </c>
      <c r="Z702" s="39" t="str">
        <f aca="false">IF(OR($AT702="",$O702=""),"",MAX(0,$AT702-$O702))</f>
        <v/>
      </c>
      <c r="AA702" s="39" t="str">
        <f aca="false">IF($F702="","",IF(AND($S702&lt;&gt;"",$L702&lt;&gt;"",$S702&lt;&gt;$L702),1,0))</f>
        <v/>
      </c>
      <c r="AB702" s="39" t="str">
        <f aca="false">IF($F702="","",IF($R702="Cancelada",0,IF(OR($AT702&lt;&gt;"",$R702="Concluída"),1,0)))</f>
        <v/>
      </c>
      <c r="AC702" s="39" t="n">
        <f aca="false">IF($P702="",0,IF($P702&lt;Hoje!$L$1,1,IF(AND($P702=Hoje!$L$1,Hoje!$L$2&gt;Semana!$M$3),1,0)))</f>
        <v>0</v>
      </c>
      <c r="AD702" s="39" t="str">
        <f aca="false">IF($F702="","",IF(COUNTA($I702:$K702)=0,0,1/COUNTA($I702:$K702)))</f>
        <v/>
      </c>
      <c r="AE702" s="39" t="str">
        <f aca="false">IF($AH702=0,"",SUM($AH$4:$AH702))</f>
        <v/>
      </c>
      <c r="AF702" s="39" t="str">
        <f aca="false">IF($AI702=0,"",SUM($AI$4:$AI702))</f>
        <v/>
      </c>
      <c r="AG702" s="50" t="str">
        <f aca="false">IF($F702="","",$I702&amp;IF($J702="",""," · "&amp;$J702)&amp;IF($K702="",""," · "&amp;$K702))</f>
        <v/>
      </c>
      <c r="AH702" s="39" t="n">
        <f aca="false">IF(AND($F702&lt;&gt;"",$O702&lt;&gt;"",$O702&lt;=Hoje!$C$3,$P702&gt;=Hoje!$C$3,$R702&lt;&gt;"Cancelada"),1,0)</f>
        <v>0</v>
      </c>
      <c r="AI702" s="39" t="n">
        <f aca="false">IF(AND($F702&lt;&gt;"",$P702&lt;&gt;"",$P702&lt;Hoje!$C$3,$AB702=0,$R702&lt;&gt;"Cancelada"),1,0)</f>
        <v>0</v>
      </c>
      <c r="AJ702" s="50" t="str">
        <f aca="false">IF($F702="","",$D702&amp;"|"&amp;$E702&amp;"|"&amp;$L702)</f>
        <v/>
      </c>
      <c r="AK702" s="39" t="str">
        <f aca="false">IF($AJ702="","",COUNTIF($AJ$4:$AJ702,$AJ702))</f>
        <v/>
      </c>
      <c r="AL702" s="39" t="str">
        <f aca="false">IF($AJ702="","",COUNTIF($AJ$4:$AJ$1004,$AJ702))</f>
        <v/>
      </c>
      <c r="AM702" s="42"/>
      <c r="AN702" s="50" t="str">
        <f aca="false">IF($D702="","",IFERROR(T(VLOOKUP($D702,Listas!$B$5:$H$120,7,0)),""))</f>
        <v/>
      </c>
      <c r="AO702" s="50" t="str">
        <f aca="false">IF(OR($F702="",$L702&lt;&gt;"",$R702="Cancelada",$AT702&lt;&gt;""),"",$AN702&amp;"|"&amp;$D702&amp;"|"&amp;IF($C702="","zzz",$C702)&amp;"|"&amp;TEXT(702,"0000"))</f>
        <v/>
      </c>
      <c r="AP702" s="50" t="str">
        <f aca="false">IF($AO702="","",COUNTIF($AO$5:$AO$1004,"&lt;"&amp;$AO702)-(ROWS($AO$5:$AO$1004)-Hoje!$L$5)+1)</f>
        <v/>
      </c>
      <c r="AQ702" s="50" t="n">
        <f aca="false">IF(AND($F702&lt;&gt;"",$D702=Frota!$C$3),1,0)</f>
        <v>0</v>
      </c>
      <c r="AR702" s="50" t="str">
        <f aca="false">IF($AQ702=0,"",SUM($AQ$4:$AQ702))</f>
        <v/>
      </c>
      <c r="AS702" s="50" t="str">
        <f aca="false">IFERROR(INDEX(Hoje!$K$10:$K$29,MATCH(ROW(),Hoje!$J$10:$J$29,0)),"")</f>
        <v/>
      </c>
      <c r="AT702" s="50" t="str">
        <f aca="false">IF($Q702&lt;&gt;"",$Q702,$AS702)</f>
        <v/>
      </c>
    </row>
    <row r="703" customFormat="false" ht="16.5" hidden="false" customHeight="true" outlineLevel="0" collapsed="false">
      <c r="A703" s="39" t="str">
        <f aca="false">IF($F703="","",ROW())</f>
        <v/>
      </c>
      <c r="B703" s="40" t="str">
        <f aca="false">IF($F703="",IF($D703="","","Falta a atividade"),IF($R703="Cancelada","Cancelada",IF($AB703=1,IF(N($Z703)&gt;0,"Concluída com atraso","Concluída"),IF($R703="Em programação","Em programação",IF($O703="",IF($M703="","Na carteira","Falta a semana"),IF($AC703=1,"VENCIDA",IF($O703&gt;Hoje!$L$1,"Programada",IF($P703&gt;Hoje!$L$1,"Em execução","Fecha hoje"))))))))</f>
        <v/>
      </c>
      <c r="C703" s="41"/>
      <c r="D703" s="42"/>
      <c r="E703" s="42"/>
      <c r="F703" s="42"/>
      <c r="G703" s="43"/>
      <c r="H703" s="43"/>
      <c r="I703" s="44"/>
      <c r="J703" s="44"/>
      <c r="K703" s="44"/>
      <c r="L703" s="45"/>
      <c r="M703" s="46"/>
      <c r="N703" s="45"/>
      <c r="O703" s="47" t="str">
        <f aca="false">IF(OR($L703="",$M703=""),"",(DATE(Semana!$J$3,1,4)-WEEKDAY(DATE(Semana!$J$3,1,4),3))+($L703-1)*7+MATCH($M703,Listas!$F$5:$F$11,0)-1)</f>
        <v/>
      </c>
      <c r="P703" s="47" t="str">
        <f aca="false">IF(OR($F703="",$O703=""),"",$O703+MAX(0,ROUNDUP($AK703*MAX(1,IF($N703="",1,$N703))/MAX(1,$AL703),0)-1))</f>
        <v/>
      </c>
      <c r="Q703" s="48"/>
      <c r="R703" s="43"/>
      <c r="S703" s="49"/>
      <c r="T703" s="42"/>
      <c r="U703" s="42"/>
      <c r="V703" s="39" t="str">
        <f aca="false">IF($F703="","",IF(ISNUMBER(SEARCH("(externo)",$I703&amp;$J703&amp;$K703)),"Terceirizada","Interna"))</f>
        <v/>
      </c>
      <c r="W703" s="47" t="str">
        <f aca="false">IF($O703="","",IF($S703="",$O703,(DATE(Semana!$J$3,1,4)-WEEKDAY(DATE(Semana!$J$3,1,4),3))+($S703-1)*7+IF($M703="",0,MATCH($M703,Listas!$F$5:$F$11,0)-1)))</f>
        <v/>
      </c>
      <c r="X703" s="39" t="str">
        <f aca="false">IF($F703="","",IF(OR($AT703="",$O703=""),0,IF($AT703&lt;=$O703,1,0)))</f>
        <v/>
      </c>
      <c r="Y703" s="39" t="str">
        <f aca="false">IF($F703="","",IF(OR($AT703="",$W703=""),0,IF($AT703&lt;=$W703,1,0)))</f>
        <v/>
      </c>
      <c r="Z703" s="39" t="str">
        <f aca="false">IF(OR($AT703="",$O703=""),"",MAX(0,$AT703-$O703))</f>
        <v/>
      </c>
      <c r="AA703" s="39" t="str">
        <f aca="false">IF($F703="","",IF(AND($S703&lt;&gt;"",$L703&lt;&gt;"",$S703&lt;&gt;$L703),1,0))</f>
        <v/>
      </c>
      <c r="AB703" s="39" t="str">
        <f aca="false">IF($F703="","",IF($R703="Cancelada",0,IF(OR($AT703&lt;&gt;"",$R703="Concluída"),1,0)))</f>
        <v/>
      </c>
      <c r="AC703" s="39" t="n">
        <f aca="false">IF($P703="",0,IF($P703&lt;Hoje!$L$1,1,IF(AND($P703=Hoje!$L$1,Hoje!$L$2&gt;Semana!$M$3),1,0)))</f>
        <v>0</v>
      </c>
      <c r="AD703" s="39" t="str">
        <f aca="false">IF($F703="","",IF(COUNTA($I703:$K703)=0,0,1/COUNTA($I703:$K703)))</f>
        <v/>
      </c>
      <c r="AE703" s="39" t="str">
        <f aca="false">IF($AH703=0,"",SUM($AH$4:$AH703))</f>
        <v/>
      </c>
      <c r="AF703" s="39" t="str">
        <f aca="false">IF($AI703=0,"",SUM($AI$4:$AI703))</f>
        <v/>
      </c>
      <c r="AG703" s="50" t="str">
        <f aca="false">IF($F703="","",$I703&amp;IF($J703="",""," · "&amp;$J703)&amp;IF($K703="",""," · "&amp;$K703))</f>
        <v/>
      </c>
      <c r="AH703" s="39" t="n">
        <f aca="false">IF(AND($F703&lt;&gt;"",$O703&lt;&gt;"",$O703&lt;=Hoje!$C$3,$P703&gt;=Hoje!$C$3,$R703&lt;&gt;"Cancelada"),1,0)</f>
        <v>0</v>
      </c>
      <c r="AI703" s="39" t="n">
        <f aca="false">IF(AND($F703&lt;&gt;"",$P703&lt;&gt;"",$P703&lt;Hoje!$C$3,$AB703=0,$R703&lt;&gt;"Cancelada"),1,0)</f>
        <v>0</v>
      </c>
      <c r="AJ703" s="50" t="str">
        <f aca="false">IF($F703="","",$D703&amp;"|"&amp;$E703&amp;"|"&amp;$L703)</f>
        <v/>
      </c>
      <c r="AK703" s="39" t="str">
        <f aca="false">IF($AJ703="","",COUNTIF($AJ$4:$AJ703,$AJ703))</f>
        <v/>
      </c>
      <c r="AL703" s="39" t="str">
        <f aca="false">IF($AJ703="","",COUNTIF($AJ$4:$AJ$1004,$AJ703))</f>
        <v/>
      </c>
      <c r="AM703" s="42"/>
      <c r="AN703" s="50" t="str">
        <f aca="false">IF($D703="","",IFERROR(T(VLOOKUP($D703,Listas!$B$5:$H$120,7,0)),""))</f>
        <v/>
      </c>
      <c r="AO703" s="50" t="str">
        <f aca="false">IF(OR($F703="",$L703&lt;&gt;"",$R703="Cancelada",$AT703&lt;&gt;""),"",$AN703&amp;"|"&amp;$D703&amp;"|"&amp;IF($C703="","zzz",$C703)&amp;"|"&amp;TEXT(703,"0000"))</f>
        <v/>
      </c>
      <c r="AP703" s="50" t="str">
        <f aca="false">IF($AO703="","",COUNTIF($AO$5:$AO$1004,"&lt;"&amp;$AO703)-(ROWS($AO$5:$AO$1004)-Hoje!$L$5)+1)</f>
        <v/>
      </c>
      <c r="AQ703" s="50" t="n">
        <f aca="false">IF(AND($F703&lt;&gt;"",$D703=Frota!$C$3),1,0)</f>
        <v>0</v>
      </c>
      <c r="AR703" s="50" t="str">
        <f aca="false">IF($AQ703=0,"",SUM($AQ$4:$AQ703))</f>
        <v/>
      </c>
      <c r="AS703" s="50" t="str">
        <f aca="false">IFERROR(INDEX(Hoje!$K$10:$K$29,MATCH(ROW(),Hoje!$J$10:$J$29,0)),"")</f>
        <v/>
      </c>
      <c r="AT703" s="50" t="str">
        <f aca="false">IF($Q703&lt;&gt;"",$Q703,$AS703)</f>
        <v/>
      </c>
    </row>
    <row r="704" customFormat="false" ht="16.5" hidden="false" customHeight="true" outlineLevel="0" collapsed="false">
      <c r="A704" s="39" t="str">
        <f aca="false">IF($F704="","",ROW())</f>
        <v/>
      </c>
      <c r="B704" s="40" t="str">
        <f aca="false">IF($F704="",IF($D704="","","Falta a atividade"),IF($R704="Cancelada","Cancelada",IF($AB704=1,IF(N($Z704)&gt;0,"Concluída com atraso","Concluída"),IF($R704="Em programação","Em programação",IF($O704="",IF($M704="","Na carteira","Falta a semana"),IF($AC704=1,"VENCIDA",IF($O704&gt;Hoje!$L$1,"Programada",IF($P704&gt;Hoje!$L$1,"Em execução","Fecha hoje"))))))))</f>
        <v/>
      </c>
      <c r="C704" s="41"/>
      <c r="D704" s="42"/>
      <c r="E704" s="42"/>
      <c r="F704" s="42"/>
      <c r="G704" s="43"/>
      <c r="H704" s="43"/>
      <c r="I704" s="44"/>
      <c r="J704" s="44"/>
      <c r="K704" s="44"/>
      <c r="L704" s="45"/>
      <c r="M704" s="46"/>
      <c r="N704" s="45"/>
      <c r="O704" s="47" t="str">
        <f aca="false">IF(OR($L704="",$M704=""),"",(DATE(Semana!$J$3,1,4)-WEEKDAY(DATE(Semana!$J$3,1,4),3))+($L704-1)*7+MATCH($M704,Listas!$F$5:$F$11,0)-1)</f>
        <v/>
      </c>
      <c r="P704" s="47" t="str">
        <f aca="false">IF(OR($F704="",$O704=""),"",$O704+MAX(0,ROUNDUP($AK704*MAX(1,IF($N704="",1,$N704))/MAX(1,$AL704),0)-1))</f>
        <v/>
      </c>
      <c r="Q704" s="48"/>
      <c r="R704" s="43"/>
      <c r="S704" s="49"/>
      <c r="T704" s="42"/>
      <c r="U704" s="42"/>
      <c r="V704" s="39" t="str">
        <f aca="false">IF($F704="","",IF(ISNUMBER(SEARCH("(externo)",$I704&amp;$J704&amp;$K704)),"Terceirizada","Interna"))</f>
        <v/>
      </c>
      <c r="W704" s="47" t="str">
        <f aca="false">IF($O704="","",IF($S704="",$O704,(DATE(Semana!$J$3,1,4)-WEEKDAY(DATE(Semana!$J$3,1,4),3))+($S704-1)*7+IF($M704="",0,MATCH($M704,Listas!$F$5:$F$11,0)-1)))</f>
        <v/>
      </c>
      <c r="X704" s="39" t="str">
        <f aca="false">IF($F704="","",IF(OR($AT704="",$O704=""),0,IF($AT704&lt;=$O704,1,0)))</f>
        <v/>
      </c>
      <c r="Y704" s="39" t="str">
        <f aca="false">IF($F704="","",IF(OR($AT704="",$W704=""),0,IF($AT704&lt;=$W704,1,0)))</f>
        <v/>
      </c>
      <c r="Z704" s="39" t="str">
        <f aca="false">IF(OR($AT704="",$O704=""),"",MAX(0,$AT704-$O704))</f>
        <v/>
      </c>
      <c r="AA704" s="39" t="str">
        <f aca="false">IF($F704="","",IF(AND($S704&lt;&gt;"",$L704&lt;&gt;"",$S704&lt;&gt;$L704),1,0))</f>
        <v/>
      </c>
      <c r="AB704" s="39" t="str">
        <f aca="false">IF($F704="","",IF($R704="Cancelada",0,IF(OR($AT704&lt;&gt;"",$R704="Concluída"),1,0)))</f>
        <v/>
      </c>
      <c r="AC704" s="39" t="n">
        <f aca="false">IF($P704="",0,IF($P704&lt;Hoje!$L$1,1,IF(AND($P704=Hoje!$L$1,Hoje!$L$2&gt;Semana!$M$3),1,0)))</f>
        <v>0</v>
      </c>
      <c r="AD704" s="39" t="str">
        <f aca="false">IF($F704="","",IF(COUNTA($I704:$K704)=0,0,1/COUNTA($I704:$K704)))</f>
        <v/>
      </c>
      <c r="AE704" s="39" t="str">
        <f aca="false">IF($AH704=0,"",SUM($AH$4:$AH704))</f>
        <v/>
      </c>
      <c r="AF704" s="39" t="str">
        <f aca="false">IF($AI704=0,"",SUM($AI$4:$AI704))</f>
        <v/>
      </c>
      <c r="AG704" s="50" t="str">
        <f aca="false">IF($F704="","",$I704&amp;IF($J704="",""," · "&amp;$J704)&amp;IF($K704="",""," · "&amp;$K704))</f>
        <v/>
      </c>
      <c r="AH704" s="39" t="n">
        <f aca="false">IF(AND($F704&lt;&gt;"",$O704&lt;&gt;"",$O704&lt;=Hoje!$C$3,$P704&gt;=Hoje!$C$3,$R704&lt;&gt;"Cancelada"),1,0)</f>
        <v>0</v>
      </c>
      <c r="AI704" s="39" t="n">
        <f aca="false">IF(AND($F704&lt;&gt;"",$P704&lt;&gt;"",$P704&lt;Hoje!$C$3,$AB704=0,$R704&lt;&gt;"Cancelada"),1,0)</f>
        <v>0</v>
      </c>
      <c r="AJ704" s="50" t="str">
        <f aca="false">IF($F704="","",$D704&amp;"|"&amp;$E704&amp;"|"&amp;$L704)</f>
        <v/>
      </c>
      <c r="AK704" s="39" t="str">
        <f aca="false">IF($AJ704="","",COUNTIF($AJ$4:$AJ704,$AJ704))</f>
        <v/>
      </c>
      <c r="AL704" s="39" t="str">
        <f aca="false">IF($AJ704="","",COUNTIF($AJ$4:$AJ$1004,$AJ704))</f>
        <v/>
      </c>
      <c r="AM704" s="42"/>
      <c r="AN704" s="50" t="str">
        <f aca="false">IF($D704="","",IFERROR(T(VLOOKUP($D704,Listas!$B$5:$H$120,7,0)),""))</f>
        <v/>
      </c>
      <c r="AO704" s="50" t="str">
        <f aca="false">IF(OR($F704="",$L704&lt;&gt;"",$R704="Cancelada",$AT704&lt;&gt;""),"",$AN704&amp;"|"&amp;$D704&amp;"|"&amp;IF($C704="","zzz",$C704)&amp;"|"&amp;TEXT(704,"0000"))</f>
        <v/>
      </c>
      <c r="AP704" s="50" t="str">
        <f aca="false">IF($AO704="","",COUNTIF($AO$5:$AO$1004,"&lt;"&amp;$AO704)-(ROWS($AO$5:$AO$1004)-Hoje!$L$5)+1)</f>
        <v/>
      </c>
      <c r="AQ704" s="50" t="n">
        <f aca="false">IF(AND($F704&lt;&gt;"",$D704=Frota!$C$3),1,0)</f>
        <v>0</v>
      </c>
      <c r="AR704" s="50" t="str">
        <f aca="false">IF($AQ704=0,"",SUM($AQ$4:$AQ704))</f>
        <v/>
      </c>
      <c r="AS704" s="50" t="str">
        <f aca="false">IFERROR(INDEX(Hoje!$K$10:$K$29,MATCH(ROW(),Hoje!$J$10:$J$29,0)),"")</f>
        <v/>
      </c>
      <c r="AT704" s="50" t="str">
        <f aca="false">IF($Q704&lt;&gt;"",$Q704,$AS704)</f>
        <v/>
      </c>
    </row>
    <row r="705" customFormat="false" ht="16.5" hidden="false" customHeight="true" outlineLevel="0" collapsed="false">
      <c r="A705" s="39" t="str">
        <f aca="false">IF($F705="","",ROW())</f>
        <v/>
      </c>
      <c r="B705" s="40" t="str">
        <f aca="false">IF($F705="",IF($D705="","","Falta a atividade"),IF($R705="Cancelada","Cancelada",IF($AB705=1,IF(N($Z705)&gt;0,"Concluída com atraso","Concluída"),IF($R705="Em programação","Em programação",IF($O705="",IF($M705="","Na carteira","Falta a semana"),IF($AC705=1,"VENCIDA",IF($O705&gt;Hoje!$L$1,"Programada",IF($P705&gt;Hoje!$L$1,"Em execução","Fecha hoje"))))))))</f>
        <v/>
      </c>
      <c r="C705" s="41"/>
      <c r="D705" s="42"/>
      <c r="E705" s="42"/>
      <c r="F705" s="42"/>
      <c r="G705" s="43"/>
      <c r="H705" s="43"/>
      <c r="I705" s="44"/>
      <c r="J705" s="44"/>
      <c r="K705" s="44"/>
      <c r="L705" s="45"/>
      <c r="M705" s="46"/>
      <c r="N705" s="45"/>
      <c r="O705" s="47" t="str">
        <f aca="false">IF(OR($L705="",$M705=""),"",(DATE(Semana!$J$3,1,4)-WEEKDAY(DATE(Semana!$J$3,1,4),3))+($L705-1)*7+MATCH($M705,Listas!$F$5:$F$11,0)-1)</f>
        <v/>
      </c>
      <c r="P705" s="47" t="str">
        <f aca="false">IF(OR($F705="",$O705=""),"",$O705+MAX(0,ROUNDUP($AK705*MAX(1,IF($N705="",1,$N705))/MAX(1,$AL705),0)-1))</f>
        <v/>
      </c>
      <c r="Q705" s="48"/>
      <c r="R705" s="43"/>
      <c r="S705" s="49"/>
      <c r="T705" s="42"/>
      <c r="U705" s="42"/>
      <c r="V705" s="39" t="str">
        <f aca="false">IF($F705="","",IF(ISNUMBER(SEARCH("(externo)",$I705&amp;$J705&amp;$K705)),"Terceirizada","Interna"))</f>
        <v/>
      </c>
      <c r="W705" s="47" t="str">
        <f aca="false">IF($O705="","",IF($S705="",$O705,(DATE(Semana!$J$3,1,4)-WEEKDAY(DATE(Semana!$J$3,1,4),3))+($S705-1)*7+IF($M705="",0,MATCH($M705,Listas!$F$5:$F$11,0)-1)))</f>
        <v/>
      </c>
      <c r="X705" s="39" t="str">
        <f aca="false">IF($F705="","",IF(OR($AT705="",$O705=""),0,IF($AT705&lt;=$O705,1,0)))</f>
        <v/>
      </c>
      <c r="Y705" s="39" t="str">
        <f aca="false">IF($F705="","",IF(OR($AT705="",$W705=""),0,IF($AT705&lt;=$W705,1,0)))</f>
        <v/>
      </c>
      <c r="Z705" s="39" t="str">
        <f aca="false">IF(OR($AT705="",$O705=""),"",MAX(0,$AT705-$O705))</f>
        <v/>
      </c>
      <c r="AA705" s="39" t="str">
        <f aca="false">IF($F705="","",IF(AND($S705&lt;&gt;"",$L705&lt;&gt;"",$S705&lt;&gt;$L705),1,0))</f>
        <v/>
      </c>
      <c r="AB705" s="39" t="str">
        <f aca="false">IF($F705="","",IF($R705="Cancelada",0,IF(OR($AT705&lt;&gt;"",$R705="Concluída"),1,0)))</f>
        <v/>
      </c>
      <c r="AC705" s="39" t="n">
        <f aca="false">IF($P705="",0,IF($P705&lt;Hoje!$L$1,1,IF(AND($P705=Hoje!$L$1,Hoje!$L$2&gt;Semana!$M$3),1,0)))</f>
        <v>0</v>
      </c>
      <c r="AD705" s="39" t="str">
        <f aca="false">IF($F705="","",IF(COUNTA($I705:$K705)=0,0,1/COUNTA($I705:$K705)))</f>
        <v/>
      </c>
      <c r="AE705" s="39" t="str">
        <f aca="false">IF($AH705=0,"",SUM($AH$4:$AH705))</f>
        <v/>
      </c>
      <c r="AF705" s="39" t="str">
        <f aca="false">IF($AI705=0,"",SUM($AI$4:$AI705))</f>
        <v/>
      </c>
      <c r="AG705" s="50" t="str">
        <f aca="false">IF($F705="","",$I705&amp;IF($J705="",""," · "&amp;$J705)&amp;IF($K705="",""," · "&amp;$K705))</f>
        <v/>
      </c>
      <c r="AH705" s="39" t="n">
        <f aca="false">IF(AND($F705&lt;&gt;"",$O705&lt;&gt;"",$O705&lt;=Hoje!$C$3,$P705&gt;=Hoje!$C$3,$R705&lt;&gt;"Cancelada"),1,0)</f>
        <v>0</v>
      </c>
      <c r="AI705" s="39" t="n">
        <f aca="false">IF(AND($F705&lt;&gt;"",$P705&lt;&gt;"",$P705&lt;Hoje!$C$3,$AB705=0,$R705&lt;&gt;"Cancelada"),1,0)</f>
        <v>0</v>
      </c>
      <c r="AJ705" s="50" t="str">
        <f aca="false">IF($F705="","",$D705&amp;"|"&amp;$E705&amp;"|"&amp;$L705)</f>
        <v/>
      </c>
      <c r="AK705" s="39" t="str">
        <f aca="false">IF($AJ705="","",COUNTIF($AJ$4:$AJ705,$AJ705))</f>
        <v/>
      </c>
      <c r="AL705" s="39" t="str">
        <f aca="false">IF($AJ705="","",COUNTIF($AJ$4:$AJ$1004,$AJ705))</f>
        <v/>
      </c>
      <c r="AM705" s="42"/>
      <c r="AN705" s="50" t="str">
        <f aca="false">IF($D705="","",IFERROR(T(VLOOKUP($D705,Listas!$B$5:$H$120,7,0)),""))</f>
        <v/>
      </c>
      <c r="AO705" s="50" t="str">
        <f aca="false">IF(OR($F705="",$L705&lt;&gt;"",$R705="Cancelada",$AT705&lt;&gt;""),"",$AN705&amp;"|"&amp;$D705&amp;"|"&amp;IF($C705="","zzz",$C705)&amp;"|"&amp;TEXT(705,"0000"))</f>
        <v/>
      </c>
      <c r="AP705" s="50" t="str">
        <f aca="false">IF($AO705="","",COUNTIF($AO$5:$AO$1004,"&lt;"&amp;$AO705)-(ROWS($AO$5:$AO$1004)-Hoje!$L$5)+1)</f>
        <v/>
      </c>
      <c r="AQ705" s="50" t="n">
        <f aca="false">IF(AND($F705&lt;&gt;"",$D705=Frota!$C$3),1,0)</f>
        <v>0</v>
      </c>
      <c r="AR705" s="50" t="str">
        <f aca="false">IF($AQ705=0,"",SUM($AQ$4:$AQ705))</f>
        <v/>
      </c>
      <c r="AS705" s="50" t="str">
        <f aca="false">IFERROR(INDEX(Hoje!$K$10:$K$29,MATCH(ROW(),Hoje!$J$10:$J$29,0)),"")</f>
        <v/>
      </c>
      <c r="AT705" s="50" t="str">
        <f aca="false">IF($Q705&lt;&gt;"",$Q705,$AS705)</f>
        <v/>
      </c>
    </row>
    <row r="706" customFormat="false" ht="16.5" hidden="false" customHeight="true" outlineLevel="0" collapsed="false">
      <c r="A706" s="39" t="str">
        <f aca="false">IF($F706="","",ROW())</f>
        <v/>
      </c>
      <c r="B706" s="40" t="str">
        <f aca="false">IF($F706="",IF($D706="","","Falta a atividade"),IF($R706="Cancelada","Cancelada",IF($AB706=1,IF(N($Z706)&gt;0,"Concluída com atraso","Concluída"),IF($R706="Em programação","Em programação",IF($O706="",IF($M706="","Na carteira","Falta a semana"),IF($AC706=1,"VENCIDA",IF($O706&gt;Hoje!$L$1,"Programada",IF($P706&gt;Hoje!$L$1,"Em execução","Fecha hoje"))))))))</f>
        <v/>
      </c>
      <c r="C706" s="41"/>
      <c r="D706" s="42"/>
      <c r="E706" s="42"/>
      <c r="F706" s="42"/>
      <c r="G706" s="43"/>
      <c r="H706" s="43"/>
      <c r="I706" s="44"/>
      <c r="J706" s="44"/>
      <c r="K706" s="44"/>
      <c r="L706" s="45"/>
      <c r="M706" s="46"/>
      <c r="N706" s="45"/>
      <c r="O706" s="47" t="str">
        <f aca="false">IF(OR($L706="",$M706=""),"",(DATE(Semana!$J$3,1,4)-WEEKDAY(DATE(Semana!$J$3,1,4),3))+($L706-1)*7+MATCH($M706,Listas!$F$5:$F$11,0)-1)</f>
        <v/>
      </c>
      <c r="P706" s="47" t="str">
        <f aca="false">IF(OR($F706="",$O706=""),"",$O706+MAX(0,ROUNDUP($AK706*MAX(1,IF($N706="",1,$N706))/MAX(1,$AL706),0)-1))</f>
        <v/>
      </c>
      <c r="Q706" s="48"/>
      <c r="R706" s="43"/>
      <c r="S706" s="49"/>
      <c r="T706" s="42"/>
      <c r="U706" s="42"/>
      <c r="V706" s="39" t="str">
        <f aca="false">IF($F706="","",IF(ISNUMBER(SEARCH("(externo)",$I706&amp;$J706&amp;$K706)),"Terceirizada","Interna"))</f>
        <v/>
      </c>
      <c r="W706" s="47" t="str">
        <f aca="false">IF($O706="","",IF($S706="",$O706,(DATE(Semana!$J$3,1,4)-WEEKDAY(DATE(Semana!$J$3,1,4),3))+($S706-1)*7+IF($M706="",0,MATCH($M706,Listas!$F$5:$F$11,0)-1)))</f>
        <v/>
      </c>
      <c r="X706" s="39" t="str">
        <f aca="false">IF($F706="","",IF(OR($AT706="",$O706=""),0,IF($AT706&lt;=$O706,1,0)))</f>
        <v/>
      </c>
      <c r="Y706" s="39" t="str">
        <f aca="false">IF($F706="","",IF(OR($AT706="",$W706=""),0,IF($AT706&lt;=$W706,1,0)))</f>
        <v/>
      </c>
      <c r="Z706" s="39" t="str">
        <f aca="false">IF(OR($AT706="",$O706=""),"",MAX(0,$AT706-$O706))</f>
        <v/>
      </c>
      <c r="AA706" s="39" t="str">
        <f aca="false">IF($F706="","",IF(AND($S706&lt;&gt;"",$L706&lt;&gt;"",$S706&lt;&gt;$L706),1,0))</f>
        <v/>
      </c>
      <c r="AB706" s="39" t="str">
        <f aca="false">IF($F706="","",IF($R706="Cancelada",0,IF(OR($AT706&lt;&gt;"",$R706="Concluída"),1,0)))</f>
        <v/>
      </c>
      <c r="AC706" s="39" t="n">
        <f aca="false">IF($P706="",0,IF($P706&lt;Hoje!$L$1,1,IF(AND($P706=Hoje!$L$1,Hoje!$L$2&gt;Semana!$M$3),1,0)))</f>
        <v>0</v>
      </c>
      <c r="AD706" s="39" t="str">
        <f aca="false">IF($F706="","",IF(COUNTA($I706:$K706)=0,0,1/COUNTA($I706:$K706)))</f>
        <v/>
      </c>
      <c r="AE706" s="39" t="str">
        <f aca="false">IF($AH706=0,"",SUM($AH$4:$AH706))</f>
        <v/>
      </c>
      <c r="AF706" s="39" t="str">
        <f aca="false">IF($AI706=0,"",SUM($AI$4:$AI706))</f>
        <v/>
      </c>
      <c r="AG706" s="50" t="str">
        <f aca="false">IF($F706="","",$I706&amp;IF($J706="",""," · "&amp;$J706)&amp;IF($K706="",""," · "&amp;$K706))</f>
        <v/>
      </c>
      <c r="AH706" s="39" t="n">
        <f aca="false">IF(AND($F706&lt;&gt;"",$O706&lt;&gt;"",$O706&lt;=Hoje!$C$3,$P706&gt;=Hoje!$C$3,$R706&lt;&gt;"Cancelada"),1,0)</f>
        <v>0</v>
      </c>
      <c r="AI706" s="39" t="n">
        <f aca="false">IF(AND($F706&lt;&gt;"",$P706&lt;&gt;"",$P706&lt;Hoje!$C$3,$AB706=0,$R706&lt;&gt;"Cancelada"),1,0)</f>
        <v>0</v>
      </c>
      <c r="AJ706" s="50" t="str">
        <f aca="false">IF($F706="","",$D706&amp;"|"&amp;$E706&amp;"|"&amp;$L706)</f>
        <v/>
      </c>
      <c r="AK706" s="39" t="str">
        <f aca="false">IF($AJ706="","",COUNTIF($AJ$4:$AJ706,$AJ706))</f>
        <v/>
      </c>
      <c r="AL706" s="39" t="str">
        <f aca="false">IF($AJ706="","",COUNTIF($AJ$4:$AJ$1004,$AJ706))</f>
        <v/>
      </c>
      <c r="AM706" s="42"/>
      <c r="AN706" s="50" t="str">
        <f aca="false">IF($D706="","",IFERROR(T(VLOOKUP($D706,Listas!$B$5:$H$120,7,0)),""))</f>
        <v/>
      </c>
      <c r="AO706" s="50" t="str">
        <f aca="false">IF(OR($F706="",$L706&lt;&gt;"",$R706="Cancelada",$AT706&lt;&gt;""),"",$AN706&amp;"|"&amp;$D706&amp;"|"&amp;IF($C706="","zzz",$C706)&amp;"|"&amp;TEXT(706,"0000"))</f>
        <v/>
      </c>
      <c r="AP706" s="50" t="str">
        <f aca="false">IF($AO706="","",COUNTIF($AO$5:$AO$1004,"&lt;"&amp;$AO706)-(ROWS($AO$5:$AO$1004)-Hoje!$L$5)+1)</f>
        <v/>
      </c>
      <c r="AQ706" s="50" t="n">
        <f aca="false">IF(AND($F706&lt;&gt;"",$D706=Frota!$C$3),1,0)</f>
        <v>0</v>
      </c>
      <c r="AR706" s="50" t="str">
        <f aca="false">IF($AQ706=0,"",SUM($AQ$4:$AQ706))</f>
        <v/>
      </c>
      <c r="AS706" s="50" t="str">
        <f aca="false">IFERROR(INDEX(Hoje!$K$10:$K$29,MATCH(ROW(),Hoje!$J$10:$J$29,0)),"")</f>
        <v/>
      </c>
      <c r="AT706" s="50" t="str">
        <f aca="false">IF($Q706&lt;&gt;"",$Q706,$AS706)</f>
        <v/>
      </c>
    </row>
    <row r="707" customFormat="false" ht="16.5" hidden="false" customHeight="true" outlineLevel="0" collapsed="false">
      <c r="A707" s="39" t="str">
        <f aca="false">IF($F707="","",ROW())</f>
        <v/>
      </c>
      <c r="B707" s="40" t="str">
        <f aca="false">IF($F707="",IF($D707="","","Falta a atividade"),IF($R707="Cancelada","Cancelada",IF($AB707=1,IF(N($Z707)&gt;0,"Concluída com atraso","Concluída"),IF($R707="Em programação","Em programação",IF($O707="",IF($M707="","Na carteira","Falta a semana"),IF($AC707=1,"VENCIDA",IF($O707&gt;Hoje!$L$1,"Programada",IF($P707&gt;Hoje!$L$1,"Em execução","Fecha hoje"))))))))</f>
        <v/>
      </c>
      <c r="C707" s="41"/>
      <c r="D707" s="42"/>
      <c r="E707" s="42"/>
      <c r="F707" s="42"/>
      <c r="G707" s="43"/>
      <c r="H707" s="43"/>
      <c r="I707" s="44"/>
      <c r="J707" s="44"/>
      <c r="K707" s="44"/>
      <c r="L707" s="45"/>
      <c r="M707" s="46"/>
      <c r="N707" s="45"/>
      <c r="O707" s="47" t="str">
        <f aca="false">IF(OR($L707="",$M707=""),"",(DATE(Semana!$J$3,1,4)-WEEKDAY(DATE(Semana!$J$3,1,4),3))+($L707-1)*7+MATCH($M707,Listas!$F$5:$F$11,0)-1)</f>
        <v/>
      </c>
      <c r="P707" s="47" t="str">
        <f aca="false">IF(OR($F707="",$O707=""),"",$O707+MAX(0,ROUNDUP($AK707*MAX(1,IF($N707="",1,$N707))/MAX(1,$AL707),0)-1))</f>
        <v/>
      </c>
      <c r="Q707" s="48"/>
      <c r="R707" s="43"/>
      <c r="S707" s="49"/>
      <c r="T707" s="42"/>
      <c r="U707" s="42"/>
      <c r="V707" s="39" t="str">
        <f aca="false">IF($F707="","",IF(ISNUMBER(SEARCH("(externo)",$I707&amp;$J707&amp;$K707)),"Terceirizada","Interna"))</f>
        <v/>
      </c>
      <c r="W707" s="47" t="str">
        <f aca="false">IF($O707="","",IF($S707="",$O707,(DATE(Semana!$J$3,1,4)-WEEKDAY(DATE(Semana!$J$3,1,4),3))+($S707-1)*7+IF($M707="",0,MATCH($M707,Listas!$F$5:$F$11,0)-1)))</f>
        <v/>
      </c>
      <c r="X707" s="39" t="str">
        <f aca="false">IF($F707="","",IF(OR($AT707="",$O707=""),0,IF($AT707&lt;=$O707,1,0)))</f>
        <v/>
      </c>
      <c r="Y707" s="39" t="str">
        <f aca="false">IF($F707="","",IF(OR($AT707="",$W707=""),0,IF($AT707&lt;=$W707,1,0)))</f>
        <v/>
      </c>
      <c r="Z707" s="39" t="str">
        <f aca="false">IF(OR($AT707="",$O707=""),"",MAX(0,$AT707-$O707))</f>
        <v/>
      </c>
      <c r="AA707" s="39" t="str">
        <f aca="false">IF($F707="","",IF(AND($S707&lt;&gt;"",$L707&lt;&gt;"",$S707&lt;&gt;$L707),1,0))</f>
        <v/>
      </c>
      <c r="AB707" s="39" t="str">
        <f aca="false">IF($F707="","",IF($R707="Cancelada",0,IF(OR($AT707&lt;&gt;"",$R707="Concluída"),1,0)))</f>
        <v/>
      </c>
      <c r="AC707" s="39" t="n">
        <f aca="false">IF($P707="",0,IF($P707&lt;Hoje!$L$1,1,IF(AND($P707=Hoje!$L$1,Hoje!$L$2&gt;Semana!$M$3),1,0)))</f>
        <v>0</v>
      </c>
      <c r="AD707" s="39" t="str">
        <f aca="false">IF($F707="","",IF(COUNTA($I707:$K707)=0,0,1/COUNTA($I707:$K707)))</f>
        <v/>
      </c>
      <c r="AE707" s="39" t="str">
        <f aca="false">IF($AH707=0,"",SUM($AH$4:$AH707))</f>
        <v/>
      </c>
      <c r="AF707" s="39" t="str">
        <f aca="false">IF($AI707=0,"",SUM($AI$4:$AI707))</f>
        <v/>
      </c>
      <c r="AG707" s="50" t="str">
        <f aca="false">IF($F707="","",$I707&amp;IF($J707="",""," · "&amp;$J707)&amp;IF($K707="",""," · "&amp;$K707))</f>
        <v/>
      </c>
      <c r="AH707" s="39" t="n">
        <f aca="false">IF(AND($F707&lt;&gt;"",$O707&lt;&gt;"",$O707&lt;=Hoje!$C$3,$P707&gt;=Hoje!$C$3,$R707&lt;&gt;"Cancelada"),1,0)</f>
        <v>0</v>
      </c>
      <c r="AI707" s="39" t="n">
        <f aca="false">IF(AND($F707&lt;&gt;"",$P707&lt;&gt;"",$P707&lt;Hoje!$C$3,$AB707=0,$R707&lt;&gt;"Cancelada"),1,0)</f>
        <v>0</v>
      </c>
      <c r="AJ707" s="50" t="str">
        <f aca="false">IF($F707="","",$D707&amp;"|"&amp;$E707&amp;"|"&amp;$L707)</f>
        <v/>
      </c>
      <c r="AK707" s="39" t="str">
        <f aca="false">IF($AJ707="","",COUNTIF($AJ$4:$AJ707,$AJ707))</f>
        <v/>
      </c>
      <c r="AL707" s="39" t="str">
        <f aca="false">IF($AJ707="","",COUNTIF($AJ$4:$AJ$1004,$AJ707))</f>
        <v/>
      </c>
      <c r="AM707" s="42"/>
      <c r="AN707" s="50" t="str">
        <f aca="false">IF($D707="","",IFERROR(T(VLOOKUP($D707,Listas!$B$5:$H$120,7,0)),""))</f>
        <v/>
      </c>
      <c r="AO707" s="50" t="str">
        <f aca="false">IF(OR($F707="",$L707&lt;&gt;"",$R707="Cancelada",$AT707&lt;&gt;""),"",$AN707&amp;"|"&amp;$D707&amp;"|"&amp;IF($C707="","zzz",$C707)&amp;"|"&amp;TEXT(707,"0000"))</f>
        <v/>
      </c>
      <c r="AP707" s="50" t="str">
        <f aca="false">IF($AO707="","",COUNTIF($AO$5:$AO$1004,"&lt;"&amp;$AO707)-(ROWS($AO$5:$AO$1004)-Hoje!$L$5)+1)</f>
        <v/>
      </c>
      <c r="AQ707" s="50" t="n">
        <f aca="false">IF(AND($F707&lt;&gt;"",$D707=Frota!$C$3),1,0)</f>
        <v>0</v>
      </c>
      <c r="AR707" s="50" t="str">
        <f aca="false">IF($AQ707=0,"",SUM($AQ$4:$AQ707))</f>
        <v/>
      </c>
      <c r="AS707" s="50" t="str">
        <f aca="false">IFERROR(INDEX(Hoje!$K$10:$K$29,MATCH(ROW(),Hoje!$J$10:$J$29,0)),"")</f>
        <v/>
      </c>
      <c r="AT707" s="50" t="str">
        <f aca="false">IF($Q707&lt;&gt;"",$Q707,$AS707)</f>
        <v/>
      </c>
    </row>
    <row r="708" customFormat="false" ht="16.5" hidden="false" customHeight="true" outlineLevel="0" collapsed="false">
      <c r="A708" s="39" t="str">
        <f aca="false">IF($F708="","",ROW())</f>
        <v/>
      </c>
      <c r="B708" s="40" t="str">
        <f aca="false">IF($F708="",IF($D708="","","Falta a atividade"),IF($R708="Cancelada","Cancelada",IF($AB708=1,IF(N($Z708)&gt;0,"Concluída com atraso","Concluída"),IF($R708="Em programação","Em programação",IF($O708="",IF($M708="","Na carteira","Falta a semana"),IF($AC708=1,"VENCIDA",IF($O708&gt;Hoje!$L$1,"Programada",IF($P708&gt;Hoje!$L$1,"Em execução","Fecha hoje"))))))))</f>
        <v/>
      </c>
      <c r="C708" s="41"/>
      <c r="D708" s="42"/>
      <c r="E708" s="42"/>
      <c r="F708" s="42"/>
      <c r="G708" s="43"/>
      <c r="H708" s="43"/>
      <c r="I708" s="44"/>
      <c r="J708" s="44"/>
      <c r="K708" s="44"/>
      <c r="L708" s="45"/>
      <c r="M708" s="46"/>
      <c r="N708" s="45"/>
      <c r="O708" s="47" t="str">
        <f aca="false">IF(OR($L708="",$M708=""),"",(DATE(Semana!$J$3,1,4)-WEEKDAY(DATE(Semana!$J$3,1,4),3))+($L708-1)*7+MATCH($M708,Listas!$F$5:$F$11,0)-1)</f>
        <v/>
      </c>
      <c r="P708" s="47" t="str">
        <f aca="false">IF(OR($F708="",$O708=""),"",$O708+MAX(0,ROUNDUP($AK708*MAX(1,IF($N708="",1,$N708))/MAX(1,$AL708),0)-1))</f>
        <v/>
      </c>
      <c r="Q708" s="48"/>
      <c r="R708" s="43"/>
      <c r="S708" s="49"/>
      <c r="T708" s="42"/>
      <c r="U708" s="42"/>
      <c r="V708" s="39" t="str">
        <f aca="false">IF($F708="","",IF(ISNUMBER(SEARCH("(externo)",$I708&amp;$J708&amp;$K708)),"Terceirizada","Interna"))</f>
        <v/>
      </c>
      <c r="W708" s="47" t="str">
        <f aca="false">IF($O708="","",IF($S708="",$O708,(DATE(Semana!$J$3,1,4)-WEEKDAY(DATE(Semana!$J$3,1,4),3))+($S708-1)*7+IF($M708="",0,MATCH($M708,Listas!$F$5:$F$11,0)-1)))</f>
        <v/>
      </c>
      <c r="X708" s="39" t="str">
        <f aca="false">IF($F708="","",IF(OR($AT708="",$O708=""),0,IF($AT708&lt;=$O708,1,0)))</f>
        <v/>
      </c>
      <c r="Y708" s="39" t="str">
        <f aca="false">IF($F708="","",IF(OR($AT708="",$W708=""),0,IF($AT708&lt;=$W708,1,0)))</f>
        <v/>
      </c>
      <c r="Z708" s="39" t="str">
        <f aca="false">IF(OR($AT708="",$O708=""),"",MAX(0,$AT708-$O708))</f>
        <v/>
      </c>
      <c r="AA708" s="39" t="str">
        <f aca="false">IF($F708="","",IF(AND($S708&lt;&gt;"",$L708&lt;&gt;"",$S708&lt;&gt;$L708),1,0))</f>
        <v/>
      </c>
      <c r="AB708" s="39" t="str">
        <f aca="false">IF($F708="","",IF($R708="Cancelada",0,IF(OR($AT708&lt;&gt;"",$R708="Concluída"),1,0)))</f>
        <v/>
      </c>
      <c r="AC708" s="39" t="n">
        <f aca="false">IF($P708="",0,IF($P708&lt;Hoje!$L$1,1,IF(AND($P708=Hoje!$L$1,Hoje!$L$2&gt;Semana!$M$3),1,0)))</f>
        <v>0</v>
      </c>
      <c r="AD708" s="39" t="str">
        <f aca="false">IF($F708="","",IF(COUNTA($I708:$K708)=0,0,1/COUNTA($I708:$K708)))</f>
        <v/>
      </c>
      <c r="AE708" s="39" t="str">
        <f aca="false">IF($AH708=0,"",SUM($AH$4:$AH708))</f>
        <v/>
      </c>
      <c r="AF708" s="39" t="str">
        <f aca="false">IF($AI708=0,"",SUM($AI$4:$AI708))</f>
        <v/>
      </c>
      <c r="AG708" s="50" t="str">
        <f aca="false">IF($F708="","",$I708&amp;IF($J708="",""," · "&amp;$J708)&amp;IF($K708="",""," · "&amp;$K708))</f>
        <v/>
      </c>
      <c r="AH708" s="39" t="n">
        <f aca="false">IF(AND($F708&lt;&gt;"",$O708&lt;&gt;"",$O708&lt;=Hoje!$C$3,$P708&gt;=Hoje!$C$3,$R708&lt;&gt;"Cancelada"),1,0)</f>
        <v>0</v>
      </c>
      <c r="AI708" s="39" t="n">
        <f aca="false">IF(AND($F708&lt;&gt;"",$P708&lt;&gt;"",$P708&lt;Hoje!$C$3,$AB708=0,$R708&lt;&gt;"Cancelada"),1,0)</f>
        <v>0</v>
      </c>
      <c r="AJ708" s="50" t="str">
        <f aca="false">IF($F708="","",$D708&amp;"|"&amp;$E708&amp;"|"&amp;$L708)</f>
        <v/>
      </c>
      <c r="AK708" s="39" t="str">
        <f aca="false">IF($AJ708="","",COUNTIF($AJ$4:$AJ708,$AJ708))</f>
        <v/>
      </c>
      <c r="AL708" s="39" t="str">
        <f aca="false">IF($AJ708="","",COUNTIF($AJ$4:$AJ$1004,$AJ708))</f>
        <v/>
      </c>
      <c r="AM708" s="42"/>
      <c r="AN708" s="50" t="str">
        <f aca="false">IF($D708="","",IFERROR(T(VLOOKUP($D708,Listas!$B$5:$H$120,7,0)),""))</f>
        <v/>
      </c>
      <c r="AO708" s="50" t="str">
        <f aca="false">IF(OR($F708="",$L708&lt;&gt;"",$R708="Cancelada",$AT708&lt;&gt;""),"",$AN708&amp;"|"&amp;$D708&amp;"|"&amp;IF($C708="","zzz",$C708)&amp;"|"&amp;TEXT(708,"0000"))</f>
        <v/>
      </c>
      <c r="AP708" s="50" t="str">
        <f aca="false">IF($AO708="","",COUNTIF($AO$5:$AO$1004,"&lt;"&amp;$AO708)-(ROWS($AO$5:$AO$1004)-Hoje!$L$5)+1)</f>
        <v/>
      </c>
      <c r="AQ708" s="50" t="n">
        <f aca="false">IF(AND($F708&lt;&gt;"",$D708=Frota!$C$3),1,0)</f>
        <v>0</v>
      </c>
      <c r="AR708" s="50" t="str">
        <f aca="false">IF($AQ708=0,"",SUM($AQ$4:$AQ708))</f>
        <v/>
      </c>
      <c r="AS708" s="50" t="str">
        <f aca="false">IFERROR(INDEX(Hoje!$K$10:$K$29,MATCH(ROW(),Hoje!$J$10:$J$29,0)),"")</f>
        <v/>
      </c>
      <c r="AT708" s="50" t="str">
        <f aca="false">IF($Q708&lt;&gt;"",$Q708,$AS708)</f>
        <v/>
      </c>
    </row>
    <row r="709" customFormat="false" ht="16.5" hidden="false" customHeight="true" outlineLevel="0" collapsed="false">
      <c r="A709" s="39" t="str">
        <f aca="false">IF($F709="","",ROW())</f>
        <v/>
      </c>
      <c r="B709" s="40" t="str">
        <f aca="false">IF($F709="",IF($D709="","","Falta a atividade"),IF($R709="Cancelada","Cancelada",IF($AB709=1,IF(N($Z709)&gt;0,"Concluída com atraso","Concluída"),IF($R709="Em programação","Em programação",IF($O709="",IF($M709="","Na carteira","Falta a semana"),IF($AC709=1,"VENCIDA",IF($O709&gt;Hoje!$L$1,"Programada",IF($P709&gt;Hoje!$L$1,"Em execução","Fecha hoje"))))))))</f>
        <v/>
      </c>
      <c r="C709" s="41"/>
      <c r="D709" s="42"/>
      <c r="E709" s="42"/>
      <c r="F709" s="42"/>
      <c r="G709" s="43"/>
      <c r="H709" s="43"/>
      <c r="I709" s="44"/>
      <c r="J709" s="44"/>
      <c r="K709" s="44"/>
      <c r="L709" s="45"/>
      <c r="M709" s="46"/>
      <c r="N709" s="45"/>
      <c r="O709" s="47" t="str">
        <f aca="false">IF(OR($L709="",$M709=""),"",(DATE(Semana!$J$3,1,4)-WEEKDAY(DATE(Semana!$J$3,1,4),3))+($L709-1)*7+MATCH($M709,Listas!$F$5:$F$11,0)-1)</f>
        <v/>
      </c>
      <c r="P709" s="47" t="str">
        <f aca="false">IF(OR($F709="",$O709=""),"",$O709+MAX(0,ROUNDUP($AK709*MAX(1,IF($N709="",1,$N709))/MAX(1,$AL709),0)-1))</f>
        <v/>
      </c>
      <c r="Q709" s="48"/>
      <c r="R709" s="43"/>
      <c r="S709" s="49"/>
      <c r="T709" s="42"/>
      <c r="U709" s="42"/>
      <c r="V709" s="39" t="str">
        <f aca="false">IF($F709="","",IF(ISNUMBER(SEARCH("(externo)",$I709&amp;$J709&amp;$K709)),"Terceirizada","Interna"))</f>
        <v/>
      </c>
      <c r="W709" s="47" t="str">
        <f aca="false">IF($O709="","",IF($S709="",$O709,(DATE(Semana!$J$3,1,4)-WEEKDAY(DATE(Semana!$J$3,1,4),3))+($S709-1)*7+IF($M709="",0,MATCH($M709,Listas!$F$5:$F$11,0)-1)))</f>
        <v/>
      </c>
      <c r="X709" s="39" t="str">
        <f aca="false">IF($F709="","",IF(OR($AT709="",$O709=""),0,IF($AT709&lt;=$O709,1,0)))</f>
        <v/>
      </c>
      <c r="Y709" s="39" t="str">
        <f aca="false">IF($F709="","",IF(OR($AT709="",$W709=""),0,IF($AT709&lt;=$W709,1,0)))</f>
        <v/>
      </c>
      <c r="Z709" s="39" t="str">
        <f aca="false">IF(OR($AT709="",$O709=""),"",MAX(0,$AT709-$O709))</f>
        <v/>
      </c>
      <c r="AA709" s="39" t="str">
        <f aca="false">IF($F709="","",IF(AND($S709&lt;&gt;"",$L709&lt;&gt;"",$S709&lt;&gt;$L709),1,0))</f>
        <v/>
      </c>
      <c r="AB709" s="39" t="str">
        <f aca="false">IF($F709="","",IF($R709="Cancelada",0,IF(OR($AT709&lt;&gt;"",$R709="Concluída"),1,0)))</f>
        <v/>
      </c>
      <c r="AC709" s="39" t="n">
        <f aca="false">IF($P709="",0,IF($P709&lt;Hoje!$L$1,1,IF(AND($P709=Hoje!$L$1,Hoje!$L$2&gt;Semana!$M$3),1,0)))</f>
        <v>0</v>
      </c>
      <c r="AD709" s="39" t="str">
        <f aca="false">IF($F709="","",IF(COUNTA($I709:$K709)=0,0,1/COUNTA($I709:$K709)))</f>
        <v/>
      </c>
      <c r="AE709" s="39" t="str">
        <f aca="false">IF($AH709=0,"",SUM($AH$4:$AH709))</f>
        <v/>
      </c>
      <c r="AF709" s="39" t="str">
        <f aca="false">IF($AI709=0,"",SUM($AI$4:$AI709))</f>
        <v/>
      </c>
      <c r="AG709" s="50" t="str">
        <f aca="false">IF($F709="","",$I709&amp;IF($J709="",""," · "&amp;$J709)&amp;IF($K709="",""," · "&amp;$K709))</f>
        <v/>
      </c>
      <c r="AH709" s="39" t="n">
        <f aca="false">IF(AND($F709&lt;&gt;"",$O709&lt;&gt;"",$O709&lt;=Hoje!$C$3,$P709&gt;=Hoje!$C$3,$R709&lt;&gt;"Cancelada"),1,0)</f>
        <v>0</v>
      </c>
      <c r="AI709" s="39" t="n">
        <f aca="false">IF(AND($F709&lt;&gt;"",$P709&lt;&gt;"",$P709&lt;Hoje!$C$3,$AB709=0,$R709&lt;&gt;"Cancelada"),1,0)</f>
        <v>0</v>
      </c>
      <c r="AJ709" s="50" t="str">
        <f aca="false">IF($F709="","",$D709&amp;"|"&amp;$E709&amp;"|"&amp;$L709)</f>
        <v/>
      </c>
      <c r="AK709" s="39" t="str">
        <f aca="false">IF($AJ709="","",COUNTIF($AJ$4:$AJ709,$AJ709))</f>
        <v/>
      </c>
      <c r="AL709" s="39" t="str">
        <f aca="false">IF($AJ709="","",COUNTIF($AJ$4:$AJ$1004,$AJ709))</f>
        <v/>
      </c>
      <c r="AM709" s="42"/>
      <c r="AN709" s="50" t="str">
        <f aca="false">IF($D709="","",IFERROR(T(VLOOKUP($D709,Listas!$B$5:$H$120,7,0)),""))</f>
        <v/>
      </c>
      <c r="AO709" s="50" t="str">
        <f aca="false">IF(OR($F709="",$L709&lt;&gt;"",$R709="Cancelada",$AT709&lt;&gt;""),"",$AN709&amp;"|"&amp;$D709&amp;"|"&amp;IF($C709="","zzz",$C709)&amp;"|"&amp;TEXT(709,"0000"))</f>
        <v/>
      </c>
      <c r="AP709" s="50" t="str">
        <f aca="false">IF($AO709="","",COUNTIF($AO$5:$AO$1004,"&lt;"&amp;$AO709)-(ROWS($AO$5:$AO$1004)-Hoje!$L$5)+1)</f>
        <v/>
      </c>
      <c r="AQ709" s="50" t="n">
        <f aca="false">IF(AND($F709&lt;&gt;"",$D709=Frota!$C$3),1,0)</f>
        <v>0</v>
      </c>
      <c r="AR709" s="50" t="str">
        <f aca="false">IF($AQ709=0,"",SUM($AQ$4:$AQ709))</f>
        <v/>
      </c>
      <c r="AS709" s="50" t="str">
        <f aca="false">IFERROR(INDEX(Hoje!$K$10:$K$29,MATCH(ROW(),Hoje!$J$10:$J$29,0)),"")</f>
        <v/>
      </c>
      <c r="AT709" s="50" t="str">
        <f aca="false">IF($Q709&lt;&gt;"",$Q709,$AS709)</f>
        <v/>
      </c>
    </row>
    <row r="710" customFormat="false" ht="16.5" hidden="false" customHeight="true" outlineLevel="0" collapsed="false">
      <c r="A710" s="39" t="str">
        <f aca="false">IF($F710="","",ROW())</f>
        <v/>
      </c>
      <c r="B710" s="40" t="str">
        <f aca="false">IF($F710="",IF($D710="","","Falta a atividade"),IF($R710="Cancelada","Cancelada",IF($AB710=1,IF(N($Z710)&gt;0,"Concluída com atraso","Concluída"),IF($R710="Em programação","Em programação",IF($O710="",IF($M710="","Na carteira","Falta a semana"),IF($AC710=1,"VENCIDA",IF($O710&gt;Hoje!$L$1,"Programada",IF($P710&gt;Hoje!$L$1,"Em execução","Fecha hoje"))))))))</f>
        <v/>
      </c>
      <c r="C710" s="41"/>
      <c r="D710" s="42"/>
      <c r="E710" s="42"/>
      <c r="F710" s="42"/>
      <c r="G710" s="43"/>
      <c r="H710" s="43"/>
      <c r="I710" s="44"/>
      <c r="J710" s="44"/>
      <c r="K710" s="44"/>
      <c r="L710" s="45"/>
      <c r="M710" s="46"/>
      <c r="N710" s="45"/>
      <c r="O710" s="47" t="str">
        <f aca="false">IF(OR($L710="",$M710=""),"",(DATE(Semana!$J$3,1,4)-WEEKDAY(DATE(Semana!$J$3,1,4),3))+($L710-1)*7+MATCH($M710,Listas!$F$5:$F$11,0)-1)</f>
        <v/>
      </c>
      <c r="P710" s="47" t="str">
        <f aca="false">IF(OR($F710="",$O710=""),"",$O710+MAX(0,ROUNDUP($AK710*MAX(1,IF($N710="",1,$N710))/MAX(1,$AL710),0)-1))</f>
        <v/>
      </c>
      <c r="Q710" s="48"/>
      <c r="R710" s="43"/>
      <c r="S710" s="49"/>
      <c r="T710" s="42"/>
      <c r="U710" s="42"/>
      <c r="V710" s="39" t="str">
        <f aca="false">IF($F710="","",IF(ISNUMBER(SEARCH("(externo)",$I710&amp;$J710&amp;$K710)),"Terceirizada","Interna"))</f>
        <v/>
      </c>
      <c r="W710" s="47" t="str">
        <f aca="false">IF($O710="","",IF($S710="",$O710,(DATE(Semana!$J$3,1,4)-WEEKDAY(DATE(Semana!$J$3,1,4),3))+($S710-1)*7+IF($M710="",0,MATCH($M710,Listas!$F$5:$F$11,0)-1)))</f>
        <v/>
      </c>
      <c r="X710" s="39" t="str">
        <f aca="false">IF($F710="","",IF(OR($AT710="",$O710=""),0,IF($AT710&lt;=$O710,1,0)))</f>
        <v/>
      </c>
      <c r="Y710" s="39" t="str">
        <f aca="false">IF($F710="","",IF(OR($AT710="",$W710=""),0,IF($AT710&lt;=$W710,1,0)))</f>
        <v/>
      </c>
      <c r="Z710" s="39" t="str">
        <f aca="false">IF(OR($AT710="",$O710=""),"",MAX(0,$AT710-$O710))</f>
        <v/>
      </c>
      <c r="AA710" s="39" t="str">
        <f aca="false">IF($F710="","",IF(AND($S710&lt;&gt;"",$L710&lt;&gt;"",$S710&lt;&gt;$L710),1,0))</f>
        <v/>
      </c>
      <c r="AB710" s="39" t="str">
        <f aca="false">IF($F710="","",IF($R710="Cancelada",0,IF(OR($AT710&lt;&gt;"",$R710="Concluída"),1,0)))</f>
        <v/>
      </c>
      <c r="AC710" s="39" t="n">
        <f aca="false">IF($P710="",0,IF($P710&lt;Hoje!$L$1,1,IF(AND($P710=Hoje!$L$1,Hoje!$L$2&gt;Semana!$M$3),1,0)))</f>
        <v>0</v>
      </c>
      <c r="AD710" s="39" t="str">
        <f aca="false">IF($F710="","",IF(COUNTA($I710:$K710)=0,0,1/COUNTA($I710:$K710)))</f>
        <v/>
      </c>
      <c r="AE710" s="39" t="str">
        <f aca="false">IF($AH710=0,"",SUM($AH$4:$AH710))</f>
        <v/>
      </c>
      <c r="AF710" s="39" t="str">
        <f aca="false">IF($AI710=0,"",SUM($AI$4:$AI710))</f>
        <v/>
      </c>
      <c r="AG710" s="50" t="str">
        <f aca="false">IF($F710="","",$I710&amp;IF($J710="",""," · "&amp;$J710)&amp;IF($K710="",""," · "&amp;$K710))</f>
        <v/>
      </c>
      <c r="AH710" s="39" t="n">
        <f aca="false">IF(AND($F710&lt;&gt;"",$O710&lt;&gt;"",$O710&lt;=Hoje!$C$3,$P710&gt;=Hoje!$C$3,$R710&lt;&gt;"Cancelada"),1,0)</f>
        <v>0</v>
      </c>
      <c r="AI710" s="39" t="n">
        <f aca="false">IF(AND($F710&lt;&gt;"",$P710&lt;&gt;"",$P710&lt;Hoje!$C$3,$AB710=0,$R710&lt;&gt;"Cancelada"),1,0)</f>
        <v>0</v>
      </c>
      <c r="AJ710" s="50" t="str">
        <f aca="false">IF($F710="","",$D710&amp;"|"&amp;$E710&amp;"|"&amp;$L710)</f>
        <v/>
      </c>
      <c r="AK710" s="39" t="str">
        <f aca="false">IF($AJ710="","",COUNTIF($AJ$4:$AJ710,$AJ710))</f>
        <v/>
      </c>
      <c r="AL710" s="39" t="str">
        <f aca="false">IF($AJ710="","",COUNTIF($AJ$4:$AJ$1004,$AJ710))</f>
        <v/>
      </c>
      <c r="AM710" s="42"/>
      <c r="AN710" s="50" t="str">
        <f aca="false">IF($D710="","",IFERROR(T(VLOOKUP($D710,Listas!$B$5:$H$120,7,0)),""))</f>
        <v/>
      </c>
      <c r="AO710" s="50" t="str">
        <f aca="false">IF(OR($F710="",$L710&lt;&gt;"",$R710="Cancelada",$AT710&lt;&gt;""),"",$AN710&amp;"|"&amp;$D710&amp;"|"&amp;IF($C710="","zzz",$C710)&amp;"|"&amp;TEXT(710,"0000"))</f>
        <v/>
      </c>
      <c r="AP710" s="50" t="str">
        <f aca="false">IF($AO710="","",COUNTIF($AO$5:$AO$1004,"&lt;"&amp;$AO710)-(ROWS($AO$5:$AO$1004)-Hoje!$L$5)+1)</f>
        <v/>
      </c>
      <c r="AQ710" s="50" t="n">
        <f aca="false">IF(AND($F710&lt;&gt;"",$D710=Frota!$C$3),1,0)</f>
        <v>0</v>
      </c>
      <c r="AR710" s="50" t="str">
        <f aca="false">IF($AQ710=0,"",SUM($AQ$4:$AQ710))</f>
        <v/>
      </c>
      <c r="AS710" s="50" t="str">
        <f aca="false">IFERROR(INDEX(Hoje!$K$10:$K$29,MATCH(ROW(),Hoje!$J$10:$J$29,0)),"")</f>
        <v/>
      </c>
      <c r="AT710" s="50" t="str">
        <f aca="false">IF($Q710&lt;&gt;"",$Q710,$AS710)</f>
        <v/>
      </c>
    </row>
    <row r="711" customFormat="false" ht="16.5" hidden="false" customHeight="true" outlineLevel="0" collapsed="false">
      <c r="A711" s="39" t="str">
        <f aca="false">IF($F711="","",ROW())</f>
        <v/>
      </c>
      <c r="B711" s="40" t="str">
        <f aca="false">IF($F711="",IF($D711="","","Falta a atividade"),IF($R711="Cancelada","Cancelada",IF($AB711=1,IF(N($Z711)&gt;0,"Concluída com atraso","Concluída"),IF($R711="Em programação","Em programação",IF($O711="",IF($M711="","Na carteira","Falta a semana"),IF($AC711=1,"VENCIDA",IF($O711&gt;Hoje!$L$1,"Programada",IF($P711&gt;Hoje!$L$1,"Em execução","Fecha hoje"))))))))</f>
        <v/>
      </c>
      <c r="C711" s="41"/>
      <c r="D711" s="42"/>
      <c r="E711" s="42"/>
      <c r="F711" s="42"/>
      <c r="G711" s="43"/>
      <c r="H711" s="43"/>
      <c r="I711" s="44"/>
      <c r="J711" s="44"/>
      <c r="K711" s="44"/>
      <c r="L711" s="45"/>
      <c r="M711" s="46"/>
      <c r="N711" s="45"/>
      <c r="O711" s="47" t="str">
        <f aca="false">IF(OR($L711="",$M711=""),"",(DATE(Semana!$J$3,1,4)-WEEKDAY(DATE(Semana!$J$3,1,4),3))+($L711-1)*7+MATCH($M711,Listas!$F$5:$F$11,0)-1)</f>
        <v/>
      </c>
      <c r="P711" s="47" t="str">
        <f aca="false">IF(OR($F711="",$O711=""),"",$O711+MAX(0,ROUNDUP($AK711*MAX(1,IF($N711="",1,$N711))/MAX(1,$AL711),0)-1))</f>
        <v/>
      </c>
      <c r="Q711" s="48"/>
      <c r="R711" s="43"/>
      <c r="S711" s="49"/>
      <c r="T711" s="42"/>
      <c r="U711" s="42"/>
      <c r="V711" s="39" t="str">
        <f aca="false">IF($F711="","",IF(ISNUMBER(SEARCH("(externo)",$I711&amp;$J711&amp;$K711)),"Terceirizada","Interna"))</f>
        <v/>
      </c>
      <c r="W711" s="47" t="str">
        <f aca="false">IF($O711="","",IF($S711="",$O711,(DATE(Semana!$J$3,1,4)-WEEKDAY(DATE(Semana!$J$3,1,4),3))+($S711-1)*7+IF($M711="",0,MATCH($M711,Listas!$F$5:$F$11,0)-1)))</f>
        <v/>
      </c>
      <c r="X711" s="39" t="str">
        <f aca="false">IF($F711="","",IF(OR($AT711="",$O711=""),0,IF($AT711&lt;=$O711,1,0)))</f>
        <v/>
      </c>
      <c r="Y711" s="39" t="str">
        <f aca="false">IF($F711="","",IF(OR($AT711="",$W711=""),0,IF($AT711&lt;=$W711,1,0)))</f>
        <v/>
      </c>
      <c r="Z711" s="39" t="str">
        <f aca="false">IF(OR($AT711="",$O711=""),"",MAX(0,$AT711-$O711))</f>
        <v/>
      </c>
      <c r="AA711" s="39" t="str">
        <f aca="false">IF($F711="","",IF(AND($S711&lt;&gt;"",$L711&lt;&gt;"",$S711&lt;&gt;$L711),1,0))</f>
        <v/>
      </c>
      <c r="AB711" s="39" t="str">
        <f aca="false">IF($F711="","",IF($R711="Cancelada",0,IF(OR($AT711&lt;&gt;"",$R711="Concluída"),1,0)))</f>
        <v/>
      </c>
      <c r="AC711" s="39" t="n">
        <f aca="false">IF($P711="",0,IF($P711&lt;Hoje!$L$1,1,IF(AND($P711=Hoje!$L$1,Hoje!$L$2&gt;Semana!$M$3),1,0)))</f>
        <v>0</v>
      </c>
      <c r="AD711" s="39" t="str">
        <f aca="false">IF($F711="","",IF(COUNTA($I711:$K711)=0,0,1/COUNTA($I711:$K711)))</f>
        <v/>
      </c>
      <c r="AE711" s="39" t="str">
        <f aca="false">IF($AH711=0,"",SUM($AH$4:$AH711))</f>
        <v/>
      </c>
      <c r="AF711" s="39" t="str">
        <f aca="false">IF($AI711=0,"",SUM($AI$4:$AI711))</f>
        <v/>
      </c>
      <c r="AG711" s="50" t="str">
        <f aca="false">IF($F711="","",$I711&amp;IF($J711="",""," · "&amp;$J711)&amp;IF($K711="",""," · "&amp;$K711))</f>
        <v/>
      </c>
      <c r="AH711" s="39" t="n">
        <f aca="false">IF(AND($F711&lt;&gt;"",$O711&lt;&gt;"",$O711&lt;=Hoje!$C$3,$P711&gt;=Hoje!$C$3,$R711&lt;&gt;"Cancelada"),1,0)</f>
        <v>0</v>
      </c>
      <c r="AI711" s="39" t="n">
        <f aca="false">IF(AND($F711&lt;&gt;"",$P711&lt;&gt;"",$P711&lt;Hoje!$C$3,$AB711=0,$R711&lt;&gt;"Cancelada"),1,0)</f>
        <v>0</v>
      </c>
      <c r="AJ711" s="50" t="str">
        <f aca="false">IF($F711="","",$D711&amp;"|"&amp;$E711&amp;"|"&amp;$L711)</f>
        <v/>
      </c>
      <c r="AK711" s="39" t="str">
        <f aca="false">IF($AJ711="","",COUNTIF($AJ$4:$AJ711,$AJ711))</f>
        <v/>
      </c>
      <c r="AL711" s="39" t="str">
        <f aca="false">IF($AJ711="","",COUNTIF($AJ$4:$AJ$1004,$AJ711))</f>
        <v/>
      </c>
      <c r="AM711" s="42"/>
      <c r="AN711" s="50" t="str">
        <f aca="false">IF($D711="","",IFERROR(T(VLOOKUP($D711,Listas!$B$5:$H$120,7,0)),""))</f>
        <v/>
      </c>
      <c r="AO711" s="50" t="str">
        <f aca="false">IF(OR($F711="",$L711&lt;&gt;"",$R711="Cancelada",$AT711&lt;&gt;""),"",$AN711&amp;"|"&amp;$D711&amp;"|"&amp;IF($C711="","zzz",$C711)&amp;"|"&amp;TEXT(711,"0000"))</f>
        <v/>
      </c>
      <c r="AP711" s="50" t="str">
        <f aca="false">IF($AO711="","",COUNTIF($AO$5:$AO$1004,"&lt;"&amp;$AO711)-(ROWS($AO$5:$AO$1004)-Hoje!$L$5)+1)</f>
        <v/>
      </c>
      <c r="AQ711" s="50" t="n">
        <f aca="false">IF(AND($F711&lt;&gt;"",$D711=Frota!$C$3),1,0)</f>
        <v>0</v>
      </c>
      <c r="AR711" s="50" t="str">
        <f aca="false">IF($AQ711=0,"",SUM($AQ$4:$AQ711))</f>
        <v/>
      </c>
      <c r="AS711" s="50" t="str">
        <f aca="false">IFERROR(INDEX(Hoje!$K$10:$K$29,MATCH(ROW(),Hoje!$J$10:$J$29,0)),"")</f>
        <v/>
      </c>
      <c r="AT711" s="50" t="str">
        <f aca="false">IF($Q711&lt;&gt;"",$Q711,$AS711)</f>
        <v/>
      </c>
    </row>
    <row r="712" customFormat="false" ht="16.5" hidden="false" customHeight="true" outlineLevel="0" collapsed="false">
      <c r="A712" s="39" t="str">
        <f aca="false">IF($F712="","",ROW())</f>
        <v/>
      </c>
      <c r="B712" s="40" t="str">
        <f aca="false">IF($F712="",IF($D712="","","Falta a atividade"),IF($R712="Cancelada","Cancelada",IF($AB712=1,IF(N($Z712)&gt;0,"Concluída com atraso","Concluída"),IF($R712="Em programação","Em programação",IF($O712="",IF($M712="","Na carteira","Falta a semana"),IF($AC712=1,"VENCIDA",IF($O712&gt;Hoje!$L$1,"Programada",IF($P712&gt;Hoje!$L$1,"Em execução","Fecha hoje"))))))))</f>
        <v/>
      </c>
      <c r="C712" s="41"/>
      <c r="D712" s="42"/>
      <c r="E712" s="42"/>
      <c r="F712" s="42"/>
      <c r="G712" s="43"/>
      <c r="H712" s="43"/>
      <c r="I712" s="44"/>
      <c r="J712" s="44"/>
      <c r="K712" s="44"/>
      <c r="L712" s="45"/>
      <c r="M712" s="46"/>
      <c r="N712" s="45"/>
      <c r="O712" s="47" t="str">
        <f aca="false">IF(OR($L712="",$M712=""),"",(DATE(Semana!$J$3,1,4)-WEEKDAY(DATE(Semana!$J$3,1,4),3))+($L712-1)*7+MATCH($M712,Listas!$F$5:$F$11,0)-1)</f>
        <v/>
      </c>
      <c r="P712" s="47" t="str">
        <f aca="false">IF(OR($F712="",$O712=""),"",$O712+MAX(0,ROUNDUP($AK712*MAX(1,IF($N712="",1,$N712))/MAX(1,$AL712),0)-1))</f>
        <v/>
      </c>
      <c r="Q712" s="48"/>
      <c r="R712" s="43"/>
      <c r="S712" s="49"/>
      <c r="T712" s="42"/>
      <c r="U712" s="42"/>
      <c r="V712" s="39" t="str">
        <f aca="false">IF($F712="","",IF(ISNUMBER(SEARCH("(externo)",$I712&amp;$J712&amp;$K712)),"Terceirizada","Interna"))</f>
        <v/>
      </c>
      <c r="W712" s="47" t="str">
        <f aca="false">IF($O712="","",IF($S712="",$O712,(DATE(Semana!$J$3,1,4)-WEEKDAY(DATE(Semana!$J$3,1,4),3))+($S712-1)*7+IF($M712="",0,MATCH($M712,Listas!$F$5:$F$11,0)-1)))</f>
        <v/>
      </c>
      <c r="X712" s="39" t="str">
        <f aca="false">IF($F712="","",IF(OR($AT712="",$O712=""),0,IF($AT712&lt;=$O712,1,0)))</f>
        <v/>
      </c>
      <c r="Y712" s="39" t="str">
        <f aca="false">IF($F712="","",IF(OR($AT712="",$W712=""),0,IF($AT712&lt;=$W712,1,0)))</f>
        <v/>
      </c>
      <c r="Z712" s="39" t="str">
        <f aca="false">IF(OR($AT712="",$O712=""),"",MAX(0,$AT712-$O712))</f>
        <v/>
      </c>
      <c r="AA712" s="39" t="str">
        <f aca="false">IF($F712="","",IF(AND($S712&lt;&gt;"",$L712&lt;&gt;"",$S712&lt;&gt;$L712),1,0))</f>
        <v/>
      </c>
      <c r="AB712" s="39" t="str">
        <f aca="false">IF($F712="","",IF($R712="Cancelada",0,IF(OR($AT712&lt;&gt;"",$R712="Concluída"),1,0)))</f>
        <v/>
      </c>
      <c r="AC712" s="39" t="n">
        <f aca="false">IF($P712="",0,IF($P712&lt;Hoje!$L$1,1,IF(AND($P712=Hoje!$L$1,Hoje!$L$2&gt;Semana!$M$3),1,0)))</f>
        <v>0</v>
      </c>
      <c r="AD712" s="39" t="str">
        <f aca="false">IF($F712="","",IF(COUNTA($I712:$K712)=0,0,1/COUNTA($I712:$K712)))</f>
        <v/>
      </c>
      <c r="AE712" s="39" t="str">
        <f aca="false">IF($AH712=0,"",SUM($AH$4:$AH712))</f>
        <v/>
      </c>
      <c r="AF712" s="39" t="str">
        <f aca="false">IF($AI712=0,"",SUM($AI$4:$AI712))</f>
        <v/>
      </c>
      <c r="AG712" s="50" t="str">
        <f aca="false">IF($F712="","",$I712&amp;IF($J712="",""," · "&amp;$J712)&amp;IF($K712="",""," · "&amp;$K712))</f>
        <v/>
      </c>
      <c r="AH712" s="39" t="n">
        <f aca="false">IF(AND($F712&lt;&gt;"",$O712&lt;&gt;"",$O712&lt;=Hoje!$C$3,$P712&gt;=Hoje!$C$3,$R712&lt;&gt;"Cancelada"),1,0)</f>
        <v>0</v>
      </c>
      <c r="AI712" s="39" t="n">
        <f aca="false">IF(AND($F712&lt;&gt;"",$P712&lt;&gt;"",$P712&lt;Hoje!$C$3,$AB712=0,$R712&lt;&gt;"Cancelada"),1,0)</f>
        <v>0</v>
      </c>
      <c r="AJ712" s="50" t="str">
        <f aca="false">IF($F712="","",$D712&amp;"|"&amp;$E712&amp;"|"&amp;$L712)</f>
        <v/>
      </c>
      <c r="AK712" s="39" t="str">
        <f aca="false">IF($AJ712="","",COUNTIF($AJ$4:$AJ712,$AJ712))</f>
        <v/>
      </c>
      <c r="AL712" s="39" t="str">
        <f aca="false">IF($AJ712="","",COUNTIF($AJ$4:$AJ$1004,$AJ712))</f>
        <v/>
      </c>
      <c r="AM712" s="42"/>
      <c r="AN712" s="50" t="str">
        <f aca="false">IF($D712="","",IFERROR(T(VLOOKUP($D712,Listas!$B$5:$H$120,7,0)),""))</f>
        <v/>
      </c>
      <c r="AO712" s="50" t="str">
        <f aca="false">IF(OR($F712="",$L712&lt;&gt;"",$R712="Cancelada",$AT712&lt;&gt;""),"",$AN712&amp;"|"&amp;$D712&amp;"|"&amp;IF($C712="","zzz",$C712)&amp;"|"&amp;TEXT(712,"0000"))</f>
        <v/>
      </c>
      <c r="AP712" s="50" t="str">
        <f aca="false">IF($AO712="","",COUNTIF($AO$5:$AO$1004,"&lt;"&amp;$AO712)-(ROWS($AO$5:$AO$1004)-Hoje!$L$5)+1)</f>
        <v/>
      </c>
      <c r="AQ712" s="50" t="n">
        <f aca="false">IF(AND($F712&lt;&gt;"",$D712=Frota!$C$3),1,0)</f>
        <v>0</v>
      </c>
      <c r="AR712" s="50" t="str">
        <f aca="false">IF($AQ712=0,"",SUM($AQ$4:$AQ712))</f>
        <v/>
      </c>
      <c r="AS712" s="50" t="str">
        <f aca="false">IFERROR(INDEX(Hoje!$K$10:$K$29,MATCH(ROW(),Hoje!$J$10:$J$29,0)),"")</f>
        <v/>
      </c>
      <c r="AT712" s="50" t="str">
        <f aca="false">IF($Q712&lt;&gt;"",$Q712,$AS712)</f>
        <v/>
      </c>
    </row>
    <row r="713" customFormat="false" ht="16.5" hidden="false" customHeight="true" outlineLevel="0" collapsed="false">
      <c r="A713" s="39" t="str">
        <f aca="false">IF($F713="","",ROW())</f>
        <v/>
      </c>
      <c r="B713" s="40" t="str">
        <f aca="false">IF($F713="",IF($D713="","","Falta a atividade"),IF($R713="Cancelada","Cancelada",IF($AB713=1,IF(N($Z713)&gt;0,"Concluída com atraso","Concluída"),IF($R713="Em programação","Em programação",IF($O713="",IF($M713="","Na carteira","Falta a semana"),IF($AC713=1,"VENCIDA",IF($O713&gt;Hoje!$L$1,"Programada",IF($P713&gt;Hoje!$L$1,"Em execução","Fecha hoje"))))))))</f>
        <v/>
      </c>
      <c r="C713" s="41"/>
      <c r="D713" s="42"/>
      <c r="E713" s="42"/>
      <c r="F713" s="42"/>
      <c r="G713" s="43"/>
      <c r="H713" s="43"/>
      <c r="I713" s="44"/>
      <c r="J713" s="44"/>
      <c r="K713" s="44"/>
      <c r="L713" s="45"/>
      <c r="M713" s="46"/>
      <c r="N713" s="45"/>
      <c r="O713" s="47" t="str">
        <f aca="false">IF(OR($L713="",$M713=""),"",(DATE(Semana!$J$3,1,4)-WEEKDAY(DATE(Semana!$J$3,1,4),3))+($L713-1)*7+MATCH($M713,Listas!$F$5:$F$11,0)-1)</f>
        <v/>
      </c>
      <c r="P713" s="47" t="str">
        <f aca="false">IF(OR($F713="",$O713=""),"",$O713+MAX(0,ROUNDUP($AK713*MAX(1,IF($N713="",1,$N713))/MAX(1,$AL713),0)-1))</f>
        <v/>
      </c>
      <c r="Q713" s="48"/>
      <c r="R713" s="43"/>
      <c r="S713" s="49"/>
      <c r="T713" s="42"/>
      <c r="U713" s="42"/>
      <c r="V713" s="39" t="str">
        <f aca="false">IF($F713="","",IF(ISNUMBER(SEARCH("(externo)",$I713&amp;$J713&amp;$K713)),"Terceirizada","Interna"))</f>
        <v/>
      </c>
      <c r="W713" s="47" t="str">
        <f aca="false">IF($O713="","",IF($S713="",$O713,(DATE(Semana!$J$3,1,4)-WEEKDAY(DATE(Semana!$J$3,1,4),3))+($S713-1)*7+IF($M713="",0,MATCH($M713,Listas!$F$5:$F$11,0)-1)))</f>
        <v/>
      </c>
      <c r="X713" s="39" t="str">
        <f aca="false">IF($F713="","",IF(OR($AT713="",$O713=""),0,IF($AT713&lt;=$O713,1,0)))</f>
        <v/>
      </c>
      <c r="Y713" s="39" t="str">
        <f aca="false">IF($F713="","",IF(OR($AT713="",$W713=""),0,IF($AT713&lt;=$W713,1,0)))</f>
        <v/>
      </c>
      <c r="Z713" s="39" t="str">
        <f aca="false">IF(OR($AT713="",$O713=""),"",MAX(0,$AT713-$O713))</f>
        <v/>
      </c>
      <c r="AA713" s="39" t="str">
        <f aca="false">IF($F713="","",IF(AND($S713&lt;&gt;"",$L713&lt;&gt;"",$S713&lt;&gt;$L713),1,0))</f>
        <v/>
      </c>
      <c r="AB713" s="39" t="str">
        <f aca="false">IF($F713="","",IF($R713="Cancelada",0,IF(OR($AT713&lt;&gt;"",$R713="Concluída"),1,0)))</f>
        <v/>
      </c>
      <c r="AC713" s="39" t="n">
        <f aca="false">IF($P713="",0,IF($P713&lt;Hoje!$L$1,1,IF(AND($P713=Hoje!$L$1,Hoje!$L$2&gt;Semana!$M$3),1,0)))</f>
        <v>0</v>
      </c>
      <c r="AD713" s="39" t="str">
        <f aca="false">IF($F713="","",IF(COUNTA($I713:$K713)=0,0,1/COUNTA($I713:$K713)))</f>
        <v/>
      </c>
      <c r="AE713" s="39" t="str">
        <f aca="false">IF($AH713=0,"",SUM($AH$4:$AH713))</f>
        <v/>
      </c>
      <c r="AF713" s="39" t="str">
        <f aca="false">IF($AI713=0,"",SUM($AI$4:$AI713))</f>
        <v/>
      </c>
      <c r="AG713" s="50" t="str">
        <f aca="false">IF($F713="","",$I713&amp;IF($J713="",""," · "&amp;$J713)&amp;IF($K713="",""," · "&amp;$K713))</f>
        <v/>
      </c>
      <c r="AH713" s="39" t="n">
        <f aca="false">IF(AND($F713&lt;&gt;"",$O713&lt;&gt;"",$O713&lt;=Hoje!$C$3,$P713&gt;=Hoje!$C$3,$R713&lt;&gt;"Cancelada"),1,0)</f>
        <v>0</v>
      </c>
      <c r="AI713" s="39" t="n">
        <f aca="false">IF(AND($F713&lt;&gt;"",$P713&lt;&gt;"",$P713&lt;Hoje!$C$3,$AB713=0,$R713&lt;&gt;"Cancelada"),1,0)</f>
        <v>0</v>
      </c>
      <c r="AJ713" s="50" t="str">
        <f aca="false">IF($F713="","",$D713&amp;"|"&amp;$E713&amp;"|"&amp;$L713)</f>
        <v/>
      </c>
      <c r="AK713" s="39" t="str">
        <f aca="false">IF($AJ713="","",COUNTIF($AJ$4:$AJ713,$AJ713))</f>
        <v/>
      </c>
      <c r="AL713" s="39" t="str">
        <f aca="false">IF($AJ713="","",COUNTIF($AJ$4:$AJ$1004,$AJ713))</f>
        <v/>
      </c>
      <c r="AM713" s="42"/>
      <c r="AN713" s="50" t="str">
        <f aca="false">IF($D713="","",IFERROR(T(VLOOKUP($D713,Listas!$B$5:$H$120,7,0)),""))</f>
        <v/>
      </c>
      <c r="AO713" s="50" t="str">
        <f aca="false">IF(OR($F713="",$L713&lt;&gt;"",$R713="Cancelada",$AT713&lt;&gt;""),"",$AN713&amp;"|"&amp;$D713&amp;"|"&amp;IF($C713="","zzz",$C713)&amp;"|"&amp;TEXT(713,"0000"))</f>
        <v/>
      </c>
      <c r="AP713" s="50" t="str">
        <f aca="false">IF($AO713="","",COUNTIF($AO$5:$AO$1004,"&lt;"&amp;$AO713)-(ROWS($AO$5:$AO$1004)-Hoje!$L$5)+1)</f>
        <v/>
      </c>
      <c r="AQ713" s="50" t="n">
        <f aca="false">IF(AND($F713&lt;&gt;"",$D713=Frota!$C$3),1,0)</f>
        <v>0</v>
      </c>
      <c r="AR713" s="50" t="str">
        <f aca="false">IF($AQ713=0,"",SUM($AQ$4:$AQ713))</f>
        <v/>
      </c>
      <c r="AS713" s="50" t="str">
        <f aca="false">IFERROR(INDEX(Hoje!$K$10:$K$29,MATCH(ROW(),Hoje!$J$10:$J$29,0)),"")</f>
        <v/>
      </c>
      <c r="AT713" s="50" t="str">
        <f aca="false">IF($Q713&lt;&gt;"",$Q713,$AS713)</f>
        <v/>
      </c>
    </row>
    <row r="714" customFormat="false" ht="16.5" hidden="false" customHeight="true" outlineLevel="0" collapsed="false">
      <c r="A714" s="39" t="str">
        <f aca="false">IF($F714="","",ROW())</f>
        <v/>
      </c>
      <c r="B714" s="40" t="str">
        <f aca="false">IF($F714="",IF($D714="","","Falta a atividade"),IF($R714="Cancelada","Cancelada",IF($AB714=1,IF(N($Z714)&gt;0,"Concluída com atraso","Concluída"),IF($R714="Em programação","Em programação",IF($O714="",IF($M714="","Na carteira","Falta a semana"),IF($AC714=1,"VENCIDA",IF($O714&gt;Hoje!$L$1,"Programada",IF($P714&gt;Hoje!$L$1,"Em execução","Fecha hoje"))))))))</f>
        <v/>
      </c>
      <c r="C714" s="41"/>
      <c r="D714" s="42"/>
      <c r="E714" s="42"/>
      <c r="F714" s="42"/>
      <c r="G714" s="43"/>
      <c r="H714" s="43"/>
      <c r="I714" s="44"/>
      <c r="J714" s="44"/>
      <c r="K714" s="44"/>
      <c r="L714" s="45"/>
      <c r="M714" s="46"/>
      <c r="N714" s="45"/>
      <c r="O714" s="47" t="str">
        <f aca="false">IF(OR($L714="",$M714=""),"",(DATE(Semana!$J$3,1,4)-WEEKDAY(DATE(Semana!$J$3,1,4),3))+($L714-1)*7+MATCH($M714,Listas!$F$5:$F$11,0)-1)</f>
        <v/>
      </c>
      <c r="P714" s="47" t="str">
        <f aca="false">IF(OR($F714="",$O714=""),"",$O714+MAX(0,ROUNDUP($AK714*MAX(1,IF($N714="",1,$N714))/MAX(1,$AL714),0)-1))</f>
        <v/>
      </c>
      <c r="Q714" s="48"/>
      <c r="R714" s="43"/>
      <c r="S714" s="49"/>
      <c r="T714" s="42"/>
      <c r="U714" s="42"/>
      <c r="V714" s="39" t="str">
        <f aca="false">IF($F714="","",IF(ISNUMBER(SEARCH("(externo)",$I714&amp;$J714&amp;$K714)),"Terceirizada","Interna"))</f>
        <v/>
      </c>
      <c r="W714" s="47" t="str">
        <f aca="false">IF($O714="","",IF($S714="",$O714,(DATE(Semana!$J$3,1,4)-WEEKDAY(DATE(Semana!$J$3,1,4),3))+($S714-1)*7+IF($M714="",0,MATCH($M714,Listas!$F$5:$F$11,0)-1)))</f>
        <v/>
      </c>
      <c r="X714" s="39" t="str">
        <f aca="false">IF($F714="","",IF(OR($AT714="",$O714=""),0,IF($AT714&lt;=$O714,1,0)))</f>
        <v/>
      </c>
      <c r="Y714" s="39" t="str">
        <f aca="false">IF($F714="","",IF(OR($AT714="",$W714=""),0,IF($AT714&lt;=$W714,1,0)))</f>
        <v/>
      </c>
      <c r="Z714" s="39" t="str">
        <f aca="false">IF(OR($AT714="",$O714=""),"",MAX(0,$AT714-$O714))</f>
        <v/>
      </c>
      <c r="AA714" s="39" t="str">
        <f aca="false">IF($F714="","",IF(AND($S714&lt;&gt;"",$L714&lt;&gt;"",$S714&lt;&gt;$L714),1,0))</f>
        <v/>
      </c>
      <c r="AB714" s="39" t="str">
        <f aca="false">IF($F714="","",IF($R714="Cancelada",0,IF(OR($AT714&lt;&gt;"",$R714="Concluída"),1,0)))</f>
        <v/>
      </c>
      <c r="AC714" s="39" t="n">
        <f aca="false">IF($P714="",0,IF($P714&lt;Hoje!$L$1,1,IF(AND($P714=Hoje!$L$1,Hoje!$L$2&gt;Semana!$M$3),1,0)))</f>
        <v>0</v>
      </c>
      <c r="AD714" s="39" t="str">
        <f aca="false">IF($F714="","",IF(COUNTA($I714:$K714)=0,0,1/COUNTA($I714:$K714)))</f>
        <v/>
      </c>
      <c r="AE714" s="39" t="str">
        <f aca="false">IF($AH714=0,"",SUM($AH$4:$AH714))</f>
        <v/>
      </c>
      <c r="AF714" s="39" t="str">
        <f aca="false">IF($AI714=0,"",SUM($AI$4:$AI714))</f>
        <v/>
      </c>
      <c r="AG714" s="50" t="str">
        <f aca="false">IF($F714="","",$I714&amp;IF($J714="",""," · "&amp;$J714)&amp;IF($K714="",""," · "&amp;$K714))</f>
        <v/>
      </c>
      <c r="AH714" s="39" t="n">
        <f aca="false">IF(AND($F714&lt;&gt;"",$O714&lt;&gt;"",$O714&lt;=Hoje!$C$3,$P714&gt;=Hoje!$C$3,$R714&lt;&gt;"Cancelada"),1,0)</f>
        <v>0</v>
      </c>
      <c r="AI714" s="39" t="n">
        <f aca="false">IF(AND($F714&lt;&gt;"",$P714&lt;&gt;"",$P714&lt;Hoje!$C$3,$AB714=0,$R714&lt;&gt;"Cancelada"),1,0)</f>
        <v>0</v>
      </c>
      <c r="AJ714" s="50" t="str">
        <f aca="false">IF($F714="","",$D714&amp;"|"&amp;$E714&amp;"|"&amp;$L714)</f>
        <v/>
      </c>
      <c r="AK714" s="39" t="str">
        <f aca="false">IF($AJ714="","",COUNTIF($AJ$4:$AJ714,$AJ714))</f>
        <v/>
      </c>
      <c r="AL714" s="39" t="str">
        <f aca="false">IF($AJ714="","",COUNTIF($AJ$4:$AJ$1004,$AJ714))</f>
        <v/>
      </c>
      <c r="AM714" s="42"/>
      <c r="AN714" s="50" t="str">
        <f aca="false">IF($D714="","",IFERROR(T(VLOOKUP($D714,Listas!$B$5:$H$120,7,0)),""))</f>
        <v/>
      </c>
      <c r="AO714" s="50" t="str">
        <f aca="false">IF(OR($F714="",$L714&lt;&gt;"",$R714="Cancelada",$AT714&lt;&gt;""),"",$AN714&amp;"|"&amp;$D714&amp;"|"&amp;IF($C714="","zzz",$C714)&amp;"|"&amp;TEXT(714,"0000"))</f>
        <v/>
      </c>
      <c r="AP714" s="50" t="str">
        <f aca="false">IF($AO714="","",COUNTIF($AO$5:$AO$1004,"&lt;"&amp;$AO714)-(ROWS($AO$5:$AO$1004)-Hoje!$L$5)+1)</f>
        <v/>
      </c>
      <c r="AQ714" s="50" t="n">
        <f aca="false">IF(AND($F714&lt;&gt;"",$D714=Frota!$C$3),1,0)</f>
        <v>0</v>
      </c>
      <c r="AR714" s="50" t="str">
        <f aca="false">IF($AQ714=0,"",SUM($AQ$4:$AQ714))</f>
        <v/>
      </c>
      <c r="AS714" s="50" t="str">
        <f aca="false">IFERROR(INDEX(Hoje!$K$10:$K$29,MATCH(ROW(),Hoje!$J$10:$J$29,0)),"")</f>
        <v/>
      </c>
      <c r="AT714" s="50" t="str">
        <f aca="false">IF($Q714&lt;&gt;"",$Q714,$AS714)</f>
        <v/>
      </c>
    </row>
    <row r="715" customFormat="false" ht="16.5" hidden="false" customHeight="true" outlineLevel="0" collapsed="false">
      <c r="A715" s="39" t="str">
        <f aca="false">IF($F715="","",ROW())</f>
        <v/>
      </c>
      <c r="B715" s="40" t="str">
        <f aca="false">IF($F715="",IF($D715="","","Falta a atividade"),IF($R715="Cancelada","Cancelada",IF($AB715=1,IF(N($Z715)&gt;0,"Concluída com atraso","Concluída"),IF($R715="Em programação","Em programação",IF($O715="",IF($M715="","Na carteira","Falta a semana"),IF($AC715=1,"VENCIDA",IF($O715&gt;Hoje!$L$1,"Programada",IF($P715&gt;Hoje!$L$1,"Em execução","Fecha hoje"))))))))</f>
        <v/>
      </c>
      <c r="C715" s="41"/>
      <c r="D715" s="42"/>
      <c r="E715" s="42"/>
      <c r="F715" s="42"/>
      <c r="G715" s="43"/>
      <c r="H715" s="43"/>
      <c r="I715" s="44"/>
      <c r="J715" s="44"/>
      <c r="K715" s="44"/>
      <c r="L715" s="45"/>
      <c r="M715" s="46"/>
      <c r="N715" s="45"/>
      <c r="O715" s="47" t="str">
        <f aca="false">IF(OR($L715="",$M715=""),"",(DATE(Semana!$J$3,1,4)-WEEKDAY(DATE(Semana!$J$3,1,4),3))+($L715-1)*7+MATCH($M715,Listas!$F$5:$F$11,0)-1)</f>
        <v/>
      </c>
      <c r="P715" s="47" t="str">
        <f aca="false">IF(OR($F715="",$O715=""),"",$O715+MAX(0,ROUNDUP($AK715*MAX(1,IF($N715="",1,$N715))/MAX(1,$AL715),0)-1))</f>
        <v/>
      </c>
      <c r="Q715" s="48"/>
      <c r="R715" s="43"/>
      <c r="S715" s="49"/>
      <c r="T715" s="42"/>
      <c r="U715" s="42"/>
      <c r="V715" s="39" t="str">
        <f aca="false">IF($F715="","",IF(ISNUMBER(SEARCH("(externo)",$I715&amp;$J715&amp;$K715)),"Terceirizada","Interna"))</f>
        <v/>
      </c>
      <c r="W715" s="47" t="str">
        <f aca="false">IF($O715="","",IF($S715="",$O715,(DATE(Semana!$J$3,1,4)-WEEKDAY(DATE(Semana!$J$3,1,4),3))+($S715-1)*7+IF($M715="",0,MATCH($M715,Listas!$F$5:$F$11,0)-1)))</f>
        <v/>
      </c>
      <c r="X715" s="39" t="str">
        <f aca="false">IF($F715="","",IF(OR($AT715="",$O715=""),0,IF($AT715&lt;=$O715,1,0)))</f>
        <v/>
      </c>
      <c r="Y715" s="39" t="str">
        <f aca="false">IF($F715="","",IF(OR($AT715="",$W715=""),0,IF($AT715&lt;=$W715,1,0)))</f>
        <v/>
      </c>
      <c r="Z715" s="39" t="str">
        <f aca="false">IF(OR($AT715="",$O715=""),"",MAX(0,$AT715-$O715))</f>
        <v/>
      </c>
      <c r="AA715" s="39" t="str">
        <f aca="false">IF($F715="","",IF(AND($S715&lt;&gt;"",$L715&lt;&gt;"",$S715&lt;&gt;$L715),1,0))</f>
        <v/>
      </c>
      <c r="AB715" s="39" t="str">
        <f aca="false">IF($F715="","",IF($R715="Cancelada",0,IF(OR($AT715&lt;&gt;"",$R715="Concluída"),1,0)))</f>
        <v/>
      </c>
      <c r="AC715" s="39" t="n">
        <f aca="false">IF($P715="",0,IF($P715&lt;Hoje!$L$1,1,IF(AND($P715=Hoje!$L$1,Hoje!$L$2&gt;Semana!$M$3),1,0)))</f>
        <v>0</v>
      </c>
      <c r="AD715" s="39" t="str">
        <f aca="false">IF($F715="","",IF(COUNTA($I715:$K715)=0,0,1/COUNTA($I715:$K715)))</f>
        <v/>
      </c>
      <c r="AE715" s="39" t="str">
        <f aca="false">IF($AH715=0,"",SUM($AH$4:$AH715))</f>
        <v/>
      </c>
      <c r="AF715" s="39" t="str">
        <f aca="false">IF($AI715=0,"",SUM($AI$4:$AI715))</f>
        <v/>
      </c>
      <c r="AG715" s="50" t="str">
        <f aca="false">IF($F715="","",$I715&amp;IF($J715="",""," · "&amp;$J715)&amp;IF($K715="",""," · "&amp;$K715))</f>
        <v/>
      </c>
      <c r="AH715" s="39" t="n">
        <f aca="false">IF(AND($F715&lt;&gt;"",$O715&lt;&gt;"",$O715&lt;=Hoje!$C$3,$P715&gt;=Hoje!$C$3,$R715&lt;&gt;"Cancelada"),1,0)</f>
        <v>0</v>
      </c>
      <c r="AI715" s="39" t="n">
        <f aca="false">IF(AND($F715&lt;&gt;"",$P715&lt;&gt;"",$P715&lt;Hoje!$C$3,$AB715=0,$R715&lt;&gt;"Cancelada"),1,0)</f>
        <v>0</v>
      </c>
      <c r="AJ715" s="50" t="str">
        <f aca="false">IF($F715="","",$D715&amp;"|"&amp;$E715&amp;"|"&amp;$L715)</f>
        <v/>
      </c>
      <c r="AK715" s="39" t="str">
        <f aca="false">IF($AJ715="","",COUNTIF($AJ$4:$AJ715,$AJ715))</f>
        <v/>
      </c>
      <c r="AL715" s="39" t="str">
        <f aca="false">IF($AJ715="","",COUNTIF($AJ$4:$AJ$1004,$AJ715))</f>
        <v/>
      </c>
      <c r="AM715" s="42"/>
      <c r="AN715" s="50" t="str">
        <f aca="false">IF($D715="","",IFERROR(T(VLOOKUP($D715,Listas!$B$5:$H$120,7,0)),""))</f>
        <v/>
      </c>
      <c r="AO715" s="50" t="str">
        <f aca="false">IF(OR($F715="",$L715&lt;&gt;"",$R715="Cancelada",$AT715&lt;&gt;""),"",$AN715&amp;"|"&amp;$D715&amp;"|"&amp;IF($C715="","zzz",$C715)&amp;"|"&amp;TEXT(715,"0000"))</f>
        <v/>
      </c>
      <c r="AP715" s="50" t="str">
        <f aca="false">IF($AO715="","",COUNTIF($AO$5:$AO$1004,"&lt;"&amp;$AO715)-(ROWS($AO$5:$AO$1004)-Hoje!$L$5)+1)</f>
        <v/>
      </c>
      <c r="AQ715" s="50" t="n">
        <f aca="false">IF(AND($F715&lt;&gt;"",$D715=Frota!$C$3),1,0)</f>
        <v>0</v>
      </c>
      <c r="AR715" s="50" t="str">
        <f aca="false">IF($AQ715=0,"",SUM($AQ$4:$AQ715))</f>
        <v/>
      </c>
      <c r="AS715" s="50" t="str">
        <f aca="false">IFERROR(INDEX(Hoje!$K$10:$K$29,MATCH(ROW(),Hoje!$J$10:$J$29,0)),"")</f>
        <v/>
      </c>
      <c r="AT715" s="50" t="str">
        <f aca="false">IF($Q715&lt;&gt;"",$Q715,$AS715)</f>
        <v/>
      </c>
    </row>
    <row r="716" customFormat="false" ht="16.5" hidden="false" customHeight="true" outlineLevel="0" collapsed="false">
      <c r="A716" s="39" t="str">
        <f aca="false">IF($F716="","",ROW())</f>
        <v/>
      </c>
      <c r="B716" s="40" t="str">
        <f aca="false">IF($F716="",IF($D716="","","Falta a atividade"),IF($R716="Cancelada","Cancelada",IF($AB716=1,IF(N($Z716)&gt;0,"Concluída com atraso","Concluída"),IF($R716="Em programação","Em programação",IF($O716="",IF($M716="","Na carteira","Falta a semana"),IF($AC716=1,"VENCIDA",IF($O716&gt;Hoje!$L$1,"Programada",IF($P716&gt;Hoje!$L$1,"Em execução","Fecha hoje"))))))))</f>
        <v/>
      </c>
      <c r="C716" s="41"/>
      <c r="D716" s="42"/>
      <c r="E716" s="42"/>
      <c r="F716" s="42"/>
      <c r="G716" s="43"/>
      <c r="H716" s="43"/>
      <c r="I716" s="44"/>
      <c r="J716" s="44"/>
      <c r="K716" s="44"/>
      <c r="L716" s="45"/>
      <c r="M716" s="46"/>
      <c r="N716" s="45"/>
      <c r="O716" s="47" t="str">
        <f aca="false">IF(OR($L716="",$M716=""),"",(DATE(Semana!$J$3,1,4)-WEEKDAY(DATE(Semana!$J$3,1,4),3))+($L716-1)*7+MATCH($M716,Listas!$F$5:$F$11,0)-1)</f>
        <v/>
      </c>
      <c r="P716" s="47" t="str">
        <f aca="false">IF(OR($F716="",$O716=""),"",$O716+MAX(0,ROUNDUP($AK716*MAX(1,IF($N716="",1,$N716))/MAX(1,$AL716),0)-1))</f>
        <v/>
      </c>
      <c r="Q716" s="48"/>
      <c r="R716" s="43"/>
      <c r="S716" s="49"/>
      <c r="T716" s="42"/>
      <c r="U716" s="42"/>
      <c r="V716" s="39" t="str">
        <f aca="false">IF($F716="","",IF(ISNUMBER(SEARCH("(externo)",$I716&amp;$J716&amp;$K716)),"Terceirizada","Interna"))</f>
        <v/>
      </c>
      <c r="W716" s="47" t="str">
        <f aca="false">IF($O716="","",IF($S716="",$O716,(DATE(Semana!$J$3,1,4)-WEEKDAY(DATE(Semana!$J$3,1,4),3))+($S716-1)*7+IF($M716="",0,MATCH($M716,Listas!$F$5:$F$11,0)-1)))</f>
        <v/>
      </c>
      <c r="X716" s="39" t="str">
        <f aca="false">IF($F716="","",IF(OR($AT716="",$O716=""),0,IF($AT716&lt;=$O716,1,0)))</f>
        <v/>
      </c>
      <c r="Y716" s="39" t="str">
        <f aca="false">IF($F716="","",IF(OR($AT716="",$W716=""),0,IF($AT716&lt;=$W716,1,0)))</f>
        <v/>
      </c>
      <c r="Z716" s="39" t="str">
        <f aca="false">IF(OR($AT716="",$O716=""),"",MAX(0,$AT716-$O716))</f>
        <v/>
      </c>
      <c r="AA716" s="39" t="str">
        <f aca="false">IF($F716="","",IF(AND($S716&lt;&gt;"",$L716&lt;&gt;"",$S716&lt;&gt;$L716),1,0))</f>
        <v/>
      </c>
      <c r="AB716" s="39" t="str">
        <f aca="false">IF($F716="","",IF($R716="Cancelada",0,IF(OR($AT716&lt;&gt;"",$R716="Concluída"),1,0)))</f>
        <v/>
      </c>
      <c r="AC716" s="39" t="n">
        <f aca="false">IF($P716="",0,IF($P716&lt;Hoje!$L$1,1,IF(AND($P716=Hoje!$L$1,Hoje!$L$2&gt;Semana!$M$3),1,0)))</f>
        <v>0</v>
      </c>
      <c r="AD716" s="39" t="str">
        <f aca="false">IF($F716="","",IF(COUNTA($I716:$K716)=0,0,1/COUNTA($I716:$K716)))</f>
        <v/>
      </c>
      <c r="AE716" s="39" t="str">
        <f aca="false">IF($AH716=0,"",SUM($AH$4:$AH716))</f>
        <v/>
      </c>
      <c r="AF716" s="39" t="str">
        <f aca="false">IF($AI716=0,"",SUM($AI$4:$AI716))</f>
        <v/>
      </c>
      <c r="AG716" s="50" t="str">
        <f aca="false">IF($F716="","",$I716&amp;IF($J716="",""," · "&amp;$J716)&amp;IF($K716="",""," · "&amp;$K716))</f>
        <v/>
      </c>
      <c r="AH716" s="39" t="n">
        <f aca="false">IF(AND($F716&lt;&gt;"",$O716&lt;&gt;"",$O716&lt;=Hoje!$C$3,$P716&gt;=Hoje!$C$3,$R716&lt;&gt;"Cancelada"),1,0)</f>
        <v>0</v>
      </c>
      <c r="AI716" s="39" t="n">
        <f aca="false">IF(AND($F716&lt;&gt;"",$P716&lt;&gt;"",$P716&lt;Hoje!$C$3,$AB716=0,$R716&lt;&gt;"Cancelada"),1,0)</f>
        <v>0</v>
      </c>
      <c r="AJ716" s="50" t="str">
        <f aca="false">IF($F716="","",$D716&amp;"|"&amp;$E716&amp;"|"&amp;$L716)</f>
        <v/>
      </c>
      <c r="AK716" s="39" t="str">
        <f aca="false">IF($AJ716="","",COUNTIF($AJ$4:$AJ716,$AJ716))</f>
        <v/>
      </c>
      <c r="AL716" s="39" t="str">
        <f aca="false">IF($AJ716="","",COUNTIF($AJ$4:$AJ$1004,$AJ716))</f>
        <v/>
      </c>
      <c r="AM716" s="42"/>
      <c r="AN716" s="50" t="str">
        <f aca="false">IF($D716="","",IFERROR(T(VLOOKUP($D716,Listas!$B$5:$H$120,7,0)),""))</f>
        <v/>
      </c>
      <c r="AO716" s="50" t="str">
        <f aca="false">IF(OR($F716="",$L716&lt;&gt;"",$R716="Cancelada",$AT716&lt;&gt;""),"",$AN716&amp;"|"&amp;$D716&amp;"|"&amp;IF($C716="","zzz",$C716)&amp;"|"&amp;TEXT(716,"0000"))</f>
        <v/>
      </c>
      <c r="AP716" s="50" t="str">
        <f aca="false">IF($AO716="","",COUNTIF($AO$5:$AO$1004,"&lt;"&amp;$AO716)-(ROWS($AO$5:$AO$1004)-Hoje!$L$5)+1)</f>
        <v/>
      </c>
      <c r="AQ716" s="50" t="n">
        <f aca="false">IF(AND($F716&lt;&gt;"",$D716=Frota!$C$3),1,0)</f>
        <v>0</v>
      </c>
      <c r="AR716" s="50" t="str">
        <f aca="false">IF($AQ716=0,"",SUM($AQ$4:$AQ716))</f>
        <v/>
      </c>
      <c r="AS716" s="50" t="str">
        <f aca="false">IFERROR(INDEX(Hoje!$K$10:$K$29,MATCH(ROW(),Hoje!$J$10:$J$29,0)),"")</f>
        <v/>
      </c>
      <c r="AT716" s="50" t="str">
        <f aca="false">IF($Q716&lt;&gt;"",$Q716,$AS716)</f>
        <v/>
      </c>
    </row>
    <row r="717" customFormat="false" ht="16.5" hidden="false" customHeight="true" outlineLevel="0" collapsed="false">
      <c r="A717" s="39" t="str">
        <f aca="false">IF($F717="","",ROW())</f>
        <v/>
      </c>
      <c r="B717" s="40" t="str">
        <f aca="false">IF($F717="",IF($D717="","","Falta a atividade"),IF($R717="Cancelada","Cancelada",IF($AB717=1,IF(N($Z717)&gt;0,"Concluída com atraso","Concluída"),IF($R717="Em programação","Em programação",IF($O717="",IF($M717="","Na carteira","Falta a semana"),IF($AC717=1,"VENCIDA",IF($O717&gt;Hoje!$L$1,"Programada",IF($P717&gt;Hoje!$L$1,"Em execução","Fecha hoje"))))))))</f>
        <v/>
      </c>
      <c r="C717" s="41"/>
      <c r="D717" s="42"/>
      <c r="E717" s="42"/>
      <c r="F717" s="42"/>
      <c r="G717" s="43"/>
      <c r="H717" s="43"/>
      <c r="I717" s="44"/>
      <c r="J717" s="44"/>
      <c r="K717" s="44"/>
      <c r="L717" s="45"/>
      <c r="M717" s="46"/>
      <c r="N717" s="45"/>
      <c r="O717" s="47" t="str">
        <f aca="false">IF(OR($L717="",$M717=""),"",(DATE(Semana!$J$3,1,4)-WEEKDAY(DATE(Semana!$J$3,1,4),3))+($L717-1)*7+MATCH($M717,Listas!$F$5:$F$11,0)-1)</f>
        <v/>
      </c>
      <c r="P717" s="47" t="str">
        <f aca="false">IF(OR($F717="",$O717=""),"",$O717+MAX(0,ROUNDUP($AK717*MAX(1,IF($N717="",1,$N717))/MAX(1,$AL717),0)-1))</f>
        <v/>
      </c>
      <c r="Q717" s="48"/>
      <c r="R717" s="43"/>
      <c r="S717" s="49"/>
      <c r="T717" s="42"/>
      <c r="U717" s="42"/>
      <c r="V717" s="39" t="str">
        <f aca="false">IF($F717="","",IF(ISNUMBER(SEARCH("(externo)",$I717&amp;$J717&amp;$K717)),"Terceirizada","Interna"))</f>
        <v/>
      </c>
      <c r="W717" s="47" t="str">
        <f aca="false">IF($O717="","",IF($S717="",$O717,(DATE(Semana!$J$3,1,4)-WEEKDAY(DATE(Semana!$J$3,1,4),3))+($S717-1)*7+IF($M717="",0,MATCH($M717,Listas!$F$5:$F$11,0)-1)))</f>
        <v/>
      </c>
      <c r="X717" s="39" t="str">
        <f aca="false">IF($F717="","",IF(OR($AT717="",$O717=""),0,IF($AT717&lt;=$O717,1,0)))</f>
        <v/>
      </c>
      <c r="Y717" s="39" t="str">
        <f aca="false">IF($F717="","",IF(OR($AT717="",$W717=""),0,IF($AT717&lt;=$W717,1,0)))</f>
        <v/>
      </c>
      <c r="Z717" s="39" t="str">
        <f aca="false">IF(OR($AT717="",$O717=""),"",MAX(0,$AT717-$O717))</f>
        <v/>
      </c>
      <c r="AA717" s="39" t="str">
        <f aca="false">IF($F717="","",IF(AND($S717&lt;&gt;"",$L717&lt;&gt;"",$S717&lt;&gt;$L717),1,0))</f>
        <v/>
      </c>
      <c r="AB717" s="39" t="str">
        <f aca="false">IF($F717="","",IF($R717="Cancelada",0,IF(OR($AT717&lt;&gt;"",$R717="Concluída"),1,0)))</f>
        <v/>
      </c>
      <c r="AC717" s="39" t="n">
        <f aca="false">IF($P717="",0,IF($P717&lt;Hoje!$L$1,1,IF(AND($P717=Hoje!$L$1,Hoje!$L$2&gt;Semana!$M$3),1,0)))</f>
        <v>0</v>
      </c>
      <c r="AD717" s="39" t="str">
        <f aca="false">IF($F717="","",IF(COUNTA($I717:$K717)=0,0,1/COUNTA($I717:$K717)))</f>
        <v/>
      </c>
      <c r="AE717" s="39" t="str">
        <f aca="false">IF($AH717=0,"",SUM($AH$4:$AH717))</f>
        <v/>
      </c>
      <c r="AF717" s="39" t="str">
        <f aca="false">IF($AI717=0,"",SUM($AI$4:$AI717))</f>
        <v/>
      </c>
      <c r="AG717" s="50" t="str">
        <f aca="false">IF($F717="","",$I717&amp;IF($J717="",""," · "&amp;$J717)&amp;IF($K717="",""," · "&amp;$K717))</f>
        <v/>
      </c>
      <c r="AH717" s="39" t="n">
        <f aca="false">IF(AND($F717&lt;&gt;"",$O717&lt;&gt;"",$O717&lt;=Hoje!$C$3,$P717&gt;=Hoje!$C$3,$R717&lt;&gt;"Cancelada"),1,0)</f>
        <v>0</v>
      </c>
      <c r="AI717" s="39" t="n">
        <f aca="false">IF(AND($F717&lt;&gt;"",$P717&lt;&gt;"",$P717&lt;Hoje!$C$3,$AB717=0,$R717&lt;&gt;"Cancelada"),1,0)</f>
        <v>0</v>
      </c>
      <c r="AJ717" s="50" t="str">
        <f aca="false">IF($F717="","",$D717&amp;"|"&amp;$E717&amp;"|"&amp;$L717)</f>
        <v/>
      </c>
      <c r="AK717" s="39" t="str">
        <f aca="false">IF($AJ717="","",COUNTIF($AJ$4:$AJ717,$AJ717))</f>
        <v/>
      </c>
      <c r="AL717" s="39" t="str">
        <f aca="false">IF($AJ717="","",COUNTIF($AJ$4:$AJ$1004,$AJ717))</f>
        <v/>
      </c>
      <c r="AM717" s="42"/>
      <c r="AN717" s="50" t="str">
        <f aca="false">IF($D717="","",IFERROR(T(VLOOKUP($D717,Listas!$B$5:$H$120,7,0)),""))</f>
        <v/>
      </c>
      <c r="AO717" s="50" t="str">
        <f aca="false">IF(OR($F717="",$L717&lt;&gt;"",$R717="Cancelada",$AT717&lt;&gt;""),"",$AN717&amp;"|"&amp;$D717&amp;"|"&amp;IF($C717="","zzz",$C717)&amp;"|"&amp;TEXT(717,"0000"))</f>
        <v/>
      </c>
      <c r="AP717" s="50" t="str">
        <f aca="false">IF($AO717="","",COUNTIF($AO$5:$AO$1004,"&lt;"&amp;$AO717)-(ROWS($AO$5:$AO$1004)-Hoje!$L$5)+1)</f>
        <v/>
      </c>
      <c r="AQ717" s="50" t="n">
        <f aca="false">IF(AND($F717&lt;&gt;"",$D717=Frota!$C$3),1,0)</f>
        <v>0</v>
      </c>
      <c r="AR717" s="50" t="str">
        <f aca="false">IF($AQ717=0,"",SUM($AQ$4:$AQ717))</f>
        <v/>
      </c>
      <c r="AS717" s="50" t="str">
        <f aca="false">IFERROR(INDEX(Hoje!$K$10:$K$29,MATCH(ROW(),Hoje!$J$10:$J$29,0)),"")</f>
        <v/>
      </c>
      <c r="AT717" s="50" t="str">
        <f aca="false">IF($Q717&lt;&gt;"",$Q717,$AS717)</f>
        <v/>
      </c>
    </row>
    <row r="718" customFormat="false" ht="16.5" hidden="false" customHeight="true" outlineLevel="0" collapsed="false">
      <c r="A718" s="39" t="str">
        <f aca="false">IF($F718="","",ROW())</f>
        <v/>
      </c>
      <c r="B718" s="40" t="str">
        <f aca="false">IF($F718="",IF($D718="","","Falta a atividade"),IF($R718="Cancelada","Cancelada",IF($AB718=1,IF(N($Z718)&gt;0,"Concluída com atraso","Concluída"),IF($R718="Em programação","Em programação",IF($O718="",IF($M718="","Na carteira","Falta a semana"),IF($AC718=1,"VENCIDA",IF($O718&gt;Hoje!$L$1,"Programada",IF($P718&gt;Hoje!$L$1,"Em execução","Fecha hoje"))))))))</f>
        <v/>
      </c>
      <c r="C718" s="41"/>
      <c r="D718" s="42"/>
      <c r="E718" s="42"/>
      <c r="F718" s="42"/>
      <c r="G718" s="43"/>
      <c r="H718" s="43"/>
      <c r="I718" s="44"/>
      <c r="J718" s="44"/>
      <c r="K718" s="44"/>
      <c r="L718" s="45"/>
      <c r="M718" s="46"/>
      <c r="N718" s="45"/>
      <c r="O718" s="47" t="str">
        <f aca="false">IF(OR($L718="",$M718=""),"",(DATE(Semana!$J$3,1,4)-WEEKDAY(DATE(Semana!$J$3,1,4),3))+($L718-1)*7+MATCH($M718,Listas!$F$5:$F$11,0)-1)</f>
        <v/>
      </c>
      <c r="P718" s="47" t="str">
        <f aca="false">IF(OR($F718="",$O718=""),"",$O718+MAX(0,ROUNDUP($AK718*MAX(1,IF($N718="",1,$N718))/MAX(1,$AL718),0)-1))</f>
        <v/>
      </c>
      <c r="Q718" s="48"/>
      <c r="R718" s="43"/>
      <c r="S718" s="49"/>
      <c r="T718" s="42"/>
      <c r="U718" s="42"/>
      <c r="V718" s="39" t="str">
        <f aca="false">IF($F718="","",IF(ISNUMBER(SEARCH("(externo)",$I718&amp;$J718&amp;$K718)),"Terceirizada","Interna"))</f>
        <v/>
      </c>
      <c r="W718" s="47" t="str">
        <f aca="false">IF($O718="","",IF($S718="",$O718,(DATE(Semana!$J$3,1,4)-WEEKDAY(DATE(Semana!$J$3,1,4),3))+($S718-1)*7+IF($M718="",0,MATCH($M718,Listas!$F$5:$F$11,0)-1)))</f>
        <v/>
      </c>
      <c r="X718" s="39" t="str">
        <f aca="false">IF($F718="","",IF(OR($AT718="",$O718=""),0,IF($AT718&lt;=$O718,1,0)))</f>
        <v/>
      </c>
      <c r="Y718" s="39" t="str">
        <f aca="false">IF($F718="","",IF(OR($AT718="",$W718=""),0,IF($AT718&lt;=$W718,1,0)))</f>
        <v/>
      </c>
      <c r="Z718" s="39" t="str">
        <f aca="false">IF(OR($AT718="",$O718=""),"",MAX(0,$AT718-$O718))</f>
        <v/>
      </c>
      <c r="AA718" s="39" t="str">
        <f aca="false">IF($F718="","",IF(AND($S718&lt;&gt;"",$L718&lt;&gt;"",$S718&lt;&gt;$L718),1,0))</f>
        <v/>
      </c>
      <c r="AB718" s="39" t="str">
        <f aca="false">IF($F718="","",IF($R718="Cancelada",0,IF(OR($AT718&lt;&gt;"",$R718="Concluída"),1,0)))</f>
        <v/>
      </c>
      <c r="AC718" s="39" t="n">
        <f aca="false">IF($P718="",0,IF($P718&lt;Hoje!$L$1,1,IF(AND($P718=Hoje!$L$1,Hoje!$L$2&gt;Semana!$M$3),1,0)))</f>
        <v>0</v>
      </c>
      <c r="AD718" s="39" t="str">
        <f aca="false">IF($F718="","",IF(COUNTA($I718:$K718)=0,0,1/COUNTA($I718:$K718)))</f>
        <v/>
      </c>
      <c r="AE718" s="39" t="str">
        <f aca="false">IF($AH718=0,"",SUM($AH$4:$AH718))</f>
        <v/>
      </c>
      <c r="AF718" s="39" t="str">
        <f aca="false">IF($AI718=0,"",SUM($AI$4:$AI718))</f>
        <v/>
      </c>
      <c r="AG718" s="50" t="str">
        <f aca="false">IF($F718="","",$I718&amp;IF($J718="",""," · "&amp;$J718)&amp;IF($K718="",""," · "&amp;$K718))</f>
        <v/>
      </c>
      <c r="AH718" s="39" t="n">
        <f aca="false">IF(AND($F718&lt;&gt;"",$O718&lt;&gt;"",$O718&lt;=Hoje!$C$3,$P718&gt;=Hoje!$C$3,$R718&lt;&gt;"Cancelada"),1,0)</f>
        <v>0</v>
      </c>
      <c r="AI718" s="39" t="n">
        <f aca="false">IF(AND($F718&lt;&gt;"",$P718&lt;&gt;"",$P718&lt;Hoje!$C$3,$AB718=0,$R718&lt;&gt;"Cancelada"),1,0)</f>
        <v>0</v>
      </c>
      <c r="AJ718" s="50" t="str">
        <f aca="false">IF($F718="","",$D718&amp;"|"&amp;$E718&amp;"|"&amp;$L718)</f>
        <v/>
      </c>
      <c r="AK718" s="39" t="str">
        <f aca="false">IF($AJ718="","",COUNTIF($AJ$4:$AJ718,$AJ718))</f>
        <v/>
      </c>
      <c r="AL718" s="39" t="str">
        <f aca="false">IF($AJ718="","",COUNTIF($AJ$4:$AJ$1004,$AJ718))</f>
        <v/>
      </c>
      <c r="AM718" s="42"/>
      <c r="AN718" s="50" t="str">
        <f aca="false">IF($D718="","",IFERROR(T(VLOOKUP($D718,Listas!$B$5:$H$120,7,0)),""))</f>
        <v/>
      </c>
      <c r="AO718" s="50" t="str">
        <f aca="false">IF(OR($F718="",$L718&lt;&gt;"",$R718="Cancelada",$AT718&lt;&gt;""),"",$AN718&amp;"|"&amp;$D718&amp;"|"&amp;IF($C718="","zzz",$C718)&amp;"|"&amp;TEXT(718,"0000"))</f>
        <v/>
      </c>
      <c r="AP718" s="50" t="str">
        <f aca="false">IF($AO718="","",COUNTIF($AO$5:$AO$1004,"&lt;"&amp;$AO718)-(ROWS($AO$5:$AO$1004)-Hoje!$L$5)+1)</f>
        <v/>
      </c>
      <c r="AQ718" s="50" t="n">
        <f aca="false">IF(AND($F718&lt;&gt;"",$D718=Frota!$C$3),1,0)</f>
        <v>0</v>
      </c>
      <c r="AR718" s="50" t="str">
        <f aca="false">IF($AQ718=0,"",SUM($AQ$4:$AQ718))</f>
        <v/>
      </c>
      <c r="AS718" s="50" t="str">
        <f aca="false">IFERROR(INDEX(Hoje!$K$10:$K$29,MATCH(ROW(),Hoje!$J$10:$J$29,0)),"")</f>
        <v/>
      </c>
      <c r="AT718" s="50" t="str">
        <f aca="false">IF($Q718&lt;&gt;"",$Q718,$AS718)</f>
        <v/>
      </c>
    </row>
    <row r="719" customFormat="false" ht="16.5" hidden="false" customHeight="true" outlineLevel="0" collapsed="false">
      <c r="A719" s="39" t="str">
        <f aca="false">IF($F719="","",ROW())</f>
        <v/>
      </c>
      <c r="B719" s="40" t="str">
        <f aca="false">IF($F719="",IF($D719="","","Falta a atividade"),IF($R719="Cancelada","Cancelada",IF($AB719=1,IF(N($Z719)&gt;0,"Concluída com atraso","Concluída"),IF($R719="Em programação","Em programação",IF($O719="",IF($M719="","Na carteira","Falta a semana"),IF($AC719=1,"VENCIDA",IF($O719&gt;Hoje!$L$1,"Programada",IF($P719&gt;Hoje!$L$1,"Em execução","Fecha hoje"))))))))</f>
        <v/>
      </c>
      <c r="C719" s="41"/>
      <c r="D719" s="42"/>
      <c r="E719" s="42"/>
      <c r="F719" s="42"/>
      <c r="G719" s="43"/>
      <c r="H719" s="43"/>
      <c r="I719" s="44"/>
      <c r="J719" s="44"/>
      <c r="K719" s="44"/>
      <c r="L719" s="45"/>
      <c r="M719" s="46"/>
      <c r="N719" s="45"/>
      <c r="O719" s="47" t="str">
        <f aca="false">IF(OR($L719="",$M719=""),"",(DATE(Semana!$J$3,1,4)-WEEKDAY(DATE(Semana!$J$3,1,4),3))+($L719-1)*7+MATCH($M719,Listas!$F$5:$F$11,0)-1)</f>
        <v/>
      </c>
      <c r="P719" s="47" t="str">
        <f aca="false">IF(OR($F719="",$O719=""),"",$O719+MAX(0,ROUNDUP($AK719*MAX(1,IF($N719="",1,$N719))/MAX(1,$AL719),0)-1))</f>
        <v/>
      </c>
      <c r="Q719" s="48"/>
      <c r="R719" s="43"/>
      <c r="S719" s="49"/>
      <c r="T719" s="42"/>
      <c r="U719" s="42"/>
      <c r="V719" s="39" t="str">
        <f aca="false">IF($F719="","",IF(ISNUMBER(SEARCH("(externo)",$I719&amp;$J719&amp;$K719)),"Terceirizada","Interna"))</f>
        <v/>
      </c>
      <c r="W719" s="47" t="str">
        <f aca="false">IF($O719="","",IF($S719="",$O719,(DATE(Semana!$J$3,1,4)-WEEKDAY(DATE(Semana!$J$3,1,4),3))+($S719-1)*7+IF($M719="",0,MATCH($M719,Listas!$F$5:$F$11,0)-1)))</f>
        <v/>
      </c>
      <c r="X719" s="39" t="str">
        <f aca="false">IF($F719="","",IF(OR($AT719="",$O719=""),0,IF($AT719&lt;=$O719,1,0)))</f>
        <v/>
      </c>
      <c r="Y719" s="39" t="str">
        <f aca="false">IF($F719="","",IF(OR($AT719="",$W719=""),0,IF($AT719&lt;=$W719,1,0)))</f>
        <v/>
      </c>
      <c r="Z719" s="39" t="str">
        <f aca="false">IF(OR($AT719="",$O719=""),"",MAX(0,$AT719-$O719))</f>
        <v/>
      </c>
      <c r="AA719" s="39" t="str">
        <f aca="false">IF($F719="","",IF(AND($S719&lt;&gt;"",$L719&lt;&gt;"",$S719&lt;&gt;$L719),1,0))</f>
        <v/>
      </c>
      <c r="AB719" s="39" t="str">
        <f aca="false">IF($F719="","",IF($R719="Cancelada",0,IF(OR($AT719&lt;&gt;"",$R719="Concluída"),1,0)))</f>
        <v/>
      </c>
      <c r="AC719" s="39" t="n">
        <f aca="false">IF($P719="",0,IF($P719&lt;Hoje!$L$1,1,IF(AND($P719=Hoje!$L$1,Hoje!$L$2&gt;Semana!$M$3),1,0)))</f>
        <v>0</v>
      </c>
      <c r="AD719" s="39" t="str">
        <f aca="false">IF($F719="","",IF(COUNTA($I719:$K719)=0,0,1/COUNTA($I719:$K719)))</f>
        <v/>
      </c>
      <c r="AE719" s="39" t="str">
        <f aca="false">IF($AH719=0,"",SUM($AH$4:$AH719))</f>
        <v/>
      </c>
      <c r="AF719" s="39" t="str">
        <f aca="false">IF($AI719=0,"",SUM($AI$4:$AI719))</f>
        <v/>
      </c>
      <c r="AG719" s="50" t="str">
        <f aca="false">IF($F719="","",$I719&amp;IF($J719="",""," · "&amp;$J719)&amp;IF($K719="",""," · "&amp;$K719))</f>
        <v/>
      </c>
      <c r="AH719" s="39" t="n">
        <f aca="false">IF(AND($F719&lt;&gt;"",$O719&lt;&gt;"",$O719&lt;=Hoje!$C$3,$P719&gt;=Hoje!$C$3,$R719&lt;&gt;"Cancelada"),1,0)</f>
        <v>0</v>
      </c>
      <c r="AI719" s="39" t="n">
        <f aca="false">IF(AND($F719&lt;&gt;"",$P719&lt;&gt;"",$P719&lt;Hoje!$C$3,$AB719=0,$R719&lt;&gt;"Cancelada"),1,0)</f>
        <v>0</v>
      </c>
      <c r="AJ719" s="50" t="str">
        <f aca="false">IF($F719="","",$D719&amp;"|"&amp;$E719&amp;"|"&amp;$L719)</f>
        <v/>
      </c>
      <c r="AK719" s="39" t="str">
        <f aca="false">IF($AJ719="","",COUNTIF($AJ$4:$AJ719,$AJ719))</f>
        <v/>
      </c>
      <c r="AL719" s="39" t="str">
        <f aca="false">IF($AJ719="","",COUNTIF($AJ$4:$AJ$1004,$AJ719))</f>
        <v/>
      </c>
      <c r="AM719" s="42"/>
      <c r="AN719" s="50" t="str">
        <f aca="false">IF($D719="","",IFERROR(T(VLOOKUP($D719,Listas!$B$5:$H$120,7,0)),""))</f>
        <v/>
      </c>
      <c r="AO719" s="50" t="str">
        <f aca="false">IF(OR($F719="",$L719&lt;&gt;"",$R719="Cancelada",$AT719&lt;&gt;""),"",$AN719&amp;"|"&amp;$D719&amp;"|"&amp;IF($C719="","zzz",$C719)&amp;"|"&amp;TEXT(719,"0000"))</f>
        <v/>
      </c>
      <c r="AP719" s="50" t="str">
        <f aca="false">IF($AO719="","",COUNTIF($AO$5:$AO$1004,"&lt;"&amp;$AO719)-(ROWS($AO$5:$AO$1004)-Hoje!$L$5)+1)</f>
        <v/>
      </c>
      <c r="AQ719" s="50" t="n">
        <f aca="false">IF(AND($F719&lt;&gt;"",$D719=Frota!$C$3),1,0)</f>
        <v>0</v>
      </c>
      <c r="AR719" s="50" t="str">
        <f aca="false">IF($AQ719=0,"",SUM($AQ$4:$AQ719))</f>
        <v/>
      </c>
      <c r="AS719" s="50" t="str">
        <f aca="false">IFERROR(INDEX(Hoje!$K$10:$K$29,MATCH(ROW(),Hoje!$J$10:$J$29,0)),"")</f>
        <v/>
      </c>
      <c r="AT719" s="50" t="str">
        <f aca="false">IF($Q719&lt;&gt;"",$Q719,$AS719)</f>
        <v/>
      </c>
    </row>
    <row r="720" customFormat="false" ht="16.5" hidden="false" customHeight="true" outlineLevel="0" collapsed="false">
      <c r="A720" s="39" t="str">
        <f aca="false">IF($F720="","",ROW())</f>
        <v/>
      </c>
      <c r="B720" s="40" t="str">
        <f aca="false">IF($F720="",IF($D720="","","Falta a atividade"),IF($R720="Cancelada","Cancelada",IF($AB720=1,IF(N($Z720)&gt;0,"Concluída com atraso","Concluída"),IF($R720="Em programação","Em programação",IF($O720="",IF($M720="","Na carteira","Falta a semana"),IF($AC720=1,"VENCIDA",IF($O720&gt;Hoje!$L$1,"Programada",IF($P720&gt;Hoje!$L$1,"Em execução","Fecha hoje"))))))))</f>
        <v/>
      </c>
      <c r="C720" s="41"/>
      <c r="D720" s="42"/>
      <c r="E720" s="42"/>
      <c r="F720" s="42"/>
      <c r="G720" s="43"/>
      <c r="H720" s="43"/>
      <c r="I720" s="44"/>
      <c r="J720" s="44"/>
      <c r="K720" s="44"/>
      <c r="L720" s="45"/>
      <c r="M720" s="46"/>
      <c r="N720" s="45"/>
      <c r="O720" s="47" t="str">
        <f aca="false">IF(OR($L720="",$M720=""),"",(DATE(Semana!$J$3,1,4)-WEEKDAY(DATE(Semana!$J$3,1,4),3))+($L720-1)*7+MATCH($M720,Listas!$F$5:$F$11,0)-1)</f>
        <v/>
      </c>
      <c r="P720" s="47" t="str">
        <f aca="false">IF(OR($F720="",$O720=""),"",$O720+MAX(0,ROUNDUP($AK720*MAX(1,IF($N720="",1,$N720))/MAX(1,$AL720),0)-1))</f>
        <v/>
      </c>
      <c r="Q720" s="48"/>
      <c r="R720" s="43"/>
      <c r="S720" s="49"/>
      <c r="T720" s="42"/>
      <c r="U720" s="42"/>
      <c r="V720" s="39" t="str">
        <f aca="false">IF($F720="","",IF(ISNUMBER(SEARCH("(externo)",$I720&amp;$J720&amp;$K720)),"Terceirizada","Interna"))</f>
        <v/>
      </c>
      <c r="W720" s="47" t="str">
        <f aca="false">IF($O720="","",IF($S720="",$O720,(DATE(Semana!$J$3,1,4)-WEEKDAY(DATE(Semana!$J$3,1,4),3))+($S720-1)*7+IF($M720="",0,MATCH($M720,Listas!$F$5:$F$11,0)-1)))</f>
        <v/>
      </c>
      <c r="X720" s="39" t="str">
        <f aca="false">IF($F720="","",IF(OR($AT720="",$O720=""),0,IF($AT720&lt;=$O720,1,0)))</f>
        <v/>
      </c>
      <c r="Y720" s="39" t="str">
        <f aca="false">IF($F720="","",IF(OR($AT720="",$W720=""),0,IF($AT720&lt;=$W720,1,0)))</f>
        <v/>
      </c>
      <c r="Z720" s="39" t="str">
        <f aca="false">IF(OR($AT720="",$O720=""),"",MAX(0,$AT720-$O720))</f>
        <v/>
      </c>
      <c r="AA720" s="39" t="str">
        <f aca="false">IF($F720="","",IF(AND($S720&lt;&gt;"",$L720&lt;&gt;"",$S720&lt;&gt;$L720),1,0))</f>
        <v/>
      </c>
      <c r="AB720" s="39" t="str">
        <f aca="false">IF($F720="","",IF($R720="Cancelada",0,IF(OR($AT720&lt;&gt;"",$R720="Concluída"),1,0)))</f>
        <v/>
      </c>
      <c r="AC720" s="39" t="n">
        <f aca="false">IF($P720="",0,IF($P720&lt;Hoje!$L$1,1,IF(AND($P720=Hoje!$L$1,Hoje!$L$2&gt;Semana!$M$3),1,0)))</f>
        <v>0</v>
      </c>
      <c r="AD720" s="39" t="str">
        <f aca="false">IF($F720="","",IF(COUNTA($I720:$K720)=0,0,1/COUNTA($I720:$K720)))</f>
        <v/>
      </c>
      <c r="AE720" s="39" t="str">
        <f aca="false">IF($AH720=0,"",SUM($AH$4:$AH720))</f>
        <v/>
      </c>
      <c r="AF720" s="39" t="str">
        <f aca="false">IF($AI720=0,"",SUM($AI$4:$AI720))</f>
        <v/>
      </c>
      <c r="AG720" s="50" t="str">
        <f aca="false">IF($F720="","",$I720&amp;IF($J720="",""," · "&amp;$J720)&amp;IF($K720="",""," · "&amp;$K720))</f>
        <v/>
      </c>
      <c r="AH720" s="39" t="n">
        <f aca="false">IF(AND($F720&lt;&gt;"",$O720&lt;&gt;"",$O720&lt;=Hoje!$C$3,$P720&gt;=Hoje!$C$3,$R720&lt;&gt;"Cancelada"),1,0)</f>
        <v>0</v>
      </c>
      <c r="AI720" s="39" t="n">
        <f aca="false">IF(AND($F720&lt;&gt;"",$P720&lt;&gt;"",$P720&lt;Hoje!$C$3,$AB720=0,$R720&lt;&gt;"Cancelada"),1,0)</f>
        <v>0</v>
      </c>
      <c r="AJ720" s="50" t="str">
        <f aca="false">IF($F720="","",$D720&amp;"|"&amp;$E720&amp;"|"&amp;$L720)</f>
        <v/>
      </c>
      <c r="AK720" s="39" t="str">
        <f aca="false">IF($AJ720="","",COUNTIF($AJ$4:$AJ720,$AJ720))</f>
        <v/>
      </c>
      <c r="AL720" s="39" t="str">
        <f aca="false">IF($AJ720="","",COUNTIF($AJ$4:$AJ$1004,$AJ720))</f>
        <v/>
      </c>
      <c r="AM720" s="42"/>
      <c r="AN720" s="50" t="str">
        <f aca="false">IF($D720="","",IFERROR(T(VLOOKUP($D720,Listas!$B$5:$H$120,7,0)),""))</f>
        <v/>
      </c>
      <c r="AO720" s="50" t="str">
        <f aca="false">IF(OR($F720="",$L720&lt;&gt;"",$R720="Cancelada",$AT720&lt;&gt;""),"",$AN720&amp;"|"&amp;$D720&amp;"|"&amp;IF($C720="","zzz",$C720)&amp;"|"&amp;TEXT(720,"0000"))</f>
        <v/>
      </c>
      <c r="AP720" s="50" t="str">
        <f aca="false">IF($AO720="","",COUNTIF($AO$5:$AO$1004,"&lt;"&amp;$AO720)-(ROWS($AO$5:$AO$1004)-Hoje!$L$5)+1)</f>
        <v/>
      </c>
      <c r="AQ720" s="50" t="n">
        <f aca="false">IF(AND($F720&lt;&gt;"",$D720=Frota!$C$3),1,0)</f>
        <v>0</v>
      </c>
      <c r="AR720" s="50" t="str">
        <f aca="false">IF($AQ720=0,"",SUM($AQ$4:$AQ720))</f>
        <v/>
      </c>
      <c r="AS720" s="50" t="str">
        <f aca="false">IFERROR(INDEX(Hoje!$K$10:$K$29,MATCH(ROW(),Hoje!$J$10:$J$29,0)),"")</f>
        <v/>
      </c>
      <c r="AT720" s="50" t="str">
        <f aca="false">IF($Q720&lt;&gt;"",$Q720,$AS720)</f>
        <v/>
      </c>
    </row>
    <row r="721" customFormat="false" ht="16.5" hidden="false" customHeight="true" outlineLevel="0" collapsed="false">
      <c r="A721" s="39" t="str">
        <f aca="false">IF($F721="","",ROW())</f>
        <v/>
      </c>
      <c r="B721" s="40" t="str">
        <f aca="false">IF($F721="",IF($D721="","","Falta a atividade"),IF($R721="Cancelada","Cancelada",IF($AB721=1,IF(N($Z721)&gt;0,"Concluída com atraso","Concluída"),IF($R721="Em programação","Em programação",IF($O721="",IF($M721="","Na carteira","Falta a semana"),IF($AC721=1,"VENCIDA",IF($O721&gt;Hoje!$L$1,"Programada",IF($P721&gt;Hoje!$L$1,"Em execução","Fecha hoje"))))))))</f>
        <v/>
      </c>
      <c r="C721" s="41"/>
      <c r="D721" s="42"/>
      <c r="E721" s="42"/>
      <c r="F721" s="42"/>
      <c r="G721" s="43"/>
      <c r="H721" s="43"/>
      <c r="I721" s="44"/>
      <c r="J721" s="44"/>
      <c r="K721" s="44"/>
      <c r="L721" s="45"/>
      <c r="M721" s="46"/>
      <c r="N721" s="45"/>
      <c r="O721" s="47" t="str">
        <f aca="false">IF(OR($L721="",$M721=""),"",(DATE(Semana!$J$3,1,4)-WEEKDAY(DATE(Semana!$J$3,1,4),3))+($L721-1)*7+MATCH($M721,Listas!$F$5:$F$11,0)-1)</f>
        <v/>
      </c>
      <c r="P721" s="47" t="str">
        <f aca="false">IF(OR($F721="",$O721=""),"",$O721+MAX(0,ROUNDUP($AK721*MAX(1,IF($N721="",1,$N721))/MAX(1,$AL721),0)-1))</f>
        <v/>
      </c>
      <c r="Q721" s="48"/>
      <c r="R721" s="43"/>
      <c r="S721" s="49"/>
      <c r="T721" s="42"/>
      <c r="U721" s="42"/>
      <c r="V721" s="39" t="str">
        <f aca="false">IF($F721="","",IF(ISNUMBER(SEARCH("(externo)",$I721&amp;$J721&amp;$K721)),"Terceirizada","Interna"))</f>
        <v/>
      </c>
      <c r="W721" s="47" t="str">
        <f aca="false">IF($O721="","",IF($S721="",$O721,(DATE(Semana!$J$3,1,4)-WEEKDAY(DATE(Semana!$J$3,1,4),3))+($S721-1)*7+IF($M721="",0,MATCH($M721,Listas!$F$5:$F$11,0)-1)))</f>
        <v/>
      </c>
      <c r="X721" s="39" t="str">
        <f aca="false">IF($F721="","",IF(OR($AT721="",$O721=""),0,IF($AT721&lt;=$O721,1,0)))</f>
        <v/>
      </c>
      <c r="Y721" s="39" t="str">
        <f aca="false">IF($F721="","",IF(OR($AT721="",$W721=""),0,IF($AT721&lt;=$W721,1,0)))</f>
        <v/>
      </c>
      <c r="Z721" s="39" t="str">
        <f aca="false">IF(OR($AT721="",$O721=""),"",MAX(0,$AT721-$O721))</f>
        <v/>
      </c>
      <c r="AA721" s="39" t="str">
        <f aca="false">IF($F721="","",IF(AND($S721&lt;&gt;"",$L721&lt;&gt;"",$S721&lt;&gt;$L721),1,0))</f>
        <v/>
      </c>
      <c r="AB721" s="39" t="str">
        <f aca="false">IF($F721="","",IF($R721="Cancelada",0,IF(OR($AT721&lt;&gt;"",$R721="Concluída"),1,0)))</f>
        <v/>
      </c>
      <c r="AC721" s="39" t="n">
        <f aca="false">IF($P721="",0,IF($P721&lt;Hoje!$L$1,1,IF(AND($P721=Hoje!$L$1,Hoje!$L$2&gt;Semana!$M$3),1,0)))</f>
        <v>0</v>
      </c>
      <c r="AD721" s="39" t="str">
        <f aca="false">IF($F721="","",IF(COUNTA($I721:$K721)=0,0,1/COUNTA($I721:$K721)))</f>
        <v/>
      </c>
      <c r="AE721" s="39" t="str">
        <f aca="false">IF($AH721=0,"",SUM($AH$4:$AH721))</f>
        <v/>
      </c>
      <c r="AF721" s="39" t="str">
        <f aca="false">IF($AI721=0,"",SUM($AI$4:$AI721))</f>
        <v/>
      </c>
      <c r="AG721" s="50" t="str">
        <f aca="false">IF($F721="","",$I721&amp;IF($J721="",""," · "&amp;$J721)&amp;IF($K721="",""," · "&amp;$K721))</f>
        <v/>
      </c>
      <c r="AH721" s="39" t="n">
        <f aca="false">IF(AND($F721&lt;&gt;"",$O721&lt;&gt;"",$O721&lt;=Hoje!$C$3,$P721&gt;=Hoje!$C$3,$R721&lt;&gt;"Cancelada"),1,0)</f>
        <v>0</v>
      </c>
      <c r="AI721" s="39" t="n">
        <f aca="false">IF(AND($F721&lt;&gt;"",$P721&lt;&gt;"",$P721&lt;Hoje!$C$3,$AB721=0,$R721&lt;&gt;"Cancelada"),1,0)</f>
        <v>0</v>
      </c>
      <c r="AJ721" s="50" t="str">
        <f aca="false">IF($F721="","",$D721&amp;"|"&amp;$E721&amp;"|"&amp;$L721)</f>
        <v/>
      </c>
      <c r="AK721" s="39" t="str">
        <f aca="false">IF($AJ721="","",COUNTIF($AJ$4:$AJ721,$AJ721))</f>
        <v/>
      </c>
      <c r="AL721" s="39" t="str">
        <f aca="false">IF($AJ721="","",COUNTIF($AJ$4:$AJ$1004,$AJ721))</f>
        <v/>
      </c>
      <c r="AM721" s="42"/>
      <c r="AN721" s="50" t="str">
        <f aca="false">IF($D721="","",IFERROR(T(VLOOKUP($D721,Listas!$B$5:$H$120,7,0)),""))</f>
        <v/>
      </c>
      <c r="AO721" s="50" t="str">
        <f aca="false">IF(OR($F721="",$L721&lt;&gt;"",$R721="Cancelada",$AT721&lt;&gt;""),"",$AN721&amp;"|"&amp;$D721&amp;"|"&amp;IF($C721="","zzz",$C721)&amp;"|"&amp;TEXT(721,"0000"))</f>
        <v/>
      </c>
      <c r="AP721" s="50" t="str">
        <f aca="false">IF($AO721="","",COUNTIF($AO$5:$AO$1004,"&lt;"&amp;$AO721)-(ROWS($AO$5:$AO$1004)-Hoje!$L$5)+1)</f>
        <v/>
      </c>
      <c r="AQ721" s="50" t="n">
        <f aca="false">IF(AND($F721&lt;&gt;"",$D721=Frota!$C$3),1,0)</f>
        <v>0</v>
      </c>
      <c r="AR721" s="50" t="str">
        <f aca="false">IF($AQ721=0,"",SUM($AQ$4:$AQ721))</f>
        <v/>
      </c>
      <c r="AS721" s="50" t="str">
        <f aca="false">IFERROR(INDEX(Hoje!$K$10:$K$29,MATCH(ROW(),Hoje!$J$10:$J$29,0)),"")</f>
        <v/>
      </c>
      <c r="AT721" s="50" t="str">
        <f aca="false">IF($Q721&lt;&gt;"",$Q721,$AS721)</f>
        <v/>
      </c>
    </row>
    <row r="722" customFormat="false" ht="16.5" hidden="false" customHeight="true" outlineLevel="0" collapsed="false">
      <c r="A722" s="39" t="str">
        <f aca="false">IF($F722="","",ROW())</f>
        <v/>
      </c>
      <c r="B722" s="40" t="str">
        <f aca="false">IF($F722="",IF($D722="","","Falta a atividade"),IF($R722="Cancelada","Cancelada",IF($AB722=1,IF(N($Z722)&gt;0,"Concluída com atraso","Concluída"),IF($R722="Em programação","Em programação",IF($O722="",IF($M722="","Na carteira","Falta a semana"),IF($AC722=1,"VENCIDA",IF($O722&gt;Hoje!$L$1,"Programada",IF($P722&gt;Hoje!$L$1,"Em execução","Fecha hoje"))))))))</f>
        <v/>
      </c>
      <c r="C722" s="41"/>
      <c r="D722" s="42"/>
      <c r="E722" s="42"/>
      <c r="F722" s="42"/>
      <c r="G722" s="43"/>
      <c r="H722" s="43"/>
      <c r="I722" s="44"/>
      <c r="J722" s="44"/>
      <c r="K722" s="44"/>
      <c r="L722" s="45"/>
      <c r="M722" s="46"/>
      <c r="N722" s="45"/>
      <c r="O722" s="47" t="str">
        <f aca="false">IF(OR($L722="",$M722=""),"",(DATE(Semana!$J$3,1,4)-WEEKDAY(DATE(Semana!$J$3,1,4),3))+($L722-1)*7+MATCH($M722,Listas!$F$5:$F$11,0)-1)</f>
        <v/>
      </c>
      <c r="P722" s="47" t="str">
        <f aca="false">IF(OR($F722="",$O722=""),"",$O722+MAX(0,ROUNDUP($AK722*MAX(1,IF($N722="",1,$N722))/MAX(1,$AL722),0)-1))</f>
        <v/>
      </c>
      <c r="Q722" s="48"/>
      <c r="R722" s="43"/>
      <c r="S722" s="49"/>
      <c r="T722" s="42"/>
      <c r="U722" s="42"/>
      <c r="V722" s="39" t="str">
        <f aca="false">IF($F722="","",IF(ISNUMBER(SEARCH("(externo)",$I722&amp;$J722&amp;$K722)),"Terceirizada","Interna"))</f>
        <v/>
      </c>
      <c r="W722" s="47" t="str">
        <f aca="false">IF($O722="","",IF($S722="",$O722,(DATE(Semana!$J$3,1,4)-WEEKDAY(DATE(Semana!$J$3,1,4),3))+($S722-1)*7+IF($M722="",0,MATCH($M722,Listas!$F$5:$F$11,0)-1)))</f>
        <v/>
      </c>
      <c r="X722" s="39" t="str">
        <f aca="false">IF($F722="","",IF(OR($AT722="",$O722=""),0,IF($AT722&lt;=$O722,1,0)))</f>
        <v/>
      </c>
      <c r="Y722" s="39" t="str">
        <f aca="false">IF($F722="","",IF(OR($AT722="",$W722=""),0,IF($AT722&lt;=$W722,1,0)))</f>
        <v/>
      </c>
      <c r="Z722" s="39" t="str">
        <f aca="false">IF(OR($AT722="",$O722=""),"",MAX(0,$AT722-$O722))</f>
        <v/>
      </c>
      <c r="AA722" s="39" t="str">
        <f aca="false">IF($F722="","",IF(AND($S722&lt;&gt;"",$L722&lt;&gt;"",$S722&lt;&gt;$L722),1,0))</f>
        <v/>
      </c>
      <c r="AB722" s="39" t="str">
        <f aca="false">IF($F722="","",IF($R722="Cancelada",0,IF(OR($AT722&lt;&gt;"",$R722="Concluída"),1,0)))</f>
        <v/>
      </c>
      <c r="AC722" s="39" t="n">
        <f aca="false">IF($P722="",0,IF($P722&lt;Hoje!$L$1,1,IF(AND($P722=Hoje!$L$1,Hoje!$L$2&gt;Semana!$M$3),1,0)))</f>
        <v>0</v>
      </c>
      <c r="AD722" s="39" t="str">
        <f aca="false">IF($F722="","",IF(COUNTA($I722:$K722)=0,0,1/COUNTA($I722:$K722)))</f>
        <v/>
      </c>
      <c r="AE722" s="39" t="str">
        <f aca="false">IF($AH722=0,"",SUM($AH$4:$AH722))</f>
        <v/>
      </c>
      <c r="AF722" s="39" t="str">
        <f aca="false">IF($AI722=0,"",SUM($AI$4:$AI722))</f>
        <v/>
      </c>
      <c r="AG722" s="50" t="str">
        <f aca="false">IF($F722="","",$I722&amp;IF($J722="",""," · "&amp;$J722)&amp;IF($K722="",""," · "&amp;$K722))</f>
        <v/>
      </c>
      <c r="AH722" s="39" t="n">
        <f aca="false">IF(AND($F722&lt;&gt;"",$O722&lt;&gt;"",$O722&lt;=Hoje!$C$3,$P722&gt;=Hoje!$C$3,$R722&lt;&gt;"Cancelada"),1,0)</f>
        <v>0</v>
      </c>
      <c r="AI722" s="39" t="n">
        <f aca="false">IF(AND($F722&lt;&gt;"",$P722&lt;&gt;"",$P722&lt;Hoje!$C$3,$AB722=0,$R722&lt;&gt;"Cancelada"),1,0)</f>
        <v>0</v>
      </c>
      <c r="AJ722" s="50" t="str">
        <f aca="false">IF($F722="","",$D722&amp;"|"&amp;$E722&amp;"|"&amp;$L722)</f>
        <v/>
      </c>
      <c r="AK722" s="39" t="str">
        <f aca="false">IF($AJ722="","",COUNTIF($AJ$4:$AJ722,$AJ722))</f>
        <v/>
      </c>
      <c r="AL722" s="39" t="str">
        <f aca="false">IF($AJ722="","",COUNTIF($AJ$4:$AJ$1004,$AJ722))</f>
        <v/>
      </c>
      <c r="AM722" s="42"/>
      <c r="AN722" s="50" t="str">
        <f aca="false">IF($D722="","",IFERROR(T(VLOOKUP($D722,Listas!$B$5:$H$120,7,0)),""))</f>
        <v/>
      </c>
      <c r="AO722" s="50" t="str">
        <f aca="false">IF(OR($F722="",$L722&lt;&gt;"",$R722="Cancelada",$AT722&lt;&gt;""),"",$AN722&amp;"|"&amp;$D722&amp;"|"&amp;IF($C722="","zzz",$C722)&amp;"|"&amp;TEXT(722,"0000"))</f>
        <v/>
      </c>
      <c r="AP722" s="50" t="str">
        <f aca="false">IF($AO722="","",COUNTIF($AO$5:$AO$1004,"&lt;"&amp;$AO722)-(ROWS($AO$5:$AO$1004)-Hoje!$L$5)+1)</f>
        <v/>
      </c>
      <c r="AQ722" s="50" t="n">
        <f aca="false">IF(AND($F722&lt;&gt;"",$D722=Frota!$C$3),1,0)</f>
        <v>0</v>
      </c>
      <c r="AR722" s="50" t="str">
        <f aca="false">IF($AQ722=0,"",SUM($AQ$4:$AQ722))</f>
        <v/>
      </c>
      <c r="AS722" s="50" t="str">
        <f aca="false">IFERROR(INDEX(Hoje!$K$10:$K$29,MATCH(ROW(),Hoje!$J$10:$J$29,0)),"")</f>
        <v/>
      </c>
      <c r="AT722" s="50" t="str">
        <f aca="false">IF($Q722&lt;&gt;"",$Q722,$AS722)</f>
        <v/>
      </c>
    </row>
    <row r="723" customFormat="false" ht="16.5" hidden="false" customHeight="true" outlineLevel="0" collapsed="false">
      <c r="A723" s="39" t="str">
        <f aca="false">IF($F723="","",ROW())</f>
        <v/>
      </c>
      <c r="B723" s="40" t="str">
        <f aca="false">IF($F723="",IF($D723="","","Falta a atividade"),IF($R723="Cancelada","Cancelada",IF($AB723=1,IF(N($Z723)&gt;0,"Concluída com atraso","Concluída"),IF($R723="Em programação","Em programação",IF($O723="",IF($M723="","Na carteira","Falta a semana"),IF($AC723=1,"VENCIDA",IF($O723&gt;Hoje!$L$1,"Programada",IF($P723&gt;Hoje!$L$1,"Em execução","Fecha hoje"))))))))</f>
        <v/>
      </c>
      <c r="C723" s="41"/>
      <c r="D723" s="42"/>
      <c r="E723" s="42"/>
      <c r="F723" s="42"/>
      <c r="G723" s="43"/>
      <c r="H723" s="43"/>
      <c r="I723" s="44"/>
      <c r="J723" s="44"/>
      <c r="K723" s="44"/>
      <c r="L723" s="45"/>
      <c r="M723" s="46"/>
      <c r="N723" s="45"/>
      <c r="O723" s="47" t="str">
        <f aca="false">IF(OR($L723="",$M723=""),"",(DATE(Semana!$J$3,1,4)-WEEKDAY(DATE(Semana!$J$3,1,4),3))+($L723-1)*7+MATCH($M723,Listas!$F$5:$F$11,0)-1)</f>
        <v/>
      </c>
      <c r="P723" s="47" t="str">
        <f aca="false">IF(OR($F723="",$O723=""),"",$O723+MAX(0,ROUNDUP($AK723*MAX(1,IF($N723="",1,$N723))/MAX(1,$AL723),0)-1))</f>
        <v/>
      </c>
      <c r="Q723" s="48"/>
      <c r="R723" s="43"/>
      <c r="S723" s="49"/>
      <c r="T723" s="42"/>
      <c r="U723" s="42"/>
      <c r="V723" s="39" t="str">
        <f aca="false">IF($F723="","",IF(ISNUMBER(SEARCH("(externo)",$I723&amp;$J723&amp;$K723)),"Terceirizada","Interna"))</f>
        <v/>
      </c>
      <c r="W723" s="47" t="str">
        <f aca="false">IF($O723="","",IF($S723="",$O723,(DATE(Semana!$J$3,1,4)-WEEKDAY(DATE(Semana!$J$3,1,4),3))+($S723-1)*7+IF($M723="",0,MATCH($M723,Listas!$F$5:$F$11,0)-1)))</f>
        <v/>
      </c>
      <c r="X723" s="39" t="str">
        <f aca="false">IF($F723="","",IF(OR($AT723="",$O723=""),0,IF($AT723&lt;=$O723,1,0)))</f>
        <v/>
      </c>
      <c r="Y723" s="39" t="str">
        <f aca="false">IF($F723="","",IF(OR($AT723="",$W723=""),0,IF($AT723&lt;=$W723,1,0)))</f>
        <v/>
      </c>
      <c r="Z723" s="39" t="str">
        <f aca="false">IF(OR($AT723="",$O723=""),"",MAX(0,$AT723-$O723))</f>
        <v/>
      </c>
      <c r="AA723" s="39" t="str">
        <f aca="false">IF($F723="","",IF(AND($S723&lt;&gt;"",$L723&lt;&gt;"",$S723&lt;&gt;$L723),1,0))</f>
        <v/>
      </c>
      <c r="AB723" s="39" t="str">
        <f aca="false">IF($F723="","",IF($R723="Cancelada",0,IF(OR($AT723&lt;&gt;"",$R723="Concluída"),1,0)))</f>
        <v/>
      </c>
      <c r="AC723" s="39" t="n">
        <f aca="false">IF($P723="",0,IF($P723&lt;Hoje!$L$1,1,IF(AND($P723=Hoje!$L$1,Hoje!$L$2&gt;Semana!$M$3),1,0)))</f>
        <v>0</v>
      </c>
      <c r="AD723" s="39" t="str">
        <f aca="false">IF($F723="","",IF(COUNTA($I723:$K723)=0,0,1/COUNTA($I723:$K723)))</f>
        <v/>
      </c>
      <c r="AE723" s="39" t="str">
        <f aca="false">IF($AH723=0,"",SUM($AH$4:$AH723))</f>
        <v/>
      </c>
      <c r="AF723" s="39" t="str">
        <f aca="false">IF($AI723=0,"",SUM($AI$4:$AI723))</f>
        <v/>
      </c>
      <c r="AG723" s="50" t="str">
        <f aca="false">IF($F723="","",$I723&amp;IF($J723="",""," · "&amp;$J723)&amp;IF($K723="",""," · "&amp;$K723))</f>
        <v/>
      </c>
      <c r="AH723" s="39" t="n">
        <f aca="false">IF(AND($F723&lt;&gt;"",$O723&lt;&gt;"",$O723&lt;=Hoje!$C$3,$P723&gt;=Hoje!$C$3,$R723&lt;&gt;"Cancelada"),1,0)</f>
        <v>0</v>
      </c>
      <c r="AI723" s="39" t="n">
        <f aca="false">IF(AND($F723&lt;&gt;"",$P723&lt;&gt;"",$P723&lt;Hoje!$C$3,$AB723=0,$R723&lt;&gt;"Cancelada"),1,0)</f>
        <v>0</v>
      </c>
      <c r="AJ723" s="50" t="str">
        <f aca="false">IF($F723="","",$D723&amp;"|"&amp;$E723&amp;"|"&amp;$L723)</f>
        <v/>
      </c>
      <c r="AK723" s="39" t="str">
        <f aca="false">IF($AJ723="","",COUNTIF($AJ$4:$AJ723,$AJ723))</f>
        <v/>
      </c>
      <c r="AL723" s="39" t="str">
        <f aca="false">IF($AJ723="","",COUNTIF($AJ$4:$AJ$1004,$AJ723))</f>
        <v/>
      </c>
      <c r="AM723" s="42"/>
      <c r="AN723" s="50" t="str">
        <f aca="false">IF($D723="","",IFERROR(T(VLOOKUP($D723,Listas!$B$5:$H$120,7,0)),""))</f>
        <v/>
      </c>
      <c r="AO723" s="50" t="str">
        <f aca="false">IF(OR($F723="",$L723&lt;&gt;"",$R723="Cancelada",$AT723&lt;&gt;""),"",$AN723&amp;"|"&amp;$D723&amp;"|"&amp;IF($C723="","zzz",$C723)&amp;"|"&amp;TEXT(723,"0000"))</f>
        <v/>
      </c>
      <c r="AP723" s="50" t="str">
        <f aca="false">IF($AO723="","",COUNTIF($AO$5:$AO$1004,"&lt;"&amp;$AO723)-(ROWS($AO$5:$AO$1004)-Hoje!$L$5)+1)</f>
        <v/>
      </c>
      <c r="AQ723" s="50" t="n">
        <f aca="false">IF(AND($F723&lt;&gt;"",$D723=Frota!$C$3),1,0)</f>
        <v>0</v>
      </c>
      <c r="AR723" s="50" t="str">
        <f aca="false">IF($AQ723=0,"",SUM($AQ$4:$AQ723))</f>
        <v/>
      </c>
      <c r="AS723" s="50" t="str">
        <f aca="false">IFERROR(INDEX(Hoje!$K$10:$K$29,MATCH(ROW(),Hoje!$J$10:$J$29,0)),"")</f>
        <v/>
      </c>
      <c r="AT723" s="50" t="str">
        <f aca="false">IF($Q723&lt;&gt;"",$Q723,$AS723)</f>
        <v/>
      </c>
    </row>
    <row r="724" customFormat="false" ht="16.5" hidden="false" customHeight="true" outlineLevel="0" collapsed="false">
      <c r="A724" s="39" t="str">
        <f aca="false">IF($F724="","",ROW())</f>
        <v/>
      </c>
      <c r="B724" s="40" t="str">
        <f aca="false">IF($F724="",IF($D724="","","Falta a atividade"),IF($R724="Cancelada","Cancelada",IF($AB724=1,IF(N($Z724)&gt;0,"Concluída com atraso","Concluída"),IF($R724="Em programação","Em programação",IF($O724="",IF($M724="","Na carteira","Falta a semana"),IF($AC724=1,"VENCIDA",IF($O724&gt;Hoje!$L$1,"Programada",IF($P724&gt;Hoje!$L$1,"Em execução","Fecha hoje"))))))))</f>
        <v/>
      </c>
      <c r="C724" s="41"/>
      <c r="D724" s="42"/>
      <c r="E724" s="42"/>
      <c r="F724" s="42"/>
      <c r="G724" s="43"/>
      <c r="H724" s="43"/>
      <c r="I724" s="44"/>
      <c r="J724" s="44"/>
      <c r="K724" s="44"/>
      <c r="L724" s="45"/>
      <c r="M724" s="46"/>
      <c r="N724" s="45"/>
      <c r="O724" s="47" t="str">
        <f aca="false">IF(OR($L724="",$M724=""),"",(DATE(Semana!$J$3,1,4)-WEEKDAY(DATE(Semana!$J$3,1,4),3))+($L724-1)*7+MATCH($M724,Listas!$F$5:$F$11,0)-1)</f>
        <v/>
      </c>
      <c r="P724" s="47" t="str">
        <f aca="false">IF(OR($F724="",$O724=""),"",$O724+MAX(0,ROUNDUP($AK724*MAX(1,IF($N724="",1,$N724))/MAX(1,$AL724),0)-1))</f>
        <v/>
      </c>
      <c r="Q724" s="48"/>
      <c r="R724" s="43"/>
      <c r="S724" s="49"/>
      <c r="T724" s="42"/>
      <c r="U724" s="42"/>
      <c r="V724" s="39" t="str">
        <f aca="false">IF($F724="","",IF(ISNUMBER(SEARCH("(externo)",$I724&amp;$J724&amp;$K724)),"Terceirizada","Interna"))</f>
        <v/>
      </c>
      <c r="W724" s="47" t="str">
        <f aca="false">IF($O724="","",IF($S724="",$O724,(DATE(Semana!$J$3,1,4)-WEEKDAY(DATE(Semana!$J$3,1,4),3))+($S724-1)*7+IF($M724="",0,MATCH($M724,Listas!$F$5:$F$11,0)-1)))</f>
        <v/>
      </c>
      <c r="X724" s="39" t="str">
        <f aca="false">IF($F724="","",IF(OR($AT724="",$O724=""),0,IF($AT724&lt;=$O724,1,0)))</f>
        <v/>
      </c>
      <c r="Y724" s="39" t="str">
        <f aca="false">IF($F724="","",IF(OR($AT724="",$W724=""),0,IF($AT724&lt;=$W724,1,0)))</f>
        <v/>
      </c>
      <c r="Z724" s="39" t="str">
        <f aca="false">IF(OR($AT724="",$O724=""),"",MAX(0,$AT724-$O724))</f>
        <v/>
      </c>
      <c r="AA724" s="39" t="str">
        <f aca="false">IF($F724="","",IF(AND($S724&lt;&gt;"",$L724&lt;&gt;"",$S724&lt;&gt;$L724),1,0))</f>
        <v/>
      </c>
      <c r="AB724" s="39" t="str">
        <f aca="false">IF($F724="","",IF($R724="Cancelada",0,IF(OR($AT724&lt;&gt;"",$R724="Concluída"),1,0)))</f>
        <v/>
      </c>
      <c r="AC724" s="39" t="n">
        <f aca="false">IF($P724="",0,IF($P724&lt;Hoje!$L$1,1,IF(AND($P724=Hoje!$L$1,Hoje!$L$2&gt;Semana!$M$3),1,0)))</f>
        <v>0</v>
      </c>
      <c r="AD724" s="39" t="str">
        <f aca="false">IF($F724="","",IF(COUNTA($I724:$K724)=0,0,1/COUNTA($I724:$K724)))</f>
        <v/>
      </c>
      <c r="AE724" s="39" t="str">
        <f aca="false">IF($AH724=0,"",SUM($AH$4:$AH724))</f>
        <v/>
      </c>
      <c r="AF724" s="39" t="str">
        <f aca="false">IF($AI724=0,"",SUM($AI$4:$AI724))</f>
        <v/>
      </c>
      <c r="AG724" s="50" t="str">
        <f aca="false">IF($F724="","",$I724&amp;IF($J724="",""," · "&amp;$J724)&amp;IF($K724="",""," · "&amp;$K724))</f>
        <v/>
      </c>
      <c r="AH724" s="39" t="n">
        <f aca="false">IF(AND($F724&lt;&gt;"",$O724&lt;&gt;"",$O724&lt;=Hoje!$C$3,$P724&gt;=Hoje!$C$3,$R724&lt;&gt;"Cancelada"),1,0)</f>
        <v>0</v>
      </c>
      <c r="AI724" s="39" t="n">
        <f aca="false">IF(AND($F724&lt;&gt;"",$P724&lt;&gt;"",$P724&lt;Hoje!$C$3,$AB724=0,$R724&lt;&gt;"Cancelada"),1,0)</f>
        <v>0</v>
      </c>
      <c r="AJ724" s="50" t="str">
        <f aca="false">IF($F724="","",$D724&amp;"|"&amp;$E724&amp;"|"&amp;$L724)</f>
        <v/>
      </c>
      <c r="AK724" s="39" t="str">
        <f aca="false">IF($AJ724="","",COUNTIF($AJ$4:$AJ724,$AJ724))</f>
        <v/>
      </c>
      <c r="AL724" s="39" t="str">
        <f aca="false">IF($AJ724="","",COUNTIF($AJ$4:$AJ$1004,$AJ724))</f>
        <v/>
      </c>
      <c r="AM724" s="42"/>
      <c r="AN724" s="50" t="str">
        <f aca="false">IF($D724="","",IFERROR(T(VLOOKUP($D724,Listas!$B$5:$H$120,7,0)),""))</f>
        <v/>
      </c>
      <c r="AO724" s="50" t="str">
        <f aca="false">IF(OR($F724="",$L724&lt;&gt;"",$R724="Cancelada",$AT724&lt;&gt;""),"",$AN724&amp;"|"&amp;$D724&amp;"|"&amp;IF($C724="","zzz",$C724)&amp;"|"&amp;TEXT(724,"0000"))</f>
        <v/>
      </c>
      <c r="AP724" s="50" t="str">
        <f aca="false">IF($AO724="","",COUNTIF($AO$5:$AO$1004,"&lt;"&amp;$AO724)-(ROWS($AO$5:$AO$1004)-Hoje!$L$5)+1)</f>
        <v/>
      </c>
      <c r="AQ724" s="50" t="n">
        <f aca="false">IF(AND($F724&lt;&gt;"",$D724=Frota!$C$3),1,0)</f>
        <v>0</v>
      </c>
      <c r="AR724" s="50" t="str">
        <f aca="false">IF($AQ724=0,"",SUM($AQ$4:$AQ724))</f>
        <v/>
      </c>
      <c r="AS724" s="50" t="str">
        <f aca="false">IFERROR(INDEX(Hoje!$K$10:$K$29,MATCH(ROW(),Hoje!$J$10:$J$29,0)),"")</f>
        <v/>
      </c>
      <c r="AT724" s="50" t="str">
        <f aca="false">IF($Q724&lt;&gt;"",$Q724,$AS724)</f>
        <v/>
      </c>
    </row>
    <row r="725" customFormat="false" ht="16.5" hidden="false" customHeight="true" outlineLevel="0" collapsed="false">
      <c r="A725" s="39" t="str">
        <f aca="false">IF($F725="","",ROW())</f>
        <v/>
      </c>
      <c r="B725" s="40" t="str">
        <f aca="false">IF($F725="",IF($D725="","","Falta a atividade"),IF($R725="Cancelada","Cancelada",IF($AB725=1,IF(N($Z725)&gt;0,"Concluída com atraso","Concluída"),IF($R725="Em programação","Em programação",IF($O725="",IF($M725="","Na carteira","Falta a semana"),IF($AC725=1,"VENCIDA",IF($O725&gt;Hoje!$L$1,"Programada",IF($P725&gt;Hoje!$L$1,"Em execução","Fecha hoje"))))))))</f>
        <v/>
      </c>
      <c r="C725" s="41"/>
      <c r="D725" s="42"/>
      <c r="E725" s="42"/>
      <c r="F725" s="42"/>
      <c r="G725" s="43"/>
      <c r="H725" s="43"/>
      <c r="I725" s="44"/>
      <c r="J725" s="44"/>
      <c r="K725" s="44"/>
      <c r="L725" s="45"/>
      <c r="M725" s="46"/>
      <c r="N725" s="45"/>
      <c r="O725" s="47" t="str">
        <f aca="false">IF(OR($L725="",$M725=""),"",(DATE(Semana!$J$3,1,4)-WEEKDAY(DATE(Semana!$J$3,1,4),3))+($L725-1)*7+MATCH($M725,Listas!$F$5:$F$11,0)-1)</f>
        <v/>
      </c>
      <c r="P725" s="47" t="str">
        <f aca="false">IF(OR($F725="",$O725=""),"",$O725+MAX(0,ROUNDUP($AK725*MAX(1,IF($N725="",1,$N725))/MAX(1,$AL725),0)-1))</f>
        <v/>
      </c>
      <c r="Q725" s="48"/>
      <c r="R725" s="43"/>
      <c r="S725" s="49"/>
      <c r="T725" s="42"/>
      <c r="U725" s="42"/>
      <c r="V725" s="39" t="str">
        <f aca="false">IF($F725="","",IF(ISNUMBER(SEARCH("(externo)",$I725&amp;$J725&amp;$K725)),"Terceirizada","Interna"))</f>
        <v/>
      </c>
      <c r="W725" s="47" t="str">
        <f aca="false">IF($O725="","",IF($S725="",$O725,(DATE(Semana!$J$3,1,4)-WEEKDAY(DATE(Semana!$J$3,1,4),3))+($S725-1)*7+IF($M725="",0,MATCH($M725,Listas!$F$5:$F$11,0)-1)))</f>
        <v/>
      </c>
      <c r="X725" s="39" t="str">
        <f aca="false">IF($F725="","",IF(OR($AT725="",$O725=""),0,IF($AT725&lt;=$O725,1,0)))</f>
        <v/>
      </c>
      <c r="Y725" s="39" t="str">
        <f aca="false">IF($F725="","",IF(OR($AT725="",$W725=""),0,IF($AT725&lt;=$W725,1,0)))</f>
        <v/>
      </c>
      <c r="Z725" s="39" t="str">
        <f aca="false">IF(OR($AT725="",$O725=""),"",MAX(0,$AT725-$O725))</f>
        <v/>
      </c>
      <c r="AA725" s="39" t="str">
        <f aca="false">IF($F725="","",IF(AND($S725&lt;&gt;"",$L725&lt;&gt;"",$S725&lt;&gt;$L725),1,0))</f>
        <v/>
      </c>
      <c r="AB725" s="39" t="str">
        <f aca="false">IF($F725="","",IF($R725="Cancelada",0,IF(OR($AT725&lt;&gt;"",$R725="Concluída"),1,0)))</f>
        <v/>
      </c>
      <c r="AC725" s="39" t="n">
        <f aca="false">IF($P725="",0,IF($P725&lt;Hoje!$L$1,1,IF(AND($P725=Hoje!$L$1,Hoje!$L$2&gt;Semana!$M$3),1,0)))</f>
        <v>0</v>
      </c>
      <c r="AD725" s="39" t="str">
        <f aca="false">IF($F725="","",IF(COUNTA($I725:$K725)=0,0,1/COUNTA($I725:$K725)))</f>
        <v/>
      </c>
      <c r="AE725" s="39" t="str">
        <f aca="false">IF($AH725=0,"",SUM($AH$4:$AH725))</f>
        <v/>
      </c>
      <c r="AF725" s="39" t="str">
        <f aca="false">IF($AI725=0,"",SUM($AI$4:$AI725))</f>
        <v/>
      </c>
      <c r="AG725" s="50" t="str">
        <f aca="false">IF($F725="","",$I725&amp;IF($J725="",""," · "&amp;$J725)&amp;IF($K725="",""," · "&amp;$K725))</f>
        <v/>
      </c>
      <c r="AH725" s="39" t="n">
        <f aca="false">IF(AND($F725&lt;&gt;"",$O725&lt;&gt;"",$O725&lt;=Hoje!$C$3,$P725&gt;=Hoje!$C$3,$R725&lt;&gt;"Cancelada"),1,0)</f>
        <v>0</v>
      </c>
      <c r="AI725" s="39" t="n">
        <f aca="false">IF(AND($F725&lt;&gt;"",$P725&lt;&gt;"",$P725&lt;Hoje!$C$3,$AB725=0,$R725&lt;&gt;"Cancelada"),1,0)</f>
        <v>0</v>
      </c>
      <c r="AJ725" s="50" t="str">
        <f aca="false">IF($F725="","",$D725&amp;"|"&amp;$E725&amp;"|"&amp;$L725)</f>
        <v/>
      </c>
      <c r="AK725" s="39" t="str">
        <f aca="false">IF($AJ725="","",COUNTIF($AJ$4:$AJ725,$AJ725))</f>
        <v/>
      </c>
      <c r="AL725" s="39" t="str">
        <f aca="false">IF($AJ725="","",COUNTIF($AJ$4:$AJ$1004,$AJ725))</f>
        <v/>
      </c>
      <c r="AM725" s="42"/>
      <c r="AN725" s="50" t="str">
        <f aca="false">IF($D725="","",IFERROR(T(VLOOKUP($D725,Listas!$B$5:$H$120,7,0)),""))</f>
        <v/>
      </c>
      <c r="AO725" s="50" t="str">
        <f aca="false">IF(OR($F725="",$L725&lt;&gt;"",$R725="Cancelada",$AT725&lt;&gt;""),"",$AN725&amp;"|"&amp;$D725&amp;"|"&amp;IF($C725="","zzz",$C725)&amp;"|"&amp;TEXT(725,"0000"))</f>
        <v/>
      </c>
      <c r="AP725" s="50" t="str">
        <f aca="false">IF($AO725="","",COUNTIF($AO$5:$AO$1004,"&lt;"&amp;$AO725)-(ROWS($AO$5:$AO$1004)-Hoje!$L$5)+1)</f>
        <v/>
      </c>
      <c r="AQ725" s="50" t="n">
        <f aca="false">IF(AND($F725&lt;&gt;"",$D725=Frota!$C$3),1,0)</f>
        <v>0</v>
      </c>
      <c r="AR725" s="50" t="str">
        <f aca="false">IF($AQ725=0,"",SUM($AQ$4:$AQ725))</f>
        <v/>
      </c>
      <c r="AS725" s="50" t="str">
        <f aca="false">IFERROR(INDEX(Hoje!$K$10:$K$29,MATCH(ROW(),Hoje!$J$10:$J$29,0)),"")</f>
        <v/>
      </c>
      <c r="AT725" s="50" t="str">
        <f aca="false">IF($Q725&lt;&gt;"",$Q725,$AS725)</f>
        <v/>
      </c>
    </row>
    <row r="726" customFormat="false" ht="16.5" hidden="false" customHeight="true" outlineLevel="0" collapsed="false">
      <c r="A726" s="39" t="str">
        <f aca="false">IF($F726="","",ROW())</f>
        <v/>
      </c>
      <c r="B726" s="40" t="str">
        <f aca="false">IF($F726="",IF($D726="","","Falta a atividade"),IF($R726="Cancelada","Cancelada",IF($AB726=1,IF(N($Z726)&gt;0,"Concluída com atraso","Concluída"),IF($R726="Em programação","Em programação",IF($O726="",IF($M726="","Na carteira","Falta a semana"),IF($AC726=1,"VENCIDA",IF($O726&gt;Hoje!$L$1,"Programada",IF($P726&gt;Hoje!$L$1,"Em execução","Fecha hoje"))))))))</f>
        <v/>
      </c>
      <c r="C726" s="41"/>
      <c r="D726" s="42"/>
      <c r="E726" s="42"/>
      <c r="F726" s="42"/>
      <c r="G726" s="43"/>
      <c r="H726" s="43"/>
      <c r="I726" s="44"/>
      <c r="J726" s="44"/>
      <c r="K726" s="44"/>
      <c r="L726" s="45"/>
      <c r="M726" s="46"/>
      <c r="N726" s="45"/>
      <c r="O726" s="47" t="str">
        <f aca="false">IF(OR($L726="",$M726=""),"",(DATE(Semana!$J$3,1,4)-WEEKDAY(DATE(Semana!$J$3,1,4),3))+($L726-1)*7+MATCH($M726,Listas!$F$5:$F$11,0)-1)</f>
        <v/>
      </c>
      <c r="P726" s="47" t="str">
        <f aca="false">IF(OR($F726="",$O726=""),"",$O726+MAX(0,ROUNDUP($AK726*MAX(1,IF($N726="",1,$N726))/MAX(1,$AL726),0)-1))</f>
        <v/>
      </c>
      <c r="Q726" s="48"/>
      <c r="R726" s="43"/>
      <c r="S726" s="49"/>
      <c r="T726" s="42"/>
      <c r="U726" s="42"/>
      <c r="V726" s="39" t="str">
        <f aca="false">IF($F726="","",IF(ISNUMBER(SEARCH("(externo)",$I726&amp;$J726&amp;$K726)),"Terceirizada","Interna"))</f>
        <v/>
      </c>
      <c r="W726" s="47" t="str">
        <f aca="false">IF($O726="","",IF($S726="",$O726,(DATE(Semana!$J$3,1,4)-WEEKDAY(DATE(Semana!$J$3,1,4),3))+($S726-1)*7+IF($M726="",0,MATCH($M726,Listas!$F$5:$F$11,0)-1)))</f>
        <v/>
      </c>
      <c r="X726" s="39" t="str">
        <f aca="false">IF($F726="","",IF(OR($AT726="",$O726=""),0,IF($AT726&lt;=$O726,1,0)))</f>
        <v/>
      </c>
      <c r="Y726" s="39" t="str">
        <f aca="false">IF($F726="","",IF(OR($AT726="",$W726=""),0,IF($AT726&lt;=$W726,1,0)))</f>
        <v/>
      </c>
      <c r="Z726" s="39" t="str">
        <f aca="false">IF(OR($AT726="",$O726=""),"",MAX(0,$AT726-$O726))</f>
        <v/>
      </c>
      <c r="AA726" s="39" t="str">
        <f aca="false">IF($F726="","",IF(AND($S726&lt;&gt;"",$L726&lt;&gt;"",$S726&lt;&gt;$L726),1,0))</f>
        <v/>
      </c>
      <c r="AB726" s="39" t="str">
        <f aca="false">IF($F726="","",IF($R726="Cancelada",0,IF(OR($AT726&lt;&gt;"",$R726="Concluída"),1,0)))</f>
        <v/>
      </c>
      <c r="AC726" s="39" t="n">
        <f aca="false">IF($P726="",0,IF($P726&lt;Hoje!$L$1,1,IF(AND($P726=Hoje!$L$1,Hoje!$L$2&gt;Semana!$M$3),1,0)))</f>
        <v>0</v>
      </c>
      <c r="AD726" s="39" t="str">
        <f aca="false">IF($F726="","",IF(COUNTA($I726:$K726)=0,0,1/COUNTA($I726:$K726)))</f>
        <v/>
      </c>
      <c r="AE726" s="39" t="str">
        <f aca="false">IF($AH726=0,"",SUM($AH$4:$AH726))</f>
        <v/>
      </c>
      <c r="AF726" s="39" t="str">
        <f aca="false">IF($AI726=0,"",SUM($AI$4:$AI726))</f>
        <v/>
      </c>
      <c r="AG726" s="50" t="str">
        <f aca="false">IF($F726="","",$I726&amp;IF($J726="",""," · "&amp;$J726)&amp;IF($K726="",""," · "&amp;$K726))</f>
        <v/>
      </c>
      <c r="AH726" s="39" t="n">
        <f aca="false">IF(AND($F726&lt;&gt;"",$O726&lt;&gt;"",$O726&lt;=Hoje!$C$3,$P726&gt;=Hoje!$C$3,$R726&lt;&gt;"Cancelada"),1,0)</f>
        <v>0</v>
      </c>
      <c r="AI726" s="39" t="n">
        <f aca="false">IF(AND($F726&lt;&gt;"",$P726&lt;&gt;"",$P726&lt;Hoje!$C$3,$AB726=0,$R726&lt;&gt;"Cancelada"),1,0)</f>
        <v>0</v>
      </c>
      <c r="AJ726" s="50" t="str">
        <f aca="false">IF($F726="","",$D726&amp;"|"&amp;$E726&amp;"|"&amp;$L726)</f>
        <v/>
      </c>
      <c r="AK726" s="39" t="str">
        <f aca="false">IF($AJ726="","",COUNTIF($AJ$4:$AJ726,$AJ726))</f>
        <v/>
      </c>
      <c r="AL726" s="39" t="str">
        <f aca="false">IF($AJ726="","",COUNTIF($AJ$4:$AJ$1004,$AJ726))</f>
        <v/>
      </c>
      <c r="AM726" s="42"/>
      <c r="AN726" s="50" t="str">
        <f aca="false">IF($D726="","",IFERROR(T(VLOOKUP($D726,Listas!$B$5:$H$120,7,0)),""))</f>
        <v/>
      </c>
      <c r="AO726" s="50" t="str">
        <f aca="false">IF(OR($F726="",$L726&lt;&gt;"",$R726="Cancelada",$AT726&lt;&gt;""),"",$AN726&amp;"|"&amp;$D726&amp;"|"&amp;IF($C726="","zzz",$C726)&amp;"|"&amp;TEXT(726,"0000"))</f>
        <v/>
      </c>
      <c r="AP726" s="50" t="str">
        <f aca="false">IF($AO726="","",COUNTIF($AO$5:$AO$1004,"&lt;"&amp;$AO726)-(ROWS($AO$5:$AO$1004)-Hoje!$L$5)+1)</f>
        <v/>
      </c>
      <c r="AQ726" s="50" t="n">
        <f aca="false">IF(AND($F726&lt;&gt;"",$D726=Frota!$C$3),1,0)</f>
        <v>0</v>
      </c>
      <c r="AR726" s="50" t="str">
        <f aca="false">IF($AQ726=0,"",SUM($AQ$4:$AQ726))</f>
        <v/>
      </c>
      <c r="AS726" s="50" t="str">
        <f aca="false">IFERROR(INDEX(Hoje!$K$10:$K$29,MATCH(ROW(),Hoje!$J$10:$J$29,0)),"")</f>
        <v/>
      </c>
      <c r="AT726" s="50" t="str">
        <f aca="false">IF($Q726&lt;&gt;"",$Q726,$AS726)</f>
        <v/>
      </c>
    </row>
    <row r="727" customFormat="false" ht="16.5" hidden="false" customHeight="true" outlineLevel="0" collapsed="false">
      <c r="A727" s="39" t="str">
        <f aca="false">IF($F727="","",ROW())</f>
        <v/>
      </c>
      <c r="B727" s="40" t="str">
        <f aca="false">IF($F727="",IF($D727="","","Falta a atividade"),IF($R727="Cancelada","Cancelada",IF($AB727=1,IF(N($Z727)&gt;0,"Concluída com atraso","Concluída"),IF($R727="Em programação","Em programação",IF($O727="",IF($M727="","Na carteira","Falta a semana"),IF($AC727=1,"VENCIDA",IF($O727&gt;Hoje!$L$1,"Programada",IF($P727&gt;Hoje!$L$1,"Em execução","Fecha hoje"))))))))</f>
        <v/>
      </c>
      <c r="C727" s="41"/>
      <c r="D727" s="42"/>
      <c r="E727" s="42"/>
      <c r="F727" s="42"/>
      <c r="G727" s="43"/>
      <c r="H727" s="43"/>
      <c r="I727" s="44"/>
      <c r="J727" s="44"/>
      <c r="K727" s="44"/>
      <c r="L727" s="45"/>
      <c r="M727" s="46"/>
      <c r="N727" s="45"/>
      <c r="O727" s="47" t="str">
        <f aca="false">IF(OR($L727="",$M727=""),"",(DATE(Semana!$J$3,1,4)-WEEKDAY(DATE(Semana!$J$3,1,4),3))+($L727-1)*7+MATCH($M727,Listas!$F$5:$F$11,0)-1)</f>
        <v/>
      </c>
      <c r="P727" s="47" t="str">
        <f aca="false">IF(OR($F727="",$O727=""),"",$O727+MAX(0,ROUNDUP($AK727*MAX(1,IF($N727="",1,$N727))/MAX(1,$AL727),0)-1))</f>
        <v/>
      </c>
      <c r="Q727" s="48"/>
      <c r="R727" s="43"/>
      <c r="S727" s="49"/>
      <c r="T727" s="42"/>
      <c r="U727" s="42"/>
      <c r="V727" s="39" t="str">
        <f aca="false">IF($F727="","",IF(ISNUMBER(SEARCH("(externo)",$I727&amp;$J727&amp;$K727)),"Terceirizada","Interna"))</f>
        <v/>
      </c>
      <c r="W727" s="47" t="str">
        <f aca="false">IF($O727="","",IF($S727="",$O727,(DATE(Semana!$J$3,1,4)-WEEKDAY(DATE(Semana!$J$3,1,4),3))+($S727-1)*7+IF($M727="",0,MATCH($M727,Listas!$F$5:$F$11,0)-1)))</f>
        <v/>
      </c>
      <c r="X727" s="39" t="str">
        <f aca="false">IF($F727="","",IF(OR($AT727="",$O727=""),0,IF($AT727&lt;=$O727,1,0)))</f>
        <v/>
      </c>
      <c r="Y727" s="39" t="str">
        <f aca="false">IF($F727="","",IF(OR($AT727="",$W727=""),0,IF($AT727&lt;=$W727,1,0)))</f>
        <v/>
      </c>
      <c r="Z727" s="39" t="str">
        <f aca="false">IF(OR($AT727="",$O727=""),"",MAX(0,$AT727-$O727))</f>
        <v/>
      </c>
      <c r="AA727" s="39" t="str">
        <f aca="false">IF($F727="","",IF(AND($S727&lt;&gt;"",$L727&lt;&gt;"",$S727&lt;&gt;$L727),1,0))</f>
        <v/>
      </c>
      <c r="AB727" s="39" t="str">
        <f aca="false">IF($F727="","",IF($R727="Cancelada",0,IF(OR($AT727&lt;&gt;"",$R727="Concluída"),1,0)))</f>
        <v/>
      </c>
      <c r="AC727" s="39" t="n">
        <f aca="false">IF($P727="",0,IF($P727&lt;Hoje!$L$1,1,IF(AND($P727=Hoje!$L$1,Hoje!$L$2&gt;Semana!$M$3),1,0)))</f>
        <v>0</v>
      </c>
      <c r="AD727" s="39" t="str">
        <f aca="false">IF($F727="","",IF(COUNTA($I727:$K727)=0,0,1/COUNTA($I727:$K727)))</f>
        <v/>
      </c>
      <c r="AE727" s="39" t="str">
        <f aca="false">IF($AH727=0,"",SUM($AH$4:$AH727))</f>
        <v/>
      </c>
      <c r="AF727" s="39" t="str">
        <f aca="false">IF($AI727=0,"",SUM($AI$4:$AI727))</f>
        <v/>
      </c>
      <c r="AG727" s="50" t="str">
        <f aca="false">IF($F727="","",$I727&amp;IF($J727="",""," · "&amp;$J727)&amp;IF($K727="",""," · "&amp;$K727))</f>
        <v/>
      </c>
      <c r="AH727" s="39" t="n">
        <f aca="false">IF(AND($F727&lt;&gt;"",$O727&lt;&gt;"",$O727&lt;=Hoje!$C$3,$P727&gt;=Hoje!$C$3,$R727&lt;&gt;"Cancelada"),1,0)</f>
        <v>0</v>
      </c>
      <c r="AI727" s="39" t="n">
        <f aca="false">IF(AND($F727&lt;&gt;"",$P727&lt;&gt;"",$P727&lt;Hoje!$C$3,$AB727=0,$R727&lt;&gt;"Cancelada"),1,0)</f>
        <v>0</v>
      </c>
      <c r="AJ727" s="50" t="str">
        <f aca="false">IF($F727="","",$D727&amp;"|"&amp;$E727&amp;"|"&amp;$L727)</f>
        <v/>
      </c>
      <c r="AK727" s="39" t="str">
        <f aca="false">IF($AJ727="","",COUNTIF($AJ$4:$AJ727,$AJ727))</f>
        <v/>
      </c>
      <c r="AL727" s="39" t="str">
        <f aca="false">IF($AJ727="","",COUNTIF($AJ$4:$AJ$1004,$AJ727))</f>
        <v/>
      </c>
      <c r="AM727" s="42"/>
      <c r="AN727" s="50" t="str">
        <f aca="false">IF($D727="","",IFERROR(T(VLOOKUP($D727,Listas!$B$5:$H$120,7,0)),""))</f>
        <v/>
      </c>
      <c r="AO727" s="50" t="str">
        <f aca="false">IF(OR($F727="",$L727&lt;&gt;"",$R727="Cancelada",$AT727&lt;&gt;""),"",$AN727&amp;"|"&amp;$D727&amp;"|"&amp;IF($C727="","zzz",$C727)&amp;"|"&amp;TEXT(727,"0000"))</f>
        <v/>
      </c>
      <c r="AP727" s="50" t="str">
        <f aca="false">IF($AO727="","",COUNTIF($AO$5:$AO$1004,"&lt;"&amp;$AO727)-(ROWS($AO$5:$AO$1004)-Hoje!$L$5)+1)</f>
        <v/>
      </c>
      <c r="AQ727" s="50" t="n">
        <f aca="false">IF(AND($F727&lt;&gt;"",$D727=Frota!$C$3),1,0)</f>
        <v>0</v>
      </c>
      <c r="AR727" s="50" t="str">
        <f aca="false">IF($AQ727=0,"",SUM($AQ$4:$AQ727))</f>
        <v/>
      </c>
      <c r="AS727" s="50" t="str">
        <f aca="false">IFERROR(INDEX(Hoje!$K$10:$K$29,MATCH(ROW(),Hoje!$J$10:$J$29,0)),"")</f>
        <v/>
      </c>
      <c r="AT727" s="50" t="str">
        <f aca="false">IF($Q727&lt;&gt;"",$Q727,$AS727)</f>
        <v/>
      </c>
    </row>
    <row r="728" customFormat="false" ht="16.5" hidden="false" customHeight="true" outlineLevel="0" collapsed="false">
      <c r="A728" s="39" t="str">
        <f aca="false">IF($F728="","",ROW())</f>
        <v/>
      </c>
      <c r="B728" s="40" t="str">
        <f aca="false">IF($F728="",IF($D728="","","Falta a atividade"),IF($R728="Cancelada","Cancelada",IF($AB728=1,IF(N($Z728)&gt;0,"Concluída com atraso","Concluída"),IF($R728="Em programação","Em programação",IF($O728="",IF($M728="","Na carteira","Falta a semana"),IF($AC728=1,"VENCIDA",IF($O728&gt;Hoje!$L$1,"Programada",IF($P728&gt;Hoje!$L$1,"Em execução","Fecha hoje"))))))))</f>
        <v/>
      </c>
      <c r="C728" s="41"/>
      <c r="D728" s="42"/>
      <c r="E728" s="42"/>
      <c r="F728" s="42"/>
      <c r="G728" s="43"/>
      <c r="H728" s="43"/>
      <c r="I728" s="44"/>
      <c r="J728" s="44"/>
      <c r="K728" s="44"/>
      <c r="L728" s="45"/>
      <c r="M728" s="46"/>
      <c r="N728" s="45"/>
      <c r="O728" s="47" t="str">
        <f aca="false">IF(OR($L728="",$M728=""),"",(DATE(Semana!$J$3,1,4)-WEEKDAY(DATE(Semana!$J$3,1,4),3))+($L728-1)*7+MATCH($M728,Listas!$F$5:$F$11,0)-1)</f>
        <v/>
      </c>
      <c r="P728" s="47" t="str">
        <f aca="false">IF(OR($F728="",$O728=""),"",$O728+MAX(0,ROUNDUP($AK728*MAX(1,IF($N728="",1,$N728))/MAX(1,$AL728),0)-1))</f>
        <v/>
      </c>
      <c r="Q728" s="48"/>
      <c r="R728" s="43"/>
      <c r="S728" s="49"/>
      <c r="T728" s="42"/>
      <c r="U728" s="42"/>
      <c r="V728" s="39" t="str">
        <f aca="false">IF($F728="","",IF(ISNUMBER(SEARCH("(externo)",$I728&amp;$J728&amp;$K728)),"Terceirizada","Interna"))</f>
        <v/>
      </c>
      <c r="W728" s="47" t="str">
        <f aca="false">IF($O728="","",IF($S728="",$O728,(DATE(Semana!$J$3,1,4)-WEEKDAY(DATE(Semana!$J$3,1,4),3))+($S728-1)*7+IF($M728="",0,MATCH($M728,Listas!$F$5:$F$11,0)-1)))</f>
        <v/>
      </c>
      <c r="X728" s="39" t="str">
        <f aca="false">IF($F728="","",IF(OR($AT728="",$O728=""),0,IF($AT728&lt;=$O728,1,0)))</f>
        <v/>
      </c>
      <c r="Y728" s="39" t="str">
        <f aca="false">IF($F728="","",IF(OR($AT728="",$W728=""),0,IF($AT728&lt;=$W728,1,0)))</f>
        <v/>
      </c>
      <c r="Z728" s="39" t="str">
        <f aca="false">IF(OR($AT728="",$O728=""),"",MAX(0,$AT728-$O728))</f>
        <v/>
      </c>
      <c r="AA728" s="39" t="str">
        <f aca="false">IF($F728="","",IF(AND($S728&lt;&gt;"",$L728&lt;&gt;"",$S728&lt;&gt;$L728),1,0))</f>
        <v/>
      </c>
      <c r="AB728" s="39" t="str">
        <f aca="false">IF($F728="","",IF($R728="Cancelada",0,IF(OR($AT728&lt;&gt;"",$R728="Concluída"),1,0)))</f>
        <v/>
      </c>
      <c r="AC728" s="39" t="n">
        <f aca="false">IF($P728="",0,IF($P728&lt;Hoje!$L$1,1,IF(AND($P728=Hoje!$L$1,Hoje!$L$2&gt;Semana!$M$3),1,0)))</f>
        <v>0</v>
      </c>
      <c r="AD728" s="39" t="str">
        <f aca="false">IF($F728="","",IF(COUNTA($I728:$K728)=0,0,1/COUNTA($I728:$K728)))</f>
        <v/>
      </c>
      <c r="AE728" s="39" t="str">
        <f aca="false">IF($AH728=0,"",SUM($AH$4:$AH728))</f>
        <v/>
      </c>
      <c r="AF728" s="39" t="str">
        <f aca="false">IF($AI728=0,"",SUM($AI$4:$AI728))</f>
        <v/>
      </c>
      <c r="AG728" s="50" t="str">
        <f aca="false">IF($F728="","",$I728&amp;IF($J728="",""," · "&amp;$J728)&amp;IF($K728="",""," · "&amp;$K728))</f>
        <v/>
      </c>
      <c r="AH728" s="39" t="n">
        <f aca="false">IF(AND($F728&lt;&gt;"",$O728&lt;&gt;"",$O728&lt;=Hoje!$C$3,$P728&gt;=Hoje!$C$3,$R728&lt;&gt;"Cancelada"),1,0)</f>
        <v>0</v>
      </c>
      <c r="AI728" s="39" t="n">
        <f aca="false">IF(AND($F728&lt;&gt;"",$P728&lt;&gt;"",$P728&lt;Hoje!$C$3,$AB728=0,$R728&lt;&gt;"Cancelada"),1,0)</f>
        <v>0</v>
      </c>
      <c r="AJ728" s="50" t="str">
        <f aca="false">IF($F728="","",$D728&amp;"|"&amp;$E728&amp;"|"&amp;$L728)</f>
        <v/>
      </c>
      <c r="AK728" s="39" t="str">
        <f aca="false">IF($AJ728="","",COUNTIF($AJ$4:$AJ728,$AJ728))</f>
        <v/>
      </c>
      <c r="AL728" s="39" t="str">
        <f aca="false">IF($AJ728="","",COUNTIF($AJ$4:$AJ$1004,$AJ728))</f>
        <v/>
      </c>
      <c r="AM728" s="42"/>
      <c r="AN728" s="50" t="str">
        <f aca="false">IF($D728="","",IFERROR(T(VLOOKUP($D728,Listas!$B$5:$H$120,7,0)),""))</f>
        <v/>
      </c>
      <c r="AO728" s="50" t="str">
        <f aca="false">IF(OR($F728="",$L728&lt;&gt;"",$R728="Cancelada",$AT728&lt;&gt;""),"",$AN728&amp;"|"&amp;$D728&amp;"|"&amp;IF($C728="","zzz",$C728)&amp;"|"&amp;TEXT(728,"0000"))</f>
        <v/>
      </c>
      <c r="AP728" s="50" t="str">
        <f aca="false">IF($AO728="","",COUNTIF($AO$5:$AO$1004,"&lt;"&amp;$AO728)-(ROWS($AO$5:$AO$1004)-Hoje!$L$5)+1)</f>
        <v/>
      </c>
      <c r="AQ728" s="50" t="n">
        <f aca="false">IF(AND($F728&lt;&gt;"",$D728=Frota!$C$3),1,0)</f>
        <v>0</v>
      </c>
      <c r="AR728" s="50" t="str">
        <f aca="false">IF($AQ728=0,"",SUM($AQ$4:$AQ728))</f>
        <v/>
      </c>
      <c r="AS728" s="50" t="str">
        <f aca="false">IFERROR(INDEX(Hoje!$K$10:$K$29,MATCH(ROW(),Hoje!$J$10:$J$29,0)),"")</f>
        <v/>
      </c>
      <c r="AT728" s="50" t="str">
        <f aca="false">IF($Q728&lt;&gt;"",$Q728,$AS728)</f>
        <v/>
      </c>
    </row>
    <row r="729" customFormat="false" ht="16.5" hidden="false" customHeight="true" outlineLevel="0" collapsed="false">
      <c r="A729" s="39" t="str">
        <f aca="false">IF($F729="","",ROW())</f>
        <v/>
      </c>
      <c r="B729" s="40" t="str">
        <f aca="false">IF($F729="",IF($D729="","","Falta a atividade"),IF($R729="Cancelada","Cancelada",IF($AB729=1,IF(N($Z729)&gt;0,"Concluída com atraso","Concluída"),IF($R729="Em programação","Em programação",IF($O729="",IF($M729="","Na carteira","Falta a semana"),IF($AC729=1,"VENCIDA",IF($O729&gt;Hoje!$L$1,"Programada",IF($P729&gt;Hoje!$L$1,"Em execução","Fecha hoje"))))))))</f>
        <v/>
      </c>
      <c r="C729" s="41"/>
      <c r="D729" s="42"/>
      <c r="E729" s="42"/>
      <c r="F729" s="42"/>
      <c r="G729" s="43"/>
      <c r="H729" s="43"/>
      <c r="I729" s="44"/>
      <c r="J729" s="44"/>
      <c r="K729" s="44"/>
      <c r="L729" s="45"/>
      <c r="M729" s="46"/>
      <c r="N729" s="45"/>
      <c r="O729" s="47" t="str">
        <f aca="false">IF(OR($L729="",$M729=""),"",(DATE(Semana!$J$3,1,4)-WEEKDAY(DATE(Semana!$J$3,1,4),3))+($L729-1)*7+MATCH($M729,Listas!$F$5:$F$11,0)-1)</f>
        <v/>
      </c>
      <c r="P729" s="47" t="str">
        <f aca="false">IF(OR($F729="",$O729=""),"",$O729+MAX(0,ROUNDUP($AK729*MAX(1,IF($N729="",1,$N729))/MAX(1,$AL729),0)-1))</f>
        <v/>
      </c>
      <c r="Q729" s="48"/>
      <c r="R729" s="43"/>
      <c r="S729" s="49"/>
      <c r="T729" s="42"/>
      <c r="U729" s="42"/>
      <c r="V729" s="39" t="str">
        <f aca="false">IF($F729="","",IF(ISNUMBER(SEARCH("(externo)",$I729&amp;$J729&amp;$K729)),"Terceirizada","Interna"))</f>
        <v/>
      </c>
      <c r="W729" s="47" t="str">
        <f aca="false">IF($O729="","",IF($S729="",$O729,(DATE(Semana!$J$3,1,4)-WEEKDAY(DATE(Semana!$J$3,1,4),3))+($S729-1)*7+IF($M729="",0,MATCH($M729,Listas!$F$5:$F$11,0)-1)))</f>
        <v/>
      </c>
      <c r="X729" s="39" t="str">
        <f aca="false">IF($F729="","",IF(OR($AT729="",$O729=""),0,IF($AT729&lt;=$O729,1,0)))</f>
        <v/>
      </c>
      <c r="Y729" s="39" t="str">
        <f aca="false">IF($F729="","",IF(OR($AT729="",$W729=""),0,IF($AT729&lt;=$W729,1,0)))</f>
        <v/>
      </c>
      <c r="Z729" s="39" t="str">
        <f aca="false">IF(OR($AT729="",$O729=""),"",MAX(0,$AT729-$O729))</f>
        <v/>
      </c>
      <c r="AA729" s="39" t="str">
        <f aca="false">IF($F729="","",IF(AND($S729&lt;&gt;"",$L729&lt;&gt;"",$S729&lt;&gt;$L729),1,0))</f>
        <v/>
      </c>
      <c r="AB729" s="39" t="str">
        <f aca="false">IF($F729="","",IF($R729="Cancelada",0,IF(OR($AT729&lt;&gt;"",$R729="Concluída"),1,0)))</f>
        <v/>
      </c>
      <c r="AC729" s="39" t="n">
        <f aca="false">IF($P729="",0,IF($P729&lt;Hoje!$L$1,1,IF(AND($P729=Hoje!$L$1,Hoje!$L$2&gt;Semana!$M$3),1,0)))</f>
        <v>0</v>
      </c>
      <c r="AD729" s="39" t="str">
        <f aca="false">IF($F729="","",IF(COUNTA($I729:$K729)=0,0,1/COUNTA($I729:$K729)))</f>
        <v/>
      </c>
      <c r="AE729" s="39" t="str">
        <f aca="false">IF($AH729=0,"",SUM($AH$4:$AH729))</f>
        <v/>
      </c>
      <c r="AF729" s="39" t="str">
        <f aca="false">IF($AI729=0,"",SUM($AI$4:$AI729))</f>
        <v/>
      </c>
      <c r="AG729" s="50" t="str">
        <f aca="false">IF($F729="","",$I729&amp;IF($J729="",""," · "&amp;$J729)&amp;IF($K729="",""," · "&amp;$K729))</f>
        <v/>
      </c>
      <c r="AH729" s="39" t="n">
        <f aca="false">IF(AND($F729&lt;&gt;"",$O729&lt;&gt;"",$O729&lt;=Hoje!$C$3,$P729&gt;=Hoje!$C$3,$R729&lt;&gt;"Cancelada"),1,0)</f>
        <v>0</v>
      </c>
      <c r="AI729" s="39" t="n">
        <f aca="false">IF(AND($F729&lt;&gt;"",$P729&lt;&gt;"",$P729&lt;Hoje!$C$3,$AB729=0,$R729&lt;&gt;"Cancelada"),1,0)</f>
        <v>0</v>
      </c>
      <c r="AJ729" s="50" t="str">
        <f aca="false">IF($F729="","",$D729&amp;"|"&amp;$E729&amp;"|"&amp;$L729)</f>
        <v/>
      </c>
      <c r="AK729" s="39" t="str">
        <f aca="false">IF($AJ729="","",COUNTIF($AJ$4:$AJ729,$AJ729))</f>
        <v/>
      </c>
      <c r="AL729" s="39" t="str">
        <f aca="false">IF($AJ729="","",COUNTIF($AJ$4:$AJ$1004,$AJ729))</f>
        <v/>
      </c>
      <c r="AM729" s="42"/>
      <c r="AN729" s="50" t="str">
        <f aca="false">IF($D729="","",IFERROR(T(VLOOKUP($D729,Listas!$B$5:$H$120,7,0)),""))</f>
        <v/>
      </c>
      <c r="AO729" s="50" t="str">
        <f aca="false">IF(OR($F729="",$L729&lt;&gt;"",$R729="Cancelada",$AT729&lt;&gt;""),"",$AN729&amp;"|"&amp;$D729&amp;"|"&amp;IF($C729="","zzz",$C729)&amp;"|"&amp;TEXT(729,"0000"))</f>
        <v/>
      </c>
      <c r="AP729" s="50" t="str">
        <f aca="false">IF($AO729="","",COUNTIF($AO$5:$AO$1004,"&lt;"&amp;$AO729)-(ROWS($AO$5:$AO$1004)-Hoje!$L$5)+1)</f>
        <v/>
      </c>
      <c r="AQ729" s="50" t="n">
        <f aca="false">IF(AND($F729&lt;&gt;"",$D729=Frota!$C$3),1,0)</f>
        <v>0</v>
      </c>
      <c r="AR729" s="50" t="str">
        <f aca="false">IF($AQ729=0,"",SUM($AQ$4:$AQ729))</f>
        <v/>
      </c>
      <c r="AS729" s="50" t="str">
        <f aca="false">IFERROR(INDEX(Hoje!$K$10:$K$29,MATCH(ROW(),Hoje!$J$10:$J$29,0)),"")</f>
        <v/>
      </c>
      <c r="AT729" s="50" t="str">
        <f aca="false">IF($Q729&lt;&gt;"",$Q729,$AS729)</f>
        <v/>
      </c>
    </row>
    <row r="730" customFormat="false" ht="16.5" hidden="false" customHeight="true" outlineLevel="0" collapsed="false">
      <c r="A730" s="39" t="str">
        <f aca="false">IF($F730="","",ROW())</f>
        <v/>
      </c>
      <c r="B730" s="40" t="str">
        <f aca="false">IF($F730="",IF($D730="","","Falta a atividade"),IF($R730="Cancelada","Cancelada",IF($AB730=1,IF(N($Z730)&gt;0,"Concluída com atraso","Concluída"),IF($R730="Em programação","Em programação",IF($O730="",IF($M730="","Na carteira","Falta a semana"),IF($AC730=1,"VENCIDA",IF($O730&gt;Hoje!$L$1,"Programada",IF($P730&gt;Hoje!$L$1,"Em execução","Fecha hoje"))))))))</f>
        <v/>
      </c>
      <c r="C730" s="41"/>
      <c r="D730" s="42"/>
      <c r="E730" s="42"/>
      <c r="F730" s="42"/>
      <c r="G730" s="43"/>
      <c r="H730" s="43"/>
      <c r="I730" s="44"/>
      <c r="J730" s="44"/>
      <c r="K730" s="44"/>
      <c r="L730" s="45"/>
      <c r="M730" s="46"/>
      <c r="N730" s="45"/>
      <c r="O730" s="47" t="str">
        <f aca="false">IF(OR($L730="",$M730=""),"",(DATE(Semana!$J$3,1,4)-WEEKDAY(DATE(Semana!$J$3,1,4),3))+($L730-1)*7+MATCH($M730,Listas!$F$5:$F$11,0)-1)</f>
        <v/>
      </c>
      <c r="P730" s="47" t="str">
        <f aca="false">IF(OR($F730="",$O730=""),"",$O730+MAX(0,ROUNDUP($AK730*MAX(1,IF($N730="",1,$N730))/MAX(1,$AL730),0)-1))</f>
        <v/>
      </c>
      <c r="Q730" s="48"/>
      <c r="R730" s="43"/>
      <c r="S730" s="49"/>
      <c r="T730" s="42"/>
      <c r="U730" s="42"/>
      <c r="V730" s="39" t="str">
        <f aca="false">IF($F730="","",IF(ISNUMBER(SEARCH("(externo)",$I730&amp;$J730&amp;$K730)),"Terceirizada","Interna"))</f>
        <v/>
      </c>
      <c r="W730" s="47" t="str">
        <f aca="false">IF($O730="","",IF($S730="",$O730,(DATE(Semana!$J$3,1,4)-WEEKDAY(DATE(Semana!$J$3,1,4),3))+($S730-1)*7+IF($M730="",0,MATCH($M730,Listas!$F$5:$F$11,0)-1)))</f>
        <v/>
      </c>
      <c r="X730" s="39" t="str">
        <f aca="false">IF($F730="","",IF(OR($AT730="",$O730=""),0,IF($AT730&lt;=$O730,1,0)))</f>
        <v/>
      </c>
      <c r="Y730" s="39" t="str">
        <f aca="false">IF($F730="","",IF(OR($AT730="",$W730=""),0,IF($AT730&lt;=$W730,1,0)))</f>
        <v/>
      </c>
      <c r="Z730" s="39" t="str">
        <f aca="false">IF(OR($AT730="",$O730=""),"",MAX(0,$AT730-$O730))</f>
        <v/>
      </c>
      <c r="AA730" s="39" t="str">
        <f aca="false">IF($F730="","",IF(AND($S730&lt;&gt;"",$L730&lt;&gt;"",$S730&lt;&gt;$L730),1,0))</f>
        <v/>
      </c>
      <c r="AB730" s="39" t="str">
        <f aca="false">IF($F730="","",IF($R730="Cancelada",0,IF(OR($AT730&lt;&gt;"",$R730="Concluída"),1,0)))</f>
        <v/>
      </c>
      <c r="AC730" s="39" t="n">
        <f aca="false">IF($P730="",0,IF($P730&lt;Hoje!$L$1,1,IF(AND($P730=Hoje!$L$1,Hoje!$L$2&gt;Semana!$M$3),1,0)))</f>
        <v>0</v>
      </c>
      <c r="AD730" s="39" t="str">
        <f aca="false">IF($F730="","",IF(COUNTA($I730:$K730)=0,0,1/COUNTA($I730:$K730)))</f>
        <v/>
      </c>
      <c r="AE730" s="39" t="str">
        <f aca="false">IF($AH730=0,"",SUM($AH$4:$AH730))</f>
        <v/>
      </c>
      <c r="AF730" s="39" t="str">
        <f aca="false">IF($AI730=0,"",SUM($AI$4:$AI730))</f>
        <v/>
      </c>
      <c r="AG730" s="50" t="str">
        <f aca="false">IF($F730="","",$I730&amp;IF($J730="",""," · "&amp;$J730)&amp;IF($K730="",""," · "&amp;$K730))</f>
        <v/>
      </c>
      <c r="AH730" s="39" t="n">
        <f aca="false">IF(AND($F730&lt;&gt;"",$O730&lt;&gt;"",$O730&lt;=Hoje!$C$3,$P730&gt;=Hoje!$C$3,$R730&lt;&gt;"Cancelada"),1,0)</f>
        <v>0</v>
      </c>
      <c r="AI730" s="39" t="n">
        <f aca="false">IF(AND($F730&lt;&gt;"",$P730&lt;&gt;"",$P730&lt;Hoje!$C$3,$AB730=0,$R730&lt;&gt;"Cancelada"),1,0)</f>
        <v>0</v>
      </c>
      <c r="AJ730" s="50" t="str">
        <f aca="false">IF($F730="","",$D730&amp;"|"&amp;$E730&amp;"|"&amp;$L730)</f>
        <v/>
      </c>
      <c r="AK730" s="39" t="str">
        <f aca="false">IF($AJ730="","",COUNTIF($AJ$4:$AJ730,$AJ730))</f>
        <v/>
      </c>
      <c r="AL730" s="39" t="str">
        <f aca="false">IF($AJ730="","",COUNTIF($AJ$4:$AJ$1004,$AJ730))</f>
        <v/>
      </c>
      <c r="AM730" s="42"/>
      <c r="AN730" s="50" t="str">
        <f aca="false">IF($D730="","",IFERROR(T(VLOOKUP($D730,Listas!$B$5:$H$120,7,0)),""))</f>
        <v/>
      </c>
      <c r="AO730" s="50" t="str">
        <f aca="false">IF(OR($F730="",$L730&lt;&gt;"",$R730="Cancelada",$AT730&lt;&gt;""),"",$AN730&amp;"|"&amp;$D730&amp;"|"&amp;IF($C730="","zzz",$C730)&amp;"|"&amp;TEXT(730,"0000"))</f>
        <v/>
      </c>
      <c r="AP730" s="50" t="str">
        <f aca="false">IF($AO730="","",COUNTIF($AO$5:$AO$1004,"&lt;"&amp;$AO730)-(ROWS($AO$5:$AO$1004)-Hoje!$L$5)+1)</f>
        <v/>
      </c>
      <c r="AQ730" s="50" t="n">
        <f aca="false">IF(AND($F730&lt;&gt;"",$D730=Frota!$C$3),1,0)</f>
        <v>0</v>
      </c>
      <c r="AR730" s="50" t="str">
        <f aca="false">IF($AQ730=0,"",SUM($AQ$4:$AQ730))</f>
        <v/>
      </c>
      <c r="AS730" s="50" t="str">
        <f aca="false">IFERROR(INDEX(Hoje!$K$10:$K$29,MATCH(ROW(),Hoje!$J$10:$J$29,0)),"")</f>
        <v/>
      </c>
      <c r="AT730" s="50" t="str">
        <f aca="false">IF($Q730&lt;&gt;"",$Q730,$AS730)</f>
        <v/>
      </c>
    </row>
    <row r="731" customFormat="false" ht="16.5" hidden="false" customHeight="true" outlineLevel="0" collapsed="false">
      <c r="A731" s="39" t="str">
        <f aca="false">IF($F731="","",ROW())</f>
        <v/>
      </c>
      <c r="B731" s="40" t="str">
        <f aca="false">IF($F731="",IF($D731="","","Falta a atividade"),IF($R731="Cancelada","Cancelada",IF($AB731=1,IF(N($Z731)&gt;0,"Concluída com atraso","Concluída"),IF($R731="Em programação","Em programação",IF($O731="",IF($M731="","Na carteira","Falta a semana"),IF($AC731=1,"VENCIDA",IF($O731&gt;Hoje!$L$1,"Programada",IF($P731&gt;Hoje!$L$1,"Em execução","Fecha hoje"))))))))</f>
        <v/>
      </c>
      <c r="C731" s="41"/>
      <c r="D731" s="42"/>
      <c r="E731" s="42"/>
      <c r="F731" s="42"/>
      <c r="G731" s="43"/>
      <c r="H731" s="43"/>
      <c r="I731" s="44"/>
      <c r="J731" s="44"/>
      <c r="K731" s="44"/>
      <c r="L731" s="45"/>
      <c r="M731" s="46"/>
      <c r="N731" s="45"/>
      <c r="O731" s="47" t="str">
        <f aca="false">IF(OR($L731="",$M731=""),"",(DATE(Semana!$J$3,1,4)-WEEKDAY(DATE(Semana!$J$3,1,4),3))+($L731-1)*7+MATCH($M731,Listas!$F$5:$F$11,0)-1)</f>
        <v/>
      </c>
      <c r="P731" s="47" t="str">
        <f aca="false">IF(OR($F731="",$O731=""),"",$O731+MAX(0,ROUNDUP($AK731*MAX(1,IF($N731="",1,$N731))/MAX(1,$AL731),0)-1))</f>
        <v/>
      </c>
      <c r="Q731" s="48"/>
      <c r="R731" s="43"/>
      <c r="S731" s="49"/>
      <c r="T731" s="42"/>
      <c r="U731" s="42"/>
      <c r="V731" s="39" t="str">
        <f aca="false">IF($F731="","",IF(ISNUMBER(SEARCH("(externo)",$I731&amp;$J731&amp;$K731)),"Terceirizada","Interna"))</f>
        <v/>
      </c>
      <c r="W731" s="47" t="str">
        <f aca="false">IF($O731="","",IF($S731="",$O731,(DATE(Semana!$J$3,1,4)-WEEKDAY(DATE(Semana!$J$3,1,4),3))+($S731-1)*7+IF($M731="",0,MATCH($M731,Listas!$F$5:$F$11,0)-1)))</f>
        <v/>
      </c>
      <c r="X731" s="39" t="str">
        <f aca="false">IF($F731="","",IF(OR($AT731="",$O731=""),0,IF($AT731&lt;=$O731,1,0)))</f>
        <v/>
      </c>
      <c r="Y731" s="39" t="str">
        <f aca="false">IF($F731="","",IF(OR($AT731="",$W731=""),0,IF($AT731&lt;=$W731,1,0)))</f>
        <v/>
      </c>
      <c r="Z731" s="39" t="str">
        <f aca="false">IF(OR($AT731="",$O731=""),"",MAX(0,$AT731-$O731))</f>
        <v/>
      </c>
      <c r="AA731" s="39" t="str">
        <f aca="false">IF($F731="","",IF(AND($S731&lt;&gt;"",$L731&lt;&gt;"",$S731&lt;&gt;$L731),1,0))</f>
        <v/>
      </c>
      <c r="AB731" s="39" t="str">
        <f aca="false">IF($F731="","",IF($R731="Cancelada",0,IF(OR($AT731&lt;&gt;"",$R731="Concluída"),1,0)))</f>
        <v/>
      </c>
      <c r="AC731" s="39" t="n">
        <f aca="false">IF($P731="",0,IF($P731&lt;Hoje!$L$1,1,IF(AND($P731=Hoje!$L$1,Hoje!$L$2&gt;Semana!$M$3),1,0)))</f>
        <v>0</v>
      </c>
      <c r="AD731" s="39" t="str">
        <f aca="false">IF($F731="","",IF(COUNTA($I731:$K731)=0,0,1/COUNTA($I731:$K731)))</f>
        <v/>
      </c>
      <c r="AE731" s="39" t="str">
        <f aca="false">IF($AH731=0,"",SUM($AH$4:$AH731))</f>
        <v/>
      </c>
      <c r="AF731" s="39" t="str">
        <f aca="false">IF($AI731=0,"",SUM($AI$4:$AI731))</f>
        <v/>
      </c>
      <c r="AG731" s="50" t="str">
        <f aca="false">IF($F731="","",$I731&amp;IF($J731="",""," · "&amp;$J731)&amp;IF($K731="",""," · "&amp;$K731))</f>
        <v/>
      </c>
      <c r="AH731" s="39" t="n">
        <f aca="false">IF(AND($F731&lt;&gt;"",$O731&lt;&gt;"",$O731&lt;=Hoje!$C$3,$P731&gt;=Hoje!$C$3,$R731&lt;&gt;"Cancelada"),1,0)</f>
        <v>0</v>
      </c>
      <c r="AI731" s="39" t="n">
        <f aca="false">IF(AND($F731&lt;&gt;"",$P731&lt;&gt;"",$P731&lt;Hoje!$C$3,$AB731=0,$R731&lt;&gt;"Cancelada"),1,0)</f>
        <v>0</v>
      </c>
      <c r="AJ731" s="50" t="str">
        <f aca="false">IF($F731="","",$D731&amp;"|"&amp;$E731&amp;"|"&amp;$L731)</f>
        <v/>
      </c>
      <c r="AK731" s="39" t="str">
        <f aca="false">IF($AJ731="","",COUNTIF($AJ$4:$AJ731,$AJ731))</f>
        <v/>
      </c>
      <c r="AL731" s="39" t="str">
        <f aca="false">IF($AJ731="","",COUNTIF($AJ$4:$AJ$1004,$AJ731))</f>
        <v/>
      </c>
      <c r="AM731" s="42"/>
      <c r="AN731" s="50" t="str">
        <f aca="false">IF($D731="","",IFERROR(T(VLOOKUP($D731,Listas!$B$5:$H$120,7,0)),""))</f>
        <v/>
      </c>
      <c r="AO731" s="50" t="str">
        <f aca="false">IF(OR($F731="",$L731&lt;&gt;"",$R731="Cancelada",$AT731&lt;&gt;""),"",$AN731&amp;"|"&amp;$D731&amp;"|"&amp;IF($C731="","zzz",$C731)&amp;"|"&amp;TEXT(731,"0000"))</f>
        <v/>
      </c>
      <c r="AP731" s="50" t="str">
        <f aca="false">IF($AO731="","",COUNTIF($AO$5:$AO$1004,"&lt;"&amp;$AO731)-(ROWS($AO$5:$AO$1004)-Hoje!$L$5)+1)</f>
        <v/>
      </c>
      <c r="AQ731" s="50" t="n">
        <f aca="false">IF(AND($F731&lt;&gt;"",$D731=Frota!$C$3),1,0)</f>
        <v>0</v>
      </c>
      <c r="AR731" s="50" t="str">
        <f aca="false">IF($AQ731=0,"",SUM($AQ$4:$AQ731))</f>
        <v/>
      </c>
      <c r="AS731" s="50" t="str">
        <f aca="false">IFERROR(INDEX(Hoje!$K$10:$K$29,MATCH(ROW(),Hoje!$J$10:$J$29,0)),"")</f>
        <v/>
      </c>
      <c r="AT731" s="50" t="str">
        <f aca="false">IF($Q731&lt;&gt;"",$Q731,$AS731)</f>
        <v/>
      </c>
    </row>
    <row r="732" customFormat="false" ht="16.5" hidden="false" customHeight="true" outlineLevel="0" collapsed="false">
      <c r="A732" s="39" t="str">
        <f aca="false">IF($F732="","",ROW())</f>
        <v/>
      </c>
      <c r="B732" s="40" t="str">
        <f aca="false">IF($F732="",IF($D732="","","Falta a atividade"),IF($R732="Cancelada","Cancelada",IF($AB732=1,IF(N($Z732)&gt;0,"Concluída com atraso","Concluída"),IF($R732="Em programação","Em programação",IF($O732="",IF($M732="","Na carteira","Falta a semana"),IF($AC732=1,"VENCIDA",IF($O732&gt;Hoje!$L$1,"Programada",IF($P732&gt;Hoje!$L$1,"Em execução","Fecha hoje"))))))))</f>
        <v/>
      </c>
      <c r="C732" s="41"/>
      <c r="D732" s="42"/>
      <c r="E732" s="42"/>
      <c r="F732" s="42"/>
      <c r="G732" s="43"/>
      <c r="H732" s="43"/>
      <c r="I732" s="44"/>
      <c r="J732" s="44"/>
      <c r="K732" s="44"/>
      <c r="L732" s="45"/>
      <c r="M732" s="46"/>
      <c r="N732" s="45"/>
      <c r="O732" s="47" t="str">
        <f aca="false">IF(OR($L732="",$M732=""),"",(DATE(Semana!$J$3,1,4)-WEEKDAY(DATE(Semana!$J$3,1,4),3))+($L732-1)*7+MATCH($M732,Listas!$F$5:$F$11,0)-1)</f>
        <v/>
      </c>
      <c r="P732" s="47" t="str">
        <f aca="false">IF(OR($F732="",$O732=""),"",$O732+MAX(0,ROUNDUP($AK732*MAX(1,IF($N732="",1,$N732))/MAX(1,$AL732),0)-1))</f>
        <v/>
      </c>
      <c r="Q732" s="48"/>
      <c r="R732" s="43"/>
      <c r="S732" s="49"/>
      <c r="T732" s="42"/>
      <c r="U732" s="42"/>
      <c r="V732" s="39" t="str">
        <f aca="false">IF($F732="","",IF(ISNUMBER(SEARCH("(externo)",$I732&amp;$J732&amp;$K732)),"Terceirizada","Interna"))</f>
        <v/>
      </c>
      <c r="W732" s="47" t="str">
        <f aca="false">IF($O732="","",IF($S732="",$O732,(DATE(Semana!$J$3,1,4)-WEEKDAY(DATE(Semana!$J$3,1,4),3))+($S732-1)*7+IF($M732="",0,MATCH($M732,Listas!$F$5:$F$11,0)-1)))</f>
        <v/>
      </c>
      <c r="X732" s="39" t="str">
        <f aca="false">IF($F732="","",IF(OR($AT732="",$O732=""),0,IF($AT732&lt;=$O732,1,0)))</f>
        <v/>
      </c>
      <c r="Y732" s="39" t="str">
        <f aca="false">IF($F732="","",IF(OR($AT732="",$W732=""),0,IF($AT732&lt;=$W732,1,0)))</f>
        <v/>
      </c>
      <c r="Z732" s="39" t="str">
        <f aca="false">IF(OR($AT732="",$O732=""),"",MAX(0,$AT732-$O732))</f>
        <v/>
      </c>
      <c r="AA732" s="39" t="str">
        <f aca="false">IF($F732="","",IF(AND($S732&lt;&gt;"",$L732&lt;&gt;"",$S732&lt;&gt;$L732),1,0))</f>
        <v/>
      </c>
      <c r="AB732" s="39" t="str">
        <f aca="false">IF($F732="","",IF($R732="Cancelada",0,IF(OR($AT732&lt;&gt;"",$R732="Concluída"),1,0)))</f>
        <v/>
      </c>
      <c r="AC732" s="39" t="n">
        <f aca="false">IF($P732="",0,IF($P732&lt;Hoje!$L$1,1,IF(AND($P732=Hoje!$L$1,Hoje!$L$2&gt;Semana!$M$3),1,0)))</f>
        <v>0</v>
      </c>
      <c r="AD732" s="39" t="str">
        <f aca="false">IF($F732="","",IF(COUNTA($I732:$K732)=0,0,1/COUNTA($I732:$K732)))</f>
        <v/>
      </c>
      <c r="AE732" s="39" t="str">
        <f aca="false">IF($AH732=0,"",SUM($AH$4:$AH732))</f>
        <v/>
      </c>
      <c r="AF732" s="39" t="str">
        <f aca="false">IF($AI732=0,"",SUM($AI$4:$AI732))</f>
        <v/>
      </c>
      <c r="AG732" s="50" t="str">
        <f aca="false">IF($F732="","",$I732&amp;IF($J732="",""," · "&amp;$J732)&amp;IF($K732="",""," · "&amp;$K732))</f>
        <v/>
      </c>
      <c r="AH732" s="39" t="n">
        <f aca="false">IF(AND($F732&lt;&gt;"",$O732&lt;&gt;"",$O732&lt;=Hoje!$C$3,$P732&gt;=Hoje!$C$3,$R732&lt;&gt;"Cancelada"),1,0)</f>
        <v>0</v>
      </c>
      <c r="AI732" s="39" t="n">
        <f aca="false">IF(AND($F732&lt;&gt;"",$P732&lt;&gt;"",$P732&lt;Hoje!$C$3,$AB732=0,$R732&lt;&gt;"Cancelada"),1,0)</f>
        <v>0</v>
      </c>
      <c r="AJ732" s="50" t="str">
        <f aca="false">IF($F732="","",$D732&amp;"|"&amp;$E732&amp;"|"&amp;$L732)</f>
        <v/>
      </c>
      <c r="AK732" s="39" t="str">
        <f aca="false">IF($AJ732="","",COUNTIF($AJ$4:$AJ732,$AJ732))</f>
        <v/>
      </c>
      <c r="AL732" s="39" t="str">
        <f aca="false">IF($AJ732="","",COUNTIF($AJ$4:$AJ$1004,$AJ732))</f>
        <v/>
      </c>
      <c r="AM732" s="42"/>
      <c r="AN732" s="50" t="str">
        <f aca="false">IF($D732="","",IFERROR(T(VLOOKUP($D732,Listas!$B$5:$H$120,7,0)),""))</f>
        <v/>
      </c>
      <c r="AO732" s="50" t="str">
        <f aca="false">IF(OR($F732="",$L732&lt;&gt;"",$R732="Cancelada",$AT732&lt;&gt;""),"",$AN732&amp;"|"&amp;$D732&amp;"|"&amp;IF($C732="","zzz",$C732)&amp;"|"&amp;TEXT(732,"0000"))</f>
        <v/>
      </c>
      <c r="AP732" s="50" t="str">
        <f aca="false">IF($AO732="","",COUNTIF($AO$5:$AO$1004,"&lt;"&amp;$AO732)-(ROWS($AO$5:$AO$1004)-Hoje!$L$5)+1)</f>
        <v/>
      </c>
      <c r="AQ732" s="50" t="n">
        <f aca="false">IF(AND($F732&lt;&gt;"",$D732=Frota!$C$3),1,0)</f>
        <v>0</v>
      </c>
      <c r="AR732" s="50" t="str">
        <f aca="false">IF($AQ732=0,"",SUM($AQ$4:$AQ732))</f>
        <v/>
      </c>
      <c r="AS732" s="50" t="str">
        <f aca="false">IFERROR(INDEX(Hoje!$K$10:$K$29,MATCH(ROW(),Hoje!$J$10:$J$29,0)),"")</f>
        <v/>
      </c>
      <c r="AT732" s="50" t="str">
        <f aca="false">IF($Q732&lt;&gt;"",$Q732,$AS732)</f>
        <v/>
      </c>
    </row>
    <row r="733" customFormat="false" ht="16.5" hidden="false" customHeight="true" outlineLevel="0" collapsed="false">
      <c r="A733" s="39" t="str">
        <f aca="false">IF($F733="","",ROW())</f>
        <v/>
      </c>
      <c r="B733" s="40" t="str">
        <f aca="false">IF($F733="",IF($D733="","","Falta a atividade"),IF($R733="Cancelada","Cancelada",IF($AB733=1,IF(N($Z733)&gt;0,"Concluída com atraso","Concluída"),IF($R733="Em programação","Em programação",IF($O733="",IF($M733="","Na carteira","Falta a semana"),IF($AC733=1,"VENCIDA",IF($O733&gt;Hoje!$L$1,"Programada",IF($P733&gt;Hoje!$L$1,"Em execução","Fecha hoje"))))))))</f>
        <v/>
      </c>
      <c r="C733" s="41"/>
      <c r="D733" s="42"/>
      <c r="E733" s="42"/>
      <c r="F733" s="42"/>
      <c r="G733" s="43"/>
      <c r="H733" s="43"/>
      <c r="I733" s="44"/>
      <c r="J733" s="44"/>
      <c r="K733" s="44"/>
      <c r="L733" s="45"/>
      <c r="M733" s="46"/>
      <c r="N733" s="45"/>
      <c r="O733" s="47" t="str">
        <f aca="false">IF(OR($L733="",$M733=""),"",(DATE(Semana!$J$3,1,4)-WEEKDAY(DATE(Semana!$J$3,1,4),3))+($L733-1)*7+MATCH($M733,Listas!$F$5:$F$11,0)-1)</f>
        <v/>
      </c>
      <c r="P733" s="47" t="str">
        <f aca="false">IF(OR($F733="",$O733=""),"",$O733+MAX(0,ROUNDUP($AK733*MAX(1,IF($N733="",1,$N733))/MAX(1,$AL733),0)-1))</f>
        <v/>
      </c>
      <c r="Q733" s="48"/>
      <c r="R733" s="43"/>
      <c r="S733" s="49"/>
      <c r="T733" s="42"/>
      <c r="U733" s="42"/>
      <c r="V733" s="39" t="str">
        <f aca="false">IF($F733="","",IF(ISNUMBER(SEARCH("(externo)",$I733&amp;$J733&amp;$K733)),"Terceirizada","Interna"))</f>
        <v/>
      </c>
      <c r="W733" s="47" t="str">
        <f aca="false">IF($O733="","",IF($S733="",$O733,(DATE(Semana!$J$3,1,4)-WEEKDAY(DATE(Semana!$J$3,1,4),3))+($S733-1)*7+IF($M733="",0,MATCH($M733,Listas!$F$5:$F$11,0)-1)))</f>
        <v/>
      </c>
      <c r="X733" s="39" t="str">
        <f aca="false">IF($F733="","",IF(OR($AT733="",$O733=""),0,IF($AT733&lt;=$O733,1,0)))</f>
        <v/>
      </c>
      <c r="Y733" s="39" t="str">
        <f aca="false">IF($F733="","",IF(OR($AT733="",$W733=""),0,IF($AT733&lt;=$W733,1,0)))</f>
        <v/>
      </c>
      <c r="Z733" s="39" t="str">
        <f aca="false">IF(OR($AT733="",$O733=""),"",MAX(0,$AT733-$O733))</f>
        <v/>
      </c>
      <c r="AA733" s="39" t="str">
        <f aca="false">IF($F733="","",IF(AND($S733&lt;&gt;"",$L733&lt;&gt;"",$S733&lt;&gt;$L733),1,0))</f>
        <v/>
      </c>
      <c r="AB733" s="39" t="str">
        <f aca="false">IF($F733="","",IF($R733="Cancelada",0,IF(OR($AT733&lt;&gt;"",$R733="Concluída"),1,0)))</f>
        <v/>
      </c>
      <c r="AC733" s="39" t="n">
        <f aca="false">IF($P733="",0,IF($P733&lt;Hoje!$L$1,1,IF(AND($P733=Hoje!$L$1,Hoje!$L$2&gt;Semana!$M$3),1,0)))</f>
        <v>0</v>
      </c>
      <c r="AD733" s="39" t="str">
        <f aca="false">IF($F733="","",IF(COUNTA($I733:$K733)=0,0,1/COUNTA($I733:$K733)))</f>
        <v/>
      </c>
      <c r="AE733" s="39" t="str">
        <f aca="false">IF($AH733=0,"",SUM($AH$4:$AH733))</f>
        <v/>
      </c>
      <c r="AF733" s="39" t="str">
        <f aca="false">IF($AI733=0,"",SUM($AI$4:$AI733))</f>
        <v/>
      </c>
      <c r="AG733" s="50" t="str">
        <f aca="false">IF($F733="","",$I733&amp;IF($J733="",""," · "&amp;$J733)&amp;IF($K733="",""," · "&amp;$K733))</f>
        <v/>
      </c>
      <c r="AH733" s="39" t="n">
        <f aca="false">IF(AND($F733&lt;&gt;"",$O733&lt;&gt;"",$O733&lt;=Hoje!$C$3,$P733&gt;=Hoje!$C$3,$R733&lt;&gt;"Cancelada"),1,0)</f>
        <v>0</v>
      </c>
      <c r="AI733" s="39" t="n">
        <f aca="false">IF(AND($F733&lt;&gt;"",$P733&lt;&gt;"",$P733&lt;Hoje!$C$3,$AB733=0,$R733&lt;&gt;"Cancelada"),1,0)</f>
        <v>0</v>
      </c>
      <c r="AJ733" s="50" t="str">
        <f aca="false">IF($F733="","",$D733&amp;"|"&amp;$E733&amp;"|"&amp;$L733)</f>
        <v/>
      </c>
      <c r="AK733" s="39" t="str">
        <f aca="false">IF($AJ733="","",COUNTIF($AJ$4:$AJ733,$AJ733))</f>
        <v/>
      </c>
      <c r="AL733" s="39" t="str">
        <f aca="false">IF($AJ733="","",COUNTIF($AJ$4:$AJ$1004,$AJ733))</f>
        <v/>
      </c>
      <c r="AM733" s="42"/>
      <c r="AN733" s="50" t="str">
        <f aca="false">IF($D733="","",IFERROR(T(VLOOKUP($D733,Listas!$B$5:$H$120,7,0)),""))</f>
        <v/>
      </c>
      <c r="AO733" s="50" t="str">
        <f aca="false">IF(OR($F733="",$L733&lt;&gt;"",$R733="Cancelada",$AT733&lt;&gt;""),"",$AN733&amp;"|"&amp;$D733&amp;"|"&amp;IF($C733="","zzz",$C733)&amp;"|"&amp;TEXT(733,"0000"))</f>
        <v/>
      </c>
      <c r="AP733" s="50" t="str">
        <f aca="false">IF($AO733="","",COUNTIF($AO$5:$AO$1004,"&lt;"&amp;$AO733)-(ROWS($AO$5:$AO$1004)-Hoje!$L$5)+1)</f>
        <v/>
      </c>
      <c r="AQ733" s="50" t="n">
        <f aca="false">IF(AND($F733&lt;&gt;"",$D733=Frota!$C$3),1,0)</f>
        <v>0</v>
      </c>
      <c r="AR733" s="50" t="str">
        <f aca="false">IF($AQ733=0,"",SUM($AQ$4:$AQ733))</f>
        <v/>
      </c>
      <c r="AS733" s="50" t="str">
        <f aca="false">IFERROR(INDEX(Hoje!$K$10:$K$29,MATCH(ROW(),Hoje!$J$10:$J$29,0)),"")</f>
        <v/>
      </c>
      <c r="AT733" s="50" t="str">
        <f aca="false">IF($Q733&lt;&gt;"",$Q733,$AS733)</f>
        <v/>
      </c>
    </row>
    <row r="734" customFormat="false" ht="16.5" hidden="false" customHeight="true" outlineLevel="0" collapsed="false">
      <c r="A734" s="39" t="str">
        <f aca="false">IF($F734="","",ROW())</f>
        <v/>
      </c>
      <c r="B734" s="40" t="str">
        <f aca="false">IF($F734="",IF($D734="","","Falta a atividade"),IF($R734="Cancelada","Cancelada",IF($AB734=1,IF(N($Z734)&gt;0,"Concluída com atraso","Concluída"),IF($R734="Em programação","Em programação",IF($O734="",IF($M734="","Na carteira","Falta a semana"),IF($AC734=1,"VENCIDA",IF($O734&gt;Hoje!$L$1,"Programada",IF($P734&gt;Hoje!$L$1,"Em execução","Fecha hoje"))))))))</f>
        <v/>
      </c>
      <c r="C734" s="41"/>
      <c r="D734" s="42"/>
      <c r="E734" s="42"/>
      <c r="F734" s="42"/>
      <c r="G734" s="43"/>
      <c r="H734" s="43"/>
      <c r="I734" s="44"/>
      <c r="J734" s="44"/>
      <c r="K734" s="44"/>
      <c r="L734" s="45"/>
      <c r="M734" s="46"/>
      <c r="N734" s="45"/>
      <c r="O734" s="47" t="str">
        <f aca="false">IF(OR($L734="",$M734=""),"",(DATE(Semana!$J$3,1,4)-WEEKDAY(DATE(Semana!$J$3,1,4),3))+($L734-1)*7+MATCH($M734,Listas!$F$5:$F$11,0)-1)</f>
        <v/>
      </c>
      <c r="P734" s="47" t="str">
        <f aca="false">IF(OR($F734="",$O734=""),"",$O734+MAX(0,ROUNDUP($AK734*MAX(1,IF($N734="",1,$N734))/MAX(1,$AL734),0)-1))</f>
        <v/>
      </c>
      <c r="Q734" s="48"/>
      <c r="R734" s="43"/>
      <c r="S734" s="49"/>
      <c r="T734" s="42"/>
      <c r="U734" s="42"/>
      <c r="V734" s="39" t="str">
        <f aca="false">IF($F734="","",IF(ISNUMBER(SEARCH("(externo)",$I734&amp;$J734&amp;$K734)),"Terceirizada","Interna"))</f>
        <v/>
      </c>
      <c r="W734" s="47" t="str">
        <f aca="false">IF($O734="","",IF($S734="",$O734,(DATE(Semana!$J$3,1,4)-WEEKDAY(DATE(Semana!$J$3,1,4),3))+($S734-1)*7+IF($M734="",0,MATCH($M734,Listas!$F$5:$F$11,0)-1)))</f>
        <v/>
      </c>
      <c r="X734" s="39" t="str">
        <f aca="false">IF($F734="","",IF(OR($AT734="",$O734=""),0,IF($AT734&lt;=$O734,1,0)))</f>
        <v/>
      </c>
      <c r="Y734" s="39" t="str">
        <f aca="false">IF($F734="","",IF(OR($AT734="",$W734=""),0,IF($AT734&lt;=$W734,1,0)))</f>
        <v/>
      </c>
      <c r="Z734" s="39" t="str">
        <f aca="false">IF(OR($AT734="",$O734=""),"",MAX(0,$AT734-$O734))</f>
        <v/>
      </c>
      <c r="AA734" s="39" t="str">
        <f aca="false">IF($F734="","",IF(AND($S734&lt;&gt;"",$L734&lt;&gt;"",$S734&lt;&gt;$L734),1,0))</f>
        <v/>
      </c>
      <c r="AB734" s="39" t="str">
        <f aca="false">IF($F734="","",IF($R734="Cancelada",0,IF(OR($AT734&lt;&gt;"",$R734="Concluída"),1,0)))</f>
        <v/>
      </c>
      <c r="AC734" s="39" t="n">
        <f aca="false">IF($P734="",0,IF($P734&lt;Hoje!$L$1,1,IF(AND($P734=Hoje!$L$1,Hoje!$L$2&gt;Semana!$M$3),1,0)))</f>
        <v>0</v>
      </c>
      <c r="AD734" s="39" t="str">
        <f aca="false">IF($F734="","",IF(COUNTA($I734:$K734)=0,0,1/COUNTA($I734:$K734)))</f>
        <v/>
      </c>
      <c r="AE734" s="39" t="str">
        <f aca="false">IF($AH734=0,"",SUM($AH$4:$AH734))</f>
        <v/>
      </c>
      <c r="AF734" s="39" t="str">
        <f aca="false">IF($AI734=0,"",SUM($AI$4:$AI734))</f>
        <v/>
      </c>
      <c r="AG734" s="50" t="str">
        <f aca="false">IF($F734="","",$I734&amp;IF($J734="",""," · "&amp;$J734)&amp;IF($K734="",""," · "&amp;$K734))</f>
        <v/>
      </c>
      <c r="AH734" s="39" t="n">
        <f aca="false">IF(AND($F734&lt;&gt;"",$O734&lt;&gt;"",$O734&lt;=Hoje!$C$3,$P734&gt;=Hoje!$C$3,$R734&lt;&gt;"Cancelada"),1,0)</f>
        <v>0</v>
      </c>
      <c r="AI734" s="39" t="n">
        <f aca="false">IF(AND($F734&lt;&gt;"",$P734&lt;&gt;"",$P734&lt;Hoje!$C$3,$AB734=0,$R734&lt;&gt;"Cancelada"),1,0)</f>
        <v>0</v>
      </c>
      <c r="AJ734" s="50" t="str">
        <f aca="false">IF($F734="","",$D734&amp;"|"&amp;$E734&amp;"|"&amp;$L734)</f>
        <v/>
      </c>
      <c r="AK734" s="39" t="str">
        <f aca="false">IF($AJ734="","",COUNTIF($AJ$4:$AJ734,$AJ734))</f>
        <v/>
      </c>
      <c r="AL734" s="39" t="str">
        <f aca="false">IF($AJ734="","",COUNTIF($AJ$4:$AJ$1004,$AJ734))</f>
        <v/>
      </c>
      <c r="AM734" s="42"/>
      <c r="AN734" s="50" t="str">
        <f aca="false">IF($D734="","",IFERROR(T(VLOOKUP($D734,Listas!$B$5:$H$120,7,0)),""))</f>
        <v/>
      </c>
      <c r="AO734" s="50" t="str">
        <f aca="false">IF(OR($F734="",$L734&lt;&gt;"",$R734="Cancelada",$AT734&lt;&gt;""),"",$AN734&amp;"|"&amp;$D734&amp;"|"&amp;IF($C734="","zzz",$C734)&amp;"|"&amp;TEXT(734,"0000"))</f>
        <v/>
      </c>
      <c r="AP734" s="50" t="str">
        <f aca="false">IF($AO734="","",COUNTIF($AO$5:$AO$1004,"&lt;"&amp;$AO734)-(ROWS($AO$5:$AO$1004)-Hoje!$L$5)+1)</f>
        <v/>
      </c>
      <c r="AQ734" s="50" t="n">
        <f aca="false">IF(AND($F734&lt;&gt;"",$D734=Frota!$C$3),1,0)</f>
        <v>0</v>
      </c>
      <c r="AR734" s="50" t="str">
        <f aca="false">IF($AQ734=0,"",SUM($AQ$4:$AQ734))</f>
        <v/>
      </c>
      <c r="AS734" s="50" t="str">
        <f aca="false">IFERROR(INDEX(Hoje!$K$10:$K$29,MATCH(ROW(),Hoje!$J$10:$J$29,0)),"")</f>
        <v/>
      </c>
      <c r="AT734" s="50" t="str">
        <f aca="false">IF($Q734&lt;&gt;"",$Q734,$AS734)</f>
        <v/>
      </c>
    </row>
    <row r="735" customFormat="false" ht="16.5" hidden="false" customHeight="true" outlineLevel="0" collapsed="false">
      <c r="A735" s="39" t="str">
        <f aca="false">IF($F735="","",ROW())</f>
        <v/>
      </c>
      <c r="B735" s="40" t="str">
        <f aca="false">IF($F735="",IF($D735="","","Falta a atividade"),IF($R735="Cancelada","Cancelada",IF($AB735=1,IF(N($Z735)&gt;0,"Concluída com atraso","Concluída"),IF($R735="Em programação","Em programação",IF($O735="",IF($M735="","Na carteira","Falta a semana"),IF($AC735=1,"VENCIDA",IF($O735&gt;Hoje!$L$1,"Programada",IF($P735&gt;Hoje!$L$1,"Em execução","Fecha hoje"))))))))</f>
        <v/>
      </c>
      <c r="C735" s="41"/>
      <c r="D735" s="42"/>
      <c r="E735" s="42"/>
      <c r="F735" s="42"/>
      <c r="G735" s="43"/>
      <c r="H735" s="43"/>
      <c r="I735" s="44"/>
      <c r="J735" s="44"/>
      <c r="K735" s="44"/>
      <c r="L735" s="45"/>
      <c r="M735" s="46"/>
      <c r="N735" s="45"/>
      <c r="O735" s="47" t="str">
        <f aca="false">IF(OR($L735="",$M735=""),"",(DATE(Semana!$J$3,1,4)-WEEKDAY(DATE(Semana!$J$3,1,4),3))+($L735-1)*7+MATCH($M735,Listas!$F$5:$F$11,0)-1)</f>
        <v/>
      </c>
      <c r="P735" s="47" t="str">
        <f aca="false">IF(OR($F735="",$O735=""),"",$O735+MAX(0,ROUNDUP($AK735*MAX(1,IF($N735="",1,$N735))/MAX(1,$AL735),0)-1))</f>
        <v/>
      </c>
      <c r="Q735" s="48"/>
      <c r="R735" s="43"/>
      <c r="S735" s="49"/>
      <c r="T735" s="42"/>
      <c r="U735" s="42"/>
      <c r="V735" s="39" t="str">
        <f aca="false">IF($F735="","",IF(ISNUMBER(SEARCH("(externo)",$I735&amp;$J735&amp;$K735)),"Terceirizada","Interna"))</f>
        <v/>
      </c>
      <c r="W735" s="47" t="str">
        <f aca="false">IF($O735="","",IF($S735="",$O735,(DATE(Semana!$J$3,1,4)-WEEKDAY(DATE(Semana!$J$3,1,4),3))+($S735-1)*7+IF($M735="",0,MATCH($M735,Listas!$F$5:$F$11,0)-1)))</f>
        <v/>
      </c>
      <c r="X735" s="39" t="str">
        <f aca="false">IF($F735="","",IF(OR($AT735="",$O735=""),0,IF($AT735&lt;=$O735,1,0)))</f>
        <v/>
      </c>
      <c r="Y735" s="39" t="str">
        <f aca="false">IF($F735="","",IF(OR($AT735="",$W735=""),0,IF($AT735&lt;=$W735,1,0)))</f>
        <v/>
      </c>
      <c r="Z735" s="39" t="str">
        <f aca="false">IF(OR($AT735="",$O735=""),"",MAX(0,$AT735-$O735))</f>
        <v/>
      </c>
      <c r="AA735" s="39" t="str">
        <f aca="false">IF($F735="","",IF(AND($S735&lt;&gt;"",$L735&lt;&gt;"",$S735&lt;&gt;$L735),1,0))</f>
        <v/>
      </c>
      <c r="AB735" s="39" t="str">
        <f aca="false">IF($F735="","",IF($R735="Cancelada",0,IF(OR($AT735&lt;&gt;"",$R735="Concluída"),1,0)))</f>
        <v/>
      </c>
      <c r="AC735" s="39" t="n">
        <f aca="false">IF($P735="",0,IF($P735&lt;Hoje!$L$1,1,IF(AND($P735=Hoje!$L$1,Hoje!$L$2&gt;Semana!$M$3),1,0)))</f>
        <v>0</v>
      </c>
      <c r="AD735" s="39" t="str">
        <f aca="false">IF($F735="","",IF(COUNTA($I735:$K735)=0,0,1/COUNTA($I735:$K735)))</f>
        <v/>
      </c>
      <c r="AE735" s="39" t="str">
        <f aca="false">IF($AH735=0,"",SUM($AH$4:$AH735))</f>
        <v/>
      </c>
      <c r="AF735" s="39" t="str">
        <f aca="false">IF($AI735=0,"",SUM($AI$4:$AI735))</f>
        <v/>
      </c>
      <c r="AG735" s="50" t="str">
        <f aca="false">IF($F735="","",$I735&amp;IF($J735="",""," · "&amp;$J735)&amp;IF($K735="",""," · "&amp;$K735))</f>
        <v/>
      </c>
      <c r="AH735" s="39" t="n">
        <f aca="false">IF(AND($F735&lt;&gt;"",$O735&lt;&gt;"",$O735&lt;=Hoje!$C$3,$P735&gt;=Hoje!$C$3,$R735&lt;&gt;"Cancelada"),1,0)</f>
        <v>0</v>
      </c>
      <c r="AI735" s="39" t="n">
        <f aca="false">IF(AND($F735&lt;&gt;"",$P735&lt;&gt;"",$P735&lt;Hoje!$C$3,$AB735=0,$R735&lt;&gt;"Cancelada"),1,0)</f>
        <v>0</v>
      </c>
      <c r="AJ735" s="50" t="str">
        <f aca="false">IF($F735="","",$D735&amp;"|"&amp;$E735&amp;"|"&amp;$L735)</f>
        <v/>
      </c>
      <c r="AK735" s="39" t="str">
        <f aca="false">IF($AJ735="","",COUNTIF($AJ$4:$AJ735,$AJ735))</f>
        <v/>
      </c>
      <c r="AL735" s="39" t="str">
        <f aca="false">IF($AJ735="","",COUNTIF($AJ$4:$AJ$1004,$AJ735))</f>
        <v/>
      </c>
      <c r="AM735" s="42"/>
      <c r="AN735" s="50" t="str">
        <f aca="false">IF($D735="","",IFERROR(T(VLOOKUP($D735,Listas!$B$5:$H$120,7,0)),""))</f>
        <v/>
      </c>
      <c r="AO735" s="50" t="str">
        <f aca="false">IF(OR($F735="",$L735&lt;&gt;"",$R735="Cancelada",$AT735&lt;&gt;""),"",$AN735&amp;"|"&amp;$D735&amp;"|"&amp;IF($C735="","zzz",$C735)&amp;"|"&amp;TEXT(735,"0000"))</f>
        <v/>
      </c>
      <c r="AP735" s="50" t="str">
        <f aca="false">IF($AO735="","",COUNTIF($AO$5:$AO$1004,"&lt;"&amp;$AO735)-(ROWS($AO$5:$AO$1004)-Hoje!$L$5)+1)</f>
        <v/>
      </c>
      <c r="AQ735" s="50" t="n">
        <f aca="false">IF(AND($F735&lt;&gt;"",$D735=Frota!$C$3),1,0)</f>
        <v>0</v>
      </c>
      <c r="AR735" s="50" t="str">
        <f aca="false">IF($AQ735=0,"",SUM($AQ$4:$AQ735))</f>
        <v/>
      </c>
      <c r="AS735" s="50" t="str">
        <f aca="false">IFERROR(INDEX(Hoje!$K$10:$K$29,MATCH(ROW(),Hoje!$J$10:$J$29,0)),"")</f>
        <v/>
      </c>
      <c r="AT735" s="50" t="str">
        <f aca="false">IF($Q735&lt;&gt;"",$Q735,$AS735)</f>
        <v/>
      </c>
    </row>
    <row r="736" customFormat="false" ht="16.5" hidden="false" customHeight="true" outlineLevel="0" collapsed="false">
      <c r="A736" s="39" t="str">
        <f aca="false">IF($F736="","",ROW())</f>
        <v/>
      </c>
      <c r="B736" s="40" t="str">
        <f aca="false">IF($F736="",IF($D736="","","Falta a atividade"),IF($R736="Cancelada","Cancelada",IF($AB736=1,IF(N($Z736)&gt;0,"Concluída com atraso","Concluída"),IF($R736="Em programação","Em programação",IF($O736="",IF($M736="","Na carteira","Falta a semana"),IF($AC736=1,"VENCIDA",IF($O736&gt;Hoje!$L$1,"Programada",IF($P736&gt;Hoje!$L$1,"Em execução","Fecha hoje"))))))))</f>
        <v/>
      </c>
      <c r="C736" s="41"/>
      <c r="D736" s="42"/>
      <c r="E736" s="42"/>
      <c r="F736" s="42"/>
      <c r="G736" s="43"/>
      <c r="H736" s="43"/>
      <c r="I736" s="44"/>
      <c r="J736" s="44"/>
      <c r="K736" s="44"/>
      <c r="L736" s="45"/>
      <c r="M736" s="46"/>
      <c r="N736" s="45"/>
      <c r="O736" s="47" t="str">
        <f aca="false">IF(OR($L736="",$M736=""),"",(DATE(Semana!$J$3,1,4)-WEEKDAY(DATE(Semana!$J$3,1,4),3))+($L736-1)*7+MATCH($M736,Listas!$F$5:$F$11,0)-1)</f>
        <v/>
      </c>
      <c r="P736" s="47" t="str">
        <f aca="false">IF(OR($F736="",$O736=""),"",$O736+MAX(0,ROUNDUP($AK736*MAX(1,IF($N736="",1,$N736))/MAX(1,$AL736),0)-1))</f>
        <v/>
      </c>
      <c r="Q736" s="48"/>
      <c r="R736" s="43"/>
      <c r="S736" s="49"/>
      <c r="T736" s="42"/>
      <c r="U736" s="42"/>
      <c r="V736" s="39" t="str">
        <f aca="false">IF($F736="","",IF(ISNUMBER(SEARCH("(externo)",$I736&amp;$J736&amp;$K736)),"Terceirizada","Interna"))</f>
        <v/>
      </c>
      <c r="W736" s="47" t="str">
        <f aca="false">IF($O736="","",IF($S736="",$O736,(DATE(Semana!$J$3,1,4)-WEEKDAY(DATE(Semana!$J$3,1,4),3))+($S736-1)*7+IF($M736="",0,MATCH($M736,Listas!$F$5:$F$11,0)-1)))</f>
        <v/>
      </c>
      <c r="X736" s="39" t="str">
        <f aca="false">IF($F736="","",IF(OR($AT736="",$O736=""),0,IF($AT736&lt;=$O736,1,0)))</f>
        <v/>
      </c>
      <c r="Y736" s="39" t="str">
        <f aca="false">IF($F736="","",IF(OR($AT736="",$W736=""),0,IF($AT736&lt;=$W736,1,0)))</f>
        <v/>
      </c>
      <c r="Z736" s="39" t="str">
        <f aca="false">IF(OR($AT736="",$O736=""),"",MAX(0,$AT736-$O736))</f>
        <v/>
      </c>
      <c r="AA736" s="39" t="str">
        <f aca="false">IF($F736="","",IF(AND($S736&lt;&gt;"",$L736&lt;&gt;"",$S736&lt;&gt;$L736),1,0))</f>
        <v/>
      </c>
      <c r="AB736" s="39" t="str">
        <f aca="false">IF($F736="","",IF($R736="Cancelada",0,IF(OR($AT736&lt;&gt;"",$R736="Concluída"),1,0)))</f>
        <v/>
      </c>
      <c r="AC736" s="39" t="n">
        <f aca="false">IF($P736="",0,IF($P736&lt;Hoje!$L$1,1,IF(AND($P736=Hoje!$L$1,Hoje!$L$2&gt;Semana!$M$3),1,0)))</f>
        <v>0</v>
      </c>
      <c r="AD736" s="39" t="str">
        <f aca="false">IF($F736="","",IF(COUNTA($I736:$K736)=0,0,1/COUNTA($I736:$K736)))</f>
        <v/>
      </c>
      <c r="AE736" s="39" t="str">
        <f aca="false">IF($AH736=0,"",SUM($AH$4:$AH736))</f>
        <v/>
      </c>
      <c r="AF736" s="39" t="str">
        <f aca="false">IF($AI736=0,"",SUM($AI$4:$AI736))</f>
        <v/>
      </c>
      <c r="AG736" s="50" t="str">
        <f aca="false">IF($F736="","",$I736&amp;IF($J736="",""," · "&amp;$J736)&amp;IF($K736="",""," · "&amp;$K736))</f>
        <v/>
      </c>
      <c r="AH736" s="39" t="n">
        <f aca="false">IF(AND($F736&lt;&gt;"",$O736&lt;&gt;"",$O736&lt;=Hoje!$C$3,$P736&gt;=Hoje!$C$3,$R736&lt;&gt;"Cancelada"),1,0)</f>
        <v>0</v>
      </c>
      <c r="AI736" s="39" t="n">
        <f aca="false">IF(AND($F736&lt;&gt;"",$P736&lt;&gt;"",$P736&lt;Hoje!$C$3,$AB736=0,$R736&lt;&gt;"Cancelada"),1,0)</f>
        <v>0</v>
      </c>
      <c r="AJ736" s="50" t="str">
        <f aca="false">IF($F736="","",$D736&amp;"|"&amp;$E736&amp;"|"&amp;$L736)</f>
        <v/>
      </c>
      <c r="AK736" s="39" t="str">
        <f aca="false">IF($AJ736="","",COUNTIF($AJ$4:$AJ736,$AJ736))</f>
        <v/>
      </c>
      <c r="AL736" s="39" t="str">
        <f aca="false">IF($AJ736="","",COUNTIF($AJ$4:$AJ$1004,$AJ736))</f>
        <v/>
      </c>
      <c r="AM736" s="42"/>
      <c r="AN736" s="50" t="str">
        <f aca="false">IF($D736="","",IFERROR(T(VLOOKUP($D736,Listas!$B$5:$H$120,7,0)),""))</f>
        <v/>
      </c>
      <c r="AO736" s="50" t="str">
        <f aca="false">IF(OR($F736="",$L736&lt;&gt;"",$R736="Cancelada",$AT736&lt;&gt;""),"",$AN736&amp;"|"&amp;$D736&amp;"|"&amp;IF($C736="","zzz",$C736)&amp;"|"&amp;TEXT(736,"0000"))</f>
        <v/>
      </c>
      <c r="AP736" s="50" t="str">
        <f aca="false">IF($AO736="","",COUNTIF($AO$5:$AO$1004,"&lt;"&amp;$AO736)-(ROWS($AO$5:$AO$1004)-Hoje!$L$5)+1)</f>
        <v/>
      </c>
      <c r="AQ736" s="50" t="n">
        <f aca="false">IF(AND($F736&lt;&gt;"",$D736=Frota!$C$3),1,0)</f>
        <v>0</v>
      </c>
      <c r="AR736" s="50" t="str">
        <f aca="false">IF($AQ736=0,"",SUM($AQ$4:$AQ736))</f>
        <v/>
      </c>
      <c r="AS736" s="50" t="str">
        <f aca="false">IFERROR(INDEX(Hoje!$K$10:$K$29,MATCH(ROW(),Hoje!$J$10:$J$29,0)),"")</f>
        <v/>
      </c>
      <c r="AT736" s="50" t="str">
        <f aca="false">IF($Q736&lt;&gt;"",$Q736,$AS736)</f>
        <v/>
      </c>
    </row>
    <row r="737" customFormat="false" ht="16.5" hidden="false" customHeight="true" outlineLevel="0" collapsed="false">
      <c r="A737" s="39" t="str">
        <f aca="false">IF($F737="","",ROW())</f>
        <v/>
      </c>
      <c r="B737" s="40" t="str">
        <f aca="false">IF($F737="",IF($D737="","","Falta a atividade"),IF($R737="Cancelada","Cancelada",IF($AB737=1,IF(N($Z737)&gt;0,"Concluída com atraso","Concluída"),IF($R737="Em programação","Em programação",IF($O737="",IF($M737="","Na carteira","Falta a semana"),IF($AC737=1,"VENCIDA",IF($O737&gt;Hoje!$L$1,"Programada",IF($P737&gt;Hoje!$L$1,"Em execução","Fecha hoje"))))))))</f>
        <v/>
      </c>
      <c r="C737" s="41"/>
      <c r="D737" s="42"/>
      <c r="E737" s="42"/>
      <c r="F737" s="42"/>
      <c r="G737" s="43"/>
      <c r="H737" s="43"/>
      <c r="I737" s="44"/>
      <c r="J737" s="44"/>
      <c r="K737" s="44"/>
      <c r="L737" s="45"/>
      <c r="M737" s="46"/>
      <c r="N737" s="45"/>
      <c r="O737" s="47" t="str">
        <f aca="false">IF(OR($L737="",$M737=""),"",(DATE(Semana!$J$3,1,4)-WEEKDAY(DATE(Semana!$J$3,1,4),3))+($L737-1)*7+MATCH($M737,Listas!$F$5:$F$11,0)-1)</f>
        <v/>
      </c>
      <c r="P737" s="47" t="str">
        <f aca="false">IF(OR($F737="",$O737=""),"",$O737+MAX(0,ROUNDUP($AK737*MAX(1,IF($N737="",1,$N737))/MAX(1,$AL737),0)-1))</f>
        <v/>
      </c>
      <c r="Q737" s="48"/>
      <c r="R737" s="43"/>
      <c r="S737" s="49"/>
      <c r="T737" s="42"/>
      <c r="U737" s="42"/>
      <c r="V737" s="39" t="str">
        <f aca="false">IF($F737="","",IF(ISNUMBER(SEARCH("(externo)",$I737&amp;$J737&amp;$K737)),"Terceirizada","Interna"))</f>
        <v/>
      </c>
      <c r="W737" s="47" t="str">
        <f aca="false">IF($O737="","",IF($S737="",$O737,(DATE(Semana!$J$3,1,4)-WEEKDAY(DATE(Semana!$J$3,1,4),3))+($S737-1)*7+IF($M737="",0,MATCH($M737,Listas!$F$5:$F$11,0)-1)))</f>
        <v/>
      </c>
      <c r="X737" s="39" t="str">
        <f aca="false">IF($F737="","",IF(OR($AT737="",$O737=""),0,IF($AT737&lt;=$O737,1,0)))</f>
        <v/>
      </c>
      <c r="Y737" s="39" t="str">
        <f aca="false">IF($F737="","",IF(OR($AT737="",$W737=""),0,IF($AT737&lt;=$W737,1,0)))</f>
        <v/>
      </c>
      <c r="Z737" s="39" t="str">
        <f aca="false">IF(OR($AT737="",$O737=""),"",MAX(0,$AT737-$O737))</f>
        <v/>
      </c>
      <c r="AA737" s="39" t="str">
        <f aca="false">IF($F737="","",IF(AND($S737&lt;&gt;"",$L737&lt;&gt;"",$S737&lt;&gt;$L737),1,0))</f>
        <v/>
      </c>
      <c r="AB737" s="39" t="str">
        <f aca="false">IF($F737="","",IF($R737="Cancelada",0,IF(OR($AT737&lt;&gt;"",$R737="Concluída"),1,0)))</f>
        <v/>
      </c>
      <c r="AC737" s="39" t="n">
        <f aca="false">IF($P737="",0,IF($P737&lt;Hoje!$L$1,1,IF(AND($P737=Hoje!$L$1,Hoje!$L$2&gt;Semana!$M$3),1,0)))</f>
        <v>0</v>
      </c>
      <c r="AD737" s="39" t="str">
        <f aca="false">IF($F737="","",IF(COUNTA($I737:$K737)=0,0,1/COUNTA($I737:$K737)))</f>
        <v/>
      </c>
      <c r="AE737" s="39" t="str">
        <f aca="false">IF($AH737=0,"",SUM($AH$4:$AH737))</f>
        <v/>
      </c>
      <c r="AF737" s="39" t="str">
        <f aca="false">IF($AI737=0,"",SUM($AI$4:$AI737))</f>
        <v/>
      </c>
      <c r="AG737" s="50" t="str">
        <f aca="false">IF($F737="","",$I737&amp;IF($J737="",""," · "&amp;$J737)&amp;IF($K737="",""," · "&amp;$K737))</f>
        <v/>
      </c>
      <c r="AH737" s="39" t="n">
        <f aca="false">IF(AND($F737&lt;&gt;"",$O737&lt;&gt;"",$O737&lt;=Hoje!$C$3,$P737&gt;=Hoje!$C$3,$R737&lt;&gt;"Cancelada"),1,0)</f>
        <v>0</v>
      </c>
      <c r="AI737" s="39" t="n">
        <f aca="false">IF(AND($F737&lt;&gt;"",$P737&lt;&gt;"",$P737&lt;Hoje!$C$3,$AB737=0,$R737&lt;&gt;"Cancelada"),1,0)</f>
        <v>0</v>
      </c>
      <c r="AJ737" s="50" t="str">
        <f aca="false">IF($F737="","",$D737&amp;"|"&amp;$E737&amp;"|"&amp;$L737)</f>
        <v/>
      </c>
      <c r="AK737" s="39" t="str">
        <f aca="false">IF($AJ737="","",COUNTIF($AJ$4:$AJ737,$AJ737))</f>
        <v/>
      </c>
      <c r="AL737" s="39" t="str">
        <f aca="false">IF($AJ737="","",COUNTIF($AJ$4:$AJ$1004,$AJ737))</f>
        <v/>
      </c>
      <c r="AM737" s="42"/>
      <c r="AN737" s="50" t="str">
        <f aca="false">IF($D737="","",IFERROR(T(VLOOKUP($D737,Listas!$B$5:$H$120,7,0)),""))</f>
        <v/>
      </c>
      <c r="AO737" s="50" t="str">
        <f aca="false">IF(OR($F737="",$L737&lt;&gt;"",$R737="Cancelada",$AT737&lt;&gt;""),"",$AN737&amp;"|"&amp;$D737&amp;"|"&amp;IF($C737="","zzz",$C737)&amp;"|"&amp;TEXT(737,"0000"))</f>
        <v/>
      </c>
      <c r="AP737" s="50" t="str">
        <f aca="false">IF($AO737="","",COUNTIF($AO$5:$AO$1004,"&lt;"&amp;$AO737)-(ROWS($AO$5:$AO$1004)-Hoje!$L$5)+1)</f>
        <v/>
      </c>
      <c r="AQ737" s="50" t="n">
        <f aca="false">IF(AND($F737&lt;&gt;"",$D737=Frota!$C$3),1,0)</f>
        <v>0</v>
      </c>
      <c r="AR737" s="50" t="str">
        <f aca="false">IF($AQ737=0,"",SUM($AQ$4:$AQ737))</f>
        <v/>
      </c>
      <c r="AS737" s="50" t="str">
        <f aca="false">IFERROR(INDEX(Hoje!$K$10:$K$29,MATCH(ROW(),Hoje!$J$10:$J$29,0)),"")</f>
        <v/>
      </c>
      <c r="AT737" s="50" t="str">
        <f aca="false">IF($Q737&lt;&gt;"",$Q737,$AS737)</f>
        <v/>
      </c>
    </row>
    <row r="738" customFormat="false" ht="16.5" hidden="false" customHeight="true" outlineLevel="0" collapsed="false">
      <c r="A738" s="39" t="str">
        <f aca="false">IF($F738="","",ROW())</f>
        <v/>
      </c>
      <c r="B738" s="40" t="str">
        <f aca="false">IF($F738="",IF($D738="","","Falta a atividade"),IF($R738="Cancelada","Cancelada",IF($AB738=1,IF(N($Z738)&gt;0,"Concluída com atraso","Concluída"),IF($R738="Em programação","Em programação",IF($O738="",IF($M738="","Na carteira","Falta a semana"),IF($AC738=1,"VENCIDA",IF($O738&gt;Hoje!$L$1,"Programada",IF($P738&gt;Hoje!$L$1,"Em execução","Fecha hoje"))))))))</f>
        <v/>
      </c>
      <c r="C738" s="41"/>
      <c r="D738" s="42"/>
      <c r="E738" s="42"/>
      <c r="F738" s="42"/>
      <c r="G738" s="43"/>
      <c r="H738" s="43"/>
      <c r="I738" s="44"/>
      <c r="J738" s="44"/>
      <c r="K738" s="44"/>
      <c r="L738" s="45"/>
      <c r="M738" s="46"/>
      <c r="N738" s="45"/>
      <c r="O738" s="47" t="str">
        <f aca="false">IF(OR($L738="",$M738=""),"",(DATE(Semana!$J$3,1,4)-WEEKDAY(DATE(Semana!$J$3,1,4),3))+($L738-1)*7+MATCH($M738,Listas!$F$5:$F$11,0)-1)</f>
        <v/>
      </c>
      <c r="P738" s="47" t="str">
        <f aca="false">IF(OR($F738="",$O738=""),"",$O738+MAX(0,ROUNDUP($AK738*MAX(1,IF($N738="",1,$N738))/MAX(1,$AL738),0)-1))</f>
        <v/>
      </c>
      <c r="Q738" s="48"/>
      <c r="R738" s="43"/>
      <c r="S738" s="49"/>
      <c r="T738" s="42"/>
      <c r="U738" s="42"/>
      <c r="V738" s="39" t="str">
        <f aca="false">IF($F738="","",IF(ISNUMBER(SEARCH("(externo)",$I738&amp;$J738&amp;$K738)),"Terceirizada","Interna"))</f>
        <v/>
      </c>
      <c r="W738" s="47" t="str">
        <f aca="false">IF($O738="","",IF($S738="",$O738,(DATE(Semana!$J$3,1,4)-WEEKDAY(DATE(Semana!$J$3,1,4),3))+($S738-1)*7+IF($M738="",0,MATCH($M738,Listas!$F$5:$F$11,0)-1)))</f>
        <v/>
      </c>
      <c r="X738" s="39" t="str">
        <f aca="false">IF($F738="","",IF(OR($AT738="",$O738=""),0,IF($AT738&lt;=$O738,1,0)))</f>
        <v/>
      </c>
      <c r="Y738" s="39" t="str">
        <f aca="false">IF($F738="","",IF(OR($AT738="",$W738=""),0,IF($AT738&lt;=$W738,1,0)))</f>
        <v/>
      </c>
      <c r="Z738" s="39" t="str">
        <f aca="false">IF(OR($AT738="",$O738=""),"",MAX(0,$AT738-$O738))</f>
        <v/>
      </c>
      <c r="AA738" s="39" t="str">
        <f aca="false">IF($F738="","",IF(AND($S738&lt;&gt;"",$L738&lt;&gt;"",$S738&lt;&gt;$L738),1,0))</f>
        <v/>
      </c>
      <c r="AB738" s="39" t="str">
        <f aca="false">IF($F738="","",IF($R738="Cancelada",0,IF(OR($AT738&lt;&gt;"",$R738="Concluída"),1,0)))</f>
        <v/>
      </c>
      <c r="AC738" s="39" t="n">
        <f aca="false">IF($P738="",0,IF($P738&lt;Hoje!$L$1,1,IF(AND($P738=Hoje!$L$1,Hoje!$L$2&gt;Semana!$M$3),1,0)))</f>
        <v>0</v>
      </c>
      <c r="AD738" s="39" t="str">
        <f aca="false">IF($F738="","",IF(COUNTA($I738:$K738)=0,0,1/COUNTA($I738:$K738)))</f>
        <v/>
      </c>
      <c r="AE738" s="39" t="str">
        <f aca="false">IF($AH738=0,"",SUM($AH$4:$AH738))</f>
        <v/>
      </c>
      <c r="AF738" s="39" t="str">
        <f aca="false">IF($AI738=0,"",SUM($AI$4:$AI738))</f>
        <v/>
      </c>
      <c r="AG738" s="50" t="str">
        <f aca="false">IF($F738="","",$I738&amp;IF($J738="",""," · "&amp;$J738)&amp;IF($K738="",""," · "&amp;$K738))</f>
        <v/>
      </c>
      <c r="AH738" s="39" t="n">
        <f aca="false">IF(AND($F738&lt;&gt;"",$O738&lt;&gt;"",$O738&lt;=Hoje!$C$3,$P738&gt;=Hoje!$C$3,$R738&lt;&gt;"Cancelada"),1,0)</f>
        <v>0</v>
      </c>
      <c r="AI738" s="39" t="n">
        <f aca="false">IF(AND($F738&lt;&gt;"",$P738&lt;&gt;"",$P738&lt;Hoje!$C$3,$AB738=0,$R738&lt;&gt;"Cancelada"),1,0)</f>
        <v>0</v>
      </c>
      <c r="AJ738" s="50" t="str">
        <f aca="false">IF($F738="","",$D738&amp;"|"&amp;$E738&amp;"|"&amp;$L738)</f>
        <v/>
      </c>
      <c r="AK738" s="39" t="str">
        <f aca="false">IF($AJ738="","",COUNTIF($AJ$4:$AJ738,$AJ738))</f>
        <v/>
      </c>
      <c r="AL738" s="39" t="str">
        <f aca="false">IF($AJ738="","",COUNTIF($AJ$4:$AJ$1004,$AJ738))</f>
        <v/>
      </c>
      <c r="AM738" s="42"/>
      <c r="AN738" s="50" t="str">
        <f aca="false">IF($D738="","",IFERROR(T(VLOOKUP($D738,Listas!$B$5:$H$120,7,0)),""))</f>
        <v/>
      </c>
      <c r="AO738" s="50" t="str">
        <f aca="false">IF(OR($F738="",$L738&lt;&gt;"",$R738="Cancelada",$AT738&lt;&gt;""),"",$AN738&amp;"|"&amp;$D738&amp;"|"&amp;IF($C738="","zzz",$C738)&amp;"|"&amp;TEXT(738,"0000"))</f>
        <v/>
      </c>
      <c r="AP738" s="50" t="str">
        <f aca="false">IF($AO738="","",COUNTIF($AO$5:$AO$1004,"&lt;"&amp;$AO738)-(ROWS($AO$5:$AO$1004)-Hoje!$L$5)+1)</f>
        <v/>
      </c>
      <c r="AQ738" s="50" t="n">
        <f aca="false">IF(AND($F738&lt;&gt;"",$D738=Frota!$C$3),1,0)</f>
        <v>0</v>
      </c>
      <c r="AR738" s="50" t="str">
        <f aca="false">IF($AQ738=0,"",SUM($AQ$4:$AQ738))</f>
        <v/>
      </c>
      <c r="AS738" s="50" t="str">
        <f aca="false">IFERROR(INDEX(Hoje!$K$10:$K$29,MATCH(ROW(),Hoje!$J$10:$J$29,0)),"")</f>
        <v/>
      </c>
      <c r="AT738" s="50" t="str">
        <f aca="false">IF($Q738&lt;&gt;"",$Q738,$AS738)</f>
        <v/>
      </c>
    </row>
    <row r="739" customFormat="false" ht="16.5" hidden="false" customHeight="true" outlineLevel="0" collapsed="false">
      <c r="A739" s="39" t="str">
        <f aca="false">IF($F739="","",ROW())</f>
        <v/>
      </c>
      <c r="B739" s="40" t="str">
        <f aca="false">IF($F739="",IF($D739="","","Falta a atividade"),IF($R739="Cancelada","Cancelada",IF($AB739=1,IF(N($Z739)&gt;0,"Concluída com atraso","Concluída"),IF($R739="Em programação","Em programação",IF($O739="",IF($M739="","Na carteira","Falta a semana"),IF($AC739=1,"VENCIDA",IF($O739&gt;Hoje!$L$1,"Programada",IF($P739&gt;Hoje!$L$1,"Em execução","Fecha hoje"))))))))</f>
        <v/>
      </c>
      <c r="C739" s="41"/>
      <c r="D739" s="42"/>
      <c r="E739" s="42"/>
      <c r="F739" s="42"/>
      <c r="G739" s="43"/>
      <c r="H739" s="43"/>
      <c r="I739" s="44"/>
      <c r="J739" s="44"/>
      <c r="K739" s="44"/>
      <c r="L739" s="45"/>
      <c r="M739" s="46"/>
      <c r="N739" s="45"/>
      <c r="O739" s="47" t="str">
        <f aca="false">IF(OR($L739="",$M739=""),"",(DATE(Semana!$J$3,1,4)-WEEKDAY(DATE(Semana!$J$3,1,4),3))+($L739-1)*7+MATCH($M739,Listas!$F$5:$F$11,0)-1)</f>
        <v/>
      </c>
      <c r="P739" s="47" t="str">
        <f aca="false">IF(OR($F739="",$O739=""),"",$O739+MAX(0,ROUNDUP($AK739*MAX(1,IF($N739="",1,$N739))/MAX(1,$AL739),0)-1))</f>
        <v/>
      </c>
      <c r="Q739" s="48"/>
      <c r="R739" s="43"/>
      <c r="S739" s="49"/>
      <c r="T739" s="42"/>
      <c r="U739" s="42"/>
      <c r="V739" s="39" t="str">
        <f aca="false">IF($F739="","",IF(ISNUMBER(SEARCH("(externo)",$I739&amp;$J739&amp;$K739)),"Terceirizada","Interna"))</f>
        <v/>
      </c>
      <c r="W739" s="47" t="str">
        <f aca="false">IF($O739="","",IF($S739="",$O739,(DATE(Semana!$J$3,1,4)-WEEKDAY(DATE(Semana!$J$3,1,4),3))+($S739-1)*7+IF($M739="",0,MATCH($M739,Listas!$F$5:$F$11,0)-1)))</f>
        <v/>
      </c>
      <c r="X739" s="39" t="str">
        <f aca="false">IF($F739="","",IF(OR($AT739="",$O739=""),0,IF($AT739&lt;=$O739,1,0)))</f>
        <v/>
      </c>
      <c r="Y739" s="39" t="str">
        <f aca="false">IF($F739="","",IF(OR($AT739="",$W739=""),0,IF($AT739&lt;=$W739,1,0)))</f>
        <v/>
      </c>
      <c r="Z739" s="39" t="str">
        <f aca="false">IF(OR($AT739="",$O739=""),"",MAX(0,$AT739-$O739))</f>
        <v/>
      </c>
      <c r="AA739" s="39" t="str">
        <f aca="false">IF($F739="","",IF(AND($S739&lt;&gt;"",$L739&lt;&gt;"",$S739&lt;&gt;$L739),1,0))</f>
        <v/>
      </c>
      <c r="AB739" s="39" t="str">
        <f aca="false">IF($F739="","",IF($R739="Cancelada",0,IF(OR($AT739&lt;&gt;"",$R739="Concluída"),1,0)))</f>
        <v/>
      </c>
      <c r="AC739" s="39" t="n">
        <f aca="false">IF($P739="",0,IF($P739&lt;Hoje!$L$1,1,IF(AND($P739=Hoje!$L$1,Hoje!$L$2&gt;Semana!$M$3),1,0)))</f>
        <v>0</v>
      </c>
      <c r="AD739" s="39" t="str">
        <f aca="false">IF($F739="","",IF(COUNTA($I739:$K739)=0,0,1/COUNTA($I739:$K739)))</f>
        <v/>
      </c>
      <c r="AE739" s="39" t="str">
        <f aca="false">IF($AH739=0,"",SUM($AH$4:$AH739))</f>
        <v/>
      </c>
      <c r="AF739" s="39" t="str">
        <f aca="false">IF($AI739=0,"",SUM($AI$4:$AI739))</f>
        <v/>
      </c>
      <c r="AG739" s="50" t="str">
        <f aca="false">IF($F739="","",$I739&amp;IF($J739="",""," · "&amp;$J739)&amp;IF($K739="",""," · "&amp;$K739))</f>
        <v/>
      </c>
      <c r="AH739" s="39" t="n">
        <f aca="false">IF(AND($F739&lt;&gt;"",$O739&lt;&gt;"",$O739&lt;=Hoje!$C$3,$P739&gt;=Hoje!$C$3,$R739&lt;&gt;"Cancelada"),1,0)</f>
        <v>0</v>
      </c>
      <c r="AI739" s="39" t="n">
        <f aca="false">IF(AND($F739&lt;&gt;"",$P739&lt;&gt;"",$P739&lt;Hoje!$C$3,$AB739=0,$R739&lt;&gt;"Cancelada"),1,0)</f>
        <v>0</v>
      </c>
      <c r="AJ739" s="50" t="str">
        <f aca="false">IF($F739="","",$D739&amp;"|"&amp;$E739&amp;"|"&amp;$L739)</f>
        <v/>
      </c>
      <c r="AK739" s="39" t="str">
        <f aca="false">IF($AJ739="","",COUNTIF($AJ$4:$AJ739,$AJ739))</f>
        <v/>
      </c>
      <c r="AL739" s="39" t="str">
        <f aca="false">IF($AJ739="","",COUNTIF($AJ$4:$AJ$1004,$AJ739))</f>
        <v/>
      </c>
      <c r="AM739" s="42"/>
      <c r="AN739" s="50" t="str">
        <f aca="false">IF($D739="","",IFERROR(T(VLOOKUP($D739,Listas!$B$5:$H$120,7,0)),""))</f>
        <v/>
      </c>
      <c r="AO739" s="50" t="str">
        <f aca="false">IF(OR($F739="",$L739&lt;&gt;"",$R739="Cancelada",$AT739&lt;&gt;""),"",$AN739&amp;"|"&amp;$D739&amp;"|"&amp;IF($C739="","zzz",$C739)&amp;"|"&amp;TEXT(739,"0000"))</f>
        <v/>
      </c>
      <c r="AP739" s="50" t="str">
        <f aca="false">IF($AO739="","",COUNTIF($AO$5:$AO$1004,"&lt;"&amp;$AO739)-(ROWS($AO$5:$AO$1004)-Hoje!$L$5)+1)</f>
        <v/>
      </c>
      <c r="AQ739" s="50" t="n">
        <f aca="false">IF(AND($F739&lt;&gt;"",$D739=Frota!$C$3),1,0)</f>
        <v>0</v>
      </c>
      <c r="AR739" s="50" t="str">
        <f aca="false">IF($AQ739=0,"",SUM($AQ$4:$AQ739))</f>
        <v/>
      </c>
      <c r="AS739" s="50" t="str">
        <f aca="false">IFERROR(INDEX(Hoje!$K$10:$K$29,MATCH(ROW(),Hoje!$J$10:$J$29,0)),"")</f>
        <v/>
      </c>
      <c r="AT739" s="50" t="str">
        <f aca="false">IF($Q739&lt;&gt;"",$Q739,$AS739)</f>
        <v/>
      </c>
    </row>
    <row r="740" customFormat="false" ht="16.5" hidden="false" customHeight="true" outlineLevel="0" collapsed="false">
      <c r="A740" s="39" t="str">
        <f aca="false">IF($F740="","",ROW())</f>
        <v/>
      </c>
      <c r="B740" s="40" t="str">
        <f aca="false">IF($F740="",IF($D740="","","Falta a atividade"),IF($R740="Cancelada","Cancelada",IF($AB740=1,IF(N($Z740)&gt;0,"Concluída com atraso","Concluída"),IF($R740="Em programação","Em programação",IF($O740="",IF($M740="","Na carteira","Falta a semana"),IF($AC740=1,"VENCIDA",IF($O740&gt;Hoje!$L$1,"Programada",IF($P740&gt;Hoje!$L$1,"Em execução","Fecha hoje"))))))))</f>
        <v/>
      </c>
      <c r="C740" s="41"/>
      <c r="D740" s="42"/>
      <c r="E740" s="42"/>
      <c r="F740" s="42"/>
      <c r="G740" s="43"/>
      <c r="H740" s="43"/>
      <c r="I740" s="44"/>
      <c r="J740" s="44"/>
      <c r="K740" s="44"/>
      <c r="L740" s="45"/>
      <c r="M740" s="46"/>
      <c r="N740" s="45"/>
      <c r="O740" s="47" t="str">
        <f aca="false">IF(OR($L740="",$M740=""),"",(DATE(Semana!$J$3,1,4)-WEEKDAY(DATE(Semana!$J$3,1,4),3))+($L740-1)*7+MATCH($M740,Listas!$F$5:$F$11,0)-1)</f>
        <v/>
      </c>
      <c r="P740" s="47" t="str">
        <f aca="false">IF(OR($F740="",$O740=""),"",$O740+MAX(0,ROUNDUP($AK740*MAX(1,IF($N740="",1,$N740))/MAX(1,$AL740),0)-1))</f>
        <v/>
      </c>
      <c r="Q740" s="48"/>
      <c r="R740" s="43"/>
      <c r="S740" s="49"/>
      <c r="T740" s="42"/>
      <c r="U740" s="42"/>
      <c r="V740" s="39" t="str">
        <f aca="false">IF($F740="","",IF(ISNUMBER(SEARCH("(externo)",$I740&amp;$J740&amp;$K740)),"Terceirizada","Interna"))</f>
        <v/>
      </c>
      <c r="W740" s="47" t="str">
        <f aca="false">IF($O740="","",IF($S740="",$O740,(DATE(Semana!$J$3,1,4)-WEEKDAY(DATE(Semana!$J$3,1,4),3))+($S740-1)*7+IF($M740="",0,MATCH($M740,Listas!$F$5:$F$11,0)-1)))</f>
        <v/>
      </c>
      <c r="X740" s="39" t="str">
        <f aca="false">IF($F740="","",IF(OR($AT740="",$O740=""),0,IF($AT740&lt;=$O740,1,0)))</f>
        <v/>
      </c>
      <c r="Y740" s="39" t="str">
        <f aca="false">IF($F740="","",IF(OR($AT740="",$W740=""),0,IF($AT740&lt;=$W740,1,0)))</f>
        <v/>
      </c>
      <c r="Z740" s="39" t="str">
        <f aca="false">IF(OR($AT740="",$O740=""),"",MAX(0,$AT740-$O740))</f>
        <v/>
      </c>
      <c r="AA740" s="39" t="str">
        <f aca="false">IF($F740="","",IF(AND($S740&lt;&gt;"",$L740&lt;&gt;"",$S740&lt;&gt;$L740),1,0))</f>
        <v/>
      </c>
      <c r="AB740" s="39" t="str">
        <f aca="false">IF($F740="","",IF($R740="Cancelada",0,IF(OR($AT740&lt;&gt;"",$R740="Concluída"),1,0)))</f>
        <v/>
      </c>
      <c r="AC740" s="39" t="n">
        <f aca="false">IF($P740="",0,IF($P740&lt;Hoje!$L$1,1,IF(AND($P740=Hoje!$L$1,Hoje!$L$2&gt;Semana!$M$3),1,0)))</f>
        <v>0</v>
      </c>
      <c r="AD740" s="39" t="str">
        <f aca="false">IF($F740="","",IF(COUNTA($I740:$K740)=0,0,1/COUNTA($I740:$K740)))</f>
        <v/>
      </c>
      <c r="AE740" s="39" t="str">
        <f aca="false">IF($AH740=0,"",SUM($AH$4:$AH740))</f>
        <v/>
      </c>
      <c r="AF740" s="39" t="str">
        <f aca="false">IF($AI740=0,"",SUM($AI$4:$AI740))</f>
        <v/>
      </c>
      <c r="AG740" s="50" t="str">
        <f aca="false">IF($F740="","",$I740&amp;IF($J740="",""," · "&amp;$J740)&amp;IF($K740="",""," · "&amp;$K740))</f>
        <v/>
      </c>
      <c r="AH740" s="39" t="n">
        <f aca="false">IF(AND($F740&lt;&gt;"",$O740&lt;&gt;"",$O740&lt;=Hoje!$C$3,$P740&gt;=Hoje!$C$3,$R740&lt;&gt;"Cancelada"),1,0)</f>
        <v>0</v>
      </c>
      <c r="AI740" s="39" t="n">
        <f aca="false">IF(AND($F740&lt;&gt;"",$P740&lt;&gt;"",$P740&lt;Hoje!$C$3,$AB740=0,$R740&lt;&gt;"Cancelada"),1,0)</f>
        <v>0</v>
      </c>
      <c r="AJ740" s="50" t="str">
        <f aca="false">IF($F740="","",$D740&amp;"|"&amp;$E740&amp;"|"&amp;$L740)</f>
        <v/>
      </c>
      <c r="AK740" s="39" t="str">
        <f aca="false">IF($AJ740="","",COUNTIF($AJ$4:$AJ740,$AJ740))</f>
        <v/>
      </c>
      <c r="AL740" s="39" t="str">
        <f aca="false">IF($AJ740="","",COUNTIF($AJ$4:$AJ$1004,$AJ740))</f>
        <v/>
      </c>
      <c r="AM740" s="42"/>
      <c r="AN740" s="50" t="str">
        <f aca="false">IF($D740="","",IFERROR(T(VLOOKUP($D740,Listas!$B$5:$H$120,7,0)),""))</f>
        <v/>
      </c>
      <c r="AO740" s="50" t="str">
        <f aca="false">IF(OR($F740="",$L740&lt;&gt;"",$R740="Cancelada",$AT740&lt;&gt;""),"",$AN740&amp;"|"&amp;$D740&amp;"|"&amp;IF($C740="","zzz",$C740)&amp;"|"&amp;TEXT(740,"0000"))</f>
        <v/>
      </c>
      <c r="AP740" s="50" t="str">
        <f aca="false">IF($AO740="","",COUNTIF($AO$5:$AO$1004,"&lt;"&amp;$AO740)-(ROWS($AO$5:$AO$1004)-Hoje!$L$5)+1)</f>
        <v/>
      </c>
      <c r="AQ740" s="50" t="n">
        <f aca="false">IF(AND($F740&lt;&gt;"",$D740=Frota!$C$3),1,0)</f>
        <v>0</v>
      </c>
      <c r="AR740" s="50" t="str">
        <f aca="false">IF($AQ740=0,"",SUM($AQ$4:$AQ740))</f>
        <v/>
      </c>
      <c r="AS740" s="50" t="str">
        <f aca="false">IFERROR(INDEX(Hoje!$K$10:$K$29,MATCH(ROW(),Hoje!$J$10:$J$29,0)),"")</f>
        <v/>
      </c>
      <c r="AT740" s="50" t="str">
        <f aca="false">IF($Q740&lt;&gt;"",$Q740,$AS740)</f>
        <v/>
      </c>
    </row>
    <row r="741" customFormat="false" ht="16.5" hidden="false" customHeight="true" outlineLevel="0" collapsed="false">
      <c r="A741" s="39" t="str">
        <f aca="false">IF($F741="","",ROW())</f>
        <v/>
      </c>
      <c r="B741" s="40" t="str">
        <f aca="false">IF($F741="",IF($D741="","","Falta a atividade"),IF($R741="Cancelada","Cancelada",IF($AB741=1,IF(N($Z741)&gt;0,"Concluída com atraso","Concluída"),IF($R741="Em programação","Em programação",IF($O741="",IF($M741="","Na carteira","Falta a semana"),IF($AC741=1,"VENCIDA",IF($O741&gt;Hoje!$L$1,"Programada",IF($P741&gt;Hoje!$L$1,"Em execução","Fecha hoje"))))))))</f>
        <v/>
      </c>
      <c r="C741" s="41"/>
      <c r="D741" s="42"/>
      <c r="E741" s="42"/>
      <c r="F741" s="42"/>
      <c r="G741" s="43"/>
      <c r="H741" s="43"/>
      <c r="I741" s="44"/>
      <c r="J741" s="44"/>
      <c r="K741" s="44"/>
      <c r="L741" s="45"/>
      <c r="M741" s="46"/>
      <c r="N741" s="45"/>
      <c r="O741" s="47" t="str">
        <f aca="false">IF(OR($L741="",$M741=""),"",(DATE(Semana!$J$3,1,4)-WEEKDAY(DATE(Semana!$J$3,1,4),3))+($L741-1)*7+MATCH($M741,Listas!$F$5:$F$11,0)-1)</f>
        <v/>
      </c>
      <c r="P741" s="47" t="str">
        <f aca="false">IF(OR($F741="",$O741=""),"",$O741+MAX(0,ROUNDUP($AK741*MAX(1,IF($N741="",1,$N741))/MAX(1,$AL741),0)-1))</f>
        <v/>
      </c>
      <c r="Q741" s="48"/>
      <c r="R741" s="43"/>
      <c r="S741" s="49"/>
      <c r="T741" s="42"/>
      <c r="U741" s="42"/>
      <c r="V741" s="39" t="str">
        <f aca="false">IF($F741="","",IF(ISNUMBER(SEARCH("(externo)",$I741&amp;$J741&amp;$K741)),"Terceirizada","Interna"))</f>
        <v/>
      </c>
      <c r="W741" s="47" t="str">
        <f aca="false">IF($O741="","",IF($S741="",$O741,(DATE(Semana!$J$3,1,4)-WEEKDAY(DATE(Semana!$J$3,1,4),3))+($S741-1)*7+IF($M741="",0,MATCH($M741,Listas!$F$5:$F$11,0)-1)))</f>
        <v/>
      </c>
      <c r="X741" s="39" t="str">
        <f aca="false">IF($F741="","",IF(OR($AT741="",$O741=""),0,IF($AT741&lt;=$O741,1,0)))</f>
        <v/>
      </c>
      <c r="Y741" s="39" t="str">
        <f aca="false">IF($F741="","",IF(OR($AT741="",$W741=""),0,IF($AT741&lt;=$W741,1,0)))</f>
        <v/>
      </c>
      <c r="Z741" s="39" t="str">
        <f aca="false">IF(OR($AT741="",$O741=""),"",MAX(0,$AT741-$O741))</f>
        <v/>
      </c>
      <c r="AA741" s="39" t="str">
        <f aca="false">IF($F741="","",IF(AND($S741&lt;&gt;"",$L741&lt;&gt;"",$S741&lt;&gt;$L741),1,0))</f>
        <v/>
      </c>
      <c r="AB741" s="39" t="str">
        <f aca="false">IF($F741="","",IF($R741="Cancelada",0,IF(OR($AT741&lt;&gt;"",$R741="Concluída"),1,0)))</f>
        <v/>
      </c>
      <c r="AC741" s="39" t="n">
        <f aca="false">IF($P741="",0,IF($P741&lt;Hoje!$L$1,1,IF(AND($P741=Hoje!$L$1,Hoje!$L$2&gt;Semana!$M$3),1,0)))</f>
        <v>0</v>
      </c>
      <c r="AD741" s="39" t="str">
        <f aca="false">IF($F741="","",IF(COUNTA($I741:$K741)=0,0,1/COUNTA($I741:$K741)))</f>
        <v/>
      </c>
      <c r="AE741" s="39" t="str">
        <f aca="false">IF($AH741=0,"",SUM($AH$4:$AH741))</f>
        <v/>
      </c>
      <c r="AF741" s="39" t="str">
        <f aca="false">IF($AI741=0,"",SUM($AI$4:$AI741))</f>
        <v/>
      </c>
      <c r="AG741" s="50" t="str">
        <f aca="false">IF($F741="","",$I741&amp;IF($J741="",""," · "&amp;$J741)&amp;IF($K741="",""," · "&amp;$K741))</f>
        <v/>
      </c>
      <c r="AH741" s="39" t="n">
        <f aca="false">IF(AND($F741&lt;&gt;"",$O741&lt;&gt;"",$O741&lt;=Hoje!$C$3,$P741&gt;=Hoje!$C$3,$R741&lt;&gt;"Cancelada"),1,0)</f>
        <v>0</v>
      </c>
      <c r="AI741" s="39" t="n">
        <f aca="false">IF(AND($F741&lt;&gt;"",$P741&lt;&gt;"",$P741&lt;Hoje!$C$3,$AB741=0,$R741&lt;&gt;"Cancelada"),1,0)</f>
        <v>0</v>
      </c>
      <c r="AJ741" s="50" t="str">
        <f aca="false">IF($F741="","",$D741&amp;"|"&amp;$E741&amp;"|"&amp;$L741)</f>
        <v/>
      </c>
      <c r="AK741" s="39" t="str">
        <f aca="false">IF($AJ741="","",COUNTIF($AJ$4:$AJ741,$AJ741))</f>
        <v/>
      </c>
      <c r="AL741" s="39" t="str">
        <f aca="false">IF($AJ741="","",COUNTIF($AJ$4:$AJ$1004,$AJ741))</f>
        <v/>
      </c>
      <c r="AM741" s="42"/>
      <c r="AN741" s="50" t="str">
        <f aca="false">IF($D741="","",IFERROR(T(VLOOKUP($D741,Listas!$B$5:$H$120,7,0)),""))</f>
        <v/>
      </c>
      <c r="AO741" s="50" t="str">
        <f aca="false">IF(OR($F741="",$L741&lt;&gt;"",$R741="Cancelada",$AT741&lt;&gt;""),"",$AN741&amp;"|"&amp;$D741&amp;"|"&amp;IF($C741="","zzz",$C741)&amp;"|"&amp;TEXT(741,"0000"))</f>
        <v/>
      </c>
      <c r="AP741" s="50" t="str">
        <f aca="false">IF($AO741="","",COUNTIF($AO$5:$AO$1004,"&lt;"&amp;$AO741)-(ROWS($AO$5:$AO$1004)-Hoje!$L$5)+1)</f>
        <v/>
      </c>
      <c r="AQ741" s="50" t="n">
        <f aca="false">IF(AND($F741&lt;&gt;"",$D741=Frota!$C$3),1,0)</f>
        <v>0</v>
      </c>
      <c r="AR741" s="50" t="str">
        <f aca="false">IF($AQ741=0,"",SUM($AQ$4:$AQ741))</f>
        <v/>
      </c>
      <c r="AS741" s="50" t="str">
        <f aca="false">IFERROR(INDEX(Hoje!$K$10:$K$29,MATCH(ROW(),Hoje!$J$10:$J$29,0)),"")</f>
        <v/>
      </c>
      <c r="AT741" s="50" t="str">
        <f aca="false">IF($Q741&lt;&gt;"",$Q741,$AS741)</f>
        <v/>
      </c>
    </row>
    <row r="742" customFormat="false" ht="16.5" hidden="false" customHeight="true" outlineLevel="0" collapsed="false">
      <c r="A742" s="39" t="str">
        <f aca="false">IF($F742="","",ROW())</f>
        <v/>
      </c>
      <c r="B742" s="40" t="str">
        <f aca="false">IF($F742="",IF($D742="","","Falta a atividade"),IF($R742="Cancelada","Cancelada",IF($AB742=1,IF(N($Z742)&gt;0,"Concluída com atraso","Concluída"),IF($R742="Em programação","Em programação",IF($O742="",IF($M742="","Na carteira","Falta a semana"),IF($AC742=1,"VENCIDA",IF($O742&gt;Hoje!$L$1,"Programada",IF($P742&gt;Hoje!$L$1,"Em execução","Fecha hoje"))))))))</f>
        <v/>
      </c>
      <c r="C742" s="41"/>
      <c r="D742" s="42"/>
      <c r="E742" s="42"/>
      <c r="F742" s="42"/>
      <c r="G742" s="43"/>
      <c r="H742" s="43"/>
      <c r="I742" s="44"/>
      <c r="J742" s="44"/>
      <c r="K742" s="44"/>
      <c r="L742" s="45"/>
      <c r="M742" s="46"/>
      <c r="N742" s="45"/>
      <c r="O742" s="47" t="str">
        <f aca="false">IF(OR($L742="",$M742=""),"",(DATE(Semana!$J$3,1,4)-WEEKDAY(DATE(Semana!$J$3,1,4),3))+($L742-1)*7+MATCH($M742,Listas!$F$5:$F$11,0)-1)</f>
        <v/>
      </c>
      <c r="P742" s="47" t="str">
        <f aca="false">IF(OR($F742="",$O742=""),"",$O742+MAX(0,ROUNDUP($AK742*MAX(1,IF($N742="",1,$N742))/MAX(1,$AL742),0)-1))</f>
        <v/>
      </c>
      <c r="Q742" s="48"/>
      <c r="R742" s="43"/>
      <c r="S742" s="49"/>
      <c r="T742" s="42"/>
      <c r="U742" s="42"/>
      <c r="V742" s="39" t="str">
        <f aca="false">IF($F742="","",IF(ISNUMBER(SEARCH("(externo)",$I742&amp;$J742&amp;$K742)),"Terceirizada","Interna"))</f>
        <v/>
      </c>
      <c r="W742" s="47" t="str">
        <f aca="false">IF($O742="","",IF($S742="",$O742,(DATE(Semana!$J$3,1,4)-WEEKDAY(DATE(Semana!$J$3,1,4),3))+($S742-1)*7+IF($M742="",0,MATCH($M742,Listas!$F$5:$F$11,0)-1)))</f>
        <v/>
      </c>
      <c r="X742" s="39" t="str">
        <f aca="false">IF($F742="","",IF(OR($AT742="",$O742=""),0,IF($AT742&lt;=$O742,1,0)))</f>
        <v/>
      </c>
      <c r="Y742" s="39" t="str">
        <f aca="false">IF($F742="","",IF(OR($AT742="",$W742=""),0,IF($AT742&lt;=$W742,1,0)))</f>
        <v/>
      </c>
      <c r="Z742" s="39" t="str">
        <f aca="false">IF(OR($AT742="",$O742=""),"",MAX(0,$AT742-$O742))</f>
        <v/>
      </c>
      <c r="AA742" s="39" t="str">
        <f aca="false">IF($F742="","",IF(AND($S742&lt;&gt;"",$L742&lt;&gt;"",$S742&lt;&gt;$L742),1,0))</f>
        <v/>
      </c>
      <c r="AB742" s="39" t="str">
        <f aca="false">IF($F742="","",IF($R742="Cancelada",0,IF(OR($AT742&lt;&gt;"",$R742="Concluída"),1,0)))</f>
        <v/>
      </c>
      <c r="AC742" s="39" t="n">
        <f aca="false">IF($P742="",0,IF($P742&lt;Hoje!$L$1,1,IF(AND($P742=Hoje!$L$1,Hoje!$L$2&gt;Semana!$M$3),1,0)))</f>
        <v>0</v>
      </c>
      <c r="AD742" s="39" t="str">
        <f aca="false">IF($F742="","",IF(COUNTA($I742:$K742)=0,0,1/COUNTA($I742:$K742)))</f>
        <v/>
      </c>
      <c r="AE742" s="39" t="str">
        <f aca="false">IF($AH742=0,"",SUM($AH$4:$AH742))</f>
        <v/>
      </c>
      <c r="AF742" s="39" t="str">
        <f aca="false">IF($AI742=0,"",SUM($AI$4:$AI742))</f>
        <v/>
      </c>
      <c r="AG742" s="50" t="str">
        <f aca="false">IF($F742="","",$I742&amp;IF($J742="",""," · "&amp;$J742)&amp;IF($K742="",""," · "&amp;$K742))</f>
        <v/>
      </c>
      <c r="AH742" s="39" t="n">
        <f aca="false">IF(AND($F742&lt;&gt;"",$O742&lt;&gt;"",$O742&lt;=Hoje!$C$3,$P742&gt;=Hoje!$C$3,$R742&lt;&gt;"Cancelada"),1,0)</f>
        <v>0</v>
      </c>
      <c r="AI742" s="39" t="n">
        <f aca="false">IF(AND($F742&lt;&gt;"",$P742&lt;&gt;"",$P742&lt;Hoje!$C$3,$AB742=0,$R742&lt;&gt;"Cancelada"),1,0)</f>
        <v>0</v>
      </c>
      <c r="AJ742" s="50" t="str">
        <f aca="false">IF($F742="","",$D742&amp;"|"&amp;$E742&amp;"|"&amp;$L742)</f>
        <v/>
      </c>
      <c r="AK742" s="39" t="str">
        <f aca="false">IF($AJ742="","",COUNTIF($AJ$4:$AJ742,$AJ742))</f>
        <v/>
      </c>
      <c r="AL742" s="39" t="str">
        <f aca="false">IF($AJ742="","",COUNTIF($AJ$4:$AJ$1004,$AJ742))</f>
        <v/>
      </c>
      <c r="AM742" s="42"/>
      <c r="AN742" s="50" t="str">
        <f aca="false">IF($D742="","",IFERROR(T(VLOOKUP($D742,Listas!$B$5:$H$120,7,0)),""))</f>
        <v/>
      </c>
      <c r="AO742" s="50" t="str">
        <f aca="false">IF(OR($F742="",$L742&lt;&gt;"",$R742="Cancelada",$AT742&lt;&gt;""),"",$AN742&amp;"|"&amp;$D742&amp;"|"&amp;IF($C742="","zzz",$C742)&amp;"|"&amp;TEXT(742,"0000"))</f>
        <v/>
      </c>
      <c r="AP742" s="50" t="str">
        <f aca="false">IF($AO742="","",COUNTIF($AO$5:$AO$1004,"&lt;"&amp;$AO742)-(ROWS($AO$5:$AO$1004)-Hoje!$L$5)+1)</f>
        <v/>
      </c>
      <c r="AQ742" s="50" t="n">
        <f aca="false">IF(AND($F742&lt;&gt;"",$D742=Frota!$C$3),1,0)</f>
        <v>0</v>
      </c>
      <c r="AR742" s="50" t="str">
        <f aca="false">IF($AQ742=0,"",SUM($AQ$4:$AQ742))</f>
        <v/>
      </c>
      <c r="AS742" s="50" t="str">
        <f aca="false">IFERROR(INDEX(Hoje!$K$10:$K$29,MATCH(ROW(),Hoje!$J$10:$J$29,0)),"")</f>
        <v/>
      </c>
      <c r="AT742" s="50" t="str">
        <f aca="false">IF($Q742&lt;&gt;"",$Q742,$AS742)</f>
        <v/>
      </c>
    </row>
    <row r="743" customFormat="false" ht="16.5" hidden="false" customHeight="true" outlineLevel="0" collapsed="false">
      <c r="A743" s="39" t="str">
        <f aca="false">IF($F743="","",ROW())</f>
        <v/>
      </c>
      <c r="B743" s="40" t="str">
        <f aca="false">IF($F743="",IF($D743="","","Falta a atividade"),IF($R743="Cancelada","Cancelada",IF($AB743=1,IF(N($Z743)&gt;0,"Concluída com atraso","Concluída"),IF($R743="Em programação","Em programação",IF($O743="",IF($M743="","Na carteira","Falta a semana"),IF($AC743=1,"VENCIDA",IF($O743&gt;Hoje!$L$1,"Programada",IF($P743&gt;Hoje!$L$1,"Em execução","Fecha hoje"))))))))</f>
        <v/>
      </c>
      <c r="C743" s="41"/>
      <c r="D743" s="42"/>
      <c r="E743" s="42"/>
      <c r="F743" s="42"/>
      <c r="G743" s="43"/>
      <c r="H743" s="43"/>
      <c r="I743" s="44"/>
      <c r="J743" s="44"/>
      <c r="K743" s="44"/>
      <c r="L743" s="45"/>
      <c r="M743" s="46"/>
      <c r="N743" s="45"/>
      <c r="O743" s="47" t="str">
        <f aca="false">IF(OR($L743="",$M743=""),"",(DATE(Semana!$J$3,1,4)-WEEKDAY(DATE(Semana!$J$3,1,4),3))+($L743-1)*7+MATCH($M743,Listas!$F$5:$F$11,0)-1)</f>
        <v/>
      </c>
      <c r="P743" s="47" t="str">
        <f aca="false">IF(OR($F743="",$O743=""),"",$O743+MAX(0,ROUNDUP($AK743*MAX(1,IF($N743="",1,$N743))/MAX(1,$AL743),0)-1))</f>
        <v/>
      </c>
      <c r="Q743" s="48"/>
      <c r="R743" s="43"/>
      <c r="S743" s="49"/>
      <c r="T743" s="42"/>
      <c r="U743" s="42"/>
      <c r="V743" s="39" t="str">
        <f aca="false">IF($F743="","",IF(ISNUMBER(SEARCH("(externo)",$I743&amp;$J743&amp;$K743)),"Terceirizada","Interna"))</f>
        <v/>
      </c>
      <c r="W743" s="47" t="str">
        <f aca="false">IF($O743="","",IF($S743="",$O743,(DATE(Semana!$J$3,1,4)-WEEKDAY(DATE(Semana!$J$3,1,4),3))+($S743-1)*7+IF($M743="",0,MATCH($M743,Listas!$F$5:$F$11,0)-1)))</f>
        <v/>
      </c>
      <c r="X743" s="39" t="str">
        <f aca="false">IF($F743="","",IF(OR($AT743="",$O743=""),0,IF($AT743&lt;=$O743,1,0)))</f>
        <v/>
      </c>
      <c r="Y743" s="39" t="str">
        <f aca="false">IF($F743="","",IF(OR($AT743="",$W743=""),0,IF($AT743&lt;=$W743,1,0)))</f>
        <v/>
      </c>
      <c r="Z743" s="39" t="str">
        <f aca="false">IF(OR($AT743="",$O743=""),"",MAX(0,$AT743-$O743))</f>
        <v/>
      </c>
      <c r="AA743" s="39" t="str">
        <f aca="false">IF($F743="","",IF(AND($S743&lt;&gt;"",$L743&lt;&gt;"",$S743&lt;&gt;$L743),1,0))</f>
        <v/>
      </c>
      <c r="AB743" s="39" t="str">
        <f aca="false">IF($F743="","",IF($R743="Cancelada",0,IF(OR($AT743&lt;&gt;"",$R743="Concluída"),1,0)))</f>
        <v/>
      </c>
      <c r="AC743" s="39" t="n">
        <f aca="false">IF($P743="",0,IF($P743&lt;Hoje!$L$1,1,IF(AND($P743=Hoje!$L$1,Hoje!$L$2&gt;Semana!$M$3),1,0)))</f>
        <v>0</v>
      </c>
      <c r="AD743" s="39" t="str">
        <f aca="false">IF($F743="","",IF(COUNTA($I743:$K743)=0,0,1/COUNTA($I743:$K743)))</f>
        <v/>
      </c>
      <c r="AE743" s="39" t="str">
        <f aca="false">IF($AH743=0,"",SUM($AH$4:$AH743))</f>
        <v/>
      </c>
      <c r="AF743" s="39" t="str">
        <f aca="false">IF($AI743=0,"",SUM($AI$4:$AI743))</f>
        <v/>
      </c>
      <c r="AG743" s="50" t="str">
        <f aca="false">IF($F743="","",$I743&amp;IF($J743="",""," · "&amp;$J743)&amp;IF($K743="",""," · "&amp;$K743))</f>
        <v/>
      </c>
      <c r="AH743" s="39" t="n">
        <f aca="false">IF(AND($F743&lt;&gt;"",$O743&lt;&gt;"",$O743&lt;=Hoje!$C$3,$P743&gt;=Hoje!$C$3,$R743&lt;&gt;"Cancelada"),1,0)</f>
        <v>0</v>
      </c>
      <c r="AI743" s="39" t="n">
        <f aca="false">IF(AND($F743&lt;&gt;"",$P743&lt;&gt;"",$P743&lt;Hoje!$C$3,$AB743=0,$R743&lt;&gt;"Cancelada"),1,0)</f>
        <v>0</v>
      </c>
      <c r="AJ743" s="50" t="str">
        <f aca="false">IF($F743="","",$D743&amp;"|"&amp;$E743&amp;"|"&amp;$L743)</f>
        <v/>
      </c>
      <c r="AK743" s="39" t="str">
        <f aca="false">IF($AJ743="","",COUNTIF($AJ$4:$AJ743,$AJ743))</f>
        <v/>
      </c>
      <c r="AL743" s="39" t="str">
        <f aca="false">IF($AJ743="","",COUNTIF($AJ$4:$AJ$1004,$AJ743))</f>
        <v/>
      </c>
      <c r="AM743" s="42"/>
      <c r="AN743" s="50" t="str">
        <f aca="false">IF($D743="","",IFERROR(T(VLOOKUP($D743,Listas!$B$5:$H$120,7,0)),""))</f>
        <v/>
      </c>
      <c r="AO743" s="50" t="str">
        <f aca="false">IF(OR($F743="",$L743&lt;&gt;"",$R743="Cancelada",$AT743&lt;&gt;""),"",$AN743&amp;"|"&amp;$D743&amp;"|"&amp;IF($C743="","zzz",$C743)&amp;"|"&amp;TEXT(743,"0000"))</f>
        <v/>
      </c>
      <c r="AP743" s="50" t="str">
        <f aca="false">IF($AO743="","",COUNTIF($AO$5:$AO$1004,"&lt;"&amp;$AO743)-(ROWS($AO$5:$AO$1004)-Hoje!$L$5)+1)</f>
        <v/>
      </c>
      <c r="AQ743" s="50" t="n">
        <f aca="false">IF(AND($F743&lt;&gt;"",$D743=Frota!$C$3),1,0)</f>
        <v>0</v>
      </c>
      <c r="AR743" s="50" t="str">
        <f aca="false">IF($AQ743=0,"",SUM($AQ$4:$AQ743))</f>
        <v/>
      </c>
      <c r="AS743" s="50" t="str">
        <f aca="false">IFERROR(INDEX(Hoje!$K$10:$K$29,MATCH(ROW(),Hoje!$J$10:$J$29,0)),"")</f>
        <v/>
      </c>
      <c r="AT743" s="50" t="str">
        <f aca="false">IF($Q743&lt;&gt;"",$Q743,$AS743)</f>
        <v/>
      </c>
    </row>
    <row r="744" customFormat="false" ht="16.5" hidden="false" customHeight="true" outlineLevel="0" collapsed="false">
      <c r="A744" s="39" t="str">
        <f aca="false">IF($F744="","",ROW())</f>
        <v/>
      </c>
      <c r="B744" s="40" t="str">
        <f aca="false">IF($F744="",IF($D744="","","Falta a atividade"),IF($R744="Cancelada","Cancelada",IF($AB744=1,IF(N($Z744)&gt;0,"Concluída com atraso","Concluída"),IF($R744="Em programação","Em programação",IF($O744="",IF($M744="","Na carteira","Falta a semana"),IF($AC744=1,"VENCIDA",IF($O744&gt;Hoje!$L$1,"Programada",IF($P744&gt;Hoje!$L$1,"Em execução","Fecha hoje"))))))))</f>
        <v/>
      </c>
      <c r="C744" s="41"/>
      <c r="D744" s="42"/>
      <c r="E744" s="42"/>
      <c r="F744" s="42"/>
      <c r="G744" s="43"/>
      <c r="H744" s="43"/>
      <c r="I744" s="44"/>
      <c r="J744" s="44"/>
      <c r="K744" s="44"/>
      <c r="L744" s="45"/>
      <c r="M744" s="46"/>
      <c r="N744" s="45"/>
      <c r="O744" s="47" t="str">
        <f aca="false">IF(OR($L744="",$M744=""),"",(DATE(Semana!$J$3,1,4)-WEEKDAY(DATE(Semana!$J$3,1,4),3))+($L744-1)*7+MATCH($M744,Listas!$F$5:$F$11,0)-1)</f>
        <v/>
      </c>
      <c r="P744" s="47" t="str">
        <f aca="false">IF(OR($F744="",$O744=""),"",$O744+MAX(0,ROUNDUP($AK744*MAX(1,IF($N744="",1,$N744))/MAX(1,$AL744),0)-1))</f>
        <v/>
      </c>
      <c r="Q744" s="48"/>
      <c r="R744" s="43"/>
      <c r="S744" s="49"/>
      <c r="T744" s="42"/>
      <c r="U744" s="42"/>
      <c r="V744" s="39" t="str">
        <f aca="false">IF($F744="","",IF(ISNUMBER(SEARCH("(externo)",$I744&amp;$J744&amp;$K744)),"Terceirizada","Interna"))</f>
        <v/>
      </c>
      <c r="W744" s="47" t="str">
        <f aca="false">IF($O744="","",IF($S744="",$O744,(DATE(Semana!$J$3,1,4)-WEEKDAY(DATE(Semana!$J$3,1,4),3))+($S744-1)*7+IF($M744="",0,MATCH($M744,Listas!$F$5:$F$11,0)-1)))</f>
        <v/>
      </c>
      <c r="X744" s="39" t="str">
        <f aca="false">IF($F744="","",IF(OR($AT744="",$O744=""),0,IF($AT744&lt;=$O744,1,0)))</f>
        <v/>
      </c>
      <c r="Y744" s="39" t="str">
        <f aca="false">IF($F744="","",IF(OR($AT744="",$W744=""),0,IF($AT744&lt;=$W744,1,0)))</f>
        <v/>
      </c>
      <c r="Z744" s="39" t="str">
        <f aca="false">IF(OR($AT744="",$O744=""),"",MAX(0,$AT744-$O744))</f>
        <v/>
      </c>
      <c r="AA744" s="39" t="str">
        <f aca="false">IF($F744="","",IF(AND($S744&lt;&gt;"",$L744&lt;&gt;"",$S744&lt;&gt;$L744),1,0))</f>
        <v/>
      </c>
      <c r="AB744" s="39" t="str">
        <f aca="false">IF($F744="","",IF($R744="Cancelada",0,IF(OR($AT744&lt;&gt;"",$R744="Concluída"),1,0)))</f>
        <v/>
      </c>
      <c r="AC744" s="39" t="n">
        <f aca="false">IF($P744="",0,IF($P744&lt;Hoje!$L$1,1,IF(AND($P744=Hoje!$L$1,Hoje!$L$2&gt;Semana!$M$3),1,0)))</f>
        <v>0</v>
      </c>
      <c r="AD744" s="39" t="str">
        <f aca="false">IF($F744="","",IF(COUNTA($I744:$K744)=0,0,1/COUNTA($I744:$K744)))</f>
        <v/>
      </c>
      <c r="AE744" s="39" t="str">
        <f aca="false">IF($AH744=0,"",SUM($AH$4:$AH744))</f>
        <v/>
      </c>
      <c r="AF744" s="39" t="str">
        <f aca="false">IF($AI744=0,"",SUM($AI$4:$AI744))</f>
        <v/>
      </c>
      <c r="AG744" s="50" t="str">
        <f aca="false">IF($F744="","",$I744&amp;IF($J744="",""," · "&amp;$J744)&amp;IF($K744="",""," · "&amp;$K744))</f>
        <v/>
      </c>
      <c r="AH744" s="39" t="n">
        <f aca="false">IF(AND($F744&lt;&gt;"",$O744&lt;&gt;"",$O744&lt;=Hoje!$C$3,$P744&gt;=Hoje!$C$3,$R744&lt;&gt;"Cancelada"),1,0)</f>
        <v>0</v>
      </c>
      <c r="AI744" s="39" t="n">
        <f aca="false">IF(AND($F744&lt;&gt;"",$P744&lt;&gt;"",$P744&lt;Hoje!$C$3,$AB744=0,$R744&lt;&gt;"Cancelada"),1,0)</f>
        <v>0</v>
      </c>
      <c r="AJ744" s="50" t="str">
        <f aca="false">IF($F744="","",$D744&amp;"|"&amp;$E744&amp;"|"&amp;$L744)</f>
        <v/>
      </c>
      <c r="AK744" s="39" t="str">
        <f aca="false">IF($AJ744="","",COUNTIF($AJ$4:$AJ744,$AJ744))</f>
        <v/>
      </c>
      <c r="AL744" s="39" t="str">
        <f aca="false">IF($AJ744="","",COUNTIF($AJ$4:$AJ$1004,$AJ744))</f>
        <v/>
      </c>
      <c r="AM744" s="42"/>
      <c r="AN744" s="50" t="str">
        <f aca="false">IF($D744="","",IFERROR(T(VLOOKUP($D744,Listas!$B$5:$H$120,7,0)),""))</f>
        <v/>
      </c>
      <c r="AO744" s="50" t="str">
        <f aca="false">IF(OR($F744="",$L744&lt;&gt;"",$R744="Cancelada",$AT744&lt;&gt;""),"",$AN744&amp;"|"&amp;$D744&amp;"|"&amp;IF($C744="","zzz",$C744)&amp;"|"&amp;TEXT(744,"0000"))</f>
        <v/>
      </c>
      <c r="AP744" s="50" t="str">
        <f aca="false">IF($AO744="","",COUNTIF($AO$5:$AO$1004,"&lt;"&amp;$AO744)-(ROWS($AO$5:$AO$1004)-Hoje!$L$5)+1)</f>
        <v/>
      </c>
      <c r="AQ744" s="50" t="n">
        <f aca="false">IF(AND($F744&lt;&gt;"",$D744=Frota!$C$3),1,0)</f>
        <v>0</v>
      </c>
      <c r="AR744" s="50" t="str">
        <f aca="false">IF($AQ744=0,"",SUM($AQ$4:$AQ744))</f>
        <v/>
      </c>
      <c r="AS744" s="50" t="str">
        <f aca="false">IFERROR(INDEX(Hoje!$K$10:$K$29,MATCH(ROW(),Hoje!$J$10:$J$29,0)),"")</f>
        <v/>
      </c>
      <c r="AT744" s="50" t="str">
        <f aca="false">IF($Q744&lt;&gt;"",$Q744,$AS744)</f>
        <v/>
      </c>
    </row>
    <row r="745" customFormat="false" ht="16.5" hidden="false" customHeight="true" outlineLevel="0" collapsed="false">
      <c r="A745" s="39" t="str">
        <f aca="false">IF($F745="","",ROW())</f>
        <v/>
      </c>
      <c r="B745" s="40" t="str">
        <f aca="false">IF($F745="",IF($D745="","","Falta a atividade"),IF($R745="Cancelada","Cancelada",IF($AB745=1,IF(N($Z745)&gt;0,"Concluída com atraso","Concluída"),IF($R745="Em programação","Em programação",IF($O745="",IF($M745="","Na carteira","Falta a semana"),IF($AC745=1,"VENCIDA",IF($O745&gt;Hoje!$L$1,"Programada",IF($P745&gt;Hoje!$L$1,"Em execução","Fecha hoje"))))))))</f>
        <v/>
      </c>
      <c r="C745" s="41"/>
      <c r="D745" s="42"/>
      <c r="E745" s="42"/>
      <c r="F745" s="42"/>
      <c r="G745" s="43"/>
      <c r="H745" s="43"/>
      <c r="I745" s="44"/>
      <c r="J745" s="44"/>
      <c r="K745" s="44"/>
      <c r="L745" s="45"/>
      <c r="M745" s="46"/>
      <c r="N745" s="45"/>
      <c r="O745" s="47" t="str">
        <f aca="false">IF(OR($L745="",$M745=""),"",(DATE(Semana!$J$3,1,4)-WEEKDAY(DATE(Semana!$J$3,1,4),3))+($L745-1)*7+MATCH($M745,Listas!$F$5:$F$11,0)-1)</f>
        <v/>
      </c>
      <c r="P745" s="47" t="str">
        <f aca="false">IF(OR($F745="",$O745=""),"",$O745+MAX(0,ROUNDUP($AK745*MAX(1,IF($N745="",1,$N745))/MAX(1,$AL745),0)-1))</f>
        <v/>
      </c>
      <c r="Q745" s="48"/>
      <c r="R745" s="43"/>
      <c r="S745" s="49"/>
      <c r="T745" s="42"/>
      <c r="U745" s="42"/>
      <c r="V745" s="39" t="str">
        <f aca="false">IF($F745="","",IF(ISNUMBER(SEARCH("(externo)",$I745&amp;$J745&amp;$K745)),"Terceirizada","Interna"))</f>
        <v/>
      </c>
      <c r="W745" s="47" t="str">
        <f aca="false">IF($O745="","",IF($S745="",$O745,(DATE(Semana!$J$3,1,4)-WEEKDAY(DATE(Semana!$J$3,1,4),3))+($S745-1)*7+IF($M745="",0,MATCH($M745,Listas!$F$5:$F$11,0)-1)))</f>
        <v/>
      </c>
      <c r="X745" s="39" t="str">
        <f aca="false">IF($F745="","",IF(OR($AT745="",$O745=""),0,IF($AT745&lt;=$O745,1,0)))</f>
        <v/>
      </c>
      <c r="Y745" s="39" t="str">
        <f aca="false">IF($F745="","",IF(OR($AT745="",$W745=""),0,IF($AT745&lt;=$W745,1,0)))</f>
        <v/>
      </c>
      <c r="Z745" s="39" t="str">
        <f aca="false">IF(OR($AT745="",$O745=""),"",MAX(0,$AT745-$O745))</f>
        <v/>
      </c>
      <c r="AA745" s="39" t="str">
        <f aca="false">IF($F745="","",IF(AND($S745&lt;&gt;"",$L745&lt;&gt;"",$S745&lt;&gt;$L745),1,0))</f>
        <v/>
      </c>
      <c r="AB745" s="39" t="str">
        <f aca="false">IF($F745="","",IF($R745="Cancelada",0,IF(OR($AT745&lt;&gt;"",$R745="Concluída"),1,0)))</f>
        <v/>
      </c>
      <c r="AC745" s="39" t="n">
        <f aca="false">IF($P745="",0,IF($P745&lt;Hoje!$L$1,1,IF(AND($P745=Hoje!$L$1,Hoje!$L$2&gt;Semana!$M$3),1,0)))</f>
        <v>0</v>
      </c>
      <c r="AD745" s="39" t="str">
        <f aca="false">IF($F745="","",IF(COUNTA($I745:$K745)=0,0,1/COUNTA($I745:$K745)))</f>
        <v/>
      </c>
      <c r="AE745" s="39" t="str">
        <f aca="false">IF($AH745=0,"",SUM($AH$4:$AH745))</f>
        <v/>
      </c>
      <c r="AF745" s="39" t="str">
        <f aca="false">IF($AI745=0,"",SUM($AI$4:$AI745))</f>
        <v/>
      </c>
      <c r="AG745" s="50" t="str">
        <f aca="false">IF($F745="","",$I745&amp;IF($J745="",""," · "&amp;$J745)&amp;IF($K745="",""," · "&amp;$K745))</f>
        <v/>
      </c>
      <c r="AH745" s="39" t="n">
        <f aca="false">IF(AND($F745&lt;&gt;"",$O745&lt;&gt;"",$O745&lt;=Hoje!$C$3,$P745&gt;=Hoje!$C$3,$R745&lt;&gt;"Cancelada"),1,0)</f>
        <v>0</v>
      </c>
      <c r="AI745" s="39" t="n">
        <f aca="false">IF(AND($F745&lt;&gt;"",$P745&lt;&gt;"",$P745&lt;Hoje!$C$3,$AB745=0,$R745&lt;&gt;"Cancelada"),1,0)</f>
        <v>0</v>
      </c>
      <c r="AJ745" s="50" t="str">
        <f aca="false">IF($F745="","",$D745&amp;"|"&amp;$E745&amp;"|"&amp;$L745)</f>
        <v/>
      </c>
      <c r="AK745" s="39" t="str">
        <f aca="false">IF($AJ745="","",COUNTIF($AJ$4:$AJ745,$AJ745))</f>
        <v/>
      </c>
      <c r="AL745" s="39" t="str">
        <f aca="false">IF($AJ745="","",COUNTIF($AJ$4:$AJ$1004,$AJ745))</f>
        <v/>
      </c>
      <c r="AM745" s="42"/>
      <c r="AN745" s="50" t="str">
        <f aca="false">IF($D745="","",IFERROR(T(VLOOKUP($D745,Listas!$B$5:$H$120,7,0)),""))</f>
        <v/>
      </c>
      <c r="AO745" s="50" t="str">
        <f aca="false">IF(OR($F745="",$L745&lt;&gt;"",$R745="Cancelada",$AT745&lt;&gt;""),"",$AN745&amp;"|"&amp;$D745&amp;"|"&amp;IF($C745="","zzz",$C745)&amp;"|"&amp;TEXT(745,"0000"))</f>
        <v/>
      </c>
      <c r="AP745" s="50" t="str">
        <f aca="false">IF($AO745="","",COUNTIF($AO$5:$AO$1004,"&lt;"&amp;$AO745)-(ROWS($AO$5:$AO$1004)-Hoje!$L$5)+1)</f>
        <v/>
      </c>
      <c r="AQ745" s="50" t="n">
        <f aca="false">IF(AND($F745&lt;&gt;"",$D745=Frota!$C$3),1,0)</f>
        <v>0</v>
      </c>
      <c r="AR745" s="50" t="str">
        <f aca="false">IF($AQ745=0,"",SUM($AQ$4:$AQ745))</f>
        <v/>
      </c>
      <c r="AS745" s="50" t="str">
        <f aca="false">IFERROR(INDEX(Hoje!$K$10:$K$29,MATCH(ROW(),Hoje!$J$10:$J$29,0)),"")</f>
        <v/>
      </c>
      <c r="AT745" s="50" t="str">
        <f aca="false">IF($Q745&lt;&gt;"",$Q745,$AS745)</f>
        <v/>
      </c>
    </row>
    <row r="746" customFormat="false" ht="16.5" hidden="false" customHeight="true" outlineLevel="0" collapsed="false">
      <c r="A746" s="39" t="str">
        <f aca="false">IF($F746="","",ROW())</f>
        <v/>
      </c>
      <c r="B746" s="40" t="str">
        <f aca="false">IF($F746="",IF($D746="","","Falta a atividade"),IF($R746="Cancelada","Cancelada",IF($AB746=1,IF(N($Z746)&gt;0,"Concluída com atraso","Concluída"),IF($R746="Em programação","Em programação",IF($O746="",IF($M746="","Na carteira","Falta a semana"),IF($AC746=1,"VENCIDA",IF($O746&gt;Hoje!$L$1,"Programada",IF($P746&gt;Hoje!$L$1,"Em execução","Fecha hoje"))))))))</f>
        <v/>
      </c>
      <c r="C746" s="41"/>
      <c r="D746" s="42"/>
      <c r="E746" s="42"/>
      <c r="F746" s="42"/>
      <c r="G746" s="43"/>
      <c r="H746" s="43"/>
      <c r="I746" s="44"/>
      <c r="J746" s="44"/>
      <c r="K746" s="44"/>
      <c r="L746" s="45"/>
      <c r="M746" s="46"/>
      <c r="N746" s="45"/>
      <c r="O746" s="47" t="str">
        <f aca="false">IF(OR($L746="",$M746=""),"",(DATE(Semana!$J$3,1,4)-WEEKDAY(DATE(Semana!$J$3,1,4),3))+($L746-1)*7+MATCH($M746,Listas!$F$5:$F$11,0)-1)</f>
        <v/>
      </c>
      <c r="P746" s="47" t="str">
        <f aca="false">IF(OR($F746="",$O746=""),"",$O746+MAX(0,ROUNDUP($AK746*MAX(1,IF($N746="",1,$N746))/MAX(1,$AL746),0)-1))</f>
        <v/>
      </c>
      <c r="Q746" s="48"/>
      <c r="R746" s="43"/>
      <c r="S746" s="49"/>
      <c r="T746" s="42"/>
      <c r="U746" s="42"/>
      <c r="V746" s="39" t="str">
        <f aca="false">IF($F746="","",IF(ISNUMBER(SEARCH("(externo)",$I746&amp;$J746&amp;$K746)),"Terceirizada","Interna"))</f>
        <v/>
      </c>
      <c r="W746" s="47" t="str">
        <f aca="false">IF($O746="","",IF($S746="",$O746,(DATE(Semana!$J$3,1,4)-WEEKDAY(DATE(Semana!$J$3,1,4),3))+($S746-1)*7+IF($M746="",0,MATCH($M746,Listas!$F$5:$F$11,0)-1)))</f>
        <v/>
      </c>
      <c r="X746" s="39" t="str">
        <f aca="false">IF($F746="","",IF(OR($AT746="",$O746=""),0,IF($AT746&lt;=$O746,1,0)))</f>
        <v/>
      </c>
      <c r="Y746" s="39" t="str">
        <f aca="false">IF($F746="","",IF(OR($AT746="",$W746=""),0,IF($AT746&lt;=$W746,1,0)))</f>
        <v/>
      </c>
      <c r="Z746" s="39" t="str">
        <f aca="false">IF(OR($AT746="",$O746=""),"",MAX(0,$AT746-$O746))</f>
        <v/>
      </c>
      <c r="AA746" s="39" t="str">
        <f aca="false">IF($F746="","",IF(AND($S746&lt;&gt;"",$L746&lt;&gt;"",$S746&lt;&gt;$L746),1,0))</f>
        <v/>
      </c>
      <c r="AB746" s="39" t="str">
        <f aca="false">IF($F746="","",IF($R746="Cancelada",0,IF(OR($AT746&lt;&gt;"",$R746="Concluída"),1,0)))</f>
        <v/>
      </c>
      <c r="AC746" s="39" t="n">
        <f aca="false">IF($P746="",0,IF($P746&lt;Hoje!$L$1,1,IF(AND($P746=Hoje!$L$1,Hoje!$L$2&gt;Semana!$M$3),1,0)))</f>
        <v>0</v>
      </c>
      <c r="AD746" s="39" t="str">
        <f aca="false">IF($F746="","",IF(COUNTA($I746:$K746)=0,0,1/COUNTA($I746:$K746)))</f>
        <v/>
      </c>
      <c r="AE746" s="39" t="str">
        <f aca="false">IF($AH746=0,"",SUM($AH$4:$AH746))</f>
        <v/>
      </c>
      <c r="AF746" s="39" t="str">
        <f aca="false">IF($AI746=0,"",SUM($AI$4:$AI746))</f>
        <v/>
      </c>
      <c r="AG746" s="50" t="str">
        <f aca="false">IF($F746="","",$I746&amp;IF($J746="",""," · "&amp;$J746)&amp;IF($K746="",""," · "&amp;$K746))</f>
        <v/>
      </c>
      <c r="AH746" s="39" t="n">
        <f aca="false">IF(AND($F746&lt;&gt;"",$O746&lt;&gt;"",$O746&lt;=Hoje!$C$3,$P746&gt;=Hoje!$C$3,$R746&lt;&gt;"Cancelada"),1,0)</f>
        <v>0</v>
      </c>
      <c r="AI746" s="39" t="n">
        <f aca="false">IF(AND($F746&lt;&gt;"",$P746&lt;&gt;"",$P746&lt;Hoje!$C$3,$AB746=0,$R746&lt;&gt;"Cancelada"),1,0)</f>
        <v>0</v>
      </c>
      <c r="AJ746" s="50" t="str">
        <f aca="false">IF($F746="","",$D746&amp;"|"&amp;$E746&amp;"|"&amp;$L746)</f>
        <v/>
      </c>
      <c r="AK746" s="39" t="str">
        <f aca="false">IF($AJ746="","",COUNTIF($AJ$4:$AJ746,$AJ746))</f>
        <v/>
      </c>
      <c r="AL746" s="39" t="str">
        <f aca="false">IF($AJ746="","",COUNTIF($AJ$4:$AJ$1004,$AJ746))</f>
        <v/>
      </c>
      <c r="AM746" s="42"/>
      <c r="AN746" s="50" t="str">
        <f aca="false">IF($D746="","",IFERROR(T(VLOOKUP($D746,Listas!$B$5:$H$120,7,0)),""))</f>
        <v/>
      </c>
      <c r="AO746" s="50" t="str">
        <f aca="false">IF(OR($F746="",$L746&lt;&gt;"",$R746="Cancelada",$AT746&lt;&gt;""),"",$AN746&amp;"|"&amp;$D746&amp;"|"&amp;IF($C746="","zzz",$C746)&amp;"|"&amp;TEXT(746,"0000"))</f>
        <v/>
      </c>
      <c r="AP746" s="50" t="str">
        <f aca="false">IF($AO746="","",COUNTIF($AO$5:$AO$1004,"&lt;"&amp;$AO746)-(ROWS($AO$5:$AO$1004)-Hoje!$L$5)+1)</f>
        <v/>
      </c>
      <c r="AQ746" s="50" t="n">
        <f aca="false">IF(AND($F746&lt;&gt;"",$D746=Frota!$C$3),1,0)</f>
        <v>0</v>
      </c>
      <c r="AR746" s="50" t="str">
        <f aca="false">IF($AQ746=0,"",SUM($AQ$4:$AQ746))</f>
        <v/>
      </c>
      <c r="AS746" s="50" t="str">
        <f aca="false">IFERROR(INDEX(Hoje!$K$10:$K$29,MATCH(ROW(),Hoje!$J$10:$J$29,0)),"")</f>
        <v/>
      </c>
      <c r="AT746" s="50" t="str">
        <f aca="false">IF($Q746&lt;&gt;"",$Q746,$AS746)</f>
        <v/>
      </c>
    </row>
    <row r="747" customFormat="false" ht="16.5" hidden="false" customHeight="true" outlineLevel="0" collapsed="false">
      <c r="A747" s="39" t="str">
        <f aca="false">IF($F747="","",ROW())</f>
        <v/>
      </c>
      <c r="B747" s="40" t="str">
        <f aca="false">IF($F747="",IF($D747="","","Falta a atividade"),IF($R747="Cancelada","Cancelada",IF($AB747=1,IF(N($Z747)&gt;0,"Concluída com atraso","Concluída"),IF($R747="Em programação","Em programação",IF($O747="",IF($M747="","Na carteira","Falta a semana"),IF($AC747=1,"VENCIDA",IF($O747&gt;Hoje!$L$1,"Programada",IF($P747&gt;Hoje!$L$1,"Em execução","Fecha hoje"))))))))</f>
        <v/>
      </c>
      <c r="C747" s="41"/>
      <c r="D747" s="42"/>
      <c r="E747" s="42"/>
      <c r="F747" s="42"/>
      <c r="G747" s="43"/>
      <c r="H747" s="43"/>
      <c r="I747" s="44"/>
      <c r="J747" s="44"/>
      <c r="K747" s="44"/>
      <c r="L747" s="45"/>
      <c r="M747" s="46"/>
      <c r="N747" s="45"/>
      <c r="O747" s="47" t="str">
        <f aca="false">IF(OR($L747="",$M747=""),"",(DATE(Semana!$J$3,1,4)-WEEKDAY(DATE(Semana!$J$3,1,4),3))+($L747-1)*7+MATCH($M747,Listas!$F$5:$F$11,0)-1)</f>
        <v/>
      </c>
      <c r="P747" s="47" t="str">
        <f aca="false">IF(OR($F747="",$O747=""),"",$O747+MAX(0,ROUNDUP($AK747*MAX(1,IF($N747="",1,$N747))/MAX(1,$AL747),0)-1))</f>
        <v/>
      </c>
      <c r="Q747" s="48"/>
      <c r="R747" s="43"/>
      <c r="S747" s="49"/>
      <c r="T747" s="42"/>
      <c r="U747" s="42"/>
      <c r="V747" s="39" t="str">
        <f aca="false">IF($F747="","",IF(ISNUMBER(SEARCH("(externo)",$I747&amp;$J747&amp;$K747)),"Terceirizada","Interna"))</f>
        <v/>
      </c>
      <c r="W747" s="47" t="str">
        <f aca="false">IF($O747="","",IF($S747="",$O747,(DATE(Semana!$J$3,1,4)-WEEKDAY(DATE(Semana!$J$3,1,4),3))+($S747-1)*7+IF($M747="",0,MATCH($M747,Listas!$F$5:$F$11,0)-1)))</f>
        <v/>
      </c>
      <c r="X747" s="39" t="str">
        <f aca="false">IF($F747="","",IF(OR($AT747="",$O747=""),0,IF($AT747&lt;=$O747,1,0)))</f>
        <v/>
      </c>
      <c r="Y747" s="39" t="str">
        <f aca="false">IF($F747="","",IF(OR($AT747="",$W747=""),0,IF($AT747&lt;=$W747,1,0)))</f>
        <v/>
      </c>
      <c r="Z747" s="39" t="str">
        <f aca="false">IF(OR($AT747="",$O747=""),"",MAX(0,$AT747-$O747))</f>
        <v/>
      </c>
      <c r="AA747" s="39" t="str">
        <f aca="false">IF($F747="","",IF(AND($S747&lt;&gt;"",$L747&lt;&gt;"",$S747&lt;&gt;$L747),1,0))</f>
        <v/>
      </c>
      <c r="AB747" s="39" t="str">
        <f aca="false">IF($F747="","",IF($R747="Cancelada",0,IF(OR($AT747&lt;&gt;"",$R747="Concluída"),1,0)))</f>
        <v/>
      </c>
      <c r="AC747" s="39" t="n">
        <f aca="false">IF($P747="",0,IF($P747&lt;Hoje!$L$1,1,IF(AND($P747=Hoje!$L$1,Hoje!$L$2&gt;Semana!$M$3),1,0)))</f>
        <v>0</v>
      </c>
      <c r="AD747" s="39" t="str">
        <f aca="false">IF($F747="","",IF(COUNTA($I747:$K747)=0,0,1/COUNTA($I747:$K747)))</f>
        <v/>
      </c>
      <c r="AE747" s="39" t="str">
        <f aca="false">IF($AH747=0,"",SUM($AH$4:$AH747))</f>
        <v/>
      </c>
      <c r="AF747" s="39" t="str">
        <f aca="false">IF($AI747=0,"",SUM($AI$4:$AI747))</f>
        <v/>
      </c>
      <c r="AG747" s="50" t="str">
        <f aca="false">IF($F747="","",$I747&amp;IF($J747="",""," · "&amp;$J747)&amp;IF($K747="",""," · "&amp;$K747))</f>
        <v/>
      </c>
      <c r="AH747" s="39" t="n">
        <f aca="false">IF(AND($F747&lt;&gt;"",$O747&lt;&gt;"",$O747&lt;=Hoje!$C$3,$P747&gt;=Hoje!$C$3,$R747&lt;&gt;"Cancelada"),1,0)</f>
        <v>0</v>
      </c>
      <c r="AI747" s="39" t="n">
        <f aca="false">IF(AND($F747&lt;&gt;"",$P747&lt;&gt;"",$P747&lt;Hoje!$C$3,$AB747=0,$R747&lt;&gt;"Cancelada"),1,0)</f>
        <v>0</v>
      </c>
      <c r="AJ747" s="50" t="str">
        <f aca="false">IF($F747="","",$D747&amp;"|"&amp;$E747&amp;"|"&amp;$L747)</f>
        <v/>
      </c>
      <c r="AK747" s="39" t="str">
        <f aca="false">IF($AJ747="","",COUNTIF($AJ$4:$AJ747,$AJ747))</f>
        <v/>
      </c>
      <c r="AL747" s="39" t="str">
        <f aca="false">IF($AJ747="","",COUNTIF($AJ$4:$AJ$1004,$AJ747))</f>
        <v/>
      </c>
      <c r="AM747" s="42"/>
      <c r="AN747" s="50" t="str">
        <f aca="false">IF($D747="","",IFERROR(T(VLOOKUP($D747,Listas!$B$5:$H$120,7,0)),""))</f>
        <v/>
      </c>
      <c r="AO747" s="50" t="str">
        <f aca="false">IF(OR($F747="",$L747&lt;&gt;"",$R747="Cancelada",$AT747&lt;&gt;""),"",$AN747&amp;"|"&amp;$D747&amp;"|"&amp;IF($C747="","zzz",$C747)&amp;"|"&amp;TEXT(747,"0000"))</f>
        <v/>
      </c>
      <c r="AP747" s="50" t="str">
        <f aca="false">IF($AO747="","",COUNTIF($AO$5:$AO$1004,"&lt;"&amp;$AO747)-(ROWS($AO$5:$AO$1004)-Hoje!$L$5)+1)</f>
        <v/>
      </c>
      <c r="AQ747" s="50" t="n">
        <f aca="false">IF(AND($F747&lt;&gt;"",$D747=Frota!$C$3),1,0)</f>
        <v>0</v>
      </c>
      <c r="AR747" s="50" t="str">
        <f aca="false">IF($AQ747=0,"",SUM($AQ$4:$AQ747))</f>
        <v/>
      </c>
      <c r="AS747" s="50" t="str">
        <f aca="false">IFERROR(INDEX(Hoje!$K$10:$K$29,MATCH(ROW(),Hoje!$J$10:$J$29,0)),"")</f>
        <v/>
      </c>
      <c r="AT747" s="50" t="str">
        <f aca="false">IF($Q747&lt;&gt;"",$Q747,$AS747)</f>
        <v/>
      </c>
    </row>
    <row r="748" customFormat="false" ht="16.5" hidden="false" customHeight="true" outlineLevel="0" collapsed="false">
      <c r="A748" s="39" t="str">
        <f aca="false">IF($F748="","",ROW())</f>
        <v/>
      </c>
      <c r="B748" s="40" t="str">
        <f aca="false">IF($F748="",IF($D748="","","Falta a atividade"),IF($R748="Cancelada","Cancelada",IF($AB748=1,IF(N($Z748)&gt;0,"Concluída com atraso","Concluída"),IF($R748="Em programação","Em programação",IF($O748="",IF($M748="","Na carteira","Falta a semana"),IF($AC748=1,"VENCIDA",IF($O748&gt;Hoje!$L$1,"Programada",IF($P748&gt;Hoje!$L$1,"Em execução","Fecha hoje"))))))))</f>
        <v/>
      </c>
      <c r="C748" s="41"/>
      <c r="D748" s="42"/>
      <c r="E748" s="42"/>
      <c r="F748" s="42"/>
      <c r="G748" s="43"/>
      <c r="H748" s="43"/>
      <c r="I748" s="44"/>
      <c r="J748" s="44"/>
      <c r="K748" s="44"/>
      <c r="L748" s="45"/>
      <c r="M748" s="46"/>
      <c r="N748" s="45"/>
      <c r="O748" s="47" t="str">
        <f aca="false">IF(OR($L748="",$M748=""),"",(DATE(Semana!$J$3,1,4)-WEEKDAY(DATE(Semana!$J$3,1,4),3))+($L748-1)*7+MATCH($M748,Listas!$F$5:$F$11,0)-1)</f>
        <v/>
      </c>
      <c r="P748" s="47" t="str">
        <f aca="false">IF(OR($F748="",$O748=""),"",$O748+MAX(0,ROUNDUP($AK748*MAX(1,IF($N748="",1,$N748))/MAX(1,$AL748),0)-1))</f>
        <v/>
      </c>
      <c r="Q748" s="48"/>
      <c r="R748" s="43"/>
      <c r="S748" s="49"/>
      <c r="T748" s="42"/>
      <c r="U748" s="42"/>
      <c r="V748" s="39" t="str">
        <f aca="false">IF($F748="","",IF(ISNUMBER(SEARCH("(externo)",$I748&amp;$J748&amp;$K748)),"Terceirizada","Interna"))</f>
        <v/>
      </c>
      <c r="W748" s="47" t="str">
        <f aca="false">IF($O748="","",IF($S748="",$O748,(DATE(Semana!$J$3,1,4)-WEEKDAY(DATE(Semana!$J$3,1,4),3))+($S748-1)*7+IF($M748="",0,MATCH($M748,Listas!$F$5:$F$11,0)-1)))</f>
        <v/>
      </c>
      <c r="X748" s="39" t="str">
        <f aca="false">IF($F748="","",IF(OR($AT748="",$O748=""),0,IF($AT748&lt;=$O748,1,0)))</f>
        <v/>
      </c>
      <c r="Y748" s="39" t="str">
        <f aca="false">IF($F748="","",IF(OR($AT748="",$W748=""),0,IF($AT748&lt;=$W748,1,0)))</f>
        <v/>
      </c>
      <c r="Z748" s="39" t="str">
        <f aca="false">IF(OR($AT748="",$O748=""),"",MAX(0,$AT748-$O748))</f>
        <v/>
      </c>
      <c r="AA748" s="39" t="str">
        <f aca="false">IF($F748="","",IF(AND($S748&lt;&gt;"",$L748&lt;&gt;"",$S748&lt;&gt;$L748),1,0))</f>
        <v/>
      </c>
      <c r="AB748" s="39" t="str">
        <f aca="false">IF($F748="","",IF($R748="Cancelada",0,IF(OR($AT748&lt;&gt;"",$R748="Concluída"),1,0)))</f>
        <v/>
      </c>
      <c r="AC748" s="39" t="n">
        <f aca="false">IF($P748="",0,IF($P748&lt;Hoje!$L$1,1,IF(AND($P748=Hoje!$L$1,Hoje!$L$2&gt;Semana!$M$3),1,0)))</f>
        <v>0</v>
      </c>
      <c r="AD748" s="39" t="str">
        <f aca="false">IF($F748="","",IF(COUNTA($I748:$K748)=0,0,1/COUNTA($I748:$K748)))</f>
        <v/>
      </c>
      <c r="AE748" s="39" t="str">
        <f aca="false">IF($AH748=0,"",SUM($AH$4:$AH748))</f>
        <v/>
      </c>
      <c r="AF748" s="39" t="str">
        <f aca="false">IF($AI748=0,"",SUM($AI$4:$AI748))</f>
        <v/>
      </c>
      <c r="AG748" s="50" t="str">
        <f aca="false">IF($F748="","",$I748&amp;IF($J748="",""," · "&amp;$J748)&amp;IF($K748="",""," · "&amp;$K748))</f>
        <v/>
      </c>
      <c r="AH748" s="39" t="n">
        <f aca="false">IF(AND($F748&lt;&gt;"",$O748&lt;&gt;"",$O748&lt;=Hoje!$C$3,$P748&gt;=Hoje!$C$3,$R748&lt;&gt;"Cancelada"),1,0)</f>
        <v>0</v>
      </c>
      <c r="AI748" s="39" t="n">
        <f aca="false">IF(AND($F748&lt;&gt;"",$P748&lt;&gt;"",$P748&lt;Hoje!$C$3,$AB748=0,$R748&lt;&gt;"Cancelada"),1,0)</f>
        <v>0</v>
      </c>
      <c r="AJ748" s="50" t="str">
        <f aca="false">IF($F748="","",$D748&amp;"|"&amp;$E748&amp;"|"&amp;$L748)</f>
        <v/>
      </c>
      <c r="AK748" s="39" t="str">
        <f aca="false">IF($AJ748="","",COUNTIF($AJ$4:$AJ748,$AJ748))</f>
        <v/>
      </c>
      <c r="AL748" s="39" t="str">
        <f aca="false">IF($AJ748="","",COUNTIF($AJ$4:$AJ$1004,$AJ748))</f>
        <v/>
      </c>
      <c r="AM748" s="42"/>
      <c r="AN748" s="50" t="str">
        <f aca="false">IF($D748="","",IFERROR(T(VLOOKUP($D748,Listas!$B$5:$H$120,7,0)),""))</f>
        <v/>
      </c>
      <c r="AO748" s="50" t="str">
        <f aca="false">IF(OR($F748="",$L748&lt;&gt;"",$R748="Cancelada",$AT748&lt;&gt;""),"",$AN748&amp;"|"&amp;$D748&amp;"|"&amp;IF($C748="","zzz",$C748)&amp;"|"&amp;TEXT(748,"0000"))</f>
        <v/>
      </c>
      <c r="AP748" s="50" t="str">
        <f aca="false">IF($AO748="","",COUNTIF($AO$5:$AO$1004,"&lt;"&amp;$AO748)-(ROWS($AO$5:$AO$1004)-Hoje!$L$5)+1)</f>
        <v/>
      </c>
      <c r="AQ748" s="50" t="n">
        <f aca="false">IF(AND($F748&lt;&gt;"",$D748=Frota!$C$3),1,0)</f>
        <v>0</v>
      </c>
      <c r="AR748" s="50" t="str">
        <f aca="false">IF($AQ748=0,"",SUM($AQ$4:$AQ748))</f>
        <v/>
      </c>
      <c r="AS748" s="50" t="str">
        <f aca="false">IFERROR(INDEX(Hoje!$K$10:$K$29,MATCH(ROW(),Hoje!$J$10:$J$29,0)),"")</f>
        <v/>
      </c>
      <c r="AT748" s="50" t="str">
        <f aca="false">IF($Q748&lt;&gt;"",$Q748,$AS748)</f>
        <v/>
      </c>
    </row>
    <row r="749" customFormat="false" ht="16.5" hidden="false" customHeight="true" outlineLevel="0" collapsed="false">
      <c r="A749" s="39" t="str">
        <f aca="false">IF($F749="","",ROW())</f>
        <v/>
      </c>
      <c r="B749" s="40" t="str">
        <f aca="false">IF($F749="",IF($D749="","","Falta a atividade"),IF($R749="Cancelada","Cancelada",IF($AB749=1,IF(N($Z749)&gt;0,"Concluída com atraso","Concluída"),IF($R749="Em programação","Em programação",IF($O749="",IF($M749="","Na carteira","Falta a semana"),IF($AC749=1,"VENCIDA",IF($O749&gt;Hoje!$L$1,"Programada",IF($P749&gt;Hoje!$L$1,"Em execução","Fecha hoje"))))))))</f>
        <v/>
      </c>
      <c r="C749" s="41"/>
      <c r="D749" s="42"/>
      <c r="E749" s="42"/>
      <c r="F749" s="42"/>
      <c r="G749" s="43"/>
      <c r="H749" s="43"/>
      <c r="I749" s="44"/>
      <c r="J749" s="44"/>
      <c r="K749" s="44"/>
      <c r="L749" s="45"/>
      <c r="M749" s="46"/>
      <c r="N749" s="45"/>
      <c r="O749" s="47" t="str">
        <f aca="false">IF(OR($L749="",$M749=""),"",(DATE(Semana!$J$3,1,4)-WEEKDAY(DATE(Semana!$J$3,1,4),3))+($L749-1)*7+MATCH($M749,Listas!$F$5:$F$11,0)-1)</f>
        <v/>
      </c>
      <c r="P749" s="47" t="str">
        <f aca="false">IF(OR($F749="",$O749=""),"",$O749+MAX(0,ROUNDUP($AK749*MAX(1,IF($N749="",1,$N749))/MAX(1,$AL749),0)-1))</f>
        <v/>
      </c>
      <c r="Q749" s="48"/>
      <c r="R749" s="43"/>
      <c r="S749" s="49"/>
      <c r="T749" s="42"/>
      <c r="U749" s="42"/>
      <c r="V749" s="39" t="str">
        <f aca="false">IF($F749="","",IF(ISNUMBER(SEARCH("(externo)",$I749&amp;$J749&amp;$K749)),"Terceirizada","Interna"))</f>
        <v/>
      </c>
      <c r="W749" s="47" t="str">
        <f aca="false">IF($O749="","",IF($S749="",$O749,(DATE(Semana!$J$3,1,4)-WEEKDAY(DATE(Semana!$J$3,1,4),3))+($S749-1)*7+IF($M749="",0,MATCH($M749,Listas!$F$5:$F$11,0)-1)))</f>
        <v/>
      </c>
      <c r="X749" s="39" t="str">
        <f aca="false">IF($F749="","",IF(OR($AT749="",$O749=""),0,IF($AT749&lt;=$O749,1,0)))</f>
        <v/>
      </c>
      <c r="Y749" s="39" t="str">
        <f aca="false">IF($F749="","",IF(OR($AT749="",$W749=""),0,IF($AT749&lt;=$W749,1,0)))</f>
        <v/>
      </c>
      <c r="Z749" s="39" t="str">
        <f aca="false">IF(OR($AT749="",$O749=""),"",MAX(0,$AT749-$O749))</f>
        <v/>
      </c>
      <c r="AA749" s="39" t="str">
        <f aca="false">IF($F749="","",IF(AND($S749&lt;&gt;"",$L749&lt;&gt;"",$S749&lt;&gt;$L749),1,0))</f>
        <v/>
      </c>
      <c r="AB749" s="39" t="str">
        <f aca="false">IF($F749="","",IF($R749="Cancelada",0,IF(OR($AT749&lt;&gt;"",$R749="Concluída"),1,0)))</f>
        <v/>
      </c>
      <c r="AC749" s="39" t="n">
        <f aca="false">IF($P749="",0,IF($P749&lt;Hoje!$L$1,1,IF(AND($P749=Hoje!$L$1,Hoje!$L$2&gt;Semana!$M$3),1,0)))</f>
        <v>0</v>
      </c>
      <c r="AD749" s="39" t="str">
        <f aca="false">IF($F749="","",IF(COUNTA($I749:$K749)=0,0,1/COUNTA($I749:$K749)))</f>
        <v/>
      </c>
      <c r="AE749" s="39" t="str">
        <f aca="false">IF($AH749=0,"",SUM($AH$4:$AH749))</f>
        <v/>
      </c>
      <c r="AF749" s="39" t="str">
        <f aca="false">IF($AI749=0,"",SUM($AI$4:$AI749))</f>
        <v/>
      </c>
      <c r="AG749" s="50" t="str">
        <f aca="false">IF($F749="","",$I749&amp;IF($J749="",""," · "&amp;$J749)&amp;IF($K749="",""," · "&amp;$K749))</f>
        <v/>
      </c>
      <c r="AH749" s="39" t="n">
        <f aca="false">IF(AND($F749&lt;&gt;"",$O749&lt;&gt;"",$O749&lt;=Hoje!$C$3,$P749&gt;=Hoje!$C$3,$R749&lt;&gt;"Cancelada"),1,0)</f>
        <v>0</v>
      </c>
      <c r="AI749" s="39" t="n">
        <f aca="false">IF(AND($F749&lt;&gt;"",$P749&lt;&gt;"",$P749&lt;Hoje!$C$3,$AB749=0,$R749&lt;&gt;"Cancelada"),1,0)</f>
        <v>0</v>
      </c>
      <c r="AJ749" s="50" t="str">
        <f aca="false">IF($F749="","",$D749&amp;"|"&amp;$E749&amp;"|"&amp;$L749)</f>
        <v/>
      </c>
      <c r="AK749" s="39" t="str">
        <f aca="false">IF($AJ749="","",COUNTIF($AJ$4:$AJ749,$AJ749))</f>
        <v/>
      </c>
      <c r="AL749" s="39" t="str">
        <f aca="false">IF($AJ749="","",COUNTIF($AJ$4:$AJ$1004,$AJ749))</f>
        <v/>
      </c>
      <c r="AM749" s="42"/>
      <c r="AN749" s="50" t="str">
        <f aca="false">IF($D749="","",IFERROR(T(VLOOKUP($D749,Listas!$B$5:$H$120,7,0)),""))</f>
        <v/>
      </c>
      <c r="AO749" s="50" t="str">
        <f aca="false">IF(OR($F749="",$L749&lt;&gt;"",$R749="Cancelada",$AT749&lt;&gt;""),"",$AN749&amp;"|"&amp;$D749&amp;"|"&amp;IF($C749="","zzz",$C749)&amp;"|"&amp;TEXT(749,"0000"))</f>
        <v/>
      </c>
      <c r="AP749" s="50" t="str">
        <f aca="false">IF($AO749="","",COUNTIF($AO$5:$AO$1004,"&lt;"&amp;$AO749)-(ROWS($AO$5:$AO$1004)-Hoje!$L$5)+1)</f>
        <v/>
      </c>
      <c r="AQ749" s="50" t="n">
        <f aca="false">IF(AND($F749&lt;&gt;"",$D749=Frota!$C$3),1,0)</f>
        <v>0</v>
      </c>
      <c r="AR749" s="50" t="str">
        <f aca="false">IF($AQ749=0,"",SUM($AQ$4:$AQ749))</f>
        <v/>
      </c>
      <c r="AS749" s="50" t="str">
        <f aca="false">IFERROR(INDEX(Hoje!$K$10:$K$29,MATCH(ROW(),Hoje!$J$10:$J$29,0)),"")</f>
        <v/>
      </c>
      <c r="AT749" s="50" t="str">
        <f aca="false">IF($Q749&lt;&gt;"",$Q749,$AS749)</f>
        <v/>
      </c>
    </row>
    <row r="750" customFormat="false" ht="16.5" hidden="false" customHeight="true" outlineLevel="0" collapsed="false">
      <c r="A750" s="39" t="str">
        <f aca="false">IF($F750="","",ROW())</f>
        <v/>
      </c>
      <c r="B750" s="40" t="str">
        <f aca="false">IF($F750="",IF($D750="","","Falta a atividade"),IF($R750="Cancelada","Cancelada",IF($AB750=1,IF(N($Z750)&gt;0,"Concluída com atraso","Concluída"),IF($R750="Em programação","Em programação",IF($O750="",IF($M750="","Na carteira","Falta a semana"),IF($AC750=1,"VENCIDA",IF($O750&gt;Hoje!$L$1,"Programada",IF($P750&gt;Hoje!$L$1,"Em execução","Fecha hoje"))))))))</f>
        <v/>
      </c>
      <c r="C750" s="41"/>
      <c r="D750" s="42"/>
      <c r="E750" s="42"/>
      <c r="F750" s="42"/>
      <c r="G750" s="43"/>
      <c r="H750" s="43"/>
      <c r="I750" s="44"/>
      <c r="J750" s="44"/>
      <c r="K750" s="44"/>
      <c r="L750" s="45"/>
      <c r="M750" s="46"/>
      <c r="N750" s="45"/>
      <c r="O750" s="47" t="str">
        <f aca="false">IF(OR($L750="",$M750=""),"",(DATE(Semana!$J$3,1,4)-WEEKDAY(DATE(Semana!$J$3,1,4),3))+($L750-1)*7+MATCH($M750,Listas!$F$5:$F$11,0)-1)</f>
        <v/>
      </c>
      <c r="P750" s="47" t="str">
        <f aca="false">IF(OR($F750="",$O750=""),"",$O750+MAX(0,ROUNDUP($AK750*MAX(1,IF($N750="",1,$N750))/MAX(1,$AL750),0)-1))</f>
        <v/>
      </c>
      <c r="Q750" s="48"/>
      <c r="R750" s="43"/>
      <c r="S750" s="49"/>
      <c r="T750" s="42"/>
      <c r="U750" s="42"/>
      <c r="V750" s="39" t="str">
        <f aca="false">IF($F750="","",IF(ISNUMBER(SEARCH("(externo)",$I750&amp;$J750&amp;$K750)),"Terceirizada","Interna"))</f>
        <v/>
      </c>
      <c r="W750" s="47" t="str">
        <f aca="false">IF($O750="","",IF($S750="",$O750,(DATE(Semana!$J$3,1,4)-WEEKDAY(DATE(Semana!$J$3,1,4),3))+($S750-1)*7+IF($M750="",0,MATCH($M750,Listas!$F$5:$F$11,0)-1)))</f>
        <v/>
      </c>
      <c r="X750" s="39" t="str">
        <f aca="false">IF($F750="","",IF(OR($AT750="",$O750=""),0,IF($AT750&lt;=$O750,1,0)))</f>
        <v/>
      </c>
      <c r="Y750" s="39" t="str">
        <f aca="false">IF($F750="","",IF(OR($AT750="",$W750=""),0,IF($AT750&lt;=$W750,1,0)))</f>
        <v/>
      </c>
      <c r="Z750" s="39" t="str">
        <f aca="false">IF(OR($AT750="",$O750=""),"",MAX(0,$AT750-$O750))</f>
        <v/>
      </c>
      <c r="AA750" s="39" t="str">
        <f aca="false">IF($F750="","",IF(AND($S750&lt;&gt;"",$L750&lt;&gt;"",$S750&lt;&gt;$L750),1,0))</f>
        <v/>
      </c>
      <c r="AB750" s="39" t="str">
        <f aca="false">IF($F750="","",IF($R750="Cancelada",0,IF(OR($AT750&lt;&gt;"",$R750="Concluída"),1,0)))</f>
        <v/>
      </c>
      <c r="AC750" s="39" t="n">
        <f aca="false">IF($P750="",0,IF($P750&lt;Hoje!$L$1,1,IF(AND($P750=Hoje!$L$1,Hoje!$L$2&gt;Semana!$M$3),1,0)))</f>
        <v>0</v>
      </c>
      <c r="AD750" s="39" t="str">
        <f aca="false">IF($F750="","",IF(COUNTA($I750:$K750)=0,0,1/COUNTA($I750:$K750)))</f>
        <v/>
      </c>
      <c r="AE750" s="39" t="str">
        <f aca="false">IF($AH750=0,"",SUM($AH$4:$AH750))</f>
        <v/>
      </c>
      <c r="AF750" s="39" t="str">
        <f aca="false">IF($AI750=0,"",SUM($AI$4:$AI750))</f>
        <v/>
      </c>
      <c r="AG750" s="50" t="str">
        <f aca="false">IF($F750="","",$I750&amp;IF($J750="",""," · "&amp;$J750)&amp;IF($K750="",""," · "&amp;$K750))</f>
        <v/>
      </c>
      <c r="AH750" s="39" t="n">
        <f aca="false">IF(AND($F750&lt;&gt;"",$O750&lt;&gt;"",$O750&lt;=Hoje!$C$3,$P750&gt;=Hoje!$C$3,$R750&lt;&gt;"Cancelada"),1,0)</f>
        <v>0</v>
      </c>
      <c r="AI750" s="39" t="n">
        <f aca="false">IF(AND($F750&lt;&gt;"",$P750&lt;&gt;"",$P750&lt;Hoje!$C$3,$AB750=0,$R750&lt;&gt;"Cancelada"),1,0)</f>
        <v>0</v>
      </c>
      <c r="AJ750" s="50" t="str">
        <f aca="false">IF($F750="","",$D750&amp;"|"&amp;$E750&amp;"|"&amp;$L750)</f>
        <v/>
      </c>
      <c r="AK750" s="39" t="str">
        <f aca="false">IF($AJ750="","",COUNTIF($AJ$4:$AJ750,$AJ750))</f>
        <v/>
      </c>
      <c r="AL750" s="39" t="str">
        <f aca="false">IF($AJ750="","",COUNTIF($AJ$4:$AJ$1004,$AJ750))</f>
        <v/>
      </c>
      <c r="AM750" s="42"/>
      <c r="AN750" s="50" t="str">
        <f aca="false">IF($D750="","",IFERROR(T(VLOOKUP($D750,Listas!$B$5:$H$120,7,0)),""))</f>
        <v/>
      </c>
      <c r="AO750" s="50" t="str">
        <f aca="false">IF(OR($F750="",$L750&lt;&gt;"",$R750="Cancelada",$AT750&lt;&gt;""),"",$AN750&amp;"|"&amp;$D750&amp;"|"&amp;IF($C750="","zzz",$C750)&amp;"|"&amp;TEXT(750,"0000"))</f>
        <v/>
      </c>
      <c r="AP750" s="50" t="str">
        <f aca="false">IF($AO750="","",COUNTIF($AO$5:$AO$1004,"&lt;"&amp;$AO750)-(ROWS($AO$5:$AO$1004)-Hoje!$L$5)+1)</f>
        <v/>
      </c>
      <c r="AQ750" s="50" t="n">
        <f aca="false">IF(AND($F750&lt;&gt;"",$D750=Frota!$C$3),1,0)</f>
        <v>0</v>
      </c>
      <c r="AR750" s="50" t="str">
        <f aca="false">IF($AQ750=0,"",SUM($AQ$4:$AQ750))</f>
        <v/>
      </c>
      <c r="AS750" s="50" t="str">
        <f aca="false">IFERROR(INDEX(Hoje!$K$10:$K$29,MATCH(ROW(),Hoje!$J$10:$J$29,0)),"")</f>
        <v/>
      </c>
      <c r="AT750" s="50" t="str">
        <f aca="false">IF($Q750&lt;&gt;"",$Q750,$AS750)</f>
        <v/>
      </c>
    </row>
    <row r="751" customFormat="false" ht="16.5" hidden="false" customHeight="true" outlineLevel="0" collapsed="false">
      <c r="A751" s="39" t="str">
        <f aca="false">IF($F751="","",ROW())</f>
        <v/>
      </c>
      <c r="B751" s="40" t="str">
        <f aca="false">IF($F751="",IF($D751="","","Falta a atividade"),IF($R751="Cancelada","Cancelada",IF($AB751=1,IF(N($Z751)&gt;0,"Concluída com atraso","Concluída"),IF($R751="Em programação","Em programação",IF($O751="",IF($M751="","Na carteira","Falta a semana"),IF($AC751=1,"VENCIDA",IF($O751&gt;Hoje!$L$1,"Programada",IF($P751&gt;Hoje!$L$1,"Em execução","Fecha hoje"))))))))</f>
        <v/>
      </c>
      <c r="C751" s="41"/>
      <c r="D751" s="42"/>
      <c r="E751" s="42"/>
      <c r="F751" s="42"/>
      <c r="G751" s="43"/>
      <c r="H751" s="43"/>
      <c r="I751" s="44"/>
      <c r="J751" s="44"/>
      <c r="K751" s="44"/>
      <c r="L751" s="45"/>
      <c r="M751" s="46"/>
      <c r="N751" s="45"/>
      <c r="O751" s="47" t="str">
        <f aca="false">IF(OR($L751="",$M751=""),"",(DATE(Semana!$J$3,1,4)-WEEKDAY(DATE(Semana!$J$3,1,4),3))+($L751-1)*7+MATCH($M751,Listas!$F$5:$F$11,0)-1)</f>
        <v/>
      </c>
      <c r="P751" s="47" t="str">
        <f aca="false">IF(OR($F751="",$O751=""),"",$O751+MAX(0,ROUNDUP($AK751*MAX(1,IF($N751="",1,$N751))/MAX(1,$AL751),0)-1))</f>
        <v/>
      </c>
      <c r="Q751" s="48"/>
      <c r="R751" s="43"/>
      <c r="S751" s="49"/>
      <c r="T751" s="42"/>
      <c r="U751" s="42"/>
      <c r="V751" s="39" t="str">
        <f aca="false">IF($F751="","",IF(ISNUMBER(SEARCH("(externo)",$I751&amp;$J751&amp;$K751)),"Terceirizada","Interna"))</f>
        <v/>
      </c>
      <c r="W751" s="47" t="str">
        <f aca="false">IF($O751="","",IF($S751="",$O751,(DATE(Semana!$J$3,1,4)-WEEKDAY(DATE(Semana!$J$3,1,4),3))+($S751-1)*7+IF($M751="",0,MATCH($M751,Listas!$F$5:$F$11,0)-1)))</f>
        <v/>
      </c>
      <c r="X751" s="39" t="str">
        <f aca="false">IF($F751="","",IF(OR($AT751="",$O751=""),0,IF($AT751&lt;=$O751,1,0)))</f>
        <v/>
      </c>
      <c r="Y751" s="39" t="str">
        <f aca="false">IF($F751="","",IF(OR($AT751="",$W751=""),0,IF($AT751&lt;=$W751,1,0)))</f>
        <v/>
      </c>
      <c r="Z751" s="39" t="str">
        <f aca="false">IF(OR($AT751="",$O751=""),"",MAX(0,$AT751-$O751))</f>
        <v/>
      </c>
      <c r="AA751" s="39" t="str">
        <f aca="false">IF($F751="","",IF(AND($S751&lt;&gt;"",$L751&lt;&gt;"",$S751&lt;&gt;$L751),1,0))</f>
        <v/>
      </c>
      <c r="AB751" s="39" t="str">
        <f aca="false">IF($F751="","",IF($R751="Cancelada",0,IF(OR($AT751&lt;&gt;"",$R751="Concluída"),1,0)))</f>
        <v/>
      </c>
      <c r="AC751" s="39" t="n">
        <f aca="false">IF($P751="",0,IF($P751&lt;Hoje!$L$1,1,IF(AND($P751=Hoje!$L$1,Hoje!$L$2&gt;Semana!$M$3),1,0)))</f>
        <v>0</v>
      </c>
      <c r="AD751" s="39" t="str">
        <f aca="false">IF($F751="","",IF(COUNTA($I751:$K751)=0,0,1/COUNTA($I751:$K751)))</f>
        <v/>
      </c>
      <c r="AE751" s="39" t="str">
        <f aca="false">IF($AH751=0,"",SUM($AH$4:$AH751))</f>
        <v/>
      </c>
      <c r="AF751" s="39" t="str">
        <f aca="false">IF($AI751=0,"",SUM($AI$4:$AI751))</f>
        <v/>
      </c>
      <c r="AG751" s="50" t="str">
        <f aca="false">IF($F751="","",$I751&amp;IF($J751="",""," · "&amp;$J751)&amp;IF($K751="",""," · "&amp;$K751))</f>
        <v/>
      </c>
      <c r="AH751" s="39" t="n">
        <f aca="false">IF(AND($F751&lt;&gt;"",$O751&lt;&gt;"",$O751&lt;=Hoje!$C$3,$P751&gt;=Hoje!$C$3,$R751&lt;&gt;"Cancelada"),1,0)</f>
        <v>0</v>
      </c>
      <c r="AI751" s="39" t="n">
        <f aca="false">IF(AND($F751&lt;&gt;"",$P751&lt;&gt;"",$P751&lt;Hoje!$C$3,$AB751=0,$R751&lt;&gt;"Cancelada"),1,0)</f>
        <v>0</v>
      </c>
      <c r="AJ751" s="50" t="str">
        <f aca="false">IF($F751="","",$D751&amp;"|"&amp;$E751&amp;"|"&amp;$L751)</f>
        <v/>
      </c>
      <c r="AK751" s="39" t="str">
        <f aca="false">IF($AJ751="","",COUNTIF($AJ$4:$AJ751,$AJ751))</f>
        <v/>
      </c>
      <c r="AL751" s="39" t="str">
        <f aca="false">IF($AJ751="","",COUNTIF($AJ$4:$AJ$1004,$AJ751))</f>
        <v/>
      </c>
      <c r="AM751" s="42"/>
      <c r="AN751" s="50" t="str">
        <f aca="false">IF($D751="","",IFERROR(T(VLOOKUP($D751,Listas!$B$5:$H$120,7,0)),""))</f>
        <v/>
      </c>
      <c r="AO751" s="50" t="str">
        <f aca="false">IF(OR($F751="",$L751&lt;&gt;"",$R751="Cancelada",$AT751&lt;&gt;""),"",$AN751&amp;"|"&amp;$D751&amp;"|"&amp;IF($C751="","zzz",$C751)&amp;"|"&amp;TEXT(751,"0000"))</f>
        <v/>
      </c>
      <c r="AP751" s="50" t="str">
        <f aca="false">IF($AO751="","",COUNTIF($AO$5:$AO$1004,"&lt;"&amp;$AO751)-(ROWS($AO$5:$AO$1004)-Hoje!$L$5)+1)</f>
        <v/>
      </c>
      <c r="AQ751" s="50" t="n">
        <f aca="false">IF(AND($F751&lt;&gt;"",$D751=Frota!$C$3),1,0)</f>
        <v>0</v>
      </c>
      <c r="AR751" s="50" t="str">
        <f aca="false">IF($AQ751=0,"",SUM($AQ$4:$AQ751))</f>
        <v/>
      </c>
      <c r="AS751" s="50" t="str">
        <f aca="false">IFERROR(INDEX(Hoje!$K$10:$K$29,MATCH(ROW(),Hoje!$J$10:$J$29,0)),"")</f>
        <v/>
      </c>
      <c r="AT751" s="50" t="str">
        <f aca="false">IF($Q751&lt;&gt;"",$Q751,$AS751)</f>
        <v/>
      </c>
    </row>
    <row r="752" customFormat="false" ht="16.5" hidden="false" customHeight="true" outlineLevel="0" collapsed="false">
      <c r="A752" s="39" t="str">
        <f aca="false">IF($F752="","",ROW())</f>
        <v/>
      </c>
      <c r="B752" s="40" t="str">
        <f aca="false">IF($F752="",IF($D752="","","Falta a atividade"),IF($R752="Cancelada","Cancelada",IF($AB752=1,IF(N($Z752)&gt;0,"Concluída com atraso","Concluída"),IF($R752="Em programação","Em programação",IF($O752="",IF($M752="","Na carteira","Falta a semana"),IF($AC752=1,"VENCIDA",IF($O752&gt;Hoje!$L$1,"Programada",IF($P752&gt;Hoje!$L$1,"Em execução","Fecha hoje"))))))))</f>
        <v/>
      </c>
      <c r="C752" s="41"/>
      <c r="D752" s="42"/>
      <c r="E752" s="42"/>
      <c r="F752" s="42"/>
      <c r="G752" s="43"/>
      <c r="H752" s="43"/>
      <c r="I752" s="44"/>
      <c r="J752" s="44"/>
      <c r="K752" s="44"/>
      <c r="L752" s="45"/>
      <c r="M752" s="46"/>
      <c r="N752" s="45"/>
      <c r="O752" s="47" t="str">
        <f aca="false">IF(OR($L752="",$M752=""),"",(DATE(Semana!$J$3,1,4)-WEEKDAY(DATE(Semana!$J$3,1,4),3))+($L752-1)*7+MATCH($M752,Listas!$F$5:$F$11,0)-1)</f>
        <v/>
      </c>
      <c r="P752" s="47" t="str">
        <f aca="false">IF(OR($F752="",$O752=""),"",$O752+MAX(0,ROUNDUP($AK752*MAX(1,IF($N752="",1,$N752))/MAX(1,$AL752),0)-1))</f>
        <v/>
      </c>
      <c r="Q752" s="48"/>
      <c r="R752" s="43"/>
      <c r="S752" s="49"/>
      <c r="T752" s="42"/>
      <c r="U752" s="42"/>
      <c r="V752" s="39" t="str">
        <f aca="false">IF($F752="","",IF(ISNUMBER(SEARCH("(externo)",$I752&amp;$J752&amp;$K752)),"Terceirizada","Interna"))</f>
        <v/>
      </c>
      <c r="W752" s="47" t="str">
        <f aca="false">IF($O752="","",IF($S752="",$O752,(DATE(Semana!$J$3,1,4)-WEEKDAY(DATE(Semana!$J$3,1,4),3))+($S752-1)*7+IF($M752="",0,MATCH($M752,Listas!$F$5:$F$11,0)-1)))</f>
        <v/>
      </c>
      <c r="X752" s="39" t="str">
        <f aca="false">IF($F752="","",IF(OR($AT752="",$O752=""),0,IF($AT752&lt;=$O752,1,0)))</f>
        <v/>
      </c>
      <c r="Y752" s="39" t="str">
        <f aca="false">IF($F752="","",IF(OR($AT752="",$W752=""),0,IF($AT752&lt;=$W752,1,0)))</f>
        <v/>
      </c>
      <c r="Z752" s="39" t="str">
        <f aca="false">IF(OR($AT752="",$O752=""),"",MAX(0,$AT752-$O752))</f>
        <v/>
      </c>
      <c r="AA752" s="39" t="str">
        <f aca="false">IF($F752="","",IF(AND($S752&lt;&gt;"",$L752&lt;&gt;"",$S752&lt;&gt;$L752),1,0))</f>
        <v/>
      </c>
      <c r="AB752" s="39" t="str">
        <f aca="false">IF($F752="","",IF($R752="Cancelada",0,IF(OR($AT752&lt;&gt;"",$R752="Concluída"),1,0)))</f>
        <v/>
      </c>
      <c r="AC752" s="39" t="n">
        <f aca="false">IF($P752="",0,IF($P752&lt;Hoje!$L$1,1,IF(AND($P752=Hoje!$L$1,Hoje!$L$2&gt;Semana!$M$3),1,0)))</f>
        <v>0</v>
      </c>
      <c r="AD752" s="39" t="str">
        <f aca="false">IF($F752="","",IF(COUNTA($I752:$K752)=0,0,1/COUNTA($I752:$K752)))</f>
        <v/>
      </c>
      <c r="AE752" s="39" t="str">
        <f aca="false">IF($AH752=0,"",SUM($AH$4:$AH752))</f>
        <v/>
      </c>
      <c r="AF752" s="39" t="str">
        <f aca="false">IF($AI752=0,"",SUM($AI$4:$AI752))</f>
        <v/>
      </c>
      <c r="AG752" s="50" t="str">
        <f aca="false">IF($F752="","",$I752&amp;IF($J752="",""," · "&amp;$J752)&amp;IF($K752="",""," · "&amp;$K752))</f>
        <v/>
      </c>
      <c r="AH752" s="39" t="n">
        <f aca="false">IF(AND($F752&lt;&gt;"",$O752&lt;&gt;"",$O752&lt;=Hoje!$C$3,$P752&gt;=Hoje!$C$3,$R752&lt;&gt;"Cancelada"),1,0)</f>
        <v>0</v>
      </c>
      <c r="AI752" s="39" t="n">
        <f aca="false">IF(AND($F752&lt;&gt;"",$P752&lt;&gt;"",$P752&lt;Hoje!$C$3,$AB752=0,$R752&lt;&gt;"Cancelada"),1,0)</f>
        <v>0</v>
      </c>
      <c r="AJ752" s="50" t="str">
        <f aca="false">IF($F752="","",$D752&amp;"|"&amp;$E752&amp;"|"&amp;$L752)</f>
        <v/>
      </c>
      <c r="AK752" s="39" t="str">
        <f aca="false">IF($AJ752="","",COUNTIF($AJ$4:$AJ752,$AJ752))</f>
        <v/>
      </c>
      <c r="AL752" s="39" t="str">
        <f aca="false">IF($AJ752="","",COUNTIF($AJ$4:$AJ$1004,$AJ752))</f>
        <v/>
      </c>
      <c r="AM752" s="42"/>
      <c r="AN752" s="50" t="str">
        <f aca="false">IF($D752="","",IFERROR(T(VLOOKUP($D752,Listas!$B$5:$H$120,7,0)),""))</f>
        <v/>
      </c>
      <c r="AO752" s="50" t="str">
        <f aca="false">IF(OR($F752="",$L752&lt;&gt;"",$R752="Cancelada",$AT752&lt;&gt;""),"",$AN752&amp;"|"&amp;$D752&amp;"|"&amp;IF($C752="","zzz",$C752)&amp;"|"&amp;TEXT(752,"0000"))</f>
        <v/>
      </c>
      <c r="AP752" s="50" t="str">
        <f aca="false">IF($AO752="","",COUNTIF($AO$5:$AO$1004,"&lt;"&amp;$AO752)-(ROWS($AO$5:$AO$1004)-Hoje!$L$5)+1)</f>
        <v/>
      </c>
      <c r="AQ752" s="50" t="n">
        <f aca="false">IF(AND($F752&lt;&gt;"",$D752=Frota!$C$3),1,0)</f>
        <v>0</v>
      </c>
      <c r="AR752" s="50" t="str">
        <f aca="false">IF($AQ752=0,"",SUM($AQ$4:$AQ752))</f>
        <v/>
      </c>
      <c r="AS752" s="50" t="str">
        <f aca="false">IFERROR(INDEX(Hoje!$K$10:$K$29,MATCH(ROW(),Hoje!$J$10:$J$29,0)),"")</f>
        <v/>
      </c>
      <c r="AT752" s="50" t="str">
        <f aca="false">IF($Q752&lt;&gt;"",$Q752,$AS752)</f>
        <v/>
      </c>
    </row>
    <row r="753" customFormat="false" ht="16.5" hidden="false" customHeight="true" outlineLevel="0" collapsed="false">
      <c r="A753" s="39" t="str">
        <f aca="false">IF($F753="","",ROW())</f>
        <v/>
      </c>
      <c r="B753" s="40" t="str">
        <f aca="false">IF($F753="",IF($D753="","","Falta a atividade"),IF($R753="Cancelada","Cancelada",IF($AB753=1,IF(N($Z753)&gt;0,"Concluída com atraso","Concluída"),IF($R753="Em programação","Em programação",IF($O753="",IF($M753="","Na carteira","Falta a semana"),IF($AC753=1,"VENCIDA",IF($O753&gt;Hoje!$L$1,"Programada",IF($P753&gt;Hoje!$L$1,"Em execução","Fecha hoje"))))))))</f>
        <v/>
      </c>
      <c r="C753" s="41"/>
      <c r="D753" s="42"/>
      <c r="E753" s="42"/>
      <c r="F753" s="42"/>
      <c r="G753" s="43"/>
      <c r="H753" s="43"/>
      <c r="I753" s="44"/>
      <c r="J753" s="44"/>
      <c r="K753" s="44"/>
      <c r="L753" s="45"/>
      <c r="M753" s="46"/>
      <c r="N753" s="45"/>
      <c r="O753" s="47" t="str">
        <f aca="false">IF(OR($L753="",$M753=""),"",(DATE(Semana!$J$3,1,4)-WEEKDAY(DATE(Semana!$J$3,1,4),3))+($L753-1)*7+MATCH($M753,Listas!$F$5:$F$11,0)-1)</f>
        <v/>
      </c>
      <c r="P753" s="47" t="str">
        <f aca="false">IF(OR($F753="",$O753=""),"",$O753+MAX(0,ROUNDUP($AK753*MAX(1,IF($N753="",1,$N753))/MAX(1,$AL753),0)-1))</f>
        <v/>
      </c>
      <c r="Q753" s="48"/>
      <c r="R753" s="43"/>
      <c r="S753" s="49"/>
      <c r="T753" s="42"/>
      <c r="U753" s="42"/>
      <c r="V753" s="39" t="str">
        <f aca="false">IF($F753="","",IF(ISNUMBER(SEARCH("(externo)",$I753&amp;$J753&amp;$K753)),"Terceirizada","Interna"))</f>
        <v/>
      </c>
      <c r="W753" s="47" t="str">
        <f aca="false">IF($O753="","",IF($S753="",$O753,(DATE(Semana!$J$3,1,4)-WEEKDAY(DATE(Semana!$J$3,1,4),3))+($S753-1)*7+IF($M753="",0,MATCH($M753,Listas!$F$5:$F$11,0)-1)))</f>
        <v/>
      </c>
      <c r="X753" s="39" t="str">
        <f aca="false">IF($F753="","",IF(OR($AT753="",$O753=""),0,IF($AT753&lt;=$O753,1,0)))</f>
        <v/>
      </c>
      <c r="Y753" s="39" t="str">
        <f aca="false">IF($F753="","",IF(OR($AT753="",$W753=""),0,IF($AT753&lt;=$W753,1,0)))</f>
        <v/>
      </c>
      <c r="Z753" s="39" t="str">
        <f aca="false">IF(OR($AT753="",$O753=""),"",MAX(0,$AT753-$O753))</f>
        <v/>
      </c>
      <c r="AA753" s="39" t="str">
        <f aca="false">IF($F753="","",IF(AND($S753&lt;&gt;"",$L753&lt;&gt;"",$S753&lt;&gt;$L753),1,0))</f>
        <v/>
      </c>
      <c r="AB753" s="39" t="str">
        <f aca="false">IF($F753="","",IF($R753="Cancelada",0,IF(OR($AT753&lt;&gt;"",$R753="Concluída"),1,0)))</f>
        <v/>
      </c>
      <c r="AC753" s="39" t="n">
        <f aca="false">IF($P753="",0,IF($P753&lt;Hoje!$L$1,1,IF(AND($P753=Hoje!$L$1,Hoje!$L$2&gt;Semana!$M$3),1,0)))</f>
        <v>0</v>
      </c>
      <c r="AD753" s="39" t="str">
        <f aca="false">IF($F753="","",IF(COUNTA($I753:$K753)=0,0,1/COUNTA($I753:$K753)))</f>
        <v/>
      </c>
      <c r="AE753" s="39" t="str">
        <f aca="false">IF($AH753=0,"",SUM($AH$4:$AH753))</f>
        <v/>
      </c>
      <c r="AF753" s="39" t="str">
        <f aca="false">IF($AI753=0,"",SUM($AI$4:$AI753))</f>
        <v/>
      </c>
      <c r="AG753" s="50" t="str">
        <f aca="false">IF($F753="","",$I753&amp;IF($J753="",""," · "&amp;$J753)&amp;IF($K753="",""," · "&amp;$K753))</f>
        <v/>
      </c>
      <c r="AH753" s="39" t="n">
        <f aca="false">IF(AND($F753&lt;&gt;"",$O753&lt;&gt;"",$O753&lt;=Hoje!$C$3,$P753&gt;=Hoje!$C$3,$R753&lt;&gt;"Cancelada"),1,0)</f>
        <v>0</v>
      </c>
      <c r="AI753" s="39" t="n">
        <f aca="false">IF(AND($F753&lt;&gt;"",$P753&lt;&gt;"",$P753&lt;Hoje!$C$3,$AB753=0,$R753&lt;&gt;"Cancelada"),1,0)</f>
        <v>0</v>
      </c>
      <c r="AJ753" s="50" t="str">
        <f aca="false">IF($F753="","",$D753&amp;"|"&amp;$E753&amp;"|"&amp;$L753)</f>
        <v/>
      </c>
      <c r="AK753" s="39" t="str">
        <f aca="false">IF($AJ753="","",COUNTIF($AJ$4:$AJ753,$AJ753))</f>
        <v/>
      </c>
      <c r="AL753" s="39" t="str">
        <f aca="false">IF($AJ753="","",COUNTIF($AJ$4:$AJ$1004,$AJ753))</f>
        <v/>
      </c>
      <c r="AM753" s="42"/>
      <c r="AN753" s="50" t="str">
        <f aca="false">IF($D753="","",IFERROR(T(VLOOKUP($D753,Listas!$B$5:$H$120,7,0)),""))</f>
        <v/>
      </c>
      <c r="AO753" s="50" t="str">
        <f aca="false">IF(OR($F753="",$L753&lt;&gt;"",$R753="Cancelada",$AT753&lt;&gt;""),"",$AN753&amp;"|"&amp;$D753&amp;"|"&amp;IF($C753="","zzz",$C753)&amp;"|"&amp;TEXT(753,"0000"))</f>
        <v/>
      </c>
      <c r="AP753" s="50" t="str">
        <f aca="false">IF($AO753="","",COUNTIF($AO$5:$AO$1004,"&lt;"&amp;$AO753)-(ROWS($AO$5:$AO$1004)-Hoje!$L$5)+1)</f>
        <v/>
      </c>
      <c r="AQ753" s="50" t="n">
        <f aca="false">IF(AND($F753&lt;&gt;"",$D753=Frota!$C$3),1,0)</f>
        <v>0</v>
      </c>
      <c r="AR753" s="50" t="str">
        <f aca="false">IF($AQ753=0,"",SUM($AQ$4:$AQ753))</f>
        <v/>
      </c>
      <c r="AS753" s="50" t="str">
        <f aca="false">IFERROR(INDEX(Hoje!$K$10:$K$29,MATCH(ROW(),Hoje!$J$10:$J$29,0)),"")</f>
        <v/>
      </c>
      <c r="AT753" s="50" t="str">
        <f aca="false">IF($Q753&lt;&gt;"",$Q753,$AS753)</f>
        <v/>
      </c>
    </row>
    <row r="754" customFormat="false" ht="16.5" hidden="false" customHeight="true" outlineLevel="0" collapsed="false">
      <c r="A754" s="39" t="str">
        <f aca="false">IF($F754="","",ROW())</f>
        <v/>
      </c>
      <c r="B754" s="40" t="str">
        <f aca="false">IF($F754="",IF($D754="","","Falta a atividade"),IF($R754="Cancelada","Cancelada",IF($AB754=1,IF(N($Z754)&gt;0,"Concluída com atraso","Concluída"),IF($R754="Em programação","Em programação",IF($O754="",IF($M754="","Na carteira","Falta a semana"),IF($AC754=1,"VENCIDA",IF($O754&gt;Hoje!$L$1,"Programada",IF($P754&gt;Hoje!$L$1,"Em execução","Fecha hoje"))))))))</f>
        <v/>
      </c>
      <c r="C754" s="41"/>
      <c r="D754" s="42"/>
      <c r="E754" s="42"/>
      <c r="F754" s="42"/>
      <c r="G754" s="43"/>
      <c r="H754" s="43"/>
      <c r="I754" s="44"/>
      <c r="J754" s="44"/>
      <c r="K754" s="44"/>
      <c r="L754" s="45"/>
      <c r="M754" s="46"/>
      <c r="N754" s="45"/>
      <c r="O754" s="47" t="str">
        <f aca="false">IF(OR($L754="",$M754=""),"",(DATE(Semana!$J$3,1,4)-WEEKDAY(DATE(Semana!$J$3,1,4),3))+($L754-1)*7+MATCH($M754,Listas!$F$5:$F$11,0)-1)</f>
        <v/>
      </c>
      <c r="P754" s="47" t="str">
        <f aca="false">IF(OR($F754="",$O754=""),"",$O754+MAX(0,ROUNDUP($AK754*MAX(1,IF($N754="",1,$N754))/MAX(1,$AL754),0)-1))</f>
        <v/>
      </c>
      <c r="Q754" s="48"/>
      <c r="R754" s="43"/>
      <c r="S754" s="49"/>
      <c r="T754" s="42"/>
      <c r="U754" s="42"/>
      <c r="V754" s="39" t="str">
        <f aca="false">IF($F754="","",IF(ISNUMBER(SEARCH("(externo)",$I754&amp;$J754&amp;$K754)),"Terceirizada","Interna"))</f>
        <v/>
      </c>
      <c r="W754" s="47" t="str">
        <f aca="false">IF($O754="","",IF($S754="",$O754,(DATE(Semana!$J$3,1,4)-WEEKDAY(DATE(Semana!$J$3,1,4),3))+($S754-1)*7+IF($M754="",0,MATCH($M754,Listas!$F$5:$F$11,0)-1)))</f>
        <v/>
      </c>
      <c r="X754" s="39" t="str">
        <f aca="false">IF($F754="","",IF(OR($AT754="",$O754=""),0,IF($AT754&lt;=$O754,1,0)))</f>
        <v/>
      </c>
      <c r="Y754" s="39" t="str">
        <f aca="false">IF($F754="","",IF(OR($AT754="",$W754=""),0,IF($AT754&lt;=$W754,1,0)))</f>
        <v/>
      </c>
      <c r="Z754" s="39" t="str">
        <f aca="false">IF(OR($AT754="",$O754=""),"",MAX(0,$AT754-$O754))</f>
        <v/>
      </c>
      <c r="AA754" s="39" t="str">
        <f aca="false">IF($F754="","",IF(AND($S754&lt;&gt;"",$L754&lt;&gt;"",$S754&lt;&gt;$L754),1,0))</f>
        <v/>
      </c>
      <c r="AB754" s="39" t="str">
        <f aca="false">IF($F754="","",IF($R754="Cancelada",0,IF(OR($AT754&lt;&gt;"",$R754="Concluída"),1,0)))</f>
        <v/>
      </c>
      <c r="AC754" s="39" t="n">
        <f aca="false">IF($P754="",0,IF($P754&lt;Hoje!$L$1,1,IF(AND($P754=Hoje!$L$1,Hoje!$L$2&gt;Semana!$M$3),1,0)))</f>
        <v>0</v>
      </c>
      <c r="AD754" s="39" t="str">
        <f aca="false">IF($F754="","",IF(COUNTA($I754:$K754)=0,0,1/COUNTA($I754:$K754)))</f>
        <v/>
      </c>
      <c r="AE754" s="39" t="str">
        <f aca="false">IF($AH754=0,"",SUM($AH$4:$AH754))</f>
        <v/>
      </c>
      <c r="AF754" s="39" t="str">
        <f aca="false">IF($AI754=0,"",SUM($AI$4:$AI754))</f>
        <v/>
      </c>
      <c r="AG754" s="50" t="str">
        <f aca="false">IF($F754="","",$I754&amp;IF($J754="",""," · "&amp;$J754)&amp;IF($K754="",""," · "&amp;$K754))</f>
        <v/>
      </c>
      <c r="AH754" s="39" t="n">
        <f aca="false">IF(AND($F754&lt;&gt;"",$O754&lt;&gt;"",$O754&lt;=Hoje!$C$3,$P754&gt;=Hoje!$C$3,$R754&lt;&gt;"Cancelada"),1,0)</f>
        <v>0</v>
      </c>
      <c r="AI754" s="39" t="n">
        <f aca="false">IF(AND($F754&lt;&gt;"",$P754&lt;&gt;"",$P754&lt;Hoje!$C$3,$AB754=0,$R754&lt;&gt;"Cancelada"),1,0)</f>
        <v>0</v>
      </c>
      <c r="AJ754" s="50" t="str">
        <f aca="false">IF($F754="","",$D754&amp;"|"&amp;$E754&amp;"|"&amp;$L754)</f>
        <v/>
      </c>
      <c r="AK754" s="39" t="str">
        <f aca="false">IF($AJ754="","",COUNTIF($AJ$4:$AJ754,$AJ754))</f>
        <v/>
      </c>
      <c r="AL754" s="39" t="str">
        <f aca="false">IF($AJ754="","",COUNTIF($AJ$4:$AJ$1004,$AJ754))</f>
        <v/>
      </c>
      <c r="AM754" s="42"/>
      <c r="AN754" s="50" t="str">
        <f aca="false">IF($D754="","",IFERROR(T(VLOOKUP($D754,Listas!$B$5:$H$120,7,0)),""))</f>
        <v/>
      </c>
      <c r="AO754" s="50" t="str">
        <f aca="false">IF(OR($F754="",$L754&lt;&gt;"",$R754="Cancelada",$AT754&lt;&gt;""),"",$AN754&amp;"|"&amp;$D754&amp;"|"&amp;IF($C754="","zzz",$C754)&amp;"|"&amp;TEXT(754,"0000"))</f>
        <v/>
      </c>
      <c r="AP754" s="50" t="str">
        <f aca="false">IF($AO754="","",COUNTIF($AO$5:$AO$1004,"&lt;"&amp;$AO754)-(ROWS($AO$5:$AO$1004)-Hoje!$L$5)+1)</f>
        <v/>
      </c>
      <c r="AQ754" s="50" t="n">
        <f aca="false">IF(AND($F754&lt;&gt;"",$D754=Frota!$C$3),1,0)</f>
        <v>0</v>
      </c>
      <c r="AR754" s="50" t="str">
        <f aca="false">IF($AQ754=0,"",SUM($AQ$4:$AQ754))</f>
        <v/>
      </c>
      <c r="AS754" s="50" t="str">
        <f aca="false">IFERROR(INDEX(Hoje!$K$10:$K$29,MATCH(ROW(),Hoje!$J$10:$J$29,0)),"")</f>
        <v/>
      </c>
      <c r="AT754" s="50" t="str">
        <f aca="false">IF($Q754&lt;&gt;"",$Q754,$AS754)</f>
        <v/>
      </c>
    </row>
    <row r="755" customFormat="false" ht="16.5" hidden="false" customHeight="true" outlineLevel="0" collapsed="false">
      <c r="A755" s="39" t="str">
        <f aca="false">IF($F755="","",ROW())</f>
        <v/>
      </c>
      <c r="B755" s="40" t="str">
        <f aca="false">IF($F755="",IF($D755="","","Falta a atividade"),IF($R755="Cancelada","Cancelada",IF($AB755=1,IF(N($Z755)&gt;0,"Concluída com atraso","Concluída"),IF($R755="Em programação","Em programação",IF($O755="",IF($M755="","Na carteira","Falta a semana"),IF($AC755=1,"VENCIDA",IF($O755&gt;Hoje!$L$1,"Programada",IF($P755&gt;Hoje!$L$1,"Em execução","Fecha hoje"))))))))</f>
        <v/>
      </c>
      <c r="C755" s="41"/>
      <c r="D755" s="42"/>
      <c r="E755" s="42"/>
      <c r="F755" s="42"/>
      <c r="G755" s="43"/>
      <c r="H755" s="43"/>
      <c r="I755" s="44"/>
      <c r="J755" s="44"/>
      <c r="K755" s="44"/>
      <c r="L755" s="45"/>
      <c r="M755" s="46"/>
      <c r="N755" s="45"/>
      <c r="O755" s="47" t="str">
        <f aca="false">IF(OR($L755="",$M755=""),"",(DATE(Semana!$J$3,1,4)-WEEKDAY(DATE(Semana!$J$3,1,4),3))+($L755-1)*7+MATCH($M755,Listas!$F$5:$F$11,0)-1)</f>
        <v/>
      </c>
      <c r="P755" s="47" t="str">
        <f aca="false">IF(OR($F755="",$O755=""),"",$O755+MAX(0,ROUNDUP($AK755*MAX(1,IF($N755="",1,$N755))/MAX(1,$AL755),0)-1))</f>
        <v/>
      </c>
      <c r="Q755" s="48"/>
      <c r="R755" s="43"/>
      <c r="S755" s="49"/>
      <c r="T755" s="42"/>
      <c r="U755" s="42"/>
      <c r="V755" s="39" t="str">
        <f aca="false">IF($F755="","",IF(ISNUMBER(SEARCH("(externo)",$I755&amp;$J755&amp;$K755)),"Terceirizada","Interna"))</f>
        <v/>
      </c>
      <c r="W755" s="47" t="str">
        <f aca="false">IF($O755="","",IF($S755="",$O755,(DATE(Semana!$J$3,1,4)-WEEKDAY(DATE(Semana!$J$3,1,4),3))+($S755-1)*7+IF($M755="",0,MATCH($M755,Listas!$F$5:$F$11,0)-1)))</f>
        <v/>
      </c>
      <c r="X755" s="39" t="str">
        <f aca="false">IF($F755="","",IF(OR($AT755="",$O755=""),0,IF($AT755&lt;=$O755,1,0)))</f>
        <v/>
      </c>
      <c r="Y755" s="39" t="str">
        <f aca="false">IF($F755="","",IF(OR($AT755="",$W755=""),0,IF($AT755&lt;=$W755,1,0)))</f>
        <v/>
      </c>
      <c r="Z755" s="39" t="str">
        <f aca="false">IF(OR($AT755="",$O755=""),"",MAX(0,$AT755-$O755))</f>
        <v/>
      </c>
      <c r="AA755" s="39" t="str">
        <f aca="false">IF($F755="","",IF(AND($S755&lt;&gt;"",$L755&lt;&gt;"",$S755&lt;&gt;$L755),1,0))</f>
        <v/>
      </c>
      <c r="AB755" s="39" t="str">
        <f aca="false">IF($F755="","",IF($R755="Cancelada",0,IF(OR($AT755&lt;&gt;"",$R755="Concluída"),1,0)))</f>
        <v/>
      </c>
      <c r="AC755" s="39" t="n">
        <f aca="false">IF($P755="",0,IF($P755&lt;Hoje!$L$1,1,IF(AND($P755=Hoje!$L$1,Hoje!$L$2&gt;Semana!$M$3),1,0)))</f>
        <v>0</v>
      </c>
      <c r="AD755" s="39" t="str">
        <f aca="false">IF($F755="","",IF(COUNTA($I755:$K755)=0,0,1/COUNTA($I755:$K755)))</f>
        <v/>
      </c>
      <c r="AE755" s="39" t="str">
        <f aca="false">IF($AH755=0,"",SUM($AH$4:$AH755))</f>
        <v/>
      </c>
      <c r="AF755" s="39" t="str">
        <f aca="false">IF($AI755=0,"",SUM($AI$4:$AI755))</f>
        <v/>
      </c>
      <c r="AG755" s="50" t="str">
        <f aca="false">IF($F755="","",$I755&amp;IF($J755="",""," · "&amp;$J755)&amp;IF($K755="",""," · "&amp;$K755))</f>
        <v/>
      </c>
      <c r="AH755" s="39" t="n">
        <f aca="false">IF(AND($F755&lt;&gt;"",$O755&lt;&gt;"",$O755&lt;=Hoje!$C$3,$P755&gt;=Hoje!$C$3,$R755&lt;&gt;"Cancelada"),1,0)</f>
        <v>0</v>
      </c>
      <c r="AI755" s="39" t="n">
        <f aca="false">IF(AND($F755&lt;&gt;"",$P755&lt;&gt;"",$P755&lt;Hoje!$C$3,$AB755=0,$R755&lt;&gt;"Cancelada"),1,0)</f>
        <v>0</v>
      </c>
      <c r="AJ755" s="50" t="str">
        <f aca="false">IF($F755="","",$D755&amp;"|"&amp;$E755&amp;"|"&amp;$L755)</f>
        <v/>
      </c>
      <c r="AK755" s="39" t="str">
        <f aca="false">IF($AJ755="","",COUNTIF($AJ$4:$AJ755,$AJ755))</f>
        <v/>
      </c>
      <c r="AL755" s="39" t="str">
        <f aca="false">IF($AJ755="","",COUNTIF($AJ$4:$AJ$1004,$AJ755))</f>
        <v/>
      </c>
      <c r="AM755" s="42"/>
      <c r="AN755" s="50" t="str">
        <f aca="false">IF($D755="","",IFERROR(T(VLOOKUP($D755,Listas!$B$5:$H$120,7,0)),""))</f>
        <v/>
      </c>
      <c r="AO755" s="50" t="str">
        <f aca="false">IF(OR($F755="",$L755&lt;&gt;"",$R755="Cancelada",$AT755&lt;&gt;""),"",$AN755&amp;"|"&amp;$D755&amp;"|"&amp;IF($C755="","zzz",$C755)&amp;"|"&amp;TEXT(755,"0000"))</f>
        <v/>
      </c>
      <c r="AP755" s="50" t="str">
        <f aca="false">IF($AO755="","",COUNTIF($AO$5:$AO$1004,"&lt;"&amp;$AO755)-(ROWS($AO$5:$AO$1004)-Hoje!$L$5)+1)</f>
        <v/>
      </c>
      <c r="AQ755" s="50" t="n">
        <f aca="false">IF(AND($F755&lt;&gt;"",$D755=Frota!$C$3),1,0)</f>
        <v>0</v>
      </c>
      <c r="AR755" s="50" t="str">
        <f aca="false">IF($AQ755=0,"",SUM($AQ$4:$AQ755))</f>
        <v/>
      </c>
      <c r="AS755" s="50" t="str">
        <f aca="false">IFERROR(INDEX(Hoje!$K$10:$K$29,MATCH(ROW(),Hoje!$J$10:$J$29,0)),"")</f>
        <v/>
      </c>
      <c r="AT755" s="50" t="str">
        <f aca="false">IF($Q755&lt;&gt;"",$Q755,$AS755)</f>
        <v/>
      </c>
    </row>
    <row r="756" customFormat="false" ht="16.5" hidden="false" customHeight="true" outlineLevel="0" collapsed="false">
      <c r="A756" s="39" t="str">
        <f aca="false">IF($F756="","",ROW())</f>
        <v/>
      </c>
      <c r="B756" s="40" t="str">
        <f aca="false">IF($F756="",IF($D756="","","Falta a atividade"),IF($R756="Cancelada","Cancelada",IF($AB756=1,IF(N($Z756)&gt;0,"Concluída com atraso","Concluída"),IF($R756="Em programação","Em programação",IF($O756="",IF($M756="","Na carteira","Falta a semana"),IF($AC756=1,"VENCIDA",IF($O756&gt;Hoje!$L$1,"Programada",IF($P756&gt;Hoje!$L$1,"Em execução","Fecha hoje"))))))))</f>
        <v/>
      </c>
      <c r="C756" s="41"/>
      <c r="D756" s="42"/>
      <c r="E756" s="42"/>
      <c r="F756" s="42"/>
      <c r="G756" s="43"/>
      <c r="H756" s="43"/>
      <c r="I756" s="44"/>
      <c r="J756" s="44"/>
      <c r="K756" s="44"/>
      <c r="L756" s="45"/>
      <c r="M756" s="46"/>
      <c r="N756" s="45"/>
      <c r="O756" s="47" t="str">
        <f aca="false">IF(OR($L756="",$M756=""),"",(DATE(Semana!$J$3,1,4)-WEEKDAY(DATE(Semana!$J$3,1,4),3))+($L756-1)*7+MATCH($M756,Listas!$F$5:$F$11,0)-1)</f>
        <v/>
      </c>
      <c r="P756" s="47" t="str">
        <f aca="false">IF(OR($F756="",$O756=""),"",$O756+MAX(0,ROUNDUP($AK756*MAX(1,IF($N756="",1,$N756))/MAX(1,$AL756),0)-1))</f>
        <v/>
      </c>
      <c r="Q756" s="48"/>
      <c r="R756" s="43"/>
      <c r="S756" s="49"/>
      <c r="T756" s="42"/>
      <c r="U756" s="42"/>
      <c r="V756" s="39" t="str">
        <f aca="false">IF($F756="","",IF(ISNUMBER(SEARCH("(externo)",$I756&amp;$J756&amp;$K756)),"Terceirizada","Interna"))</f>
        <v/>
      </c>
      <c r="W756" s="47" t="str">
        <f aca="false">IF($O756="","",IF($S756="",$O756,(DATE(Semana!$J$3,1,4)-WEEKDAY(DATE(Semana!$J$3,1,4),3))+($S756-1)*7+IF($M756="",0,MATCH($M756,Listas!$F$5:$F$11,0)-1)))</f>
        <v/>
      </c>
      <c r="X756" s="39" t="str">
        <f aca="false">IF($F756="","",IF(OR($AT756="",$O756=""),0,IF($AT756&lt;=$O756,1,0)))</f>
        <v/>
      </c>
      <c r="Y756" s="39" t="str">
        <f aca="false">IF($F756="","",IF(OR($AT756="",$W756=""),0,IF($AT756&lt;=$W756,1,0)))</f>
        <v/>
      </c>
      <c r="Z756" s="39" t="str">
        <f aca="false">IF(OR($AT756="",$O756=""),"",MAX(0,$AT756-$O756))</f>
        <v/>
      </c>
      <c r="AA756" s="39" t="str">
        <f aca="false">IF($F756="","",IF(AND($S756&lt;&gt;"",$L756&lt;&gt;"",$S756&lt;&gt;$L756),1,0))</f>
        <v/>
      </c>
      <c r="AB756" s="39" t="str">
        <f aca="false">IF($F756="","",IF($R756="Cancelada",0,IF(OR($AT756&lt;&gt;"",$R756="Concluída"),1,0)))</f>
        <v/>
      </c>
      <c r="AC756" s="39" t="n">
        <f aca="false">IF($P756="",0,IF($P756&lt;Hoje!$L$1,1,IF(AND($P756=Hoje!$L$1,Hoje!$L$2&gt;Semana!$M$3),1,0)))</f>
        <v>0</v>
      </c>
      <c r="AD756" s="39" t="str">
        <f aca="false">IF($F756="","",IF(COUNTA($I756:$K756)=0,0,1/COUNTA($I756:$K756)))</f>
        <v/>
      </c>
      <c r="AE756" s="39" t="str">
        <f aca="false">IF($AH756=0,"",SUM($AH$4:$AH756))</f>
        <v/>
      </c>
      <c r="AF756" s="39" t="str">
        <f aca="false">IF($AI756=0,"",SUM($AI$4:$AI756))</f>
        <v/>
      </c>
      <c r="AG756" s="50" t="str">
        <f aca="false">IF($F756="","",$I756&amp;IF($J756="",""," · "&amp;$J756)&amp;IF($K756="",""," · "&amp;$K756))</f>
        <v/>
      </c>
      <c r="AH756" s="39" t="n">
        <f aca="false">IF(AND($F756&lt;&gt;"",$O756&lt;&gt;"",$O756&lt;=Hoje!$C$3,$P756&gt;=Hoje!$C$3,$R756&lt;&gt;"Cancelada"),1,0)</f>
        <v>0</v>
      </c>
      <c r="AI756" s="39" t="n">
        <f aca="false">IF(AND($F756&lt;&gt;"",$P756&lt;&gt;"",$P756&lt;Hoje!$C$3,$AB756=0,$R756&lt;&gt;"Cancelada"),1,0)</f>
        <v>0</v>
      </c>
      <c r="AJ756" s="50" t="str">
        <f aca="false">IF($F756="","",$D756&amp;"|"&amp;$E756&amp;"|"&amp;$L756)</f>
        <v/>
      </c>
      <c r="AK756" s="39" t="str">
        <f aca="false">IF($AJ756="","",COUNTIF($AJ$4:$AJ756,$AJ756))</f>
        <v/>
      </c>
      <c r="AL756" s="39" t="str">
        <f aca="false">IF($AJ756="","",COUNTIF($AJ$4:$AJ$1004,$AJ756))</f>
        <v/>
      </c>
      <c r="AM756" s="42"/>
      <c r="AN756" s="50" t="str">
        <f aca="false">IF($D756="","",IFERROR(T(VLOOKUP($D756,Listas!$B$5:$H$120,7,0)),""))</f>
        <v/>
      </c>
      <c r="AO756" s="50" t="str">
        <f aca="false">IF(OR($F756="",$L756&lt;&gt;"",$R756="Cancelada",$AT756&lt;&gt;""),"",$AN756&amp;"|"&amp;$D756&amp;"|"&amp;IF($C756="","zzz",$C756)&amp;"|"&amp;TEXT(756,"0000"))</f>
        <v/>
      </c>
      <c r="AP756" s="50" t="str">
        <f aca="false">IF($AO756="","",COUNTIF($AO$5:$AO$1004,"&lt;"&amp;$AO756)-(ROWS($AO$5:$AO$1004)-Hoje!$L$5)+1)</f>
        <v/>
      </c>
      <c r="AQ756" s="50" t="n">
        <f aca="false">IF(AND($F756&lt;&gt;"",$D756=Frota!$C$3),1,0)</f>
        <v>0</v>
      </c>
      <c r="AR756" s="50" t="str">
        <f aca="false">IF($AQ756=0,"",SUM($AQ$4:$AQ756))</f>
        <v/>
      </c>
      <c r="AS756" s="50" t="str">
        <f aca="false">IFERROR(INDEX(Hoje!$K$10:$K$29,MATCH(ROW(),Hoje!$J$10:$J$29,0)),"")</f>
        <v/>
      </c>
      <c r="AT756" s="50" t="str">
        <f aca="false">IF($Q756&lt;&gt;"",$Q756,$AS756)</f>
        <v/>
      </c>
    </row>
    <row r="757" customFormat="false" ht="16.5" hidden="false" customHeight="true" outlineLevel="0" collapsed="false">
      <c r="A757" s="39" t="str">
        <f aca="false">IF($F757="","",ROW())</f>
        <v/>
      </c>
      <c r="B757" s="40" t="str">
        <f aca="false">IF($F757="",IF($D757="","","Falta a atividade"),IF($R757="Cancelada","Cancelada",IF($AB757=1,IF(N($Z757)&gt;0,"Concluída com atraso","Concluída"),IF($R757="Em programação","Em programação",IF($O757="",IF($M757="","Na carteira","Falta a semana"),IF($AC757=1,"VENCIDA",IF($O757&gt;Hoje!$L$1,"Programada",IF($P757&gt;Hoje!$L$1,"Em execução","Fecha hoje"))))))))</f>
        <v/>
      </c>
      <c r="C757" s="41"/>
      <c r="D757" s="42"/>
      <c r="E757" s="42"/>
      <c r="F757" s="42"/>
      <c r="G757" s="43"/>
      <c r="H757" s="43"/>
      <c r="I757" s="44"/>
      <c r="J757" s="44"/>
      <c r="K757" s="44"/>
      <c r="L757" s="45"/>
      <c r="M757" s="46"/>
      <c r="N757" s="45"/>
      <c r="O757" s="47" t="str">
        <f aca="false">IF(OR($L757="",$M757=""),"",(DATE(Semana!$J$3,1,4)-WEEKDAY(DATE(Semana!$J$3,1,4),3))+($L757-1)*7+MATCH($M757,Listas!$F$5:$F$11,0)-1)</f>
        <v/>
      </c>
      <c r="P757" s="47" t="str">
        <f aca="false">IF(OR($F757="",$O757=""),"",$O757+MAX(0,ROUNDUP($AK757*MAX(1,IF($N757="",1,$N757))/MAX(1,$AL757),0)-1))</f>
        <v/>
      </c>
      <c r="Q757" s="48"/>
      <c r="R757" s="43"/>
      <c r="S757" s="49"/>
      <c r="T757" s="42"/>
      <c r="U757" s="42"/>
      <c r="V757" s="39" t="str">
        <f aca="false">IF($F757="","",IF(ISNUMBER(SEARCH("(externo)",$I757&amp;$J757&amp;$K757)),"Terceirizada","Interna"))</f>
        <v/>
      </c>
      <c r="W757" s="47" t="str">
        <f aca="false">IF($O757="","",IF($S757="",$O757,(DATE(Semana!$J$3,1,4)-WEEKDAY(DATE(Semana!$J$3,1,4),3))+($S757-1)*7+IF($M757="",0,MATCH($M757,Listas!$F$5:$F$11,0)-1)))</f>
        <v/>
      </c>
      <c r="X757" s="39" t="str">
        <f aca="false">IF($F757="","",IF(OR($AT757="",$O757=""),0,IF($AT757&lt;=$O757,1,0)))</f>
        <v/>
      </c>
      <c r="Y757" s="39" t="str">
        <f aca="false">IF($F757="","",IF(OR($AT757="",$W757=""),0,IF($AT757&lt;=$W757,1,0)))</f>
        <v/>
      </c>
      <c r="Z757" s="39" t="str">
        <f aca="false">IF(OR($AT757="",$O757=""),"",MAX(0,$AT757-$O757))</f>
        <v/>
      </c>
      <c r="AA757" s="39" t="str">
        <f aca="false">IF($F757="","",IF(AND($S757&lt;&gt;"",$L757&lt;&gt;"",$S757&lt;&gt;$L757),1,0))</f>
        <v/>
      </c>
      <c r="AB757" s="39" t="str">
        <f aca="false">IF($F757="","",IF($R757="Cancelada",0,IF(OR($AT757&lt;&gt;"",$R757="Concluída"),1,0)))</f>
        <v/>
      </c>
      <c r="AC757" s="39" t="n">
        <f aca="false">IF($P757="",0,IF($P757&lt;Hoje!$L$1,1,IF(AND($P757=Hoje!$L$1,Hoje!$L$2&gt;Semana!$M$3),1,0)))</f>
        <v>0</v>
      </c>
      <c r="AD757" s="39" t="str">
        <f aca="false">IF($F757="","",IF(COUNTA($I757:$K757)=0,0,1/COUNTA($I757:$K757)))</f>
        <v/>
      </c>
      <c r="AE757" s="39" t="str">
        <f aca="false">IF($AH757=0,"",SUM($AH$4:$AH757))</f>
        <v/>
      </c>
      <c r="AF757" s="39" t="str">
        <f aca="false">IF($AI757=0,"",SUM($AI$4:$AI757))</f>
        <v/>
      </c>
      <c r="AG757" s="50" t="str">
        <f aca="false">IF($F757="","",$I757&amp;IF($J757="",""," · "&amp;$J757)&amp;IF($K757="",""," · "&amp;$K757))</f>
        <v/>
      </c>
      <c r="AH757" s="39" t="n">
        <f aca="false">IF(AND($F757&lt;&gt;"",$O757&lt;&gt;"",$O757&lt;=Hoje!$C$3,$P757&gt;=Hoje!$C$3,$R757&lt;&gt;"Cancelada"),1,0)</f>
        <v>0</v>
      </c>
      <c r="AI757" s="39" t="n">
        <f aca="false">IF(AND($F757&lt;&gt;"",$P757&lt;&gt;"",$P757&lt;Hoje!$C$3,$AB757=0,$R757&lt;&gt;"Cancelada"),1,0)</f>
        <v>0</v>
      </c>
      <c r="AJ757" s="50" t="str">
        <f aca="false">IF($F757="","",$D757&amp;"|"&amp;$E757&amp;"|"&amp;$L757)</f>
        <v/>
      </c>
      <c r="AK757" s="39" t="str">
        <f aca="false">IF($AJ757="","",COUNTIF($AJ$4:$AJ757,$AJ757))</f>
        <v/>
      </c>
      <c r="AL757" s="39" t="str">
        <f aca="false">IF($AJ757="","",COUNTIF($AJ$4:$AJ$1004,$AJ757))</f>
        <v/>
      </c>
      <c r="AM757" s="42"/>
      <c r="AN757" s="50" t="str">
        <f aca="false">IF($D757="","",IFERROR(T(VLOOKUP($D757,Listas!$B$5:$H$120,7,0)),""))</f>
        <v/>
      </c>
      <c r="AO757" s="50" t="str">
        <f aca="false">IF(OR($F757="",$L757&lt;&gt;"",$R757="Cancelada",$AT757&lt;&gt;""),"",$AN757&amp;"|"&amp;$D757&amp;"|"&amp;IF($C757="","zzz",$C757)&amp;"|"&amp;TEXT(757,"0000"))</f>
        <v/>
      </c>
      <c r="AP757" s="50" t="str">
        <f aca="false">IF($AO757="","",COUNTIF($AO$5:$AO$1004,"&lt;"&amp;$AO757)-(ROWS($AO$5:$AO$1004)-Hoje!$L$5)+1)</f>
        <v/>
      </c>
      <c r="AQ757" s="50" t="n">
        <f aca="false">IF(AND($F757&lt;&gt;"",$D757=Frota!$C$3),1,0)</f>
        <v>0</v>
      </c>
      <c r="AR757" s="50" t="str">
        <f aca="false">IF($AQ757=0,"",SUM($AQ$4:$AQ757))</f>
        <v/>
      </c>
      <c r="AS757" s="50" t="str">
        <f aca="false">IFERROR(INDEX(Hoje!$K$10:$K$29,MATCH(ROW(),Hoje!$J$10:$J$29,0)),"")</f>
        <v/>
      </c>
      <c r="AT757" s="50" t="str">
        <f aca="false">IF($Q757&lt;&gt;"",$Q757,$AS757)</f>
        <v/>
      </c>
    </row>
    <row r="758" customFormat="false" ht="16.5" hidden="false" customHeight="true" outlineLevel="0" collapsed="false">
      <c r="A758" s="39" t="str">
        <f aca="false">IF($F758="","",ROW())</f>
        <v/>
      </c>
      <c r="B758" s="40" t="str">
        <f aca="false">IF($F758="",IF($D758="","","Falta a atividade"),IF($R758="Cancelada","Cancelada",IF($AB758=1,IF(N($Z758)&gt;0,"Concluída com atraso","Concluída"),IF($R758="Em programação","Em programação",IF($O758="",IF($M758="","Na carteira","Falta a semana"),IF($AC758=1,"VENCIDA",IF($O758&gt;Hoje!$L$1,"Programada",IF($P758&gt;Hoje!$L$1,"Em execução","Fecha hoje"))))))))</f>
        <v/>
      </c>
      <c r="C758" s="41"/>
      <c r="D758" s="42"/>
      <c r="E758" s="42"/>
      <c r="F758" s="42"/>
      <c r="G758" s="43"/>
      <c r="H758" s="43"/>
      <c r="I758" s="44"/>
      <c r="J758" s="44"/>
      <c r="K758" s="44"/>
      <c r="L758" s="45"/>
      <c r="M758" s="46"/>
      <c r="N758" s="45"/>
      <c r="O758" s="47" t="str">
        <f aca="false">IF(OR($L758="",$M758=""),"",(DATE(Semana!$J$3,1,4)-WEEKDAY(DATE(Semana!$J$3,1,4),3))+($L758-1)*7+MATCH($M758,Listas!$F$5:$F$11,0)-1)</f>
        <v/>
      </c>
      <c r="P758" s="47" t="str">
        <f aca="false">IF(OR($F758="",$O758=""),"",$O758+MAX(0,ROUNDUP($AK758*MAX(1,IF($N758="",1,$N758))/MAX(1,$AL758),0)-1))</f>
        <v/>
      </c>
      <c r="Q758" s="48"/>
      <c r="R758" s="43"/>
      <c r="S758" s="49"/>
      <c r="T758" s="42"/>
      <c r="U758" s="42"/>
      <c r="V758" s="39" t="str">
        <f aca="false">IF($F758="","",IF(ISNUMBER(SEARCH("(externo)",$I758&amp;$J758&amp;$K758)),"Terceirizada","Interna"))</f>
        <v/>
      </c>
      <c r="W758" s="47" t="str">
        <f aca="false">IF($O758="","",IF($S758="",$O758,(DATE(Semana!$J$3,1,4)-WEEKDAY(DATE(Semana!$J$3,1,4),3))+($S758-1)*7+IF($M758="",0,MATCH($M758,Listas!$F$5:$F$11,0)-1)))</f>
        <v/>
      </c>
      <c r="X758" s="39" t="str">
        <f aca="false">IF($F758="","",IF(OR($AT758="",$O758=""),0,IF($AT758&lt;=$O758,1,0)))</f>
        <v/>
      </c>
      <c r="Y758" s="39" t="str">
        <f aca="false">IF($F758="","",IF(OR($AT758="",$W758=""),0,IF($AT758&lt;=$W758,1,0)))</f>
        <v/>
      </c>
      <c r="Z758" s="39" t="str">
        <f aca="false">IF(OR($AT758="",$O758=""),"",MAX(0,$AT758-$O758))</f>
        <v/>
      </c>
      <c r="AA758" s="39" t="str">
        <f aca="false">IF($F758="","",IF(AND($S758&lt;&gt;"",$L758&lt;&gt;"",$S758&lt;&gt;$L758),1,0))</f>
        <v/>
      </c>
      <c r="AB758" s="39" t="str">
        <f aca="false">IF($F758="","",IF($R758="Cancelada",0,IF(OR($AT758&lt;&gt;"",$R758="Concluída"),1,0)))</f>
        <v/>
      </c>
      <c r="AC758" s="39" t="n">
        <f aca="false">IF($P758="",0,IF($P758&lt;Hoje!$L$1,1,IF(AND($P758=Hoje!$L$1,Hoje!$L$2&gt;Semana!$M$3),1,0)))</f>
        <v>0</v>
      </c>
      <c r="AD758" s="39" t="str">
        <f aca="false">IF($F758="","",IF(COUNTA($I758:$K758)=0,0,1/COUNTA($I758:$K758)))</f>
        <v/>
      </c>
      <c r="AE758" s="39" t="str">
        <f aca="false">IF($AH758=0,"",SUM($AH$4:$AH758))</f>
        <v/>
      </c>
      <c r="AF758" s="39" t="str">
        <f aca="false">IF($AI758=0,"",SUM($AI$4:$AI758))</f>
        <v/>
      </c>
      <c r="AG758" s="50" t="str">
        <f aca="false">IF($F758="","",$I758&amp;IF($J758="",""," · "&amp;$J758)&amp;IF($K758="",""," · "&amp;$K758))</f>
        <v/>
      </c>
      <c r="AH758" s="39" t="n">
        <f aca="false">IF(AND($F758&lt;&gt;"",$O758&lt;&gt;"",$O758&lt;=Hoje!$C$3,$P758&gt;=Hoje!$C$3,$R758&lt;&gt;"Cancelada"),1,0)</f>
        <v>0</v>
      </c>
      <c r="AI758" s="39" t="n">
        <f aca="false">IF(AND($F758&lt;&gt;"",$P758&lt;&gt;"",$P758&lt;Hoje!$C$3,$AB758=0,$R758&lt;&gt;"Cancelada"),1,0)</f>
        <v>0</v>
      </c>
      <c r="AJ758" s="50" t="str">
        <f aca="false">IF($F758="","",$D758&amp;"|"&amp;$E758&amp;"|"&amp;$L758)</f>
        <v/>
      </c>
      <c r="AK758" s="39" t="str">
        <f aca="false">IF($AJ758="","",COUNTIF($AJ$4:$AJ758,$AJ758))</f>
        <v/>
      </c>
      <c r="AL758" s="39" t="str">
        <f aca="false">IF($AJ758="","",COUNTIF($AJ$4:$AJ$1004,$AJ758))</f>
        <v/>
      </c>
      <c r="AM758" s="42"/>
      <c r="AN758" s="50" t="str">
        <f aca="false">IF($D758="","",IFERROR(T(VLOOKUP($D758,Listas!$B$5:$H$120,7,0)),""))</f>
        <v/>
      </c>
      <c r="AO758" s="50" t="str">
        <f aca="false">IF(OR($F758="",$L758&lt;&gt;"",$R758="Cancelada",$AT758&lt;&gt;""),"",$AN758&amp;"|"&amp;$D758&amp;"|"&amp;IF($C758="","zzz",$C758)&amp;"|"&amp;TEXT(758,"0000"))</f>
        <v/>
      </c>
      <c r="AP758" s="50" t="str">
        <f aca="false">IF($AO758="","",COUNTIF($AO$5:$AO$1004,"&lt;"&amp;$AO758)-(ROWS($AO$5:$AO$1004)-Hoje!$L$5)+1)</f>
        <v/>
      </c>
      <c r="AQ758" s="50" t="n">
        <f aca="false">IF(AND($F758&lt;&gt;"",$D758=Frota!$C$3),1,0)</f>
        <v>0</v>
      </c>
      <c r="AR758" s="50" t="str">
        <f aca="false">IF($AQ758=0,"",SUM($AQ$4:$AQ758))</f>
        <v/>
      </c>
      <c r="AS758" s="50" t="str">
        <f aca="false">IFERROR(INDEX(Hoje!$K$10:$K$29,MATCH(ROW(),Hoje!$J$10:$J$29,0)),"")</f>
        <v/>
      </c>
      <c r="AT758" s="50" t="str">
        <f aca="false">IF($Q758&lt;&gt;"",$Q758,$AS758)</f>
        <v/>
      </c>
    </row>
    <row r="759" customFormat="false" ht="16.5" hidden="false" customHeight="true" outlineLevel="0" collapsed="false">
      <c r="A759" s="39" t="str">
        <f aca="false">IF($F759="","",ROW())</f>
        <v/>
      </c>
      <c r="B759" s="40" t="str">
        <f aca="false">IF($F759="",IF($D759="","","Falta a atividade"),IF($R759="Cancelada","Cancelada",IF($AB759=1,IF(N($Z759)&gt;0,"Concluída com atraso","Concluída"),IF($R759="Em programação","Em programação",IF($O759="",IF($M759="","Na carteira","Falta a semana"),IF($AC759=1,"VENCIDA",IF($O759&gt;Hoje!$L$1,"Programada",IF($P759&gt;Hoje!$L$1,"Em execução","Fecha hoje"))))))))</f>
        <v/>
      </c>
      <c r="C759" s="41"/>
      <c r="D759" s="42"/>
      <c r="E759" s="42"/>
      <c r="F759" s="42"/>
      <c r="G759" s="43"/>
      <c r="H759" s="43"/>
      <c r="I759" s="44"/>
      <c r="J759" s="44"/>
      <c r="K759" s="44"/>
      <c r="L759" s="45"/>
      <c r="M759" s="46"/>
      <c r="N759" s="45"/>
      <c r="O759" s="47" t="str">
        <f aca="false">IF(OR($L759="",$M759=""),"",(DATE(Semana!$J$3,1,4)-WEEKDAY(DATE(Semana!$J$3,1,4),3))+($L759-1)*7+MATCH($M759,Listas!$F$5:$F$11,0)-1)</f>
        <v/>
      </c>
      <c r="P759" s="47" t="str">
        <f aca="false">IF(OR($F759="",$O759=""),"",$O759+MAX(0,ROUNDUP($AK759*MAX(1,IF($N759="",1,$N759))/MAX(1,$AL759),0)-1))</f>
        <v/>
      </c>
      <c r="Q759" s="48"/>
      <c r="R759" s="43"/>
      <c r="S759" s="49"/>
      <c r="T759" s="42"/>
      <c r="U759" s="42"/>
      <c r="V759" s="39" t="str">
        <f aca="false">IF($F759="","",IF(ISNUMBER(SEARCH("(externo)",$I759&amp;$J759&amp;$K759)),"Terceirizada","Interna"))</f>
        <v/>
      </c>
      <c r="W759" s="47" t="str">
        <f aca="false">IF($O759="","",IF($S759="",$O759,(DATE(Semana!$J$3,1,4)-WEEKDAY(DATE(Semana!$J$3,1,4),3))+($S759-1)*7+IF($M759="",0,MATCH($M759,Listas!$F$5:$F$11,0)-1)))</f>
        <v/>
      </c>
      <c r="X759" s="39" t="str">
        <f aca="false">IF($F759="","",IF(OR($AT759="",$O759=""),0,IF($AT759&lt;=$O759,1,0)))</f>
        <v/>
      </c>
      <c r="Y759" s="39" t="str">
        <f aca="false">IF($F759="","",IF(OR($AT759="",$W759=""),0,IF($AT759&lt;=$W759,1,0)))</f>
        <v/>
      </c>
      <c r="Z759" s="39" t="str">
        <f aca="false">IF(OR($AT759="",$O759=""),"",MAX(0,$AT759-$O759))</f>
        <v/>
      </c>
      <c r="AA759" s="39" t="str">
        <f aca="false">IF($F759="","",IF(AND($S759&lt;&gt;"",$L759&lt;&gt;"",$S759&lt;&gt;$L759),1,0))</f>
        <v/>
      </c>
      <c r="AB759" s="39" t="str">
        <f aca="false">IF($F759="","",IF($R759="Cancelada",0,IF(OR($AT759&lt;&gt;"",$R759="Concluída"),1,0)))</f>
        <v/>
      </c>
      <c r="AC759" s="39" t="n">
        <f aca="false">IF($P759="",0,IF($P759&lt;Hoje!$L$1,1,IF(AND($P759=Hoje!$L$1,Hoje!$L$2&gt;Semana!$M$3),1,0)))</f>
        <v>0</v>
      </c>
      <c r="AD759" s="39" t="str">
        <f aca="false">IF($F759="","",IF(COUNTA($I759:$K759)=0,0,1/COUNTA($I759:$K759)))</f>
        <v/>
      </c>
      <c r="AE759" s="39" t="str">
        <f aca="false">IF($AH759=0,"",SUM($AH$4:$AH759))</f>
        <v/>
      </c>
      <c r="AF759" s="39" t="str">
        <f aca="false">IF($AI759=0,"",SUM($AI$4:$AI759))</f>
        <v/>
      </c>
      <c r="AG759" s="50" t="str">
        <f aca="false">IF($F759="","",$I759&amp;IF($J759="",""," · "&amp;$J759)&amp;IF($K759="",""," · "&amp;$K759))</f>
        <v/>
      </c>
      <c r="AH759" s="39" t="n">
        <f aca="false">IF(AND($F759&lt;&gt;"",$O759&lt;&gt;"",$O759&lt;=Hoje!$C$3,$P759&gt;=Hoje!$C$3,$R759&lt;&gt;"Cancelada"),1,0)</f>
        <v>0</v>
      </c>
      <c r="AI759" s="39" t="n">
        <f aca="false">IF(AND($F759&lt;&gt;"",$P759&lt;&gt;"",$P759&lt;Hoje!$C$3,$AB759=0,$R759&lt;&gt;"Cancelada"),1,0)</f>
        <v>0</v>
      </c>
      <c r="AJ759" s="50" t="str">
        <f aca="false">IF($F759="","",$D759&amp;"|"&amp;$E759&amp;"|"&amp;$L759)</f>
        <v/>
      </c>
      <c r="AK759" s="39" t="str">
        <f aca="false">IF($AJ759="","",COUNTIF($AJ$4:$AJ759,$AJ759))</f>
        <v/>
      </c>
      <c r="AL759" s="39" t="str">
        <f aca="false">IF($AJ759="","",COUNTIF($AJ$4:$AJ$1004,$AJ759))</f>
        <v/>
      </c>
      <c r="AM759" s="42"/>
      <c r="AN759" s="50" t="str">
        <f aca="false">IF($D759="","",IFERROR(T(VLOOKUP($D759,Listas!$B$5:$H$120,7,0)),""))</f>
        <v/>
      </c>
      <c r="AO759" s="50" t="str">
        <f aca="false">IF(OR($F759="",$L759&lt;&gt;"",$R759="Cancelada",$AT759&lt;&gt;""),"",$AN759&amp;"|"&amp;$D759&amp;"|"&amp;IF($C759="","zzz",$C759)&amp;"|"&amp;TEXT(759,"0000"))</f>
        <v/>
      </c>
      <c r="AP759" s="50" t="str">
        <f aca="false">IF($AO759="","",COUNTIF($AO$5:$AO$1004,"&lt;"&amp;$AO759)-(ROWS($AO$5:$AO$1004)-Hoje!$L$5)+1)</f>
        <v/>
      </c>
      <c r="AQ759" s="50" t="n">
        <f aca="false">IF(AND($F759&lt;&gt;"",$D759=Frota!$C$3),1,0)</f>
        <v>0</v>
      </c>
      <c r="AR759" s="50" t="str">
        <f aca="false">IF($AQ759=0,"",SUM($AQ$4:$AQ759))</f>
        <v/>
      </c>
      <c r="AS759" s="50" t="str">
        <f aca="false">IFERROR(INDEX(Hoje!$K$10:$K$29,MATCH(ROW(),Hoje!$J$10:$J$29,0)),"")</f>
        <v/>
      </c>
      <c r="AT759" s="50" t="str">
        <f aca="false">IF($Q759&lt;&gt;"",$Q759,$AS759)</f>
        <v/>
      </c>
    </row>
    <row r="760" customFormat="false" ht="16.5" hidden="false" customHeight="true" outlineLevel="0" collapsed="false">
      <c r="A760" s="39" t="str">
        <f aca="false">IF($F760="","",ROW())</f>
        <v/>
      </c>
      <c r="B760" s="40" t="str">
        <f aca="false">IF($F760="",IF($D760="","","Falta a atividade"),IF($R760="Cancelada","Cancelada",IF($AB760=1,IF(N($Z760)&gt;0,"Concluída com atraso","Concluída"),IF($R760="Em programação","Em programação",IF($O760="",IF($M760="","Na carteira","Falta a semana"),IF($AC760=1,"VENCIDA",IF($O760&gt;Hoje!$L$1,"Programada",IF($P760&gt;Hoje!$L$1,"Em execução","Fecha hoje"))))))))</f>
        <v/>
      </c>
      <c r="C760" s="41"/>
      <c r="D760" s="42"/>
      <c r="E760" s="42"/>
      <c r="F760" s="42"/>
      <c r="G760" s="43"/>
      <c r="H760" s="43"/>
      <c r="I760" s="44"/>
      <c r="J760" s="44"/>
      <c r="K760" s="44"/>
      <c r="L760" s="45"/>
      <c r="M760" s="46"/>
      <c r="N760" s="45"/>
      <c r="O760" s="47" t="str">
        <f aca="false">IF(OR($L760="",$M760=""),"",(DATE(Semana!$J$3,1,4)-WEEKDAY(DATE(Semana!$J$3,1,4),3))+($L760-1)*7+MATCH($M760,Listas!$F$5:$F$11,0)-1)</f>
        <v/>
      </c>
      <c r="P760" s="47" t="str">
        <f aca="false">IF(OR($F760="",$O760=""),"",$O760+MAX(0,ROUNDUP($AK760*MAX(1,IF($N760="",1,$N760))/MAX(1,$AL760),0)-1))</f>
        <v/>
      </c>
      <c r="Q760" s="48"/>
      <c r="R760" s="43"/>
      <c r="S760" s="49"/>
      <c r="T760" s="42"/>
      <c r="U760" s="42"/>
      <c r="V760" s="39" t="str">
        <f aca="false">IF($F760="","",IF(ISNUMBER(SEARCH("(externo)",$I760&amp;$J760&amp;$K760)),"Terceirizada","Interna"))</f>
        <v/>
      </c>
      <c r="W760" s="47" t="str">
        <f aca="false">IF($O760="","",IF($S760="",$O760,(DATE(Semana!$J$3,1,4)-WEEKDAY(DATE(Semana!$J$3,1,4),3))+($S760-1)*7+IF($M760="",0,MATCH($M760,Listas!$F$5:$F$11,0)-1)))</f>
        <v/>
      </c>
      <c r="X760" s="39" t="str">
        <f aca="false">IF($F760="","",IF(OR($AT760="",$O760=""),0,IF($AT760&lt;=$O760,1,0)))</f>
        <v/>
      </c>
      <c r="Y760" s="39" t="str">
        <f aca="false">IF($F760="","",IF(OR($AT760="",$W760=""),0,IF($AT760&lt;=$W760,1,0)))</f>
        <v/>
      </c>
      <c r="Z760" s="39" t="str">
        <f aca="false">IF(OR($AT760="",$O760=""),"",MAX(0,$AT760-$O760))</f>
        <v/>
      </c>
      <c r="AA760" s="39" t="str">
        <f aca="false">IF($F760="","",IF(AND($S760&lt;&gt;"",$L760&lt;&gt;"",$S760&lt;&gt;$L760),1,0))</f>
        <v/>
      </c>
      <c r="AB760" s="39" t="str">
        <f aca="false">IF($F760="","",IF($R760="Cancelada",0,IF(OR($AT760&lt;&gt;"",$R760="Concluída"),1,0)))</f>
        <v/>
      </c>
      <c r="AC760" s="39" t="n">
        <f aca="false">IF($P760="",0,IF($P760&lt;Hoje!$L$1,1,IF(AND($P760=Hoje!$L$1,Hoje!$L$2&gt;Semana!$M$3),1,0)))</f>
        <v>0</v>
      </c>
      <c r="AD760" s="39" t="str">
        <f aca="false">IF($F760="","",IF(COUNTA($I760:$K760)=0,0,1/COUNTA($I760:$K760)))</f>
        <v/>
      </c>
      <c r="AE760" s="39" t="str">
        <f aca="false">IF($AH760=0,"",SUM($AH$4:$AH760))</f>
        <v/>
      </c>
      <c r="AF760" s="39" t="str">
        <f aca="false">IF($AI760=0,"",SUM($AI$4:$AI760))</f>
        <v/>
      </c>
      <c r="AG760" s="50" t="str">
        <f aca="false">IF($F760="","",$I760&amp;IF($J760="",""," · "&amp;$J760)&amp;IF($K760="",""," · "&amp;$K760))</f>
        <v/>
      </c>
      <c r="AH760" s="39" t="n">
        <f aca="false">IF(AND($F760&lt;&gt;"",$O760&lt;&gt;"",$O760&lt;=Hoje!$C$3,$P760&gt;=Hoje!$C$3,$R760&lt;&gt;"Cancelada"),1,0)</f>
        <v>0</v>
      </c>
      <c r="AI760" s="39" t="n">
        <f aca="false">IF(AND($F760&lt;&gt;"",$P760&lt;&gt;"",$P760&lt;Hoje!$C$3,$AB760=0,$R760&lt;&gt;"Cancelada"),1,0)</f>
        <v>0</v>
      </c>
      <c r="AJ760" s="50" t="str">
        <f aca="false">IF($F760="","",$D760&amp;"|"&amp;$E760&amp;"|"&amp;$L760)</f>
        <v/>
      </c>
      <c r="AK760" s="39" t="str">
        <f aca="false">IF($AJ760="","",COUNTIF($AJ$4:$AJ760,$AJ760))</f>
        <v/>
      </c>
      <c r="AL760" s="39" t="str">
        <f aca="false">IF($AJ760="","",COUNTIF($AJ$4:$AJ$1004,$AJ760))</f>
        <v/>
      </c>
      <c r="AM760" s="42"/>
      <c r="AN760" s="50" t="str">
        <f aca="false">IF($D760="","",IFERROR(T(VLOOKUP($D760,Listas!$B$5:$H$120,7,0)),""))</f>
        <v/>
      </c>
      <c r="AO760" s="50" t="str">
        <f aca="false">IF(OR($F760="",$L760&lt;&gt;"",$R760="Cancelada",$AT760&lt;&gt;""),"",$AN760&amp;"|"&amp;$D760&amp;"|"&amp;IF($C760="","zzz",$C760)&amp;"|"&amp;TEXT(760,"0000"))</f>
        <v/>
      </c>
      <c r="AP760" s="50" t="str">
        <f aca="false">IF($AO760="","",COUNTIF($AO$5:$AO$1004,"&lt;"&amp;$AO760)-(ROWS($AO$5:$AO$1004)-Hoje!$L$5)+1)</f>
        <v/>
      </c>
      <c r="AQ760" s="50" t="n">
        <f aca="false">IF(AND($F760&lt;&gt;"",$D760=Frota!$C$3),1,0)</f>
        <v>0</v>
      </c>
      <c r="AR760" s="50" t="str">
        <f aca="false">IF($AQ760=0,"",SUM($AQ$4:$AQ760))</f>
        <v/>
      </c>
      <c r="AS760" s="50" t="str">
        <f aca="false">IFERROR(INDEX(Hoje!$K$10:$K$29,MATCH(ROW(),Hoje!$J$10:$J$29,0)),"")</f>
        <v/>
      </c>
      <c r="AT760" s="50" t="str">
        <f aca="false">IF($Q760&lt;&gt;"",$Q760,$AS760)</f>
        <v/>
      </c>
    </row>
    <row r="761" customFormat="false" ht="16.5" hidden="false" customHeight="true" outlineLevel="0" collapsed="false">
      <c r="A761" s="39" t="str">
        <f aca="false">IF($F761="","",ROW())</f>
        <v/>
      </c>
      <c r="B761" s="40" t="str">
        <f aca="false">IF($F761="",IF($D761="","","Falta a atividade"),IF($R761="Cancelada","Cancelada",IF($AB761=1,IF(N($Z761)&gt;0,"Concluída com atraso","Concluída"),IF($R761="Em programação","Em programação",IF($O761="",IF($M761="","Na carteira","Falta a semana"),IF($AC761=1,"VENCIDA",IF($O761&gt;Hoje!$L$1,"Programada",IF($P761&gt;Hoje!$L$1,"Em execução","Fecha hoje"))))))))</f>
        <v/>
      </c>
      <c r="C761" s="41"/>
      <c r="D761" s="42"/>
      <c r="E761" s="42"/>
      <c r="F761" s="42"/>
      <c r="G761" s="43"/>
      <c r="H761" s="43"/>
      <c r="I761" s="44"/>
      <c r="J761" s="44"/>
      <c r="K761" s="44"/>
      <c r="L761" s="45"/>
      <c r="M761" s="46"/>
      <c r="N761" s="45"/>
      <c r="O761" s="47" t="str">
        <f aca="false">IF(OR($L761="",$M761=""),"",(DATE(Semana!$J$3,1,4)-WEEKDAY(DATE(Semana!$J$3,1,4),3))+($L761-1)*7+MATCH($M761,Listas!$F$5:$F$11,0)-1)</f>
        <v/>
      </c>
      <c r="P761" s="47" t="str">
        <f aca="false">IF(OR($F761="",$O761=""),"",$O761+MAX(0,ROUNDUP($AK761*MAX(1,IF($N761="",1,$N761))/MAX(1,$AL761),0)-1))</f>
        <v/>
      </c>
      <c r="Q761" s="48"/>
      <c r="R761" s="43"/>
      <c r="S761" s="49"/>
      <c r="T761" s="42"/>
      <c r="U761" s="42"/>
      <c r="V761" s="39" t="str">
        <f aca="false">IF($F761="","",IF(ISNUMBER(SEARCH("(externo)",$I761&amp;$J761&amp;$K761)),"Terceirizada","Interna"))</f>
        <v/>
      </c>
      <c r="W761" s="47" t="str">
        <f aca="false">IF($O761="","",IF($S761="",$O761,(DATE(Semana!$J$3,1,4)-WEEKDAY(DATE(Semana!$J$3,1,4),3))+($S761-1)*7+IF($M761="",0,MATCH($M761,Listas!$F$5:$F$11,0)-1)))</f>
        <v/>
      </c>
      <c r="X761" s="39" t="str">
        <f aca="false">IF($F761="","",IF(OR($AT761="",$O761=""),0,IF($AT761&lt;=$O761,1,0)))</f>
        <v/>
      </c>
      <c r="Y761" s="39" t="str">
        <f aca="false">IF($F761="","",IF(OR($AT761="",$W761=""),0,IF($AT761&lt;=$W761,1,0)))</f>
        <v/>
      </c>
      <c r="Z761" s="39" t="str">
        <f aca="false">IF(OR($AT761="",$O761=""),"",MAX(0,$AT761-$O761))</f>
        <v/>
      </c>
      <c r="AA761" s="39" t="str">
        <f aca="false">IF($F761="","",IF(AND($S761&lt;&gt;"",$L761&lt;&gt;"",$S761&lt;&gt;$L761),1,0))</f>
        <v/>
      </c>
      <c r="AB761" s="39" t="str">
        <f aca="false">IF($F761="","",IF($R761="Cancelada",0,IF(OR($AT761&lt;&gt;"",$R761="Concluída"),1,0)))</f>
        <v/>
      </c>
      <c r="AC761" s="39" t="n">
        <f aca="false">IF($P761="",0,IF($P761&lt;Hoje!$L$1,1,IF(AND($P761=Hoje!$L$1,Hoje!$L$2&gt;Semana!$M$3),1,0)))</f>
        <v>0</v>
      </c>
      <c r="AD761" s="39" t="str">
        <f aca="false">IF($F761="","",IF(COUNTA($I761:$K761)=0,0,1/COUNTA($I761:$K761)))</f>
        <v/>
      </c>
      <c r="AE761" s="39" t="str">
        <f aca="false">IF($AH761=0,"",SUM($AH$4:$AH761))</f>
        <v/>
      </c>
      <c r="AF761" s="39" t="str">
        <f aca="false">IF($AI761=0,"",SUM($AI$4:$AI761))</f>
        <v/>
      </c>
      <c r="AG761" s="50" t="str">
        <f aca="false">IF($F761="","",$I761&amp;IF($J761="",""," · "&amp;$J761)&amp;IF($K761="",""," · "&amp;$K761))</f>
        <v/>
      </c>
      <c r="AH761" s="39" t="n">
        <f aca="false">IF(AND($F761&lt;&gt;"",$O761&lt;&gt;"",$O761&lt;=Hoje!$C$3,$P761&gt;=Hoje!$C$3,$R761&lt;&gt;"Cancelada"),1,0)</f>
        <v>0</v>
      </c>
      <c r="AI761" s="39" t="n">
        <f aca="false">IF(AND($F761&lt;&gt;"",$P761&lt;&gt;"",$P761&lt;Hoje!$C$3,$AB761=0,$R761&lt;&gt;"Cancelada"),1,0)</f>
        <v>0</v>
      </c>
      <c r="AJ761" s="50" t="str">
        <f aca="false">IF($F761="","",$D761&amp;"|"&amp;$E761&amp;"|"&amp;$L761)</f>
        <v/>
      </c>
      <c r="AK761" s="39" t="str">
        <f aca="false">IF($AJ761="","",COUNTIF($AJ$4:$AJ761,$AJ761))</f>
        <v/>
      </c>
      <c r="AL761" s="39" t="str">
        <f aca="false">IF($AJ761="","",COUNTIF($AJ$4:$AJ$1004,$AJ761))</f>
        <v/>
      </c>
      <c r="AM761" s="42"/>
      <c r="AN761" s="50" t="str">
        <f aca="false">IF($D761="","",IFERROR(T(VLOOKUP($D761,Listas!$B$5:$H$120,7,0)),""))</f>
        <v/>
      </c>
      <c r="AO761" s="50" t="str">
        <f aca="false">IF(OR($F761="",$L761&lt;&gt;"",$R761="Cancelada",$AT761&lt;&gt;""),"",$AN761&amp;"|"&amp;$D761&amp;"|"&amp;IF($C761="","zzz",$C761)&amp;"|"&amp;TEXT(761,"0000"))</f>
        <v/>
      </c>
      <c r="AP761" s="50" t="str">
        <f aca="false">IF($AO761="","",COUNTIF($AO$5:$AO$1004,"&lt;"&amp;$AO761)-(ROWS($AO$5:$AO$1004)-Hoje!$L$5)+1)</f>
        <v/>
      </c>
      <c r="AQ761" s="50" t="n">
        <f aca="false">IF(AND($F761&lt;&gt;"",$D761=Frota!$C$3),1,0)</f>
        <v>0</v>
      </c>
      <c r="AR761" s="50" t="str">
        <f aca="false">IF($AQ761=0,"",SUM($AQ$4:$AQ761))</f>
        <v/>
      </c>
      <c r="AS761" s="50" t="str">
        <f aca="false">IFERROR(INDEX(Hoje!$K$10:$K$29,MATCH(ROW(),Hoje!$J$10:$J$29,0)),"")</f>
        <v/>
      </c>
      <c r="AT761" s="50" t="str">
        <f aca="false">IF($Q761&lt;&gt;"",$Q761,$AS761)</f>
        <v/>
      </c>
    </row>
    <row r="762" customFormat="false" ht="16.5" hidden="false" customHeight="true" outlineLevel="0" collapsed="false">
      <c r="A762" s="39" t="str">
        <f aca="false">IF($F762="","",ROW())</f>
        <v/>
      </c>
      <c r="B762" s="40" t="str">
        <f aca="false">IF($F762="",IF($D762="","","Falta a atividade"),IF($R762="Cancelada","Cancelada",IF($AB762=1,IF(N($Z762)&gt;0,"Concluída com atraso","Concluída"),IF($R762="Em programação","Em programação",IF($O762="",IF($M762="","Na carteira","Falta a semana"),IF($AC762=1,"VENCIDA",IF($O762&gt;Hoje!$L$1,"Programada",IF($P762&gt;Hoje!$L$1,"Em execução","Fecha hoje"))))))))</f>
        <v/>
      </c>
      <c r="C762" s="41"/>
      <c r="D762" s="42"/>
      <c r="E762" s="42"/>
      <c r="F762" s="42"/>
      <c r="G762" s="43"/>
      <c r="H762" s="43"/>
      <c r="I762" s="44"/>
      <c r="J762" s="44"/>
      <c r="K762" s="44"/>
      <c r="L762" s="45"/>
      <c r="M762" s="46"/>
      <c r="N762" s="45"/>
      <c r="O762" s="47" t="str">
        <f aca="false">IF(OR($L762="",$M762=""),"",(DATE(Semana!$J$3,1,4)-WEEKDAY(DATE(Semana!$J$3,1,4),3))+($L762-1)*7+MATCH($M762,Listas!$F$5:$F$11,0)-1)</f>
        <v/>
      </c>
      <c r="P762" s="47" t="str">
        <f aca="false">IF(OR($F762="",$O762=""),"",$O762+MAX(0,ROUNDUP($AK762*MAX(1,IF($N762="",1,$N762))/MAX(1,$AL762),0)-1))</f>
        <v/>
      </c>
      <c r="Q762" s="48"/>
      <c r="R762" s="43"/>
      <c r="S762" s="49"/>
      <c r="T762" s="42"/>
      <c r="U762" s="42"/>
      <c r="V762" s="39" t="str">
        <f aca="false">IF($F762="","",IF(ISNUMBER(SEARCH("(externo)",$I762&amp;$J762&amp;$K762)),"Terceirizada","Interna"))</f>
        <v/>
      </c>
      <c r="W762" s="47" t="str">
        <f aca="false">IF($O762="","",IF($S762="",$O762,(DATE(Semana!$J$3,1,4)-WEEKDAY(DATE(Semana!$J$3,1,4),3))+($S762-1)*7+IF($M762="",0,MATCH($M762,Listas!$F$5:$F$11,0)-1)))</f>
        <v/>
      </c>
      <c r="X762" s="39" t="str">
        <f aca="false">IF($F762="","",IF(OR($AT762="",$O762=""),0,IF($AT762&lt;=$O762,1,0)))</f>
        <v/>
      </c>
      <c r="Y762" s="39" t="str">
        <f aca="false">IF($F762="","",IF(OR($AT762="",$W762=""),0,IF($AT762&lt;=$W762,1,0)))</f>
        <v/>
      </c>
      <c r="Z762" s="39" t="str">
        <f aca="false">IF(OR($AT762="",$O762=""),"",MAX(0,$AT762-$O762))</f>
        <v/>
      </c>
      <c r="AA762" s="39" t="str">
        <f aca="false">IF($F762="","",IF(AND($S762&lt;&gt;"",$L762&lt;&gt;"",$S762&lt;&gt;$L762),1,0))</f>
        <v/>
      </c>
      <c r="AB762" s="39" t="str">
        <f aca="false">IF($F762="","",IF($R762="Cancelada",0,IF(OR($AT762&lt;&gt;"",$R762="Concluída"),1,0)))</f>
        <v/>
      </c>
      <c r="AC762" s="39" t="n">
        <f aca="false">IF($P762="",0,IF($P762&lt;Hoje!$L$1,1,IF(AND($P762=Hoje!$L$1,Hoje!$L$2&gt;Semana!$M$3),1,0)))</f>
        <v>0</v>
      </c>
      <c r="AD762" s="39" t="str">
        <f aca="false">IF($F762="","",IF(COUNTA($I762:$K762)=0,0,1/COUNTA($I762:$K762)))</f>
        <v/>
      </c>
      <c r="AE762" s="39" t="str">
        <f aca="false">IF($AH762=0,"",SUM($AH$4:$AH762))</f>
        <v/>
      </c>
      <c r="AF762" s="39" t="str">
        <f aca="false">IF($AI762=0,"",SUM($AI$4:$AI762))</f>
        <v/>
      </c>
      <c r="AG762" s="50" t="str">
        <f aca="false">IF($F762="","",$I762&amp;IF($J762="",""," · "&amp;$J762)&amp;IF($K762="",""," · "&amp;$K762))</f>
        <v/>
      </c>
      <c r="AH762" s="39" t="n">
        <f aca="false">IF(AND($F762&lt;&gt;"",$O762&lt;&gt;"",$O762&lt;=Hoje!$C$3,$P762&gt;=Hoje!$C$3,$R762&lt;&gt;"Cancelada"),1,0)</f>
        <v>0</v>
      </c>
      <c r="AI762" s="39" t="n">
        <f aca="false">IF(AND($F762&lt;&gt;"",$P762&lt;&gt;"",$P762&lt;Hoje!$C$3,$AB762=0,$R762&lt;&gt;"Cancelada"),1,0)</f>
        <v>0</v>
      </c>
      <c r="AJ762" s="50" t="str">
        <f aca="false">IF($F762="","",$D762&amp;"|"&amp;$E762&amp;"|"&amp;$L762)</f>
        <v/>
      </c>
      <c r="AK762" s="39" t="str">
        <f aca="false">IF($AJ762="","",COUNTIF($AJ$4:$AJ762,$AJ762))</f>
        <v/>
      </c>
      <c r="AL762" s="39" t="str">
        <f aca="false">IF($AJ762="","",COUNTIF($AJ$4:$AJ$1004,$AJ762))</f>
        <v/>
      </c>
      <c r="AM762" s="42"/>
      <c r="AN762" s="50" t="str">
        <f aca="false">IF($D762="","",IFERROR(T(VLOOKUP($D762,Listas!$B$5:$H$120,7,0)),""))</f>
        <v/>
      </c>
      <c r="AO762" s="50" t="str">
        <f aca="false">IF(OR($F762="",$L762&lt;&gt;"",$R762="Cancelada",$AT762&lt;&gt;""),"",$AN762&amp;"|"&amp;$D762&amp;"|"&amp;IF($C762="","zzz",$C762)&amp;"|"&amp;TEXT(762,"0000"))</f>
        <v/>
      </c>
      <c r="AP762" s="50" t="str">
        <f aca="false">IF($AO762="","",COUNTIF($AO$5:$AO$1004,"&lt;"&amp;$AO762)-(ROWS($AO$5:$AO$1004)-Hoje!$L$5)+1)</f>
        <v/>
      </c>
      <c r="AQ762" s="50" t="n">
        <f aca="false">IF(AND($F762&lt;&gt;"",$D762=Frota!$C$3),1,0)</f>
        <v>0</v>
      </c>
      <c r="AR762" s="50" t="str">
        <f aca="false">IF($AQ762=0,"",SUM($AQ$4:$AQ762))</f>
        <v/>
      </c>
      <c r="AS762" s="50" t="str">
        <f aca="false">IFERROR(INDEX(Hoje!$K$10:$K$29,MATCH(ROW(),Hoje!$J$10:$J$29,0)),"")</f>
        <v/>
      </c>
      <c r="AT762" s="50" t="str">
        <f aca="false">IF($Q762&lt;&gt;"",$Q762,$AS762)</f>
        <v/>
      </c>
    </row>
    <row r="763" customFormat="false" ht="16.5" hidden="false" customHeight="true" outlineLevel="0" collapsed="false">
      <c r="A763" s="39" t="str">
        <f aca="false">IF($F763="","",ROW())</f>
        <v/>
      </c>
      <c r="B763" s="40" t="str">
        <f aca="false">IF($F763="",IF($D763="","","Falta a atividade"),IF($R763="Cancelada","Cancelada",IF($AB763=1,IF(N($Z763)&gt;0,"Concluída com atraso","Concluída"),IF($R763="Em programação","Em programação",IF($O763="",IF($M763="","Na carteira","Falta a semana"),IF($AC763=1,"VENCIDA",IF($O763&gt;Hoje!$L$1,"Programada",IF($P763&gt;Hoje!$L$1,"Em execução","Fecha hoje"))))))))</f>
        <v/>
      </c>
      <c r="C763" s="41"/>
      <c r="D763" s="42"/>
      <c r="E763" s="42"/>
      <c r="F763" s="42"/>
      <c r="G763" s="43"/>
      <c r="H763" s="43"/>
      <c r="I763" s="44"/>
      <c r="J763" s="44"/>
      <c r="K763" s="44"/>
      <c r="L763" s="45"/>
      <c r="M763" s="46"/>
      <c r="N763" s="45"/>
      <c r="O763" s="47" t="str">
        <f aca="false">IF(OR($L763="",$M763=""),"",(DATE(Semana!$J$3,1,4)-WEEKDAY(DATE(Semana!$J$3,1,4),3))+($L763-1)*7+MATCH($M763,Listas!$F$5:$F$11,0)-1)</f>
        <v/>
      </c>
      <c r="P763" s="47" t="str">
        <f aca="false">IF(OR($F763="",$O763=""),"",$O763+MAX(0,ROUNDUP($AK763*MAX(1,IF($N763="",1,$N763))/MAX(1,$AL763),0)-1))</f>
        <v/>
      </c>
      <c r="Q763" s="48"/>
      <c r="R763" s="43"/>
      <c r="S763" s="49"/>
      <c r="T763" s="42"/>
      <c r="U763" s="42"/>
      <c r="V763" s="39" t="str">
        <f aca="false">IF($F763="","",IF(ISNUMBER(SEARCH("(externo)",$I763&amp;$J763&amp;$K763)),"Terceirizada","Interna"))</f>
        <v/>
      </c>
      <c r="W763" s="47" t="str">
        <f aca="false">IF($O763="","",IF($S763="",$O763,(DATE(Semana!$J$3,1,4)-WEEKDAY(DATE(Semana!$J$3,1,4),3))+($S763-1)*7+IF($M763="",0,MATCH($M763,Listas!$F$5:$F$11,0)-1)))</f>
        <v/>
      </c>
      <c r="X763" s="39" t="str">
        <f aca="false">IF($F763="","",IF(OR($AT763="",$O763=""),0,IF($AT763&lt;=$O763,1,0)))</f>
        <v/>
      </c>
      <c r="Y763" s="39" t="str">
        <f aca="false">IF($F763="","",IF(OR($AT763="",$W763=""),0,IF($AT763&lt;=$W763,1,0)))</f>
        <v/>
      </c>
      <c r="Z763" s="39" t="str">
        <f aca="false">IF(OR($AT763="",$O763=""),"",MAX(0,$AT763-$O763))</f>
        <v/>
      </c>
      <c r="AA763" s="39" t="str">
        <f aca="false">IF($F763="","",IF(AND($S763&lt;&gt;"",$L763&lt;&gt;"",$S763&lt;&gt;$L763),1,0))</f>
        <v/>
      </c>
      <c r="AB763" s="39" t="str">
        <f aca="false">IF($F763="","",IF($R763="Cancelada",0,IF(OR($AT763&lt;&gt;"",$R763="Concluída"),1,0)))</f>
        <v/>
      </c>
      <c r="AC763" s="39" t="n">
        <f aca="false">IF($P763="",0,IF($P763&lt;Hoje!$L$1,1,IF(AND($P763=Hoje!$L$1,Hoje!$L$2&gt;Semana!$M$3),1,0)))</f>
        <v>0</v>
      </c>
      <c r="AD763" s="39" t="str">
        <f aca="false">IF($F763="","",IF(COUNTA($I763:$K763)=0,0,1/COUNTA($I763:$K763)))</f>
        <v/>
      </c>
      <c r="AE763" s="39" t="str">
        <f aca="false">IF($AH763=0,"",SUM($AH$4:$AH763))</f>
        <v/>
      </c>
      <c r="AF763" s="39" t="str">
        <f aca="false">IF($AI763=0,"",SUM($AI$4:$AI763))</f>
        <v/>
      </c>
      <c r="AG763" s="50" t="str">
        <f aca="false">IF($F763="","",$I763&amp;IF($J763="",""," · "&amp;$J763)&amp;IF($K763="",""," · "&amp;$K763))</f>
        <v/>
      </c>
      <c r="AH763" s="39" t="n">
        <f aca="false">IF(AND($F763&lt;&gt;"",$O763&lt;&gt;"",$O763&lt;=Hoje!$C$3,$P763&gt;=Hoje!$C$3,$R763&lt;&gt;"Cancelada"),1,0)</f>
        <v>0</v>
      </c>
      <c r="AI763" s="39" t="n">
        <f aca="false">IF(AND($F763&lt;&gt;"",$P763&lt;&gt;"",$P763&lt;Hoje!$C$3,$AB763=0,$R763&lt;&gt;"Cancelada"),1,0)</f>
        <v>0</v>
      </c>
      <c r="AJ763" s="50" t="str">
        <f aca="false">IF($F763="","",$D763&amp;"|"&amp;$E763&amp;"|"&amp;$L763)</f>
        <v/>
      </c>
      <c r="AK763" s="39" t="str">
        <f aca="false">IF($AJ763="","",COUNTIF($AJ$4:$AJ763,$AJ763))</f>
        <v/>
      </c>
      <c r="AL763" s="39" t="str">
        <f aca="false">IF($AJ763="","",COUNTIF($AJ$4:$AJ$1004,$AJ763))</f>
        <v/>
      </c>
      <c r="AM763" s="42"/>
      <c r="AN763" s="50" t="str">
        <f aca="false">IF($D763="","",IFERROR(T(VLOOKUP($D763,Listas!$B$5:$H$120,7,0)),""))</f>
        <v/>
      </c>
      <c r="AO763" s="50" t="str">
        <f aca="false">IF(OR($F763="",$L763&lt;&gt;"",$R763="Cancelada",$AT763&lt;&gt;""),"",$AN763&amp;"|"&amp;$D763&amp;"|"&amp;IF($C763="","zzz",$C763)&amp;"|"&amp;TEXT(763,"0000"))</f>
        <v/>
      </c>
      <c r="AP763" s="50" t="str">
        <f aca="false">IF($AO763="","",COUNTIF($AO$5:$AO$1004,"&lt;"&amp;$AO763)-(ROWS($AO$5:$AO$1004)-Hoje!$L$5)+1)</f>
        <v/>
      </c>
      <c r="AQ763" s="50" t="n">
        <f aca="false">IF(AND($F763&lt;&gt;"",$D763=Frota!$C$3),1,0)</f>
        <v>0</v>
      </c>
      <c r="AR763" s="50" t="str">
        <f aca="false">IF($AQ763=0,"",SUM($AQ$4:$AQ763))</f>
        <v/>
      </c>
      <c r="AS763" s="50" t="str">
        <f aca="false">IFERROR(INDEX(Hoje!$K$10:$K$29,MATCH(ROW(),Hoje!$J$10:$J$29,0)),"")</f>
        <v/>
      </c>
      <c r="AT763" s="50" t="str">
        <f aca="false">IF($Q763&lt;&gt;"",$Q763,$AS763)</f>
        <v/>
      </c>
    </row>
    <row r="764" customFormat="false" ht="16.5" hidden="false" customHeight="true" outlineLevel="0" collapsed="false">
      <c r="A764" s="39" t="str">
        <f aca="false">IF($F764="","",ROW())</f>
        <v/>
      </c>
      <c r="B764" s="40" t="str">
        <f aca="false">IF($F764="",IF($D764="","","Falta a atividade"),IF($R764="Cancelada","Cancelada",IF($AB764=1,IF(N($Z764)&gt;0,"Concluída com atraso","Concluída"),IF($R764="Em programação","Em programação",IF($O764="",IF($M764="","Na carteira","Falta a semana"),IF($AC764=1,"VENCIDA",IF($O764&gt;Hoje!$L$1,"Programada",IF($P764&gt;Hoje!$L$1,"Em execução","Fecha hoje"))))))))</f>
        <v/>
      </c>
      <c r="C764" s="41"/>
      <c r="D764" s="42"/>
      <c r="E764" s="42"/>
      <c r="F764" s="42"/>
      <c r="G764" s="43"/>
      <c r="H764" s="43"/>
      <c r="I764" s="44"/>
      <c r="J764" s="44"/>
      <c r="K764" s="44"/>
      <c r="L764" s="45"/>
      <c r="M764" s="46"/>
      <c r="N764" s="45"/>
      <c r="O764" s="47" t="str">
        <f aca="false">IF(OR($L764="",$M764=""),"",(DATE(Semana!$J$3,1,4)-WEEKDAY(DATE(Semana!$J$3,1,4),3))+($L764-1)*7+MATCH($M764,Listas!$F$5:$F$11,0)-1)</f>
        <v/>
      </c>
      <c r="P764" s="47" t="str">
        <f aca="false">IF(OR($F764="",$O764=""),"",$O764+MAX(0,ROUNDUP($AK764*MAX(1,IF($N764="",1,$N764))/MAX(1,$AL764),0)-1))</f>
        <v/>
      </c>
      <c r="Q764" s="48"/>
      <c r="R764" s="43"/>
      <c r="S764" s="49"/>
      <c r="T764" s="42"/>
      <c r="U764" s="42"/>
      <c r="V764" s="39" t="str">
        <f aca="false">IF($F764="","",IF(ISNUMBER(SEARCH("(externo)",$I764&amp;$J764&amp;$K764)),"Terceirizada","Interna"))</f>
        <v/>
      </c>
      <c r="W764" s="47" t="str">
        <f aca="false">IF($O764="","",IF($S764="",$O764,(DATE(Semana!$J$3,1,4)-WEEKDAY(DATE(Semana!$J$3,1,4),3))+($S764-1)*7+IF($M764="",0,MATCH($M764,Listas!$F$5:$F$11,0)-1)))</f>
        <v/>
      </c>
      <c r="X764" s="39" t="str">
        <f aca="false">IF($F764="","",IF(OR($AT764="",$O764=""),0,IF($AT764&lt;=$O764,1,0)))</f>
        <v/>
      </c>
      <c r="Y764" s="39" t="str">
        <f aca="false">IF($F764="","",IF(OR($AT764="",$W764=""),0,IF($AT764&lt;=$W764,1,0)))</f>
        <v/>
      </c>
      <c r="Z764" s="39" t="str">
        <f aca="false">IF(OR($AT764="",$O764=""),"",MAX(0,$AT764-$O764))</f>
        <v/>
      </c>
      <c r="AA764" s="39" t="str">
        <f aca="false">IF($F764="","",IF(AND($S764&lt;&gt;"",$L764&lt;&gt;"",$S764&lt;&gt;$L764),1,0))</f>
        <v/>
      </c>
      <c r="AB764" s="39" t="str">
        <f aca="false">IF($F764="","",IF($R764="Cancelada",0,IF(OR($AT764&lt;&gt;"",$R764="Concluída"),1,0)))</f>
        <v/>
      </c>
      <c r="AC764" s="39" t="n">
        <f aca="false">IF($P764="",0,IF($P764&lt;Hoje!$L$1,1,IF(AND($P764=Hoje!$L$1,Hoje!$L$2&gt;Semana!$M$3),1,0)))</f>
        <v>0</v>
      </c>
      <c r="AD764" s="39" t="str">
        <f aca="false">IF($F764="","",IF(COUNTA($I764:$K764)=0,0,1/COUNTA($I764:$K764)))</f>
        <v/>
      </c>
      <c r="AE764" s="39" t="str">
        <f aca="false">IF($AH764=0,"",SUM($AH$4:$AH764))</f>
        <v/>
      </c>
      <c r="AF764" s="39" t="str">
        <f aca="false">IF($AI764=0,"",SUM($AI$4:$AI764))</f>
        <v/>
      </c>
      <c r="AG764" s="50" t="str">
        <f aca="false">IF($F764="","",$I764&amp;IF($J764="",""," · "&amp;$J764)&amp;IF($K764="",""," · "&amp;$K764))</f>
        <v/>
      </c>
      <c r="AH764" s="39" t="n">
        <f aca="false">IF(AND($F764&lt;&gt;"",$O764&lt;&gt;"",$O764&lt;=Hoje!$C$3,$P764&gt;=Hoje!$C$3,$R764&lt;&gt;"Cancelada"),1,0)</f>
        <v>0</v>
      </c>
      <c r="AI764" s="39" t="n">
        <f aca="false">IF(AND($F764&lt;&gt;"",$P764&lt;&gt;"",$P764&lt;Hoje!$C$3,$AB764=0,$R764&lt;&gt;"Cancelada"),1,0)</f>
        <v>0</v>
      </c>
      <c r="AJ764" s="50" t="str">
        <f aca="false">IF($F764="","",$D764&amp;"|"&amp;$E764&amp;"|"&amp;$L764)</f>
        <v/>
      </c>
      <c r="AK764" s="39" t="str">
        <f aca="false">IF($AJ764="","",COUNTIF($AJ$4:$AJ764,$AJ764))</f>
        <v/>
      </c>
      <c r="AL764" s="39" t="str">
        <f aca="false">IF($AJ764="","",COUNTIF($AJ$4:$AJ$1004,$AJ764))</f>
        <v/>
      </c>
      <c r="AM764" s="42"/>
      <c r="AN764" s="50" t="str">
        <f aca="false">IF($D764="","",IFERROR(T(VLOOKUP($D764,Listas!$B$5:$H$120,7,0)),""))</f>
        <v/>
      </c>
      <c r="AO764" s="50" t="str">
        <f aca="false">IF(OR($F764="",$L764&lt;&gt;"",$R764="Cancelada",$AT764&lt;&gt;""),"",$AN764&amp;"|"&amp;$D764&amp;"|"&amp;IF($C764="","zzz",$C764)&amp;"|"&amp;TEXT(764,"0000"))</f>
        <v/>
      </c>
      <c r="AP764" s="50" t="str">
        <f aca="false">IF($AO764="","",COUNTIF($AO$5:$AO$1004,"&lt;"&amp;$AO764)-(ROWS($AO$5:$AO$1004)-Hoje!$L$5)+1)</f>
        <v/>
      </c>
      <c r="AQ764" s="50" t="n">
        <f aca="false">IF(AND($F764&lt;&gt;"",$D764=Frota!$C$3),1,0)</f>
        <v>0</v>
      </c>
      <c r="AR764" s="50" t="str">
        <f aca="false">IF($AQ764=0,"",SUM($AQ$4:$AQ764))</f>
        <v/>
      </c>
      <c r="AS764" s="50" t="str">
        <f aca="false">IFERROR(INDEX(Hoje!$K$10:$K$29,MATCH(ROW(),Hoje!$J$10:$J$29,0)),"")</f>
        <v/>
      </c>
      <c r="AT764" s="50" t="str">
        <f aca="false">IF($Q764&lt;&gt;"",$Q764,$AS764)</f>
        <v/>
      </c>
    </row>
    <row r="765" customFormat="false" ht="16.5" hidden="false" customHeight="true" outlineLevel="0" collapsed="false">
      <c r="A765" s="39" t="str">
        <f aca="false">IF($F765="","",ROW())</f>
        <v/>
      </c>
      <c r="B765" s="40" t="str">
        <f aca="false">IF($F765="",IF($D765="","","Falta a atividade"),IF($R765="Cancelada","Cancelada",IF($AB765=1,IF(N($Z765)&gt;0,"Concluída com atraso","Concluída"),IF($R765="Em programação","Em programação",IF($O765="",IF($M765="","Na carteira","Falta a semana"),IF($AC765=1,"VENCIDA",IF($O765&gt;Hoje!$L$1,"Programada",IF($P765&gt;Hoje!$L$1,"Em execução","Fecha hoje"))))))))</f>
        <v/>
      </c>
      <c r="C765" s="41"/>
      <c r="D765" s="42"/>
      <c r="E765" s="42"/>
      <c r="F765" s="42"/>
      <c r="G765" s="43"/>
      <c r="H765" s="43"/>
      <c r="I765" s="44"/>
      <c r="J765" s="44"/>
      <c r="K765" s="44"/>
      <c r="L765" s="45"/>
      <c r="M765" s="46"/>
      <c r="N765" s="45"/>
      <c r="O765" s="47" t="str">
        <f aca="false">IF(OR($L765="",$M765=""),"",(DATE(Semana!$J$3,1,4)-WEEKDAY(DATE(Semana!$J$3,1,4),3))+($L765-1)*7+MATCH($M765,Listas!$F$5:$F$11,0)-1)</f>
        <v/>
      </c>
      <c r="P765" s="47" t="str">
        <f aca="false">IF(OR($F765="",$O765=""),"",$O765+MAX(0,ROUNDUP($AK765*MAX(1,IF($N765="",1,$N765))/MAX(1,$AL765),0)-1))</f>
        <v/>
      </c>
      <c r="Q765" s="48"/>
      <c r="R765" s="43"/>
      <c r="S765" s="49"/>
      <c r="T765" s="42"/>
      <c r="U765" s="42"/>
      <c r="V765" s="39" t="str">
        <f aca="false">IF($F765="","",IF(ISNUMBER(SEARCH("(externo)",$I765&amp;$J765&amp;$K765)),"Terceirizada","Interna"))</f>
        <v/>
      </c>
      <c r="W765" s="47" t="str">
        <f aca="false">IF($O765="","",IF($S765="",$O765,(DATE(Semana!$J$3,1,4)-WEEKDAY(DATE(Semana!$J$3,1,4),3))+($S765-1)*7+IF($M765="",0,MATCH($M765,Listas!$F$5:$F$11,0)-1)))</f>
        <v/>
      </c>
      <c r="X765" s="39" t="str">
        <f aca="false">IF($F765="","",IF(OR($AT765="",$O765=""),0,IF($AT765&lt;=$O765,1,0)))</f>
        <v/>
      </c>
      <c r="Y765" s="39" t="str">
        <f aca="false">IF($F765="","",IF(OR($AT765="",$W765=""),0,IF($AT765&lt;=$W765,1,0)))</f>
        <v/>
      </c>
      <c r="Z765" s="39" t="str">
        <f aca="false">IF(OR($AT765="",$O765=""),"",MAX(0,$AT765-$O765))</f>
        <v/>
      </c>
      <c r="AA765" s="39" t="str">
        <f aca="false">IF($F765="","",IF(AND($S765&lt;&gt;"",$L765&lt;&gt;"",$S765&lt;&gt;$L765),1,0))</f>
        <v/>
      </c>
      <c r="AB765" s="39" t="str">
        <f aca="false">IF($F765="","",IF($R765="Cancelada",0,IF(OR($AT765&lt;&gt;"",$R765="Concluída"),1,0)))</f>
        <v/>
      </c>
      <c r="AC765" s="39" t="n">
        <f aca="false">IF($P765="",0,IF($P765&lt;Hoje!$L$1,1,IF(AND($P765=Hoje!$L$1,Hoje!$L$2&gt;Semana!$M$3),1,0)))</f>
        <v>0</v>
      </c>
      <c r="AD765" s="39" t="str">
        <f aca="false">IF($F765="","",IF(COUNTA($I765:$K765)=0,0,1/COUNTA($I765:$K765)))</f>
        <v/>
      </c>
      <c r="AE765" s="39" t="str">
        <f aca="false">IF($AH765=0,"",SUM($AH$4:$AH765))</f>
        <v/>
      </c>
      <c r="AF765" s="39" t="str">
        <f aca="false">IF($AI765=0,"",SUM($AI$4:$AI765))</f>
        <v/>
      </c>
      <c r="AG765" s="50" t="str">
        <f aca="false">IF($F765="","",$I765&amp;IF($J765="",""," · "&amp;$J765)&amp;IF($K765="",""," · "&amp;$K765))</f>
        <v/>
      </c>
      <c r="AH765" s="39" t="n">
        <f aca="false">IF(AND($F765&lt;&gt;"",$O765&lt;&gt;"",$O765&lt;=Hoje!$C$3,$P765&gt;=Hoje!$C$3,$R765&lt;&gt;"Cancelada"),1,0)</f>
        <v>0</v>
      </c>
      <c r="AI765" s="39" t="n">
        <f aca="false">IF(AND($F765&lt;&gt;"",$P765&lt;&gt;"",$P765&lt;Hoje!$C$3,$AB765=0,$R765&lt;&gt;"Cancelada"),1,0)</f>
        <v>0</v>
      </c>
      <c r="AJ765" s="50" t="str">
        <f aca="false">IF($F765="","",$D765&amp;"|"&amp;$E765&amp;"|"&amp;$L765)</f>
        <v/>
      </c>
      <c r="AK765" s="39" t="str">
        <f aca="false">IF($AJ765="","",COUNTIF($AJ$4:$AJ765,$AJ765))</f>
        <v/>
      </c>
      <c r="AL765" s="39" t="str">
        <f aca="false">IF($AJ765="","",COUNTIF($AJ$4:$AJ$1004,$AJ765))</f>
        <v/>
      </c>
      <c r="AM765" s="42"/>
      <c r="AN765" s="50" t="str">
        <f aca="false">IF($D765="","",IFERROR(T(VLOOKUP($D765,Listas!$B$5:$H$120,7,0)),""))</f>
        <v/>
      </c>
      <c r="AO765" s="50" t="str">
        <f aca="false">IF(OR($F765="",$L765&lt;&gt;"",$R765="Cancelada",$AT765&lt;&gt;""),"",$AN765&amp;"|"&amp;$D765&amp;"|"&amp;IF($C765="","zzz",$C765)&amp;"|"&amp;TEXT(765,"0000"))</f>
        <v/>
      </c>
      <c r="AP765" s="50" t="str">
        <f aca="false">IF($AO765="","",COUNTIF($AO$5:$AO$1004,"&lt;"&amp;$AO765)-(ROWS($AO$5:$AO$1004)-Hoje!$L$5)+1)</f>
        <v/>
      </c>
      <c r="AQ765" s="50" t="n">
        <f aca="false">IF(AND($F765&lt;&gt;"",$D765=Frota!$C$3),1,0)</f>
        <v>0</v>
      </c>
      <c r="AR765" s="50" t="str">
        <f aca="false">IF($AQ765=0,"",SUM($AQ$4:$AQ765))</f>
        <v/>
      </c>
      <c r="AS765" s="50" t="str">
        <f aca="false">IFERROR(INDEX(Hoje!$K$10:$K$29,MATCH(ROW(),Hoje!$J$10:$J$29,0)),"")</f>
        <v/>
      </c>
      <c r="AT765" s="50" t="str">
        <f aca="false">IF($Q765&lt;&gt;"",$Q765,$AS765)</f>
        <v/>
      </c>
    </row>
    <row r="766" customFormat="false" ht="16.5" hidden="false" customHeight="true" outlineLevel="0" collapsed="false">
      <c r="A766" s="39" t="str">
        <f aca="false">IF($F766="","",ROW())</f>
        <v/>
      </c>
      <c r="B766" s="40" t="str">
        <f aca="false">IF($F766="",IF($D766="","","Falta a atividade"),IF($R766="Cancelada","Cancelada",IF($AB766=1,IF(N($Z766)&gt;0,"Concluída com atraso","Concluída"),IF($R766="Em programação","Em programação",IF($O766="",IF($M766="","Na carteira","Falta a semana"),IF($AC766=1,"VENCIDA",IF($O766&gt;Hoje!$L$1,"Programada",IF($P766&gt;Hoje!$L$1,"Em execução","Fecha hoje"))))))))</f>
        <v/>
      </c>
      <c r="C766" s="41"/>
      <c r="D766" s="42"/>
      <c r="E766" s="42"/>
      <c r="F766" s="42"/>
      <c r="G766" s="43"/>
      <c r="H766" s="43"/>
      <c r="I766" s="44"/>
      <c r="J766" s="44"/>
      <c r="K766" s="44"/>
      <c r="L766" s="45"/>
      <c r="M766" s="46"/>
      <c r="N766" s="45"/>
      <c r="O766" s="47" t="str">
        <f aca="false">IF(OR($L766="",$M766=""),"",(DATE(Semana!$J$3,1,4)-WEEKDAY(DATE(Semana!$J$3,1,4),3))+($L766-1)*7+MATCH($M766,Listas!$F$5:$F$11,0)-1)</f>
        <v/>
      </c>
      <c r="P766" s="47" t="str">
        <f aca="false">IF(OR($F766="",$O766=""),"",$O766+MAX(0,ROUNDUP($AK766*MAX(1,IF($N766="",1,$N766))/MAX(1,$AL766),0)-1))</f>
        <v/>
      </c>
      <c r="Q766" s="48"/>
      <c r="R766" s="43"/>
      <c r="S766" s="49"/>
      <c r="T766" s="42"/>
      <c r="U766" s="42"/>
      <c r="V766" s="39" t="str">
        <f aca="false">IF($F766="","",IF(ISNUMBER(SEARCH("(externo)",$I766&amp;$J766&amp;$K766)),"Terceirizada","Interna"))</f>
        <v/>
      </c>
      <c r="W766" s="47" t="str">
        <f aca="false">IF($O766="","",IF($S766="",$O766,(DATE(Semana!$J$3,1,4)-WEEKDAY(DATE(Semana!$J$3,1,4),3))+($S766-1)*7+IF($M766="",0,MATCH($M766,Listas!$F$5:$F$11,0)-1)))</f>
        <v/>
      </c>
      <c r="X766" s="39" t="str">
        <f aca="false">IF($F766="","",IF(OR($AT766="",$O766=""),0,IF($AT766&lt;=$O766,1,0)))</f>
        <v/>
      </c>
      <c r="Y766" s="39" t="str">
        <f aca="false">IF($F766="","",IF(OR($AT766="",$W766=""),0,IF($AT766&lt;=$W766,1,0)))</f>
        <v/>
      </c>
      <c r="Z766" s="39" t="str">
        <f aca="false">IF(OR($AT766="",$O766=""),"",MAX(0,$AT766-$O766))</f>
        <v/>
      </c>
      <c r="AA766" s="39" t="str">
        <f aca="false">IF($F766="","",IF(AND($S766&lt;&gt;"",$L766&lt;&gt;"",$S766&lt;&gt;$L766),1,0))</f>
        <v/>
      </c>
      <c r="AB766" s="39" t="str">
        <f aca="false">IF($F766="","",IF($R766="Cancelada",0,IF(OR($AT766&lt;&gt;"",$R766="Concluída"),1,0)))</f>
        <v/>
      </c>
      <c r="AC766" s="39" t="n">
        <f aca="false">IF($P766="",0,IF($P766&lt;Hoje!$L$1,1,IF(AND($P766=Hoje!$L$1,Hoje!$L$2&gt;Semana!$M$3),1,0)))</f>
        <v>0</v>
      </c>
      <c r="AD766" s="39" t="str">
        <f aca="false">IF($F766="","",IF(COUNTA($I766:$K766)=0,0,1/COUNTA($I766:$K766)))</f>
        <v/>
      </c>
      <c r="AE766" s="39" t="str">
        <f aca="false">IF($AH766=0,"",SUM($AH$4:$AH766))</f>
        <v/>
      </c>
      <c r="AF766" s="39" t="str">
        <f aca="false">IF($AI766=0,"",SUM($AI$4:$AI766))</f>
        <v/>
      </c>
      <c r="AG766" s="50" t="str">
        <f aca="false">IF($F766="","",$I766&amp;IF($J766="",""," · "&amp;$J766)&amp;IF($K766="",""," · "&amp;$K766))</f>
        <v/>
      </c>
      <c r="AH766" s="39" t="n">
        <f aca="false">IF(AND($F766&lt;&gt;"",$O766&lt;&gt;"",$O766&lt;=Hoje!$C$3,$P766&gt;=Hoje!$C$3,$R766&lt;&gt;"Cancelada"),1,0)</f>
        <v>0</v>
      </c>
      <c r="AI766" s="39" t="n">
        <f aca="false">IF(AND($F766&lt;&gt;"",$P766&lt;&gt;"",$P766&lt;Hoje!$C$3,$AB766=0,$R766&lt;&gt;"Cancelada"),1,0)</f>
        <v>0</v>
      </c>
      <c r="AJ766" s="50" t="str">
        <f aca="false">IF($F766="","",$D766&amp;"|"&amp;$E766&amp;"|"&amp;$L766)</f>
        <v/>
      </c>
      <c r="AK766" s="39" t="str">
        <f aca="false">IF($AJ766="","",COUNTIF($AJ$4:$AJ766,$AJ766))</f>
        <v/>
      </c>
      <c r="AL766" s="39" t="str">
        <f aca="false">IF($AJ766="","",COUNTIF($AJ$4:$AJ$1004,$AJ766))</f>
        <v/>
      </c>
      <c r="AM766" s="42"/>
      <c r="AN766" s="50" t="str">
        <f aca="false">IF($D766="","",IFERROR(T(VLOOKUP($D766,Listas!$B$5:$H$120,7,0)),""))</f>
        <v/>
      </c>
      <c r="AO766" s="50" t="str">
        <f aca="false">IF(OR($F766="",$L766&lt;&gt;"",$R766="Cancelada",$AT766&lt;&gt;""),"",$AN766&amp;"|"&amp;$D766&amp;"|"&amp;IF($C766="","zzz",$C766)&amp;"|"&amp;TEXT(766,"0000"))</f>
        <v/>
      </c>
      <c r="AP766" s="50" t="str">
        <f aca="false">IF($AO766="","",COUNTIF($AO$5:$AO$1004,"&lt;"&amp;$AO766)-(ROWS($AO$5:$AO$1004)-Hoje!$L$5)+1)</f>
        <v/>
      </c>
      <c r="AQ766" s="50" t="n">
        <f aca="false">IF(AND($F766&lt;&gt;"",$D766=Frota!$C$3),1,0)</f>
        <v>0</v>
      </c>
      <c r="AR766" s="50" t="str">
        <f aca="false">IF($AQ766=0,"",SUM($AQ$4:$AQ766))</f>
        <v/>
      </c>
      <c r="AS766" s="50" t="str">
        <f aca="false">IFERROR(INDEX(Hoje!$K$10:$K$29,MATCH(ROW(),Hoje!$J$10:$J$29,0)),"")</f>
        <v/>
      </c>
      <c r="AT766" s="50" t="str">
        <f aca="false">IF($Q766&lt;&gt;"",$Q766,$AS766)</f>
        <v/>
      </c>
    </row>
    <row r="767" customFormat="false" ht="16.5" hidden="false" customHeight="true" outlineLevel="0" collapsed="false">
      <c r="A767" s="39" t="str">
        <f aca="false">IF($F767="","",ROW())</f>
        <v/>
      </c>
      <c r="B767" s="40" t="str">
        <f aca="false">IF($F767="",IF($D767="","","Falta a atividade"),IF($R767="Cancelada","Cancelada",IF($AB767=1,IF(N($Z767)&gt;0,"Concluída com atraso","Concluída"),IF($R767="Em programação","Em programação",IF($O767="",IF($M767="","Na carteira","Falta a semana"),IF($AC767=1,"VENCIDA",IF($O767&gt;Hoje!$L$1,"Programada",IF($P767&gt;Hoje!$L$1,"Em execução","Fecha hoje"))))))))</f>
        <v/>
      </c>
      <c r="C767" s="41"/>
      <c r="D767" s="42"/>
      <c r="E767" s="42"/>
      <c r="F767" s="42"/>
      <c r="G767" s="43"/>
      <c r="H767" s="43"/>
      <c r="I767" s="44"/>
      <c r="J767" s="44"/>
      <c r="K767" s="44"/>
      <c r="L767" s="45"/>
      <c r="M767" s="46"/>
      <c r="N767" s="45"/>
      <c r="O767" s="47" t="str">
        <f aca="false">IF(OR($L767="",$M767=""),"",(DATE(Semana!$J$3,1,4)-WEEKDAY(DATE(Semana!$J$3,1,4),3))+($L767-1)*7+MATCH($M767,Listas!$F$5:$F$11,0)-1)</f>
        <v/>
      </c>
      <c r="P767" s="47" t="str">
        <f aca="false">IF(OR($F767="",$O767=""),"",$O767+MAX(0,ROUNDUP($AK767*MAX(1,IF($N767="",1,$N767))/MAX(1,$AL767),0)-1))</f>
        <v/>
      </c>
      <c r="Q767" s="48"/>
      <c r="R767" s="43"/>
      <c r="S767" s="49"/>
      <c r="T767" s="42"/>
      <c r="U767" s="42"/>
      <c r="V767" s="39" t="str">
        <f aca="false">IF($F767="","",IF(ISNUMBER(SEARCH("(externo)",$I767&amp;$J767&amp;$K767)),"Terceirizada","Interna"))</f>
        <v/>
      </c>
      <c r="W767" s="47" t="str">
        <f aca="false">IF($O767="","",IF($S767="",$O767,(DATE(Semana!$J$3,1,4)-WEEKDAY(DATE(Semana!$J$3,1,4),3))+($S767-1)*7+IF($M767="",0,MATCH($M767,Listas!$F$5:$F$11,0)-1)))</f>
        <v/>
      </c>
      <c r="X767" s="39" t="str">
        <f aca="false">IF($F767="","",IF(OR($AT767="",$O767=""),0,IF($AT767&lt;=$O767,1,0)))</f>
        <v/>
      </c>
      <c r="Y767" s="39" t="str">
        <f aca="false">IF($F767="","",IF(OR($AT767="",$W767=""),0,IF($AT767&lt;=$W767,1,0)))</f>
        <v/>
      </c>
      <c r="Z767" s="39" t="str">
        <f aca="false">IF(OR($AT767="",$O767=""),"",MAX(0,$AT767-$O767))</f>
        <v/>
      </c>
      <c r="AA767" s="39" t="str">
        <f aca="false">IF($F767="","",IF(AND($S767&lt;&gt;"",$L767&lt;&gt;"",$S767&lt;&gt;$L767),1,0))</f>
        <v/>
      </c>
      <c r="AB767" s="39" t="str">
        <f aca="false">IF($F767="","",IF($R767="Cancelada",0,IF(OR($AT767&lt;&gt;"",$R767="Concluída"),1,0)))</f>
        <v/>
      </c>
      <c r="AC767" s="39" t="n">
        <f aca="false">IF($P767="",0,IF($P767&lt;Hoje!$L$1,1,IF(AND($P767=Hoje!$L$1,Hoje!$L$2&gt;Semana!$M$3),1,0)))</f>
        <v>0</v>
      </c>
      <c r="AD767" s="39" t="str">
        <f aca="false">IF($F767="","",IF(COUNTA($I767:$K767)=0,0,1/COUNTA($I767:$K767)))</f>
        <v/>
      </c>
      <c r="AE767" s="39" t="str">
        <f aca="false">IF($AH767=0,"",SUM($AH$4:$AH767))</f>
        <v/>
      </c>
      <c r="AF767" s="39" t="str">
        <f aca="false">IF($AI767=0,"",SUM($AI$4:$AI767))</f>
        <v/>
      </c>
      <c r="AG767" s="50" t="str">
        <f aca="false">IF($F767="","",$I767&amp;IF($J767="",""," · "&amp;$J767)&amp;IF($K767="",""," · "&amp;$K767))</f>
        <v/>
      </c>
      <c r="AH767" s="39" t="n">
        <f aca="false">IF(AND($F767&lt;&gt;"",$O767&lt;&gt;"",$O767&lt;=Hoje!$C$3,$P767&gt;=Hoje!$C$3,$R767&lt;&gt;"Cancelada"),1,0)</f>
        <v>0</v>
      </c>
      <c r="AI767" s="39" t="n">
        <f aca="false">IF(AND($F767&lt;&gt;"",$P767&lt;&gt;"",$P767&lt;Hoje!$C$3,$AB767=0,$R767&lt;&gt;"Cancelada"),1,0)</f>
        <v>0</v>
      </c>
      <c r="AJ767" s="50" t="str">
        <f aca="false">IF($F767="","",$D767&amp;"|"&amp;$E767&amp;"|"&amp;$L767)</f>
        <v/>
      </c>
      <c r="AK767" s="39" t="str">
        <f aca="false">IF($AJ767="","",COUNTIF($AJ$4:$AJ767,$AJ767))</f>
        <v/>
      </c>
      <c r="AL767" s="39" t="str">
        <f aca="false">IF($AJ767="","",COUNTIF($AJ$4:$AJ$1004,$AJ767))</f>
        <v/>
      </c>
      <c r="AM767" s="42"/>
      <c r="AN767" s="50" t="str">
        <f aca="false">IF($D767="","",IFERROR(T(VLOOKUP($D767,Listas!$B$5:$H$120,7,0)),""))</f>
        <v/>
      </c>
      <c r="AO767" s="50" t="str">
        <f aca="false">IF(OR($F767="",$L767&lt;&gt;"",$R767="Cancelada",$AT767&lt;&gt;""),"",$AN767&amp;"|"&amp;$D767&amp;"|"&amp;IF($C767="","zzz",$C767)&amp;"|"&amp;TEXT(767,"0000"))</f>
        <v/>
      </c>
      <c r="AP767" s="50" t="str">
        <f aca="false">IF($AO767="","",COUNTIF($AO$5:$AO$1004,"&lt;"&amp;$AO767)-(ROWS($AO$5:$AO$1004)-Hoje!$L$5)+1)</f>
        <v/>
      </c>
      <c r="AQ767" s="50" t="n">
        <f aca="false">IF(AND($F767&lt;&gt;"",$D767=Frota!$C$3),1,0)</f>
        <v>0</v>
      </c>
      <c r="AR767" s="50" t="str">
        <f aca="false">IF($AQ767=0,"",SUM($AQ$4:$AQ767))</f>
        <v/>
      </c>
      <c r="AS767" s="50" t="str">
        <f aca="false">IFERROR(INDEX(Hoje!$K$10:$K$29,MATCH(ROW(),Hoje!$J$10:$J$29,0)),"")</f>
        <v/>
      </c>
      <c r="AT767" s="50" t="str">
        <f aca="false">IF($Q767&lt;&gt;"",$Q767,$AS767)</f>
        <v/>
      </c>
    </row>
    <row r="768" customFormat="false" ht="16.5" hidden="false" customHeight="true" outlineLevel="0" collapsed="false">
      <c r="A768" s="39" t="str">
        <f aca="false">IF($F768="","",ROW())</f>
        <v/>
      </c>
      <c r="B768" s="40" t="str">
        <f aca="false">IF($F768="",IF($D768="","","Falta a atividade"),IF($R768="Cancelada","Cancelada",IF($AB768=1,IF(N($Z768)&gt;0,"Concluída com atraso","Concluída"),IF($R768="Em programação","Em programação",IF($O768="",IF($M768="","Na carteira","Falta a semana"),IF($AC768=1,"VENCIDA",IF($O768&gt;Hoje!$L$1,"Programada",IF($P768&gt;Hoje!$L$1,"Em execução","Fecha hoje"))))))))</f>
        <v/>
      </c>
      <c r="C768" s="41"/>
      <c r="D768" s="42"/>
      <c r="E768" s="42"/>
      <c r="F768" s="42"/>
      <c r="G768" s="43"/>
      <c r="H768" s="43"/>
      <c r="I768" s="44"/>
      <c r="J768" s="44"/>
      <c r="K768" s="44"/>
      <c r="L768" s="45"/>
      <c r="M768" s="46"/>
      <c r="N768" s="45"/>
      <c r="O768" s="47" t="str">
        <f aca="false">IF(OR($L768="",$M768=""),"",(DATE(Semana!$J$3,1,4)-WEEKDAY(DATE(Semana!$J$3,1,4),3))+($L768-1)*7+MATCH($M768,Listas!$F$5:$F$11,0)-1)</f>
        <v/>
      </c>
      <c r="P768" s="47" t="str">
        <f aca="false">IF(OR($F768="",$O768=""),"",$O768+MAX(0,ROUNDUP($AK768*MAX(1,IF($N768="",1,$N768))/MAX(1,$AL768),0)-1))</f>
        <v/>
      </c>
      <c r="Q768" s="48"/>
      <c r="R768" s="43"/>
      <c r="S768" s="49"/>
      <c r="T768" s="42"/>
      <c r="U768" s="42"/>
      <c r="V768" s="39" t="str">
        <f aca="false">IF($F768="","",IF(ISNUMBER(SEARCH("(externo)",$I768&amp;$J768&amp;$K768)),"Terceirizada","Interna"))</f>
        <v/>
      </c>
      <c r="W768" s="47" t="str">
        <f aca="false">IF($O768="","",IF($S768="",$O768,(DATE(Semana!$J$3,1,4)-WEEKDAY(DATE(Semana!$J$3,1,4),3))+($S768-1)*7+IF($M768="",0,MATCH($M768,Listas!$F$5:$F$11,0)-1)))</f>
        <v/>
      </c>
      <c r="X768" s="39" t="str">
        <f aca="false">IF($F768="","",IF(OR($AT768="",$O768=""),0,IF($AT768&lt;=$O768,1,0)))</f>
        <v/>
      </c>
      <c r="Y768" s="39" t="str">
        <f aca="false">IF($F768="","",IF(OR($AT768="",$W768=""),0,IF($AT768&lt;=$W768,1,0)))</f>
        <v/>
      </c>
      <c r="Z768" s="39" t="str">
        <f aca="false">IF(OR($AT768="",$O768=""),"",MAX(0,$AT768-$O768))</f>
        <v/>
      </c>
      <c r="AA768" s="39" t="str">
        <f aca="false">IF($F768="","",IF(AND($S768&lt;&gt;"",$L768&lt;&gt;"",$S768&lt;&gt;$L768),1,0))</f>
        <v/>
      </c>
      <c r="AB768" s="39" t="str">
        <f aca="false">IF($F768="","",IF($R768="Cancelada",0,IF(OR($AT768&lt;&gt;"",$R768="Concluída"),1,0)))</f>
        <v/>
      </c>
      <c r="AC768" s="39" t="n">
        <f aca="false">IF($P768="",0,IF($P768&lt;Hoje!$L$1,1,IF(AND($P768=Hoje!$L$1,Hoje!$L$2&gt;Semana!$M$3),1,0)))</f>
        <v>0</v>
      </c>
      <c r="AD768" s="39" t="str">
        <f aca="false">IF($F768="","",IF(COUNTA($I768:$K768)=0,0,1/COUNTA($I768:$K768)))</f>
        <v/>
      </c>
      <c r="AE768" s="39" t="str">
        <f aca="false">IF($AH768=0,"",SUM($AH$4:$AH768))</f>
        <v/>
      </c>
      <c r="AF768" s="39" t="str">
        <f aca="false">IF($AI768=0,"",SUM($AI$4:$AI768))</f>
        <v/>
      </c>
      <c r="AG768" s="50" t="str">
        <f aca="false">IF($F768="","",$I768&amp;IF($J768="",""," · "&amp;$J768)&amp;IF($K768="",""," · "&amp;$K768))</f>
        <v/>
      </c>
      <c r="AH768" s="39" t="n">
        <f aca="false">IF(AND($F768&lt;&gt;"",$O768&lt;&gt;"",$O768&lt;=Hoje!$C$3,$P768&gt;=Hoje!$C$3,$R768&lt;&gt;"Cancelada"),1,0)</f>
        <v>0</v>
      </c>
      <c r="AI768" s="39" t="n">
        <f aca="false">IF(AND($F768&lt;&gt;"",$P768&lt;&gt;"",$P768&lt;Hoje!$C$3,$AB768=0,$R768&lt;&gt;"Cancelada"),1,0)</f>
        <v>0</v>
      </c>
      <c r="AJ768" s="50" t="str">
        <f aca="false">IF($F768="","",$D768&amp;"|"&amp;$E768&amp;"|"&amp;$L768)</f>
        <v/>
      </c>
      <c r="AK768" s="39" t="str">
        <f aca="false">IF($AJ768="","",COUNTIF($AJ$4:$AJ768,$AJ768))</f>
        <v/>
      </c>
      <c r="AL768" s="39" t="str">
        <f aca="false">IF($AJ768="","",COUNTIF($AJ$4:$AJ$1004,$AJ768))</f>
        <v/>
      </c>
      <c r="AM768" s="42"/>
      <c r="AN768" s="50" t="str">
        <f aca="false">IF($D768="","",IFERROR(T(VLOOKUP($D768,Listas!$B$5:$H$120,7,0)),""))</f>
        <v/>
      </c>
      <c r="AO768" s="50" t="str">
        <f aca="false">IF(OR($F768="",$L768&lt;&gt;"",$R768="Cancelada",$AT768&lt;&gt;""),"",$AN768&amp;"|"&amp;$D768&amp;"|"&amp;IF($C768="","zzz",$C768)&amp;"|"&amp;TEXT(768,"0000"))</f>
        <v/>
      </c>
      <c r="AP768" s="50" t="str">
        <f aca="false">IF($AO768="","",COUNTIF($AO$5:$AO$1004,"&lt;"&amp;$AO768)-(ROWS($AO$5:$AO$1004)-Hoje!$L$5)+1)</f>
        <v/>
      </c>
      <c r="AQ768" s="50" t="n">
        <f aca="false">IF(AND($F768&lt;&gt;"",$D768=Frota!$C$3),1,0)</f>
        <v>0</v>
      </c>
      <c r="AR768" s="50" t="str">
        <f aca="false">IF($AQ768=0,"",SUM($AQ$4:$AQ768))</f>
        <v/>
      </c>
      <c r="AS768" s="50" t="str">
        <f aca="false">IFERROR(INDEX(Hoje!$K$10:$K$29,MATCH(ROW(),Hoje!$J$10:$J$29,0)),"")</f>
        <v/>
      </c>
      <c r="AT768" s="50" t="str">
        <f aca="false">IF($Q768&lt;&gt;"",$Q768,$AS768)</f>
        <v/>
      </c>
    </row>
    <row r="769" customFormat="false" ht="16.5" hidden="false" customHeight="true" outlineLevel="0" collapsed="false">
      <c r="A769" s="39" t="str">
        <f aca="false">IF($F769="","",ROW())</f>
        <v/>
      </c>
      <c r="B769" s="40" t="str">
        <f aca="false">IF($F769="",IF($D769="","","Falta a atividade"),IF($R769="Cancelada","Cancelada",IF($AB769=1,IF(N($Z769)&gt;0,"Concluída com atraso","Concluída"),IF($R769="Em programação","Em programação",IF($O769="",IF($M769="","Na carteira","Falta a semana"),IF($AC769=1,"VENCIDA",IF($O769&gt;Hoje!$L$1,"Programada",IF($P769&gt;Hoje!$L$1,"Em execução","Fecha hoje"))))))))</f>
        <v/>
      </c>
      <c r="C769" s="41"/>
      <c r="D769" s="42"/>
      <c r="E769" s="42"/>
      <c r="F769" s="42"/>
      <c r="G769" s="43"/>
      <c r="H769" s="43"/>
      <c r="I769" s="44"/>
      <c r="J769" s="44"/>
      <c r="K769" s="44"/>
      <c r="L769" s="45"/>
      <c r="M769" s="46"/>
      <c r="N769" s="45"/>
      <c r="O769" s="47" t="str">
        <f aca="false">IF(OR($L769="",$M769=""),"",(DATE(Semana!$J$3,1,4)-WEEKDAY(DATE(Semana!$J$3,1,4),3))+($L769-1)*7+MATCH($M769,Listas!$F$5:$F$11,0)-1)</f>
        <v/>
      </c>
      <c r="P769" s="47" t="str">
        <f aca="false">IF(OR($F769="",$O769=""),"",$O769+MAX(0,ROUNDUP($AK769*MAX(1,IF($N769="",1,$N769))/MAX(1,$AL769),0)-1))</f>
        <v/>
      </c>
      <c r="Q769" s="48"/>
      <c r="R769" s="43"/>
      <c r="S769" s="49"/>
      <c r="T769" s="42"/>
      <c r="U769" s="42"/>
      <c r="V769" s="39" t="str">
        <f aca="false">IF($F769="","",IF(ISNUMBER(SEARCH("(externo)",$I769&amp;$J769&amp;$K769)),"Terceirizada","Interna"))</f>
        <v/>
      </c>
      <c r="W769" s="47" t="str">
        <f aca="false">IF($O769="","",IF($S769="",$O769,(DATE(Semana!$J$3,1,4)-WEEKDAY(DATE(Semana!$J$3,1,4),3))+($S769-1)*7+IF($M769="",0,MATCH($M769,Listas!$F$5:$F$11,0)-1)))</f>
        <v/>
      </c>
      <c r="X769" s="39" t="str">
        <f aca="false">IF($F769="","",IF(OR($AT769="",$O769=""),0,IF($AT769&lt;=$O769,1,0)))</f>
        <v/>
      </c>
      <c r="Y769" s="39" t="str">
        <f aca="false">IF($F769="","",IF(OR($AT769="",$W769=""),0,IF($AT769&lt;=$W769,1,0)))</f>
        <v/>
      </c>
      <c r="Z769" s="39" t="str">
        <f aca="false">IF(OR($AT769="",$O769=""),"",MAX(0,$AT769-$O769))</f>
        <v/>
      </c>
      <c r="AA769" s="39" t="str">
        <f aca="false">IF($F769="","",IF(AND($S769&lt;&gt;"",$L769&lt;&gt;"",$S769&lt;&gt;$L769),1,0))</f>
        <v/>
      </c>
      <c r="AB769" s="39" t="str">
        <f aca="false">IF($F769="","",IF($R769="Cancelada",0,IF(OR($AT769&lt;&gt;"",$R769="Concluída"),1,0)))</f>
        <v/>
      </c>
      <c r="AC769" s="39" t="n">
        <f aca="false">IF($P769="",0,IF($P769&lt;Hoje!$L$1,1,IF(AND($P769=Hoje!$L$1,Hoje!$L$2&gt;Semana!$M$3),1,0)))</f>
        <v>0</v>
      </c>
      <c r="AD769" s="39" t="str">
        <f aca="false">IF($F769="","",IF(COUNTA($I769:$K769)=0,0,1/COUNTA($I769:$K769)))</f>
        <v/>
      </c>
      <c r="AE769" s="39" t="str">
        <f aca="false">IF($AH769=0,"",SUM($AH$4:$AH769))</f>
        <v/>
      </c>
      <c r="AF769" s="39" t="str">
        <f aca="false">IF($AI769=0,"",SUM($AI$4:$AI769))</f>
        <v/>
      </c>
      <c r="AG769" s="50" t="str">
        <f aca="false">IF($F769="","",$I769&amp;IF($J769="",""," · "&amp;$J769)&amp;IF($K769="",""," · "&amp;$K769))</f>
        <v/>
      </c>
      <c r="AH769" s="39" t="n">
        <f aca="false">IF(AND($F769&lt;&gt;"",$O769&lt;&gt;"",$O769&lt;=Hoje!$C$3,$P769&gt;=Hoje!$C$3,$R769&lt;&gt;"Cancelada"),1,0)</f>
        <v>0</v>
      </c>
      <c r="AI769" s="39" t="n">
        <f aca="false">IF(AND($F769&lt;&gt;"",$P769&lt;&gt;"",$P769&lt;Hoje!$C$3,$AB769=0,$R769&lt;&gt;"Cancelada"),1,0)</f>
        <v>0</v>
      </c>
      <c r="AJ769" s="50" t="str">
        <f aca="false">IF($F769="","",$D769&amp;"|"&amp;$E769&amp;"|"&amp;$L769)</f>
        <v/>
      </c>
      <c r="AK769" s="39" t="str">
        <f aca="false">IF($AJ769="","",COUNTIF($AJ$4:$AJ769,$AJ769))</f>
        <v/>
      </c>
      <c r="AL769" s="39" t="str">
        <f aca="false">IF($AJ769="","",COUNTIF($AJ$4:$AJ$1004,$AJ769))</f>
        <v/>
      </c>
      <c r="AM769" s="42"/>
      <c r="AN769" s="50" t="str">
        <f aca="false">IF($D769="","",IFERROR(T(VLOOKUP($D769,Listas!$B$5:$H$120,7,0)),""))</f>
        <v/>
      </c>
      <c r="AO769" s="50" t="str">
        <f aca="false">IF(OR($F769="",$L769&lt;&gt;"",$R769="Cancelada",$AT769&lt;&gt;""),"",$AN769&amp;"|"&amp;$D769&amp;"|"&amp;IF($C769="","zzz",$C769)&amp;"|"&amp;TEXT(769,"0000"))</f>
        <v/>
      </c>
      <c r="AP769" s="50" t="str">
        <f aca="false">IF($AO769="","",COUNTIF($AO$5:$AO$1004,"&lt;"&amp;$AO769)-(ROWS($AO$5:$AO$1004)-Hoje!$L$5)+1)</f>
        <v/>
      </c>
      <c r="AQ769" s="50" t="n">
        <f aca="false">IF(AND($F769&lt;&gt;"",$D769=Frota!$C$3),1,0)</f>
        <v>0</v>
      </c>
      <c r="AR769" s="50" t="str">
        <f aca="false">IF($AQ769=0,"",SUM($AQ$4:$AQ769))</f>
        <v/>
      </c>
      <c r="AS769" s="50" t="str">
        <f aca="false">IFERROR(INDEX(Hoje!$K$10:$K$29,MATCH(ROW(),Hoje!$J$10:$J$29,0)),"")</f>
        <v/>
      </c>
      <c r="AT769" s="50" t="str">
        <f aca="false">IF($Q769&lt;&gt;"",$Q769,$AS769)</f>
        <v/>
      </c>
    </row>
    <row r="770" customFormat="false" ht="16.5" hidden="false" customHeight="true" outlineLevel="0" collapsed="false">
      <c r="A770" s="39" t="str">
        <f aca="false">IF($F770="","",ROW())</f>
        <v/>
      </c>
      <c r="B770" s="40" t="str">
        <f aca="false">IF($F770="",IF($D770="","","Falta a atividade"),IF($R770="Cancelada","Cancelada",IF($AB770=1,IF(N($Z770)&gt;0,"Concluída com atraso","Concluída"),IF($R770="Em programação","Em programação",IF($O770="",IF($M770="","Na carteira","Falta a semana"),IF($AC770=1,"VENCIDA",IF($O770&gt;Hoje!$L$1,"Programada",IF($P770&gt;Hoje!$L$1,"Em execução","Fecha hoje"))))))))</f>
        <v/>
      </c>
      <c r="C770" s="41"/>
      <c r="D770" s="42"/>
      <c r="E770" s="42"/>
      <c r="F770" s="42"/>
      <c r="G770" s="43"/>
      <c r="H770" s="43"/>
      <c r="I770" s="44"/>
      <c r="J770" s="44"/>
      <c r="K770" s="44"/>
      <c r="L770" s="45"/>
      <c r="M770" s="46"/>
      <c r="N770" s="45"/>
      <c r="O770" s="47" t="str">
        <f aca="false">IF(OR($L770="",$M770=""),"",(DATE(Semana!$J$3,1,4)-WEEKDAY(DATE(Semana!$J$3,1,4),3))+($L770-1)*7+MATCH($M770,Listas!$F$5:$F$11,0)-1)</f>
        <v/>
      </c>
      <c r="P770" s="47" t="str">
        <f aca="false">IF(OR($F770="",$O770=""),"",$O770+MAX(0,ROUNDUP($AK770*MAX(1,IF($N770="",1,$N770))/MAX(1,$AL770),0)-1))</f>
        <v/>
      </c>
      <c r="Q770" s="48"/>
      <c r="R770" s="43"/>
      <c r="S770" s="49"/>
      <c r="T770" s="42"/>
      <c r="U770" s="42"/>
      <c r="V770" s="39" t="str">
        <f aca="false">IF($F770="","",IF(ISNUMBER(SEARCH("(externo)",$I770&amp;$J770&amp;$K770)),"Terceirizada","Interna"))</f>
        <v/>
      </c>
      <c r="W770" s="47" t="str">
        <f aca="false">IF($O770="","",IF($S770="",$O770,(DATE(Semana!$J$3,1,4)-WEEKDAY(DATE(Semana!$J$3,1,4),3))+($S770-1)*7+IF($M770="",0,MATCH($M770,Listas!$F$5:$F$11,0)-1)))</f>
        <v/>
      </c>
      <c r="X770" s="39" t="str">
        <f aca="false">IF($F770="","",IF(OR($AT770="",$O770=""),0,IF($AT770&lt;=$O770,1,0)))</f>
        <v/>
      </c>
      <c r="Y770" s="39" t="str">
        <f aca="false">IF($F770="","",IF(OR($AT770="",$W770=""),0,IF($AT770&lt;=$W770,1,0)))</f>
        <v/>
      </c>
      <c r="Z770" s="39" t="str">
        <f aca="false">IF(OR($AT770="",$O770=""),"",MAX(0,$AT770-$O770))</f>
        <v/>
      </c>
      <c r="AA770" s="39" t="str">
        <f aca="false">IF($F770="","",IF(AND($S770&lt;&gt;"",$L770&lt;&gt;"",$S770&lt;&gt;$L770),1,0))</f>
        <v/>
      </c>
      <c r="AB770" s="39" t="str">
        <f aca="false">IF($F770="","",IF($R770="Cancelada",0,IF(OR($AT770&lt;&gt;"",$R770="Concluída"),1,0)))</f>
        <v/>
      </c>
      <c r="AC770" s="39" t="n">
        <f aca="false">IF($P770="",0,IF($P770&lt;Hoje!$L$1,1,IF(AND($P770=Hoje!$L$1,Hoje!$L$2&gt;Semana!$M$3),1,0)))</f>
        <v>0</v>
      </c>
      <c r="AD770" s="39" t="str">
        <f aca="false">IF($F770="","",IF(COUNTA($I770:$K770)=0,0,1/COUNTA($I770:$K770)))</f>
        <v/>
      </c>
      <c r="AE770" s="39" t="str">
        <f aca="false">IF($AH770=0,"",SUM($AH$4:$AH770))</f>
        <v/>
      </c>
      <c r="AF770" s="39" t="str">
        <f aca="false">IF($AI770=0,"",SUM($AI$4:$AI770))</f>
        <v/>
      </c>
      <c r="AG770" s="50" t="str">
        <f aca="false">IF($F770="","",$I770&amp;IF($J770="",""," · "&amp;$J770)&amp;IF($K770="",""," · "&amp;$K770))</f>
        <v/>
      </c>
      <c r="AH770" s="39" t="n">
        <f aca="false">IF(AND($F770&lt;&gt;"",$O770&lt;&gt;"",$O770&lt;=Hoje!$C$3,$P770&gt;=Hoje!$C$3,$R770&lt;&gt;"Cancelada"),1,0)</f>
        <v>0</v>
      </c>
      <c r="AI770" s="39" t="n">
        <f aca="false">IF(AND($F770&lt;&gt;"",$P770&lt;&gt;"",$P770&lt;Hoje!$C$3,$AB770=0,$R770&lt;&gt;"Cancelada"),1,0)</f>
        <v>0</v>
      </c>
      <c r="AJ770" s="50" t="str">
        <f aca="false">IF($F770="","",$D770&amp;"|"&amp;$E770&amp;"|"&amp;$L770)</f>
        <v/>
      </c>
      <c r="AK770" s="39" t="str">
        <f aca="false">IF($AJ770="","",COUNTIF($AJ$4:$AJ770,$AJ770))</f>
        <v/>
      </c>
      <c r="AL770" s="39" t="str">
        <f aca="false">IF($AJ770="","",COUNTIF($AJ$4:$AJ$1004,$AJ770))</f>
        <v/>
      </c>
      <c r="AM770" s="42"/>
      <c r="AN770" s="50" t="str">
        <f aca="false">IF($D770="","",IFERROR(T(VLOOKUP($D770,Listas!$B$5:$H$120,7,0)),""))</f>
        <v/>
      </c>
      <c r="AO770" s="50" t="str">
        <f aca="false">IF(OR($F770="",$L770&lt;&gt;"",$R770="Cancelada",$AT770&lt;&gt;""),"",$AN770&amp;"|"&amp;$D770&amp;"|"&amp;IF($C770="","zzz",$C770)&amp;"|"&amp;TEXT(770,"0000"))</f>
        <v/>
      </c>
      <c r="AP770" s="50" t="str">
        <f aca="false">IF($AO770="","",COUNTIF($AO$5:$AO$1004,"&lt;"&amp;$AO770)-(ROWS($AO$5:$AO$1004)-Hoje!$L$5)+1)</f>
        <v/>
      </c>
      <c r="AQ770" s="50" t="n">
        <f aca="false">IF(AND($F770&lt;&gt;"",$D770=Frota!$C$3),1,0)</f>
        <v>0</v>
      </c>
      <c r="AR770" s="50" t="str">
        <f aca="false">IF($AQ770=0,"",SUM($AQ$4:$AQ770))</f>
        <v/>
      </c>
      <c r="AS770" s="50" t="str">
        <f aca="false">IFERROR(INDEX(Hoje!$K$10:$K$29,MATCH(ROW(),Hoje!$J$10:$J$29,0)),"")</f>
        <v/>
      </c>
      <c r="AT770" s="50" t="str">
        <f aca="false">IF($Q770&lt;&gt;"",$Q770,$AS770)</f>
        <v/>
      </c>
    </row>
    <row r="771" customFormat="false" ht="16.5" hidden="false" customHeight="true" outlineLevel="0" collapsed="false">
      <c r="A771" s="39" t="str">
        <f aca="false">IF($F771="","",ROW())</f>
        <v/>
      </c>
      <c r="B771" s="40" t="str">
        <f aca="false">IF($F771="",IF($D771="","","Falta a atividade"),IF($R771="Cancelada","Cancelada",IF($AB771=1,IF(N($Z771)&gt;0,"Concluída com atraso","Concluída"),IF($R771="Em programação","Em programação",IF($O771="",IF($M771="","Na carteira","Falta a semana"),IF($AC771=1,"VENCIDA",IF($O771&gt;Hoje!$L$1,"Programada",IF($P771&gt;Hoje!$L$1,"Em execução","Fecha hoje"))))))))</f>
        <v/>
      </c>
      <c r="C771" s="41"/>
      <c r="D771" s="42"/>
      <c r="E771" s="42"/>
      <c r="F771" s="42"/>
      <c r="G771" s="43"/>
      <c r="H771" s="43"/>
      <c r="I771" s="44"/>
      <c r="J771" s="44"/>
      <c r="K771" s="44"/>
      <c r="L771" s="45"/>
      <c r="M771" s="46"/>
      <c r="N771" s="45"/>
      <c r="O771" s="47" t="str">
        <f aca="false">IF(OR($L771="",$M771=""),"",(DATE(Semana!$J$3,1,4)-WEEKDAY(DATE(Semana!$J$3,1,4),3))+($L771-1)*7+MATCH($M771,Listas!$F$5:$F$11,0)-1)</f>
        <v/>
      </c>
      <c r="P771" s="47" t="str">
        <f aca="false">IF(OR($F771="",$O771=""),"",$O771+MAX(0,ROUNDUP($AK771*MAX(1,IF($N771="",1,$N771))/MAX(1,$AL771),0)-1))</f>
        <v/>
      </c>
      <c r="Q771" s="48"/>
      <c r="R771" s="43"/>
      <c r="S771" s="49"/>
      <c r="T771" s="42"/>
      <c r="U771" s="42"/>
      <c r="V771" s="39" t="str">
        <f aca="false">IF($F771="","",IF(ISNUMBER(SEARCH("(externo)",$I771&amp;$J771&amp;$K771)),"Terceirizada","Interna"))</f>
        <v/>
      </c>
      <c r="W771" s="47" t="str">
        <f aca="false">IF($O771="","",IF($S771="",$O771,(DATE(Semana!$J$3,1,4)-WEEKDAY(DATE(Semana!$J$3,1,4),3))+($S771-1)*7+IF($M771="",0,MATCH($M771,Listas!$F$5:$F$11,0)-1)))</f>
        <v/>
      </c>
      <c r="X771" s="39" t="str">
        <f aca="false">IF($F771="","",IF(OR($AT771="",$O771=""),0,IF($AT771&lt;=$O771,1,0)))</f>
        <v/>
      </c>
      <c r="Y771" s="39" t="str">
        <f aca="false">IF($F771="","",IF(OR($AT771="",$W771=""),0,IF($AT771&lt;=$W771,1,0)))</f>
        <v/>
      </c>
      <c r="Z771" s="39" t="str">
        <f aca="false">IF(OR($AT771="",$O771=""),"",MAX(0,$AT771-$O771))</f>
        <v/>
      </c>
      <c r="AA771" s="39" t="str">
        <f aca="false">IF($F771="","",IF(AND($S771&lt;&gt;"",$L771&lt;&gt;"",$S771&lt;&gt;$L771),1,0))</f>
        <v/>
      </c>
      <c r="AB771" s="39" t="str">
        <f aca="false">IF($F771="","",IF($R771="Cancelada",0,IF(OR($AT771&lt;&gt;"",$R771="Concluída"),1,0)))</f>
        <v/>
      </c>
      <c r="AC771" s="39" t="n">
        <f aca="false">IF($P771="",0,IF($P771&lt;Hoje!$L$1,1,IF(AND($P771=Hoje!$L$1,Hoje!$L$2&gt;Semana!$M$3),1,0)))</f>
        <v>0</v>
      </c>
      <c r="AD771" s="39" t="str">
        <f aca="false">IF($F771="","",IF(COUNTA($I771:$K771)=0,0,1/COUNTA($I771:$K771)))</f>
        <v/>
      </c>
      <c r="AE771" s="39" t="str">
        <f aca="false">IF($AH771=0,"",SUM($AH$4:$AH771))</f>
        <v/>
      </c>
      <c r="AF771" s="39" t="str">
        <f aca="false">IF($AI771=0,"",SUM($AI$4:$AI771))</f>
        <v/>
      </c>
      <c r="AG771" s="50" t="str">
        <f aca="false">IF($F771="","",$I771&amp;IF($J771="",""," · "&amp;$J771)&amp;IF($K771="",""," · "&amp;$K771))</f>
        <v/>
      </c>
      <c r="AH771" s="39" t="n">
        <f aca="false">IF(AND($F771&lt;&gt;"",$O771&lt;&gt;"",$O771&lt;=Hoje!$C$3,$P771&gt;=Hoje!$C$3,$R771&lt;&gt;"Cancelada"),1,0)</f>
        <v>0</v>
      </c>
      <c r="AI771" s="39" t="n">
        <f aca="false">IF(AND($F771&lt;&gt;"",$P771&lt;&gt;"",$P771&lt;Hoje!$C$3,$AB771=0,$R771&lt;&gt;"Cancelada"),1,0)</f>
        <v>0</v>
      </c>
      <c r="AJ771" s="50" t="str">
        <f aca="false">IF($F771="","",$D771&amp;"|"&amp;$E771&amp;"|"&amp;$L771)</f>
        <v/>
      </c>
      <c r="AK771" s="39" t="str">
        <f aca="false">IF($AJ771="","",COUNTIF($AJ$4:$AJ771,$AJ771))</f>
        <v/>
      </c>
      <c r="AL771" s="39" t="str">
        <f aca="false">IF($AJ771="","",COUNTIF($AJ$4:$AJ$1004,$AJ771))</f>
        <v/>
      </c>
      <c r="AM771" s="42"/>
      <c r="AN771" s="50" t="str">
        <f aca="false">IF($D771="","",IFERROR(T(VLOOKUP($D771,Listas!$B$5:$H$120,7,0)),""))</f>
        <v/>
      </c>
      <c r="AO771" s="50" t="str">
        <f aca="false">IF(OR($F771="",$L771&lt;&gt;"",$R771="Cancelada",$AT771&lt;&gt;""),"",$AN771&amp;"|"&amp;$D771&amp;"|"&amp;IF($C771="","zzz",$C771)&amp;"|"&amp;TEXT(771,"0000"))</f>
        <v/>
      </c>
      <c r="AP771" s="50" t="str">
        <f aca="false">IF($AO771="","",COUNTIF($AO$5:$AO$1004,"&lt;"&amp;$AO771)-(ROWS($AO$5:$AO$1004)-Hoje!$L$5)+1)</f>
        <v/>
      </c>
      <c r="AQ771" s="50" t="n">
        <f aca="false">IF(AND($F771&lt;&gt;"",$D771=Frota!$C$3),1,0)</f>
        <v>0</v>
      </c>
      <c r="AR771" s="50" t="str">
        <f aca="false">IF($AQ771=0,"",SUM($AQ$4:$AQ771))</f>
        <v/>
      </c>
      <c r="AS771" s="50" t="str">
        <f aca="false">IFERROR(INDEX(Hoje!$K$10:$K$29,MATCH(ROW(),Hoje!$J$10:$J$29,0)),"")</f>
        <v/>
      </c>
      <c r="AT771" s="50" t="str">
        <f aca="false">IF($Q771&lt;&gt;"",$Q771,$AS771)</f>
        <v/>
      </c>
    </row>
    <row r="772" customFormat="false" ht="16.5" hidden="false" customHeight="true" outlineLevel="0" collapsed="false">
      <c r="A772" s="39" t="str">
        <f aca="false">IF($F772="","",ROW())</f>
        <v/>
      </c>
      <c r="B772" s="40" t="str">
        <f aca="false">IF($F772="",IF($D772="","","Falta a atividade"),IF($R772="Cancelada","Cancelada",IF($AB772=1,IF(N($Z772)&gt;0,"Concluída com atraso","Concluída"),IF($R772="Em programação","Em programação",IF($O772="",IF($M772="","Na carteira","Falta a semana"),IF($AC772=1,"VENCIDA",IF($O772&gt;Hoje!$L$1,"Programada",IF($P772&gt;Hoje!$L$1,"Em execução","Fecha hoje"))))))))</f>
        <v/>
      </c>
      <c r="C772" s="41"/>
      <c r="D772" s="42"/>
      <c r="E772" s="42"/>
      <c r="F772" s="42"/>
      <c r="G772" s="43"/>
      <c r="H772" s="43"/>
      <c r="I772" s="44"/>
      <c r="J772" s="44"/>
      <c r="K772" s="44"/>
      <c r="L772" s="45"/>
      <c r="M772" s="46"/>
      <c r="N772" s="45"/>
      <c r="O772" s="47" t="str">
        <f aca="false">IF(OR($L772="",$M772=""),"",(DATE(Semana!$J$3,1,4)-WEEKDAY(DATE(Semana!$J$3,1,4),3))+($L772-1)*7+MATCH($M772,Listas!$F$5:$F$11,0)-1)</f>
        <v/>
      </c>
      <c r="P772" s="47" t="str">
        <f aca="false">IF(OR($F772="",$O772=""),"",$O772+MAX(0,ROUNDUP($AK772*MAX(1,IF($N772="",1,$N772))/MAX(1,$AL772),0)-1))</f>
        <v/>
      </c>
      <c r="Q772" s="48"/>
      <c r="R772" s="43"/>
      <c r="S772" s="49"/>
      <c r="T772" s="42"/>
      <c r="U772" s="42"/>
      <c r="V772" s="39" t="str">
        <f aca="false">IF($F772="","",IF(ISNUMBER(SEARCH("(externo)",$I772&amp;$J772&amp;$K772)),"Terceirizada","Interna"))</f>
        <v/>
      </c>
      <c r="W772" s="47" t="str">
        <f aca="false">IF($O772="","",IF($S772="",$O772,(DATE(Semana!$J$3,1,4)-WEEKDAY(DATE(Semana!$J$3,1,4),3))+($S772-1)*7+IF($M772="",0,MATCH($M772,Listas!$F$5:$F$11,0)-1)))</f>
        <v/>
      </c>
      <c r="X772" s="39" t="str">
        <f aca="false">IF($F772="","",IF(OR($AT772="",$O772=""),0,IF($AT772&lt;=$O772,1,0)))</f>
        <v/>
      </c>
      <c r="Y772" s="39" t="str">
        <f aca="false">IF($F772="","",IF(OR($AT772="",$W772=""),0,IF($AT772&lt;=$W772,1,0)))</f>
        <v/>
      </c>
      <c r="Z772" s="39" t="str">
        <f aca="false">IF(OR($AT772="",$O772=""),"",MAX(0,$AT772-$O772))</f>
        <v/>
      </c>
      <c r="AA772" s="39" t="str">
        <f aca="false">IF($F772="","",IF(AND($S772&lt;&gt;"",$L772&lt;&gt;"",$S772&lt;&gt;$L772),1,0))</f>
        <v/>
      </c>
      <c r="AB772" s="39" t="str">
        <f aca="false">IF($F772="","",IF($R772="Cancelada",0,IF(OR($AT772&lt;&gt;"",$R772="Concluída"),1,0)))</f>
        <v/>
      </c>
      <c r="AC772" s="39" t="n">
        <f aca="false">IF($P772="",0,IF($P772&lt;Hoje!$L$1,1,IF(AND($P772=Hoje!$L$1,Hoje!$L$2&gt;Semana!$M$3),1,0)))</f>
        <v>0</v>
      </c>
      <c r="AD772" s="39" t="str">
        <f aca="false">IF($F772="","",IF(COUNTA($I772:$K772)=0,0,1/COUNTA($I772:$K772)))</f>
        <v/>
      </c>
      <c r="AE772" s="39" t="str">
        <f aca="false">IF($AH772=0,"",SUM($AH$4:$AH772))</f>
        <v/>
      </c>
      <c r="AF772" s="39" t="str">
        <f aca="false">IF($AI772=0,"",SUM($AI$4:$AI772))</f>
        <v/>
      </c>
      <c r="AG772" s="50" t="str">
        <f aca="false">IF($F772="","",$I772&amp;IF($J772="",""," · "&amp;$J772)&amp;IF($K772="",""," · "&amp;$K772))</f>
        <v/>
      </c>
      <c r="AH772" s="39" t="n">
        <f aca="false">IF(AND($F772&lt;&gt;"",$O772&lt;&gt;"",$O772&lt;=Hoje!$C$3,$P772&gt;=Hoje!$C$3,$R772&lt;&gt;"Cancelada"),1,0)</f>
        <v>0</v>
      </c>
      <c r="AI772" s="39" t="n">
        <f aca="false">IF(AND($F772&lt;&gt;"",$P772&lt;&gt;"",$P772&lt;Hoje!$C$3,$AB772=0,$R772&lt;&gt;"Cancelada"),1,0)</f>
        <v>0</v>
      </c>
      <c r="AJ772" s="50" t="str">
        <f aca="false">IF($F772="","",$D772&amp;"|"&amp;$E772&amp;"|"&amp;$L772)</f>
        <v/>
      </c>
      <c r="AK772" s="39" t="str">
        <f aca="false">IF($AJ772="","",COUNTIF($AJ$4:$AJ772,$AJ772))</f>
        <v/>
      </c>
      <c r="AL772" s="39" t="str">
        <f aca="false">IF($AJ772="","",COUNTIF($AJ$4:$AJ$1004,$AJ772))</f>
        <v/>
      </c>
      <c r="AM772" s="42"/>
      <c r="AN772" s="50" t="str">
        <f aca="false">IF($D772="","",IFERROR(T(VLOOKUP($D772,Listas!$B$5:$H$120,7,0)),""))</f>
        <v/>
      </c>
      <c r="AO772" s="50" t="str">
        <f aca="false">IF(OR($F772="",$L772&lt;&gt;"",$R772="Cancelada",$AT772&lt;&gt;""),"",$AN772&amp;"|"&amp;$D772&amp;"|"&amp;IF($C772="","zzz",$C772)&amp;"|"&amp;TEXT(772,"0000"))</f>
        <v/>
      </c>
      <c r="AP772" s="50" t="str">
        <f aca="false">IF($AO772="","",COUNTIF($AO$5:$AO$1004,"&lt;"&amp;$AO772)-(ROWS($AO$5:$AO$1004)-Hoje!$L$5)+1)</f>
        <v/>
      </c>
      <c r="AQ772" s="50" t="n">
        <f aca="false">IF(AND($F772&lt;&gt;"",$D772=Frota!$C$3),1,0)</f>
        <v>0</v>
      </c>
      <c r="AR772" s="50" t="str">
        <f aca="false">IF($AQ772=0,"",SUM($AQ$4:$AQ772))</f>
        <v/>
      </c>
      <c r="AS772" s="50" t="str">
        <f aca="false">IFERROR(INDEX(Hoje!$K$10:$K$29,MATCH(ROW(),Hoje!$J$10:$J$29,0)),"")</f>
        <v/>
      </c>
      <c r="AT772" s="50" t="str">
        <f aca="false">IF($Q772&lt;&gt;"",$Q772,$AS772)</f>
        <v/>
      </c>
    </row>
    <row r="773" customFormat="false" ht="16.5" hidden="false" customHeight="true" outlineLevel="0" collapsed="false">
      <c r="A773" s="39" t="str">
        <f aca="false">IF($F773="","",ROW())</f>
        <v/>
      </c>
      <c r="B773" s="40" t="str">
        <f aca="false">IF($F773="",IF($D773="","","Falta a atividade"),IF($R773="Cancelada","Cancelada",IF($AB773=1,IF(N($Z773)&gt;0,"Concluída com atraso","Concluída"),IF($R773="Em programação","Em programação",IF($O773="",IF($M773="","Na carteira","Falta a semana"),IF($AC773=1,"VENCIDA",IF($O773&gt;Hoje!$L$1,"Programada",IF($P773&gt;Hoje!$L$1,"Em execução","Fecha hoje"))))))))</f>
        <v/>
      </c>
      <c r="C773" s="41"/>
      <c r="D773" s="42"/>
      <c r="E773" s="42"/>
      <c r="F773" s="42"/>
      <c r="G773" s="43"/>
      <c r="H773" s="43"/>
      <c r="I773" s="44"/>
      <c r="J773" s="44"/>
      <c r="K773" s="44"/>
      <c r="L773" s="45"/>
      <c r="M773" s="46"/>
      <c r="N773" s="45"/>
      <c r="O773" s="47" t="str">
        <f aca="false">IF(OR($L773="",$M773=""),"",(DATE(Semana!$J$3,1,4)-WEEKDAY(DATE(Semana!$J$3,1,4),3))+($L773-1)*7+MATCH($M773,Listas!$F$5:$F$11,0)-1)</f>
        <v/>
      </c>
      <c r="P773" s="47" t="str">
        <f aca="false">IF(OR($F773="",$O773=""),"",$O773+MAX(0,ROUNDUP($AK773*MAX(1,IF($N773="",1,$N773))/MAX(1,$AL773),0)-1))</f>
        <v/>
      </c>
      <c r="Q773" s="48"/>
      <c r="R773" s="43"/>
      <c r="S773" s="49"/>
      <c r="T773" s="42"/>
      <c r="U773" s="42"/>
      <c r="V773" s="39" t="str">
        <f aca="false">IF($F773="","",IF(ISNUMBER(SEARCH("(externo)",$I773&amp;$J773&amp;$K773)),"Terceirizada","Interna"))</f>
        <v/>
      </c>
      <c r="W773" s="47" t="str">
        <f aca="false">IF($O773="","",IF($S773="",$O773,(DATE(Semana!$J$3,1,4)-WEEKDAY(DATE(Semana!$J$3,1,4),3))+($S773-1)*7+IF($M773="",0,MATCH($M773,Listas!$F$5:$F$11,0)-1)))</f>
        <v/>
      </c>
      <c r="X773" s="39" t="str">
        <f aca="false">IF($F773="","",IF(OR($AT773="",$O773=""),0,IF($AT773&lt;=$O773,1,0)))</f>
        <v/>
      </c>
      <c r="Y773" s="39" t="str">
        <f aca="false">IF($F773="","",IF(OR($AT773="",$W773=""),0,IF($AT773&lt;=$W773,1,0)))</f>
        <v/>
      </c>
      <c r="Z773" s="39" t="str">
        <f aca="false">IF(OR($AT773="",$O773=""),"",MAX(0,$AT773-$O773))</f>
        <v/>
      </c>
      <c r="AA773" s="39" t="str">
        <f aca="false">IF($F773="","",IF(AND($S773&lt;&gt;"",$L773&lt;&gt;"",$S773&lt;&gt;$L773),1,0))</f>
        <v/>
      </c>
      <c r="AB773" s="39" t="str">
        <f aca="false">IF($F773="","",IF($R773="Cancelada",0,IF(OR($AT773&lt;&gt;"",$R773="Concluída"),1,0)))</f>
        <v/>
      </c>
      <c r="AC773" s="39" t="n">
        <f aca="false">IF($P773="",0,IF($P773&lt;Hoje!$L$1,1,IF(AND($P773=Hoje!$L$1,Hoje!$L$2&gt;Semana!$M$3),1,0)))</f>
        <v>0</v>
      </c>
      <c r="AD773" s="39" t="str">
        <f aca="false">IF($F773="","",IF(COUNTA($I773:$K773)=0,0,1/COUNTA($I773:$K773)))</f>
        <v/>
      </c>
      <c r="AE773" s="39" t="str">
        <f aca="false">IF($AH773=0,"",SUM($AH$4:$AH773))</f>
        <v/>
      </c>
      <c r="AF773" s="39" t="str">
        <f aca="false">IF($AI773=0,"",SUM($AI$4:$AI773))</f>
        <v/>
      </c>
      <c r="AG773" s="50" t="str">
        <f aca="false">IF($F773="","",$I773&amp;IF($J773="",""," · "&amp;$J773)&amp;IF($K773="",""," · "&amp;$K773))</f>
        <v/>
      </c>
      <c r="AH773" s="39" t="n">
        <f aca="false">IF(AND($F773&lt;&gt;"",$O773&lt;&gt;"",$O773&lt;=Hoje!$C$3,$P773&gt;=Hoje!$C$3,$R773&lt;&gt;"Cancelada"),1,0)</f>
        <v>0</v>
      </c>
      <c r="AI773" s="39" t="n">
        <f aca="false">IF(AND($F773&lt;&gt;"",$P773&lt;&gt;"",$P773&lt;Hoje!$C$3,$AB773=0,$R773&lt;&gt;"Cancelada"),1,0)</f>
        <v>0</v>
      </c>
      <c r="AJ773" s="50" t="str">
        <f aca="false">IF($F773="","",$D773&amp;"|"&amp;$E773&amp;"|"&amp;$L773)</f>
        <v/>
      </c>
      <c r="AK773" s="39" t="str">
        <f aca="false">IF($AJ773="","",COUNTIF($AJ$4:$AJ773,$AJ773))</f>
        <v/>
      </c>
      <c r="AL773" s="39" t="str">
        <f aca="false">IF($AJ773="","",COUNTIF($AJ$4:$AJ$1004,$AJ773))</f>
        <v/>
      </c>
      <c r="AM773" s="42"/>
      <c r="AN773" s="50" t="str">
        <f aca="false">IF($D773="","",IFERROR(T(VLOOKUP($D773,Listas!$B$5:$H$120,7,0)),""))</f>
        <v/>
      </c>
      <c r="AO773" s="50" t="str">
        <f aca="false">IF(OR($F773="",$L773&lt;&gt;"",$R773="Cancelada",$AT773&lt;&gt;""),"",$AN773&amp;"|"&amp;$D773&amp;"|"&amp;IF($C773="","zzz",$C773)&amp;"|"&amp;TEXT(773,"0000"))</f>
        <v/>
      </c>
      <c r="AP773" s="50" t="str">
        <f aca="false">IF($AO773="","",COUNTIF($AO$5:$AO$1004,"&lt;"&amp;$AO773)-(ROWS($AO$5:$AO$1004)-Hoje!$L$5)+1)</f>
        <v/>
      </c>
      <c r="AQ773" s="50" t="n">
        <f aca="false">IF(AND($F773&lt;&gt;"",$D773=Frota!$C$3),1,0)</f>
        <v>0</v>
      </c>
      <c r="AR773" s="50" t="str">
        <f aca="false">IF($AQ773=0,"",SUM($AQ$4:$AQ773))</f>
        <v/>
      </c>
      <c r="AS773" s="50" t="str">
        <f aca="false">IFERROR(INDEX(Hoje!$K$10:$K$29,MATCH(ROW(),Hoje!$J$10:$J$29,0)),"")</f>
        <v/>
      </c>
      <c r="AT773" s="50" t="str">
        <f aca="false">IF($Q773&lt;&gt;"",$Q773,$AS773)</f>
        <v/>
      </c>
    </row>
    <row r="774" customFormat="false" ht="16.5" hidden="false" customHeight="true" outlineLevel="0" collapsed="false">
      <c r="A774" s="39" t="str">
        <f aca="false">IF($F774="","",ROW())</f>
        <v/>
      </c>
      <c r="B774" s="40" t="str">
        <f aca="false">IF($F774="",IF($D774="","","Falta a atividade"),IF($R774="Cancelada","Cancelada",IF($AB774=1,IF(N($Z774)&gt;0,"Concluída com atraso","Concluída"),IF($R774="Em programação","Em programação",IF($O774="",IF($M774="","Na carteira","Falta a semana"),IF($AC774=1,"VENCIDA",IF($O774&gt;Hoje!$L$1,"Programada",IF($P774&gt;Hoje!$L$1,"Em execução","Fecha hoje"))))))))</f>
        <v/>
      </c>
      <c r="C774" s="41"/>
      <c r="D774" s="42"/>
      <c r="E774" s="42"/>
      <c r="F774" s="42"/>
      <c r="G774" s="43"/>
      <c r="H774" s="43"/>
      <c r="I774" s="44"/>
      <c r="J774" s="44"/>
      <c r="K774" s="44"/>
      <c r="L774" s="45"/>
      <c r="M774" s="46"/>
      <c r="N774" s="45"/>
      <c r="O774" s="47" t="str">
        <f aca="false">IF(OR($L774="",$M774=""),"",(DATE(Semana!$J$3,1,4)-WEEKDAY(DATE(Semana!$J$3,1,4),3))+($L774-1)*7+MATCH($M774,Listas!$F$5:$F$11,0)-1)</f>
        <v/>
      </c>
      <c r="P774" s="47" t="str">
        <f aca="false">IF(OR($F774="",$O774=""),"",$O774+MAX(0,ROUNDUP($AK774*MAX(1,IF($N774="",1,$N774))/MAX(1,$AL774),0)-1))</f>
        <v/>
      </c>
      <c r="Q774" s="48"/>
      <c r="R774" s="43"/>
      <c r="S774" s="49"/>
      <c r="T774" s="42"/>
      <c r="U774" s="42"/>
      <c r="V774" s="39" t="str">
        <f aca="false">IF($F774="","",IF(ISNUMBER(SEARCH("(externo)",$I774&amp;$J774&amp;$K774)),"Terceirizada","Interna"))</f>
        <v/>
      </c>
      <c r="W774" s="47" t="str">
        <f aca="false">IF($O774="","",IF($S774="",$O774,(DATE(Semana!$J$3,1,4)-WEEKDAY(DATE(Semana!$J$3,1,4),3))+($S774-1)*7+IF($M774="",0,MATCH($M774,Listas!$F$5:$F$11,0)-1)))</f>
        <v/>
      </c>
      <c r="X774" s="39" t="str">
        <f aca="false">IF($F774="","",IF(OR($AT774="",$O774=""),0,IF($AT774&lt;=$O774,1,0)))</f>
        <v/>
      </c>
      <c r="Y774" s="39" t="str">
        <f aca="false">IF($F774="","",IF(OR($AT774="",$W774=""),0,IF($AT774&lt;=$W774,1,0)))</f>
        <v/>
      </c>
      <c r="Z774" s="39" t="str">
        <f aca="false">IF(OR($AT774="",$O774=""),"",MAX(0,$AT774-$O774))</f>
        <v/>
      </c>
      <c r="AA774" s="39" t="str">
        <f aca="false">IF($F774="","",IF(AND($S774&lt;&gt;"",$L774&lt;&gt;"",$S774&lt;&gt;$L774),1,0))</f>
        <v/>
      </c>
      <c r="AB774" s="39" t="str">
        <f aca="false">IF($F774="","",IF($R774="Cancelada",0,IF(OR($AT774&lt;&gt;"",$R774="Concluída"),1,0)))</f>
        <v/>
      </c>
      <c r="AC774" s="39" t="n">
        <f aca="false">IF($P774="",0,IF($P774&lt;Hoje!$L$1,1,IF(AND($P774=Hoje!$L$1,Hoje!$L$2&gt;Semana!$M$3),1,0)))</f>
        <v>0</v>
      </c>
      <c r="AD774" s="39" t="str">
        <f aca="false">IF($F774="","",IF(COUNTA($I774:$K774)=0,0,1/COUNTA($I774:$K774)))</f>
        <v/>
      </c>
      <c r="AE774" s="39" t="str">
        <f aca="false">IF($AH774=0,"",SUM($AH$4:$AH774))</f>
        <v/>
      </c>
      <c r="AF774" s="39" t="str">
        <f aca="false">IF($AI774=0,"",SUM($AI$4:$AI774))</f>
        <v/>
      </c>
      <c r="AG774" s="50" t="str">
        <f aca="false">IF($F774="","",$I774&amp;IF($J774="",""," · "&amp;$J774)&amp;IF($K774="",""," · "&amp;$K774))</f>
        <v/>
      </c>
      <c r="AH774" s="39" t="n">
        <f aca="false">IF(AND($F774&lt;&gt;"",$O774&lt;&gt;"",$O774&lt;=Hoje!$C$3,$P774&gt;=Hoje!$C$3,$R774&lt;&gt;"Cancelada"),1,0)</f>
        <v>0</v>
      </c>
      <c r="AI774" s="39" t="n">
        <f aca="false">IF(AND($F774&lt;&gt;"",$P774&lt;&gt;"",$P774&lt;Hoje!$C$3,$AB774=0,$R774&lt;&gt;"Cancelada"),1,0)</f>
        <v>0</v>
      </c>
      <c r="AJ774" s="50" t="str">
        <f aca="false">IF($F774="","",$D774&amp;"|"&amp;$E774&amp;"|"&amp;$L774)</f>
        <v/>
      </c>
      <c r="AK774" s="39" t="str">
        <f aca="false">IF($AJ774="","",COUNTIF($AJ$4:$AJ774,$AJ774))</f>
        <v/>
      </c>
      <c r="AL774" s="39" t="str">
        <f aca="false">IF($AJ774="","",COUNTIF($AJ$4:$AJ$1004,$AJ774))</f>
        <v/>
      </c>
      <c r="AM774" s="42"/>
      <c r="AN774" s="50" t="str">
        <f aca="false">IF($D774="","",IFERROR(T(VLOOKUP($D774,Listas!$B$5:$H$120,7,0)),""))</f>
        <v/>
      </c>
      <c r="AO774" s="50" t="str">
        <f aca="false">IF(OR($F774="",$L774&lt;&gt;"",$R774="Cancelada",$AT774&lt;&gt;""),"",$AN774&amp;"|"&amp;$D774&amp;"|"&amp;IF($C774="","zzz",$C774)&amp;"|"&amp;TEXT(774,"0000"))</f>
        <v/>
      </c>
      <c r="AP774" s="50" t="str">
        <f aca="false">IF($AO774="","",COUNTIF($AO$5:$AO$1004,"&lt;"&amp;$AO774)-(ROWS($AO$5:$AO$1004)-Hoje!$L$5)+1)</f>
        <v/>
      </c>
      <c r="AQ774" s="50" t="n">
        <f aca="false">IF(AND($F774&lt;&gt;"",$D774=Frota!$C$3),1,0)</f>
        <v>0</v>
      </c>
      <c r="AR774" s="50" t="str">
        <f aca="false">IF($AQ774=0,"",SUM($AQ$4:$AQ774))</f>
        <v/>
      </c>
      <c r="AS774" s="50" t="str">
        <f aca="false">IFERROR(INDEX(Hoje!$K$10:$K$29,MATCH(ROW(),Hoje!$J$10:$J$29,0)),"")</f>
        <v/>
      </c>
      <c r="AT774" s="50" t="str">
        <f aca="false">IF($Q774&lt;&gt;"",$Q774,$AS774)</f>
        <v/>
      </c>
    </row>
    <row r="775" customFormat="false" ht="16.5" hidden="false" customHeight="true" outlineLevel="0" collapsed="false">
      <c r="A775" s="39" t="str">
        <f aca="false">IF($F775="","",ROW())</f>
        <v/>
      </c>
      <c r="B775" s="40" t="str">
        <f aca="false">IF($F775="",IF($D775="","","Falta a atividade"),IF($R775="Cancelada","Cancelada",IF($AB775=1,IF(N($Z775)&gt;0,"Concluída com atraso","Concluída"),IF($R775="Em programação","Em programação",IF($O775="",IF($M775="","Na carteira","Falta a semana"),IF($AC775=1,"VENCIDA",IF($O775&gt;Hoje!$L$1,"Programada",IF($P775&gt;Hoje!$L$1,"Em execução","Fecha hoje"))))))))</f>
        <v/>
      </c>
      <c r="C775" s="41"/>
      <c r="D775" s="42"/>
      <c r="E775" s="42"/>
      <c r="F775" s="42"/>
      <c r="G775" s="43"/>
      <c r="H775" s="43"/>
      <c r="I775" s="44"/>
      <c r="J775" s="44"/>
      <c r="K775" s="44"/>
      <c r="L775" s="45"/>
      <c r="M775" s="46"/>
      <c r="N775" s="45"/>
      <c r="O775" s="47" t="str">
        <f aca="false">IF(OR($L775="",$M775=""),"",(DATE(Semana!$J$3,1,4)-WEEKDAY(DATE(Semana!$J$3,1,4),3))+($L775-1)*7+MATCH($M775,Listas!$F$5:$F$11,0)-1)</f>
        <v/>
      </c>
      <c r="P775" s="47" t="str">
        <f aca="false">IF(OR($F775="",$O775=""),"",$O775+MAX(0,ROUNDUP($AK775*MAX(1,IF($N775="",1,$N775))/MAX(1,$AL775),0)-1))</f>
        <v/>
      </c>
      <c r="Q775" s="48"/>
      <c r="R775" s="43"/>
      <c r="S775" s="49"/>
      <c r="T775" s="42"/>
      <c r="U775" s="42"/>
      <c r="V775" s="39" t="str">
        <f aca="false">IF($F775="","",IF(ISNUMBER(SEARCH("(externo)",$I775&amp;$J775&amp;$K775)),"Terceirizada","Interna"))</f>
        <v/>
      </c>
      <c r="W775" s="47" t="str">
        <f aca="false">IF($O775="","",IF($S775="",$O775,(DATE(Semana!$J$3,1,4)-WEEKDAY(DATE(Semana!$J$3,1,4),3))+($S775-1)*7+IF($M775="",0,MATCH($M775,Listas!$F$5:$F$11,0)-1)))</f>
        <v/>
      </c>
      <c r="X775" s="39" t="str">
        <f aca="false">IF($F775="","",IF(OR($AT775="",$O775=""),0,IF($AT775&lt;=$O775,1,0)))</f>
        <v/>
      </c>
      <c r="Y775" s="39" t="str">
        <f aca="false">IF($F775="","",IF(OR($AT775="",$W775=""),0,IF($AT775&lt;=$W775,1,0)))</f>
        <v/>
      </c>
      <c r="Z775" s="39" t="str">
        <f aca="false">IF(OR($AT775="",$O775=""),"",MAX(0,$AT775-$O775))</f>
        <v/>
      </c>
      <c r="AA775" s="39" t="str">
        <f aca="false">IF($F775="","",IF(AND($S775&lt;&gt;"",$L775&lt;&gt;"",$S775&lt;&gt;$L775),1,0))</f>
        <v/>
      </c>
      <c r="AB775" s="39" t="str">
        <f aca="false">IF($F775="","",IF($R775="Cancelada",0,IF(OR($AT775&lt;&gt;"",$R775="Concluída"),1,0)))</f>
        <v/>
      </c>
      <c r="AC775" s="39" t="n">
        <f aca="false">IF($P775="",0,IF($P775&lt;Hoje!$L$1,1,IF(AND($P775=Hoje!$L$1,Hoje!$L$2&gt;Semana!$M$3),1,0)))</f>
        <v>0</v>
      </c>
      <c r="AD775" s="39" t="str">
        <f aca="false">IF($F775="","",IF(COUNTA($I775:$K775)=0,0,1/COUNTA($I775:$K775)))</f>
        <v/>
      </c>
      <c r="AE775" s="39" t="str">
        <f aca="false">IF($AH775=0,"",SUM($AH$4:$AH775))</f>
        <v/>
      </c>
      <c r="AF775" s="39" t="str">
        <f aca="false">IF($AI775=0,"",SUM($AI$4:$AI775))</f>
        <v/>
      </c>
      <c r="AG775" s="50" t="str">
        <f aca="false">IF($F775="","",$I775&amp;IF($J775="",""," · "&amp;$J775)&amp;IF($K775="",""," · "&amp;$K775))</f>
        <v/>
      </c>
      <c r="AH775" s="39" t="n">
        <f aca="false">IF(AND($F775&lt;&gt;"",$O775&lt;&gt;"",$O775&lt;=Hoje!$C$3,$P775&gt;=Hoje!$C$3,$R775&lt;&gt;"Cancelada"),1,0)</f>
        <v>0</v>
      </c>
      <c r="AI775" s="39" t="n">
        <f aca="false">IF(AND($F775&lt;&gt;"",$P775&lt;&gt;"",$P775&lt;Hoje!$C$3,$AB775=0,$R775&lt;&gt;"Cancelada"),1,0)</f>
        <v>0</v>
      </c>
      <c r="AJ775" s="50" t="str">
        <f aca="false">IF($F775="","",$D775&amp;"|"&amp;$E775&amp;"|"&amp;$L775)</f>
        <v/>
      </c>
      <c r="AK775" s="39" t="str">
        <f aca="false">IF($AJ775="","",COUNTIF($AJ$4:$AJ775,$AJ775))</f>
        <v/>
      </c>
      <c r="AL775" s="39" t="str">
        <f aca="false">IF($AJ775="","",COUNTIF($AJ$4:$AJ$1004,$AJ775))</f>
        <v/>
      </c>
      <c r="AM775" s="42"/>
      <c r="AN775" s="50" t="str">
        <f aca="false">IF($D775="","",IFERROR(T(VLOOKUP($D775,Listas!$B$5:$H$120,7,0)),""))</f>
        <v/>
      </c>
      <c r="AO775" s="50" t="str">
        <f aca="false">IF(OR($F775="",$L775&lt;&gt;"",$R775="Cancelada",$AT775&lt;&gt;""),"",$AN775&amp;"|"&amp;$D775&amp;"|"&amp;IF($C775="","zzz",$C775)&amp;"|"&amp;TEXT(775,"0000"))</f>
        <v/>
      </c>
      <c r="AP775" s="50" t="str">
        <f aca="false">IF($AO775="","",COUNTIF($AO$5:$AO$1004,"&lt;"&amp;$AO775)-(ROWS($AO$5:$AO$1004)-Hoje!$L$5)+1)</f>
        <v/>
      </c>
      <c r="AQ775" s="50" t="n">
        <f aca="false">IF(AND($F775&lt;&gt;"",$D775=Frota!$C$3),1,0)</f>
        <v>0</v>
      </c>
      <c r="AR775" s="50" t="str">
        <f aca="false">IF($AQ775=0,"",SUM($AQ$4:$AQ775))</f>
        <v/>
      </c>
      <c r="AS775" s="50" t="str">
        <f aca="false">IFERROR(INDEX(Hoje!$K$10:$K$29,MATCH(ROW(),Hoje!$J$10:$J$29,0)),"")</f>
        <v/>
      </c>
      <c r="AT775" s="50" t="str">
        <f aca="false">IF($Q775&lt;&gt;"",$Q775,$AS775)</f>
        <v/>
      </c>
    </row>
    <row r="776" customFormat="false" ht="16.5" hidden="false" customHeight="true" outlineLevel="0" collapsed="false">
      <c r="A776" s="39" t="str">
        <f aca="false">IF($F776="","",ROW())</f>
        <v/>
      </c>
      <c r="B776" s="40" t="str">
        <f aca="false">IF($F776="",IF($D776="","","Falta a atividade"),IF($R776="Cancelada","Cancelada",IF($AB776=1,IF(N($Z776)&gt;0,"Concluída com atraso","Concluída"),IF($R776="Em programação","Em programação",IF($O776="",IF($M776="","Na carteira","Falta a semana"),IF($AC776=1,"VENCIDA",IF($O776&gt;Hoje!$L$1,"Programada",IF($P776&gt;Hoje!$L$1,"Em execução","Fecha hoje"))))))))</f>
        <v/>
      </c>
      <c r="C776" s="41"/>
      <c r="D776" s="42"/>
      <c r="E776" s="42"/>
      <c r="F776" s="42"/>
      <c r="G776" s="43"/>
      <c r="H776" s="43"/>
      <c r="I776" s="44"/>
      <c r="J776" s="44"/>
      <c r="K776" s="44"/>
      <c r="L776" s="45"/>
      <c r="M776" s="46"/>
      <c r="N776" s="45"/>
      <c r="O776" s="47" t="str">
        <f aca="false">IF(OR($L776="",$M776=""),"",(DATE(Semana!$J$3,1,4)-WEEKDAY(DATE(Semana!$J$3,1,4),3))+($L776-1)*7+MATCH($M776,Listas!$F$5:$F$11,0)-1)</f>
        <v/>
      </c>
      <c r="P776" s="47" t="str">
        <f aca="false">IF(OR($F776="",$O776=""),"",$O776+MAX(0,ROUNDUP($AK776*MAX(1,IF($N776="",1,$N776))/MAX(1,$AL776),0)-1))</f>
        <v/>
      </c>
      <c r="Q776" s="48"/>
      <c r="R776" s="43"/>
      <c r="S776" s="49"/>
      <c r="T776" s="42"/>
      <c r="U776" s="42"/>
      <c r="V776" s="39" t="str">
        <f aca="false">IF($F776="","",IF(ISNUMBER(SEARCH("(externo)",$I776&amp;$J776&amp;$K776)),"Terceirizada","Interna"))</f>
        <v/>
      </c>
      <c r="W776" s="47" t="str">
        <f aca="false">IF($O776="","",IF($S776="",$O776,(DATE(Semana!$J$3,1,4)-WEEKDAY(DATE(Semana!$J$3,1,4),3))+($S776-1)*7+IF($M776="",0,MATCH($M776,Listas!$F$5:$F$11,0)-1)))</f>
        <v/>
      </c>
      <c r="X776" s="39" t="str">
        <f aca="false">IF($F776="","",IF(OR($AT776="",$O776=""),0,IF($AT776&lt;=$O776,1,0)))</f>
        <v/>
      </c>
      <c r="Y776" s="39" t="str">
        <f aca="false">IF($F776="","",IF(OR($AT776="",$W776=""),0,IF($AT776&lt;=$W776,1,0)))</f>
        <v/>
      </c>
      <c r="Z776" s="39" t="str">
        <f aca="false">IF(OR($AT776="",$O776=""),"",MAX(0,$AT776-$O776))</f>
        <v/>
      </c>
      <c r="AA776" s="39" t="str">
        <f aca="false">IF($F776="","",IF(AND($S776&lt;&gt;"",$L776&lt;&gt;"",$S776&lt;&gt;$L776),1,0))</f>
        <v/>
      </c>
      <c r="AB776" s="39" t="str">
        <f aca="false">IF($F776="","",IF($R776="Cancelada",0,IF(OR($AT776&lt;&gt;"",$R776="Concluída"),1,0)))</f>
        <v/>
      </c>
      <c r="AC776" s="39" t="n">
        <f aca="false">IF($P776="",0,IF($P776&lt;Hoje!$L$1,1,IF(AND($P776=Hoje!$L$1,Hoje!$L$2&gt;Semana!$M$3),1,0)))</f>
        <v>0</v>
      </c>
      <c r="AD776" s="39" t="str">
        <f aca="false">IF($F776="","",IF(COUNTA($I776:$K776)=0,0,1/COUNTA($I776:$K776)))</f>
        <v/>
      </c>
      <c r="AE776" s="39" t="str">
        <f aca="false">IF($AH776=0,"",SUM($AH$4:$AH776))</f>
        <v/>
      </c>
      <c r="AF776" s="39" t="str">
        <f aca="false">IF($AI776=0,"",SUM($AI$4:$AI776))</f>
        <v/>
      </c>
      <c r="AG776" s="50" t="str">
        <f aca="false">IF($F776="","",$I776&amp;IF($J776="",""," · "&amp;$J776)&amp;IF($K776="",""," · "&amp;$K776))</f>
        <v/>
      </c>
      <c r="AH776" s="39" t="n">
        <f aca="false">IF(AND($F776&lt;&gt;"",$O776&lt;&gt;"",$O776&lt;=Hoje!$C$3,$P776&gt;=Hoje!$C$3,$R776&lt;&gt;"Cancelada"),1,0)</f>
        <v>0</v>
      </c>
      <c r="AI776" s="39" t="n">
        <f aca="false">IF(AND($F776&lt;&gt;"",$P776&lt;&gt;"",$P776&lt;Hoje!$C$3,$AB776=0,$R776&lt;&gt;"Cancelada"),1,0)</f>
        <v>0</v>
      </c>
      <c r="AJ776" s="50" t="str">
        <f aca="false">IF($F776="","",$D776&amp;"|"&amp;$E776&amp;"|"&amp;$L776)</f>
        <v/>
      </c>
      <c r="AK776" s="39" t="str">
        <f aca="false">IF($AJ776="","",COUNTIF($AJ$4:$AJ776,$AJ776))</f>
        <v/>
      </c>
      <c r="AL776" s="39" t="str">
        <f aca="false">IF($AJ776="","",COUNTIF($AJ$4:$AJ$1004,$AJ776))</f>
        <v/>
      </c>
      <c r="AM776" s="42"/>
      <c r="AN776" s="50" t="str">
        <f aca="false">IF($D776="","",IFERROR(T(VLOOKUP($D776,Listas!$B$5:$H$120,7,0)),""))</f>
        <v/>
      </c>
      <c r="AO776" s="50" t="str">
        <f aca="false">IF(OR($F776="",$L776&lt;&gt;"",$R776="Cancelada",$AT776&lt;&gt;""),"",$AN776&amp;"|"&amp;$D776&amp;"|"&amp;IF($C776="","zzz",$C776)&amp;"|"&amp;TEXT(776,"0000"))</f>
        <v/>
      </c>
      <c r="AP776" s="50" t="str">
        <f aca="false">IF($AO776="","",COUNTIF($AO$5:$AO$1004,"&lt;"&amp;$AO776)-(ROWS($AO$5:$AO$1004)-Hoje!$L$5)+1)</f>
        <v/>
      </c>
      <c r="AQ776" s="50" t="n">
        <f aca="false">IF(AND($F776&lt;&gt;"",$D776=Frota!$C$3),1,0)</f>
        <v>0</v>
      </c>
      <c r="AR776" s="50" t="str">
        <f aca="false">IF($AQ776=0,"",SUM($AQ$4:$AQ776))</f>
        <v/>
      </c>
      <c r="AS776" s="50" t="str">
        <f aca="false">IFERROR(INDEX(Hoje!$K$10:$K$29,MATCH(ROW(),Hoje!$J$10:$J$29,0)),"")</f>
        <v/>
      </c>
      <c r="AT776" s="50" t="str">
        <f aca="false">IF($Q776&lt;&gt;"",$Q776,$AS776)</f>
        <v/>
      </c>
    </row>
    <row r="777" customFormat="false" ht="16.5" hidden="false" customHeight="true" outlineLevel="0" collapsed="false">
      <c r="A777" s="39" t="str">
        <f aca="false">IF($F777="","",ROW())</f>
        <v/>
      </c>
      <c r="B777" s="40" t="str">
        <f aca="false">IF($F777="",IF($D777="","","Falta a atividade"),IF($R777="Cancelada","Cancelada",IF($AB777=1,IF(N($Z777)&gt;0,"Concluída com atraso","Concluída"),IF($R777="Em programação","Em programação",IF($O777="",IF($M777="","Na carteira","Falta a semana"),IF($AC777=1,"VENCIDA",IF($O777&gt;Hoje!$L$1,"Programada",IF($P777&gt;Hoje!$L$1,"Em execução","Fecha hoje"))))))))</f>
        <v/>
      </c>
      <c r="C777" s="41"/>
      <c r="D777" s="42"/>
      <c r="E777" s="42"/>
      <c r="F777" s="42"/>
      <c r="G777" s="43"/>
      <c r="H777" s="43"/>
      <c r="I777" s="44"/>
      <c r="J777" s="44"/>
      <c r="K777" s="44"/>
      <c r="L777" s="45"/>
      <c r="M777" s="46"/>
      <c r="N777" s="45"/>
      <c r="O777" s="47" t="str">
        <f aca="false">IF(OR($L777="",$M777=""),"",(DATE(Semana!$J$3,1,4)-WEEKDAY(DATE(Semana!$J$3,1,4),3))+($L777-1)*7+MATCH($M777,Listas!$F$5:$F$11,0)-1)</f>
        <v/>
      </c>
      <c r="P777" s="47" t="str">
        <f aca="false">IF(OR($F777="",$O777=""),"",$O777+MAX(0,ROUNDUP($AK777*MAX(1,IF($N777="",1,$N777))/MAX(1,$AL777),0)-1))</f>
        <v/>
      </c>
      <c r="Q777" s="48"/>
      <c r="R777" s="43"/>
      <c r="S777" s="49"/>
      <c r="T777" s="42"/>
      <c r="U777" s="42"/>
      <c r="V777" s="39" t="str">
        <f aca="false">IF($F777="","",IF(ISNUMBER(SEARCH("(externo)",$I777&amp;$J777&amp;$K777)),"Terceirizada","Interna"))</f>
        <v/>
      </c>
      <c r="W777" s="47" t="str">
        <f aca="false">IF($O777="","",IF($S777="",$O777,(DATE(Semana!$J$3,1,4)-WEEKDAY(DATE(Semana!$J$3,1,4),3))+($S777-1)*7+IF($M777="",0,MATCH($M777,Listas!$F$5:$F$11,0)-1)))</f>
        <v/>
      </c>
      <c r="X777" s="39" t="str">
        <f aca="false">IF($F777="","",IF(OR($AT777="",$O777=""),0,IF($AT777&lt;=$O777,1,0)))</f>
        <v/>
      </c>
      <c r="Y777" s="39" t="str">
        <f aca="false">IF($F777="","",IF(OR($AT777="",$W777=""),0,IF($AT777&lt;=$W777,1,0)))</f>
        <v/>
      </c>
      <c r="Z777" s="39" t="str">
        <f aca="false">IF(OR($AT777="",$O777=""),"",MAX(0,$AT777-$O777))</f>
        <v/>
      </c>
      <c r="AA777" s="39" t="str">
        <f aca="false">IF($F777="","",IF(AND($S777&lt;&gt;"",$L777&lt;&gt;"",$S777&lt;&gt;$L777),1,0))</f>
        <v/>
      </c>
      <c r="AB777" s="39" t="str">
        <f aca="false">IF($F777="","",IF($R777="Cancelada",0,IF(OR($AT777&lt;&gt;"",$R777="Concluída"),1,0)))</f>
        <v/>
      </c>
      <c r="AC777" s="39" t="n">
        <f aca="false">IF($P777="",0,IF($P777&lt;Hoje!$L$1,1,IF(AND($P777=Hoje!$L$1,Hoje!$L$2&gt;Semana!$M$3),1,0)))</f>
        <v>0</v>
      </c>
      <c r="AD777" s="39" t="str">
        <f aca="false">IF($F777="","",IF(COUNTA($I777:$K777)=0,0,1/COUNTA($I777:$K777)))</f>
        <v/>
      </c>
      <c r="AE777" s="39" t="str">
        <f aca="false">IF($AH777=0,"",SUM($AH$4:$AH777))</f>
        <v/>
      </c>
      <c r="AF777" s="39" t="str">
        <f aca="false">IF($AI777=0,"",SUM($AI$4:$AI777))</f>
        <v/>
      </c>
      <c r="AG777" s="50" t="str">
        <f aca="false">IF($F777="","",$I777&amp;IF($J777="",""," · "&amp;$J777)&amp;IF($K777="",""," · "&amp;$K777))</f>
        <v/>
      </c>
      <c r="AH777" s="39" t="n">
        <f aca="false">IF(AND($F777&lt;&gt;"",$O777&lt;&gt;"",$O777&lt;=Hoje!$C$3,$P777&gt;=Hoje!$C$3,$R777&lt;&gt;"Cancelada"),1,0)</f>
        <v>0</v>
      </c>
      <c r="AI777" s="39" t="n">
        <f aca="false">IF(AND($F777&lt;&gt;"",$P777&lt;&gt;"",$P777&lt;Hoje!$C$3,$AB777=0,$R777&lt;&gt;"Cancelada"),1,0)</f>
        <v>0</v>
      </c>
      <c r="AJ777" s="50" t="str">
        <f aca="false">IF($F777="","",$D777&amp;"|"&amp;$E777&amp;"|"&amp;$L777)</f>
        <v/>
      </c>
      <c r="AK777" s="39" t="str">
        <f aca="false">IF($AJ777="","",COUNTIF($AJ$4:$AJ777,$AJ777))</f>
        <v/>
      </c>
      <c r="AL777" s="39" t="str">
        <f aca="false">IF($AJ777="","",COUNTIF($AJ$4:$AJ$1004,$AJ777))</f>
        <v/>
      </c>
      <c r="AM777" s="42"/>
      <c r="AN777" s="50" t="str">
        <f aca="false">IF($D777="","",IFERROR(T(VLOOKUP($D777,Listas!$B$5:$H$120,7,0)),""))</f>
        <v/>
      </c>
      <c r="AO777" s="50" t="str">
        <f aca="false">IF(OR($F777="",$L777&lt;&gt;"",$R777="Cancelada",$AT777&lt;&gt;""),"",$AN777&amp;"|"&amp;$D777&amp;"|"&amp;IF($C777="","zzz",$C777)&amp;"|"&amp;TEXT(777,"0000"))</f>
        <v/>
      </c>
      <c r="AP777" s="50" t="str">
        <f aca="false">IF($AO777="","",COUNTIF($AO$5:$AO$1004,"&lt;"&amp;$AO777)-(ROWS($AO$5:$AO$1004)-Hoje!$L$5)+1)</f>
        <v/>
      </c>
      <c r="AQ777" s="50" t="n">
        <f aca="false">IF(AND($F777&lt;&gt;"",$D777=Frota!$C$3),1,0)</f>
        <v>0</v>
      </c>
      <c r="AR777" s="50" t="str">
        <f aca="false">IF($AQ777=0,"",SUM($AQ$4:$AQ777))</f>
        <v/>
      </c>
      <c r="AS777" s="50" t="str">
        <f aca="false">IFERROR(INDEX(Hoje!$K$10:$K$29,MATCH(ROW(),Hoje!$J$10:$J$29,0)),"")</f>
        <v/>
      </c>
      <c r="AT777" s="50" t="str">
        <f aca="false">IF($Q777&lt;&gt;"",$Q777,$AS777)</f>
        <v/>
      </c>
    </row>
    <row r="778" customFormat="false" ht="16.5" hidden="false" customHeight="true" outlineLevel="0" collapsed="false">
      <c r="A778" s="39" t="str">
        <f aca="false">IF($F778="","",ROW())</f>
        <v/>
      </c>
      <c r="B778" s="40" t="str">
        <f aca="false">IF($F778="",IF($D778="","","Falta a atividade"),IF($R778="Cancelada","Cancelada",IF($AB778=1,IF(N($Z778)&gt;0,"Concluída com atraso","Concluída"),IF($R778="Em programação","Em programação",IF($O778="",IF($M778="","Na carteira","Falta a semana"),IF($AC778=1,"VENCIDA",IF($O778&gt;Hoje!$L$1,"Programada",IF($P778&gt;Hoje!$L$1,"Em execução","Fecha hoje"))))))))</f>
        <v/>
      </c>
      <c r="C778" s="41"/>
      <c r="D778" s="42"/>
      <c r="E778" s="42"/>
      <c r="F778" s="42"/>
      <c r="G778" s="43"/>
      <c r="H778" s="43"/>
      <c r="I778" s="44"/>
      <c r="J778" s="44"/>
      <c r="K778" s="44"/>
      <c r="L778" s="45"/>
      <c r="M778" s="46"/>
      <c r="N778" s="45"/>
      <c r="O778" s="47" t="str">
        <f aca="false">IF(OR($L778="",$M778=""),"",(DATE(Semana!$J$3,1,4)-WEEKDAY(DATE(Semana!$J$3,1,4),3))+($L778-1)*7+MATCH($M778,Listas!$F$5:$F$11,0)-1)</f>
        <v/>
      </c>
      <c r="P778" s="47" t="str">
        <f aca="false">IF(OR($F778="",$O778=""),"",$O778+MAX(0,ROUNDUP($AK778*MAX(1,IF($N778="",1,$N778))/MAX(1,$AL778),0)-1))</f>
        <v/>
      </c>
      <c r="Q778" s="48"/>
      <c r="R778" s="43"/>
      <c r="S778" s="49"/>
      <c r="T778" s="42"/>
      <c r="U778" s="42"/>
      <c r="V778" s="39" t="str">
        <f aca="false">IF($F778="","",IF(ISNUMBER(SEARCH("(externo)",$I778&amp;$J778&amp;$K778)),"Terceirizada","Interna"))</f>
        <v/>
      </c>
      <c r="W778" s="47" t="str">
        <f aca="false">IF($O778="","",IF($S778="",$O778,(DATE(Semana!$J$3,1,4)-WEEKDAY(DATE(Semana!$J$3,1,4),3))+($S778-1)*7+IF($M778="",0,MATCH($M778,Listas!$F$5:$F$11,0)-1)))</f>
        <v/>
      </c>
      <c r="X778" s="39" t="str">
        <f aca="false">IF($F778="","",IF(OR($AT778="",$O778=""),0,IF($AT778&lt;=$O778,1,0)))</f>
        <v/>
      </c>
      <c r="Y778" s="39" t="str">
        <f aca="false">IF($F778="","",IF(OR($AT778="",$W778=""),0,IF($AT778&lt;=$W778,1,0)))</f>
        <v/>
      </c>
      <c r="Z778" s="39" t="str">
        <f aca="false">IF(OR($AT778="",$O778=""),"",MAX(0,$AT778-$O778))</f>
        <v/>
      </c>
      <c r="AA778" s="39" t="str">
        <f aca="false">IF($F778="","",IF(AND($S778&lt;&gt;"",$L778&lt;&gt;"",$S778&lt;&gt;$L778),1,0))</f>
        <v/>
      </c>
      <c r="AB778" s="39" t="str">
        <f aca="false">IF($F778="","",IF($R778="Cancelada",0,IF(OR($AT778&lt;&gt;"",$R778="Concluída"),1,0)))</f>
        <v/>
      </c>
      <c r="AC778" s="39" t="n">
        <f aca="false">IF($P778="",0,IF($P778&lt;Hoje!$L$1,1,IF(AND($P778=Hoje!$L$1,Hoje!$L$2&gt;Semana!$M$3),1,0)))</f>
        <v>0</v>
      </c>
      <c r="AD778" s="39" t="str">
        <f aca="false">IF($F778="","",IF(COUNTA($I778:$K778)=0,0,1/COUNTA($I778:$K778)))</f>
        <v/>
      </c>
      <c r="AE778" s="39" t="str">
        <f aca="false">IF($AH778=0,"",SUM($AH$4:$AH778))</f>
        <v/>
      </c>
      <c r="AF778" s="39" t="str">
        <f aca="false">IF($AI778=0,"",SUM($AI$4:$AI778))</f>
        <v/>
      </c>
      <c r="AG778" s="50" t="str">
        <f aca="false">IF($F778="","",$I778&amp;IF($J778="",""," · "&amp;$J778)&amp;IF($K778="",""," · "&amp;$K778))</f>
        <v/>
      </c>
      <c r="AH778" s="39" t="n">
        <f aca="false">IF(AND($F778&lt;&gt;"",$O778&lt;&gt;"",$O778&lt;=Hoje!$C$3,$P778&gt;=Hoje!$C$3,$R778&lt;&gt;"Cancelada"),1,0)</f>
        <v>0</v>
      </c>
      <c r="AI778" s="39" t="n">
        <f aca="false">IF(AND($F778&lt;&gt;"",$P778&lt;&gt;"",$P778&lt;Hoje!$C$3,$AB778=0,$R778&lt;&gt;"Cancelada"),1,0)</f>
        <v>0</v>
      </c>
      <c r="AJ778" s="50" t="str">
        <f aca="false">IF($F778="","",$D778&amp;"|"&amp;$E778&amp;"|"&amp;$L778)</f>
        <v/>
      </c>
      <c r="AK778" s="39" t="str">
        <f aca="false">IF($AJ778="","",COUNTIF($AJ$4:$AJ778,$AJ778))</f>
        <v/>
      </c>
      <c r="AL778" s="39" t="str">
        <f aca="false">IF($AJ778="","",COUNTIF($AJ$4:$AJ$1004,$AJ778))</f>
        <v/>
      </c>
      <c r="AM778" s="42"/>
      <c r="AN778" s="50" t="str">
        <f aca="false">IF($D778="","",IFERROR(T(VLOOKUP($D778,Listas!$B$5:$H$120,7,0)),""))</f>
        <v/>
      </c>
      <c r="AO778" s="50" t="str">
        <f aca="false">IF(OR($F778="",$L778&lt;&gt;"",$R778="Cancelada",$AT778&lt;&gt;""),"",$AN778&amp;"|"&amp;$D778&amp;"|"&amp;IF($C778="","zzz",$C778)&amp;"|"&amp;TEXT(778,"0000"))</f>
        <v/>
      </c>
      <c r="AP778" s="50" t="str">
        <f aca="false">IF($AO778="","",COUNTIF($AO$5:$AO$1004,"&lt;"&amp;$AO778)-(ROWS($AO$5:$AO$1004)-Hoje!$L$5)+1)</f>
        <v/>
      </c>
      <c r="AQ778" s="50" t="n">
        <f aca="false">IF(AND($F778&lt;&gt;"",$D778=Frota!$C$3),1,0)</f>
        <v>0</v>
      </c>
      <c r="AR778" s="50" t="str">
        <f aca="false">IF($AQ778=0,"",SUM($AQ$4:$AQ778))</f>
        <v/>
      </c>
      <c r="AS778" s="50" t="str">
        <f aca="false">IFERROR(INDEX(Hoje!$K$10:$K$29,MATCH(ROW(),Hoje!$J$10:$J$29,0)),"")</f>
        <v/>
      </c>
      <c r="AT778" s="50" t="str">
        <f aca="false">IF($Q778&lt;&gt;"",$Q778,$AS778)</f>
        <v/>
      </c>
    </row>
    <row r="779" customFormat="false" ht="16.5" hidden="false" customHeight="true" outlineLevel="0" collapsed="false">
      <c r="A779" s="39" t="str">
        <f aca="false">IF($F779="","",ROW())</f>
        <v/>
      </c>
      <c r="B779" s="40" t="str">
        <f aca="false">IF($F779="",IF($D779="","","Falta a atividade"),IF($R779="Cancelada","Cancelada",IF($AB779=1,IF(N($Z779)&gt;0,"Concluída com atraso","Concluída"),IF($R779="Em programação","Em programação",IF($O779="",IF($M779="","Na carteira","Falta a semana"),IF($AC779=1,"VENCIDA",IF($O779&gt;Hoje!$L$1,"Programada",IF($P779&gt;Hoje!$L$1,"Em execução","Fecha hoje"))))))))</f>
        <v/>
      </c>
      <c r="C779" s="41"/>
      <c r="D779" s="42"/>
      <c r="E779" s="42"/>
      <c r="F779" s="42"/>
      <c r="G779" s="43"/>
      <c r="H779" s="43"/>
      <c r="I779" s="44"/>
      <c r="J779" s="44"/>
      <c r="K779" s="44"/>
      <c r="L779" s="45"/>
      <c r="M779" s="46"/>
      <c r="N779" s="45"/>
      <c r="O779" s="47" t="str">
        <f aca="false">IF(OR($L779="",$M779=""),"",(DATE(Semana!$J$3,1,4)-WEEKDAY(DATE(Semana!$J$3,1,4),3))+($L779-1)*7+MATCH($M779,Listas!$F$5:$F$11,0)-1)</f>
        <v/>
      </c>
      <c r="P779" s="47" t="str">
        <f aca="false">IF(OR($F779="",$O779=""),"",$O779+MAX(0,ROUNDUP($AK779*MAX(1,IF($N779="",1,$N779))/MAX(1,$AL779),0)-1))</f>
        <v/>
      </c>
      <c r="Q779" s="48"/>
      <c r="R779" s="43"/>
      <c r="S779" s="49"/>
      <c r="T779" s="42"/>
      <c r="U779" s="42"/>
      <c r="V779" s="39" t="str">
        <f aca="false">IF($F779="","",IF(ISNUMBER(SEARCH("(externo)",$I779&amp;$J779&amp;$K779)),"Terceirizada","Interna"))</f>
        <v/>
      </c>
      <c r="W779" s="47" t="str">
        <f aca="false">IF($O779="","",IF($S779="",$O779,(DATE(Semana!$J$3,1,4)-WEEKDAY(DATE(Semana!$J$3,1,4),3))+($S779-1)*7+IF($M779="",0,MATCH($M779,Listas!$F$5:$F$11,0)-1)))</f>
        <v/>
      </c>
      <c r="X779" s="39" t="str">
        <f aca="false">IF($F779="","",IF(OR($AT779="",$O779=""),0,IF($AT779&lt;=$O779,1,0)))</f>
        <v/>
      </c>
      <c r="Y779" s="39" t="str">
        <f aca="false">IF($F779="","",IF(OR($AT779="",$W779=""),0,IF($AT779&lt;=$W779,1,0)))</f>
        <v/>
      </c>
      <c r="Z779" s="39" t="str">
        <f aca="false">IF(OR($AT779="",$O779=""),"",MAX(0,$AT779-$O779))</f>
        <v/>
      </c>
      <c r="AA779" s="39" t="str">
        <f aca="false">IF($F779="","",IF(AND($S779&lt;&gt;"",$L779&lt;&gt;"",$S779&lt;&gt;$L779),1,0))</f>
        <v/>
      </c>
      <c r="AB779" s="39" t="str">
        <f aca="false">IF($F779="","",IF($R779="Cancelada",0,IF(OR($AT779&lt;&gt;"",$R779="Concluída"),1,0)))</f>
        <v/>
      </c>
      <c r="AC779" s="39" t="n">
        <f aca="false">IF($P779="",0,IF($P779&lt;Hoje!$L$1,1,IF(AND($P779=Hoje!$L$1,Hoje!$L$2&gt;Semana!$M$3),1,0)))</f>
        <v>0</v>
      </c>
      <c r="AD779" s="39" t="str">
        <f aca="false">IF($F779="","",IF(COUNTA($I779:$K779)=0,0,1/COUNTA($I779:$K779)))</f>
        <v/>
      </c>
      <c r="AE779" s="39" t="str">
        <f aca="false">IF($AH779=0,"",SUM($AH$4:$AH779))</f>
        <v/>
      </c>
      <c r="AF779" s="39" t="str">
        <f aca="false">IF($AI779=0,"",SUM($AI$4:$AI779))</f>
        <v/>
      </c>
      <c r="AG779" s="50" t="str">
        <f aca="false">IF($F779="","",$I779&amp;IF($J779="",""," · "&amp;$J779)&amp;IF($K779="",""," · "&amp;$K779))</f>
        <v/>
      </c>
      <c r="AH779" s="39" t="n">
        <f aca="false">IF(AND($F779&lt;&gt;"",$O779&lt;&gt;"",$O779&lt;=Hoje!$C$3,$P779&gt;=Hoje!$C$3,$R779&lt;&gt;"Cancelada"),1,0)</f>
        <v>0</v>
      </c>
      <c r="AI779" s="39" t="n">
        <f aca="false">IF(AND($F779&lt;&gt;"",$P779&lt;&gt;"",$P779&lt;Hoje!$C$3,$AB779=0,$R779&lt;&gt;"Cancelada"),1,0)</f>
        <v>0</v>
      </c>
      <c r="AJ779" s="50" t="str">
        <f aca="false">IF($F779="","",$D779&amp;"|"&amp;$E779&amp;"|"&amp;$L779)</f>
        <v/>
      </c>
      <c r="AK779" s="39" t="str">
        <f aca="false">IF($AJ779="","",COUNTIF($AJ$4:$AJ779,$AJ779))</f>
        <v/>
      </c>
      <c r="AL779" s="39" t="str">
        <f aca="false">IF($AJ779="","",COUNTIF($AJ$4:$AJ$1004,$AJ779))</f>
        <v/>
      </c>
      <c r="AM779" s="42"/>
      <c r="AN779" s="50" t="str">
        <f aca="false">IF($D779="","",IFERROR(T(VLOOKUP($D779,Listas!$B$5:$H$120,7,0)),""))</f>
        <v/>
      </c>
      <c r="AO779" s="50" t="str">
        <f aca="false">IF(OR($F779="",$L779&lt;&gt;"",$R779="Cancelada",$AT779&lt;&gt;""),"",$AN779&amp;"|"&amp;$D779&amp;"|"&amp;IF($C779="","zzz",$C779)&amp;"|"&amp;TEXT(779,"0000"))</f>
        <v/>
      </c>
      <c r="AP779" s="50" t="str">
        <f aca="false">IF($AO779="","",COUNTIF($AO$5:$AO$1004,"&lt;"&amp;$AO779)-(ROWS($AO$5:$AO$1004)-Hoje!$L$5)+1)</f>
        <v/>
      </c>
      <c r="AQ779" s="50" t="n">
        <f aca="false">IF(AND($F779&lt;&gt;"",$D779=Frota!$C$3),1,0)</f>
        <v>0</v>
      </c>
      <c r="AR779" s="50" t="str">
        <f aca="false">IF($AQ779=0,"",SUM($AQ$4:$AQ779))</f>
        <v/>
      </c>
      <c r="AS779" s="50" t="str">
        <f aca="false">IFERROR(INDEX(Hoje!$K$10:$K$29,MATCH(ROW(),Hoje!$J$10:$J$29,0)),"")</f>
        <v/>
      </c>
      <c r="AT779" s="50" t="str">
        <f aca="false">IF($Q779&lt;&gt;"",$Q779,$AS779)</f>
        <v/>
      </c>
    </row>
    <row r="780" customFormat="false" ht="16.5" hidden="false" customHeight="true" outlineLevel="0" collapsed="false">
      <c r="A780" s="39" t="str">
        <f aca="false">IF($F780="","",ROW())</f>
        <v/>
      </c>
      <c r="B780" s="40" t="str">
        <f aca="false">IF($F780="",IF($D780="","","Falta a atividade"),IF($R780="Cancelada","Cancelada",IF($AB780=1,IF(N($Z780)&gt;0,"Concluída com atraso","Concluída"),IF($R780="Em programação","Em programação",IF($O780="",IF($M780="","Na carteira","Falta a semana"),IF($AC780=1,"VENCIDA",IF($O780&gt;Hoje!$L$1,"Programada",IF($P780&gt;Hoje!$L$1,"Em execução","Fecha hoje"))))))))</f>
        <v/>
      </c>
      <c r="C780" s="41"/>
      <c r="D780" s="42"/>
      <c r="E780" s="42"/>
      <c r="F780" s="42"/>
      <c r="G780" s="43"/>
      <c r="H780" s="43"/>
      <c r="I780" s="44"/>
      <c r="J780" s="44"/>
      <c r="K780" s="44"/>
      <c r="L780" s="45"/>
      <c r="M780" s="46"/>
      <c r="N780" s="45"/>
      <c r="O780" s="47" t="str">
        <f aca="false">IF(OR($L780="",$M780=""),"",(DATE(Semana!$J$3,1,4)-WEEKDAY(DATE(Semana!$J$3,1,4),3))+($L780-1)*7+MATCH($M780,Listas!$F$5:$F$11,0)-1)</f>
        <v/>
      </c>
      <c r="P780" s="47" t="str">
        <f aca="false">IF(OR($F780="",$O780=""),"",$O780+MAX(0,ROUNDUP($AK780*MAX(1,IF($N780="",1,$N780))/MAX(1,$AL780),0)-1))</f>
        <v/>
      </c>
      <c r="Q780" s="48"/>
      <c r="R780" s="43"/>
      <c r="S780" s="49"/>
      <c r="T780" s="42"/>
      <c r="U780" s="42"/>
      <c r="V780" s="39" t="str">
        <f aca="false">IF($F780="","",IF(ISNUMBER(SEARCH("(externo)",$I780&amp;$J780&amp;$K780)),"Terceirizada","Interna"))</f>
        <v/>
      </c>
      <c r="W780" s="47" t="str">
        <f aca="false">IF($O780="","",IF($S780="",$O780,(DATE(Semana!$J$3,1,4)-WEEKDAY(DATE(Semana!$J$3,1,4),3))+($S780-1)*7+IF($M780="",0,MATCH($M780,Listas!$F$5:$F$11,0)-1)))</f>
        <v/>
      </c>
      <c r="X780" s="39" t="str">
        <f aca="false">IF($F780="","",IF(OR($AT780="",$O780=""),0,IF($AT780&lt;=$O780,1,0)))</f>
        <v/>
      </c>
      <c r="Y780" s="39" t="str">
        <f aca="false">IF($F780="","",IF(OR($AT780="",$W780=""),0,IF($AT780&lt;=$W780,1,0)))</f>
        <v/>
      </c>
      <c r="Z780" s="39" t="str">
        <f aca="false">IF(OR($AT780="",$O780=""),"",MAX(0,$AT780-$O780))</f>
        <v/>
      </c>
      <c r="AA780" s="39" t="str">
        <f aca="false">IF($F780="","",IF(AND($S780&lt;&gt;"",$L780&lt;&gt;"",$S780&lt;&gt;$L780),1,0))</f>
        <v/>
      </c>
      <c r="AB780" s="39" t="str">
        <f aca="false">IF($F780="","",IF($R780="Cancelada",0,IF(OR($AT780&lt;&gt;"",$R780="Concluída"),1,0)))</f>
        <v/>
      </c>
      <c r="AC780" s="39" t="n">
        <f aca="false">IF($P780="",0,IF($P780&lt;Hoje!$L$1,1,IF(AND($P780=Hoje!$L$1,Hoje!$L$2&gt;Semana!$M$3),1,0)))</f>
        <v>0</v>
      </c>
      <c r="AD780" s="39" t="str">
        <f aca="false">IF($F780="","",IF(COUNTA($I780:$K780)=0,0,1/COUNTA($I780:$K780)))</f>
        <v/>
      </c>
      <c r="AE780" s="39" t="str">
        <f aca="false">IF($AH780=0,"",SUM($AH$4:$AH780))</f>
        <v/>
      </c>
      <c r="AF780" s="39" t="str">
        <f aca="false">IF($AI780=0,"",SUM($AI$4:$AI780))</f>
        <v/>
      </c>
      <c r="AG780" s="50" t="str">
        <f aca="false">IF($F780="","",$I780&amp;IF($J780="",""," · "&amp;$J780)&amp;IF($K780="",""," · "&amp;$K780))</f>
        <v/>
      </c>
      <c r="AH780" s="39" t="n">
        <f aca="false">IF(AND($F780&lt;&gt;"",$O780&lt;&gt;"",$O780&lt;=Hoje!$C$3,$P780&gt;=Hoje!$C$3,$R780&lt;&gt;"Cancelada"),1,0)</f>
        <v>0</v>
      </c>
      <c r="AI780" s="39" t="n">
        <f aca="false">IF(AND($F780&lt;&gt;"",$P780&lt;&gt;"",$P780&lt;Hoje!$C$3,$AB780=0,$R780&lt;&gt;"Cancelada"),1,0)</f>
        <v>0</v>
      </c>
      <c r="AJ780" s="50" t="str">
        <f aca="false">IF($F780="","",$D780&amp;"|"&amp;$E780&amp;"|"&amp;$L780)</f>
        <v/>
      </c>
      <c r="AK780" s="39" t="str">
        <f aca="false">IF($AJ780="","",COUNTIF($AJ$4:$AJ780,$AJ780))</f>
        <v/>
      </c>
      <c r="AL780" s="39" t="str">
        <f aca="false">IF($AJ780="","",COUNTIF($AJ$4:$AJ$1004,$AJ780))</f>
        <v/>
      </c>
      <c r="AM780" s="42"/>
      <c r="AN780" s="50" t="str">
        <f aca="false">IF($D780="","",IFERROR(T(VLOOKUP($D780,Listas!$B$5:$H$120,7,0)),""))</f>
        <v/>
      </c>
      <c r="AO780" s="50" t="str">
        <f aca="false">IF(OR($F780="",$L780&lt;&gt;"",$R780="Cancelada",$AT780&lt;&gt;""),"",$AN780&amp;"|"&amp;$D780&amp;"|"&amp;IF($C780="","zzz",$C780)&amp;"|"&amp;TEXT(780,"0000"))</f>
        <v/>
      </c>
      <c r="AP780" s="50" t="str">
        <f aca="false">IF($AO780="","",COUNTIF($AO$5:$AO$1004,"&lt;"&amp;$AO780)-(ROWS($AO$5:$AO$1004)-Hoje!$L$5)+1)</f>
        <v/>
      </c>
      <c r="AQ780" s="50" t="n">
        <f aca="false">IF(AND($F780&lt;&gt;"",$D780=Frota!$C$3),1,0)</f>
        <v>0</v>
      </c>
      <c r="AR780" s="50" t="str">
        <f aca="false">IF($AQ780=0,"",SUM($AQ$4:$AQ780))</f>
        <v/>
      </c>
      <c r="AS780" s="50" t="str">
        <f aca="false">IFERROR(INDEX(Hoje!$K$10:$K$29,MATCH(ROW(),Hoje!$J$10:$J$29,0)),"")</f>
        <v/>
      </c>
      <c r="AT780" s="50" t="str">
        <f aca="false">IF($Q780&lt;&gt;"",$Q780,$AS780)</f>
        <v/>
      </c>
    </row>
    <row r="781" customFormat="false" ht="16.5" hidden="false" customHeight="true" outlineLevel="0" collapsed="false">
      <c r="A781" s="39" t="str">
        <f aca="false">IF($F781="","",ROW())</f>
        <v/>
      </c>
      <c r="B781" s="40" t="str">
        <f aca="false">IF($F781="",IF($D781="","","Falta a atividade"),IF($R781="Cancelada","Cancelada",IF($AB781=1,IF(N($Z781)&gt;0,"Concluída com atraso","Concluída"),IF($R781="Em programação","Em programação",IF($O781="",IF($M781="","Na carteira","Falta a semana"),IF($AC781=1,"VENCIDA",IF($O781&gt;Hoje!$L$1,"Programada",IF($P781&gt;Hoje!$L$1,"Em execução","Fecha hoje"))))))))</f>
        <v/>
      </c>
      <c r="C781" s="41"/>
      <c r="D781" s="42"/>
      <c r="E781" s="42"/>
      <c r="F781" s="42"/>
      <c r="G781" s="43"/>
      <c r="H781" s="43"/>
      <c r="I781" s="44"/>
      <c r="J781" s="44"/>
      <c r="K781" s="44"/>
      <c r="L781" s="45"/>
      <c r="M781" s="46"/>
      <c r="N781" s="45"/>
      <c r="O781" s="47" t="str">
        <f aca="false">IF(OR($L781="",$M781=""),"",(DATE(Semana!$J$3,1,4)-WEEKDAY(DATE(Semana!$J$3,1,4),3))+($L781-1)*7+MATCH($M781,Listas!$F$5:$F$11,0)-1)</f>
        <v/>
      </c>
      <c r="P781" s="47" t="str">
        <f aca="false">IF(OR($F781="",$O781=""),"",$O781+MAX(0,ROUNDUP($AK781*MAX(1,IF($N781="",1,$N781))/MAX(1,$AL781),0)-1))</f>
        <v/>
      </c>
      <c r="Q781" s="48"/>
      <c r="R781" s="43"/>
      <c r="S781" s="49"/>
      <c r="T781" s="42"/>
      <c r="U781" s="42"/>
      <c r="V781" s="39" t="str">
        <f aca="false">IF($F781="","",IF(ISNUMBER(SEARCH("(externo)",$I781&amp;$J781&amp;$K781)),"Terceirizada","Interna"))</f>
        <v/>
      </c>
      <c r="W781" s="47" t="str">
        <f aca="false">IF($O781="","",IF($S781="",$O781,(DATE(Semana!$J$3,1,4)-WEEKDAY(DATE(Semana!$J$3,1,4),3))+($S781-1)*7+IF($M781="",0,MATCH($M781,Listas!$F$5:$F$11,0)-1)))</f>
        <v/>
      </c>
      <c r="X781" s="39" t="str">
        <f aca="false">IF($F781="","",IF(OR($AT781="",$O781=""),0,IF($AT781&lt;=$O781,1,0)))</f>
        <v/>
      </c>
      <c r="Y781" s="39" t="str">
        <f aca="false">IF($F781="","",IF(OR($AT781="",$W781=""),0,IF($AT781&lt;=$W781,1,0)))</f>
        <v/>
      </c>
      <c r="Z781" s="39" t="str">
        <f aca="false">IF(OR($AT781="",$O781=""),"",MAX(0,$AT781-$O781))</f>
        <v/>
      </c>
      <c r="AA781" s="39" t="str">
        <f aca="false">IF($F781="","",IF(AND($S781&lt;&gt;"",$L781&lt;&gt;"",$S781&lt;&gt;$L781),1,0))</f>
        <v/>
      </c>
      <c r="AB781" s="39" t="str">
        <f aca="false">IF($F781="","",IF($R781="Cancelada",0,IF(OR($AT781&lt;&gt;"",$R781="Concluída"),1,0)))</f>
        <v/>
      </c>
      <c r="AC781" s="39" t="n">
        <f aca="false">IF($P781="",0,IF($P781&lt;Hoje!$L$1,1,IF(AND($P781=Hoje!$L$1,Hoje!$L$2&gt;Semana!$M$3),1,0)))</f>
        <v>0</v>
      </c>
      <c r="AD781" s="39" t="str">
        <f aca="false">IF($F781="","",IF(COUNTA($I781:$K781)=0,0,1/COUNTA($I781:$K781)))</f>
        <v/>
      </c>
      <c r="AE781" s="39" t="str">
        <f aca="false">IF($AH781=0,"",SUM($AH$4:$AH781))</f>
        <v/>
      </c>
      <c r="AF781" s="39" t="str">
        <f aca="false">IF($AI781=0,"",SUM($AI$4:$AI781))</f>
        <v/>
      </c>
      <c r="AG781" s="50" t="str">
        <f aca="false">IF($F781="","",$I781&amp;IF($J781="",""," · "&amp;$J781)&amp;IF($K781="",""," · "&amp;$K781))</f>
        <v/>
      </c>
      <c r="AH781" s="39" t="n">
        <f aca="false">IF(AND($F781&lt;&gt;"",$O781&lt;&gt;"",$O781&lt;=Hoje!$C$3,$P781&gt;=Hoje!$C$3,$R781&lt;&gt;"Cancelada"),1,0)</f>
        <v>0</v>
      </c>
      <c r="AI781" s="39" t="n">
        <f aca="false">IF(AND($F781&lt;&gt;"",$P781&lt;&gt;"",$P781&lt;Hoje!$C$3,$AB781=0,$R781&lt;&gt;"Cancelada"),1,0)</f>
        <v>0</v>
      </c>
      <c r="AJ781" s="50" t="str">
        <f aca="false">IF($F781="","",$D781&amp;"|"&amp;$E781&amp;"|"&amp;$L781)</f>
        <v/>
      </c>
      <c r="AK781" s="39" t="str">
        <f aca="false">IF($AJ781="","",COUNTIF($AJ$4:$AJ781,$AJ781))</f>
        <v/>
      </c>
      <c r="AL781" s="39" t="str">
        <f aca="false">IF($AJ781="","",COUNTIF($AJ$4:$AJ$1004,$AJ781))</f>
        <v/>
      </c>
      <c r="AM781" s="42"/>
      <c r="AN781" s="50" t="str">
        <f aca="false">IF($D781="","",IFERROR(T(VLOOKUP($D781,Listas!$B$5:$H$120,7,0)),""))</f>
        <v/>
      </c>
      <c r="AO781" s="50" t="str">
        <f aca="false">IF(OR($F781="",$L781&lt;&gt;"",$R781="Cancelada",$AT781&lt;&gt;""),"",$AN781&amp;"|"&amp;$D781&amp;"|"&amp;IF($C781="","zzz",$C781)&amp;"|"&amp;TEXT(781,"0000"))</f>
        <v/>
      </c>
      <c r="AP781" s="50" t="str">
        <f aca="false">IF($AO781="","",COUNTIF($AO$5:$AO$1004,"&lt;"&amp;$AO781)-(ROWS($AO$5:$AO$1004)-Hoje!$L$5)+1)</f>
        <v/>
      </c>
      <c r="AQ781" s="50" t="n">
        <f aca="false">IF(AND($F781&lt;&gt;"",$D781=Frota!$C$3),1,0)</f>
        <v>0</v>
      </c>
      <c r="AR781" s="50" t="str">
        <f aca="false">IF($AQ781=0,"",SUM($AQ$4:$AQ781))</f>
        <v/>
      </c>
      <c r="AS781" s="50" t="str">
        <f aca="false">IFERROR(INDEX(Hoje!$K$10:$K$29,MATCH(ROW(),Hoje!$J$10:$J$29,0)),"")</f>
        <v/>
      </c>
      <c r="AT781" s="50" t="str">
        <f aca="false">IF($Q781&lt;&gt;"",$Q781,$AS781)</f>
        <v/>
      </c>
    </row>
    <row r="782" customFormat="false" ht="16.5" hidden="false" customHeight="true" outlineLevel="0" collapsed="false">
      <c r="A782" s="39" t="str">
        <f aca="false">IF($F782="","",ROW())</f>
        <v/>
      </c>
      <c r="B782" s="40" t="str">
        <f aca="false">IF($F782="",IF($D782="","","Falta a atividade"),IF($R782="Cancelada","Cancelada",IF($AB782=1,IF(N($Z782)&gt;0,"Concluída com atraso","Concluída"),IF($R782="Em programação","Em programação",IF($O782="",IF($M782="","Na carteira","Falta a semana"),IF($AC782=1,"VENCIDA",IF($O782&gt;Hoje!$L$1,"Programada",IF($P782&gt;Hoje!$L$1,"Em execução","Fecha hoje"))))))))</f>
        <v/>
      </c>
      <c r="C782" s="41"/>
      <c r="D782" s="42"/>
      <c r="E782" s="42"/>
      <c r="F782" s="42"/>
      <c r="G782" s="43"/>
      <c r="H782" s="43"/>
      <c r="I782" s="44"/>
      <c r="J782" s="44"/>
      <c r="K782" s="44"/>
      <c r="L782" s="45"/>
      <c r="M782" s="46"/>
      <c r="N782" s="45"/>
      <c r="O782" s="47" t="str">
        <f aca="false">IF(OR($L782="",$M782=""),"",(DATE(Semana!$J$3,1,4)-WEEKDAY(DATE(Semana!$J$3,1,4),3))+($L782-1)*7+MATCH($M782,Listas!$F$5:$F$11,0)-1)</f>
        <v/>
      </c>
      <c r="P782" s="47" t="str">
        <f aca="false">IF(OR($F782="",$O782=""),"",$O782+MAX(0,ROUNDUP($AK782*MAX(1,IF($N782="",1,$N782))/MAX(1,$AL782),0)-1))</f>
        <v/>
      </c>
      <c r="Q782" s="48"/>
      <c r="R782" s="43"/>
      <c r="S782" s="49"/>
      <c r="T782" s="42"/>
      <c r="U782" s="42"/>
      <c r="V782" s="39" t="str">
        <f aca="false">IF($F782="","",IF(ISNUMBER(SEARCH("(externo)",$I782&amp;$J782&amp;$K782)),"Terceirizada","Interna"))</f>
        <v/>
      </c>
      <c r="W782" s="47" t="str">
        <f aca="false">IF($O782="","",IF($S782="",$O782,(DATE(Semana!$J$3,1,4)-WEEKDAY(DATE(Semana!$J$3,1,4),3))+($S782-1)*7+IF($M782="",0,MATCH($M782,Listas!$F$5:$F$11,0)-1)))</f>
        <v/>
      </c>
      <c r="X782" s="39" t="str">
        <f aca="false">IF($F782="","",IF(OR($AT782="",$O782=""),0,IF($AT782&lt;=$O782,1,0)))</f>
        <v/>
      </c>
      <c r="Y782" s="39" t="str">
        <f aca="false">IF($F782="","",IF(OR($AT782="",$W782=""),0,IF($AT782&lt;=$W782,1,0)))</f>
        <v/>
      </c>
      <c r="Z782" s="39" t="str">
        <f aca="false">IF(OR($AT782="",$O782=""),"",MAX(0,$AT782-$O782))</f>
        <v/>
      </c>
      <c r="AA782" s="39" t="str">
        <f aca="false">IF($F782="","",IF(AND($S782&lt;&gt;"",$L782&lt;&gt;"",$S782&lt;&gt;$L782),1,0))</f>
        <v/>
      </c>
      <c r="AB782" s="39" t="str">
        <f aca="false">IF($F782="","",IF($R782="Cancelada",0,IF(OR($AT782&lt;&gt;"",$R782="Concluída"),1,0)))</f>
        <v/>
      </c>
      <c r="AC782" s="39" t="n">
        <f aca="false">IF($P782="",0,IF($P782&lt;Hoje!$L$1,1,IF(AND($P782=Hoje!$L$1,Hoje!$L$2&gt;Semana!$M$3),1,0)))</f>
        <v>0</v>
      </c>
      <c r="AD782" s="39" t="str">
        <f aca="false">IF($F782="","",IF(COUNTA($I782:$K782)=0,0,1/COUNTA($I782:$K782)))</f>
        <v/>
      </c>
      <c r="AE782" s="39" t="str">
        <f aca="false">IF($AH782=0,"",SUM($AH$4:$AH782))</f>
        <v/>
      </c>
      <c r="AF782" s="39" t="str">
        <f aca="false">IF($AI782=0,"",SUM($AI$4:$AI782))</f>
        <v/>
      </c>
      <c r="AG782" s="50" t="str">
        <f aca="false">IF($F782="","",$I782&amp;IF($J782="",""," · "&amp;$J782)&amp;IF($K782="",""," · "&amp;$K782))</f>
        <v/>
      </c>
      <c r="AH782" s="39" t="n">
        <f aca="false">IF(AND($F782&lt;&gt;"",$O782&lt;&gt;"",$O782&lt;=Hoje!$C$3,$P782&gt;=Hoje!$C$3,$R782&lt;&gt;"Cancelada"),1,0)</f>
        <v>0</v>
      </c>
      <c r="AI782" s="39" t="n">
        <f aca="false">IF(AND($F782&lt;&gt;"",$P782&lt;&gt;"",$P782&lt;Hoje!$C$3,$AB782=0,$R782&lt;&gt;"Cancelada"),1,0)</f>
        <v>0</v>
      </c>
      <c r="AJ782" s="50" t="str">
        <f aca="false">IF($F782="","",$D782&amp;"|"&amp;$E782&amp;"|"&amp;$L782)</f>
        <v/>
      </c>
      <c r="AK782" s="39" t="str">
        <f aca="false">IF($AJ782="","",COUNTIF($AJ$4:$AJ782,$AJ782))</f>
        <v/>
      </c>
      <c r="AL782" s="39" t="str">
        <f aca="false">IF($AJ782="","",COUNTIF($AJ$4:$AJ$1004,$AJ782))</f>
        <v/>
      </c>
      <c r="AM782" s="42"/>
      <c r="AN782" s="50" t="str">
        <f aca="false">IF($D782="","",IFERROR(T(VLOOKUP($D782,Listas!$B$5:$H$120,7,0)),""))</f>
        <v/>
      </c>
      <c r="AO782" s="50" t="str">
        <f aca="false">IF(OR($F782="",$L782&lt;&gt;"",$R782="Cancelada",$AT782&lt;&gt;""),"",$AN782&amp;"|"&amp;$D782&amp;"|"&amp;IF($C782="","zzz",$C782)&amp;"|"&amp;TEXT(782,"0000"))</f>
        <v/>
      </c>
      <c r="AP782" s="50" t="str">
        <f aca="false">IF($AO782="","",COUNTIF($AO$5:$AO$1004,"&lt;"&amp;$AO782)-(ROWS($AO$5:$AO$1004)-Hoje!$L$5)+1)</f>
        <v/>
      </c>
      <c r="AQ782" s="50" t="n">
        <f aca="false">IF(AND($F782&lt;&gt;"",$D782=Frota!$C$3),1,0)</f>
        <v>0</v>
      </c>
      <c r="AR782" s="50" t="str">
        <f aca="false">IF($AQ782=0,"",SUM($AQ$4:$AQ782))</f>
        <v/>
      </c>
      <c r="AS782" s="50" t="str">
        <f aca="false">IFERROR(INDEX(Hoje!$K$10:$K$29,MATCH(ROW(),Hoje!$J$10:$J$29,0)),"")</f>
        <v/>
      </c>
      <c r="AT782" s="50" t="str">
        <f aca="false">IF($Q782&lt;&gt;"",$Q782,$AS782)</f>
        <v/>
      </c>
    </row>
    <row r="783" customFormat="false" ht="16.5" hidden="false" customHeight="true" outlineLevel="0" collapsed="false">
      <c r="A783" s="39" t="str">
        <f aca="false">IF($F783="","",ROW())</f>
        <v/>
      </c>
      <c r="B783" s="40" t="str">
        <f aca="false">IF($F783="",IF($D783="","","Falta a atividade"),IF($R783="Cancelada","Cancelada",IF($AB783=1,IF(N($Z783)&gt;0,"Concluída com atraso","Concluída"),IF($R783="Em programação","Em programação",IF($O783="",IF($M783="","Na carteira","Falta a semana"),IF($AC783=1,"VENCIDA",IF($O783&gt;Hoje!$L$1,"Programada",IF($P783&gt;Hoje!$L$1,"Em execução","Fecha hoje"))))))))</f>
        <v/>
      </c>
      <c r="C783" s="41"/>
      <c r="D783" s="42"/>
      <c r="E783" s="42"/>
      <c r="F783" s="42"/>
      <c r="G783" s="43"/>
      <c r="H783" s="43"/>
      <c r="I783" s="44"/>
      <c r="J783" s="44"/>
      <c r="K783" s="44"/>
      <c r="L783" s="45"/>
      <c r="M783" s="46"/>
      <c r="N783" s="45"/>
      <c r="O783" s="47" t="str">
        <f aca="false">IF(OR($L783="",$M783=""),"",(DATE(Semana!$J$3,1,4)-WEEKDAY(DATE(Semana!$J$3,1,4),3))+($L783-1)*7+MATCH($M783,Listas!$F$5:$F$11,0)-1)</f>
        <v/>
      </c>
      <c r="P783" s="47" t="str">
        <f aca="false">IF(OR($F783="",$O783=""),"",$O783+MAX(0,ROUNDUP($AK783*MAX(1,IF($N783="",1,$N783))/MAX(1,$AL783),0)-1))</f>
        <v/>
      </c>
      <c r="Q783" s="48"/>
      <c r="R783" s="43"/>
      <c r="S783" s="49"/>
      <c r="T783" s="42"/>
      <c r="U783" s="42"/>
      <c r="V783" s="39" t="str">
        <f aca="false">IF($F783="","",IF(ISNUMBER(SEARCH("(externo)",$I783&amp;$J783&amp;$K783)),"Terceirizada","Interna"))</f>
        <v/>
      </c>
      <c r="W783" s="47" t="str">
        <f aca="false">IF($O783="","",IF($S783="",$O783,(DATE(Semana!$J$3,1,4)-WEEKDAY(DATE(Semana!$J$3,1,4),3))+($S783-1)*7+IF($M783="",0,MATCH($M783,Listas!$F$5:$F$11,0)-1)))</f>
        <v/>
      </c>
      <c r="X783" s="39" t="str">
        <f aca="false">IF($F783="","",IF(OR($AT783="",$O783=""),0,IF($AT783&lt;=$O783,1,0)))</f>
        <v/>
      </c>
      <c r="Y783" s="39" t="str">
        <f aca="false">IF($F783="","",IF(OR($AT783="",$W783=""),0,IF($AT783&lt;=$W783,1,0)))</f>
        <v/>
      </c>
      <c r="Z783" s="39" t="str">
        <f aca="false">IF(OR($AT783="",$O783=""),"",MAX(0,$AT783-$O783))</f>
        <v/>
      </c>
      <c r="AA783" s="39" t="str">
        <f aca="false">IF($F783="","",IF(AND($S783&lt;&gt;"",$L783&lt;&gt;"",$S783&lt;&gt;$L783),1,0))</f>
        <v/>
      </c>
      <c r="AB783" s="39" t="str">
        <f aca="false">IF($F783="","",IF($R783="Cancelada",0,IF(OR($AT783&lt;&gt;"",$R783="Concluída"),1,0)))</f>
        <v/>
      </c>
      <c r="AC783" s="39" t="n">
        <f aca="false">IF($P783="",0,IF($P783&lt;Hoje!$L$1,1,IF(AND($P783=Hoje!$L$1,Hoje!$L$2&gt;Semana!$M$3),1,0)))</f>
        <v>0</v>
      </c>
      <c r="AD783" s="39" t="str">
        <f aca="false">IF($F783="","",IF(COUNTA($I783:$K783)=0,0,1/COUNTA($I783:$K783)))</f>
        <v/>
      </c>
      <c r="AE783" s="39" t="str">
        <f aca="false">IF($AH783=0,"",SUM($AH$4:$AH783))</f>
        <v/>
      </c>
      <c r="AF783" s="39" t="str">
        <f aca="false">IF($AI783=0,"",SUM($AI$4:$AI783))</f>
        <v/>
      </c>
      <c r="AG783" s="50" t="str">
        <f aca="false">IF($F783="","",$I783&amp;IF($J783="",""," · "&amp;$J783)&amp;IF($K783="",""," · "&amp;$K783))</f>
        <v/>
      </c>
      <c r="AH783" s="39" t="n">
        <f aca="false">IF(AND($F783&lt;&gt;"",$O783&lt;&gt;"",$O783&lt;=Hoje!$C$3,$P783&gt;=Hoje!$C$3,$R783&lt;&gt;"Cancelada"),1,0)</f>
        <v>0</v>
      </c>
      <c r="AI783" s="39" t="n">
        <f aca="false">IF(AND($F783&lt;&gt;"",$P783&lt;&gt;"",$P783&lt;Hoje!$C$3,$AB783=0,$R783&lt;&gt;"Cancelada"),1,0)</f>
        <v>0</v>
      </c>
      <c r="AJ783" s="50" t="str">
        <f aca="false">IF($F783="","",$D783&amp;"|"&amp;$E783&amp;"|"&amp;$L783)</f>
        <v/>
      </c>
      <c r="AK783" s="39" t="str">
        <f aca="false">IF($AJ783="","",COUNTIF($AJ$4:$AJ783,$AJ783))</f>
        <v/>
      </c>
      <c r="AL783" s="39" t="str">
        <f aca="false">IF($AJ783="","",COUNTIF($AJ$4:$AJ$1004,$AJ783))</f>
        <v/>
      </c>
      <c r="AM783" s="42"/>
      <c r="AN783" s="50" t="str">
        <f aca="false">IF($D783="","",IFERROR(T(VLOOKUP($D783,Listas!$B$5:$H$120,7,0)),""))</f>
        <v/>
      </c>
      <c r="AO783" s="50" t="str">
        <f aca="false">IF(OR($F783="",$L783&lt;&gt;"",$R783="Cancelada",$AT783&lt;&gt;""),"",$AN783&amp;"|"&amp;$D783&amp;"|"&amp;IF($C783="","zzz",$C783)&amp;"|"&amp;TEXT(783,"0000"))</f>
        <v/>
      </c>
      <c r="AP783" s="50" t="str">
        <f aca="false">IF($AO783="","",COUNTIF($AO$5:$AO$1004,"&lt;"&amp;$AO783)-(ROWS($AO$5:$AO$1004)-Hoje!$L$5)+1)</f>
        <v/>
      </c>
      <c r="AQ783" s="50" t="n">
        <f aca="false">IF(AND($F783&lt;&gt;"",$D783=Frota!$C$3),1,0)</f>
        <v>0</v>
      </c>
      <c r="AR783" s="50" t="str">
        <f aca="false">IF($AQ783=0,"",SUM($AQ$4:$AQ783))</f>
        <v/>
      </c>
      <c r="AS783" s="50" t="str">
        <f aca="false">IFERROR(INDEX(Hoje!$K$10:$K$29,MATCH(ROW(),Hoje!$J$10:$J$29,0)),"")</f>
        <v/>
      </c>
      <c r="AT783" s="50" t="str">
        <f aca="false">IF($Q783&lt;&gt;"",$Q783,$AS783)</f>
        <v/>
      </c>
    </row>
    <row r="784" customFormat="false" ht="16.5" hidden="false" customHeight="true" outlineLevel="0" collapsed="false">
      <c r="A784" s="39" t="str">
        <f aca="false">IF($F784="","",ROW())</f>
        <v/>
      </c>
      <c r="B784" s="40" t="str">
        <f aca="false">IF($F784="",IF($D784="","","Falta a atividade"),IF($R784="Cancelada","Cancelada",IF($AB784=1,IF(N($Z784)&gt;0,"Concluída com atraso","Concluída"),IF($R784="Em programação","Em programação",IF($O784="",IF($M784="","Na carteira","Falta a semana"),IF($AC784=1,"VENCIDA",IF($O784&gt;Hoje!$L$1,"Programada",IF($P784&gt;Hoje!$L$1,"Em execução","Fecha hoje"))))))))</f>
        <v/>
      </c>
      <c r="C784" s="41"/>
      <c r="D784" s="42"/>
      <c r="E784" s="42"/>
      <c r="F784" s="42"/>
      <c r="G784" s="43"/>
      <c r="H784" s="43"/>
      <c r="I784" s="44"/>
      <c r="J784" s="44"/>
      <c r="K784" s="44"/>
      <c r="L784" s="45"/>
      <c r="M784" s="46"/>
      <c r="N784" s="45"/>
      <c r="O784" s="47" t="str">
        <f aca="false">IF(OR($L784="",$M784=""),"",(DATE(Semana!$J$3,1,4)-WEEKDAY(DATE(Semana!$J$3,1,4),3))+($L784-1)*7+MATCH($M784,Listas!$F$5:$F$11,0)-1)</f>
        <v/>
      </c>
      <c r="P784" s="47" t="str">
        <f aca="false">IF(OR($F784="",$O784=""),"",$O784+MAX(0,ROUNDUP($AK784*MAX(1,IF($N784="",1,$N784))/MAX(1,$AL784),0)-1))</f>
        <v/>
      </c>
      <c r="Q784" s="48"/>
      <c r="R784" s="43"/>
      <c r="S784" s="49"/>
      <c r="T784" s="42"/>
      <c r="U784" s="42"/>
      <c r="V784" s="39" t="str">
        <f aca="false">IF($F784="","",IF(ISNUMBER(SEARCH("(externo)",$I784&amp;$J784&amp;$K784)),"Terceirizada","Interna"))</f>
        <v/>
      </c>
      <c r="W784" s="47" t="str">
        <f aca="false">IF($O784="","",IF($S784="",$O784,(DATE(Semana!$J$3,1,4)-WEEKDAY(DATE(Semana!$J$3,1,4),3))+($S784-1)*7+IF($M784="",0,MATCH($M784,Listas!$F$5:$F$11,0)-1)))</f>
        <v/>
      </c>
      <c r="X784" s="39" t="str">
        <f aca="false">IF($F784="","",IF(OR($AT784="",$O784=""),0,IF($AT784&lt;=$O784,1,0)))</f>
        <v/>
      </c>
      <c r="Y784" s="39" t="str">
        <f aca="false">IF($F784="","",IF(OR($AT784="",$W784=""),0,IF($AT784&lt;=$W784,1,0)))</f>
        <v/>
      </c>
      <c r="Z784" s="39" t="str">
        <f aca="false">IF(OR($AT784="",$O784=""),"",MAX(0,$AT784-$O784))</f>
        <v/>
      </c>
      <c r="AA784" s="39" t="str">
        <f aca="false">IF($F784="","",IF(AND($S784&lt;&gt;"",$L784&lt;&gt;"",$S784&lt;&gt;$L784),1,0))</f>
        <v/>
      </c>
      <c r="AB784" s="39" t="str">
        <f aca="false">IF($F784="","",IF($R784="Cancelada",0,IF(OR($AT784&lt;&gt;"",$R784="Concluída"),1,0)))</f>
        <v/>
      </c>
      <c r="AC784" s="39" t="n">
        <f aca="false">IF($P784="",0,IF($P784&lt;Hoje!$L$1,1,IF(AND($P784=Hoje!$L$1,Hoje!$L$2&gt;Semana!$M$3),1,0)))</f>
        <v>0</v>
      </c>
      <c r="AD784" s="39" t="str">
        <f aca="false">IF($F784="","",IF(COUNTA($I784:$K784)=0,0,1/COUNTA($I784:$K784)))</f>
        <v/>
      </c>
      <c r="AE784" s="39" t="str">
        <f aca="false">IF($AH784=0,"",SUM($AH$4:$AH784))</f>
        <v/>
      </c>
      <c r="AF784" s="39" t="str">
        <f aca="false">IF($AI784=0,"",SUM($AI$4:$AI784))</f>
        <v/>
      </c>
      <c r="AG784" s="50" t="str">
        <f aca="false">IF($F784="","",$I784&amp;IF($J784="",""," · "&amp;$J784)&amp;IF($K784="",""," · "&amp;$K784))</f>
        <v/>
      </c>
      <c r="AH784" s="39" t="n">
        <f aca="false">IF(AND($F784&lt;&gt;"",$O784&lt;&gt;"",$O784&lt;=Hoje!$C$3,$P784&gt;=Hoje!$C$3,$R784&lt;&gt;"Cancelada"),1,0)</f>
        <v>0</v>
      </c>
      <c r="AI784" s="39" t="n">
        <f aca="false">IF(AND($F784&lt;&gt;"",$P784&lt;&gt;"",$P784&lt;Hoje!$C$3,$AB784=0,$R784&lt;&gt;"Cancelada"),1,0)</f>
        <v>0</v>
      </c>
      <c r="AJ784" s="50" t="str">
        <f aca="false">IF($F784="","",$D784&amp;"|"&amp;$E784&amp;"|"&amp;$L784)</f>
        <v/>
      </c>
      <c r="AK784" s="39" t="str">
        <f aca="false">IF($AJ784="","",COUNTIF($AJ$4:$AJ784,$AJ784))</f>
        <v/>
      </c>
      <c r="AL784" s="39" t="str">
        <f aca="false">IF($AJ784="","",COUNTIF($AJ$4:$AJ$1004,$AJ784))</f>
        <v/>
      </c>
      <c r="AM784" s="42"/>
      <c r="AN784" s="50" t="str">
        <f aca="false">IF($D784="","",IFERROR(T(VLOOKUP($D784,Listas!$B$5:$H$120,7,0)),""))</f>
        <v/>
      </c>
      <c r="AO784" s="50" t="str">
        <f aca="false">IF(OR($F784="",$L784&lt;&gt;"",$R784="Cancelada",$AT784&lt;&gt;""),"",$AN784&amp;"|"&amp;$D784&amp;"|"&amp;IF($C784="","zzz",$C784)&amp;"|"&amp;TEXT(784,"0000"))</f>
        <v/>
      </c>
      <c r="AP784" s="50" t="str">
        <f aca="false">IF($AO784="","",COUNTIF($AO$5:$AO$1004,"&lt;"&amp;$AO784)-(ROWS($AO$5:$AO$1004)-Hoje!$L$5)+1)</f>
        <v/>
      </c>
      <c r="AQ784" s="50" t="n">
        <f aca="false">IF(AND($F784&lt;&gt;"",$D784=Frota!$C$3),1,0)</f>
        <v>0</v>
      </c>
      <c r="AR784" s="50" t="str">
        <f aca="false">IF($AQ784=0,"",SUM($AQ$4:$AQ784))</f>
        <v/>
      </c>
      <c r="AS784" s="50" t="str">
        <f aca="false">IFERROR(INDEX(Hoje!$K$10:$K$29,MATCH(ROW(),Hoje!$J$10:$J$29,0)),"")</f>
        <v/>
      </c>
      <c r="AT784" s="50" t="str">
        <f aca="false">IF($Q784&lt;&gt;"",$Q784,$AS784)</f>
        <v/>
      </c>
    </row>
    <row r="785" customFormat="false" ht="16.5" hidden="false" customHeight="true" outlineLevel="0" collapsed="false">
      <c r="A785" s="39" t="str">
        <f aca="false">IF($F785="","",ROW())</f>
        <v/>
      </c>
      <c r="B785" s="40" t="str">
        <f aca="false">IF($F785="",IF($D785="","","Falta a atividade"),IF($R785="Cancelada","Cancelada",IF($AB785=1,IF(N($Z785)&gt;0,"Concluída com atraso","Concluída"),IF($R785="Em programação","Em programação",IF($O785="",IF($M785="","Na carteira","Falta a semana"),IF($AC785=1,"VENCIDA",IF($O785&gt;Hoje!$L$1,"Programada",IF($P785&gt;Hoje!$L$1,"Em execução","Fecha hoje"))))))))</f>
        <v/>
      </c>
      <c r="C785" s="41"/>
      <c r="D785" s="42"/>
      <c r="E785" s="42"/>
      <c r="F785" s="42"/>
      <c r="G785" s="43"/>
      <c r="H785" s="43"/>
      <c r="I785" s="44"/>
      <c r="J785" s="44"/>
      <c r="K785" s="44"/>
      <c r="L785" s="45"/>
      <c r="M785" s="46"/>
      <c r="N785" s="45"/>
      <c r="O785" s="47" t="str">
        <f aca="false">IF(OR($L785="",$M785=""),"",(DATE(Semana!$J$3,1,4)-WEEKDAY(DATE(Semana!$J$3,1,4),3))+($L785-1)*7+MATCH($M785,Listas!$F$5:$F$11,0)-1)</f>
        <v/>
      </c>
      <c r="P785" s="47" t="str">
        <f aca="false">IF(OR($F785="",$O785=""),"",$O785+MAX(0,ROUNDUP($AK785*MAX(1,IF($N785="",1,$N785))/MAX(1,$AL785),0)-1))</f>
        <v/>
      </c>
      <c r="Q785" s="48"/>
      <c r="R785" s="43"/>
      <c r="S785" s="49"/>
      <c r="T785" s="42"/>
      <c r="U785" s="42"/>
      <c r="V785" s="39" t="str">
        <f aca="false">IF($F785="","",IF(ISNUMBER(SEARCH("(externo)",$I785&amp;$J785&amp;$K785)),"Terceirizada","Interna"))</f>
        <v/>
      </c>
      <c r="W785" s="47" t="str">
        <f aca="false">IF($O785="","",IF($S785="",$O785,(DATE(Semana!$J$3,1,4)-WEEKDAY(DATE(Semana!$J$3,1,4),3))+($S785-1)*7+IF($M785="",0,MATCH($M785,Listas!$F$5:$F$11,0)-1)))</f>
        <v/>
      </c>
      <c r="X785" s="39" t="str">
        <f aca="false">IF($F785="","",IF(OR($AT785="",$O785=""),0,IF($AT785&lt;=$O785,1,0)))</f>
        <v/>
      </c>
      <c r="Y785" s="39" t="str">
        <f aca="false">IF($F785="","",IF(OR($AT785="",$W785=""),0,IF($AT785&lt;=$W785,1,0)))</f>
        <v/>
      </c>
      <c r="Z785" s="39" t="str">
        <f aca="false">IF(OR($AT785="",$O785=""),"",MAX(0,$AT785-$O785))</f>
        <v/>
      </c>
      <c r="AA785" s="39" t="str">
        <f aca="false">IF($F785="","",IF(AND($S785&lt;&gt;"",$L785&lt;&gt;"",$S785&lt;&gt;$L785),1,0))</f>
        <v/>
      </c>
      <c r="AB785" s="39" t="str">
        <f aca="false">IF($F785="","",IF($R785="Cancelada",0,IF(OR($AT785&lt;&gt;"",$R785="Concluída"),1,0)))</f>
        <v/>
      </c>
      <c r="AC785" s="39" t="n">
        <f aca="false">IF($P785="",0,IF($P785&lt;Hoje!$L$1,1,IF(AND($P785=Hoje!$L$1,Hoje!$L$2&gt;Semana!$M$3),1,0)))</f>
        <v>0</v>
      </c>
      <c r="AD785" s="39" t="str">
        <f aca="false">IF($F785="","",IF(COUNTA($I785:$K785)=0,0,1/COUNTA($I785:$K785)))</f>
        <v/>
      </c>
      <c r="AE785" s="39" t="str">
        <f aca="false">IF($AH785=0,"",SUM($AH$4:$AH785))</f>
        <v/>
      </c>
      <c r="AF785" s="39" t="str">
        <f aca="false">IF($AI785=0,"",SUM($AI$4:$AI785))</f>
        <v/>
      </c>
      <c r="AG785" s="50" t="str">
        <f aca="false">IF($F785="","",$I785&amp;IF($J785="",""," · "&amp;$J785)&amp;IF($K785="",""," · "&amp;$K785))</f>
        <v/>
      </c>
      <c r="AH785" s="39" t="n">
        <f aca="false">IF(AND($F785&lt;&gt;"",$O785&lt;&gt;"",$O785&lt;=Hoje!$C$3,$P785&gt;=Hoje!$C$3,$R785&lt;&gt;"Cancelada"),1,0)</f>
        <v>0</v>
      </c>
      <c r="AI785" s="39" t="n">
        <f aca="false">IF(AND($F785&lt;&gt;"",$P785&lt;&gt;"",$P785&lt;Hoje!$C$3,$AB785=0,$R785&lt;&gt;"Cancelada"),1,0)</f>
        <v>0</v>
      </c>
      <c r="AJ785" s="50" t="str">
        <f aca="false">IF($F785="","",$D785&amp;"|"&amp;$E785&amp;"|"&amp;$L785)</f>
        <v/>
      </c>
      <c r="AK785" s="39" t="str">
        <f aca="false">IF($AJ785="","",COUNTIF($AJ$4:$AJ785,$AJ785))</f>
        <v/>
      </c>
      <c r="AL785" s="39" t="str">
        <f aca="false">IF($AJ785="","",COUNTIF($AJ$4:$AJ$1004,$AJ785))</f>
        <v/>
      </c>
      <c r="AM785" s="42"/>
      <c r="AN785" s="50" t="str">
        <f aca="false">IF($D785="","",IFERROR(T(VLOOKUP($D785,Listas!$B$5:$H$120,7,0)),""))</f>
        <v/>
      </c>
      <c r="AO785" s="50" t="str">
        <f aca="false">IF(OR($F785="",$L785&lt;&gt;"",$R785="Cancelada",$AT785&lt;&gt;""),"",$AN785&amp;"|"&amp;$D785&amp;"|"&amp;IF($C785="","zzz",$C785)&amp;"|"&amp;TEXT(785,"0000"))</f>
        <v/>
      </c>
      <c r="AP785" s="50" t="str">
        <f aca="false">IF($AO785="","",COUNTIF($AO$5:$AO$1004,"&lt;"&amp;$AO785)-(ROWS($AO$5:$AO$1004)-Hoje!$L$5)+1)</f>
        <v/>
      </c>
      <c r="AQ785" s="50" t="n">
        <f aca="false">IF(AND($F785&lt;&gt;"",$D785=Frota!$C$3),1,0)</f>
        <v>0</v>
      </c>
      <c r="AR785" s="50" t="str">
        <f aca="false">IF($AQ785=0,"",SUM($AQ$4:$AQ785))</f>
        <v/>
      </c>
      <c r="AS785" s="50" t="str">
        <f aca="false">IFERROR(INDEX(Hoje!$K$10:$K$29,MATCH(ROW(),Hoje!$J$10:$J$29,0)),"")</f>
        <v/>
      </c>
      <c r="AT785" s="50" t="str">
        <f aca="false">IF($Q785&lt;&gt;"",$Q785,$AS785)</f>
        <v/>
      </c>
    </row>
    <row r="786" customFormat="false" ht="16.5" hidden="false" customHeight="true" outlineLevel="0" collapsed="false">
      <c r="A786" s="39" t="str">
        <f aca="false">IF($F786="","",ROW())</f>
        <v/>
      </c>
      <c r="B786" s="40" t="str">
        <f aca="false">IF($F786="",IF($D786="","","Falta a atividade"),IF($R786="Cancelada","Cancelada",IF($AB786=1,IF(N($Z786)&gt;0,"Concluída com atraso","Concluída"),IF($R786="Em programação","Em programação",IF($O786="",IF($M786="","Na carteira","Falta a semana"),IF($AC786=1,"VENCIDA",IF($O786&gt;Hoje!$L$1,"Programada",IF($P786&gt;Hoje!$L$1,"Em execução","Fecha hoje"))))))))</f>
        <v/>
      </c>
      <c r="C786" s="41"/>
      <c r="D786" s="42"/>
      <c r="E786" s="42"/>
      <c r="F786" s="42"/>
      <c r="G786" s="43"/>
      <c r="H786" s="43"/>
      <c r="I786" s="44"/>
      <c r="J786" s="44"/>
      <c r="K786" s="44"/>
      <c r="L786" s="45"/>
      <c r="M786" s="46"/>
      <c r="N786" s="45"/>
      <c r="O786" s="47" t="str">
        <f aca="false">IF(OR($L786="",$M786=""),"",(DATE(Semana!$J$3,1,4)-WEEKDAY(DATE(Semana!$J$3,1,4),3))+($L786-1)*7+MATCH($M786,Listas!$F$5:$F$11,0)-1)</f>
        <v/>
      </c>
      <c r="P786" s="47" t="str">
        <f aca="false">IF(OR($F786="",$O786=""),"",$O786+MAX(0,ROUNDUP($AK786*MAX(1,IF($N786="",1,$N786))/MAX(1,$AL786),0)-1))</f>
        <v/>
      </c>
      <c r="Q786" s="48"/>
      <c r="R786" s="43"/>
      <c r="S786" s="49"/>
      <c r="T786" s="42"/>
      <c r="U786" s="42"/>
      <c r="V786" s="39" t="str">
        <f aca="false">IF($F786="","",IF(ISNUMBER(SEARCH("(externo)",$I786&amp;$J786&amp;$K786)),"Terceirizada","Interna"))</f>
        <v/>
      </c>
      <c r="W786" s="47" t="str">
        <f aca="false">IF($O786="","",IF($S786="",$O786,(DATE(Semana!$J$3,1,4)-WEEKDAY(DATE(Semana!$J$3,1,4),3))+($S786-1)*7+IF($M786="",0,MATCH($M786,Listas!$F$5:$F$11,0)-1)))</f>
        <v/>
      </c>
      <c r="X786" s="39" t="str">
        <f aca="false">IF($F786="","",IF(OR($AT786="",$O786=""),0,IF($AT786&lt;=$O786,1,0)))</f>
        <v/>
      </c>
      <c r="Y786" s="39" t="str">
        <f aca="false">IF($F786="","",IF(OR($AT786="",$W786=""),0,IF($AT786&lt;=$W786,1,0)))</f>
        <v/>
      </c>
      <c r="Z786" s="39" t="str">
        <f aca="false">IF(OR($AT786="",$O786=""),"",MAX(0,$AT786-$O786))</f>
        <v/>
      </c>
      <c r="AA786" s="39" t="str">
        <f aca="false">IF($F786="","",IF(AND($S786&lt;&gt;"",$L786&lt;&gt;"",$S786&lt;&gt;$L786),1,0))</f>
        <v/>
      </c>
      <c r="AB786" s="39" t="str">
        <f aca="false">IF($F786="","",IF($R786="Cancelada",0,IF(OR($AT786&lt;&gt;"",$R786="Concluída"),1,0)))</f>
        <v/>
      </c>
      <c r="AC786" s="39" t="n">
        <f aca="false">IF($P786="",0,IF($P786&lt;Hoje!$L$1,1,IF(AND($P786=Hoje!$L$1,Hoje!$L$2&gt;Semana!$M$3),1,0)))</f>
        <v>0</v>
      </c>
      <c r="AD786" s="39" t="str">
        <f aca="false">IF($F786="","",IF(COUNTA($I786:$K786)=0,0,1/COUNTA($I786:$K786)))</f>
        <v/>
      </c>
      <c r="AE786" s="39" t="str">
        <f aca="false">IF($AH786=0,"",SUM($AH$4:$AH786))</f>
        <v/>
      </c>
      <c r="AF786" s="39" t="str">
        <f aca="false">IF($AI786=0,"",SUM($AI$4:$AI786))</f>
        <v/>
      </c>
      <c r="AG786" s="50" t="str">
        <f aca="false">IF($F786="","",$I786&amp;IF($J786="",""," · "&amp;$J786)&amp;IF($K786="",""," · "&amp;$K786))</f>
        <v/>
      </c>
      <c r="AH786" s="39" t="n">
        <f aca="false">IF(AND($F786&lt;&gt;"",$O786&lt;&gt;"",$O786&lt;=Hoje!$C$3,$P786&gt;=Hoje!$C$3,$R786&lt;&gt;"Cancelada"),1,0)</f>
        <v>0</v>
      </c>
      <c r="AI786" s="39" t="n">
        <f aca="false">IF(AND($F786&lt;&gt;"",$P786&lt;&gt;"",$P786&lt;Hoje!$C$3,$AB786=0,$R786&lt;&gt;"Cancelada"),1,0)</f>
        <v>0</v>
      </c>
      <c r="AJ786" s="50" t="str">
        <f aca="false">IF($F786="","",$D786&amp;"|"&amp;$E786&amp;"|"&amp;$L786)</f>
        <v/>
      </c>
      <c r="AK786" s="39" t="str">
        <f aca="false">IF($AJ786="","",COUNTIF($AJ$4:$AJ786,$AJ786))</f>
        <v/>
      </c>
      <c r="AL786" s="39" t="str">
        <f aca="false">IF($AJ786="","",COUNTIF($AJ$4:$AJ$1004,$AJ786))</f>
        <v/>
      </c>
      <c r="AM786" s="42"/>
      <c r="AN786" s="50" t="str">
        <f aca="false">IF($D786="","",IFERROR(T(VLOOKUP($D786,Listas!$B$5:$H$120,7,0)),""))</f>
        <v/>
      </c>
      <c r="AO786" s="50" t="str">
        <f aca="false">IF(OR($F786="",$L786&lt;&gt;"",$R786="Cancelada",$AT786&lt;&gt;""),"",$AN786&amp;"|"&amp;$D786&amp;"|"&amp;IF($C786="","zzz",$C786)&amp;"|"&amp;TEXT(786,"0000"))</f>
        <v/>
      </c>
      <c r="AP786" s="50" t="str">
        <f aca="false">IF($AO786="","",COUNTIF($AO$5:$AO$1004,"&lt;"&amp;$AO786)-(ROWS($AO$5:$AO$1004)-Hoje!$L$5)+1)</f>
        <v/>
      </c>
      <c r="AQ786" s="50" t="n">
        <f aca="false">IF(AND($F786&lt;&gt;"",$D786=Frota!$C$3),1,0)</f>
        <v>0</v>
      </c>
      <c r="AR786" s="50" t="str">
        <f aca="false">IF($AQ786=0,"",SUM($AQ$4:$AQ786))</f>
        <v/>
      </c>
      <c r="AS786" s="50" t="str">
        <f aca="false">IFERROR(INDEX(Hoje!$K$10:$K$29,MATCH(ROW(),Hoje!$J$10:$J$29,0)),"")</f>
        <v/>
      </c>
      <c r="AT786" s="50" t="str">
        <f aca="false">IF($Q786&lt;&gt;"",$Q786,$AS786)</f>
        <v/>
      </c>
    </row>
    <row r="787" customFormat="false" ht="16.5" hidden="false" customHeight="true" outlineLevel="0" collapsed="false">
      <c r="A787" s="39" t="str">
        <f aca="false">IF($F787="","",ROW())</f>
        <v/>
      </c>
      <c r="B787" s="40" t="str">
        <f aca="false">IF($F787="",IF($D787="","","Falta a atividade"),IF($R787="Cancelada","Cancelada",IF($AB787=1,IF(N($Z787)&gt;0,"Concluída com atraso","Concluída"),IF($R787="Em programação","Em programação",IF($O787="",IF($M787="","Na carteira","Falta a semana"),IF($AC787=1,"VENCIDA",IF($O787&gt;Hoje!$L$1,"Programada",IF($P787&gt;Hoje!$L$1,"Em execução","Fecha hoje"))))))))</f>
        <v/>
      </c>
      <c r="C787" s="41"/>
      <c r="D787" s="42"/>
      <c r="E787" s="42"/>
      <c r="F787" s="42"/>
      <c r="G787" s="43"/>
      <c r="H787" s="43"/>
      <c r="I787" s="44"/>
      <c r="J787" s="44"/>
      <c r="K787" s="44"/>
      <c r="L787" s="45"/>
      <c r="M787" s="46"/>
      <c r="N787" s="45"/>
      <c r="O787" s="47" t="str">
        <f aca="false">IF(OR($L787="",$M787=""),"",(DATE(Semana!$J$3,1,4)-WEEKDAY(DATE(Semana!$J$3,1,4),3))+($L787-1)*7+MATCH($M787,Listas!$F$5:$F$11,0)-1)</f>
        <v/>
      </c>
      <c r="P787" s="47" t="str">
        <f aca="false">IF(OR($F787="",$O787=""),"",$O787+MAX(0,ROUNDUP($AK787*MAX(1,IF($N787="",1,$N787))/MAX(1,$AL787),0)-1))</f>
        <v/>
      </c>
      <c r="Q787" s="48"/>
      <c r="R787" s="43"/>
      <c r="S787" s="49"/>
      <c r="T787" s="42"/>
      <c r="U787" s="42"/>
      <c r="V787" s="39" t="str">
        <f aca="false">IF($F787="","",IF(ISNUMBER(SEARCH("(externo)",$I787&amp;$J787&amp;$K787)),"Terceirizada","Interna"))</f>
        <v/>
      </c>
      <c r="W787" s="47" t="str">
        <f aca="false">IF($O787="","",IF($S787="",$O787,(DATE(Semana!$J$3,1,4)-WEEKDAY(DATE(Semana!$J$3,1,4),3))+($S787-1)*7+IF($M787="",0,MATCH($M787,Listas!$F$5:$F$11,0)-1)))</f>
        <v/>
      </c>
      <c r="X787" s="39" t="str">
        <f aca="false">IF($F787="","",IF(OR($AT787="",$O787=""),0,IF($AT787&lt;=$O787,1,0)))</f>
        <v/>
      </c>
      <c r="Y787" s="39" t="str">
        <f aca="false">IF($F787="","",IF(OR($AT787="",$W787=""),0,IF($AT787&lt;=$W787,1,0)))</f>
        <v/>
      </c>
      <c r="Z787" s="39" t="str">
        <f aca="false">IF(OR($AT787="",$O787=""),"",MAX(0,$AT787-$O787))</f>
        <v/>
      </c>
      <c r="AA787" s="39" t="str">
        <f aca="false">IF($F787="","",IF(AND($S787&lt;&gt;"",$L787&lt;&gt;"",$S787&lt;&gt;$L787),1,0))</f>
        <v/>
      </c>
      <c r="AB787" s="39" t="str">
        <f aca="false">IF($F787="","",IF($R787="Cancelada",0,IF(OR($AT787&lt;&gt;"",$R787="Concluída"),1,0)))</f>
        <v/>
      </c>
      <c r="AC787" s="39" t="n">
        <f aca="false">IF($P787="",0,IF($P787&lt;Hoje!$L$1,1,IF(AND($P787=Hoje!$L$1,Hoje!$L$2&gt;Semana!$M$3),1,0)))</f>
        <v>0</v>
      </c>
      <c r="AD787" s="39" t="str">
        <f aca="false">IF($F787="","",IF(COUNTA($I787:$K787)=0,0,1/COUNTA($I787:$K787)))</f>
        <v/>
      </c>
      <c r="AE787" s="39" t="str">
        <f aca="false">IF($AH787=0,"",SUM($AH$4:$AH787))</f>
        <v/>
      </c>
      <c r="AF787" s="39" t="str">
        <f aca="false">IF($AI787=0,"",SUM($AI$4:$AI787))</f>
        <v/>
      </c>
      <c r="AG787" s="50" t="str">
        <f aca="false">IF($F787="","",$I787&amp;IF($J787="",""," · "&amp;$J787)&amp;IF($K787="",""," · "&amp;$K787))</f>
        <v/>
      </c>
      <c r="AH787" s="39" t="n">
        <f aca="false">IF(AND($F787&lt;&gt;"",$O787&lt;&gt;"",$O787&lt;=Hoje!$C$3,$P787&gt;=Hoje!$C$3,$R787&lt;&gt;"Cancelada"),1,0)</f>
        <v>0</v>
      </c>
      <c r="AI787" s="39" t="n">
        <f aca="false">IF(AND($F787&lt;&gt;"",$P787&lt;&gt;"",$P787&lt;Hoje!$C$3,$AB787=0,$R787&lt;&gt;"Cancelada"),1,0)</f>
        <v>0</v>
      </c>
      <c r="AJ787" s="50" t="str">
        <f aca="false">IF($F787="","",$D787&amp;"|"&amp;$E787&amp;"|"&amp;$L787)</f>
        <v/>
      </c>
      <c r="AK787" s="39" t="str">
        <f aca="false">IF($AJ787="","",COUNTIF($AJ$4:$AJ787,$AJ787))</f>
        <v/>
      </c>
      <c r="AL787" s="39" t="str">
        <f aca="false">IF($AJ787="","",COUNTIF($AJ$4:$AJ$1004,$AJ787))</f>
        <v/>
      </c>
      <c r="AM787" s="42"/>
      <c r="AN787" s="50" t="str">
        <f aca="false">IF($D787="","",IFERROR(T(VLOOKUP($D787,Listas!$B$5:$H$120,7,0)),""))</f>
        <v/>
      </c>
      <c r="AO787" s="50" t="str">
        <f aca="false">IF(OR($F787="",$L787&lt;&gt;"",$R787="Cancelada",$AT787&lt;&gt;""),"",$AN787&amp;"|"&amp;$D787&amp;"|"&amp;IF($C787="","zzz",$C787)&amp;"|"&amp;TEXT(787,"0000"))</f>
        <v/>
      </c>
      <c r="AP787" s="50" t="str">
        <f aca="false">IF($AO787="","",COUNTIF($AO$5:$AO$1004,"&lt;"&amp;$AO787)-(ROWS($AO$5:$AO$1004)-Hoje!$L$5)+1)</f>
        <v/>
      </c>
      <c r="AQ787" s="50" t="n">
        <f aca="false">IF(AND($F787&lt;&gt;"",$D787=Frota!$C$3),1,0)</f>
        <v>0</v>
      </c>
      <c r="AR787" s="50" t="str">
        <f aca="false">IF($AQ787=0,"",SUM($AQ$4:$AQ787))</f>
        <v/>
      </c>
      <c r="AS787" s="50" t="str">
        <f aca="false">IFERROR(INDEX(Hoje!$K$10:$K$29,MATCH(ROW(),Hoje!$J$10:$J$29,0)),"")</f>
        <v/>
      </c>
      <c r="AT787" s="50" t="str">
        <f aca="false">IF($Q787&lt;&gt;"",$Q787,$AS787)</f>
        <v/>
      </c>
    </row>
    <row r="788" customFormat="false" ht="16.5" hidden="false" customHeight="true" outlineLevel="0" collapsed="false">
      <c r="A788" s="39" t="str">
        <f aca="false">IF($F788="","",ROW())</f>
        <v/>
      </c>
      <c r="B788" s="40" t="str">
        <f aca="false">IF($F788="",IF($D788="","","Falta a atividade"),IF($R788="Cancelada","Cancelada",IF($AB788=1,IF(N($Z788)&gt;0,"Concluída com atraso","Concluída"),IF($R788="Em programação","Em programação",IF($O788="",IF($M788="","Na carteira","Falta a semana"),IF($AC788=1,"VENCIDA",IF($O788&gt;Hoje!$L$1,"Programada",IF($P788&gt;Hoje!$L$1,"Em execução","Fecha hoje"))))))))</f>
        <v/>
      </c>
      <c r="C788" s="41"/>
      <c r="D788" s="42"/>
      <c r="E788" s="42"/>
      <c r="F788" s="42"/>
      <c r="G788" s="43"/>
      <c r="H788" s="43"/>
      <c r="I788" s="44"/>
      <c r="J788" s="44"/>
      <c r="K788" s="44"/>
      <c r="L788" s="45"/>
      <c r="M788" s="46"/>
      <c r="N788" s="45"/>
      <c r="O788" s="47" t="str">
        <f aca="false">IF(OR($L788="",$M788=""),"",(DATE(Semana!$J$3,1,4)-WEEKDAY(DATE(Semana!$J$3,1,4),3))+($L788-1)*7+MATCH($M788,Listas!$F$5:$F$11,0)-1)</f>
        <v/>
      </c>
      <c r="P788" s="47" t="str">
        <f aca="false">IF(OR($F788="",$O788=""),"",$O788+MAX(0,ROUNDUP($AK788*MAX(1,IF($N788="",1,$N788))/MAX(1,$AL788),0)-1))</f>
        <v/>
      </c>
      <c r="Q788" s="48"/>
      <c r="R788" s="43"/>
      <c r="S788" s="49"/>
      <c r="T788" s="42"/>
      <c r="U788" s="42"/>
      <c r="V788" s="39" t="str">
        <f aca="false">IF($F788="","",IF(ISNUMBER(SEARCH("(externo)",$I788&amp;$J788&amp;$K788)),"Terceirizada","Interna"))</f>
        <v/>
      </c>
      <c r="W788" s="47" t="str">
        <f aca="false">IF($O788="","",IF($S788="",$O788,(DATE(Semana!$J$3,1,4)-WEEKDAY(DATE(Semana!$J$3,1,4),3))+($S788-1)*7+IF($M788="",0,MATCH($M788,Listas!$F$5:$F$11,0)-1)))</f>
        <v/>
      </c>
      <c r="X788" s="39" t="str">
        <f aca="false">IF($F788="","",IF(OR($AT788="",$O788=""),0,IF($AT788&lt;=$O788,1,0)))</f>
        <v/>
      </c>
      <c r="Y788" s="39" t="str">
        <f aca="false">IF($F788="","",IF(OR($AT788="",$W788=""),0,IF($AT788&lt;=$W788,1,0)))</f>
        <v/>
      </c>
      <c r="Z788" s="39" t="str">
        <f aca="false">IF(OR($AT788="",$O788=""),"",MAX(0,$AT788-$O788))</f>
        <v/>
      </c>
      <c r="AA788" s="39" t="str">
        <f aca="false">IF($F788="","",IF(AND($S788&lt;&gt;"",$L788&lt;&gt;"",$S788&lt;&gt;$L788),1,0))</f>
        <v/>
      </c>
      <c r="AB788" s="39" t="str">
        <f aca="false">IF($F788="","",IF($R788="Cancelada",0,IF(OR($AT788&lt;&gt;"",$R788="Concluída"),1,0)))</f>
        <v/>
      </c>
      <c r="AC788" s="39" t="n">
        <f aca="false">IF($P788="",0,IF($P788&lt;Hoje!$L$1,1,IF(AND($P788=Hoje!$L$1,Hoje!$L$2&gt;Semana!$M$3),1,0)))</f>
        <v>0</v>
      </c>
      <c r="AD788" s="39" t="str">
        <f aca="false">IF($F788="","",IF(COUNTA($I788:$K788)=0,0,1/COUNTA($I788:$K788)))</f>
        <v/>
      </c>
      <c r="AE788" s="39" t="str">
        <f aca="false">IF($AH788=0,"",SUM($AH$4:$AH788))</f>
        <v/>
      </c>
      <c r="AF788" s="39" t="str">
        <f aca="false">IF($AI788=0,"",SUM($AI$4:$AI788))</f>
        <v/>
      </c>
      <c r="AG788" s="50" t="str">
        <f aca="false">IF($F788="","",$I788&amp;IF($J788="",""," · "&amp;$J788)&amp;IF($K788="",""," · "&amp;$K788))</f>
        <v/>
      </c>
      <c r="AH788" s="39" t="n">
        <f aca="false">IF(AND($F788&lt;&gt;"",$O788&lt;&gt;"",$O788&lt;=Hoje!$C$3,$P788&gt;=Hoje!$C$3,$R788&lt;&gt;"Cancelada"),1,0)</f>
        <v>0</v>
      </c>
      <c r="AI788" s="39" t="n">
        <f aca="false">IF(AND($F788&lt;&gt;"",$P788&lt;&gt;"",$P788&lt;Hoje!$C$3,$AB788=0,$R788&lt;&gt;"Cancelada"),1,0)</f>
        <v>0</v>
      </c>
      <c r="AJ788" s="50" t="str">
        <f aca="false">IF($F788="","",$D788&amp;"|"&amp;$E788&amp;"|"&amp;$L788)</f>
        <v/>
      </c>
      <c r="AK788" s="39" t="str">
        <f aca="false">IF($AJ788="","",COUNTIF($AJ$4:$AJ788,$AJ788))</f>
        <v/>
      </c>
      <c r="AL788" s="39" t="str">
        <f aca="false">IF($AJ788="","",COUNTIF($AJ$4:$AJ$1004,$AJ788))</f>
        <v/>
      </c>
      <c r="AM788" s="42"/>
      <c r="AN788" s="50" t="str">
        <f aca="false">IF($D788="","",IFERROR(T(VLOOKUP($D788,Listas!$B$5:$H$120,7,0)),""))</f>
        <v/>
      </c>
      <c r="AO788" s="50" t="str">
        <f aca="false">IF(OR($F788="",$L788&lt;&gt;"",$R788="Cancelada",$AT788&lt;&gt;""),"",$AN788&amp;"|"&amp;$D788&amp;"|"&amp;IF($C788="","zzz",$C788)&amp;"|"&amp;TEXT(788,"0000"))</f>
        <v/>
      </c>
      <c r="AP788" s="50" t="str">
        <f aca="false">IF($AO788="","",COUNTIF($AO$5:$AO$1004,"&lt;"&amp;$AO788)-(ROWS($AO$5:$AO$1004)-Hoje!$L$5)+1)</f>
        <v/>
      </c>
      <c r="AQ788" s="50" t="n">
        <f aca="false">IF(AND($F788&lt;&gt;"",$D788=Frota!$C$3),1,0)</f>
        <v>0</v>
      </c>
      <c r="AR788" s="50" t="str">
        <f aca="false">IF($AQ788=0,"",SUM($AQ$4:$AQ788))</f>
        <v/>
      </c>
      <c r="AS788" s="50" t="str">
        <f aca="false">IFERROR(INDEX(Hoje!$K$10:$K$29,MATCH(ROW(),Hoje!$J$10:$J$29,0)),"")</f>
        <v/>
      </c>
      <c r="AT788" s="50" t="str">
        <f aca="false">IF($Q788&lt;&gt;"",$Q788,$AS788)</f>
        <v/>
      </c>
    </row>
    <row r="789" customFormat="false" ht="16.5" hidden="false" customHeight="true" outlineLevel="0" collapsed="false">
      <c r="A789" s="39" t="str">
        <f aca="false">IF($F789="","",ROW())</f>
        <v/>
      </c>
      <c r="B789" s="40" t="str">
        <f aca="false">IF($F789="",IF($D789="","","Falta a atividade"),IF($R789="Cancelada","Cancelada",IF($AB789=1,IF(N($Z789)&gt;0,"Concluída com atraso","Concluída"),IF($R789="Em programação","Em programação",IF($O789="",IF($M789="","Na carteira","Falta a semana"),IF($AC789=1,"VENCIDA",IF($O789&gt;Hoje!$L$1,"Programada",IF($P789&gt;Hoje!$L$1,"Em execução","Fecha hoje"))))))))</f>
        <v/>
      </c>
      <c r="C789" s="41"/>
      <c r="D789" s="42"/>
      <c r="E789" s="42"/>
      <c r="F789" s="42"/>
      <c r="G789" s="43"/>
      <c r="H789" s="43"/>
      <c r="I789" s="44"/>
      <c r="J789" s="44"/>
      <c r="K789" s="44"/>
      <c r="L789" s="45"/>
      <c r="M789" s="46"/>
      <c r="N789" s="45"/>
      <c r="O789" s="47" t="str">
        <f aca="false">IF(OR($L789="",$M789=""),"",(DATE(Semana!$J$3,1,4)-WEEKDAY(DATE(Semana!$J$3,1,4),3))+($L789-1)*7+MATCH($M789,Listas!$F$5:$F$11,0)-1)</f>
        <v/>
      </c>
      <c r="P789" s="47" t="str">
        <f aca="false">IF(OR($F789="",$O789=""),"",$O789+MAX(0,ROUNDUP($AK789*MAX(1,IF($N789="",1,$N789))/MAX(1,$AL789),0)-1))</f>
        <v/>
      </c>
      <c r="Q789" s="48"/>
      <c r="R789" s="43"/>
      <c r="S789" s="49"/>
      <c r="T789" s="42"/>
      <c r="U789" s="42"/>
      <c r="V789" s="39" t="str">
        <f aca="false">IF($F789="","",IF(ISNUMBER(SEARCH("(externo)",$I789&amp;$J789&amp;$K789)),"Terceirizada","Interna"))</f>
        <v/>
      </c>
      <c r="W789" s="47" t="str">
        <f aca="false">IF($O789="","",IF($S789="",$O789,(DATE(Semana!$J$3,1,4)-WEEKDAY(DATE(Semana!$J$3,1,4),3))+($S789-1)*7+IF($M789="",0,MATCH($M789,Listas!$F$5:$F$11,0)-1)))</f>
        <v/>
      </c>
      <c r="X789" s="39" t="str">
        <f aca="false">IF($F789="","",IF(OR($AT789="",$O789=""),0,IF($AT789&lt;=$O789,1,0)))</f>
        <v/>
      </c>
      <c r="Y789" s="39" t="str">
        <f aca="false">IF($F789="","",IF(OR($AT789="",$W789=""),0,IF($AT789&lt;=$W789,1,0)))</f>
        <v/>
      </c>
      <c r="Z789" s="39" t="str">
        <f aca="false">IF(OR($AT789="",$O789=""),"",MAX(0,$AT789-$O789))</f>
        <v/>
      </c>
      <c r="AA789" s="39" t="str">
        <f aca="false">IF($F789="","",IF(AND($S789&lt;&gt;"",$L789&lt;&gt;"",$S789&lt;&gt;$L789),1,0))</f>
        <v/>
      </c>
      <c r="AB789" s="39" t="str">
        <f aca="false">IF($F789="","",IF($R789="Cancelada",0,IF(OR($AT789&lt;&gt;"",$R789="Concluída"),1,0)))</f>
        <v/>
      </c>
      <c r="AC789" s="39" t="n">
        <f aca="false">IF($P789="",0,IF($P789&lt;Hoje!$L$1,1,IF(AND($P789=Hoje!$L$1,Hoje!$L$2&gt;Semana!$M$3),1,0)))</f>
        <v>0</v>
      </c>
      <c r="AD789" s="39" t="str">
        <f aca="false">IF($F789="","",IF(COUNTA($I789:$K789)=0,0,1/COUNTA($I789:$K789)))</f>
        <v/>
      </c>
      <c r="AE789" s="39" t="str">
        <f aca="false">IF($AH789=0,"",SUM($AH$4:$AH789))</f>
        <v/>
      </c>
      <c r="AF789" s="39" t="str">
        <f aca="false">IF($AI789=0,"",SUM($AI$4:$AI789))</f>
        <v/>
      </c>
      <c r="AG789" s="50" t="str">
        <f aca="false">IF($F789="","",$I789&amp;IF($J789="",""," · "&amp;$J789)&amp;IF($K789="",""," · "&amp;$K789))</f>
        <v/>
      </c>
      <c r="AH789" s="39" t="n">
        <f aca="false">IF(AND($F789&lt;&gt;"",$O789&lt;&gt;"",$O789&lt;=Hoje!$C$3,$P789&gt;=Hoje!$C$3,$R789&lt;&gt;"Cancelada"),1,0)</f>
        <v>0</v>
      </c>
      <c r="AI789" s="39" t="n">
        <f aca="false">IF(AND($F789&lt;&gt;"",$P789&lt;&gt;"",$P789&lt;Hoje!$C$3,$AB789=0,$R789&lt;&gt;"Cancelada"),1,0)</f>
        <v>0</v>
      </c>
      <c r="AJ789" s="50" t="str">
        <f aca="false">IF($F789="","",$D789&amp;"|"&amp;$E789&amp;"|"&amp;$L789)</f>
        <v/>
      </c>
      <c r="AK789" s="39" t="str">
        <f aca="false">IF($AJ789="","",COUNTIF($AJ$4:$AJ789,$AJ789))</f>
        <v/>
      </c>
      <c r="AL789" s="39" t="str">
        <f aca="false">IF($AJ789="","",COUNTIF($AJ$4:$AJ$1004,$AJ789))</f>
        <v/>
      </c>
      <c r="AM789" s="42"/>
      <c r="AN789" s="50" t="str">
        <f aca="false">IF($D789="","",IFERROR(T(VLOOKUP($D789,Listas!$B$5:$H$120,7,0)),""))</f>
        <v/>
      </c>
      <c r="AO789" s="50" t="str">
        <f aca="false">IF(OR($F789="",$L789&lt;&gt;"",$R789="Cancelada",$AT789&lt;&gt;""),"",$AN789&amp;"|"&amp;$D789&amp;"|"&amp;IF($C789="","zzz",$C789)&amp;"|"&amp;TEXT(789,"0000"))</f>
        <v/>
      </c>
      <c r="AP789" s="50" t="str">
        <f aca="false">IF($AO789="","",COUNTIF($AO$5:$AO$1004,"&lt;"&amp;$AO789)-(ROWS($AO$5:$AO$1004)-Hoje!$L$5)+1)</f>
        <v/>
      </c>
      <c r="AQ789" s="50" t="n">
        <f aca="false">IF(AND($F789&lt;&gt;"",$D789=Frota!$C$3),1,0)</f>
        <v>0</v>
      </c>
      <c r="AR789" s="50" t="str">
        <f aca="false">IF($AQ789=0,"",SUM($AQ$4:$AQ789))</f>
        <v/>
      </c>
      <c r="AS789" s="50" t="str">
        <f aca="false">IFERROR(INDEX(Hoje!$K$10:$K$29,MATCH(ROW(),Hoje!$J$10:$J$29,0)),"")</f>
        <v/>
      </c>
      <c r="AT789" s="50" t="str">
        <f aca="false">IF($Q789&lt;&gt;"",$Q789,$AS789)</f>
        <v/>
      </c>
    </row>
    <row r="790" customFormat="false" ht="16.5" hidden="false" customHeight="true" outlineLevel="0" collapsed="false">
      <c r="A790" s="39" t="str">
        <f aca="false">IF($F790="","",ROW())</f>
        <v/>
      </c>
      <c r="B790" s="40" t="str">
        <f aca="false">IF($F790="",IF($D790="","","Falta a atividade"),IF($R790="Cancelada","Cancelada",IF($AB790=1,IF(N($Z790)&gt;0,"Concluída com atraso","Concluída"),IF($R790="Em programação","Em programação",IF($O790="",IF($M790="","Na carteira","Falta a semana"),IF($AC790=1,"VENCIDA",IF($O790&gt;Hoje!$L$1,"Programada",IF($P790&gt;Hoje!$L$1,"Em execução","Fecha hoje"))))))))</f>
        <v/>
      </c>
      <c r="C790" s="41"/>
      <c r="D790" s="42"/>
      <c r="E790" s="42"/>
      <c r="F790" s="42"/>
      <c r="G790" s="43"/>
      <c r="H790" s="43"/>
      <c r="I790" s="44"/>
      <c r="J790" s="44"/>
      <c r="K790" s="44"/>
      <c r="L790" s="45"/>
      <c r="M790" s="46"/>
      <c r="N790" s="45"/>
      <c r="O790" s="47" t="str">
        <f aca="false">IF(OR($L790="",$M790=""),"",(DATE(Semana!$J$3,1,4)-WEEKDAY(DATE(Semana!$J$3,1,4),3))+($L790-1)*7+MATCH($M790,Listas!$F$5:$F$11,0)-1)</f>
        <v/>
      </c>
      <c r="P790" s="47" t="str">
        <f aca="false">IF(OR($F790="",$O790=""),"",$O790+MAX(0,ROUNDUP($AK790*MAX(1,IF($N790="",1,$N790))/MAX(1,$AL790),0)-1))</f>
        <v/>
      </c>
      <c r="Q790" s="48"/>
      <c r="R790" s="43"/>
      <c r="S790" s="49"/>
      <c r="T790" s="42"/>
      <c r="U790" s="42"/>
      <c r="V790" s="39" t="str">
        <f aca="false">IF($F790="","",IF(ISNUMBER(SEARCH("(externo)",$I790&amp;$J790&amp;$K790)),"Terceirizada","Interna"))</f>
        <v/>
      </c>
      <c r="W790" s="47" t="str">
        <f aca="false">IF($O790="","",IF($S790="",$O790,(DATE(Semana!$J$3,1,4)-WEEKDAY(DATE(Semana!$J$3,1,4),3))+($S790-1)*7+IF($M790="",0,MATCH($M790,Listas!$F$5:$F$11,0)-1)))</f>
        <v/>
      </c>
      <c r="X790" s="39" t="str">
        <f aca="false">IF($F790="","",IF(OR($AT790="",$O790=""),0,IF($AT790&lt;=$O790,1,0)))</f>
        <v/>
      </c>
      <c r="Y790" s="39" t="str">
        <f aca="false">IF($F790="","",IF(OR($AT790="",$W790=""),0,IF($AT790&lt;=$W790,1,0)))</f>
        <v/>
      </c>
      <c r="Z790" s="39" t="str">
        <f aca="false">IF(OR($AT790="",$O790=""),"",MAX(0,$AT790-$O790))</f>
        <v/>
      </c>
      <c r="AA790" s="39" t="str">
        <f aca="false">IF($F790="","",IF(AND($S790&lt;&gt;"",$L790&lt;&gt;"",$S790&lt;&gt;$L790),1,0))</f>
        <v/>
      </c>
      <c r="AB790" s="39" t="str">
        <f aca="false">IF($F790="","",IF($R790="Cancelada",0,IF(OR($AT790&lt;&gt;"",$R790="Concluída"),1,0)))</f>
        <v/>
      </c>
      <c r="AC790" s="39" t="n">
        <f aca="false">IF($P790="",0,IF($P790&lt;Hoje!$L$1,1,IF(AND($P790=Hoje!$L$1,Hoje!$L$2&gt;Semana!$M$3),1,0)))</f>
        <v>0</v>
      </c>
      <c r="AD790" s="39" t="str">
        <f aca="false">IF($F790="","",IF(COUNTA($I790:$K790)=0,0,1/COUNTA($I790:$K790)))</f>
        <v/>
      </c>
      <c r="AE790" s="39" t="str">
        <f aca="false">IF($AH790=0,"",SUM($AH$4:$AH790))</f>
        <v/>
      </c>
      <c r="AF790" s="39" t="str">
        <f aca="false">IF($AI790=0,"",SUM($AI$4:$AI790))</f>
        <v/>
      </c>
      <c r="AG790" s="50" t="str">
        <f aca="false">IF($F790="","",$I790&amp;IF($J790="",""," · "&amp;$J790)&amp;IF($K790="",""," · "&amp;$K790))</f>
        <v/>
      </c>
      <c r="AH790" s="39" t="n">
        <f aca="false">IF(AND($F790&lt;&gt;"",$O790&lt;&gt;"",$O790&lt;=Hoje!$C$3,$P790&gt;=Hoje!$C$3,$R790&lt;&gt;"Cancelada"),1,0)</f>
        <v>0</v>
      </c>
      <c r="AI790" s="39" t="n">
        <f aca="false">IF(AND($F790&lt;&gt;"",$P790&lt;&gt;"",$P790&lt;Hoje!$C$3,$AB790=0,$R790&lt;&gt;"Cancelada"),1,0)</f>
        <v>0</v>
      </c>
      <c r="AJ790" s="50" t="str">
        <f aca="false">IF($F790="","",$D790&amp;"|"&amp;$E790&amp;"|"&amp;$L790)</f>
        <v/>
      </c>
      <c r="AK790" s="39" t="str">
        <f aca="false">IF($AJ790="","",COUNTIF($AJ$4:$AJ790,$AJ790))</f>
        <v/>
      </c>
      <c r="AL790" s="39" t="str">
        <f aca="false">IF($AJ790="","",COUNTIF($AJ$4:$AJ$1004,$AJ790))</f>
        <v/>
      </c>
      <c r="AM790" s="42"/>
      <c r="AN790" s="50" t="str">
        <f aca="false">IF($D790="","",IFERROR(T(VLOOKUP($D790,Listas!$B$5:$H$120,7,0)),""))</f>
        <v/>
      </c>
      <c r="AO790" s="50" t="str">
        <f aca="false">IF(OR($F790="",$L790&lt;&gt;"",$R790="Cancelada",$AT790&lt;&gt;""),"",$AN790&amp;"|"&amp;$D790&amp;"|"&amp;IF($C790="","zzz",$C790)&amp;"|"&amp;TEXT(790,"0000"))</f>
        <v/>
      </c>
      <c r="AP790" s="50" t="str">
        <f aca="false">IF($AO790="","",COUNTIF($AO$5:$AO$1004,"&lt;"&amp;$AO790)-(ROWS($AO$5:$AO$1004)-Hoje!$L$5)+1)</f>
        <v/>
      </c>
      <c r="AQ790" s="50" t="n">
        <f aca="false">IF(AND($F790&lt;&gt;"",$D790=Frota!$C$3),1,0)</f>
        <v>0</v>
      </c>
      <c r="AR790" s="50" t="str">
        <f aca="false">IF($AQ790=0,"",SUM($AQ$4:$AQ790))</f>
        <v/>
      </c>
      <c r="AS790" s="50" t="str">
        <f aca="false">IFERROR(INDEX(Hoje!$K$10:$K$29,MATCH(ROW(),Hoje!$J$10:$J$29,0)),"")</f>
        <v/>
      </c>
      <c r="AT790" s="50" t="str">
        <f aca="false">IF($Q790&lt;&gt;"",$Q790,$AS790)</f>
        <v/>
      </c>
    </row>
    <row r="791" customFormat="false" ht="16.5" hidden="false" customHeight="true" outlineLevel="0" collapsed="false">
      <c r="A791" s="39" t="str">
        <f aca="false">IF($F791="","",ROW())</f>
        <v/>
      </c>
      <c r="B791" s="40" t="str">
        <f aca="false">IF($F791="",IF($D791="","","Falta a atividade"),IF($R791="Cancelada","Cancelada",IF($AB791=1,IF(N($Z791)&gt;0,"Concluída com atraso","Concluída"),IF($R791="Em programação","Em programação",IF($O791="",IF($M791="","Na carteira","Falta a semana"),IF($AC791=1,"VENCIDA",IF($O791&gt;Hoje!$L$1,"Programada",IF($P791&gt;Hoje!$L$1,"Em execução","Fecha hoje"))))))))</f>
        <v/>
      </c>
      <c r="C791" s="41"/>
      <c r="D791" s="42"/>
      <c r="E791" s="42"/>
      <c r="F791" s="42"/>
      <c r="G791" s="43"/>
      <c r="H791" s="43"/>
      <c r="I791" s="44"/>
      <c r="J791" s="44"/>
      <c r="K791" s="44"/>
      <c r="L791" s="45"/>
      <c r="M791" s="46"/>
      <c r="N791" s="45"/>
      <c r="O791" s="47" t="str">
        <f aca="false">IF(OR($L791="",$M791=""),"",(DATE(Semana!$J$3,1,4)-WEEKDAY(DATE(Semana!$J$3,1,4),3))+($L791-1)*7+MATCH($M791,Listas!$F$5:$F$11,0)-1)</f>
        <v/>
      </c>
      <c r="P791" s="47" t="str">
        <f aca="false">IF(OR($F791="",$O791=""),"",$O791+MAX(0,ROUNDUP($AK791*MAX(1,IF($N791="",1,$N791))/MAX(1,$AL791),0)-1))</f>
        <v/>
      </c>
      <c r="Q791" s="48"/>
      <c r="R791" s="43"/>
      <c r="S791" s="49"/>
      <c r="T791" s="42"/>
      <c r="U791" s="42"/>
      <c r="V791" s="39" t="str">
        <f aca="false">IF($F791="","",IF(ISNUMBER(SEARCH("(externo)",$I791&amp;$J791&amp;$K791)),"Terceirizada","Interna"))</f>
        <v/>
      </c>
      <c r="W791" s="47" t="str">
        <f aca="false">IF($O791="","",IF($S791="",$O791,(DATE(Semana!$J$3,1,4)-WEEKDAY(DATE(Semana!$J$3,1,4),3))+($S791-1)*7+IF($M791="",0,MATCH($M791,Listas!$F$5:$F$11,0)-1)))</f>
        <v/>
      </c>
      <c r="X791" s="39" t="str">
        <f aca="false">IF($F791="","",IF(OR($AT791="",$O791=""),0,IF($AT791&lt;=$O791,1,0)))</f>
        <v/>
      </c>
      <c r="Y791" s="39" t="str">
        <f aca="false">IF($F791="","",IF(OR($AT791="",$W791=""),0,IF($AT791&lt;=$W791,1,0)))</f>
        <v/>
      </c>
      <c r="Z791" s="39" t="str">
        <f aca="false">IF(OR($AT791="",$O791=""),"",MAX(0,$AT791-$O791))</f>
        <v/>
      </c>
      <c r="AA791" s="39" t="str">
        <f aca="false">IF($F791="","",IF(AND($S791&lt;&gt;"",$L791&lt;&gt;"",$S791&lt;&gt;$L791),1,0))</f>
        <v/>
      </c>
      <c r="AB791" s="39" t="str">
        <f aca="false">IF($F791="","",IF($R791="Cancelada",0,IF(OR($AT791&lt;&gt;"",$R791="Concluída"),1,0)))</f>
        <v/>
      </c>
      <c r="AC791" s="39" t="n">
        <f aca="false">IF($P791="",0,IF($P791&lt;Hoje!$L$1,1,IF(AND($P791=Hoje!$L$1,Hoje!$L$2&gt;Semana!$M$3),1,0)))</f>
        <v>0</v>
      </c>
      <c r="AD791" s="39" t="str">
        <f aca="false">IF($F791="","",IF(COUNTA($I791:$K791)=0,0,1/COUNTA($I791:$K791)))</f>
        <v/>
      </c>
      <c r="AE791" s="39" t="str">
        <f aca="false">IF($AH791=0,"",SUM($AH$4:$AH791))</f>
        <v/>
      </c>
      <c r="AF791" s="39" t="str">
        <f aca="false">IF($AI791=0,"",SUM($AI$4:$AI791))</f>
        <v/>
      </c>
      <c r="AG791" s="50" t="str">
        <f aca="false">IF($F791="","",$I791&amp;IF($J791="",""," · "&amp;$J791)&amp;IF($K791="",""," · "&amp;$K791))</f>
        <v/>
      </c>
      <c r="AH791" s="39" t="n">
        <f aca="false">IF(AND($F791&lt;&gt;"",$O791&lt;&gt;"",$O791&lt;=Hoje!$C$3,$P791&gt;=Hoje!$C$3,$R791&lt;&gt;"Cancelada"),1,0)</f>
        <v>0</v>
      </c>
      <c r="AI791" s="39" t="n">
        <f aca="false">IF(AND($F791&lt;&gt;"",$P791&lt;&gt;"",$P791&lt;Hoje!$C$3,$AB791=0,$R791&lt;&gt;"Cancelada"),1,0)</f>
        <v>0</v>
      </c>
      <c r="AJ791" s="50" t="str">
        <f aca="false">IF($F791="","",$D791&amp;"|"&amp;$E791&amp;"|"&amp;$L791)</f>
        <v/>
      </c>
      <c r="AK791" s="39" t="str">
        <f aca="false">IF($AJ791="","",COUNTIF($AJ$4:$AJ791,$AJ791))</f>
        <v/>
      </c>
      <c r="AL791" s="39" t="str">
        <f aca="false">IF($AJ791="","",COUNTIF($AJ$4:$AJ$1004,$AJ791))</f>
        <v/>
      </c>
      <c r="AM791" s="42"/>
      <c r="AN791" s="50" t="str">
        <f aca="false">IF($D791="","",IFERROR(T(VLOOKUP($D791,Listas!$B$5:$H$120,7,0)),""))</f>
        <v/>
      </c>
      <c r="AO791" s="50" t="str">
        <f aca="false">IF(OR($F791="",$L791&lt;&gt;"",$R791="Cancelada",$AT791&lt;&gt;""),"",$AN791&amp;"|"&amp;$D791&amp;"|"&amp;IF($C791="","zzz",$C791)&amp;"|"&amp;TEXT(791,"0000"))</f>
        <v/>
      </c>
      <c r="AP791" s="50" t="str">
        <f aca="false">IF($AO791="","",COUNTIF($AO$5:$AO$1004,"&lt;"&amp;$AO791)-(ROWS($AO$5:$AO$1004)-Hoje!$L$5)+1)</f>
        <v/>
      </c>
      <c r="AQ791" s="50" t="n">
        <f aca="false">IF(AND($F791&lt;&gt;"",$D791=Frota!$C$3),1,0)</f>
        <v>0</v>
      </c>
      <c r="AR791" s="50" t="str">
        <f aca="false">IF($AQ791=0,"",SUM($AQ$4:$AQ791))</f>
        <v/>
      </c>
      <c r="AS791" s="50" t="str">
        <f aca="false">IFERROR(INDEX(Hoje!$K$10:$K$29,MATCH(ROW(),Hoje!$J$10:$J$29,0)),"")</f>
        <v/>
      </c>
      <c r="AT791" s="50" t="str">
        <f aca="false">IF($Q791&lt;&gt;"",$Q791,$AS791)</f>
        <v/>
      </c>
    </row>
    <row r="792" customFormat="false" ht="16.5" hidden="false" customHeight="true" outlineLevel="0" collapsed="false">
      <c r="A792" s="39" t="str">
        <f aca="false">IF($F792="","",ROW())</f>
        <v/>
      </c>
      <c r="B792" s="40" t="str">
        <f aca="false">IF($F792="",IF($D792="","","Falta a atividade"),IF($R792="Cancelada","Cancelada",IF($AB792=1,IF(N($Z792)&gt;0,"Concluída com atraso","Concluída"),IF($R792="Em programação","Em programação",IF($O792="",IF($M792="","Na carteira","Falta a semana"),IF($AC792=1,"VENCIDA",IF($O792&gt;Hoje!$L$1,"Programada",IF($P792&gt;Hoje!$L$1,"Em execução","Fecha hoje"))))))))</f>
        <v/>
      </c>
      <c r="C792" s="41"/>
      <c r="D792" s="42"/>
      <c r="E792" s="42"/>
      <c r="F792" s="42"/>
      <c r="G792" s="43"/>
      <c r="H792" s="43"/>
      <c r="I792" s="44"/>
      <c r="J792" s="44"/>
      <c r="K792" s="44"/>
      <c r="L792" s="45"/>
      <c r="M792" s="46"/>
      <c r="N792" s="45"/>
      <c r="O792" s="47" t="str">
        <f aca="false">IF(OR($L792="",$M792=""),"",(DATE(Semana!$J$3,1,4)-WEEKDAY(DATE(Semana!$J$3,1,4),3))+($L792-1)*7+MATCH($M792,Listas!$F$5:$F$11,0)-1)</f>
        <v/>
      </c>
      <c r="P792" s="47" t="str">
        <f aca="false">IF(OR($F792="",$O792=""),"",$O792+MAX(0,ROUNDUP($AK792*MAX(1,IF($N792="",1,$N792))/MAX(1,$AL792),0)-1))</f>
        <v/>
      </c>
      <c r="Q792" s="48"/>
      <c r="R792" s="43"/>
      <c r="S792" s="49"/>
      <c r="T792" s="42"/>
      <c r="U792" s="42"/>
      <c r="V792" s="39" t="str">
        <f aca="false">IF($F792="","",IF(ISNUMBER(SEARCH("(externo)",$I792&amp;$J792&amp;$K792)),"Terceirizada","Interna"))</f>
        <v/>
      </c>
      <c r="W792" s="47" t="str">
        <f aca="false">IF($O792="","",IF($S792="",$O792,(DATE(Semana!$J$3,1,4)-WEEKDAY(DATE(Semana!$J$3,1,4),3))+($S792-1)*7+IF($M792="",0,MATCH($M792,Listas!$F$5:$F$11,0)-1)))</f>
        <v/>
      </c>
      <c r="X792" s="39" t="str">
        <f aca="false">IF($F792="","",IF(OR($AT792="",$O792=""),0,IF($AT792&lt;=$O792,1,0)))</f>
        <v/>
      </c>
      <c r="Y792" s="39" t="str">
        <f aca="false">IF($F792="","",IF(OR($AT792="",$W792=""),0,IF($AT792&lt;=$W792,1,0)))</f>
        <v/>
      </c>
      <c r="Z792" s="39" t="str">
        <f aca="false">IF(OR($AT792="",$O792=""),"",MAX(0,$AT792-$O792))</f>
        <v/>
      </c>
      <c r="AA792" s="39" t="str">
        <f aca="false">IF($F792="","",IF(AND($S792&lt;&gt;"",$L792&lt;&gt;"",$S792&lt;&gt;$L792),1,0))</f>
        <v/>
      </c>
      <c r="AB792" s="39" t="str">
        <f aca="false">IF($F792="","",IF($R792="Cancelada",0,IF(OR($AT792&lt;&gt;"",$R792="Concluída"),1,0)))</f>
        <v/>
      </c>
      <c r="AC792" s="39" t="n">
        <f aca="false">IF($P792="",0,IF($P792&lt;Hoje!$L$1,1,IF(AND($P792=Hoje!$L$1,Hoje!$L$2&gt;Semana!$M$3),1,0)))</f>
        <v>0</v>
      </c>
      <c r="AD792" s="39" t="str">
        <f aca="false">IF($F792="","",IF(COUNTA($I792:$K792)=0,0,1/COUNTA($I792:$K792)))</f>
        <v/>
      </c>
      <c r="AE792" s="39" t="str">
        <f aca="false">IF($AH792=0,"",SUM($AH$4:$AH792))</f>
        <v/>
      </c>
      <c r="AF792" s="39" t="str">
        <f aca="false">IF($AI792=0,"",SUM($AI$4:$AI792))</f>
        <v/>
      </c>
      <c r="AG792" s="50" t="str">
        <f aca="false">IF($F792="","",$I792&amp;IF($J792="",""," · "&amp;$J792)&amp;IF($K792="",""," · "&amp;$K792))</f>
        <v/>
      </c>
      <c r="AH792" s="39" t="n">
        <f aca="false">IF(AND($F792&lt;&gt;"",$O792&lt;&gt;"",$O792&lt;=Hoje!$C$3,$P792&gt;=Hoje!$C$3,$R792&lt;&gt;"Cancelada"),1,0)</f>
        <v>0</v>
      </c>
      <c r="AI792" s="39" t="n">
        <f aca="false">IF(AND($F792&lt;&gt;"",$P792&lt;&gt;"",$P792&lt;Hoje!$C$3,$AB792=0,$R792&lt;&gt;"Cancelada"),1,0)</f>
        <v>0</v>
      </c>
      <c r="AJ792" s="50" t="str">
        <f aca="false">IF($F792="","",$D792&amp;"|"&amp;$E792&amp;"|"&amp;$L792)</f>
        <v/>
      </c>
      <c r="AK792" s="39" t="str">
        <f aca="false">IF($AJ792="","",COUNTIF($AJ$4:$AJ792,$AJ792))</f>
        <v/>
      </c>
      <c r="AL792" s="39" t="str">
        <f aca="false">IF($AJ792="","",COUNTIF($AJ$4:$AJ$1004,$AJ792))</f>
        <v/>
      </c>
      <c r="AM792" s="42"/>
      <c r="AN792" s="50" t="str">
        <f aca="false">IF($D792="","",IFERROR(T(VLOOKUP($D792,Listas!$B$5:$H$120,7,0)),""))</f>
        <v/>
      </c>
      <c r="AO792" s="50" t="str">
        <f aca="false">IF(OR($F792="",$L792&lt;&gt;"",$R792="Cancelada",$AT792&lt;&gt;""),"",$AN792&amp;"|"&amp;$D792&amp;"|"&amp;IF($C792="","zzz",$C792)&amp;"|"&amp;TEXT(792,"0000"))</f>
        <v/>
      </c>
      <c r="AP792" s="50" t="str">
        <f aca="false">IF($AO792="","",COUNTIF($AO$5:$AO$1004,"&lt;"&amp;$AO792)-(ROWS($AO$5:$AO$1004)-Hoje!$L$5)+1)</f>
        <v/>
      </c>
      <c r="AQ792" s="50" t="n">
        <f aca="false">IF(AND($F792&lt;&gt;"",$D792=Frota!$C$3),1,0)</f>
        <v>0</v>
      </c>
      <c r="AR792" s="50" t="str">
        <f aca="false">IF($AQ792=0,"",SUM($AQ$4:$AQ792))</f>
        <v/>
      </c>
      <c r="AS792" s="50" t="str">
        <f aca="false">IFERROR(INDEX(Hoje!$K$10:$K$29,MATCH(ROW(),Hoje!$J$10:$J$29,0)),"")</f>
        <v/>
      </c>
      <c r="AT792" s="50" t="str">
        <f aca="false">IF($Q792&lt;&gt;"",$Q792,$AS792)</f>
        <v/>
      </c>
    </row>
    <row r="793" customFormat="false" ht="16.5" hidden="false" customHeight="true" outlineLevel="0" collapsed="false">
      <c r="A793" s="39" t="str">
        <f aca="false">IF($F793="","",ROW())</f>
        <v/>
      </c>
      <c r="B793" s="40" t="str">
        <f aca="false">IF($F793="",IF($D793="","","Falta a atividade"),IF($R793="Cancelada","Cancelada",IF($AB793=1,IF(N($Z793)&gt;0,"Concluída com atraso","Concluída"),IF($R793="Em programação","Em programação",IF($O793="",IF($M793="","Na carteira","Falta a semana"),IF($AC793=1,"VENCIDA",IF($O793&gt;Hoje!$L$1,"Programada",IF($P793&gt;Hoje!$L$1,"Em execução","Fecha hoje"))))))))</f>
        <v/>
      </c>
      <c r="C793" s="41"/>
      <c r="D793" s="42"/>
      <c r="E793" s="42"/>
      <c r="F793" s="42"/>
      <c r="G793" s="43"/>
      <c r="H793" s="43"/>
      <c r="I793" s="44"/>
      <c r="J793" s="44"/>
      <c r="K793" s="44"/>
      <c r="L793" s="45"/>
      <c r="M793" s="46"/>
      <c r="N793" s="45"/>
      <c r="O793" s="47" t="str">
        <f aca="false">IF(OR($L793="",$M793=""),"",(DATE(Semana!$J$3,1,4)-WEEKDAY(DATE(Semana!$J$3,1,4),3))+($L793-1)*7+MATCH($M793,Listas!$F$5:$F$11,0)-1)</f>
        <v/>
      </c>
      <c r="P793" s="47" t="str">
        <f aca="false">IF(OR($F793="",$O793=""),"",$O793+MAX(0,ROUNDUP($AK793*MAX(1,IF($N793="",1,$N793))/MAX(1,$AL793),0)-1))</f>
        <v/>
      </c>
      <c r="Q793" s="48"/>
      <c r="R793" s="43"/>
      <c r="S793" s="49"/>
      <c r="T793" s="42"/>
      <c r="U793" s="42"/>
      <c r="V793" s="39" t="str">
        <f aca="false">IF($F793="","",IF(ISNUMBER(SEARCH("(externo)",$I793&amp;$J793&amp;$K793)),"Terceirizada","Interna"))</f>
        <v/>
      </c>
      <c r="W793" s="47" t="str">
        <f aca="false">IF($O793="","",IF($S793="",$O793,(DATE(Semana!$J$3,1,4)-WEEKDAY(DATE(Semana!$J$3,1,4),3))+($S793-1)*7+IF($M793="",0,MATCH($M793,Listas!$F$5:$F$11,0)-1)))</f>
        <v/>
      </c>
      <c r="X793" s="39" t="str">
        <f aca="false">IF($F793="","",IF(OR($AT793="",$O793=""),0,IF($AT793&lt;=$O793,1,0)))</f>
        <v/>
      </c>
      <c r="Y793" s="39" t="str">
        <f aca="false">IF($F793="","",IF(OR($AT793="",$W793=""),0,IF($AT793&lt;=$W793,1,0)))</f>
        <v/>
      </c>
      <c r="Z793" s="39" t="str">
        <f aca="false">IF(OR($AT793="",$O793=""),"",MAX(0,$AT793-$O793))</f>
        <v/>
      </c>
      <c r="AA793" s="39" t="str">
        <f aca="false">IF($F793="","",IF(AND($S793&lt;&gt;"",$L793&lt;&gt;"",$S793&lt;&gt;$L793),1,0))</f>
        <v/>
      </c>
      <c r="AB793" s="39" t="str">
        <f aca="false">IF($F793="","",IF($R793="Cancelada",0,IF(OR($AT793&lt;&gt;"",$R793="Concluída"),1,0)))</f>
        <v/>
      </c>
      <c r="AC793" s="39" t="n">
        <f aca="false">IF($P793="",0,IF($P793&lt;Hoje!$L$1,1,IF(AND($P793=Hoje!$L$1,Hoje!$L$2&gt;Semana!$M$3),1,0)))</f>
        <v>0</v>
      </c>
      <c r="AD793" s="39" t="str">
        <f aca="false">IF($F793="","",IF(COUNTA($I793:$K793)=0,0,1/COUNTA($I793:$K793)))</f>
        <v/>
      </c>
      <c r="AE793" s="39" t="str">
        <f aca="false">IF($AH793=0,"",SUM($AH$4:$AH793))</f>
        <v/>
      </c>
      <c r="AF793" s="39" t="str">
        <f aca="false">IF($AI793=0,"",SUM($AI$4:$AI793))</f>
        <v/>
      </c>
      <c r="AG793" s="50" t="str">
        <f aca="false">IF($F793="","",$I793&amp;IF($J793="",""," · "&amp;$J793)&amp;IF($K793="",""," · "&amp;$K793))</f>
        <v/>
      </c>
      <c r="AH793" s="39" t="n">
        <f aca="false">IF(AND($F793&lt;&gt;"",$O793&lt;&gt;"",$O793&lt;=Hoje!$C$3,$P793&gt;=Hoje!$C$3,$R793&lt;&gt;"Cancelada"),1,0)</f>
        <v>0</v>
      </c>
      <c r="AI793" s="39" t="n">
        <f aca="false">IF(AND($F793&lt;&gt;"",$P793&lt;&gt;"",$P793&lt;Hoje!$C$3,$AB793=0,$R793&lt;&gt;"Cancelada"),1,0)</f>
        <v>0</v>
      </c>
      <c r="AJ793" s="50" t="str">
        <f aca="false">IF($F793="","",$D793&amp;"|"&amp;$E793&amp;"|"&amp;$L793)</f>
        <v/>
      </c>
      <c r="AK793" s="39" t="str">
        <f aca="false">IF($AJ793="","",COUNTIF($AJ$4:$AJ793,$AJ793))</f>
        <v/>
      </c>
      <c r="AL793" s="39" t="str">
        <f aca="false">IF($AJ793="","",COUNTIF($AJ$4:$AJ$1004,$AJ793))</f>
        <v/>
      </c>
      <c r="AM793" s="42"/>
      <c r="AN793" s="50" t="str">
        <f aca="false">IF($D793="","",IFERROR(T(VLOOKUP($D793,Listas!$B$5:$H$120,7,0)),""))</f>
        <v/>
      </c>
      <c r="AO793" s="50" t="str">
        <f aca="false">IF(OR($F793="",$L793&lt;&gt;"",$R793="Cancelada",$AT793&lt;&gt;""),"",$AN793&amp;"|"&amp;$D793&amp;"|"&amp;IF($C793="","zzz",$C793)&amp;"|"&amp;TEXT(793,"0000"))</f>
        <v/>
      </c>
      <c r="AP793" s="50" t="str">
        <f aca="false">IF($AO793="","",COUNTIF($AO$5:$AO$1004,"&lt;"&amp;$AO793)-(ROWS($AO$5:$AO$1004)-Hoje!$L$5)+1)</f>
        <v/>
      </c>
      <c r="AQ793" s="50" t="n">
        <f aca="false">IF(AND($F793&lt;&gt;"",$D793=Frota!$C$3),1,0)</f>
        <v>0</v>
      </c>
      <c r="AR793" s="50" t="str">
        <f aca="false">IF($AQ793=0,"",SUM($AQ$4:$AQ793))</f>
        <v/>
      </c>
      <c r="AS793" s="50" t="str">
        <f aca="false">IFERROR(INDEX(Hoje!$K$10:$K$29,MATCH(ROW(),Hoje!$J$10:$J$29,0)),"")</f>
        <v/>
      </c>
      <c r="AT793" s="50" t="str">
        <f aca="false">IF($Q793&lt;&gt;"",$Q793,$AS793)</f>
        <v/>
      </c>
    </row>
    <row r="794" customFormat="false" ht="16.5" hidden="false" customHeight="true" outlineLevel="0" collapsed="false">
      <c r="A794" s="39" t="str">
        <f aca="false">IF($F794="","",ROW())</f>
        <v/>
      </c>
      <c r="B794" s="40" t="str">
        <f aca="false">IF($F794="",IF($D794="","","Falta a atividade"),IF($R794="Cancelada","Cancelada",IF($AB794=1,IF(N($Z794)&gt;0,"Concluída com atraso","Concluída"),IF($R794="Em programação","Em programação",IF($O794="",IF($M794="","Na carteira","Falta a semana"),IF($AC794=1,"VENCIDA",IF($O794&gt;Hoje!$L$1,"Programada",IF($P794&gt;Hoje!$L$1,"Em execução","Fecha hoje"))))))))</f>
        <v/>
      </c>
      <c r="C794" s="41"/>
      <c r="D794" s="42"/>
      <c r="E794" s="42"/>
      <c r="F794" s="42"/>
      <c r="G794" s="43"/>
      <c r="H794" s="43"/>
      <c r="I794" s="44"/>
      <c r="J794" s="44"/>
      <c r="K794" s="44"/>
      <c r="L794" s="45"/>
      <c r="M794" s="46"/>
      <c r="N794" s="45"/>
      <c r="O794" s="47" t="str">
        <f aca="false">IF(OR($L794="",$M794=""),"",(DATE(Semana!$J$3,1,4)-WEEKDAY(DATE(Semana!$J$3,1,4),3))+($L794-1)*7+MATCH($M794,Listas!$F$5:$F$11,0)-1)</f>
        <v/>
      </c>
      <c r="P794" s="47" t="str">
        <f aca="false">IF(OR($F794="",$O794=""),"",$O794+MAX(0,ROUNDUP($AK794*MAX(1,IF($N794="",1,$N794))/MAX(1,$AL794),0)-1))</f>
        <v/>
      </c>
      <c r="Q794" s="48"/>
      <c r="R794" s="43"/>
      <c r="S794" s="49"/>
      <c r="T794" s="42"/>
      <c r="U794" s="42"/>
      <c r="V794" s="39" t="str">
        <f aca="false">IF($F794="","",IF(ISNUMBER(SEARCH("(externo)",$I794&amp;$J794&amp;$K794)),"Terceirizada","Interna"))</f>
        <v/>
      </c>
      <c r="W794" s="47" t="str">
        <f aca="false">IF($O794="","",IF($S794="",$O794,(DATE(Semana!$J$3,1,4)-WEEKDAY(DATE(Semana!$J$3,1,4),3))+($S794-1)*7+IF($M794="",0,MATCH($M794,Listas!$F$5:$F$11,0)-1)))</f>
        <v/>
      </c>
      <c r="X794" s="39" t="str">
        <f aca="false">IF($F794="","",IF(OR($AT794="",$O794=""),0,IF($AT794&lt;=$O794,1,0)))</f>
        <v/>
      </c>
      <c r="Y794" s="39" t="str">
        <f aca="false">IF($F794="","",IF(OR($AT794="",$W794=""),0,IF($AT794&lt;=$W794,1,0)))</f>
        <v/>
      </c>
      <c r="Z794" s="39" t="str">
        <f aca="false">IF(OR($AT794="",$O794=""),"",MAX(0,$AT794-$O794))</f>
        <v/>
      </c>
      <c r="AA794" s="39" t="str">
        <f aca="false">IF($F794="","",IF(AND($S794&lt;&gt;"",$L794&lt;&gt;"",$S794&lt;&gt;$L794),1,0))</f>
        <v/>
      </c>
      <c r="AB794" s="39" t="str">
        <f aca="false">IF($F794="","",IF($R794="Cancelada",0,IF(OR($AT794&lt;&gt;"",$R794="Concluída"),1,0)))</f>
        <v/>
      </c>
      <c r="AC794" s="39" t="n">
        <f aca="false">IF($P794="",0,IF($P794&lt;Hoje!$L$1,1,IF(AND($P794=Hoje!$L$1,Hoje!$L$2&gt;Semana!$M$3),1,0)))</f>
        <v>0</v>
      </c>
      <c r="AD794" s="39" t="str">
        <f aca="false">IF($F794="","",IF(COUNTA($I794:$K794)=0,0,1/COUNTA($I794:$K794)))</f>
        <v/>
      </c>
      <c r="AE794" s="39" t="str">
        <f aca="false">IF($AH794=0,"",SUM($AH$4:$AH794))</f>
        <v/>
      </c>
      <c r="AF794" s="39" t="str">
        <f aca="false">IF($AI794=0,"",SUM($AI$4:$AI794))</f>
        <v/>
      </c>
      <c r="AG794" s="50" t="str">
        <f aca="false">IF($F794="","",$I794&amp;IF($J794="",""," · "&amp;$J794)&amp;IF($K794="",""," · "&amp;$K794))</f>
        <v/>
      </c>
      <c r="AH794" s="39" t="n">
        <f aca="false">IF(AND($F794&lt;&gt;"",$O794&lt;&gt;"",$O794&lt;=Hoje!$C$3,$P794&gt;=Hoje!$C$3,$R794&lt;&gt;"Cancelada"),1,0)</f>
        <v>0</v>
      </c>
      <c r="AI794" s="39" t="n">
        <f aca="false">IF(AND($F794&lt;&gt;"",$P794&lt;&gt;"",$P794&lt;Hoje!$C$3,$AB794=0,$R794&lt;&gt;"Cancelada"),1,0)</f>
        <v>0</v>
      </c>
      <c r="AJ794" s="50" t="str">
        <f aca="false">IF($F794="","",$D794&amp;"|"&amp;$E794&amp;"|"&amp;$L794)</f>
        <v/>
      </c>
      <c r="AK794" s="39" t="str">
        <f aca="false">IF($AJ794="","",COUNTIF($AJ$4:$AJ794,$AJ794))</f>
        <v/>
      </c>
      <c r="AL794" s="39" t="str">
        <f aca="false">IF($AJ794="","",COUNTIF($AJ$4:$AJ$1004,$AJ794))</f>
        <v/>
      </c>
      <c r="AM794" s="42"/>
      <c r="AN794" s="50" t="str">
        <f aca="false">IF($D794="","",IFERROR(T(VLOOKUP($D794,Listas!$B$5:$H$120,7,0)),""))</f>
        <v/>
      </c>
      <c r="AO794" s="50" t="str">
        <f aca="false">IF(OR($F794="",$L794&lt;&gt;"",$R794="Cancelada",$AT794&lt;&gt;""),"",$AN794&amp;"|"&amp;$D794&amp;"|"&amp;IF($C794="","zzz",$C794)&amp;"|"&amp;TEXT(794,"0000"))</f>
        <v/>
      </c>
      <c r="AP794" s="50" t="str">
        <f aca="false">IF($AO794="","",COUNTIF($AO$5:$AO$1004,"&lt;"&amp;$AO794)-(ROWS($AO$5:$AO$1004)-Hoje!$L$5)+1)</f>
        <v/>
      </c>
      <c r="AQ794" s="50" t="n">
        <f aca="false">IF(AND($F794&lt;&gt;"",$D794=Frota!$C$3),1,0)</f>
        <v>0</v>
      </c>
      <c r="AR794" s="50" t="str">
        <f aca="false">IF($AQ794=0,"",SUM($AQ$4:$AQ794))</f>
        <v/>
      </c>
      <c r="AS794" s="50" t="str">
        <f aca="false">IFERROR(INDEX(Hoje!$K$10:$K$29,MATCH(ROW(),Hoje!$J$10:$J$29,0)),"")</f>
        <v/>
      </c>
      <c r="AT794" s="50" t="str">
        <f aca="false">IF($Q794&lt;&gt;"",$Q794,$AS794)</f>
        <v/>
      </c>
    </row>
    <row r="795" customFormat="false" ht="16.5" hidden="false" customHeight="true" outlineLevel="0" collapsed="false">
      <c r="A795" s="39" t="str">
        <f aca="false">IF($F795="","",ROW())</f>
        <v/>
      </c>
      <c r="B795" s="40" t="str">
        <f aca="false">IF($F795="",IF($D795="","","Falta a atividade"),IF($R795="Cancelada","Cancelada",IF($AB795=1,IF(N($Z795)&gt;0,"Concluída com atraso","Concluída"),IF($R795="Em programação","Em programação",IF($O795="",IF($M795="","Na carteira","Falta a semana"),IF($AC795=1,"VENCIDA",IF($O795&gt;Hoje!$L$1,"Programada",IF($P795&gt;Hoje!$L$1,"Em execução","Fecha hoje"))))))))</f>
        <v/>
      </c>
      <c r="C795" s="41"/>
      <c r="D795" s="42"/>
      <c r="E795" s="42"/>
      <c r="F795" s="42"/>
      <c r="G795" s="43"/>
      <c r="H795" s="43"/>
      <c r="I795" s="44"/>
      <c r="J795" s="44"/>
      <c r="K795" s="44"/>
      <c r="L795" s="45"/>
      <c r="M795" s="46"/>
      <c r="N795" s="45"/>
      <c r="O795" s="47" t="str">
        <f aca="false">IF(OR($L795="",$M795=""),"",(DATE(Semana!$J$3,1,4)-WEEKDAY(DATE(Semana!$J$3,1,4),3))+($L795-1)*7+MATCH($M795,Listas!$F$5:$F$11,0)-1)</f>
        <v/>
      </c>
      <c r="P795" s="47" t="str">
        <f aca="false">IF(OR($F795="",$O795=""),"",$O795+MAX(0,ROUNDUP($AK795*MAX(1,IF($N795="",1,$N795))/MAX(1,$AL795),0)-1))</f>
        <v/>
      </c>
      <c r="Q795" s="48"/>
      <c r="R795" s="43"/>
      <c r="S795" s="49"/>
      <c r="T795" s="42"/>
      <c r="U795" s="42"/>
      <c r="V795" s="39" t="str">
        <f aca="false">IF($F795="","",IF(ISNUMBER(SEARCH("(externo)",$I795&amp;$J795&amp;$K795)),"Terceirizada","Interna"))</f>
        <v/>
      </c>
      <c r="W795" s="47" t="str">
        <f aca="false">IF($O795="","",IF($S795="",$O795,(DATE(Semana!$J$3,1,4)-WEEKDAY(DATE(Semana!$J$3,1,4),3))+($S795-1)*7+IF($M795="",0,MATCH($M795,Listas!$F$5:$F$11,0)-1)))</f>
        <v/>
      </c>
      <c r="X795" s="39" t="str">
        <f aca="false">IF($F795="","",IF(OR($AT795="",$O795=""),0,IF($AT795&lt;=$O795,1,0)))</f>
        <v/>
      </c>
      <c r="Y795" s="39" t="str">
        <f aca="false">IF($F795="","",IF(OR($AT795="",$W795=""),0,IF($AT795&lt;=$W795,1,0)))</f>
        <v/>
      </c>
      <c r="Z795" s="39" t="str">
        <f aca="false">IF(OR($AT795="",$O795=""),"",MAX(0,$AT795-$O795))</f>
        <v/>
      </c>
      <c r="AA795" s="39" t="str">
        <f aca="false">IF($F795="","",IF(AND($S795&lt;&gt;"",$L795&lt;&gt;"",$S795&lt;&gt;$L795),1,0))</f>
        <v/>
      </c>
      <c r="AB795" s="39" t="str">
        <f aca="false">IF($F795="","",IF($R795="Cancelada",0,IF(OR($AT795&lt;&gt;"",$R795="Concluída"),1,0)))</f>
        <v/>
      </c>
      <c r="AC795" s="39" t="n">
        <f aca="false">IF($P795="",0,IF($P795&lt;Hoje!$L$1,1,IF(AND($P795=Hoje!$L$1,Hoje!$L$2&gt;Semana!$M$3),1,0)))</f>
        <v>0</v>
      </c>
      <c r="AD795" s="39" t="str">
        <f aca="false">IF($F795="","",IF(COUNTA($I795:$K795)=0,0,1/COUNTA($I795:$K795)))</f>
        <v/>
      </c>
      <c r="AE795" s="39" t="str">
        <f aca="false">IF($AH795=0,"",SUM($AH$4:$AH795))</f>
        <v/>
      </c>
      <c r="AF795" s="39" t="str">
        <f aca="false">IF($AI795=0,"",SUM($AI$4:$AI795))</f>
        <v/>
      </c>
      <c r="AG795" s="50" t="str">
        <f aca="false">IF($F795="","",$I795&amp;IF($J795="",""," · "&amp;$J795)&amp;IF($K795="",""," · "&amp;$K795))</f>
        <v/>
      </c>
      <c r="AH795" s="39" t="n">
        <f aca="false">IF(AND($F795&lt;&gt;"",$O795&lt;&gt;"",$O795&lt;=Hoje!$C$3,$P795&gt;=Hoje!$C$3,$R795&lt;&gt;"Cancelada"),1,0)</f>
        <v>0</v>
      </c>
      <c r="AI795" s="39" t="n">
        <f aca="false">IF(AND($F795&lt;&gt;"",$P795&lt;&gt;"",$P795&lt;Hoje!$C$3,$AB795=0,$R795&lt;&gt;"Cancelada"),1,0)</f>
        <v>0</v>
      </c>
      <c r="AJ795" s="50" t="str">
        <f aca="false">IF($F795="","",$D795&amp;"|"&amp;$E795&amp;"|"&amp;$L795)</f>
        <v/>
      </c>
      <c r="AK795" s="39" t="str">
        <f aca="false">IF($AJ795="","",COUNTIF($AJ$4:$AJ795,$AJ795))</f>
        <v/>
      </c>
      <c r="AL795" s="39" t="str">
        <f aca="false">IF($AJ795="","",COUNTIF($AJ$4:$AJ$1004,$AJ795))</f>
        <v/>
      </c>
      <c r="AM795" s="42"/>
      <c r="AN795" s="50" t="str">
        <f aca="false">IF($D795="","",IFERROR(T(VLOOKUP($D795,Listas!$B$5:$H$120,7,0)),""))</f>
        <v/>
      </c>
      <c r="AO795" s="50" t="str">
        <f aca="false">IF(OR($F795="",$L795&lt;&gt;"",$R795="Cancelada",$AT795&lt;&gt;""),"",$AN795&amp;"|"&amp;$D795&amp;"|"&amp;IF($C795="","zzz",$C795)&amp;"|"&amp;TEXT(795,"0000"))</f>
        <v/>
      </c>
      <c r="AP795" s="50" t="str">
        <f aca="false">IF($AO795="","",COUNTIF($AO$5:$AO$1004,"&lt;"&amp;$AO795)-(ROWS($AO$5:$AO$1004)-Hoje!$L$5)+1)</f>
        <v/>
      </c>
      <c r="AQ795" s="50" t="n">
        <f aca="false">IF(AND($F795&lt;&gt;"",$D795=Frota!$C$3),1,0)</f>
        <v>0</v>
      </c>
      <c r="AR795" s="50" t="str">
        <f aca="false">IF($AQ795=0,"",SUM($AQ$4:$AQ795))</f>
        <v/>
      </c>
      <c r="AS795" s="50" t="str">
        <f aca="false">IFERROR(INDEX(Hoje!$K$10:$K$29,MATCH(ROW(),Hoje!$J$10:$J$29,0)),"")</f>
        <v/>
      </c>
      <c r="AT795" s="50" t="str">
        <f aca="false">IF($Q795&lt;&gt;"",$Q795,$AS795)</f>
        <v/>
      </c>
    </row>
    <row r="796" customFormat="false" ht="16.5" hidden="false" customHeight="true" outlineLevel="0" collapsed="false">
      <c r="A796" s="39" t="str">
        <f aca="false">IF($F796="","",ROW())</f>
        <v/>
      </c>
      <c r="B796" s="40" t="str">
        <f aca="false">IF($F796="",IF($D796="","","Falta a atividade"),IF($R796="Cancelada","Cancelada",IF($AB796=1,IF(N($Z796)&gt;0,"Concluída com atraso","Concluída"),IF($R796="Em programação","Em programação",IF($O796="",IF($M796="","Na carteira","Falta a semana"),IF($AC796=1,"VENCIDA",IF($O796&gt;Hoje!$L$1,"Programada",IF($P796&gt;Hoje!$L$1,"Em execução","Fecha hoje"))))))))</f>
        <v/>
      </c>
      <c r="C796" s="41"/>
      <c r="D796" s="42"/>
      <c r="E796" s="42"/>
      <c r="F796" s="42"/>
      <c r="G796" s="43"/>
      <c r="H796" s="43"/>
      <c r="I796" s="44"/>
      <c r="J796" s="44"/>
      <c r="K796" s="44"/>
      <c r="L796" s="45"/>
      <c r="M796" s="46"/>
      <c r="N796" s="45"/>
      <c r="O796" s="47" t="str">
        <f aca="false">IF(OR($L796="",$M796=""),"",(DATE(Semana!$J$3,1,4)-WEEKDAY(DATE(Semana!$J$3,1,4),3))+($L796-1)*7+MATCH($M796,Listas!$F$5:$F$11,0)-1)</f>
        <v/>
      </c>
      <c r="P796" s="47" t="str">
        <f aca="false">IF(OR($F796="",$O796=""),"",$O796+MAX(0,ROUNDUP($AK796*MAX(1,IF($N796="",1,$N796))/MAX(1,$AL796),0)-1))</f>
        <v/>
      </c>
      <c r="Q796" s="48"/>
      <c r="R796" s="43"/>
      <c r="S796" s="49"/>
      <c r="T796" s="42"/>
      <c r="U796" s="42"/>
      <c r="V796" s="39" t="str">
        <f aca="false">IF($F796="","",IF(ISNUMBER(SEARCH("(externo)",$I796&amp;$J796&amp;$K796)),"Terceirizada","Interna"))</f>
        <v/>
      </c>
      <c r="W796" s="47" t="str">
        <f aca="false">IF($O796="","",IF($S796="",$O796,(DATE(Semana!$J$3,1,4)-WEEKDAY(DATE(Semana!$J$3,1,4),3))+($S796-1)*7+IF($M796="",0,MATCH($M796,Listas!$F$5:$F$11,0)-1)))</f>
        <v/>
      </c>
      <c r="X796" s="39" t="str">
        <f aca="false">IF($F796="","",IF(OR($AT796="",$O796=""),0,IF($AT796&lt;=$O796,1,0)))</f>
        <v/>
      </c>
      <c r="Y796" s="39" t="str">
        <f aca="false">IF($F796="","",IF(OR($AT796="",$W796=""),0,IF($AT796&lt;=$W796,1,0)))</f>
        <v/>
      </c>
      <c r="Z796" s="39" t="str">
        <f aca="false">IF(OR($AT796="",$O796=""),"",MAX(0,$AT796-$O796))</f>
        <v/>
      </c>
      <c r="AA796" s="39" t="str">
        <f aca="false">IF($F796="","",IF(AND($S796&lt;&gt;"",$L796&lt;&gt;"",$S796&lt;&gt;$L796),1,0))</f>
        <v/>
      </c>
      <c r="AB796" s="39" t="str">
        <f aca="false">IF($F796="","",IF($R796="Cancelada",0,IF(OR($AT796&lt;&gt;"",$R796="Concluída"),1,0)))</f>
        <v/>
      </c>
      <c r="AC796" s="39" t="n">
        <f aca="false">IF($P796="",0,IF($P796&lt;Hoje!$L$1,1,IF(AND($P796=Hoje!$L$1,Hoje!$L$2&gt;Semana!$M$3),1,0)))</f>
        <v>0</v>
      </c>
      <c r="AD796" s="39" t="str">
        <f aca="false">IF($F796="","",IF(COUNTA($I796:$K796)=0,0,1/COUNTA($I796:$K796)))</f>
        <v/>
      </c>
      <c r="AE796" s="39" t="str">
        <f aca="false">IF($AH796=0,"",SUM($AH$4:$AH796))</f>
        <v/>
      </c>
      <c r="AF796" s="39" t="str">
        <f aca="false">IF($AI796=0,"",SUM($AI$4:$AI796))</f>
        <v/>
      </c>
      <c r="AG796" s="50" t="str">
        <f aca="false">IF($F796="","",$I796&amp;IF($J796="",""," · "&amp;$J796)&amp;IF($K796="",""," · "&amp;$K796))</f>
        <v/>
      </c>
      <c r="AH796" s="39" t="n">
        <f aca="false">IF(AND($F796&lt;&gt;"",$O796&lt;&gt;"",$O796&lt;=Hoje!$C$3,$P796&gt;=Hoje!$C$3,$R796&lt;&gt;"Cancelada"),1,0)</f>
        <v>0</v>
      </c>
      <c r="AI796" s="39" t="n">
        <f aca="false">IF(AND($F796&lt;&gt;"",$P796&lt;&gt;"",$P796&lt;Hoje!$C$3,$AB796=0,$R796&lt;&gt;"Cancelada"),1,0)</f>
        <v>0</v>
      </c>
      <c r="AJ796" s="50" t="str">
        <f aca="false">IF($F796="","",$D796&amp;"|"&amp;$E796&amp;"|"&amp;$L796)</f>
        <v/>
      </c>
      <c r="AK796" s="39" t="str">
        <f aca="false">IF($AJ796="","",COUNTIF($AJ$4:$AJ796,$AJ796))</f>
        <v/>
      </c>
      <c r="AL796" s="39" t="str">
        <f aca="false">IF($AJ796="","",COUNTIF($AJ$4:$AJ$1004,$AJ796))</f>
        <v/>
      </c>
      <c r="AM796" s="42"/>
      <c r="AN796" s="50" t="str">
        <f aca="false">IF($D796="","",IFERROR(T(VLOOKUP($D796,Listas!$B$5:$H$120,7,0)),""))</f>
        <v/>
      </c>
      <c r="AO796" s="50" t="str">
        <f aca="false">IF(OR($F796="",$L796&lt;&gt;"",$R796="Cancelada",$AT796&lt;&gt;""),"",$AN796&amp;"|"&amp;$D796&amp;"|"&amp;IF($C796="","zzz",$C796)&amp;"|"&amp;TEXT(796,"0000"))</f>
        <v/>
      </c>
      <c r="AP796" s="50" t="str">
        <f aca="false">IF($AO796="","",COUNTIF($AO$5:$AO$1004,"&lt;"&amp;$AO796)-(ROWS($AO$5:$AO$1004)-Hoje!$L$5)+1)</f>
        <v/>
      </c>
      <c r="AQ796" s="50" t="n">
        <f aca="false">IF(AND($F796&lt;&gt;"",$D796=Frota!$C$3),1,0)</f>
        <v>0</v>
      </c>
      <c r="AR796" s="50" t="str">
        <f aca="false">IF($AQ796=0,"",SUM($AQ$4:$AQ796))</f>
        <v/>
      </c>
      <c r="AS796" s="50" t="str">
        <f aca="false">IFERROR(INDEX(Hoje!$K$10:$K$29,MATCH(ROW(),Hoje!$J$10:$J$29,0)),"")</f>
        <v/>
      </c>
      <c r="AT796" s="50" t="str">
        <f aca="false">IF($Q796&lt;&gt;"",$Q796,$AS796)</f>
        <v/>
      </c>
    </row>
    <row r="797" customFormat="false" ht="16.5" hidden="false" customHeight="true" outlineLevel="0" collapsed="false">
      <c r="A797" s="39" t="str">
        <f aca="false">IF($F797="","",ROW())</f>
        <v/>
      </c>
      <c r="B797" s="40" t="str">
        <f aca="false">IF($F797="",IF($D797="","","Falta a atividade"),IF($R797="Cancelada","Cancelada",IF($AB797=1,IF(N($Z797)&gt;0,"Concluída com atraso","Concluída"),IF($R797="Em programação","Em programação",IF($O797="",IF($M797="","Na carteira","Falta a semana"),IF($AC797=1,"VENCIDA",IF($O797&gt;Hoje!$L$1,"Programada",IF($P797&gt;Hoje!$L$1,"Em execução","Fecha hoje"))))))))</f>
        <v/>
      </c>
      <c r="C797" s="41"/>
      <c r="D797" s="42"/>
      <c r="E797" s="42"/>
      <c r="F797" s="42"/>
      <c r="G797" s="43"/>
      <c r="H797" s="43"/>
      <c r="I797" s="44"/>
      <c r="J797" s="44"/>
      <c r="K797" s="44"/>
      <c r="L797" s="45"/>
      <c r="M797" s="46"/>
      <c r="N797" s="45"/>
      <c r="O797" s="47" t="str">
        <f aca="false">IF(OR($L797="",$M797=""),"",(DATE(Semana!$J$3,1,4)-WEEKDAY(DATE(Semana!$J$3,1,4),3))+($L797-1)*7+MATCH($M797,Listas!$F$5:$F$11,0)-1)</f>
        <v/>
      </c>
      <c r="P797" s="47" t="str">
        <f aca="false">IF(OR($F797="",$O797=""),"",$O797+MAX(0,ROUNDUP($AK797*MAX(1,IF($N797="",1,$N797))/MAX(1,$AL797),0)-1))</f>
        <v/>
      </c>
      <c r="Q797" s="48"/>
      <c r="R797" s="43"/>
      <c r="S797" s="49"/>
      <c r="T797" s="42"/>
      <c r="U797" s="42"/>
      <c r="V797" s="39" t="str">
        <f aca="false">IF($F797="","",IF(ISNUMBER(SEARCH("(externo)",$I797&amp;$J797&amp;$K797)),"Terceirizada","Interna"))</f>
        <v/>
      </c>
      <c r="W797" s="47" t="str">
        <f aca="false">IF($O797="","",IF($S797="",$O797,(DATE(Semana!$J$3,1,4)-WEEKDAY(DATE(Semana!$J$3,1,4),3))+($S797-1)*7+IF($M797="",0,MATCH($M797,Listas!$F$5:$F$11,0)-1)))</f>
        <v/>
      </c>
      <c r="X797" s="39" t="str">
        <f aca="false">IF($F797="","",IF(OR($AT797="",$O797=""),0,IF($AT797&lt;=$O797,1,0)))</f>
        <v/>
      </c>
      <c r="Y797" s="39" t="str">
        <f aca="false">IF($F797="","",IF(OR($AT797="",$W797=""),0,IF($AT797&lt;=$W797,1,0)))</f>
        <v/>
      </c>
      <c r="Z797" s="39" t="str">
        <f aca="false">IF(OR($AT797="",$O797=""),"",MAX(0,$AT797-$O797))</f>
        <v/>
      </c>
      <c r="AA797" s="39" t="str">
        <f aca="false">IF($F797="","",IF(AND($S797&lt;&gt;"",$L797&lt;&gt;"",$S797&lt;&gt;$L797),1,0))</f>
        <v/>
      </c>
      <c r="AB797" s="39" t="str">
        <f aca="false">IF($F797="","",IF($R797="Cancelada",0,IF(OR($AT797&lt;&gt;"",$R797="Concluída"),1,0)))</f>
        <v/>
      </c>
      <c r="AC797" s="39" t="n">
        <f aca="false">IF($P797="",0,IF($P797&lt;Hoje!$L$1,1,IF(AND($P797=Hoje!$L$1,Hoje!$L$2&gt;Semana!$M$3),1,0)))</f>
        <v>0</v>
      </c>
      <c r="AD797" s="39" t="str">
        <f aca="false">IF($F797="","",IF(COUNTA($I797:$K797)=0,0,1/COUNTA($I797:$K797)))</f>
        <v/>
      </c>
      <c r="AE797" s="39" t="str">
        <f aca="false">IF($AH797=0,"",SUM($AH$4:$AH797))</f>
        <v/>
      </c>
      <c r="AF797" s="39" t="str">
        <f aca="false">IF($AI797=0,"",SUM($AI$4:$AI797))</f>
        <v/>
      </c>
      <c r="AG797" s="50" t="str">
        <f aca="false">IF($F797="","",$I797&amp;IF($J797="",""," · "&amp;$J797)&amp;IF($K797="",""," · "&amp;$K797))</f>
        <v/>
      </c>
      <c r="AH797" s="39" t="n">
        <f aca="false">IF(AND($F797&lt;&gt;"",$O797&lt;&gt;"",$O797&lt;=Hoje!$C$3,$P797&gt;=Hoje!$C$3,$R797&lt;&gt;"Cancelada"),1,0)</f>
        <v>0</v>
      </c>
      <c r="AI797" s="39" t="n">
        <f aca="false">IF(AND($F797&lt;&gt;"",$P797&lt;&gt;"",$P797&lt;Hoje!$C$3,$AB797=0,$R797&lt;&gt;"Cancelada"),1,0)</f>
        <v>0</v>
      </c>
      <c r="AJ797" s="50" t="str">
        <f aca="false">IF($F797="","",$D797&amp;"|"&amp;$E797&amp;"|"&amp;$L797)</f>
        <v/>
      </c>
      <c r="AK797" s="39" t="str">
        <f aca="false">IF($AJ797="","",COUNTIF($AJ$4:$AJ797,$AJ797))</f>
        <v/>
      </c>
      <c r="AL797" s="39" t="str">
        <f aca="false">IF($AJ797="","",COUNTIF($AJ$4:$AJ$1004,$AJ797))</f>
        <v/>
      </c>
      <c r="AM797" s="42"/>
      <c r="AN797" s="50" t="str">
        <f aca="false">IF($D797="","",IFERROR(T(VLOOKUP($D797,Listas!$B$5:$H$120,7,0)),""))</f>
        <v/>
      </c>
      <c r="AO797" s="50" t="str">
        <f aca="false">IF(OR($F797="",$L797&lt;&gt;"",$R797="Cancelada",$AT797&lt;&gt;""),"",$AN797&amp;"|"&amp;$D797&amp;"|"&amp;IF($C797="","zzz",$C797)&amp;"|"&amp;TEXT(797,"0000"))</f>
        <v/>
      </c>
      <c r="AP797" s="50" t="str">
        <f aca="false">IF($AO797="","",COUNTIF($AO$5:$AO$1004,"&lt;"&amp;$AO797)-(ROWS($AO$5:$AO$1004)-Hoje!$L$5)+1)</f>
        <v/>
      </c>
      <c r="AQ797" s="50" t="n">
        <f aca="false">IF(AND($F797&lt;&gt;"",$D797=Frota!$C$3),1,0)</f>
        <v>0</v>
      </c>
      <c r="AR797" s="50" t="str">
        <f aca="false">IF($AQ797=0,"",SUM($AQ$4:$AQ797))</f>
        <v/>
      </c>
      <c r="AS797" s="50" t="str">
        <f aca="false">IFERROR(INDEX(Hoje!$K$10:$K$29,MATCH(ROW(),Hoje!$J$10:$J$29,0)),"")</f>
        <v/>
      </c>
      <c r="AT797" s="50" t="str">
        <f aca="false">IF($Q797&lt;&gt;"",$Q797,$AS797)</f>
        <v/>
      </c>
    </row>
    <row r="798" customFormat="false" ht="16.5" hidden="false" customHeight="true" outlineLevel="0" collapsed="false">
      <c r="A798" s="39" t="str">
        <f aca="false">IF($F798="","",ROW())</f>
        <v/>
      </c>
      <c r="B798" s="40" t="str">
        <f aca="false">IF($F798="",IF($D798="","","Falta a atividade"),IF($R798="Cancelada","Cancelada",IF($AB798=1,IF(N($Z798)&gt;0,"Concluída com atraso","Concluída"),IF($R798="Em programação","Em programação",IF($O798="",IF($M798="","Na carteira","Falta a semana"),IF($AC798=1,"VENCIDA",IF($O798&gt;Hoje!$L$1,"Programada",IF($P798&gt;Hoje!$L$1,"Em execução","Fecha hoje"))))))))</f>
        <v/>
      </c>
      <c r="C798" s="41"/>
      <c r="D798" s="42"/>
      <c r="E798" s="42"/>
      <c r="F798" s="42"/>
      <c r="G798" s="43"/>
      <c r="H798" s="43"/>
      <c r="I798" s="44"/>
      <c r="J798" s="44"/>
      <c r="K798" s="44"/>
      <c r="L798" s="45"/>
      <c r="M798" s="46"/>
      <c r="N798" s="45"/>
      <c r="O798" s="47" t="str">
        <f aca="false">IF(OR($L798="",$M798=""),"",(DATE(Semana!$J$3,1,4)-WEEKDAY(DATE(Semana!$J$3,1,4),3))+($L798-1)*7+MATCH($M798,Listas!$F$5:$F$11,0)-1)</f>
        <v/>
      </c>
      <c r="P798" s="47" t="str">
        <f aca="false">IF(OR($F798="",$O798=""),"",$O798+MAX(0,ROUNDUP($AK798*MAX(1,IF($N798="",1,$N798))/MAX(1,$AL798),0)-1))</f>
        <v/>
      </c>
      <c r="Q798" s="48"/>
      <c r="R798" s="43"/>
      <c r="S798" s="49"/>
      <c r="T798" s="42"/>
      <c r="U798" s="42"/>
      <c r="V798" s="39" t="str">
        <f aca="false">IF($F798="","",IF(ISNUMBER(SEARCH("(externo)",$I798&amp;$J798&amp;$K798)),"Terceirizada","Interna"))</f>
        <v/>
      </c>
      <c r="W798" s="47" t="str">
        <f aca="false">IF($O798="","",IF($S798="",$O798,(DATE(Semana!$J$3,1,4)-WEEKDAY(DATE(Semana!$J$3,1,4),3))+($S798-1)*7+IF($M798="",0,MATCH($M798,Listas!$F$5:$F$11,0)-1)))</f>
        <v/>
      </c>
      <c r="X798" s="39" t="str">
        <f aca="false">IF($F798="","",IF(OR($AT798="",$O798=""),0,IF($AT798&lt;=$O798,1,0)))</f>
        <v/>
      </c>
      <c r="Y798" s="39" t="str">
        <f aca="false">IF($F798="","",IF(OR($AT798="",$W798=""),0,IF($AT798&lt;=$W798,1,0)))</f>
        <v/>
      </c>
      <c r="Z798" s="39" t="str">
        <f aca="false">IF(OR($AT798="",$O798=""),"",MAX(0,$AT798-$O798))</f>
        <v/>
      </c>
      <c r="AA798" s="39" t="str">
        <f aca="false">IF($F798="","",IF(AND($S798&lt;&gt;"",$L798&lt;&gt;"",$S798&lt;&gt;$L798),1,0))</f>
        <v/>
      </c>
      <c r="AB798" s="39" t="str">
        <f aca="false">IF($F798="","",IF($R798="Cancelada",0,IF(OR($AT798&lt;&gt;"",$R798="Concluída"),1,0)))</f>
        <v/>
      </c>
      <c r="AC798" s="39" t="n">
        <f aca="false">IF($P798="",0,IF($P798&lt;Hoje!$L$1,1,IF(AND($P798=Hoje!$L$1,Hoje!$L$2&gt;Semana!$M$3),1,0)))</f>
        <v>0</v>
      </c>
      <c r="AD798" s="39" t="str">
        <f aca="false">IF($F798="","",IF(COUNTA($I798:$K798)=0,0,1/COUNTA($I798:$K798)))</f>
        <v/>
      </c>
      <c r="AE798" s="39" t="str">
        <f aca="false">IF($AH798=0,"",SUM($AH$4:$AH798))</f>
        <v/>
      </c>
      <c r="AF798" s="39" t="str">
        <f aca="false">IF($AI798=0,"",SUM($AI$4:$AI798))</f>
        <v/>
      </c>
      <c r="AG798" s="50" t="str">
        <f aca="false">IF($F798="","",$I798&amp;IF($J798="",""," · "&amp;$J798)&amp;IF($K798="",""," · "&amp;$K798))</f>
        <v/>
      </c>
      <c r="AH798" s="39" t="n">
        <f aca="false">IF(AND($F798&lt;&gt;"",$O798&lt;&gt;"",$O798&lt;=Hoje!$C$3,$P798&gt;=Hoje!$C$3,$R798&lt;&gt;"Cancelada"),1,0)</f>
        <v>0</v>
      </c>
      <c r="AI798" s="39" t="n">
        <f aca="false">IF(AND($F798&lt;&gt;"",$P798&lt;&gt;"",$P798&lt;Hoje!$C$3,$AB798=0,$R798&lt;&gt;"Cancelada"),1,0)</f>
        <v>0</v>
      </c>
      <c r="AJ798" s="50" t="str">
        <f aca="false">IF($F798="","",$D798&amp;"|"&amp;$E798&amp;"|"&amp;$L798)</f>
        <v/>
      </c>
      <c r="AK798" s="39" t="str">
        <f aca="false">IF($AJ798="","",COUNTIF($AJ$4:$AJ798,$AJ798))</f>
        <v/>
      </c>
      <c r="AL798" s="39" t="str">
        <f aca="false">IF($AJ798="","",COUNTIF($AJ$4:$AJ$1004,$AJ798))</f>
        <v/>
      </c>
      <c r="AM798" s="42"/>
      <c r="AN798" s="50" t="str">
        <f aca="false">IF($D798="","",IFERROR(T(VLOOKUP($D798,Listas!$B$5:$H$120,7,0)),""))</f>
        <v/>
      </c>
      <c r="AO798" s="50" t="str">
        <f aca="false">IF(OR($F798="",$L798&lt;&gt;"",$R798="Cancelada",$AT798&lt;&gt;""),"",$AN798&amp;"|"&amp;$D798&amp;"|"&amp;IF($C798="","zzz",$C798)&amp;"|"&amp;TEXT(798,"0000"))</f>
        <v/>
      </c>
      <c r="AP798" s="50" t="str">
        <f aca="false">IF($AO798="","",COUNTIF($AO$5:$AO$1004,"&lt;"&amp;$AO798)-(ROWS($AO$5:$AO$1004)-Hoje!$L$5)+1)</f>
        <v/>
      </c>
      <c r="AQ798" s="50" t="n">
        <f aca="false">IF(AND($F798&lt;&gt;"",$D798=Frota!$C$3),1,0)</f>
        <v>0</v>
      </c>
      <c r="AR798" s="50" t="str">
        <f aca="false">IF($AQ798=0,"",SUM($AQ$4:$AQ798))</f>
        <v/>
      </c>
      <c r="AS798" s="50" t="str">
        <f aca="false">IFERROR(INDEX(Hoje!$K$10:$K$29,MATCH(ROW(),Hoje!$J$10:$J$29,0)),"")</f>
        <v/>
      </c>
      <c r="AT798" s="50" t="str">
        <f aca="false">IF($Q798&lt;&gt;"",$Q798,$AS798)</f>
        <v/>
      </c>
    </row>
    <row r="799" customFormat="false" ht="16.5" hidden="false" customHeight="true" outlineLevel="0" collapsed="false">
      <c r="A799" s="39" t="str">
        <f aca="false">IF($F799="","",ROW())</f>
        <v/>
      </c>
      <c r="B799" s="40" t="str">
        <f aca="false">IF($F799="",IF($D799="","","Falta a atividade"),IF($R799="Cancelada","Cancelada",IF($AB799=1,IF(N($Z799)&gt;0,"Concluída com atraso","Concluída"),IF($R799="Em programação","Em programação",IF($O799="",IF($M799="","Na carteira","Falta a semana"),IF($AC799=1,"VENCIDA",IF($O799&gt;Hoje!$L$1,"Programada",IF($P799&gt;Hoje!$L$1,"Em execução","Fecha hoje"))))))))</f>
        <v/>
      </c>
      <c r="C799" s="41"/>
      <c r="D799" s="42"/>
      <c r="E799" s="42"/>
      <c r="F799" s="42"/>
      <c r="G799" s="43"/>
      <c r="H799" s="43"/>
      <c r="I799" s="44"/>
      <c r="J799" s="44"/>
      <c r="K799" s="44"/>
      <c r="L799" s="45"/>
      <c r="M799" s="46"/>
      <c r="N799" s="45"/>
      <c r="O799" s="47" t="str">
        <f aca="false">IF(OR($L799="",$M799=""),"",(DATE(Semana!$J$3,1,4)-WEEKDAY(DATE(Semana!$J$3,1,4),3))+($L799-1)*7+MATCH($M799,Listas!$F$5:$F$11,0)-1)</f>
        <v/>
      </c>
      <c r="P799" s="47" t="str">
        <f aca="false">IF(OR($F799="",$O799=""),"",$O799+MAX(0,ROUNDUP($AK799*MAX(1,IF($N799="",1,$N799))/MAX(1,$AL799),0)-1))</f>
        <v/>
      </c>
      <c r="Q799" s="48"/>
      <c r="R799" s="43"/>
      <c r="S799" s="49"/>
      <c r="T799" s="42"/>
      <c r="U799" s="42"/>
      <c r="V799" s="39" t="str">
        <f aca="false">IF($F799="","",IF(ISNUMBER(SEARCH("(externo)",$I799&amp;$J799&amp;$K799)),"Terceirizada","Interna"))</f>
        <v/>
      </c>
      <c r="W799" s="47" t="str">
        <f aca="false">IF($O799="","",IF($S799="",$O799,(DATE(Semana!$J$3,1,4)-WEEKDAY(DATE(Semana!$J$3,1,4),3))+($S799-1)*7+IF($M799="",0,MATCH($M799,Listas!$F$5:$F$11,0)-1)))</f>
        <v/>
      </c>
      <c r="X799" s="39" t="str">
        <f aca="false">IF($F799="","",IF(OR($AT799="",$O799=""),0,IF($AT799&lt;=$O799,1,0)))</f>
        <v/>
      </c>
      <c r="Y799" s="39" t="str">
        <f aca="false">IF($F799="","",IF(OR($AT799="",$W799=""),0,IF($AT799&lt;=$W799,1,0)))</f>
        <v/>
      </c>
      <c r="Z799" s="39" t="str">
        <f aca="false">IF(OR($AT799="",$O799=""),"",MAX(0,$AT799-$O799))</f>
        <v/>
      </c>
      <c r="AA799" s="39" t="str">
        <f aca="false">IF($F799="","",IF(AND($S799&lt;&gt;"",$L799&lt;&gt;"",$S799&lt;&gt;$L799),1,0))</f>
        <v/>
      </c>
      <c r="AB799" s="39" t="str">
        <f aca="false">IF($F799="","",IF($R799="Cancelada",0,IF(OR($AT799&lt;&gt;"",$R799="Concluída"),1,0)))</f>
        <v/>
      </c>
      <c r="AC799" s="39" t="n">
        <f aca="false">IF($P799="",0,IF($P799&lt;Hoje!$L$1,1,IF(AND($P799=Hoje!$L$1,Hoje!$L$2&gt;Semana!$M$3),1,0)))</f>
        <v>0</v>
      </c>
      <c r="AD799" s="39" t="str">
        <f aca="false">IF($F799="","",IF(COUNTA($I799:$K799)=0,0,1/COUNTA($I799:$K799)))</f>
        <v/>
      </c>
      <c r="AE799" s="39" t="str">
        <f aca="false">IF($AH799=0,"",SUM($AH$4:$AH799))</f>
        <v/>
      </c>
      <c r="AF799" s="39" t="str">
        <f aca="false">IF($AI799=0,"",SUM($AI$4:$AI799))</f>
        <v/>
      </c>
      <c r="AG799" s="50" t="str">
        <f aca="false">IF($F799="","",$I799&amp;IF($J799="",""," · "&amp;$J799)&amp;IF($K799="",""," · "&amp;$K799))</f>
        <v/>
      </c>
      <c r="AH799" s="39" t="n">
        <f aca="false">IF(AND($F799&lt;&gt;"",$O799&lt;&gt;"",$O799&lt;=Hoje!$C$3,$P799&gt;=Hoje!$C$3,$R799&lt;&gt;"Cancelada"),1,0)</f>
        <v>0</v>
      </c>
      <c r="AI799" s="39" t="n">
        <f aca="false">IF(AND($F799&lt;&gt;"",$P799&lt;&gt;"",$P799&lt;Hoje!$C$3,$AB799=0,$R799&lt;&gt;"Cancelada"),1,0)</f>
        <v>0</v>
      </c>
      <c r="AJ799" s="50" t="str">
        <f aca="false">IF($F799="","",$D799&amp;"|"&amp;$E799&amp;"|"&amp;$L799)</f>
        <v/>
      </c>
      <c r="AK799" s="39" t="str">
        <f aca="false">IF($AJ799="","",COUNTIF($AJ$4:$AJ799,$AJ799))</f>
        <v/>
      </c>
      <c r="AL799" s="39" t="str">
        <f aca="false">IF($AJ799="","",COUNTIF($AJ$4:$AJ$1004,$AJ799))</f>
        <v/>
      </c>
      <c r="AM799" s="42"/>
      <c r="AN799" s="50" t="str">
        <f aca="false">IF($D799="","",IFERROR(T(VLOOKUP($D799,Listas!$B$5:$H$120,7,0)),""))</f>
        <v/>
      </c>
      <c r="AO799" s="50" t="str">
        <f aca="false">IF(OR($F799="",$L799&lt;&gt;"",$R799="Cancelada",$AT799&lt;&gt;""),"",$AN799&amp;"|"&amp;$D799&amp;"|"&amp;IF($C799="","zzz",$C799)&amp;"|"&amp;TEXT(799,"0000"))</f>
        <v/>
      </c>
      <c r="AP799" s="50" t="str">
        <f aca="false">IF($AO799="","",COUNTIF($AO$5:$AO$1004,"&lt;"&amp;$AO799)-(ROWS($AO$5:$AO$1004)-Hoje!$L$5)+1)</f>
        <v/>
      </c>
      <c r="AQ799" s="50" t="n">
        <f aca="false">IF(AND($F799&lt;&gt;"",$D799=Frota!$C$3),1,0)</f>
        <v>0</v>
      </c>
      <c r="AR799" s="50" t="str">
        <f aca="false">IF($AQ799=0,"",SUM($AQ$4:$AQ799))</f>
        <v/>
      </c>
      <c r="AS799" s="50" t="str">
        <f aca="false">IFERROR(INDEX(Hoje!$K$10:$K$29,MATCH(ROW(),Hoje!$J$10:$J$29,0)),"")</f>
        <v/>
      </c>
      <c r="AT799" s="50" t="str">
        <f aca="false">IF($Q799&lt;&gt;"",$Q799,$AS799)</f>
        <v/>
      </c>
    </row>
    <row r="800" customFormat="false" ht="16.5" hidden="false" customHeight="true" outlineLevel="0" collapsed="false">
      <c r="A800" s="39" t="str">
        <f aca="false">IF($F800="","",ROW())</f>
        <v/>
      </c>
      <c r="B800" s="40" t="str">
        <f aca="false">IF($F800="",IF($D800="","","Falta a atividade"),IF($R800="Cancelada","Cancelada",IF($AB800=1,IF(N($Z800)&gt;0,"Concluída com atraso","Concluída"),IF($R800="Em programação","Em programação",IF($O800="",IF($M800="","Na carteira","Falta a semana"),IF($AC800=1,"VENCIDA",IF($O800&gt;Hoje!$L$1,"Programada",IF($P800&gt;Hoje!$L$1,"Em execução","Fecha hoje"))))))))</f>
        <v/>
      </c>
      <c r="C800" s="41"/>
      <c r="D800" s="42"/>
      <c r="E800" s="42"/>
      <c r="F800" s="42"/>
      <c r="G800" s="43"/>
      <c r="H800" s="43"/>
      <c r="I800" s="44"/>
      <c r="J800" s="44"/>
      <c r="K800" s="44"/>
      <c r="L800" s="45"/>
      <c r="M800" s="46"/>
      <c r="N800" s="45"/>
      <c r="O800" s="47" t="str">
        <f aca="false">IF(OR($L800="",$M800=""),"",(DATE(Semana!$J$3,1,4)-WEEKDAY(DATE(Semana!$J$3,1,4),3))+($L800-1)*7+MATCH($M800,Listas!$F$5:$F$11,0)-1)</f>
        <v/>
      </c>
      <c r="P800" s="47" t="str">
        <f aca="false">IF(OR($F800="",$O800=""),"",$O800+MAX(0,ROUNDUP($AK800*MAX(1,IF($N800="",1,$N800))/MAX(1,$AL800),0)-1))</f>
        <v/>
      </c>
      <c r="Q800" s="48"/>
      <c r="R800" s="43"/>
      <c r="S800" s="49"/>
      <c r="T800" s="42"/>
      <c r="U800" s="42"/>
      <c r="V800" s="39" t="str">
        <f aca="false">IF($F800="","",IF(ISNUMBER(SEARCH("(externo)",$I800&amp;$J800&amp;$K800)),"Terceirizada","Interna"))</f>
        <v/>
      </c>
      <c r="W800" s="47" t="str">
        <f aca="false">IF($O800="","",IF($S800="",$O800,(DATE(Semana!$J$3,1,4)-WEEKDAY(DATE(Semana!$J$3,1,4),3))+($S800-1)*7+IF($M800="",0,MATCH($M800,Listas!$F$5:$F$11,0)-1)))</f>
        <v/>
      </c>
      <c r="X800" s="39" t="str">
        <f aca="false">IF($F800="","",IF(OR($AT800="",$O800=""),0,IF($AT800&lt;=$O800,1,0)))</f>
        <v/>
      </c>
      <c r="Y800" s="39" t="str">
        <f aca="false">IF($F800="","",IF(OR($AT800="",$W800=""),0,IF($AT800&lt;=$W800,1,0)))</f>
        <v/>
      </c>
      <c r="Z800" s="39" t="str">
        <f aca="false">IF(OR($AT800="",$O800=""),"",MAX(0,$AT800-$O800))</f>
        <v/>
      </c>
      <c r="AA800" s="39" t="str">
        <f aca="false">IF($F800="","",IF(AND($S800&lt;&gt;"",$L800&lt;&gt;"",$S800&lt;&gt;$L800),1,0))</f>
        <v/>
      </c>
      <c r="AB800" s="39" t="str">
        <f aca="false">IF($F800="","",IF($R800="Cancelada",0,IF(OR($AT800&lt;&gt;"",$R800="Concluída"),1,0)))</f>
        <v/>
      </c>
      <c r="AC800" s="39" t="n">
        <f aca="false">IF($P800="",0,IF($P800&lt;Hoje!$L$1,1,IF(AND($P800=Hoje!$L$1,Hoje!$L$2&gt;Semana!$M$3),1,0)))</f>
        <v>0</v>
      </c>
      <c r="AD800" s="39" t="str">
        <f aca="false">IF($F800="","",IF(COUNTA($I800:$K800)=0,0,1/COUNTA($I800:$K800)))</f>
        <v/>
      </c>
      <c r="AE800" s="39" t="str">
        <f aca="false">IF($AH800=0,"",SUM($AH$4:$AH800))</f>
        <v/>
      </c>
      <c r="AF800" s="39" t="str">
        <f aca="false">IF($AI800=0,"",SUM($AI$4:$AI800))</f>
        <v/>
      </c>
      <c r="AG800" s="50" t="str">
        <f aca="false">IF($F800="","",$I800&amp;IF($J800="",""," · "&amp;$J800)&amp;IF($K800="",""," · "&amp;$K800))</f>
        <v/>
      </c>
      <c r="AH800" s="39" t="n">
        <f aca="false">IF(AND($F800&lt;&gt;"",$O800&lt;&gt;"",$O800&lt;=Hoje!$C$3,$P800&gt;=Hoje!$C$3,$R800&lt;&gt;"Cancelada"),1,0)</f>
        <v>0</v>
      </c>
      <c r="AI800" s="39" t="n">
        <f aca="false">IF(AND($F800&lt;&gt;"",$P800&lt;&gt;"",$P800&lt;Hoje!$C$3,$AB800=0,$R800&lt;&gt;"Cancelada"),1,0)</f>
        <v>0</v>
      </c>
      <c r="AJ800" s="50" t="str">
        <f aca="false">IF($F800="","",$D800&amp;"|"&amp;$E800&amp;"|"&amp;$L800)</f>
        <v/>
      </c>
      <c r="AK800" s="39" t="str">
        <f aca="false">IF($AJ800="","",COUNTIF($AJ$4:$AJ800,$AJ800))</f>
        <v/>
      </c>
      <c r="AL800" s="39" t="str">
        <f aca="false">IF($AJ800="","",COUNTIF($AJ$4:$AJ$1004,$AJ800))</f>
        <v/>
      </c>
      <c r="AM800" s="42"/>
      <c r="AN800" s="50" t="str">
        <f aca="false">IF($D800="","",IFERROR(T(VLOOKUP($D800,Listas!$B$5:$H$120,7,0)),""))</f>
        <v/>
      </c>
      <c r="AO800" s="50" t="str">
        <f aca="false">IF(OR($F800="",$L800&lt;&gt;"",$R800="Cancelada",$AT800&lt;&gt;""),"",$AN800&amp;"|"&amp;$D800&amp;"|"&amp;IF($C800="","zzz",$C800)&amp;"|"&amp;TEXT(800,"0000"))</f>
        <v/>
      </c>
      <c r="AP800" s="50" t="str">
        <f aca="false">IF($AO800="","",COUNTIF($AO$5:$AO$1004,"&lt;"&amp;$AO800)-(ROWS($AO$5:$AO$1004)-Hoje!$L$5)+1)</f>
        <v/>
      </c>
      <c r="AQ800" s="50" t="n">
        <f aca="false">IF(AND($F800&lt;&gt;"",$D800=Frota!$C$3),1,0)</f>
        <v>0</v>
      </c>
      <c r="AR800" s="50" t="str">
        <f aca="false">IF($AQ800=0,"",SUM($AQ$4:$AQ800))</f>
        <v/>
      </c>
      <c r="AS800" s="50" t="str">
        <f aca="false">IFERROR(INDEX(Hoje!$K$10:$K$29,MATCH(ROW(),Hoje!$J$10:$J$29,0)),"")</f>
        <v/>
      </c>
      <c r="AT800" s="50" t="str">
        <f aca="false">IF($Q800&lt;&gt;"",$Q800,$AS800)</f>
        <v/>
      </c>
    </row>
    <row r="801" customFormat="false" ht="16.5" hidden="false" customHeight="true" outlineLevel="0" collapsed="false">
      <c r="A801" s="39" t="str">
        <f aca="false">IF($F801="","",ROW())</f>
        <v/>
      </c>
      <c r="B801" s="40" t="str">
        <f aca="false">IF($F801="",IF($D801="","","Falta a atividade"),IF($R801="Cancelada","Cancelada",IF($AB801=1,IF(N($Z801)&gt;0,"Concluída com atraso","Concluída"),IF($R801="Em programação","Em programação",IF($O801="",IF($M801="","Na carteira","Falta a semana"),IF($AC801=1,"VENCIDA",IF($O801&gt;Hoje!$L$1,"Programada",IF($P801&gt;Hoje!$L$1,"Em execução","Fecha hoje"))))))))</f>
        <v/>
      </c>
      <c r="C801" s="41"/>
      <c r="D801" s="42"/>
      <c r="E801" s="42"/>
      <c r="F801" s="42"/>
      <c r="G801" s="43"/>
      <c r="H801" s="43"/>
      <c r="I801" s="44"/>
      <c r="J801" s="44"/>
      <c r="K801" s="44"/>
      <c r="L801" s="45"/>
      <c r="M801" s="46"/>
      <c r="N801" s="45"/>
      <c r="O801" s="47" t="str">
        <f aca="false">IF(OR($L801="",$M801=""),"",(DATE(Semana!$J$3,1,4)-WEEKDAY(DATE(Semana!$J$3,1,4),3))+($L801-1)*7+MATCH($M801,Listas!$F$5:$F$11,0)-1)</f>
        <v/>
      </c>
      <c r="P801" s="47" t="str">
        <f aca="false">IF(OR($F801="",$O801=""),"",$O801+MAX(0,ROUNDUP($AK801*MAX(1,IF($N801="",1,$N801))/MAX(1,$AL801),0)-1))</f>
        <v/>
      </c>
      <c r="Q801" s="48"/>
      <c r="R801" s="43"/>
      <c r="S801" s="49"/>
      <c r="T801" s="42"/>
      <c r="U801" s="42"/>
      <c r="V801" s="39" t="str">
        <f aca="false">IF($F801="","",IF(ISNUMBER(SEARCH("(externo)",$I801&amp;$J801&amp;$K801)),"Terceirizada","Interna"))</f>
        <v/>
      </c>
      <c r="W801" s="47" t="str">
        <f aca="false">IF($O801="","",IF($S801="",$O801,(DATE(Semana!$J$3,1,4)-WEEKDAY(DATE(Semana!$J$3,1,4),3))+($S801-1)*7+IF($M801="",0,MATCH($M801,Listas!$F$5:$F$11,0)-1)))</f>
        <v/>
      </c>
      <c r="X801" s="39" t="str">
        <f aca="false">IF($F801="","",IF(OR($AT801="",$O801=""),0,IF($AT801&lt;=$O801,1,0)))</f>
        <v/>
      </c>
      <c r="Y801" s="39" t="str">
        <f aca="false">IF($F801="","",IF(OR($AT801="",$W801=""),0,IF($AT801&lt;=$W801,1,0)))</f>
        <v/>
      </c>
      <c r="Z801" s="39" t="str">
        <f aca="false">IF(OR($AT801="",$O801=""),"",MAX(0,$AT801-$O801))</f>
        <v/>
      </c>
      <c r="AA801" s="39" t="str">
        <f aca="false">IF($F801="","",IF(AND($S801&lt;&gt;"",$L801&lt;&gt;"",$S801&lt;&gt;$L801),1,0))</f>
        <v/>
      </c>
      <c r="AB801" s="39" t="str">
        <f aca="false">IF($F801="","",IF($R801="Cancelada",0,IF(OR($AT801&lt;&gt;"",$R801="Concluída"),1,0)))</f>
        <v/>
      </c>
      <c r="AC801" s="39" t="n">
        <f aca="false">IF($P801="",0,IF($P801&lt;Hoje!$L$1,1,IF(AND($P801=Hoje!$L$1,Hoje!$L$2&gt;Semana!$M$3),1,0)))</f>
        <v>0</v>
      </c>
      <c r="AD801" s="39" t="str">
        <f aca="false">IF($F801="","",IF(COUNTA($I801:$K801)=0,0,1/COUNTA($I801:$K801)))</f>
        <v/>
      </c>
      <c r="AE801" s="39" t="str">
        <f aca="false">IF($AH801=0,"",SUM($AH$4:$AH801))</f>
        <v/>
      </c>
      <c r="AF801" s="39" t="str">
        <f aca="false">IF($AI801=0,"",SUM($AI$4:$AI801))</f>
        <v/>
      </c>
      <c r="AG801" s="50" t="str">
        <f aca="false">IF($F801="","",$I801&amp;IF($J801="",""," · "&amp;$J801)&amp;IF($K801="",""," · "&amp;$K801))</f>
        <v/>
      </c>
      <c r="AH801" s="39" t="n">
        <f aca="false">IF(AND($F801&lt;&gt;"",$O801&lt;&gt;"",$O801&lt;=Hoje!$C$3,$P801&gt;=Hoje!$C$3,$R801&lt;&gt;"Cancelada"),1,0)</f>
        <v>0</v>
      </c>
      <c r="AI801" s="39" t="n">
        <f aca="false">IF(AND($F801&lt;&gt;"",$P801&lt;&gt;"",$P801&lt;Hoje!$C$3,$AB801=0,$R801&lt;&gt;"Cancelada"),1,0)</f>
        <v>0</v>
      </c>
      <c r="AJ801" s="50" t="str">
        <f aca="false">IF($F801="","",$D801&amp;"|"&amp;$E801&amp;"|"&amp;$L801)</f>
        <v/>
      </c>
      <c r="AK801" s="39" t="str">
        <f aca="false">IF($AJ801="","",COUNTIF($AJ$4:$AJ801,$AJ801))</f>
        <v/>
      </c>
      <c r="AL801" s="39" t="str">
        <f aca="false">IF($AJ801="","",COUNTIF($AJ$4:$AJ$1004,$AJ801))</f>
        <v/>
      </c>
      <c r="AM801" s="42"/>
      <c r="AN801" s="50" t="str">
        <f aca="false">IF($D801="","",IFERROR(T(VLOOKUP($D801,Listas!$B$5:$H$120,7,0)),""))</f>
        <v/>
      </c>
      <c r="AO801" s="50" t="str">
        <f aca="false">IF(OR($F801="",$L801&lt;&gt;"",$R801="Cancelada",$AT801&lt;&gt;""),"",$AN801&amp;"|"&amp;$D801&amp;"|"&amp;IF($C801="","zzz",$C801)&amp;"|"&amp;TEXT(801,"0000"))</f>
        <v/>
      </c>
      <c r="AP801" s="50" t="str">
        <f aca="false">IF($AO801="","",COUNTIF($AO$5:$AO$1004,"&lt;"&amp;$AO801)-(ROWS($AO$5:$AO$1004)-Hoje!$L$5)+1)</f>
        <v/>
      </c>
      <c r="AQ801" s="50" t="n">
        <f aca="false">IF(AND($F801&lt;&gt;"",$D801=Frota!$C$3),1,0)</f>
        <v>0</v>
      </c>
      <c r="AR801" s="50" t="str">
        <f aca="false">IF($AQ801=0,"",SUM($AQ$4:$AQ801))</f>
        <v/>
      </c>
      <c r="AS801" s="50" t="str">
        <f aca="false">IFERROR(INDEX(Hoje!$K$10:$K$29,MATCH(ROW(),Hoje!$J$10:$J$29,0)),"")</f>
        <v/>
      </c>
      <c r="AT801" s="50" t="str">
        <f aca="false">IF($Q801&lt;&gt;"",$Q801,$AS801)</f>
        <v/>
      </c>
    </row>
    <row r="802" customFormat="false" ht="16.5" hidden="false" customHeight="true" outlineLevel="0" collapsed="false">
      <c r="A802" s="39" t="str">
        <f aca="false">IF($F802="","",ROW())</f>
        <v/>
      </c>
      <c r="B802" s="40" t="str">
        <f aca="false">IF($F802="",IF($D802="","","Falta a atividade"),IF($R802="Cancelada","Cancelada",IF($AB802=1,IF(N($Z802)&gt;0,"Concluída com atraso","Concluída"),IF($R802="Em programação","Em programação",IF($O802="",IF($M802="","Na carteira","Falta a semana"),IF($AC802=1,"VENCIDA",IF($O802&gt;Hoje!$L$1,"Programada",IF($P802&gt;Hoje!$L$1,"Em execução","Fecha hoje"))))))))</f>
        <v/>
      </c>
      <c r="C802" s="41"/>
      <c r="D802" s="42"/>
      <c r="E802" s="42"/>
      <c r="F802" s="42"/>
      <c r="G802" s="43"/>
      <c r="H802" s="43"/>
      <c r="I802" s="44"/>
      <c r="J802" s="44"/>
      <c r="K802" s="44"/>
      <c r="L802" s="45"/>
      <c r="M802" s="46"/>
      <c r="N802" s="45"/>
      <c r="O802" s="47" t="str">
        <f aca="false">IF(OR($L802="",$M802=""),"",(DATE(Semana!$J$3,1,4)-WEEKDAY(DATE(Semana!$J$3,1,4),3))+($L802-1)*7+MATCH($M802,Listas!$F$5:$F$11,0)-1)</f>
        <v/>
      </c>
      <c r="P802" s="47" t="str">
        <f aca="false">IF(OR($F802="",$O802=""),"",$O802+MAX(0,ROUNDUP($AK802*MAX(1,IF($N802="",1,$N802))/MAX(1,$AL802),0)-1))</f>
        <v/>
      </c>
      <c r="Q802" s="48"/>
      <c r="R802" s="43"/>
      <c r="S802" s="49"/>
      <c r="T802" s="42"/>
      <c r="U802" s="42"/>
      <c r="V802" s="39" t="str">
        <f aca="false">IF($F802="","",IF(ISNUMBER(SEARCH("(externo)",$I802&amp;$J802&amp;$K802)),"Terceirizada","Interna"))</f>
        <v/>
      </c>
      <c r="W802" s="47" t="str">
        <f aca="false">IF($O802="","",IF($S802="",$O802,(DATE(Semana!$J$3,1,4)-WEEKDAY(DATE(Semana!$J$3,1,4),3))+($S802-1)*7+IF($M802="",0,MATCH($M802,Listas!$F$5:$F$11,0)-1)))</f>
        <v/>
      </c>
      <c r="X802" s="39" t="str">
        <f aca="false">IF($F802="","",IF(OR($AT802="",$O802=""),0,IF($AT802&lt;=$O802,1,0)))</f>
        <v/>
      </c>
      <c r="Y802" s="39" t="str">
        <f aca="false">IF($F802="","",IF(OR($AT802="",$W802=""),0,IF($AT802&lt;=$W802,1,0)))</f>
        <v/>
      </c>
      <c r="Z802" s="39" t="str">
        <f aca="false">IF(OR($AT802="",$O802=""),"",MAX(0,$AT802-$O802))</f>
        <v/>
      </c>
      <c r="AA802" s="39" t="str">
        <f aca="false">IF($F802="","",IF(AND($S802&lt;&gt;"",$L802&lt;&gt;"",$S802&lt;&gt;$L802),1,0))</f>
        <v/>
      </c>
      <c r="AB802" s="39" t="str">
        <f aca="false">IF($F802="","",IF($R802="Cancelada",0,IF(OR($AT802&lt;&gt;"",$R802="Concluída"),1,0)))</f>
        <v/>
      </c>
      <c r="AC802" s="39" t="n">
        <f aca="false">IF($P802="",0,IF($P802&lt;Hoje!$L$1,1,IF(AND($P802=Hoje!$L$1,Hoje!$L$2&gt;Semana!$M$3),1,0)))</f>
        <v>0</v>
      </c>
      <c r="AD802" s="39" t="str">
        <f aca="false">IF($F802="","",IF(COUNTA($I802:$K802)=0,0,1/COUNTA($I802:$K802)))</f>
        <v/>
      </c>
      <c r="AE802" s="39" t="str">
        <f aca="false">IF($AH802=0,"",SUM($AH$4:$AH802))</f>
        <v/>
      </c>
      <c r="AF802" s="39" t="str">
        <f aca="false">IF($AI802=0,"",SUM($AI$4:$AI802))</f>
        <v/>
      </c>
      <c r="AG802" s="50" t="str">
        <f aca="false">IF($F802="","",$I802&amp;IF($J802="",""," · "&amp;$J802)&amp;IF($K802="",""," · "&amp;$K802))</f>
        <v/>
      </c>
      <c r="AH802" s="39" t="n">
        <f aca="false">IF(AND($F802&lt;&gt;"",$O802&lt;&gt;"",$O802&lt;=Hoje!$C$3,$P802&gt;=Hoje!$C$3,$R802&lt;&gt;"Cancelada"),1,0)</f>
        <v>0</v>
      </c>
      <c r="AI802" s="39" t="n">
        <f aca="false">IF(AND($F802&lt;&gt;"",$P802&lt;&gt;"",$P802&lt;Hoje!$C$3,$AB802=0,$R802&lt;&gt;"Cancelada"),1,0)</f>
        <v>0</v>
      </c>
      <c r="AJ802" s="50" t="str">
        <f aca="false">IF($F802="","",$D802&amp;"|"&amp;$E802&amp;"|"&amp;$L802)</f>
        <v/>
      </c>
      <c r="AK802" s="39" t="str">
        <f aca="false">IF($AJ802="","",COUNTIF($AJ$4:$AJ802,$AJ802))</f>
        <v/>
      </c>
      <c r="AL802" s="39" t="str">
        <f aca="false">IF($AJ802="","",COUNTIF($AJ$4:$AJ$1004,$AJ802))</f>
        <v/>
      </c>
      <c r="AM802" s="42"/>
      <c r="AN802" s="50" t="str">
        <f aca="false">IF($D802="","",IFERROR(T(VLOOKUP($D802,Listas!$B$5:$H$120,7,0)),""))</f>
        <v/>
      </c>
      <c r="AO802" s="50" t="str">
        <f aca="false">IF(OR($F802="",$L802&lt;&gt;"",$R802="Cancelada",$AT802&lt;&gt;""),"",$AN802&amp;"|"&amp;$D802&amp;"|"&amp;IF($C802="","zzz",$C802)&amp;"|"&amp;TEXT(802,"0000"))</f>
        <v/>
      </c>
      <c r="AP802" s="50" t="str">
        <f aca="false">IF($AO802="","",COUNTIF($AO$5:$AO$1004,"&lt;"&amp;$AO802)-(ROWS($AO$5:$AO$1004)-Hoje!$L$5)+1)</f>
        <v/>
      </c>
      <c r="AQ802" s="50" t="n">
        <f aca="false">IF(AND($F802&lt;&gt;"",$D802=Frota!$C$3),1,0)</f>
        <v>0</v>
      </c>
      <c r="AR802" s="50" t="str">
        <f aca="false">IF($AQ802=0,"",SUM($AQ$4:$AQ802))</f>
        <v/>
      </c>
      <c r="AS802" s="50" t="str">
        <f aca="false">IFERROR(INDEX(Hoje!$K$10:$K$29,MATCH(ROW(),Hoje!$J$10:$J$29,0)),"")</f>
        <v/>
      </c>
      <c r="AT802" s="50" t="str">
        <f aca="false">IF($Q802&lt;&gt;"",$Q802,$AS802)</f>
        <v/>
      </c>
    </row>
    <row r="803" customFormat="false" ht="16.5" hidden="false" customHeight="true" outlineLevel="0" collapsed="false">
      <c r="A803" s="39" t="str">
        <f aca="false">IF($F803="","",ROW())</f>
        <v/>
      </c>
      <c r="B803" s="40" t="str">
        <f aca="false">IF($F803="",IF($D803="","","Falta a atividade"),IF($R803="Cancelada","Cancelada",IF($AB803=1,IF(N($Z803)&gt;0,"Concluída com atraso","Concluída"),IF($R803="Em programação","Em programação",IF($O803="",IF($M803="","Na carteira","Falta a semana"),IF($AC803=1,"VENCIDA",IF($O803&gt;Hoje!$L$1,"Programada",IF($P803&gt;Hoje!$L$1,"Em execução","Fecha hoje"))))))))</f>
        <v/>
      </c>
      <c r="C803" s="41"/>
      <c r="D803" s="42"/>
      <c r="E803" s="42"/>
      <c r="F803" s="42"/>
      <c r="G803" s="43"/>
      <c r="H803" s="43"/>
      <c r="I803" s="44"/>
      <c r="J803" s="44"/>
      <c r="K803" s="44"/>
      <c r="L803" s="45"/>
      <c r="M803" s="46"/>
      <c r="N803" s="45"/>
      <c r="O803" s="47" t="str">
        <f aca="false">IF(OR($L803="",$M803=""),"",(DATE(Semana!$J$3,1,4)-WEEKDAY(DATE(Semana!$J$3,1,4),3))+($L803-1)*7+MATCH($M803,Listas!$F$5:$F$11,0)-1)</f>
        <v/>
      </c>
      <c r="P803" s="47" t="str">
        <f aca="false">IF(OR($F803="",$O803=""),"",$O803+MAX(0,ROUNDUP($AK803*MAX(1,IF($N803="",1,$N803))/MAX(1,$AL803),0)-1))</f>
        <v/>
      </c>
      <c r="Q803" s="48"/>
      <c r="R803" s="43"/>
      <c r="S803" s="49"/>
      <c r="T803" s="42"/>
      <c r="U803" s="42"/>
      <c r="V803" s="39" t="str">
        <f aca="false">IF($F803="","",IF(ISNUMBER(SEARCH("(externo)",$I803&amp;$J803&amp;$K803)),"Terceirizada","Interna"))</f>
        <v/>
      </c>
      <c r="W803" s="47" t="str">
        <f aca="false">IF($O803="","",IF($S803="",$O803,(DATE(Semana!$J$3,1,4)-WEEKDAY(DATE(Semana!$J$3,1,4),3))+($S803-1)*7+IF($M803="",0,MATCH($M803,Listas!$F$5:$F$11,0)-1)))</f>
        <v/>
      </c>
      <c r="X803" s="39" t="str">
        <f aca="false">IF($F803="","",IF(OR($AT803="",$O803=""),0,IF($AT803&lt;=$O803,1,0)))</f>
        <v/>
      </c>
      <c r="Y803" s="39" t="str">
        <f aca="false">IF($F803="","",IF(OR($AT803="",$W803=""),0,IF($AT803&lt;=$W803,1,0)))</f>
        <v/>
      </c>
      <c r="Z803" s="39" t="str">
        <f aca="false">IF(OR($AT803="",$O803=""),"",MAX(0,$AT803-$O803))</f>
        <v/>
      </c>
      <c r="AA803" s="39" t="str">
        <f aca="false">IF($F803="","",IF(AND($S803&lt;&gt;"",$L803&lt;&gt;"",$S803&lt;&gt;$L803),1,0))</f>
        <v/>
      </c>
      <c r="AB803" s="39" t="str">
        <f aca="false">IF($F803="","",IF($R803="Cancelada",0,IF(OR($AT803&lt;&gt;"",$R803="Concluída"),1,0)))</f>
        <v/>
      </c>
      <c r="AC803" s="39" t="n">
        <f aca="false">IF($P803="",0,IF($P803&lt;Hoje!$L$1,1,IF(AND($P803=Hoje!$L$1,Hoje!$L$2&gt;Semana!$M$3),1,0)))</f>
        <v>0</v>
      </c>
      <c r="AD803" s="39" t="str">
        <f aca="false">IF($F803="","",IF(COUNTA($I803:$K803)=0,0,1/COUNTA($I803:$K803)))</f>
        <v/>
      </c>
      <c r="AE803" s="39" t="str">
        <f aca="false">IF($AH803=0,"",SUM($AH$4:$AH803))</f>
        <v/>
      </c>
      <c r="AF803" s="39" t="str">
        <f aca="false">IF($AI803=0,"",SUM($AI$4:$AI803))</f>
        <v/>
      </c>
      <c r="AG803" s="50" t="str">
        <f aca="false">IF($F803="","",$I803&amp;IF($J803="",""," · "&amp;$J803)&amp;IF($K803="",""," · "&amp;$K803))</f>
        <v/>
      </c>
      <c r="AH803" s="39" t="n">
        <f aca="false">IF(AND($F803&lt;&gt;"",$O803&lt;&gt;"",$O803&lt;=Hoje!$C$3,$P803&gt;=Hoje!$C$3,$R803&lt;&gt;"Cancelada"),1,0)</f>
        <v>0</v>
      </c>
      <c r="AI803" s="39" t="n">
        <f aca="false">IF(AND($F803&lt;&gt;"",$P803&lt;&gt;"",$P803&lt;Hoje!$C$3,$AB803=0,$R803&lt;&gt;"Cancelada"),1,0)</f>
        <v>0</v>
      </c>
      <c r="AJ803" s="50" t="str">
        <f aca="false">IF($F803="","",$D803&amp;"|"&amp;$E803&amp;"|"&amp;$L803)</f>
        <v/>
      </c>
      <c r="AK803" s="39" t="str">
        <f aca="false">IF($AJ803="","",COUNTIF($AJ$4:$AJ803,$AJ803))</f>
        <v/>
      </c>
      <c r="AL803" s="39" t="str">
        <f aca="false">IF($AJ803="","",COUNTIF($AJ$4:$AJ$1004,$AJ803))</f>
        <v/>
      </c>
      <c r="AM803" s="42"/>
      <c r="AN803" s="50" t="str">
        <f aca="false">IF($D803="","",IFERROR(T(VLOOKUP($D803,Listas!$B$5:$H$120,7,0)),""))</f>
        <v/>
      </c>
      <c r="AO803" s="50" t="str">
        <f aca="false">IF(OR($F803="",$L803&lt;&gt;"",$R803="Cancelada",$AT803&lt;&gt;""),"",$AN803&amp;"|"&amp;$D803&amp;"|"&amp;IF($C803="","zzz",$C803)&amp;"|"&amp;TEXT(803,"0000"))</f>
        <v/>
      </c>
      <c r="AP803" s="50" t="str">
        <f aca="false">IF($AO803="","",COUNTIF($AO$5:$AO$1004,"&lt;"&amp;$AO803)-(ROWS($AO$5:$AO$1004)-Hoje!$L$5)+1)</f>
        <v/>
      </c>
      <c r="AQ803" s="50" t="n">
        <f aca="false">IF(AND($F803&lt;&gt;"",$D803=Frota!$C$3),1,0)</f>
        <v>0</v>
      </c>
      <c r="AR803" s="50" t="str">
        <f aca="false">IF($AQ803=0,"",SUM($AQ$4:$AQ803))</f>
        <v/>
      </c>
      <c r="AS803" s="50" t="str">
        <f aca="false">IFERROR(INDEX(Hoje!$K$10:$K$29,MATCH(ROW(),Hoje!$J$10:$J$29,0)),"")</f>
        <v/>
      </c>
      <c r="AT803" s="50" t="str">
        <f aca="false">IF($Q803&lt;&gt;"",$Q803,$AS803)</f>
        <v/>
      </c>
    </row>
    <row r="804" customFormat="false" ht="16.5" hidden="false" customHeight="true" outlineLevel="0" collapsed="false">
      <c r="A804" s="39" t="str">
        <f aca="false">IF($F804="","",ROW())</f>
        <v/>
      </c>
      <c r="B804" s="40" t="str">
        <f aca="false">IF($F804="",IF($D804="","","Falta a atividade"),IF($R804="Cancelada","Cancelada",IF($AB804=1,IF(N($Z804)&gt;0,"Concluída com atraso","Concluída"),IF($R804="Em programação","Em programação",IF($O804="",IF($M804="","Na carteira","Falta a semana"),IF($AC804=1,"VENCIDA",IF($O804&gt;Hoje!$L$1,"Programada",IF($P804&gt;Hoje!$L$1,"Em execução","Fecha hoje"))))))))</f>
        <v/>
      </c>
      <c r="C804" s="41"/>
      <c r="D804" s="42"/>
      <c r="E804" s="42"/>
      <c r="F804" s="42"/>
      <c r="G804" s="43"/>
      <c r="H804" s="43"/>
      <c r="I804" s="44"/>
      <c r="J804" s="44"/>
      <c r="K804" s="44"/>
      <c r="L804" s="45"/>
      <c r="M804" s="46"/>
      <c r="N804" s="45"/>
      <c r="O804" s="47" t="str">
        <f aca="false">IF(OR($L804="",$M804=""),"",(DATE(Semana!$J$3,1,4)-WEEKDAY(DATE(Semana!$J$3,1,4),3))+($L804-1)*7+MATCH($M804,Listas!$F$5:$F$11,0)-1)</f>
        <v/>
      </c>
      <c r="P804" s="47" t="str">
        <f aca="false">IF(OR($F804="",$O804=""),"",$O804+MAX(0,ROUNDUP($AK804*MAX(1,IF($N804="",1,$N804))/MAX(1,$AL804),0)-1))</f>
        <v/>
      </c>
      <c r="Q804" s="48"/>
      <c r="R804" s="43"/>
      <c r="S804" s="49"/>
      <c r="T804" s="42"/>
      <c r="U804" s="42"/>
      <c r="V804" s="39" t="str">
        <f aca="false">IF($F804="","",IF(ISNUMBER(SEARCH("(externo)",$I804&amp;$J804&amp;$K804)),"Terceirizada","Interna"))</f>
        <v/>
      </c>
      <c r="W804" s="47" t="str">
        <f aca="false">IF($O804="","",IF($S804="",$O804,(DATE(Semana!$J$3,1,4)-WEEKDAY(DATE(Semana!$J$3,1,4),3))+($S804-1)*7+IF($M804="",0,MATCH($M804,Listas!$F$5:$F$11,0)-1)))</f>
        <v/>
      </c>
      <c r="X804" s="39" t="str">
        <f aca="false">IF($F804="","",IF(OR($AT804="",$O804=""),0,IF($AT804&lt;=$O804,1,0)))</f>
        <v/>
      </c>
      <c r="Y804" s="39" t="str">
        <f aca="false">IF($F804="","",IF(OR($AT804="",$W804=""),0,IF($AT804&lt;=$W804,1,0)))</f>
        <v/>
      </c>
      <c r="Z804" s="39" t="str">
        <f aca="false">IF(OR($AT804="",$O804=""),"",MAX(0,$AT804-$O804))</f>
        <v/>
      </c>
      <c r="AA804" s="39" t="str">
        <f aca="false">IF($F804="","",IF(AND($S804&lt;&gt;"",$L804&lt;&gt;"",$S804&lt;&gt;$L804),1,0))</f>
        <v/>
      </c>
      <c r="AB804" s="39" t="str">
        <f aca="false">IF($F804="","",IF($R804="Cancelada",0,IF(OR($AT804&lt;&gt;"",$R804="Concluída"),1,0)))</f>
        <v/>
      </c>
      <c r="AC804" s="39" t="n">
        <f aca="false">IF($P804="",0,IF($P804&lt;Hoje!$L$1,1,IF(AND($P804=Hoje!$L$1,Hoje!$L$2&gt;Semana!$M$3),1,0)))</f>
        <v>0</v>
      </c>
      <c r="AD804" s="39" t="str">
        <f aca="false">IF($F804="","",IF(COUNTA($I804:$K804)=0,0,1/COUNTA($I804:$K804)))</f>
        <v/>
      </c>
      <c r="AE804" s="39" t="str">
        <f aca="false">IF($AH804=0,"",SUM($AH$4:$AH804))</f>
        <v/>
      </c>
      <c r="AF804" s="39" t="str">
        <f aca="false">IF($AI804=0,"",SUM($AI$4:$AI804))</f>
        <v/>
      </c>
      <c r="AG804" s="50" t="str">
        <f aca="false">IF($F804="","",$I804&amp;IF($J804="",""," · "&amp;$J804)&amp;IF($K804="",""," · "&amp;$K804))</f>
        <v/>
      </c>
      <c r="AH804" s="39" t="n">
        <f aca="false">IF(AND($F804&lt;&gt;"",$O804&lt;&gt;"",$O804&lt;=Hoje!$C$3,$P804&gt;=Hoje!$C$3,$R804&lt;&gt;"Cancelada"),1,0)</f>
        <v>0</v>
      </c>
      <c r="AI804" s="39" t="n">
        <f aca="false">IF(AND($F804&lt;&gt;"",$P804&lt;&gt;"",$P804&lt;Hoje!$C$3,$AB804=0,$R804&lt;&gt;"Cancelada"),1,0)</f>
        <v>0</v>
      </c>
      <c r="AJ804" s="50" t="str">
        <f aca="false">IF($F804="","",$D804&amp;"|"&amp;$E804&amp;"|"&amp;$L804)</f>
        <v/>
      </c>
      <c r="AK804" s="39" t="str">
        <f aca="false">IF($AJ804="","",COUNTIF($AJ$4:$AJ804,$AJ804))</f>
        <v/>
      </c>
      <c r="AL804" s="39" t="str">
        <f aca="false">IF($AJ804="","",COUNTIF($AJ$4:$AJ$1004,$AJ804))</f>
        <v/>
      </c>
      <c r="AM804" s="42"/>
      <c r="AN804" s="50" t="str">
        <f aca="false">IF($D804="","",IFERROR(T(VLOOKUP($D804,Listas!$B$5:$H$120,7,0)),""))</f>
        <v/>
      </c>
      <c r="AO804" s="50" t="str">
        <f aca="false">IF(OR($F804="",$L804&lt;&gt;"",$R804="Cancelada",$AT804&lt;&gt;""),"",$AN804&amp;"|"&amp;$D804&amp;"|"&amp;IF($C804="","zzz",$C804)&amp;"|"&amp;TEXT(804,"0000"))</f>
        <v/>
      </c>
      <c r="AP804" s="50" t="str">
        <f aca="false">IF($AO804="","",COUNTIF($AO$5:$AO$1004,"&lt;"&amp;$AO804)-(ROWS($AO$5:$AO$1004)-Hoje!$L$5)+1)</f>
        <v/>
      </c>
      <c r="AQ804" s="50" t="n">
        <f aca="false">IF(AND($F804&lt;&gt;"",$D804=Frota!$C$3),1,0)</f>
        <v>0</v>
      </c>
      <c r="AR804" s="50" t="str">
        <f aca="false">IF($AQ804=0,"",SUM($AQ$4:$AQ804))</f>
        <v/>
      </c>
      <c r="AS804" s="50" t="str">
        <f aca="false">IFERROR(INDEX(Hoje!$K$10:$K$29,MATCH(ROW(),Hoje!$J$10:$J$29,0)),"")</f>
        <v/>
      </c>
      <c r="AT804" s="50" t="str">
        <f aca="false">IF($Q804&lt;&gt;"",$Q804,$AS804)</f>
        <v/>
      </c>
    </row>
    <row r="805" customFormat="false" ht="16.5" hidden="false" customHeight="true" outlineLevel="0" collapsed="false">
      <c r="A805" s="39" t="str">
        <f aca="false">IF($F805="","",ROW())</f>
        <v/>
      </c>
      <c r="B805" s="40" t="str">
        <f aca="false">IF($F805="",IF($D805="","","Falta a atividade"),IF($R805="Cancelada","Cancelada",IF($AB805=1,IF(N($Z805)&gt;0,"Concluída com atraso","Concluída"),IF($R805="Em programação","Em programação",IF($O805="",IF($M805="","Na carteira","Falta a semana"),IF($AC805=1,"VENCIDA",IF($O805&gt;Hoje!$L$1,"Programada",IF($P805&gt;Hoje!$L$1,"Em execução","Fecha hoje"))))))))</f>
        <v/>
      </c>
      <c r="C805" s="41"/>
      <c r="D805" s="42"/>
      <c r="E805" s="42"/>
      <c r="F805" s="42"/>
      <c r="G805" s="43"/>
      <c r="H805" s="43"/>
      <c r="I805" s="44"/>
      <c r="J805" s="44"/>
      <c r="K805" s="44"/>
      <c r="L805" s="45"/>
      <c r="M805" s="46"/>
      <c r="N805" s="45"/>
      <c r="O805" s="47" t="str">
        <f aca="false">IF(OR($L805="",$M805=""),"",(DATE(Semana!$J$3,1,4)-WEEKDAY(DATE(Semana!$J$3,1,4),3))+($L805-1)*7+MATCH($M805,Listas!$F$5:$F$11,0)-1)</f>
        <v/>
      </c>
      <c r="P805" s="47" t="str">
        <f aca="false">IF(OR($F805="",$O805=""),"",$O805+MAX(0,ROUNDUP($AK805*MAX(1,IF($N805="",1,$N805))/MAX(1,$AL805),0)-1))</f>
        <v/>
      </c>
      <c r="Q805" s="48"/>
      <c r="R805" s="43"/>
      <c r="S805" s="49"/>
      <c r="T805" s="42"/>
      <c r="U805" s="42"/>
      <c r="V805" s="39" t="str">
        <f aca="false">IF($F805="","",IF(ISNUMBER(SEARCH("(externo)",$I805&amp;$J805&amp;$K805)),"Terceirizada","Interna"))</f>
        <v/>
      </c>
      <c r="W805" s="47" t="str">
        <f aca="false">IF($O805="","",IF($S805="",$O805,(DATE(Semana!$J$3,1,4)-WEEKDAY(DATE(Semana!$J$3,1,4),3))+($S805-1)*7+IF($M805="",0,MATCH($M805,Listas!$F$5:$F$11,0)-1)))</f>
        <v/>
      </c>
      <c r="X805" s="39" t="str">
        <f aca="false">IF($F805="","",IF(OR($AT805="",$O805=""),0,IF($AT805&lt;=$O805,1,0)))</f>
        <v/>
      </c>
      <c r="Y805" s="39" t="str">
        <f aca="false">IF($F805="","",IF(OR($AT805="",$W805=""),0,IF($AT805&lt;=$W805,1,0)))</f>
        <v/>
      </c>
      <c r="Z805" s="39" t="str">
        <f aca="false">IF(OR($AT805="",$O805=""),"",MAX(0,$AT805-$O805))</f>
        <v/>
      </c>
      <c r="AA805" s="39" t="str">
        <f aca="false">IF($F805="","",IF(AND($S805&lt;&gt;"",$L805&lt;&gt;"",$S805&lt;&gt;$L805),1,0))</f>
        <v/>
      </c>
      <c r="AB805" s="39" t="str">
        <f aca="false">IF($F805="","",IF($R805="Cancelada",0,IF(OR($AT805&lt;&gt;"",$R805="Concluída"),1,0)))</f>
        <v/>
      </c>
      <c r="AC805" s="39" t="n">
        <f aca="false">IF($P805="",0,IF($P805&lt;Hoje!$L$1,1,IF(AND($P805=Hoje!$L$1,Hoje!$L$2&gt;Semana!$M$3),1,0)))</f>
        <v>0</v>
      </c>
      <c r="AD805" s="39" t="str">
        <f aca="false">IF($F805="","",IF(COUNTA($I805:$K805)=0,0,1/COUNTA($I805:$K805)))</f>
        <v/>
      </c>
      <c r="AE805" s="39" t="str">
        <f aca="false">IF($AH805=0,"",SUM($AH$4:$AH805))</f>
        <v/>
      </c>
      <c r="AF805" s="39" t="str">
        <f aca="false">IF($AI805=0,"",SUM($AI$4:$AI805))</f>
        <v/>
      </c>
      <c r="AG805" s="50" t="str">
        <f aca="false">IF($F805="","",$I805&amp;IF($J805="",""," · "&amp;$J805)&amp;IF($K805="",""," · "&amp;$K805))</f>
        <v/>
      </c>
      <c r="AH805" s="39" t="n">
        <f aca="false">IF(AND($F805&lt;&gt;"",$O805&lt;&gt;"",$O805&lt;=Hoje!$C$3,$P805&gt;=Hoje!$C$3,$R805&lt;&gt;"Cancelada"),1,0)</f>
        <v>0</v>
      </c>
      <c r="AI805" s="39" t="n">
        <f aca="false">IF(AND($F805&lt;&gt;"",$P805&lt;&gt;"",$P805&lt;Hoje!$C$3,$AB805=0,$R805&lt;&gt;"Cancelada"),1,0)</f>
        <v>0</v>
      </c>
      <c r="AJ805" s="50" t="str">
        <f aca="false">IF($F805="","",$D805&amp;"|"&amp;$E805&amp;"|"&amp;$L805)</f>
        <v/>
      </c>
      <c r="AK805" s="39" t="str">
        <f aca="false">IF($AJ805="","",COUNTIF($AJ$4:$AJ805,$AJ805))</f>
        <v/>
      </c>
      <c r="AL805" s="39" t="str">
        <f aca="false">IF($AJ805="","",COUNTIF($AJ$4:$AJ$1004,$AJ805))</f>
        <v/>
      </c>
      <c r="AM805" s="42"/>
      <c r="AN805" s="50" t="str">
        <f aca="false">IF($D805="","",IFERROR(T(VLOOKUP($D805,Listas!$B$5:$H$120,7,0)),""))</f>
        <v/>
      </c>
      <c r="AO805" s="50" t="str">
        <f aca="false">IF(OR($F805="",$L805&lt;&gt;"",$R805="Cancelada",$AT805&lt;&gt;""),"",$AN805&amp;"|"&amp;$D805&amp;"|"&amp;IF($C805="","zzz",$C805)&amp;"|"&amp;TEXT(805,"0000"))</f>
        <v/>
      </c>
      <c r="AP805" s="50" t="str">
        <f aca="false">IF($AO805="","",COUNTIF($AO$5:$AO$1004,"&lt;"&amp;$AO805)-(ROWS($AO$5:$AO$1004)-Hoje!$L$5)+1)</f>
        <v/>
      </c>
      <c r="AQ805" s="50" t="n">
        <f aca="false">IF(AND($F805&lt;&gt;"",$D805=Frota!$C$3),1,0)</f>
        <v>0</v>
      </c>
      <c r="AR805" s="50" t="str">
        <f aca="false">IF($AQ805=0,"",SUM($AQ$4:$AQ805))</f>
        <v/>
      </c>
      <c r="AS805" s="50" t="str">
        <f aca="false">IFERROR(INDEX(Hoje!$K$10:$K$29,MATCH(ROW(),Hoje!$J$10:$J$29,0)),"")</f>
        <v/>
      </c>
      <c r="AT805" s="50" t="str">
        <f aca="false">IF($Q805&lt;&gt;"",$Q805,$AS805)</f>
        <v/>
      </c>
    </row>
    <row r="806" customFormat="false" ht="16.5" hidden="false" customHeight="true" outlineLevel="0" collapsed="false">
      <c r="A806" s="39" t="str">
        <f aca="false">IF($F806="","",ROW())</f>
        <v/>
      </c>
      <c r="B806" s="40" t="str">
        <f aca="false">IF($F806="",IF($D806="","","Falta a atividade"),IF($R806="Cancelada","Cancelada",IF($AB806=1,IF(N($Z806)&gt;0,"Concluída com atraso","Concluída"),IF($R806="Em programação","Em programação",IF($O806="",IF($M806="","Na carteira","Falta a semana"),IF($AC806=1,"VENCIDA",IF($O806&gt;Hoje!$L$1,"Programada",IF($P806&gt;Hoje!$L$1,"Em execução","Fecha hoje"))))))))</f>
        <v/>
      </c>
      <c r="C806" s="41"/>
      <c r="D806" s="42"/>
      <c r="E806" s="42"/>
      <c r="F806" s="42"/>
      <c r="G806" s="43"/>
      <c r="H806" s="43"/>
      <c r="I806" s="44"/>
      <c r="J806" s="44"/>
      <c r="K806" s="44"/>
      <c r="L806" s="45"/>
      <c r="M806" s="46"/>
      <c r="N806" s="45"/>
      <c r="O806" s="47" t="str">
        <f aca="false">IF(OR($L806="",$M806=""),"",(DATE(Semana!$J$3,1,4)-WEEKDAY(DATE(Semana!$J$3,1,4),3))+($L806-1)*7+MATCH($M806,Listas!$F$5:$F$11,0)-1)</f>
        <v/>
      </c>
      <c r="P806" s="47" t="str">
        <f aca="false">IF(OR($F806="",$O806=""),"",$O806+MAX(0,ROUNDUP($AK806*MAX(1,IF($N806="",1,$N806))/MAX(1,$AL806),0)-1))</f>
        <v/>
      </c>
      <c r="Q806" s="48"/>
      <c r="R806" s="43"/>
      <c r="S806" s="49"/>
      <c r="T806" s="42"/>
      <c r="U806" s="42"/>
      <c r="V806" s="39" t="str">
        <f aca="false">IF($F806="","",IF(ISNUMBER(SEARCH("(externo)",$I806&amp;$J806&amp;$K806)),"Terceirizada","Interna"))</f>
        <v/>
      </c>
      <c r="W806" s="47" t="str">
        <f aca="false">IF($O806="","",IF($S806="",$O806,(DATE(Semana!$J$3,1,4)-WEEKDAY(DATE(Semana!$J$3,1,4),3))+($S806-1)*7+IF($M806="",0,MATCH($M806,Listas!$F$5:$F$11,0)-1)))</f>
        <v/>
      </c>
      <c r="X806" s="39" t="str">
        <f aca="false">IF($F806="","",IF(OR($AT806="",$O806=""),0,IF($AT806&lt;=$O806,1,0)))</f>
        <v/>
      </c>
      <c r="Y806" s="39" t="str">
        <f aca="false">IF($F806="","",IF(OR($AT806="",$W806=""),0,IF($AT806&lt;=$W806,1,0)))</f>
        <v/>
      </c>
      <c r="Z806" s="39" t="str">
        <f aca="false">IF(OR($AT806="",$O806=""),"",MAX(0,$AT806-$O806))</f>
        <v/>
      </c>
      <c r="AA806" s="39" t="str">
        <f aca="false">IF($F806="","",IF(AND($S806&lt;&gt;"",$L806&lt;&gt;"",$S806&lt;&gt;$L806),1,0))</f>
        <v/>
      </c>
      <c r="AB806" s="39" t="str">
        <f aca="false">IF($F806="","",IF($R806="Cancelada",0,IF(OR($AT806&lt;&gt;"",$R806="Concluída"),1,0)))</f>
        <v/>
      </c>
      <c r="AC806" s="39" t="n">
        <f aca="false">IF($P806="",0,IF($P806&lt;Hoje!$L$1,1,IF(AND($P806=Hoje!$L$1,Hoje!$L$2&gt;Semana!$M$3),1,0)))</f>
        <v>0</v>
      </c>
      <c r="AD806" s="39" t="str">
        <f aca="false">IF($F806="","",IF(COUNTA($I806:$K806)=0,0,1/COUNTA($I806:$K806)))</f>
        <v/>
      </c>
      <c r="AE806" s="39" t="str">
        <f aca="false">IF($AH806=0,"",SUM($AH$4:$AH806))</f>
        <v/>
      </c>
      <c r="AF806" s="39" t="str">
        <f aca="false">IF($AI806=0,"",SUM($AI$4:$AI806))</f>
        <v/>
      </c>
      <c r="AG806" s="50" t="str">
        <f aca="false">IF($F806="","",$I806&amp;IF($J806="",""," · "&amp;$J806)&amp;IF($K806="",""," · "&amp;$K806))</f>
        <v/>
      </c>
      <c r="AH806" s="39" t="n">
        <f aca="false">IF(AND($F806&lt;&gt;"",$O806&lt;&gt;"",$O806&lt;=Hoje!$C$3,$P806&gt;=Hoje!$C$3,$R806&lt;&gt;"Cancelada"),1,0)</f>
        <v>0</v>
      </c>
      <c r="AI806" s="39" t="n">
        <f aca="false">IF(AND($F806&lt;&gt;"",$P806&lt;&gt;"",$P806&lt;Hoje!$C$3,$AB806=0,$R806&lt;&gt;"Cancelada"),1,0)</f>
        <v>0</v>
      </c>
      <c r="AJ806" s="50" t="str">
        <f aca="false">IF($F806="","",$D806&amp;"|"&amp;$E806&amp;"|"&amp;$L806)</f>
        <v/>
      </c>
      <c r="AK806" s="39" t="str">
        <f aca="false">IF($AJ806="","",COUNTIF($AJ$4:$AJ806,$AJ806))</f>
        <v/>
      </c>
      <c r="AL806" s="39" t="str">
        <f aca="false">IF($AJ806="","",COUNTIF($AJ$4:$AJ$1004,$AJ806))</f>
        <v/>
      </c>
      <c r="AM806" s="42"/>
      <c r="AN806" s="50" t="str">
        <f aca="false">IF($D806="","",IFERROR(T(VLOOKUP($D806,Listas!$B$5:$H$120,7,0)),""))</f>
        <v/>
      </c>
      <c r="AO806" s="50" t="str">
        <f aca="false">IF(OR($F806="",$L806&lt;&gt;"",$R806="Cancelada",$AT806&lt;&gt;""),"",$AN806&amp;"|"&amp;$D806&amp;"|"&amp;IF($C806="","zzz",$C806)&amp;"|"&amp;TEXT(806,"0000"))</f>
        <v/>
      </c>
      <c r="AP806" s="50" t="str">
        <f aca="false">IF($AO806="","",COUNTIF($AO$5:$AO$1004,"&lt;"&amp;$AO806)-(ROWS($AO$5:$AO$1004)-Hoje!$L$5)+1)</f>
        <v/>
      </c>
      <c r="AQ806" s="50" t="n">
        <f aca="false">IF(AND($F806&lt;&gt;"",$D806=Frota!$C$3),1,0)</f>
        <v>0</v>
      </c>
      <c r="AR806" s="50" t="str">
        <f aca="false">IF($AQ806=0,"",SUM($AQ$4:$AQ806))</f>
        <v/>
      </c>
      <c r="AS806" s="50" t="str">
        <f aca="false">IFERROR(INDEX(Hoje!$K$10:$K$29,MATCH(ROW(),Hoje!$J$10:$J$29,0)),"")</f>
        <v/>
      </c>
      <c r="AT806" s="50" t="str">
        <f aca="false">IF($Q806&lt;&gt;"",$Q806,$AS806)</f>
        <v/>
      </c>
    </row>
    <row r="807" customFormat="false" ht="16.5" hidden="false" customHeight="true" outlineLevel="0" collapsed="false">
      <c r="A807" s="39" t="str">
        <f aca="false">IF($F807="","",ROW())</f>
        <v/>
      </c>
      <c r="B807" s="40" t="str">
        <f aca="false">IF($F807="",IF($D807="","","Falta a atividade"),IF($R807="Cancelada","Cancelada",IF($AB807=1,IF(N($Z807)&gt;0,"Concluída com atraso","Concluída"),IF($R807="Em programação","Em programação",IF($O807="",IF($M807="","Na carteira","Falta a semana"),IF($AC807=1,"VENCIDA",IF($O807&gt;Hoje!$L$1,"Programada",IF($P807&gt;Hoje!$L$1,"Em execução","Fecha hoje"))))))))</f>
        <v/>
      </c>
      <c r="C807" s="41"/>
      <c r="D807" s="42"/>
      <c r="E807" s="42"/>
      <c r="F807" s="42"/>
      <c r="G807" s="43"/>
      <c r="H807" s="43"/>
      <c r="I807" s="44"/>
      <c r="J807" s="44"/>
      <c r="K807" s="44"/>
      <c r="L807" s="45"/>
      <c r="M807" s="46"/>
      <c r="N807" s="45"/>
      <c r="O807" s="47" t="str">
        <f aca="false">IF(OR($L807="",$M807=""),"",(DATE(Semana!$J$3,1,4)-WEEKDAY(DATE(Semana!$J$3,1,4),3))+($L807-1)*7+MATCH($M807,Listas!$F$5:$F$11,0)-1)</f>
        <v/>
      </c>
      <c r="P807" s="47" t="str">
        <f aca="false">IF(OR($F807="",$O807=""),"",$O807+MAX(0,ROUNDUP($AK807*MAX(1,IF($N807="",1,$N807))/MAX(1,$AL807),0)-1))</f>
        <v/>
      </c>
      <c r="Q807" s="48"/>
      <c r="R807" s="43"/>
      <c r="S807" s="49"/>
      <c r="T807" s="42"/>
      <c r="U807" s="42"/>
      <c r="V807" s="39" t="str">
        <f aca="false">IF($F807="","",IF(ISNUMBER(SEARCH("(externo)",$I807&amp;$J807&amp;$K807)),"Terceirizada","Interna"))</f>
        <v/>
      </c>
      <c r="W807" s="47" t="str">
        <f aca="false">IF($O807="","",IF($S807="",$O807,(DATE(Semana!$J$3,1,4)-WEEKDAY(DATE(Semana!$J$3,1,4),3))+($S807-1)*7+IF($M807="",0,MATCH($M807,Listas!$F$5:$F$11,0)-1)))</f>
        <v/>
      </c>
      <c r="X807" s="39" t="str">
        <f aca="false">IF($F807="","",IF(OR($AT807="",$O807=""),0,IF($AT807&lt;=$O807,1,0)))</f>
        <v/>
      </c>
      <c r="Y807" s="39" t="str">
        <f aca="false">IF($F807="","",IF(OR($AT807="",$W807=""),0,IF($AT807&lt;=$W807,1,0)))</f>
        <v/>
      </c>
      <c r="Z807" s="39" t="str">
        <f aca="false">IF(OR($AT807="",$O807=""),"",MAX(0,$AT807-$O807))</f>
        <v/>
      </c>
      <c r="AA807" s="39" t="str">
        <f aca="false">IF($F807="","",IF(AND($S807&lt;&gt;"",$L807&lt;&gt;"",$S807&lt;&gt;$L807),1,0))</f>
        <v/>
      </c>
      <c r="AB807" s="39" t="str">
        <f aca="false">IF($F807="","",IF($R807="Cancelada",0,IF(OR($AT807&lt;&gt;"",$R807="Concluída"),1,0)))</f>
        <v/>
      </c>
      <c r="AC807" s="39" t="n">
        <f aca="false">IF($P807="",0,IF($P807&lt;Hoje!$L$1,1,IF(AND($P807=Hoje!$L$1,Hoje!$L$2&gt;Semana!$M$3),1,0)))</f>
        <v>0</v>
      </c>
      <c r="AD807" s="39" t="str">
        <f aca="false">IF($F807="","",IF(COUNTA($I807:$K807)=0,0,1/COUNTA($I807:$K807)))</f>
        <v/>
      </c>
      <c r="AE807" s="39" t="str">
        <f aca="false">IF($AH807=0,"",SUM($AH$4:$AH807))</f>
        <v/>
      </c>
      <c r="AF807" s="39" t="str">
        <f aca="false">IF($AI807=0,"",SUM($AI$4:$AI807))</f>
        <v/>
      </c>
      <c r="AG807" s="50" t="str">
        <f aca="false">IF($F807="","",$I807&amp;IF($J807="",""," · "&amp;$J807)&amp;IF($K807="",""," · "&amp;$K807))</f>
        <v/>
      </c>
      <c r="AH807" s="39" t="n">
        <f aca="false">IF(AND($F807&lt;&gt;"",$O807&lt;&gt;"",$O807&lt;=Hoje!$C$3,$P807&gt;=Hoje!$C$3,$R807&lt;&gt;"Cancelada"),1,0)</f>
        <v>0</v>
      </c>
      <c r="AI807" s="39" t="n">
        <f aca="false">IF(AND($F807&lt;&gt;"",$P807&lt;&gt;"",$P807&lt;Hoje!$C$3,$AB807=0,$R807&lt;&gt;"Cancelada"),1,0)</f>
        <v>0</v>
      </c>
      <c r="AJ807" s="50" t="str">
        <f aca="false">IF($F807="","",$D807&amp;"|"&amp;$E807&amp;"|"&amp;$L807)</f>
        <v/>
      </c>
      <c r="AK807" s="39" t="str">
        <f aca="false">IF($AJ807="","",COUNTIF($AJ$4:$AJ807,$AJ807))</f>
        <v/>
      </c>
      <c r="AL807" s="39" t="str">
        <f aca="false">IF($AJ807="","",COUNTIF($AJ$4:$AJ$1004,$AJ807))</f>
        <v/>
      </c>
      <c r="AM807" s="42"/>
      <c r="AN807" s="50" t="str">
        <f aca="false">IF($D807="","",IFERROR(T(VLOOKUP($D807,Listas!$B$5:$H$120,7,0)),""))</f>
        <v/>
      </c>
      <c r="AO807" s="50" t="str">
        <f aca="false">IF(OR($F807="",$L807&lt;&gt;"",$R807="Cancelada",$AT807&lt;&gt;""),"",$AN807&amp;"|"&amp;$D807&amp;"|"&amp;IF($C807="","zzz",$C807)&amp;"|"&amp;TEXT(807,"0000"))</f>
        <v/>
      </c>
      <c r="AP807" s="50" t="str">
        <f aca="false">IF($AO807="","",COUNTIF($AO$5:$AO$1004,"&lt;"&amp;$AO807)-(ROWS($AO$5:$AO$1004)-Hoje!$L$5)+1)</f>
        <v/>
      </c>
      <c r="AQ807" s="50" t="n">
        <f aca="false">IF(AND($F807&lt;&gt;"",$D807=Frota!$C$3),1,0)</f>
        <v>0</v>
      </c>
      <c r="AR807" s="50" t="str">
        <f aca="false">IF($AQ807=0,"",SUM($AQ$4:$AQ807))</f>
        <v/>
      </c>
      <c r="AS807" s="50" t="str">
        <f aca="false">IFERROR(INDEX(Hoje!$K$10:$K$29,MATCH(ROW(),Hoje!$J$10:$J$29,0)),"")</f>
        <v/>
      </c>
      <c r="AT807" s="50" t="str">
        <f aca="false">IF($Q807&lt;&gt;"",$Q807,$AS807)</f>
        <v/>
      </c>
    </row>
    <row r="808" customFormat="false" ht="16.5" hidden="false" customHeight="true" outlineLevel="0" collapsed="false">
      <c r="A808" s="39" t="str">
        <f aca="false">IF($F808="","",ROW())</f>
        <v/>
      </c>
      <c r="B808" s="40" t="str">
        <f aca="false">IF($F808="",IF($D808="","","Falta a atividade"),IF($R808="Cancelada","Cancelada",IF($AB808=1,IF(N($Z808)&gt;0,"Concluída com atraso","Concluída"),IF($R808="Em programação","Em programação",IF($O808="",IF($M808="","Na carteira","Falta a semana"),IF($AC808=1,"VENCIDA",IF($O808&gt;Hoje!$L$1,"Programada",IF($P808&gt;Hoje!$L$1,"Em execução","Fecha hoje"))))))))</f>
        <v/>
      </c>
      <c r="C808" s="41"/>
      <c r="D808" s="42"/>
      <c r="E808" s="42"/>
      <c r="F808" s="42"/>
      <c r="G808" s="43"/>
      <c r="H808" s="43"/>
      <c r="I808" s="44"/>
      <c r="J808" s="44"/>
      <c r="K808" s="44"/>
      <c r="L808" s="45"/>
      <c r="M808" s="46"/>
      <c r="N808" s="45"/>
      <c r="O808" s="47" t="str">
        <f aca="false">IF(OR($L808="",$M808=""),"",(DATE(Semana!$J$3,1,4)-WEEKDAY(DATE(Semana!$J$3,1,4),3))+($L808-1)*7+MATCH($M808,Listas!$F$5:$F$11,0)-1)</f>
        <v/>
      </c>
      <c r="P808" s="47" t="str">
        <f aca="false">IF(OR($F808="",$O808=""),"",$O808+MAX(0,ROUNDUP($AK808*MAX(1,IF($N808="",1,$N808))/MAX(1,$AL808),0)-1))</f>
        <v/>
      </c>
      <c r="Q808" s="48"/>
      <c r="R808" s="43"/>
      <c r="S808" s="49"/>
      <c r="T808" s="42"/>
      <c r="U808" s="42"/>
      <c r="V808" s="39" t="str">
        <f aca="false">IF($F808="","",IF(ISNUMBER(SEARCH("(externo)",$I808&amp;$J808&amp;$K808)),"Terceirizada","Interna"))</f>
        <v/>
      </c>
      <c r="W808" s="47" t="str">
        <f aca="false">IF($O808="","",IF($S808="",$O808,(DATE(Semana!$J$3,1,4)-WEEKDAY(DATE(Semana!$J$3,1,4),3))+($S808-1)*7+IF($M808="",0,MATCH($M808,Listas!$F$5:$F$11,0)-1)))</f>
        <v/>
      </c>
      <c r="X808" s="39" t="str">
        <f aca="false">IF($F808="","",IF(OR($AT808="",$O808=""),0,IF($AT808&lt;=$O808,1,0)))</f>
        <v/>
      </c>
      <c r="Y808" s="39" t="str">
        <f aca="false">IF($F808="","",IF(OR($AT808="",$W808=""),0,IF($AT808&lt;=$W808,1,0)))</f>
        <v/>
      </c>
      <c r="Z808" s="39" t="str">
        <f aca="false">IF(OR($AT808="",$O808=""),"",MAX(0,$AT808-$O808))</f>
        <v/>
      </c>
      <c r="AA808" s="39" t="str">
        <f aca="false">IF($F808="","",IF(AND($S808&lt;&gt;"",$L808&lt;&gt;"",$S808&lt;&gt;$L808),1,0))</f>
        <v/>
      </c>
      <c r="AB808" s="39" t="str">
        <f aca="false">IF($F808="","",IF($R808="Cancelada",0,IF(OR($AT808&lt;&gt;"",$R808="Concluída"),1,0)))</f>
        <v/>
      </c>
      <c r="AC808" s="39" t="n">
        <f aca="false">IF($P808="",0,IF($P808&lt;Hoje!$L$1,1,IF(AND($P808=Hoje!$L$1,Hoje!$L$2&gt;Semana!$M$3),1,0)))</f>
        <v>0</v>
      </c>
      <c r="AD808" s="39" t="str">
        <f aca="false">IF($F808="","",IF(COUNTA($I808:$K808)=0,0,1/COUNTA($I808:$K808)))</f>
        <v/>
      </c>
      <c r="AE808" s="39" t="str">
        <f aca="false">IF($AH808=0,"",SUM($AH$4:$AH808))</f>
        <v/>
      </c>
      <c r="AF808" s="39" t="str">
        <f aca="false">IF($AI808=0,"",SUM($AI$4:$AI808))</f>
        <v/>
      </c>
      <c r="AG808" s="50" t="str">
        <f aca="false">IF($F808="","",$I808&amp;IF($J808="",""," · "&amp;$J808)&amp;IF($K808="",""," · "&amp;$K808))</f>
        <v/>
      </c>
      <c r="AH808" s="39" t="n">
        <f aca="false">IF(AND($F808&lt;&gt;"",$O808&lt;&gt;"",$O808&lt;=Hoje!$C$3,$P808&gt;=Hoje!$C$3,$R808&lt;&gt;"Cancelada"),1,0)</f>
        <v>0</v>
      </c>
      <c r="AI808" s="39" t="n">
        <f aca="false">IF(AND($F808&lt;&gt;"",$P808&lt;&gt;"",$P808&lt;Hoje!$C$3,$AB808=0,$R808&lt;&gt;"Cancelada"),1,0)</f>
        <v>0</v>
      </c>
      <c r="AJ808" s="50" t="str">
        <f aca="false">IF($F808="","",$D808&amp;"|"&amp;$E808&amp;"|"&amp;$L808)</f>
        <v/>
      </c>
      <c r="AK808" s="39" t="str">
        <f aca="false">IF($AJ808="","",COUNTIF($AJ$4:$AJ808,$AJ808))</f>
        <v/>
      </c>
      <c r="AL808" s="39" t="str">
        <f aca="false">IF($AJ808="","",COUNTIF($AJ$4:$AJ$1004,$AJ808))</f>
        <v/>
      </c>
      <c r="AM808" s="42"/>
      <c r="AN808" s="50" t="str">
        <f aca="false">IF($D808="","",IFERROR(T(VLOOKUP($D808,Listas!$B$5:$H$120,7,0)),""))</f>
        <v/>
      </c>
      <c r="AO808" s="50" t="str">
        <f aca="false">IF(OR($F808="",$L808&lt;&gt;"",$R808="Cancelada",$AT808&lt;&gt;""),"",$AN808&amp;"|"&amp;$D808&amp;"|"&amp;IF($C808="","zzz",$C808)&amp;"|"&amp;TEXT(808,"0000"))</f>
        <v/>
      </c>
      <c r="AP808" s="50" t="str">
        <f aca="false">IF($AO808="","",COUNTIF($AO$5:$AO$1004,"&lt;"&amp;$AO808)-(ROWS($AO$5:$AO$1004)-Hoje!$L$5)+1)</f>
        <v/>
      </c>
      <c r="AQ808" s="50" t="n">
        <f aca="false">IF(AND($F808&lt;&gt;"",$D808=Frota!$C$3),1,0)</f>
        <v>0</v>
      </c>
      <c r="AR808" s="50" t="str">
        <f aca="false">IF($AQ808=0,"",SUM($AQ$4:$AQ808))</f>
        <v/>
      </c>
      <c r="AS808" s="50" t="str">
        <f aca="false">IFERROR(INDEX(Hoje!$K$10:$K$29,MATCH(ROW(),Hoje!$J$10:$J$29,0)),"")</f>
        <v/>
      </c>
      <c r="AT808" s="50" t="str">
        <f aca="false">IF($Q808&lt;&gt;"",$Q808,$AS808)</f>
        <v/>
      </c>
    </row>
    <row r="809" customFormat="false" ht="16.5" hidden="false" customHeight="true" outlineLevel="0" collapsed="false">
      <c r="A809" s="39" t="str">
        <f aca="false">IF($F809="","",ROW())</f>
        <v/>
      </c>
      <c r="B809" s="40" t="str">
        <f aca="false">IF($F809="",IF($D809="","","Falta a atividade"),IF($R809="Cancelada","Cancelada",IF($AB809=1,IF(N($Z809)&gt;0,"Concluída com atraso","Concluída"),IF($R809="Em programação","Em programação",IF($O809="",IF($M809="","Na carteira","Falta a semana"),IF($AC809=1,"VENCIDA",IF($O809&gt;Hoje!$L$1,"Programada",IF($P809&gt;Hoje!$L$1,"Em execução","Fecha hoje"))))))))</f>
        <v/>
      </c>
      <c r="C809" s="41"/>
      <c r="D809" s="42"/>
      <c r="E809" s="42"/>
      <c r="F809" s="42"/>
      <c r="G809" s="43"/>
      <c r="H809" s="43"/>
      <c r="I809" s="44"/>
      <c r="J809" s="44"/>
      <c r="K809" s="44"/>
      <c r="L809" s="45"/>
      <c r="M809" s="46"/>
      <c r="N809" s="45"/>
      <c r="O809" s="47" t="str">
        <f aca="false">IF(OR($L809="",$M809=""),"",(DATE(Semana!$J$3,1,4)-WEEKDAY(DATE(Semana!$J$3,1,4),3))+($L809-1)*7+MATCH($M809,Listas!$F$5:$F$11,0)-1)</f>
        <v/>
      </c>
      <c r="P809" s="47" t="str">
        <f aca="false">IF(OR($F809="",$O809=""),"",$O809+MAX(0,ROUNDUP($AK809*MAX(1,IF($N809="",1,$N809))/MAX(1,$AL809),0)-1))</f>
        <v/>
      </c>
      <c r="Q809" s="48"/>
      <c r="R809" s="43"/>
      <c r="S809" s="49"/>
      <c r="T809" s="42"/>
      <c r="U809" s="42"/>
      <c r="V809" s="39" t="str">
        <f aca="false">IF($F809="","",IF(ISNUMBER(SEARCH("(externo)",$I809&amp;$J809&amp;$K809)),"Terceirizada","Interna"))</f>
        <v/>
      </c>
      <c r="W809" s="47" t="str">
        <f aca="false">IF($O809="","",IF($S809="",$O809,(DATE(Semana!$J$3,1,4)-WEEKDAY(DATE(Semana!$J$3,1,4),3))+($S809-1)*7+IF($M809="",0,MATCH($M809,Listas!$F$5:$F$11,0)-1)))</f>
        <v/>
      </c>
      <c r="X809" s="39" t="str">
        <f aca="false">IF($F809="","",IF(OR($AT809="",$O809=""),0,IF($AT809&lt;=$O809,1,0)))</f>
        <v/>
      </c>
      <c r="Y809" s="39" t="str">
        <f aca="false">IF($F809="","",IF(OR($AT809="",$W809=""),0,IF($AT809&lt;=$W809,1,0)))</f>
        <v/>
      </c>
      <c r="Z809" s="39" t="str">
        <f aca="false">IF(OR($AT809="",$O809=""),"",MAX(0,$AT809-$O809))</f>
        <v/>
      </c>
      <c r="AA809" s="39" t="str">
        <f aca="false">IF($F809="","",IF(AND($S809&lt;&gt;"",$L809&lt;&gt;"",$S809&lt;&gt;$L809),1,0))</f>
        <v/>
      </c>
      <c r="AB809" s="39" t="str">
        <f aca="false">IF($F809="","",IF($R809="Cancelada",0,IF(OR($AT809&lt;&gt;"",$R809="Concluída"),1,0)))</f>
        <v/>
      </c>
      <c r="AC809" s="39" t="n">
        <f aca="false">IF($P809="",0,IF($P809&lt;Hoje!$L$1,1,IF(AND($P809=Hoje!$L$1,Hoje!$L$2&gt;Semana!$M$3),1,0)))</f>
        <v>0</v>
      </c>
      <c r="AD809" s="39" t="str">
        <f aca="false">IF($F809="","",IF(COUNTA($I809:$K809)=0,0,1/COUNTA($I809:$K809)))</f>
        <v/>
      </c>
      <c r="AE809" s="39" t="str">
        <f aca="false">IF($AH809=0,"",SUM($AH$4:$AH809))</f>
        <v/>
      </c>
      <c r="AF809" s="39" t="str">
        <f aca="false">IF($AI809=0,"",SUM($AI$4:$AI809))</f>
        <v/>
      </c>
      <c r="AG809" s="50" t="str">
        <f aca="false">IF($F809="","",$I809&amp;IF($J809="",""," · "&amp;$J809)&amp;IF($K809="",""," · "&amp;$K809))</f>
        <v/>
      </c>
      <c r="AH809" s="39" t="n">
        <f aca="false">IF(AND($F809&lt;&gt;"",$O809&lt;&gt;"",$O809&lt;=Hoje!$C$3,$P809&gt;=Hoje!$C$3,$R809&lt;&gt;"Cancelada"),1,0)</f>
        <v>0</v>
      </c>
      <c r="AI809" s="39" t="n">
        <f aca="false">IF(AND($F809&lt;&gt;"",$P809&lt;&gt;"",$P809&lt;Hoje!$C$3,$AB809=0,$R809&lt;&gt;"Cancelada"),1,0)</f>
        <v>0</v>
      </c>
      <c r="AJ809" s="50" t="str">
        <f aca="false">IF($F809="","",$D809&amp;"|"&amp;$E809&amp;"|"&amp;$L809)</f>
        <v/>
      </c>
      <c r="AK809" s="39" t="str">
        <f aca="false">IF($AJ809="","",COUNTIF($AJ$4:$AJ809,$AJ809))</f>
        <v/>
      </c>
      <c r="AL809" s="39" t="str">
        <f aca="false">IF($AJ809="","",COUNTIF($AJ$4:$AJ$1004,$AJ809))</f>
        <v/>
      </c>
      <c r="AM809" s="42"/>
      <c r="AN809" s="50" t="str">
        <f aca="false">IF($D809="","",IFERROR(T(VLOOKUP($D809,Listas!$B$5:$H$120,7,0)),""))</f>
        <v/>
      </c>
      <c r="AO809" s="50" t="str">
        <f aca="false">IF(OR($F809="",$L809&lt;&gt;"",$R809="Cancelada",$AT809&lt;&gt;""),"",$AN809&amp;"|"&amp;$D809&amp;"|"&amp;IF($C809="","zzz",$C809)&amp;"|"&amp;TEXT(809,"0000"))</f>
        <v/>
      </c>
      <c r="AP809" s="50" t="str">
        <f aca="false">IF($AO809="","",COUNTIF($AO$5:$AO$1004,"&lt;"&amp;$AO809)-(ROWS($AO$5:$AO$1004)-Hoje!$L$5)+1)</f>
        <v/>
      </c>
      <c r="AQ809" s="50" t="n">
        <f aca="false">IF(AND($F809&lt;&gt;"",$D809=Frota!$C$3),1,0)</f>
        <v>0</v>
      </c>
      <c r="AR809" s="50" t="str">
        <f aca="false">IF($AQ809=0,"",SUM($AQ$4:$AQ809))</f>
        <v/>
      </c>
      <c r="AS809" s="50" t="str">
        <f aca="false">IFERROR(INDEX(Hoje!$K$10:$K$29,MATCH(ROW(),Hoje!$J$10:$J$29,0)),"")</f>
        <v/>
      </c>
      <c r="AT809" s="50" t="str">
        <f aca="false">IF($Q809&lt;&gt;"",$Q809,$AS809)</f>
        <v/>
      </c>
    </row>
    <row r="810" customFormat="false" ht="16.5" hidden="false" customHeight="true" outlineLevel="0" collapsed="false">
      <c r="A810" s="39" t="str">
        <f aca="false">IF($F810="","",ROW())</f>
        <v/>
      </c>
      <c r="B810" s="40" t="str">
        <f aca="false">IF($F810="",IF($D810="","","Falta a atividade"),IF($R810="Cancelada","Cancelada",IF($AB810=1,IF(N($Z810)&gt;0,"Concluída com atraso","Concluída"),IF($R810="Em programação","Em programação",IF($O810="",IF($M810="","Na carteira","Falta a semana"),IF($AC810=1,"VENCIDA",IF($O810&gt;Hoje!$L$1,"Programada",IF($P810&gt;Hoje!$L$1,"Em execução","Fecha hoje"))))))))</f>
        <v/>
      </c>
      <c r="C810" s="41"/>
      <c r="D810" s="42"/>
      <c r="E810" s="42"/>
      <c r="F810" s="42"/>
      <c r="G810" s="43"/>
      <c r="H810" s="43"/>
      <c r="I810" s="44"/>
      <c r="J810" s="44"/>
      <c r="K810" s="44"/>
      <c r="L810" s="45"/>
      <c r="M810" s="46"/>
      <c r="N810" s="45"/>
      <c r="O810" s="47" t="str">
        <f aca="false">IF(OR($L810="",$M810=""),"",(DATE(Semana!$J$3,1,4)-WEEKDAY(DATE(Semana!$J$3,1,4),3))+($L810-1)*7+MATCH($M810,Listas!$F$5:$F$11,0)-1)</f>
        <v/>
      </c>
      <c r="P810" s="47" t="str">
        <f aca="false">IF(OR($F810="",$O810=""),"",$O810+MAX(0,ROUNDUP($AK810*MAX(1,IF($N810="",1,$N810))/MAX(1,$AL810),0)-1))</f>
        <v/>
      </c>
      <c r="Q810" s="48"/>
      <c r="R810" s="43"/>
      <c r="S810" s="49"/>
      <c r="T810" s="42"/>
      <c r="U810" s="42"/>
      <c r="V810" s="39" t="str">
        <f aca="false">IF($F810="","",IF(ISNUMBER(SEARCH("(externo)",$I810&amp;$J810&amp;$K810)),"Terceirizada","Interna"))</f>
        <v/>
      </c>
      <c r="W810" s="47" t="str">
        <f aca="false">IF($O810="","",IF($S810="",$O810,(DATE(Semana!$J$3,1,4)-WEEKDAY(DATE(Semana!$J$3,1,4),3))+($S810-1)*7+IF($M810="",0,MATCH($M810,Listas!$F$5:$F$11,0)-1)))</f>
        <v/>
      </c>
      <c r="X810" s="39" t="str">
        <f aca="false">IF($F810="","",IF(OR($AT810="",$O810=""),0,IF($AT810&lt;=$O810,1,0)))</f>
        <v/>
      </c>
      <c r="Y810" s="39" t="str">
        <f aca="false">IF($F810="","",IF(OR($AT810="",$W810=""),0,IF($AT810&lt;=$W810,1,0)))</f>
        <v/>
      </c>
      <c r="Z810" s="39" t="str">
        <f aca="false">IF(OR($AT810="",$O810=""),"",MAX(0,$AT810-$O810))</f>
        <v/>
      </c>
      <c r="AA810" s="39" t="str">
        <f aca="false">IF($F810="","",IF(AND($S810&lt;&gt;"",$L810&lt;&gt;"",$S810&lt;&gt;$L810),1,0))</f>
        <v/>
      </c>
      <c r="AB810" s="39" t="str">
        <f aca="false">IF($F810="","",IF($R810="Cancelada",0,IF(OR($AT810&lt;&gt;"",$R810="Concluída"),1,0)))</f>
        <v/>
      </c>
      <c r="AC810" s="39" t="n">
        <f aca="false">IF($P810="",0,IF($P810&lt;Hoje!$L$1,1,IF(AND($P810=Hoje!$L$1,Hoje!$L$2&gt;Semana!$M$3),1,0)))</f>
        <v>0</v>
      </c>
      <c r="AD810" s="39" t="str">
        <f aca="false">IF($F810="","",IF(COUNTA($I810:$K810)=0,0,1/COUNTA($I810:$K810)))</f>
        <v/>
      </c>
      <c r="AE810" s="39" t="str">
        <f aca="false">IF($AH810=0,"",SUM($AH$4:$AH810))</f>
        <v/>
      </c>
      <c r="AF810" s="39" t="str">
        <f aca="false">IF($AI810=0,"",SUM($AI$4:$AI810))</f>
        <v/>
      </c>
      <c r="AG810" s="50" t="str">
        <f aca="false">IF($F810="","",$I810&amp;IF($J810="",""," · "&amp;$J810)&amp;IF($K810="",""," · "&amp;$K810))</f>
        <v/>
      </c>
      <c r="AH810" s="39" t="n">
        <f aca="false">IF(AND($F810&lt;&gt;"",$O810&lt;&gt;"",$O810&lt;=Hoje!$C$3,$P810&gt;=Hoje!$C$3,$R810&lt;&gt;"Cancelada"),1,0)</f>
        <v>0</v>
      </c>
      <c r="AI810" s="39" t="n">
        <f aca="false">IF(AND($F810&lt;&gt;"",$P810&lt;&gt;"",$P810&lt;Hoje!$C$3,$AB810=0,$R810&lt;&gt;"Cancelada"),1,0)</f>
        <v>0</v>
      </c>
      <c r="AJ810" s="50" t="str">
        <f aca="false">IF($F810="","",$D810&amp;"|"&amp;$E810&amp;"|"&amp;$L810)</f>
        <v/>
      </c>
      <c r="AK810" s="39" t="str">
        <f aca="false">IF($AJ810="","",COUNTIF($AJ$4:$AJ810,$AJ810))</f>
        <v/>
      </c>
      <c r="AL810" s="39" t="str">
        <f aca="false">IF($AJ810="","",COUNTIF($AJ$4:$AJ$1004,$AJ810))</f>
        <v/>
      </c>
      <c r="AM810" s="42"/>
      <c r="AN810" s="50" t="str">
        <f aca="false">IF($D810="","",IFERROR(T(VLOOKUP($D810,Listas!$B$5:$H$120,7,0)),""))</f>
        <v/>
      </c>
      <c r="AO810" s="50" t="str">
        <f aca="false">IF(OR($F810="",$L810&lt;&gt;"",$R810="Cancelada",$AT810&lt;&gt;""),"",$AN810&amp;"|"&amp;$D810&amp;"|"&amp;IF($C810="","zzz",$C810)&amp;"|"&amp;TEXT(810,"0000"))</f>
        <v/>
      </c>
      <c r="AP810" s="50" t="str">
        <f aca="false">IF($AO810="","",COUNTIF($AO$5:$AO$1004,"&lt;"&amp;$AO810)-(ROWS($AO$5:$AO$1004)-Hoje!$L$5)+1)</f>
        <v/>
      </c>
      <c r="AQ810" s="50" t="n">
        <f aca="false">IF(AND($F810&lt;&gt;"",$D810=Frota!$C$3),1,0)</f>
        <v>0</v>
      </c>
      <c r="AR810" s="50" t="str">
        <f aca="false">IF($AQ810=0,"",SUM($AQ$4:$AQ810))</f>
        <v/>
      </c>
      <c r="AS810" s="50" t="str">
        <f aca="false">IFERROR(INDEX(Hoje!$K$10:$K$29,MATCH(ROW(),Hoje!$J$10:$J$29,0)),"")</f>
        <v/>
      </c>
      <c r="AT810" s="50" t="str">
        <f aca="false">IF($Q810&lt;&gt;"",$Q810,$AS810)</f>
        <v/>
      </c>
    </row>
    <row r="811" customFormat="false" ht="16.5" hidden="false" customHeight="true" outlineLevel="0" collapsed="false">
      <c r="A811" s="39" t="str">
        <f aca="false">IF($F811="","",ROW())</f>
        <v/>
      </c>
      <c r="B811" s="40" t="str">
        <f aca="false">IF($F811="",IF($D811="","","Falta a atividade"),IF($R811="Cancelada","Cancelada",IF($AB811=1,IF(N($Z811)&gt;0,"Concluída com atraso","Concluída"),IF($R811="Em programação","Em programação",IF($O811="",IF($M811="","Na carteira","Falta a semana"),IF($AC811=1,"VENCIDA",IF($O811&gt;Hoje!$L$1,"Programada",IF($P811&gt;Hoje!$L$1,"Em execução","Fecha hoje"))))))))</f>
        <v/>
      </c>
      <c r="C811" s="41"/>
      <c r="D811" s="42"/>
      <c r="E811" s="42"/>
      <c r="F811" s="42"/>
      <c r="G811" s="43"/>
      <c r="H811" s="43"/>
      <c r="I811" s="44"/>
      <c r="J811" s="44"/>
      <c r="K811" s="44"/>
      <c r="L811" s="45"/>
      <c r="M811" s="46"/>
      <c r="N811" s="45"/>
      <c r="O811" s="47" t="str">
        <f aca="false">IF(OR($L811="",$M811=""),"",(DATE(Semana!$J$3,1,4)-WEEKDAY(DATE(Semana!$J$3,1,4),3))+($L811-1)*7+MATCH($M811,Listas!$F$5:$F$11,0)-1)</f>
        <v/>
      </c>
      <c r="P811" s="47" t="str">
        <f aca="false">IF(OR($F811="",$O811=""),"",$O811+MAX(0,ROUNDUP($AK811*MAX(1,IF($N811="",1,$N811))/MAX(1,$AL811),0)-1))</f>
        <v/>
      </c>
      <c r="Q811" s="48"/>
      <c r="R811" s="43"/>
      <c r="S811" s="49"/>
      <c r="T811" s="42"/>
      <c r="U811" s="42"/>
      <c r="V811" s="39" t="str">
        <f aca="false">IF($F811="","",IF(ISNUMBER(SEARCH("(externo)",$I811&amp;$J811&amp;$K811)),"Terceirizada","Interna"))</f>
        <v/>
      </c>
      <c r="W811" s="47" t="str">
        <f aca="false">IF($O811="","",IF($S811="",$O811,(DATE(Semana!$J$3,1,4)-WEEKDAY(DATE(Semana!$J$3,1,4),3))+($S811-1)*7+IF($M811="",0,MATCH($M811,Listas!$F$5:$F$11,0)-1)))</f>
        <v/>
      </c>
      <c r="X811" s="39" t="str">
        <f aca="false">IF($F811="","",IF(OR($AT811="",$O811=""),0,IF($AT811&lt;=$O811,1,0)))</f>
        <v/>
      </c>
      <c r="Y811" s="39" t="str">
        <f aca="false">IF($F811="","",IF(OR($AT811="",$W811=""),0,IF($AT811&lt;=$W811,1,0)))</f>
        <v/>
      </c>
      <c r="Z811" s="39" t="str">
        <f aca="false">IF(OR($AT811="",$O811=""),"",MAX(0,$AT811-$O811))</f>
        <v/>
      </c>
      <c r="AA811" s="39" t="str">
        <f aca="false">IF($F811="","",IF(AND($S811&lt;&gt;"",$L811&lt;&gt;"",$S811&lt;&gt;$L811),1,0))</f>
        <v/>
      </c>
      <c r="AB811" s="39" t="str">
        <f aca="false">IF($F811="","",IF($R811="Cancelada",0,IF(OR($AT811&lt;&gt;"",$R811="Concluída"),1,0)))</f>
        <v/>
      </c>
      <c r="AC811" s="39" t="n">
        <f aca="false">IF($P811="",0,IF($P811&lt;Hoje!$L$1,1,IF(AND($P811=Hoje!$L$1,Hoje!$L$2&gt;Semana!$M$3),1,0)))</f>
        <v>0</v>
      </c>
      <c r="AD811" s="39" t="str">
        <f aca="false">IF($F811="","",IF(COUNTA($I811:$K811)=0,0,1/COUNTA($I811:$K811)))</f>
        <v/>
      </c>
      <c r="AE811" s="39" t="str">
        <f aca="false">IF($AH811=0,"",SUM($AH$4:$AH811))</f>
        <v/>
      </c>
      <c r="AF811" s="39" t="str">
        <f aca="false">IF($AI811=0,"",SUM($AI$4:$AI811))</f>
        <v/>
      </c>
      <c r="AG811" s="50" t="str">
        <f aca="false">IF($F811="","",$I811&amp;IF($J811="",""," · "&amp;$J811)&amp;IF($K811="",""," · "&amp;$K811))</f>
        <v/>
      </c>
      <c r="AH811" s="39" t="n">
        <f aca="false">IF(AND($F811&lt;&gt;"",$O811&lt;&gt;"",$O811&lt;=Hoje!$C$3,$P811&gt;=Hoje!$C$3,$R811&lt;&gt;"Cancelada"),1,0)</f>
        <v>0</v>
      </c>
      <c r="AI811" s="39" t="n">
        <f aca="false">IF(AND($F811&lt;&gt;"",$P811&lt;&gt;"",$P811&lt;Hoje!$C$3,$AB811=0,$R811&lt;&gt;"Cancelada"),1,0)</f>
        <v>0</v>
      </c>
      <c r="AJ811" s="50" t="str">
        <f aca="false">IF($F811="","",$D811&amp;"|"&amp;$E811&amp;"|"&amp;$L811)</f>
        <v/>
      </c>
      <c r="AK811" s="39" t="str">
        <f aca="false">IF($AJ811="","",COUNTIF($AJ$4:$AJ811,$AJ811))</f>
        <v/>
      </c>
      <c r="AL811" s="39" t="str">
        <f aca="false">IF($AJ811="","",COUNTIF($AJ$4:$AJ$1004,$AJ811))</f>
        <v/>
      </c>
      <c r="AM811" s="42"/>
      <c r="AN811" s="50" t="str">
        <f aca="false">IF($D811="","",IFERROR(T(VLOOKUP($D811,Listas!$B$5:$H$120,7,0)),""))</f>
        <v/>
      </c>
      <c r="AO811" s="50" t="str">
        <f aca="false">IF(OR($F811="",$L811&lt;&gt;"",$R811="Cancelada",$AT811&lt;&gt;""),"",$AN811&amp;"|"&amp;$D811&amp;"|"&amp;IF($C811="","zzz",$C811)&amp;"|"&amp;TEXT(811,"0000"))</f>
        <v/>
      </c>
      <c r="AP811" s="50" t="str">
        <f aca="false">IF($AO811="","",COUNTIF($AO$5:$AO$1004,"&lt;"&amp;$AO811)-(ROWS($AO$5:$AO$1004)-Hoje!$L$5)+1)</f>
        <v/>
      </c>
      <c r="AQ811" s="50" t="n">
        <f aca="false">IF(AND($F811&lt;&gt;"",$D811=Frota!$C$3),1,0)</f>
        <v>0</v>
      </c>
      <c r="AR811" s="50" t="str">
        <f aca="false">IF($AQ811=0,"",SUM($AQ$4:$AQ811))</f>
        <v/>
      </c>
      <c r="AS811" s="50" t="str">
        <f aca="false">IFERROR(INDEX(Hoje!$K$10:$K$29,MATCH(ROW(),Hoje!$J$10:$J$29,0)),"")</f>
        <v/>
      </c>
      <c r="AT811" s="50" t="str">
        <f aca="false">IF($Q811&lt;&gt;"",$Q811,$AS811)</f>
        <v/>
      </c>
    </row>
    <row r="812" customFormat="false" ht="16.5" hidden="false" customHeight="true" outlineLevel="0" collapsed="false">
      <c r="A812" s="39" t="str">
        <f aca="false">IF($F812="","",ROW())</f>
        <v/>
      </c>
      <c r="B812" s="40" t="str">
        <f aca="false">IF($F812="",IF($D812="","","Falta a atividade"),IF($R812="Cancelada","Cancelada",IF($AB812=1,IF(N($Z812)&gt;0,"Concluída com atraso","Concluída"),IF($R812="Em programação","Em programação",IF($O812="",IF($M812="","Na carteira","Falta a semana"),IF($AC812=1,"VENCIDA",IF($O812&gt;Hoje!$L$1,"Programada",IF($P812&gt;Hoje!$L$1,"Em execução","Fecha hoje"))))))))</f>
        <v/>
      </c>
      <c r="C812" s="41"/>
      <c r="D812" s="42"/>
      <c r="E812" s="42"/>
      <c r="F812" s="42"/>
      <c r="G812" s="43"/>
      <c r="H812" s="43"/>
      <c r="I812" s="44"/>
      <c r="J812" s="44"/>
      <c r="K812" s="44"/>
      <c r="L812" s="45"/>
      <c r="M812" s="46"/>
      <c r="N812" s="45"/>
      <c r="O812" s="47" t="str">
        <f aca="false">IF(OR($L812="",$M812=""),"",(DATE(Semana!$J$3,1,4)-WEEKDAY(DATE(Semana!$J$3,1,4),3))+($L812-1)*7+MATCH($M812,Listas!$F$5:$F$11,0)-1)</f>
        <v/>
      </c>
      <c r="P812" s="47" t="str">
        <f aca="false">IF(OR($F812="",$O812=""),"",$O812+MAX(0,ROUNDUP($AK812*MAX(1,IF($N812="",1,$N812))/MAX(1,$AL812),0)-1))</f>
        <v/>
      </c>
      <c r="Q812" s="48"/>
      <c r="R812" s="43"/>
      <c r="S812" s="49"/>
      <c r="T812" s="42"/>
      <c r="U812" s="42"/>
      <c r="V812" s="39" t="str">
        <f aca="false">IF($F812="","",IF(ISNUMBER(SEARCH("(externo)",$I812&amp;$J812&amp;$K812)),"Terceirizada","Interna"))</f>
        <v/>
      </c>
      <c r="W812" s="47" t="str">
        <f aca="false">IF($O812="","",IF($S812="",$O812,(DATE(Semana!$J$3,1,4)-WEEKDAY(DATE(Semana!$J$3,1,4),3))+($S812-1)*7+IF($M812="",0,MATCH($M812,Listas!$F$5:$F$11,0)-1)))</f>
        <v/>
      </c>
      <c r="X812" s="39" t="str">
        <f aca="false">IF($F812="","",IF(OR($AT812="",$O812=""),0,IF($AT812&lt;=$O812,1,0)))</f>
        <v/>
      </c>
      <c r="Y812" s="39" t="str">
        <f aca="false">IF($F812="","",IF(OR($AT812="",$W812=""),0,IF($AT812&lt;=$W812,1,0)))</f>
        <v/>
      </c>
      <c r="Z812" s="39" t="str">
        <f aca="false">IF(OR($AT812="",$O812=""),"",MAX(0,$AT812-$O812))</f>
        <v/>
      </c>
      <c r="AA812" s="39" t="str">
        <f aca="false">IF($F812="","",IF(AND($S812&lt;&gt;"",$L812&lt;&gt;"",$S812&lt;&gt;$L812),1,0))</f>
        <v/>
      </c>
      <c r="AB812" s="39" t="str">
        <f aca="false">IF($F812="","",IF($R812="Cancelada",0,IF(OR($AT812&lt;&gt;"",$R812="Concluída"),1,0)))</f>
        <v/>
      </c>
      <c r="AC812" s="39" t="n">
        <f aca="false">IF($P812="",0,IF($P812&lt;Hoje!$L$1,1,IF(AND($P812=Hoje!$L$1,Hoje!$L$2&gt;Semana!$M$3),1,0)))</f>
        <v>0</v>
      </c>
      <c r="AD812" s="39" t="str">
        <f aca="false">IF($F812="","",IF(COUNTA($I812:$K812)=0,0,1/COUNTA($I812:$K812)))</f>
        <v/>
      </c>
      <c r="AE812" s="39" t="str">
        <f aca="false">IF($AH812=0,"",SUM($AH$4:$AH812))</f>
        <v/>
      </c>
      <c r="AF812" s="39" t="str">
        <f aca="false">IF($AI812=0,"",SUM($AI$4:$AI812))</f>
        <v/>
      </c>
      <c r="AG812" s="50" t="str">
        <f aca="false">IF($F812="","",$I812&amp;IF($J812="",""," · "&amp;$J812)&amp;IF($K812="",""," · "&amp;$K812))</f>
        <v/>
      </c>
      <c r="AH812" s="39" t="n">
        <f aca="false">IF(AND($F812&lt;&gt;"",$O812&lt;&gt;"",$O812&lt;=Hoje!$C$3,$P812&gt;=Hoje!$C$3,$R812&lt;&gt;"Cancelada"),1,0)</f>
        <v>0</v>
      </c>
      <c r="AI812" s="39" t="n">
        <f aca="false">IF(AND($F812&lt;&gt;"",$P812&lt;&gt;"",$P812&lt;Hoje!$C$3,$AB812=0,$R812&lt;&gt;"Cancelada"),1,0)</f>
        <v>0</v>
      </c>
      <c r="AJ812" s="50" t="str">
        <f aca="false">IF($F812="","",$D812&amp;"|"&amp;$E812&amp;"|"&amp;$L812)</f>
        <v/>
      </c>
      <c r="AK812" s="39" t="str">
        <f aca="false">IF($AJ812="","",COUNTIF($AJ$4:$AJ812,$AJ812))</f>
        <v/>
      </c>
      <c r="AL812" s="39" t="str">
        <f aca="false">IF($AJ812="","",COUNTIF($AJ$4:$AJ$1004,$AJ812))</f>
        <v/>
      </c>
      <c r="AM812" s="42"/>
      <c r="AN812" s="50" t="str">
        <f aca="false">IF($D812="","",IFERROR(T(VLOOKUP($D812,Listas!$B$5:$H$120,7,0)),""))</f>
        <v/>
      </c>
      <c r="AO812" s="50" t="str">
        <f aca="false">IF(OR($F812="",$L812&lt;&gt;"",$R812="Cancelada",$AT812&lt;&gt;""),"",$AN812&amp;"|"&amp;$D812&amp;"|"&amp;IF($C812="","zzz",$C812)&amp;"|"&amp;TEXT(812,"0000"))</f>
        <v/>
      </c>
      <c r="AP812" s="50" t="str">
        <f aca="false">IF($AO812="","",COUNTIF($AO$5:$AO$1004,"&lt;"&amp;$AO812)-(ROWS($AO$5:$AO$1004)-Hoje!$L$5)+1)</f>
        <v/>
      </c>
      <c r="AQ812" s="50" t="n">
        <f aca="false">IF(AND($F812&lt;&gt;"",$D812=Frota!$C$3),1,0)</f>
        <v>0</v>
      </c>
      <c r="AR812" s="50" t="str">
        <f aca="false">IF($AQ812=0,"",SUM($AQ$4:$AQ812))</f>
        <v/>
      </c>
      <c r="AS812" s="50" t="str">
        <f aca="false">IFERROR(INDEX(Hoje!$K$10:$K$29,MATCH(ROW(),Hoje!$J$10:$J$29,0)),"")</f>
        <v/>
      </c>
      <c r="AT812" s="50" t="str">
        <f aca="false">IF($Q812&lt;&gt;"",$Q812,$AS812)</f>
        <v/>
      </c>
    </row>
    <row r="813" customFormat="false" ht="16.5" hidden="false" customHeight="true" outlineLevel="0" collapsed="false">
      <c r="A813" s="39" t="str">
        <f aca="false">IF($F813="","",ROW())</f>
        <v/>
      </c>
      <c r="B813" s="40" t="str">
        <f aca="false">IF($F813="",IF($D813="","","Falta a atividade"),IF($R813="Cancelada","Cancelada",IF($AB813=1,IF(N($Z813)&gt;0,"Concluída com atraso","Concluída"),IF($R813="Em programação","Em programação",IF($O813="",IF($M813="","Na carteira","Falta a semana"),IF($AC813=1,"VENCIDA",IF($O813&gt;Hoje!$L$1,"Programada",IF($P813&gt;Hoje!$L$1,"Em execução","Fecha hoje"))))))))</f>
        <v/>
      </c>
      <c r="C813" s="41"/>
      <c r="D813" s="42"/>
      <c r="E813" s="42"/>
      <c r="F813" s="42"/>
      <c r="G813" s="43"/>
      <c r="H813" s="43"/>
      <c r="I813" s="44"/>
      <c r="J813" s="44"/>
      <c r="K813" s="44"/>
      <c r="L813" s="45"/>
      <c r="M813" s="46"/>
      <c r="N813" s="45"/>
      <c r="O813" s="47" t="str">
        <f aca="false">IF(OR($L813="",$M813=""),"",(DATE(Semana!$J$3,1,4)-WEEKDAY(DATE(Semana!$J$3,1,4),3))+($L813-1)*7+MATCH($M813,Listas!$F$5:$F$11,0)-1)</f>
        <v/>
      </c>
      <c r="P813" s="47" t="str">
        <f aca="false">IF(OR($F813="",$O813=""),"",$O813+MAX(0,ROUNDUP($AK813*MAX(1,IF($N813="",1,$N813))/MAX(1,$AL813),0)-1))</f>
        <v/>
      </c>
      <c r="Q813" s="48"/>
      <c r="R813" s="43"/>
      <c r="S813" s="49"/>
      <c r="T813" s="42"/>
      <c r="U813" s="42"/>
      <c r="V813" s="39" t="str">
        <f aca="false">IF($F813="","",IF(ISNUMBER(SEARCH("(externo)",$I813&amp;$J813&amp;$K813)),"Terceirizada","Interna"))</f>
        <v/>
      </c>
      <c r="W813" s="47" t="str">
        <f aca="false">IF($O813="","",IF($S813="",$O813,(DATE(Semana!$J$3,1,4)-WEEKDAY(DATE(Semana!$J$3,1,4),3))+($S813-1)*7+IF($M813="",0,MATCH($M813,Listas!$F$5:$F$11,0)-1)))</f>
        <v/>
      </c>
      <c r="X813" s="39" t="str">
        <f aca="false">IF($F813="","",IF(OR($AT813="",$O813=""),0,IF($AT813&lt;=$O813,1,0)))</f>
        <v/>
      </c>
      <c r="Y813" s="39" t="str">
        <f aca="false">IF($F813="","",IF(OR($AT813="",$W813=""),0,IF($AT813&lt;=$W813,1,0)))</f>
        <v/>
      </c>
      <c r="Z813" s="39" t="str">
        <f aca="false">IF(OR($AT813="",$O813=""),"",MAX(0,$AT813-$O813))</f>
        <v/>
      </c>
      <c r="AA813" s="39" t="str">
        <f aca="false">IF($F813="","",IF(AND($S813&lt;&gt;"",$L813&lt;&gt;"",$S813&lt;&gt;$L813),1,0))</f>
        <v/>
      </c>
      <c r="AB813" s="39" t="str">
        <f aca="false">IF($F813="","",IF($R813="Cancelada",0,IF(OR($AT813&lt;&gt;"",$R813="Concluída"),1,0)))</f>
        <v/>
      </c>
      <c r="AC813" s="39" t="n">
        <f aca="false">IF($P813="",0,IF($P813&lt;Hoje!$L$1,1,IF(AND($P813=Hoje!$L$1,Hoje!$L$2&gt;Semana!$M$3),1,0)))</f>
        <v>0</v>
      </c>
      <c r="AD813" s="39" t="str">
        <f aca="false">IF($F813="","",IF(COUNTA($I813:$K813)=0,0,1/COUNTA($I813:$K813)))</f>
        <v/>
      </c>
      <c r="AE813" s="39" t="str">
        <f aca="false">IF($AH813=0,"",SUM($AH$4:$AH813))</f>
        <v/>
      </c>
      <c r="AF813" s="39" t="str">
        <f aca="false">IF($AI813=0,"",SUM($AI$4:$AI813))</f>
        <v/>
      </c>
      <c r="AG813" s="50" t="str">
        <f aca="false">IF($F813="","",$I813&amp;IF($J813="",""," · "&amp;$J813)&amp;IF($K813="",""," · "&amp;$K813))</f>
        <v/>
      </c>
      <c r="AH813" s="39" t="n">
        <f aca="false">IF(AND($F813&lt;&gt;"",$O813&lt;&gt;"",$O813&lt;=Hoje!$C$3,$P813&gt;=Hoje!$C$3,$R813&lt;&gt;"Cancelada"),1,0)</f>
        <v>0</v>
      </c>
      <c r="AI813" s="39" t="n">
        <f aca="false">IF(AND($F813&lt;&gt;"",$P813&lt;&gt;"",$P813&lt;Hoje!$C$3,$AB813=0,$R813&lt;&gt;"Cancelada"),1,0)</f>
        <v>0</v>
      </c>
      <c r="AJ813" s="50" t="str">
        <f aca="false">IF($F813="","",$D813&amp;"|"&amp;$E813&amp;"|"&amp;$L813)</f>
        <v/>
      </c>
      <c r="AK813" s="39" t="str">
        <f aca="false">IF($AJ813="","",COUNTIF($AJ$4:$AJ813,$AJ813))</f>
        <v/>
      </c>
      <c r="AL813" s="39" t="str">
        <f aca="false">IF($AJ813="","",COUNTIF($AJ$4:$AJ$1004,$AJ813))</f>
        <v/>
      </c>
      <c r="AM813" s="42"/>
      <c r="AN813" s="50" t="str">
        <f aca="false">IF($D813="","",IFERROR(T(VLOOKUP($D813,Listas!$B$5:$H$120,7,0)),""))</f>
        <v/>
      </c>
      <c r="AO813" s="50" t="str">
        <f aca="false">IF(OR($F813="",$L813&lt;&gt;"",$R813="Cancelada",$AT813&lt;&gt;""),"",$AN813&amp;"|"&amp;$D813&amp;"|"&amp;IF($C813="","zzz",$C813)&amp;"|"&amp;TEXT(813,"0000"))</f>
        <v/>
      </c>
      <c r="AP813" s="50" t="str">
        <f aca="false">IF($AO813="","",COUNTIF($AO$5:$AO$1004,"&lt;"&amp;$AO813)-(ROWS($AO$5:$AO$1004)-Hoje!$L$5)+1)</f>
        <v/>
      </c>
      <c r="AQ813" s="50" t="n">
        <f aca="false">IF(AND($F813&lt;&gt;"",$D813=Frota!$C$3),1,0)</f>
        <v>0</v>
      </c>
      <c r="AR813" s="50" t="str">
        <f aca="false">IF($AQ813=0,"",SUM($AQ$4:$AQ813))</f>
        <v/>
      </c>
      <c r="AS813" s="50" t="str">
        <f aca="false">IFERROR(INDEX(Hoje!$K$10:$K$29,MATCH(ROW(),Hoje!$J$10:$J$29,0)),"")</f>
        <v/>
      </c>
      <c r="AT813" s="50" t="str">
        <f aca="false">IF($Q813&lt;&gt;"",$Q813,$AS813)</f>
        <v/>
      </c>
    </row>
    <row r="814" customFormat="false" ht="16.5" hidden="false" customHeight="true" outlineLevel="0" collapsed="false">
      <c r="A814" s="39" t="str">
        <f aca="false">IF($F814="","",ROW())</f>
        <v/>
      </c>
      <c r="B814" s="40" t="str">
        <f aca="false">IF($F814="",IF($D814="","","Falta a atividade"),IF($R814="Cancelada","Cancelada",IF($AB814=1,IF(N($Z814)&gt;0,"Concluída com atraso","Concluída"),IF($R814="Em programação","Em programação",IF($O814="",IF($M814="","Na carteira","Falta a semana"),IF($AC814=1,"VENCIDA",IF($O814&gt;Hoje!$L$1,"Programada",IF($P814&gt;Hoje!$L$1,"Em execução","Fecha hoje"))))))))</f>
        <v/>
      </c>
      <c r="C814" s="41"/>
      <c r="D814" s="42"/>
      <c r="E814" s="42"/>
      <c r="F814" s="42"/>
      <c r="G814" s="43"/>
      <c r="H814" s="43"/>
      <c r="I814" s="44"/>
      <c r="J814" s="44"/>
      <c r="K814" s="44"/>
      <c r="L814" s="45"/>
      <c r="M814" s="46"/>
      <c r="N814" s="45"/>
      <c r="O814" s="47" t="str">
        <f aca="false">IF(OR($L814="",$M814=""),"",(DATE(Semana!$J$3,1,4)-WEEKDAY(DATE(Semana!$J$3,1,4),3))+($L814-1)*7+MATCH($M814,Listas!$F$5:$F$11,0)-1)</f>
        <v/>
      </c>
      <c r="P814" s="47" t="str">
        <f aca="false">IF(OR($F814="",$O814=""),"",$O814+MAX(0,ROUNDUP($AK814*MAX(1,IF($N814="",1,$N814))/MAX(1,$AL814),0)-1))</f>
        <v/>
      </c>
      <c r="Q814" s="48"/>
      <c r="R814" s="43"/>
      <c r="S814" s="49"/>
      <c r="T814" s="42"/>
      <c r="U814" s="42"/>
      <c r="V814" s="39" t="str">
        <f aca="false">IF($F814="","",IF(ISNUMBER(SEARCH("(externo)",$I814&amp;$J814&amp;$K814)),"Terceirizada","Interna"))</f>
        <v/>
      </c>
      <c r="W814" s="47" t="str">
        <f aca="false">IF($O814="","",IF($S814="",$O814,(DATE(Semana!$J$3,1,4)-WEEKDAY(DATE(Semana!$J$3,1,4),3))+($S814-1)*7+IF($M814="",0,MATCH($M814,Listas!$F$5:$F$11,0)-1)))</f>
        <v/>
      </c>
      <c r="X814" s="39" t="str">
        <f aca="false">IF($F814="","",IF(OR($AT814="",$O814=""),0,IF($AT814&lt;=$O814,1,0)))</f>
        <v/>
      </c>
      <c r="Y814" s="39" t="str">
        <f aca="false">IF($F814="","",IF(OR($AT814="",$W814=""),0,IF($AT814&lt;=$W814,1,0)))</f>
        <v/>
      </c>
      <c r="Z814" s="39" t="str">
        <f aca="false">IF(OR($AT814="",$O814=""),"",MAX(0,$AT814-$O814))</f>
        <v/>
      </c>
      <c r="AA814" s="39" t="str">
        <f aca="false">IF($F814="","",IF(AND($S814&lt;&gt;"",$L814&lt;&gt;"",$S814&lt;&gt;$L814),1,0))</f>
        <v/>
      </c>
      <c r="AB814" s="39" t="str">
        <f aca="false">IF($F814="","",IF($R814="Cancelada",0,IF(OR($AT814&lt;&gt;"",$R814="Concluída"),1,0)))</f>
        <v/>
      </c>
      <c r="AC814" s="39" t="n">
        <f aca="false">IF($P814="",0,IF($P814&lt;Hoje!$L$1,1,IF(AND($P814=Hoje!$L$1,Hoje!$L$2&gt;Semana!$M$3),1,0)))</f>
        <v>0</v>
      </c>
      <c r="AD814" s="39" t="str">
        <f aca="false">IF($F814="","",IF(COUNTA($I814:$K814)=0,0,1/COUNTA($I814:$K814)))</f>
        <v/>
      </c>
      <c r="AE814" s="39" t="str">
        <f aca="false">IF($AH814=0,"",SUM($AH$4:$AH814))</f>
        <v/>
      </c>
      <c r="AF814" s="39" t="str">
        <f aca="false">IF($AI814=0,"",SUM($AI$4:$AI814))</f>
        <v/>
      </c>
      <c r="AG814" s="50" t="str">
        <f aca="false">IF($F814="","",$I814&amp;IF($J814="",""," · "&amp;$J814)&amp;IF($K814="",""," · "&amp;$K814))</f>
        <v/>
      </c>
      <c r="AH814" s="39" t="n">
        <f aca="false">IF(AND($F814&lt;&gt;"",$O814&lt;&gt;"",$O814&lt;=Hoje!$C$3,$P814&gt;=Hoje!$C$3,$R814&lt;&gt;"Cancelada"),1,0)</f>
        <v>0</v>
      </c>
      <c r="AI814" s="39" t="n">
        <f aca="false">IF(AND($F814&lt;&gt;"",$P814&lt;&gt;"",$P814&lt;Hoje!$C$3,$AB814=0,$R814&lt;&gt;"Cancelada"),1,0)</f>
        <v>0</v>
      </c>
      <c r="AJ814" s="50" t="str">
        <f aca="false">IF($F814="","",$D814&amp;"|"&amp;$E814&amp;"|"&amp;$L814)</f>
        <v/>
      </c>
      <c r="AK814" s="39" t="str">
        <f aca="false">IF($AJ814="","",COUNTIF($AJ$4:$AJ814,$AJ814))</f>
        <v/>
      </c>
      <c r="AL814" s="39" t="str">
        <f aca="false">IF($AJ814="","",COUNTIF($AJ$4:$AJ$1004,$AJ814))</f>
        <v/>
      </c>
      <c r="AM814" s="42"/>
      <c r="AN814" s="50" t="str">
        <f aca="false">IF($D814="","",IFERROR(T(VLOOKUP($D814,Listas!$B$5:$H$120,7,0)),""))</f>
        <v/>
      </c>
      <c r="AO814" s="50" t="str">
        <f aca="false">IF(OR($F814="",$L814&lt;&gt;"",$R814="Cancelada",$AT814&lt;&gt;""),"",$AN814&amp;"|"&amp;$D814&amp;"|"&amp;IF($C814="","zzz",$C814)&amp;"|"&amp;TEXT(814,"0000"))</f>
        <v/>
      </c>
      <c r="AP814" s="50" t="str">
        <f aca="false">IF($AO814="","",COUNTIF($AO$5:$AO$1004,"&lt;"&amp;$AO814)-(ROWS($AO$5:$AO$1004)-Hoje!$L$5)+1)</f>
        <v/>
      </c>
      <c r="AQ814" s="50" t="n">
        <f aca="false">IF(AND($F814&lt;&gt;"",$D814=Frota!$C$3),1,0)</f>
        <v>0</v>
      </c>
      <c r="AR814" s="50" t="str">
        <f aca="false">IF($AQ814=0,"",SUM($AQ$4:$AQ814))</f>
        <v/>
      </c>
      <c r="AS814" s="50" t="str">
        <f aca="false">IFERROR(INDEX(Hoje!$K$10:$K$29,MATCH(ROW(),Hoje!$J$10:$J$29,0)),"")</f>
        <v/>
      </c>
      <c r="AT814" s="50" t="str">
        <f aca="false">IF($Q814&lt;&gt;"",$Q814,$AS814)</f>
        <v/>
      </c>
    </row>
    <row r="815" customFormat="false" ht="16.5" hidden="false" customHeight="true" outlineLevel="0" collapsed="false">
      <c r="A815" s="39" t="str">
        <f aca="false">IF($F815="","",ROW())</f>
        <v/>
      </c>
      <c r="B815" s="40" t="str">
        <f aca="false">IF($F815="",IF($D815="","","Falta a atividade"),IF($R815="Cancelada","Cancelada",IF($AB815=1,IF(N($Z815)&gt;0,"Concluída com atraso","Concluída"),IF($R815="Em programação","Em programação",IF($O815="",IF($M815="","Na carteira","Falta a semana"),IF($AC815=1,"VENCIDA",IF($O815&gt;Hoje!$L$1,"Programada",IF($P815&gt;Hoje!$L$1,"Em execução","Fecha hoje"))))))))</f>
        <v/>
      </c>
      <c r="C815" s="41"/>
      <c r="D815" s="42"/>
      <c r="E815" s="42"/>
      <c r="F815" s="42"/>
      <c r="G815" s="43"/>
      <c r="H815" s="43"/>
      <c r="I815" s="44"/>
      <c r="J815" s="44"/>
      <c r="K815" s="44"/>
      <c r="L815" s="45"/>
      <c r="M815" s="46"/>
      <c r="N815" s="45"/>
      <c r="O815" s="47" t="str">
        <f aca="false">IF(OR($L815="",$M815=""),"",(DATE(Semana!$J$3,1,4)-WEEKDAY(DATE(Semana!$J$3,1,4),3))+($L815-1)*7+MATCH($M815,Listas!$F$5:$F$11,0)-1)</f>
        <v/>
      </c>
      <c r="P815" s="47" t="str">
        <f aca="false">IF(OR($F815="",$O815=""),"",$O815+MAX(0,ROUNDUP($AK815*MAX(1,IF($N815="",1,$N815))/MAX(1,$AL815),0)-1))</f>
        <v/>
      </c>
      <c r="Q815" s="48"/>
      <c r="R815" s="43"/>
      <c r="S815" s="49"/>
      <c r="T815" s="42"/>
      <c r="U815" s="42"/>
      <c r="V815" s="39" t="str">
        <f aca="false">IF($F815="","",IF(ISNUMBER(SEARCH("(externo)",$I815&amp;$J815&amp;$K815)),"Terceirizada","Interna"))</f>
        <v/>
      </c>
      <c r="W815" s="47" t="str">
        <f aca="false">IF($O815="","",IF($S815="",$O815,(DATE(Semana!$J$3,1,4)-WEEKDAY(DATE(Semana!$J$3,1,4),3))+($S815-1)*7+IF($M815="",0,MATCH($M815,Listas!$F$5:$F$11,0)-1)))</f>
        <v/>
      </c>
      <c r="X815" s="39" t="str">
        <f aca="false">IF($F815="","",IF(OR($AT815="",$O815=""),0,IF($AT815&lt;=$O815,1,0)))</f>
        <v/>
      </c>
      <c r="Y815" s="39" t="str">
        <f aca="false">IF($F815="","",IF(OR($AT815="",$W815=""),0,IF($AT815&lt;=$W815,1,0)))</f>
        <v/>
      </c>
      <c r="Z815" s="39" t="str">
        <f aca="false">IF(OR($AT815="",$O815=""),"",MAX(0,$AT815-$O815))</f>
        <v/>
      </c>
      <c r="AA815" s="39" t="str">
        <f aca="false">IF($F815="","",IF(AND($S815&lt;&gt;"",$L815&lt;&gt;"",$S815&lt;&gt;$L815),1,0))</f>
        <v/>
      </c>
      <c r="AB815" s="39" t="str">
        <f aca="false">IF($F815="","",IF($R815="Cancelada",0,IF(OR($AT815&lt;&gt;"",$R815="Concluída"),1,0)))</f>
        <v/>
      </c>
      <c r="AC815" s="39" t="n">
        <f aca="false">IF($P815="",0,IF($P815&lt;Hoje!$L$1,1,IF(AND($P815=Hoje!$L$1,Hoje!$L$2&gt;Semana!$M$3),1,0)))</f>
        <v>0</v>
      </c>
      <c r="AD815" s="39" t="str">
        <f aca="false">IF($F815="","",IF(COUNTA($I815:$K815)=0,0,1/COUNTA($I815:$K815)))</f>
        <v/>
      </c>
      <c r="AE815" s="39" t="str">
        <f aca="false">IF($AH815=0,"",SUM($AH$4:$AH815))</f>
        <v/>
      </c>
      <c r="AF815" s="39" t="str">
        <f aca="false">IF($AI815=0,"",SUM($AI$4:$AI815))</f>
        <v/>
      </c>
      <c r="AG815" s="50" t="str">
        <f aca="false">IF($F815="","",$I815&amp;IF($J815="",""," · "&amp;$J815)&amp;IF($K815="",""," · "&amp;$K815))</f>
        <v/>
      </c>
      <c r="AH815" s="39" t="n">
        <f aca="false">IF(AND($F815&lt;&gt;"",$O815&lt;&gt;"",$O815&lt;=Hoje!$C$3,$P815&gt;=Hoje!$C$3,$R815&lt;&gt;"Cancelada"),1,0)</f>
        <v>0</v>
      </c>
      <c r="AI815" s="39" t="n">
        <f aca="false">IF(AND($F815&lt;&gt;"",$P815&lt;&gt;"",$P815&lt;Hoje!$C$3,$AB815=0,$R815&lt;&gt;"Cancelada"),1,0)</f>
        <v>0</v>
      </c>
      <c r="AJ815" s="50" t="str">
        <f aca="false">IF($F815="","",$D815&amp;"|"&amp;$E815&amp;"|"&amp;$L815)</f>
        <v/>
      </c>
      <c r="AK815" s="39" t="str">
        <f aca="false">IF($AJ815="","",COUNTIF($AJ$4:$AJ815,$AJ815))</f>
        <v/>
      </c>
      <c r="AL815" s="39" t="str">
        <f aca="false">IF($AJ815="","",COUNTIF($AJ$4:$AJ$1004,$AJ815))</f>
        <v/>
      </c>
      <c r="AM815" s="42"/>
      <c r="AN815" s="50" t="str">
        <f aca="false">IF($D815="","",IFERROR(T(VLOOKUP($D815,Listas!$B$5:$H$120,7,0)),""))</f>
        <v/>
      </c>
      <c r="AO815" s="50" t="str">
        <f aca="false">IF(OR($F815="",$L815&lt;&gt;"",$R815="Cancelada",$AT815&lt;&gt;""),"",$AN815&amp;"|"&amp;$D815&amp;"|"&amp;IF($C815="","zzz",$C815)&amp;"|"&amp;TEXT(815,"0000"))</f>
        <v/>
      </c>
      <c r="AP815" s="50" t="str">
        <f aca="false">IF($AO815="","",COUNTIF($AO$5:$AO$1004,"&lt;"&amp;$AO815)-(ROWS($AO$5:$AO$1004)-Hoje!$L$5)+1)</f>
        <v/>
      </c>
      <c r="AQ815" s="50" t="n">
        <f aca="false">IF(AND($F815&lt;&gt;"",$D815=Frota!$C$3),1,0)</f>
        <v>0</v>
      </c>
      <c r="AR815" s="50" t="str">
        <f aca="false">IF($AQ815=0,"",SUM($AQ$4:$AQ815))</f>
        <v/>
      </c>
      <c r="AS815" s="50" t="str">
        <f aca="false">IFERROR(INDEX(Hoje!$K$10:$K$29,MATCH(ROW(),Hoje!$J$10:$J$29,0)),"")</f>
        <v/>
      </c>
      <c r="AT815" s="50" t="str">
        <f aca="false">IF($Q815&lt;&gt;"",$Q815,$AS815)</f>
        <v/>
      </c>
    </row>
    <row r="816" customFormat="false" ht="16.5" hidden="false" customHeight="true" outlineLevel="0" collapsed="false">
      <c r="A816" s="39" t="str">
        <f aca="false">IF($F816="","",ROW())</f>
        <v/>
      </c>
      <c r="B816" s="40" t="str">
        <f aca="false">IF($F816="",IF($D816="","","Falta a atividade"),IF($R816="Cancelada","Cancelada",IF($AB816=1,IF(N($Z816)&gt;0,"Concluída com atraso","Concluída"),IF($R816="Em programação","Em programação",IF($O816="",IF($M816="","Na carteira","Falta a semana"),IF($AC816=1,"VENCIDA",IF($O816&gt;Hoje!$L$1,"Programada",IF($P816&gt;Hoje!$L$1,"Em execução","Fecha hoje"))))))))</f>
        <v/>
      </c>
      <c r="C816" s="41"/>
      <c r="D816" s="42"/>
      <c r="E816" s="42"/>
      <c r="F816" s="42"/>
      <c r="G816" s="43"/>
      <c r="H816" s="43"/>
      <c r="I816" s="44"/>
      <c r="J816" s="44"/>
      <c r="K816" s="44"/>
      <c r="L816" s="45"/>
      <c r="M816" s="46"/>
      <c r="N816" s="45"/>
      <c r="O816" s="47" t="str">
        <f aca="false">IF(OR($L816="",$M816=""),"",(DATE(Semana!$J$3,1,4)-WEEKDAY(DATE(Semana!$J$3,1,4),3))+($L816-1)*7+MATCH($M816,Listas!$F$5:$F$11,0)-1)</f>
        <v/>
      </c>
      <c r="P816" s="47" t="str">
        <f aca="false">IF(OR($F816="",$O816=""),"",$O816+MAX(0,ROUNDUP($AK816*MAX(1,IF($N816="",1,$N816))/MAX(1,$AL816),0)-1))</f>
        <v/>
      </c>
      <c r="Q816" s="48"/>
      <c r="R816" s="43"/>
      <c r="S816" s="49"/>
      <c r="T816" s="42"/>
      <c r="U816" s="42"/>
      <c r="V816" s="39" t="str">
        <f aca="false">IF($F816="","",IF(ISNUMBER(SEARCH("(externo)",$I816&amp;$J816&amp;$K816)),"Terceirizada","Interna"))</f>
        <v/>
      </c>
      <c r="W816" s="47" t="str">
        <f aca="false">IF($O816="","",IF($S816="",$O816,(DATE(Semana!$J$3,1,4)-WEEKDAY(DATE(Semana!$J$3,1,4),3))+($S816-1)*7+IF($M816="",0,MATCH($M816,Listas!$F$5:$F$11,0)-1)))</f>
        <v/>
      </c>
      <c r="X816" s="39" t="str">
        <f aca="false">IF($F816="","",IF(OR($AT816="",$O816=""),0,IF($AT816&lt;=$O816,1,0)))</f>
        <v/>
      </c>
      <c r="Y816" s="39" t="str">
        <f aca="false">IF($F816="","",IF(OR($AT816="",$W816=""),0,IF($AT816&lt;=$W816,1,0)))</f>
        <v/>
      </c>
      <c r="Z816" s="39" t="str">
        <f aca="false">IF(OR($AT816="",$O816=""),"",MAX(0,$AT816-$O816))</f>
        <v/>
      </c>
      <c r="AA816" s="39" t="str">
        <f aca="false">IF($F816="","",IF(AND($S816&lt;&gt;"",$L816&lt;&gt;"",$S816&lt;&gt;$L816),1,0))</f>
        <v/>
      </c>
      <c r="AB816" s="39" t="str">
        <f aca="false">IF($F816="","",IF($R816="Cancelada",0,IF(OR($AT816&lt;&gt;"",$R816="Concluída"),1,0)))</f>
        <v/>
      </c>
      <c r="AC816" s="39" t="n">
        <f aca="false">IF($P816="",0,IF($P816&lt;Hoje!$L$1,1,IF(AND($P816=Hoje!$L$1,Hoje!$L$2&gt;Semana!$M$3),1,0)))</f>
        <v>0</v>
      </c>
      <c r="AD816" s="39" t="str">
        <f aca="false">IF($F816="","",IF(COUNTA($I816:$K816)=0,0,1/COUNTA($I816:$K816)))</f>
        <v/>
      </c>
      <c r="AE816" s="39" t="str">
        <f aca="false">IF($AH816=0,"",SUM($AH$4:$AH816))</f>
        <v/>
      </c>
      <c r="AF816" s="39" t="str">
        <f aca="false">IF($AI816=0,"",SUM($AI$4:$AI816))</f>
        <v/>
      </c>
      <c r="AG816" s="50" t="str">
        <f aca="false">IF($F816="","",$I816&amp;IF($J816="",""," · "&amp;$J816)&amp;IF($K816="",""," · "&amp;$K816))</f>
        <v/>
      </c>
      <c r="AH816" s="39" t="n">
        <f aca="false">IF(AND($F816&lt;&gt;"",$O816&lt;&gt;"",$O816&lt;=Hoje!$C$3,$P816&gt;=Hoje!$C$3,$R816&lt;&gt;"Cancelada"),1,0)</f>
        <v>0</v>
      </c>
      <c r="AI816" s="39" t="n">
        <f aca="false">IF(AND($F816&lt;&gt;"",$P816&lt;&gt;"",$P816&lt;Hoje!$C$3,$AB816=0,$R816&lt;&gt;"Cancelada"),1,0)</f>
        <v>0</v>
      </c>
      <c r="AJ816" s="50" t="str">
        <f aca="false">IF($F816="","",$D816&amp;"|"&amp;$E816&amp;"|"&amp;$L816)</f>
        <v/>
      </c>
      <c r="AK816" s="39" t="str">
        <f aca="false">IF($AJ816="","",COUNTIF($AJ$4:$AJ816,$AJ816))</f>
        <v/>
      </c>
      <c r="AL816" s="39" t="str">
        <f aca="false">IF($AJ816="","",COUNTIF($AJ$4:$AJ$1004,$AJ816))</f>
        <v/>
      </c>
      <c r="AM816" s="42"/>
      <c r="AN816" s="50" t="str">
        <f aca="false">IF($D816="","",IFERROR(T(VLOOKUP($D816,Listas!$B$5:$H$120,7,0)),""))</f>
        <v/>
      </c>
      <c r="AO816" s="50" t="str">
        <f aca="false">IF(OR($F816="",$L816&lt;&gt;"",$R816="Cancelada",$AT816&lt;&gt;""),"",$AN816&amp;"|"&amp;$D816&amp;"|"&amp;IF($C816="","zzz",$C816)&amp;"|"&amp;TEXT(816,"0000"))</f>
        <v/>
      </c>
      <c r="AP816" s="50" t="str">
        <f aca="false">IF($AO816="","",COUNTIF($AO$5:$AO$1004,"&lt;"&amp;$AO816)-(ROWS($AO$5:$AO$1004)-Hoje!$L$5)+1)</f>
        <v/>
      </c>
      <c r="AQ816" s="50" t="n">
        <f aca="false">IF(AND($F816&lt;&gt;"",$D816=Frota!$C$3),1,0)</f>
        <v>0</v>
      </c>
      <c r="AR816" s="50" t="str">
        <f aca="false">IF($AQ816=0,"",SUM($AQ$4:$AQ816))</f>
        <v/>
      </c>
      <c r="AS816" s="50" t="str">
        <f aca="false">IFERROR(INDEX(Hoje!$K$10:$K$29,MATCH(ROW(),Hoje!$J$10:$J$29,0)),"")</f>
        <v/>
      </c>
      <c r="AT816" s="50" t="str">
        <f aca="false">IF($Q816&lt;&gt;"",$Q816,$AS816)</f>
        <v/>
      </c>
    </row>
    <row r="817" customFormat="false" ht="16.5" hidden="false" customHeight="true" outlineLevel="0" collapsed="false">
      <c r="A817" s="39" t="str">
        <f aca="false">IF($F817="","",ROW())</f>
        <v/>
      </c>
      <c r="B817" s="40" t="str">
        <f aca="false">IF($F817="",IF($D817="","","Falta a atividade"),IF($R817="Cancelada","Cancelada",IF($AB817=1,IF(N($Z817)&gt;0,"Concluída com atraso","Concluída"),IF($R817="Em programação","Em programação",IF($O817="",IF($M817="","Na carteira","Falta a semana"),IF($AC817=1,"VENCIDA",IF($O817&gt;Hoje!$L$1,"Programada",IF($P817&gt;Hoje!$L$1,"Em execução","Fecha hoje"))))))))</f>
        <v/>
      </c>
      <c r="C817" s="41"/>
      <c r="D817" s="42"/>
      <c r="E817" s="42"/>
      <c r="F817" s="42"/>
      <c r="G817" s="43"/>
      <c r="H817" s="43"/>
      <c r="I817" s="44"/>
      <c r="J817" s="44"/>
      <c r="K817" s="44"/>
      <c r="L817" s="45"/>
      <c r="M817" s="46"/>
      <c r="N817" s="45"/>
      <c r="O817" s="47" t="str">
        <f aca="false">IF(OR($L817="",$M817=""),"",(DATE(Semana!$J$3,1,4)-WEEKDAY(DATE(Semana!$J$3,1,4),3))+($L817-1)*7+MATCH($M817,Listas!$F$5:$F$11,0)-1)</f>
        <v/>
      </c>
      <c r="P817" s="47" t="str">
        <f aca="false">IF(OR($F817="",$O817=""),"",$O817+MAX(0,ROUNDUP($AK817*MAX(1,IF($N817="",1,$N817))/MAX(1,$AL817),0)-1))</f>
        <v/>
      </c>
      <c r="Q817" s="48"/>
      <c r="R817" s="43"/>
      <c r="S817" s="49"/>
      <c r="T817" s="42"/>
      <c r="U817" s="42"/>
      <c r="V817" s="39" t="str">
        <f aca="false">IF($F817="","",IF(ISNUMBER(SEARCH("(externo)",$I817&amp;$J817&amp;$K817)),"Terceirizada","Interna"))</f>
        <v/>
      </c>
      <c r="W817" s="47" t="str">
        <f aca="false">IF($O817="","",IF($S817="",$O817,(DATE(Semana!$J$3,1,4)-WEEKDAY(DATE(Semana!$J$3,1,4),3))+($S817-1)*7+IF($M817="",0,MATCH($M817,Listas!$F$5:$F$11,0)-1)))</f>
        <v/>
      </c>
      <c r="X817" s="39" t="str">
        <f aca="false">IF($F817="","",IF(OR($AT817="",$O817=""),0,IF($AT817&lt;=$O817,1,0)))</f>
        <v/>
      </c>
      <c r="Y817" s="39" t="str">
        <f aca="false">IF($F817="","",IF(OR($AT817="",$W817=""),0,IF($AT817&lt;=$W817,1,0)))</f>
        <v/>
      </c>
      <c r="Z817" s="39" t="str">
        <f aca="false">IF(OR($AT817="",$O817=""),"",MAX(0,$AT817-$O817))</f>
        <v/>
      </c>
      <c r="AA817" s="39" t="str">
        <f aca="false">IF($F817="","",IF(AND($S817&lt;&gt;"",$L817&lt;&gt;"",$S817&lt;&gt;$L817),1,0))</f>
        <v/>
      </c>
      <c r="AB817" s="39" t="str">
        <f aca="false">IF($F817="","",IF($R817="Cancelada",0,IF(OR($AT817&lt;&gt;"",$R817="Concluída"),1,0)))</f>
        <v/>
      </c>
      <c r="AC817" s="39" t="n">
        <f aca="false">IF($P817="",0,IF($P817&lt;Hoje!$L$1,1,IF(AND($P817=Hoje!$L$1,Hoje!$L$2&gt;Semana!$M$3),1,0)))</f>
        <v>0</v>
      </c>
      <c r="AD817" s="39" t="str">
        <f aca="false">IF($F817="","",IF(COUNTA($I817:$K817)=0,0,1/COUNTA($I817:$K817)))</f>
        <v/>
      </c>
      <c r="AE817" s="39" t="str">
        <f aca="false">IF($AH817=0,"",SUM($AH$4:$AH817))</f>
        <v/>
      </c>
      <c r="AF817" s="39" t="str">
        <f aca="false">IF($AI817=0,"",SUM($AI$4:$AI817))</f>
        <v/>
      </c>
      <c r="AG817" s="50" t="str">
        <f aca="false">IF($F817="","",$I817&amp;IF($J817="",""," · "&amp;$J817)&amp;IF($K817="",""," · "&amp;$K817))</f>
        <v/>
      </c>
      <c r="AH817" s="39" t="n">
        <f aca="false">IF(AND($F817&lt;&gt;"",$O817&lt;&gt;"",$O817&lt;=Hoje!$C$3,$P817&gt;=Hoje!$C$3,$R817&lt;&gt;"Cancelada"),1,0)</f>
        <v>0</v>
      </c>
      <c r="AI817" s="39" t="n">
        <f aca="false">IF(AND($F817&lt;&gt;"",$P817&lt;&gt;"",$P817&lt;Hoje!$C$3,$AB817=0,$R817&lt;&gt;"Cancelada"),1,0)</f>
        <v>0</v>
      </c>
      <c r="AJ817" s="50" t="str">
        <f aca="false">IF($F817="","",$D817&amp;"|"&amp;$E817&amp;"|"&amp;$L817)</f>
        <v/>
      </c>
      <c r="AK817" s="39" t="str">
        <f aca="false">IF($AJ817="","",COUNTIF($AJ$4:$AJ817,$AJ817))</f>
        <v/>
      </c>
      <c r="AL817" s="39" t="str">
        <f aca="false">IF($AJ817="","",COUNTIF($AJ$4:$AJ$1004,$AJ817))</f>
        <v/>
      </c>
      <c r="AM817" s="42"/>
      <c r="AN817" s="50" t="str">
        <f aca="false">IF($D817="","",IFERROR(T(VLOOKUP($D817,Listas!$B$5:$H$120,7,0)),""))</f>
        <v/>
      </c>
      <c r="AO817" s="50" t="str">
        <f aca="false">IF(OR($F817="",$L817&lt;&gt;"",$R817="Cancelada",$AT817&lt;&gt;""),"",$AN817&amp;"|"&amp;$D817&amp;"|"&amp;IF($C817="","zzz",$C817)&amp;"|"&amp;TEXT(817,"0000"))</f>
        <v/>
      </c>
      <c r="AP817" s="50" t="str">
        <f aca="false">IF($AO817="","",COUNTIF($AO$5:$AO$1004,"&lt;"&amp;$AO817)-(ROWS($AO$5:$AO$1004)-Hoje!$L$5)+1)</f>
        <v/>
      </c>
      <c r="AQ817" s="50" t="n">
        <f aca="false">IF(AND($F817&lt;&gt;"",$D817=Frota!$C$3),1,0)</f>
        <v>0</v>
      </c>
      <c r="AR817" s="50" t="str">
        <f aca="false">IF($AQ817=0,"",SUM($AQ$4:$AQ817))</f>
        <v/>
      </c>
      <c r="AS817" s="50" t="str">
        <f aca="false">IFERROR(INDEX(Hoje!$K$10:$K$29,MATCH(ROW(),Hoje!$J$10:$J$29,0)),"")</f>
        <v/>
      </c>
      <c r="AT817" s="50" t="str">
        <f aca="false">IF($Q817&lt;&gt;"",$Q817,$AS817)</f>
        <v/>
      </c>
    </row>
    <row r="818" customFormat="false" ht="16.5" hidden="false" customHeight="true" outlineLevel="0" collapsed="false">
      <c r="A818" s="39" t="str">
        <f aca="false">IF($F818="","",ROW())</f>
        <v/>
      </c>
      <c r="B818" s="40" t="str">
        <f aca="false">IF($F818="",IF($D818="","","Falta a atividade"),IF($R818="Cancelada","Cancelada",IF($AB818=1,IF(N($Z818)&gt;0,"Concluída com atraso","Concluída"),IF($R818="Em programação","Em programação",IF($O818="",IF($M818="","Na carteira","Falta a semana"),IF($AC818=1,"VENCIDA",IF($O818&gt;Hoje!$L$1,"Programada",IF($P818&gt;Hoje!$L$1,"Em execução","Fecha hoje"))))))))</f>
        <v/>
      </c>
      <c r="C818" s="41"/>
      <c r="D818" s="42"/>
      <c r="E818" s="42"/>
      <c r="F818" s="42"/>
      <c r="G818" s="43"/>
      <c r="H818" s="43"/>
      <c r="I818" s="44"/>
      <c r="J818" s="44"/>
      <c r="K818" s="44"/>
      <c r="L818" s="45"/>
      <c r="M818" s="46"/>
      <c r="N818" s="45"/>
      <c r="O818" s="47" t="str">
        <f aca="false">IF(OR($L818="",$M818=""),"",(DATE(Semana!$J$3,1,4)-WEEKDAY(DATE(Semana!$J$3,1,4),3))+($L818-1)*7+MATCH($M818,Listas!$F$5:$F$11,0)-1)</f>
        <v/>
      </c>
      <c r="P818" s="47" t="str">
        <f aca="false">IF(OR($F818="",$O818=""),"",$O818+MAX(0,ROUNDUP($AK818*MAX(1,IF($N818="",1,$N818))/MAX(1,$AL818),0)-1))</f>
        <v/>
      </c>
      <c r="Q818" s="48"/>
      <c r="R818" s="43"/>
      <c r="S818" s="49"/>
      <c r="T818" s="42"/>
      <c r="U818" s="42"/>
      <c r="V818" s="39" t="str">
        <f aca="false">IF($F818="","",IF(ISNUMBER(SEARCH("(externo)",$I818&amp;$J818&amp;$K818)),"Terceirizada","Interna"))</f>
        <v/>
      </c>
      <c r="W818" s="47" t="str">
        <f aca="false">IF($O818="","",IF($S818="",$O818,(DATE(Semana!$J$3,1,4)-WEEKDAY(DATE(Semana!$J$3,1,4),3))+($S818-1)*7+IF($M818="",0,MATCH($M818,Listas!$F$5:$F$11,0)-1)))</f>
        <v/>
      </c>
      <c r="X818" s="39" t="str">
        <f aca="false">IF($F818="","",IF(OR($AT818="",$O818=""),0,IF($AT818&lt;=$O818,1,0)))</f>
        <v/>
      </c>
      <c r="Y818" s="39" t="str">
        <f aca="false">IF($F818="","",IF(OR($AT818="",$W818=""),0,IF($AT818&lt;=$W818,1,0)))</f>
        <v/>
      </c>
      <c r="Z818" s="39" t="str">
        <f aca="false">IF(OR($AT818="",$O818=""),"",MAX(0,$AT818-$O818))</f>
        <v/>
      </c>
      <c r="AA818" s="39" t="str">
        <f aca="false">IF($F818="","",IF(AND($S818&lt;&gt;"",$L818&lt;&gt;"",$S818&lt;&gt;$L818),1,0))</f>
        <v/>
      </c>
      <c r="AB818" s="39" t="str">
        <f aca="false">IF($F818="","",IF($R818="Cancelada",0,IF(OR($AT818&lt;&gt;"",$R818="Concluída"),1,0)))</f>
        <v/>
      </c>
      <c r="AC818" s="39" t="n">
        <f aca="false">IF($P818="",0,IF($P818&lt;Hoje!$L$1,1,IF(AND($P818=Hoje!$L$1,Hoje!$L$2&gt;Semana!$M$3),1,0)))</f>
        <v>0</v>
      </c>
      <c r="AD818" s="39" t="str">
        <f aca="false">IF($F818="","",IF(COUNTA($I818:$K818)=0,0,1/COUNTA($I818:$K818)))</f>
        <v/>
      </c>
      <c r="AE818" s="39" t="str">
        <f aca="false">IF($AH818=0,"",SUM($AH$4:$AH818))</f>
        <v/>
      </c>
      <c r="AF818" s="39" t="str">
        <f aca="false">IF($AI818=0,"",SUM($AI$4:$AI818))</f>
        <v/>
      </c>
      <c r="AG818" s="50" t="str">
        <f aca="false">IF($F818="","",$I818&amp;IF($J818="",""," · "&amp;$J818)&amp;IF($K818="",""," · "&amp;$K818))</f>
        <v/>
      </c>
      <c r="AH818" s="39" t="n">
        <f aca="false">IF(AND($F818&lt;&gt;"",$O818&lt;&gt;"",$O818&lt;=Hoje!$C$3,$P818&gt;=Hoje!$C$3,$R818&lt;&gt;"Cancelada"),1,0)</f>
        <v>0</v>
      </c>
      <c r="AI818" s="39" t="n">
        <f aca="false">IF(AND($F818&lt;&gt;"",$P818&lt;&gt;"",$P818&lt;Hoje!$C$3,$AB818=0,$R818&lt;&gt;"Cancelada"),1,0)</f>
        <v>0</v>
      </c>
      <c r="AJ818" s="50" t="str">
        <f aca="false">IF($F818="","",$D818&amp;"|"&amp;$E818&amp;"|"&amp;$L818)</f>
        <v/>
      </c>
      <c r="AK818" s="39" t="str">
        <f aca="false">IF($AJ818="","",COUNTIF($AJ$4:$AJ818,$AJ818))</f>
        <v/>
      </c>
      <c r="AL818" s="39" t="str">
        <f aca="false">IF($AJ818="","",COUNTIF($AJ$4:$AJ$1004,$AJ818))</f>
        <v/>
      </c>
      <c r="AM818" s="42"/>
      <c r="AN818" s="50" t="str">
        <f aca="false">IF($D818="","",IFERROR(T(VLOOKUP($D818,Listas!$B$5:$H$120,7,0)),""))</f>
        <v/>
      </c>
      <c r="AO818" s="50" t="str">
        <f aca="false">IF(OR($F818="",$L818&lt;&gt;"",$R818="Cancelada",$AT818&lt;&gt;""),"",$AN818&amp;"|"&amp;$D818&amp;"|"&amp;IF($C818="","zzz",$C818)&amp;"|"&amp;TEXT(818,"0000"))</f>
        <v/>
      </c>
      <c r="AP818" s="50" t="str">
        <f aca="false">IF($AO818="","",COUNTIF($AO$5:$AO$1004,"&lt;"&amp;$AO818)-(ROWS($AO$5:$AO$1004)-Hoje!$L$5)+1)</f>
        <v/>
      </c>
      <c r="AQ818" s="50" t="n">
        <f aca="false">IF(AND($F818&lt;&gt;"",$D818=Frota!$C$3),1,0)</f>
        <v>0</v>
      </c>
      <c r="AR818" s="50" t="str">
        <f aca="false">IF($AQ818=0,"",SUM($AQ$4:$AQ818))</f>
        <v/>
      </c>
      <c r="AS818" s="50" t="str">
        <f aca="false">IFERROR(INDEX(Hoje!$K$10:$K$29,MATCH(ROW(),Hoje!$J$10:$J$29,0)),"")</f>
        <v/>
      </c>
      <c r="AT818" s="50" t="str">
        <f aca="false">IF($Q818&lt;&gt;"",$Q818,$AS818)</f>
        <v/>
      </c>
    </row>
    <row r="819" customFormat="false" ht="16.5" hidden="false" customHeight="true" outlineLevel="0" collapsed="false">
      <c r="A819" s="39" t="str">
        <f aca="false">IF($F819="","",ROW())</f>
        <v/>
      </c>
      <c r="B819" s="40" t="str">
        <f aca="false">IF($F819="",IF($D819="","","Falta a atividade"),IF($R819="Cancelada","Cancelada",IF($AB819=1,IF(N($Z819)&gt;0,"Concluída com atraso","Concluída"),IF($R819="Em programação","Em programação",IF($O819="",IF($M819="","Na carteira","Falta a semana"),IF($AC819=1,"VENCIDA",IF($O819&gt;Hoje!$L$1,"Programada",IF($P819&gt;Hoje!$L$1,"Em execução","Fecha hoje"))))))))</f>
        <v/>
      </c>
      <c r="C819" s="41"/>
      <c r="D819" s="42"/>
      <c r="E819" s="42"/>
      <c r="F819" s="42"/>
      <c r="G819" s="43"/>
      <c r="H819" s="43"/>
      <c r="I819" s="44"/>
      <c r="J819" s="44"/>
      <c r="K819" s="44"/>
      <c r="L819" s="45"/>
      <c r="M819" s="46"/>
      <c r="N819" s="45"/>
      <c r="O819" s="47" t="str">
        <f aca="false">IF(OR($L819="",$M819=""),"",(DATE(Semana!$J$3,1,4)-WEEKDAY(DATE(Semana!$J$3,1,4),3))+($L819-1)*7+MATCH($M819,Listas!$F$5:$F$11,0)-1)</f>
        <v/>
      </c>
      <c r="P819" s="47" t="str">
        <f aca="false">IF(OR($F819="",$O819=""),"",$O819+MAX(0,ROUNDUP($AK819*MAX(1,IF($N819="",1,$N819))/MAX(1,$AL819),0)-1))</f>
        <v/>
      </c>
      <c r="Q819" s="48"/>
      <c r="R819" s="43"/>
      <c r="S819" s="49"/>
      <c r="T819" s="42"/>
      <c r="U819" s="42"/>
      <c r="V819" s="39" t="str">
        <f aca="false">IF($F819="","",IF(ISNUMBER(SEARCH("(externo)",$I819&amp;$J819&amp;$K819)),"Terceirizada","Interna"))</f>
        <v/>
      </c>
      <c r="W819" s="47" t="str">
        <f aca="false">IF($O819="","",IF($S819="",$O819,(DATE(Semana!$J$3,1,4)-WEEKDAY(DATE(Semana!$J$3,1,4),3))+($S819-1)*7+IF($M819="",0,MATCH($M819,Listas!$F$5:$F$11,0)-1)))</f>
        <v/>
      </c>
      <c r="X819" s="39" t="str">
        <f aca="false">IF($F819="","",IF(OR($AT819="",$O819=""),0,IF($AT819&lt;=$O819,1,0)))</f>
        <v/>
      </c>
      <c r="Y819" s="39" t="str">
        <f aca="false">IF($F819="","",IF(OR($AT819="",$W819=""),0,IF($AT819&lt;=$W819,1,0)))</f>
        <v/>
      </c>
      <c r="Z819" s="39" t="str">
        <f aca="false">IF(OR($AT819="",$O819=""),"",MAX(0,$AT819-$O819))</f>
        <v/>
      </c>
      <c r="AA819" s="39" t="str">
        <f aca="false">IF($F819="","",IF(AND($S819&lt;&gt;"",$L819&lt;&gt;"",$S819&lt;&gt;$L819),1,0))</f>
        <v/>
      </c>
      <c r="AB819" s="39" t="str">
        <f aca="false">IF($F819="","",IF($R819="Cancelada",0,IF(OR($AT819&lt;&gt;"",$R819="Concluída"),1,0)))</f>
        <v/>
      </c>
      <c r="AC819" s="39" t="n">
        <f aca="false">IF($P819="",0,IF($P819&lt;Hoje!$L$1,1,IF(AND($P819=Hoje!$L$1,Hoje!$L$2&gt;Semana!$M$3),1,0)))</f>
        <v>0</v>
      </c>
      <c r="AD819" s="39" t="str">
        <f aca="false">IF($F819="","",IF(COUNTA($I819:$K819)=0,0,1/COUNTA($I819:$K819)))</f>
        <v/>
      </c>
      <c r="AE819" s="39" t="str">
        <f aca="false">IF($AH819=0,"",SUM($AH$4:$AH819))</f>
        <v/>
      </c>
      <c r="AF819" s="39" t="str">
        <f aca="false">IF($AI819=0,"",SUM($AI$4:$AI819))</f>
        <v/>
      </c>
      <c r="AG819" s="50" t="str">
        <f aca="false">IF($F819="","",$I819&amp;IF($J819="",""," · "&amp;$J819)&amp;IF($K819="",""," · "&amp;$K819))</f>
        <v/>
      </c>
      <c r="AH819" s="39" t="n">
        <f aca="false">IF(AND($F819&lt;&gt;"",$O819&lt;&gt;"",$O819&lt;=Hoje!$C$3,$P819&gt;=Hoje!$C$3,$R819&lt;&gt;"Cancelada"),1,0)</f>
        <v>0</v>
      </c>
      <c r="AI819" s="39" t="n">
        <f aca="false">IF(AND($F819&lt;&gt;"",$P819&lt;&gt;"",$P819&lt;Hoje!$C$3,$AB819=0,$R819&lt;&gt;"Cancelada"),1,0)</f>
        <v>0</v>
      </c>
      <c r="AJ819" s="50" t="str">
        <f aca="false">IF($F819="","",$D819&amp;"|"&amp;$E819&amp;"|"&amp;$L819)</f>
        <v/>
      </c>
      <c r="AK819" s="39" t="str">
        <f aca="false">IF($AJ819="","",COUNTIF($AJ$4:$AJ819,$AJ819))</f>
        <v/>
      </c>
      <c r="AL819" s="39" t="str">
        <f aca="false">IF($AJ819="","",COUNTIF($AJ$4:$AJ$1004,$AJ819))</f>
        <v/>
      </c>
      <c r="AM819" s="42"/>
      <c r="AN819" s="50" t="str">
        <f aca="false">IF($D819="","",IFERROR(T(VLOOKUP($D819,Listas!$B$5:$H$120,7,0)),""))</f>
        <v/>
      </c>
      <c r="AO819" s="50" t="str">
        <f aca="false">IF(OR($F819="",$L819&lt;&gt;"",$R819="Cancelada",$AT819&lt;&gt;""),"",$AN819&amp;"|"&amp;$D819&amp;"|"&amp;IF($C819="","zzz",$C819)&amp;"|"&amp;TEXT(819,"0000"))</f>
        <v/>
      </c>
      <c r="AP819" s="50" t="str">
        <f aca="false">IF($AO819="","",COUNTIF($AO$5:$AO$1004,"&lt;"&amp;$AO819)-(ROWS($AO$5:$AO$1004)-Hoje!$L$5)+1)</f>
        <v/>
      </c>
      <c r="AQ819" s="50" t="n">
        <f aca="false">IF(AND($F819&lt;&gt;"",$D819=Frota!$C$3),1,0)</f>
        <v>0</v>
      </c>
      <c r="AR819" s="50" t="str">
        <f aca="false">IF($AQ819=0,"",SUM($AQ$4:$AQ819))</f>
        <v/>
      </c>
      <c r="AS819" s="50" t="str">
        <f aca="false">IFERROR(INDEX(Hoje!$K$10:$K$29,MATCH(ROW(),Hoje!$J$10:$J$29,0)),"")</f>
        <v/>
      </c>
      <c r="AT819" s="50" t="str">
        <f aca="false">IF($Q819&lt;&gt;"",$Q819,$AS819)</f>
        <v/>
      </c>
    </row>
    <row r="820" customFormat="false" ht="16.5" hidden="false" customHeight="true" outlineLevel="0" collapsed="false">
      <c r="A820" s="39" t="str">
        <f aca="false">IF($F820="","",ROW())</f>
        <v/>
      </c>
      <c r="B820" s="40" t="str">
        <f aca="false">IF($F820="",IF($D820="","","Falta a atividade"),IF($R820="Cancelada","Cancelada",IF($AB820=1,IF(N($Z820)&gt;0,"Concluída com atraso","Concluída"),IF($R820="Em programação","Em programação",IF($O820="",IF($M820="","Na carteira","Falta a semana"),IF($AC820=1,"VENCIDA",IF($O820&gt;Hoje!$L$1,"Programada",IF($P820&gt;Hoje!$L$1,"Em execução","Fecha hoje"))))))))</f>
        <v/>
      </c>
      <c r="C820" s="41"/>
      <c r="D820" s="42"/>
      <c r="E820" s="42"/>
      <c r="F820" s="42"/>
      <c r="G820" s="43"/>
      <c r="H820" s="43"/>
      <c r="I820" s="44"/>
      <c r="J820" s="44"/>
      <c r="K820" s="44"/>
      <c r="L820" s="45"/>
      <c r="M820" s="46"/>
      <c r="N820" s="45"/>
      <c r="O820" s="47" t="str">
        <f aca="false">IF(OR($L820="",$M820=""),"",(DATE(Semana!$J$3,1,4)-WEEKDAY(DATE(Semana!$J$3,1,4),3))+($L820-1)*7+MATCH($M820,Listas!$F$5:$F$11,0)-1)</f>
        <v/>
      </c>
      <c r="P820" s="47" t="str">
        <f aca="false">IF(OR($F820="",$O820=""),"",$O820+MAX(0,ROUNDUP($AK820*MAX(1,IF($N820="",1,$N820))/MAX(1,$AL820),0)-1))</f>
        <v/>
      </c>
      <c r="Q820" s="48"/>
      <c r="R820" s="43"/>
      <c r="S820" s="49"/>
      <c r="T820" s="42"/>
      <c r="U820" s="42"/>
      <c r="V820" s="39" t="str">
        <f aca="false">IF($F820="","",IF(ISNUMBER(SEARCH("(externo)",$I820&amp;$J820&amp;$K820)),"Terceirizada","Interna"))</f>
        <v/>
      </c>
      <c r="W820" s="47" t="str">
        <f aca="false">IF($O820="","",IF($S820="",$O820,(DATE(Semana!$J$3,1,4)-WEEKDAY(DATE(Semana!$J$3,1,4),3))+($S820-1)*7+IF($M820="",0,MATCH($M820,Listas!$F$5:$F$11,0)-1)))</f>
        <v/>
      </c>
      <c r="X820" s="39" t="str">
        <f aca="false">IF($F820="","",IF(OR($AT820="",$O820=""),0,IF($AT820&lt;=$O820,1,0)))</f>
        <v/>
      </c>
      <c r="Y820" s="39" t="str">
        <f aca="false">IF($F820="","",IF(OR($AT820="",$W820=""),0,IF($AT820&lt;=$W820,1,0)))</f>
        <v/>
      </c>
      <c r="Z820" s="39" t="str">
        <f aca="false">IF(OR($AT820="",$O820=""),"",MAX(0,$AT820-$O820))</f>
        <v/>
      </c>
      <c r="AA820" s="39" t="str">
        <f aca="false">IF($F820="","",IF(AND($S820&lt;&gt;"",$L820&lt;&gt;"",$S820&lt;&gt;$L820),1,0))</f>
        <v/>
      </c>
      <c r="AB820" s="39" t="str">
        <f aca="false">IF($F820="","",IF($R820="Cancelada",0,IF(OR($AT820&lt;&gt;"",$R820="Concluída"),1,0)))</f>
        <v/>
      </c>
      <c r="AC820" s="39" t="n">
        <f aca="false">IF($P820="",0,IF($P820&lt;Hoje!$L$1,1,IF(AND($P820=Hoje!$L$1,Hoje!$L$2&gt;Semana!$M$3),1,0)))</f>
        <v>0</v>
      </c>
      <c r="AD820" s="39" t="str">
        <f aca="false">IF($F820="","",IF(COUNTA($I820:$K820)=0,0,1/COUNTA($I820:$K820)))</f>
        <v/>
      </c>
      <c r="AE820" s="39" t="str">
        <f aca="false">IF($AH820=0,"",SUM($AH$4:$AH820))</f>
        <v/>
      </c>
      <c r="AF820" s="39" t="str">
        <f aca="false">IF($AI820=0,"",SUM($AI$4:$AI820))</f>
        <v/>
      </c>
      <c r="AG820" s="50" t="str">
        <f aca="false">IF($F820="","",$I820&amp;IF($J820="",""," · "&amp;$J820)&amp;IF($K820="",""," · "&amp;$K820))</f>
        <v/>
      </c>
      <c r="AH820" s="39" t="n">
        <f aca="false">IF(AND($F820&lt;&gt;"",$O820&lt;&gt;"",$O820&lt;=Hoje!$C$3,$P820&gt;=Hoje!$C$3,$R820&lt;&gt;"Cancelada"),1,0)</f>
        <v>0</v>
      </c>
      <c r="AI820" s="39" t="n">
        <f aca="false">IF(AND($F820&lt;&gt;"",$P820&lt;&gt;"",$P820&lt;Hoje!$C$3,$AB820=0,$R820&lt;&gt;"Cancelada"),1,0)</f>
        <v>0</v>
      </c>
      <c r="AJ820" s="50" t="str">
        <f aca="false">IF($F820="","",$D820&amp;"|"&amp;$E820&amp;"|"&amp;$L820)</f>
        <v/>
      </c>
      <c r="AK820" s="39" t="str">
        <f aca="false">IF($AJ820="","",COUNTIF($AJ$4:$AJ820,$AJ820))</f>
        <v/>
      </c>
      <c r="AL820" s="39" t="str">
        <f aca="false">IF($AJ820="","",COUNTIF($AJ$4:$AJ$1004,$AJ820))</f>
        <v/>
      </c>
      <c r="AM820" s="42"/>
      <c r="AN820" s="50" t="str">
        <f aca="false">IF($D820="","",IFERROR(T(VLOOKUP($D820,Listas!$B$5:$H$120,7,0)),""))</f>
        <v/>
      </c>
      <c r="AO820" s="50" t="str">
        <f aca="false">IF(OR($F820="",$L820&lt;&gt;"",$R820="Cancelada",$AT820&lt;&gt;""),"",$AN820&amp;"|"&amp;$D820&amp;"|"&amp;IF($C820="","zzz",$C820)&amp;"|"&amp;TEXT(820,"0000"))</f>
        <v/>
      </c>
      <c r="AP820" s="50" t="str">
        <f aca="false">IF($AO820="","",COUNTIF($AO$5:$AO$1004,"&lt;"&amp;$AO820)-(ROWS($AO$5:$AO$1004)-Hoje!$L$5)+1)</f>
        <v/>
      </c>
      <c r="AQ820" s="50" t="n">
        <f aca="false">IF(AND($F820&lt;&gt;"",$D820=Frota!$C$3),1,0)</f>
        <v>0</v>
      </c>
      <c r="AR820" s="50" t="str">
        <f aca="false">IF($AQ820=0,"",SUM($AQ$4:$AQ820))</f>
        <v/>
      </c>
      <c r="AS820" s="50" t="str">
        <f aca="false">IFERROR(INDEX(Hoje!$K$10:$K$29,MATCH(ROW(),Hoje!$J$10:$J$29,0)),"")</f>
        <v/>
      </c>
      <c r="AT820" s="50" t="str">
        <f aca="false">IF($Q820&lt;&gt;"",$Q820,$AS820)</f>
        <v/>
      </c>
    </row>
    <row r="821" customFormat="false" ht="16.5" hidden="false" customHeight="true" outlineLevel="0" collapsed="false">
      <c r="A821" s="39" t="str">
        <f aca="false">IF($F821="","",ROW())</f>
        <v/>
      </c>
      <c r="B821" s="40" t="str">
        <f aca="false">IF($F821="",IF($D821="","","Falta a atividade"),IF($R821="Cancelada","Cancelada",IF($AB821=1,IF(N($Z821)&gt;0,"Concluída com atraso","Concluída"),IF($R821="Em programação","Em programação",IF($O821="",IF($M821="","Na carteira","Falta a semana"),IF($AC821=1,"VENCIDA",IF($O821&gt;Hoje!$L$1,"Programada",IF($P821&gt;Hoje!$L$1,"Em execução","Fecha hoje"))))))))</f>
        <v/>
      </c>
      <c r="C821" s="41"/>
      <c r="D821" s="42"/>
      <c r="E821" s="42"/>
      <c r="F821" s="42"/>
      <c r="G821" s="43"/>
      <c r="H821" s="43"/>
      <c r="I821" s="44"/>
      <c r="J821" s="44"/>
      <c r="K821" s="44"/>
      <c r="L821" s="45"/>
      <c r="M821" s="46"/>
      <c r="N821" s="45"/>
      <c r="O821" s="47" t="str">
        <f aca="false">IF(OR($L821="",$M821=""),"",(DATE(Semana!$J$3,1,4)-WEEKDAY(DATE(Semana!$J$3,1,4),3))+($L821-1)*7+MATCH($M821,Listas!$F$5:$F$11,0)-1)</f>
        <v/>
      </c>
      <c r="P821" s="47" t="str">
        <f aca="false">IF(OR($F821="",$O821=""),"",$O821+MAX(0,ROUNDUP($AK821*MAX(1,IF($N821="",1,$N821))/MAX(1,$AL821),0)-1))</f>
        <v/>
      </c>
      <c r="Q821" s="48"/>
      <c r="R821" s="43"/>
      <c r="S821" s="49"/>
      <c r="T821" s="42"/>
      <c r="U821" s="42"/>
      <c r="V821" s="39" t="str">
        <f aca="false">IF($F821="","",IF(ISNUMBER(SEARCH("(externo)",$I821&amp;$J821&amp;$K821)),"Terceirizada","Interna"))</f>
        <v/>
      </c>
      <c r="W821" s="47" t="str">
        <f aca="false">IF($O821="","",IF($S821="",$O821,(DATE(Semana!$J$3,1,4)-WEEKDAY(DATE(Semana!$J$3,1,4),3))+($S821-1)*7+IF($M821="",0,MATCH($M821,Listas!$F$5:$F$11,0)-1)))</f>
        <v/>
      </c>
      <c r="X821" s="39" t="str">
        <f aca="false">IF($F821="","",IF(OR($AT821="",$O821=""),0,IF($AT821&lt;=$O821,1,0)))</f>
        <v/>
      </c>
      <c r="Y821" s="39" t="str">
        <f aca="false">IF($F821="","",IF(OR($AT821="",$W821=""),0,IF($AT821&lt;=$W821,1,0)))</f>
        <v/>
      </c>
      <c r="Z821" s="39" t="str">
        <f aca="false">IF(OR($AT821="",$O821=""),"",MAX(0,$AT821-$O821))</f>
        <v/>
      </c>
      <c r="AA821" s="39" t="str">
        <f aca="false">IF($F821="","",IF(AND($S821&lt;&gt;"",$L821&lt;&gt;"",$S821&lt;&gt;$L821),1,0))</f>
        <v/>
      </c>
      <c r="AB821" s="39" t="str">
        <f aca="false">IF($F821="","",IF($R821="Cancelada",0,IF(OR($AT821&lt;&gt;"",$R821="Concluída"),1,0)))</f>
        <v/>
      </c>
      <c r="AC821" s="39" t="n">
        <f aca="false">IF($P821="",0,IF($P821&lt;Hoje!$L$1,1,IF(AND($P821=Hoje!$L$1,Hoje!$L$2&gt;Semana!$M$3),1,0)))</f>
        <v>0</v>
      </c>
      <c r="AD821" s="39" t="str">
        <f aca="false">IF($F821="","",IF(COUNTA($I821:$K821)=0,0,1/COUNTA($I821:$K821)))</f>
        <v/>
      </c>
      <c r="AE821" s="39" t="str">
        <f aca="false">IF($AH821=0,"",SUM($AH$4:$AH821))</f>
        <v/>
      </c>
      <c r="AF821" s="39" t="str">
        <f aca="false">IF($AI821=0,"",SUM($AI$4:$AI821))</f>
        <v/>
      </c>
      <c r="AG821" s="50" t="str">
        <f aca="false">IF($F821="","",$I821&amp;IF($J821="",""," · "&amp;$J821)&amp;IF($K821="",""," · "&amp;$K821))</f>
        <v/>
      </c>
      <c r="AH821" s="39" t="n">
        <f aca="false">IF(AND($F821&lt;&gt;"",$O821&lt;&gt;"",$O821&lt;=Hoje!$C$3,$P821&gt;=Hoje!$C$3,$R821&lt;&gt;"Cancelada"),1,0)</f>
        <v>0</v>
      </c>
      <c r="AI821" s="39" t="n">
        <f aca="false">IF(AND($F821&lt;&gt;"",$P821&lt;&gt;"",$P821&lt;Hoje!$C$3,$AB821=0,$R821&lt;&gt;"Cancelada"),1,0)</f>
        <v>0</v>
      </c>
      <c r="AJ821" s="50" t="str">
        <f aca="false">IF($F821="","",$D821&amp;"|"&amp;$E821&amp;"|"&amp;$L821)</f>
        <v/>
      </c>
      <c r="AK821" s="39" t="str">
        <f aca="false">IF($AJ821="","",COUNTIF($AJ$4:$AJ821,$AJ821))</f>
        <v/>
      </c>
      <c r="AL821" s="39" t="str">
        <f aca="false">IF($AJ821="","",COUNTIF($AJ$4:$AJ$1004,$AJ821))</f>
        <v/>
      </c>
      <c r="AM821" s="42"/>
      <c r="AN821" s="50" t="str">
        <f aca="false">IF($D821="","",IFERROR(T(VLOOKUP($D821,Listas!$B$5:$H$120,7,0)),""))</f>
        <v/>
      </c>
      <c r="AO821" s="50" t="str">
        <f aca="false">IF(OR($F821="",$L821&lt;&gt;"",$R821="Cancelada",$AT821&lt;&gt;""),"",$AN821&amp;"|"&amp;$D821&amp;"|"&amp;IF($C821="","zzz",$C821)&amp;"|"&amp;TEXT(821,"0000"))</f>
        <v/>
      </c>
      <c r="AP821" s="50" t="str">
        <f aca="false">IF($AO821="","",COUNTIF($AO$5:$AO$1004,"&lt;"&amp;$AO821)-(ROWS($AO$5:$AO$1004)-Hoje!$L$5)+1)</f>
        <v/>
      </c>
      <c r="AQ821" s="50" t="n">
        <f aca="false">IF(AND($F821&lt;&gt;"",$D821=Frota!$C$3),1,0)</f>
        <v>0</v>
      </c>
      <c r="AR821" s="50" t="str">
        <f aca="false">IF($AQ821=0,"",SUM($AQ$4:$AQ821))</f>
        <v/>
      </c>
      <c r="AS821" s="50" t="str">
        <f aca="false">IFERROR(INDEX(Hoje!$K$10:$K$29,MATCH(ROW(),Hoje!$J$10:$J$29,0)),"")</f>
        <v/>
      </c>
      <c r="AT821" s="50" t="str">
        <f aca="false">IF($Q821&lt;&gt;"",$Q821,$AS821)</f>
        <v/>
      </c>
    </row>
    <row r="822" customFormat="false" ht="16.5" hidden="false" customHeight="true" outlineLevel="0" collapsed="false">
      <c r="A822" s="39" t="str">
        <f aca="false">IF($F822="","",ROW())</f>
        <v/>
      </c>
      <c r="B822" s="40" t="str">
        <f aca="false">IF($F822="",IF($D822="","","Falta a atividade"),IF($R822="Cancelada","Cancelada",IF($AB822=1,IF(N($Z822)&gt;0,"Concluída com atraso","Concluída"),IF($R822="Em programação","Em programação",IF($O822="",IF($M822="","Na carteira","Falta a semana"),IF($AC822=1,"VENCIDA",IF($O822&gt;Hoje!$L$1,"Programada",IF($P822&gt;Hoje!$L$1,"Em execução","Fecha hoje"))))))))</f>
        <v/>
      </c>
      <c r="C822" s="41"/>
      <c r="D822" s="42"/>
      <c r="E822" s="42"/>
      <c r="F822" s="42"/>
      <c r="G822" s="43"/>
      <c r="H822" s="43"/>
      <c r="I822" s="44"/>
      <c r="J822" s="44"/>
      <c r="K822" s="44"/>
      <c r="L822" s="45"/>
      <c r="M822" s="46"/>
      <c r="N822" s="45"/>
      <c r="O822" s="47" t="str">
        <f aca="false">IF(OR($L822="",$M822=""),"",(DATE(Semana!$J$3,1,4)-WEEKDAY(DATE(Semana!$J$3,1,4),3))+($L822-1)*7+MATCH($M822,Listas!$F$5:$F$11,0)-1)</f>
        <v/>
      </c>
      <c r="P822" s="47" t="str">
        <f aca="false">IF(OR($F822="",$O822=""),"",$O822+MAX(0,ROUNDUP($AK822*MAX(1,IF($N822="",1,$N822))/MAX(1,$AL822),0)-1))</f>
        <v/>
      </c>
      <c r="Q822" s="48"/>
      <c r="R822" s="43"/>
      <c r="S822" s="49"/>
      <c r="T822" s="42"/>
      <c r="U822" s="42"/>
      <c r="V822" s="39" t="str">
        <f aca="false">IF($F822="","",IF(ISNUMBER(SEARCH("(externo)",$I822&amp;$J822&amp;$K822)),"Terceirizada","Interna"))</f>
        <v/>
      </c>
      <c r="W822" s="47" t="str">
        <f aca="false">IF($O822="","",IF($S822="",$O822,(DATE(Semana!$J$3,1,4)-WEEKDAY(DATE(Semana!$J$3,1,4),3))+($S822-1)*7+IF($M822="",0,MATCH($M822,Listas!$F$5:$F$11,0)-1)))</f>
        <v/>
      </c>
      <c r="X822" s="39" t="str">
        <f aca="false">IF($F822="","",IF(OR($AT822="",$O822=""),0,IF($AT822&lt;=$O822,1,0)))</f>
        <v/>
      </c>
      <c r="Y822" s="39" t="str">
        <f aca="false">IF($F822="","",IF(OR($AT822="",$W822=""),0,IF($AT822&lt;=$W822,1,0)))</f>
        <v/>
      </c>
      <c r="Z822" s="39" t="str">
        <f aca="false">IF(OR($AT822="",$O822=""),"",MAX(0,$AT822-$O822))</f>
        <v/>
      </c>
      <c r="AA822" s="39" t="str">
        <f aca="false">IF($F822="","",IF(AND($S822&lt;&gt;"",$L822&lt;&gt;"",$S822&lt;&gt;$L822),1,0))</f>
        <v/>
      </c>
      <c r="AB822" s="39" t="str">
        <f aca="false">IF($F822="","",IF($R822="Cancelada",0,IF(OR($AT822&lt;&gt;"",$R822="Concluída"),1,0)))</f>
        <v/>
      </c>
      <c r="AC822" s="39" t="n">
        <f aca="false">IF($P822="",0,IF($P822&lt;Hoje!$L$1,1,IF(AND($P822=Hoje!$L$1,Hoje!$L$2&gt;Semana!$M$3),1,0)))</f>
        <v>0</v>
      </c>
      <c r="AD822" s="39" t="str">
        <f aca="false">IF($F822="","",IF(COUNTA($I822:$K822)=0,0,1/COUNTA($I822:$K822)))</f>
        <v/>
      </c>
      <c r="AE822" s="39" t="str">
        <f aca="false">IF($AH822=0,"",SUM($AH$4:$AH822))</f>
        <v/>
      </c>
      <c r="AF822" s="39" t="str">
        <f aca="false">IF($AI822=0,"",SUM($AI$4:$AI822))</f>
        <v/>
      </c>
      <c r="AG822" s="50" t="str">
        <f aca="false">IF($F822="","",$I822&amp;IF($J822="",""," · "&amp;$J822)&amp;IF($K822="",""," · "&amp;$K822))</f>
        <v/>
      </c>
      <c r="AH822" s="39" t="n">
        <f aca="false">IF(AND($F822&lt;&gt;"",$O822&lt;&gt;"",$O822&lt;=Hoje!$C$3,$P822&gt;=Hoje!$C$3,$R822&lt;&gt;"Cancelada"),1,0)</f>
        <v>0</v>
      </c>
      <c r="AI822" s="39" t="n">
        <f aca="false">IF(AND($F822&lt;&gt;"",$P822&lt;&gt;"",$P822&lt;Hoje!$C$3,$AB822=0,$R822&lt;&gt;"Cancelada"),1,0)</f>
        <v>0</v>
      </c>
      <c r="AJ822" s="50" t="str">
        <f aca="false">IF($F822="","",$D822&amp;"|"&amp;$E822&amp;"|"&amp;$L822)</f>
        <v/>
      </c>
      <c r="AK822" s="39" t="str">
        <f aca="false">IF($AJ822="","",COUNTIF($AJ$4:$AJ822,$AJ822))</f>
        <v/>
      </c>
      <c r="AL822" s="39" t="str">
        <f aca="false">IF($AJ822="","",COUNTIF($AJ$4:$AJ$1004,$AJ822))</f>
        <v/>
      </c>
      <c r="AM822" s="42"/>
      <c r="AN822" s="50" t="str">
        <f aca="false">IF($D822="","",IFERROR(T(VLOOKUP($D822,Listas!$B$5:$H$120,7,0)),""))</f>
        <v/>
      </c>
      <c r="AO822" s="50" t="str">
        <f aca="false">IF(OR($F822="",$L822&lt;&gt;"",$R822="Cancelada",$AT822&lt;&gt;""),"",$AN822&amp;"|"&amp;$D822&amp;"|"&amp;IF($C822="","zzz",$C822)&amp;"|"&amp;TEXT(822,"0000"))</f>
        <v/>
      </c>
      <c r="AP822" s="50" t="str">
        <f aca="false">IF($AO822="","",COUNTIF($AO$5:$AO$1004,"&lt;"&amp;$AO822)-(ROWS($AO$5:$AO$1004)-Hoje!$L$5)+1)</f>
        <v/>
      </c>
      <c r="AQ822" s="50" t="n">
        <f aca="false">IF(AND($F822&lt;&gt;"",$D822=Frota!$C$3),1,0)</f>
        <v>0</v>
      </c>
      <c r="AR822" s="50" t="str">
        <f aca="false">IF($AQ822=0,"",SUM($AQ$4:$AQ822))</f>
        <v/>
      </c>
      <c r="AS822" s="50" t="str">
        <f aca="false">IFERROR(INDEX(Hoje!$K$10:$K$29,MATCH(ROW(),Hoje!$J$10:$J$29,0)),"")</f>
        <v/>
      </c>
      <c r="AT822" s="50" t="str">
        <f aca="false">IF($Q822&lt;&gt;"",$Q822,$AS822)</f>
        <v/>
      </c>
    </row>
    <row r="823" customFormat="false" ht="16.5" hidden="false" customHeight="true" outlineLevel="0" collapsed="false">
      <c r="A823" s="39" t="str">
        <f aca="false">IF($F823="","",ROW())</f>
        <v/>
      </c>
      <c r="B823" s="40" t="str">
        <f aca="false">IF($F823="",IF($D823="","","Falta a atividade"),IF($R823="Cancelada","Cancelada",IF($AB823=1,IF(N($Z823)&gt;0,"Concluída com atraso","Concluída"),IF($R823="Em programação","Em programação",IF($O823="",IF($M823="","Na carteira","Falta a semana"),IF($AC823=1,"VENCIDA",IF($O823&gt;Hoje!$L$1,"Programada",IF($P823&gt;Hoje!$L$1,"Em execução","Fecha hoje"))))))))</f>
        <v/>
      </c>
      <c r="C823" s="41"/>
      <c r="D823" s="42"/>
      <c r="E823" s="42"/>
      <c r="F823" s="42"/>
      <c r="G823" s="43"/>
      <c r="H823" s="43"/>
      <c r="I823" s="44"/>
      <c r="J823" s="44"/>
      <c r="K823" s="44"/>
      <c r="L823" s="45"/>
      <c r="M823" s="46"/>
      <c r="N823" s="45"/>
      <c r="O823" s="47" t="str">
        <f aca="false">IF(OR($L823="",$M823=""),"",(DATE(Semana!$J$3,1,4)-WEEKDAY(DATE(Semana!$J$3,1,4),3))+($L823-1)*7+MATCH($M823,Listas!$F$5:$F$11,0)-1)</f>
        <v/>
      </c>
      <c r="P823" s="47" t="str">
        <f aca="false">IF(OR($F823="",$O823=""),"",$O823+MAX(0,ROUNDUP($AK823*MAX(1,IF($N823="",1,$N823))/MAX(1,$AL823),0)-1))</f>
        <v/>
      </c>
      <c r="Q823" s="48"/>
      <c r="R823" s="43"/>
      <c r="S823" s="49"/>
      <c r="T823" s="42"/>
      <c r="U823" s="42"/>
      <c r="V823" s="39" t="str">
        <f aca="false">IF($F823="","",IF(ISNUMBER(SEARCH("(externo)",$I823&amp;$J823&amp;$K823)),"Terceirizada","Interna"))</f>
        <v/>
      </c>
      <c r="W823" s="47" t="str">
        <f aca="false">IF($O823="","",IF($S823="",$O823,(DATE(Semana!$J$3,1,4)-WEEKDAY(DATE(Semana!$J$3,1,4),3))+($S823-1)*7+IF($M823="",0,MATCH($M823,Listas!$F$5:$F$11,0)-1)))</f>
        <v/>
      </c>
      <c r="X823" s="39" t="str">
        <f aca="false">IF($F823="","",IF(OR($AT823="",$O823=""),0,IF($AT823&lt;=$O823,1,0)))</f>
        <v/>
      </c>
      <c r="Y823" s="39" t="str">
        <f aca="false">IF($F823="","",IF(OR($AT823="",$W823=""),0,IF($AT823&lt;=$W823,1,0)))</f>
        <v/>
      </c>
      <c r="Z823" s="39" t="str">
        <f aca="false">IF(OR($AT823="",$O823=""),"",MAX(0,$AT823-$O823))</f>
        <v/>
      </c>
      <c r="AA823" s="39" t="str">
        <f aca="false">IF($F823="","",IF(AND($S823&lt;&gt;"",$L823&lt;&gt;"",$S823&lt;&gt;$L823),1,0))</f>
        <v/>
      </c>
      <c r="AB823" s="39" t="str">
        <f aca="false">IF($F823="","",IF($R823="Cancelada",0,IF(OR($AT823&lt;&gt;"",$R823="Concluída"),1,0)))</f>
        <v/>
      </c>
      <c r="AC823" s="39" t="n">
        <f aca="false">IF($P823="",0,IF($P823&lt;Hoje!$L$1,1,IF(AND($P823=Hoje!$L$1,Hoje!$L$2&gt;Semana!$M$3),1,0)))</f>
        <v>0</v>
      </c>
      <c r="AD823" s="39" t="str">
        <f aca="false">IF($F823="","",IF(COUNTA($I823:$K823)=0,0,1/COUNTA($I823:$K823)))</f>
        <v/>
      </c>
      <c r="AE823" s="39" t="str">
        <f aca="false">IF($AH823=0,"",SUM($AH$4:$AH823))</f>
        <v/>
      </c>
      <c r="AF823" s="39" t="str">
        <f aca="false">IF($AI823=0,"",SUM($AI$4:$AI823))</f>
        <v/>
      </c>
      <c r="AG823" s="50" t="str">
        <f aca="false">IF($F823="","",$I823&amp;IF($J823="",""," · "&amp;$J823)&amp;IF($K823="",""," · "&amp;$K823))</f>
        <v/>
      </c>
      <c r="AH823" s="39" t="n">
        <f aca="false">IF(AND($F823&lt;&gt;"",$O823&lt;&gt;"",$O823&lt;=Hoje!$C$3,$P823&gt;=Hoje!$C$3,$R823&lt;&gt;"Cancelada"),1,0)</f>
        <v>0</v>
      </c>
      <c r="AI823" s="39" t="n">
        <f aca="false">IF(AND($F823&lt;&gt;"",$P823&lt;&gt;"",$P823&lt;Hoje!$C$3,$AB823=0,$R823&lt;&gt;"Cancelada"),1,0)</f>
        <v>0</v>
      </c>
      <c r="AJ823" s="50" t="str">
        <f aca="false">IF($F823="","",$D823&amp;"|"&amp;$E823&amp;"|"&amp;$L823)</f>
        <v/>
      </c>
      <c r="AK823" s="39" t="str">
        <f aca="false">IF($AJ823="","",COUNTIF($AJ$4:$AJ823,$AJ823))</f>
        <v/>
      </c>
      <c r="AL823" s="39" t="str">
        <f aca="false">IF($AJ823="","",COUNTIF($AJ$4:$AJ$1004,$AJ823))</f>
        <v/>
      </c>
      <c r="AM823" s="42"/>
      <c r="AN823" s="50" t="str">
        <f aca="false">IF($D823="","",IFERROR(T(VLOOKUP($D823,Listas!$B$5:$H$120,7,0)),""))</f>
        <v/>
      </c>
      <c r="AO823" s="50" t="str">
        <f aca="false">IF(OR($F823="",$L823&lt;&gt;"",$R823="Cancelada",$AT823&lt;&gt;""),"",$AN823&amp;"|"&amp;$D823&amp;"|"&amp;IF($C823="","zzz",$C823)&amp;"|"&amp;TEXT(823,"0000"))</f>
        <v/>
      </c>
      <c r="AP823" s="50" t="str">
        <f aca="false">IF($AO823="","",COUNTIF($AO$5:$AO$1004,"&lt;"&amp;$AO823)-(ROWS($AO$5:$AO$1004)-Hoje!$L$5)+1)</f>
        <v/>
      </c>
      <c r="AQ823" s="50" t="n">
        <f aca="false">IF(AND($F823&lt;&gt;"",$D823=Frota!$C$3),1,0)</f>
        <v>0</v>
      </c>
      <c r="AR823" s="50" t="str">
        <f aca="false">IF($AQ823=0,"",SUM($AQ$4:$AQ823))</f>
        <v/>
      </c>
      <c r="AS823" s="50" t="str">
        <f aca="false">IFERROR(INDEX(Hoje!$K$10:$K$29,MATCH(ROW(),Hoje!$J$10:$J$29,0)),"")</f>
        <v/>
      </c>
      <c r="AT823" s="50" t="str">
        <f aca="false">IF($Q823&lt;&gt;"",$Q823,$AS823)</f>
        <v/>
      </c>
    </row>
    <row r="824" customFormat="false" ht="16.5" hidden="false" customHeight="true" outlineLevel="0" collapsed="false">
      <c r="A824" s="39" t="str">
        <f aca="false">IF($F824="","",ROW())</f>
        <v/>
      </c>
      <c r="B824" s="40" t="str">
        <f aca="false">IF($F824="",IF($D824="","","Falta a atividade"),IF($R824="Cancelada","Cancelada",IF($AB824=1,IF(N($Z824)&gt;0,"Concluída com atraso","Concluída"),IF($R824="Em programação","Em programação",IF($O824="",IF($M824="","Na carteira","Falta a semana"),IF($AC824=1,"VENCIDA",IF($O824&gt;Hoje!$L$1,"Programada",IF($P824&gt;Hoje!$L$1,"Em execução","Fecha hoje"))))))))</f>
        <v/>
      </c>
      <c r="C824" s="41"/>
      <c r="D824" s="42"/>
      <c r="E824" s="42"/>
      <c r="F824" s="42"/>
      <c r="G824" s="43"/>
      <c r="H824" s="43"/>
      <c r="I824" s="44"/>
      <c r="J824" s="44"/>
      <c r="K824" s="44"/>
      <c r="L824" s="45"/>
      <c r="M824" s="46"/>
      <c r="N824" s="45"/>
      <c r="O824" s="47" t="str">
        <f aca="false">IF(OR($L824="",$M824=""),"",(DATE(Semana!$J$3,1,4)-WEEKDAY(DATE(Semana!$J$3,1,4),3))+($L824-1)*7+MATCH($M824,Listas!$F$5:$F$11,0)-1)</f>
        <v/>
      </c>
      <c r="P824" s="47" t="str">
        <f aca="false">IF(OR($F824="",$O824=""),"",$O824+MAX(0,ROUNDUP($AK824*MAX(1,IF($N824="",1,$N824))/MAX(1,$AL824),0)-1))</f>
        <v/>
      </c>
      <c r="Q824" s="48"/>
      <c r="R824" s="43"/>
      <c r="S824" s="49"/>
      <c r="T824" s="42"/>
      <c r="U824" s="42"/>
      <c r="V824" s="39" t="str">
        <f aca="false">IF($F824="","",IF(ISNUMBER(SEARCH("(externo)",$I824&amp;$J824&amp;$K824)),"Terceirizada","Interna"))</f>
        <v/>
      </c>
      <c r="W824" s="47" t="str">
        <f aca="false">IF($O824="","",IF($S824="",$O824,(DATE(Semana!$J$3,1,4)-WEEKDAY(DATE(Semana!$J$3,1,4),3))+($S824-1)*7+IF($M824="",0,MATCH($M824,Listas!$F$5:$F$11,0)-1)))</f>
        <v/>
      </c>
      <c r="X824" s="39" t="str">
        <f aca="false">IF($F824="","",IF(OR($AT824="",$O824=""),0,IF($AT824&lt;=$O824,1,0)))</f>
        <v/>
      </c>
      <c r="Y824" s="39" t="str">
        <f aca="false">IF($F824="","",IF(OR($AT824="",$W824=""),0,IF($AT824&lt;=$W824,1,0)))</f>
        <v/>
      </c>
      <c r="Z824" s="39" t="str">
        <f aca="false">IF(OR($AT824="",$O824=""),"",MAX(0,$AT824-$O824))</f>
        <v/>
      </c>
      <c r="AA824" s="39" t="str">
        <f aca="false">IF($F824="","",IF(AND($S824&lt;&gt;"",$L824&lt;&gt;"",$S824&lt;&gt;$L824),1,0))</f>
        <v/>
      </c>
      <c r="AB824" s="39" t="str">
        <f aca="false">IF($F824="","",IF($R824="Cancelada",0,IF(OR($AT824&lt;&gt;"",$R824="Concluída"),1,0)))</f>
        <v/>
      </c>
      <c r="AC824" s="39" t="n">
        <f aca="false">IF($P824="",0,IF($P824&lt;Hoje!$L$1,1,IF(AND($P824=Hoje!$L$1,Hoje!$L$2&gt;Semana!$M$3),1,0)))</f>
        <v>0</v>
      </c>
      <c r="AD824" s="39" t="str">
        <f aca="false">IF($F824="","",IF(COUNTA($I824:$K824)=0,0,1/COUNTA($I824:$K824)))</f>
        <v/>
      </c>
      <c r="AE824" s="39" t="str">
        <f aca="false">IF($AH824=0,"",SUM($AH$4:$AH824))</f>
        <v/>
      </c>
      <c r="AF824" s="39" t="str">
        <f aca="false">IF($AI824=0,"",SUM($AI$4:$AI824))</f>
        <v/>
      </c>
      <c r="AG824" s="50" t="str">
        <f aca="false">IF($F824="","",$I824&amp;IF($J824="",""," · "&amp;$J824)&amp;IF($K824="",""," · "&amp;$K824))</f>
        <v/>
      </c>
      <c r="AH824" s="39" t="n">
        <f aca="false">IF(AND($F824&lt;&gt;"",$O824&lt;&gt;"",$O824&lt;=Hoje!$C$3,$P824&gt;=Hoje!$C$3,$R824&lt;&gt;"Cancelada"),1,0)</f>
        <v>0</v>
      </c>
      <c r="AI824" s="39" t="n">
        <f aca="false">IF(AND($F824&lt;&gt;"",$P824&lt;&gt;"",$P824&lt;Hoje!$C$3,$AB824=0,$R824&lt;&gt;"Cancelada"),1,0)</f>
        <v>0</v>
      </c>
      <c r="AJ824" s="50" t="str">
        <f aca="false">IF($F824="","",$D824&amp;"|"&amp;$E824&amp;"|"&amp;$L824)</f>
        <v/>
      </c>
      <c r="AK824" s="39" t="str">
        <f aca="false">IF($AJ824="","",COUNTIF($AJ$4:$AJ824,$AJ824))</f>
        <v/>
      </c>
      <c r="AL824" s="39" t="str">
        <f aca="false">IF($AJ824="","",COUNTIF($AJ$4:$AJ$1004,$AJ824))</f>
        <v/>
      </c>
      <c r="AM824" s="42"/>
      <c r="AN824" s="50" t="str">
        <f aca="false">IF($D824="","",IFERROR(T(VLOOKUP($D824,Listas!$B$5:$H$120,7,0)),""))</f>
        <v/>
      </c>
      <c r="AO824" s="50" t="str">
        <f aca="false">IF(OR($F824="",$L824&lt;&gt;"",$R824="Cancelada",$AT824&lt;&gt;""),"",$AN824&amp;"|"&amp;$D824&amp;"|"&amp;IF($C824="","zzz",$C824)&amp;"|"&amp;TEXT(824,"0000"))</f>
        <v/>
      </c>
      <c r="AP824" s="50" t="str">
        <f aca="false">IF($AO824="","",COUNTIF($AO$5:$AO$1004,"&lt;"&amp;$AO824)-(ROWS($AO$5:$AO$1004)-Hoje!$L$5)+1)</f>
        <v/>
      </c>
      <c r="AQ824" s="50" t="n">
        <f aca="false">IF(AND($F824&lt;&gt;"",$D824=Frota!$C$3),1,0)</f>
        <v>0</v>
      </c>
      <c r="AR824" s="50" t="str">
        <f aca="false">IF($AQ824=0,"",SUM($AQ$4:$AQ824))</f>
        <v/>
      </c>
      <c r="AS824" s="50" t="str">
        <f aca="false">IFERROR(INDEX(Hoje!$K$10:$K$29,MATCH(ROW(),Hoje!$J$10:$J$29,0)),"")</f>
        <v/>
      </c>
      <c r="AT824" s="50" t="str">
        <f aca="false">IF($Q824&lt;&gt;"",$Q824,$AS824)</f>
        <v/>
      </c>
    </row>
    <row r="825" customFormat="false" ht="16.5" hidden="false" customHeight="true" outlineLevel="0" collapsed="false">
      <c r="A825" s="39" t="str">
        <f aca="false">IF($F825="","",ROW())</f>
        <v/>
      </c>
      <c r="B825" s="40" t="str">
        <f aca="false">IF($F825="",IF($D825="","","Falta a atividade"),IF($R825="Cancelada","Cancelada",IF($AB825=1,IF(N($Z825)&gt;0,"Concluída com atraso","Concluída"),IF($R825="Em programação","Em programação",IF($O825="",IF($M825="","Na carteira","Falta a semana"),IF($AC825=1,"VENCIDA",IF($O825&gt;Hoje!$L$1,"Programada",IF($P825&gt;Hoje!$L$1,"Em execução","Fecha hoje"))))))))</f>
        <v/>
      </c>
      <c r="C825" s="41"/>
      <c r="D825" s="42"/>
      <c r="E825" s="42"/>
      <c r="F825" s="42"/>
      <c r="G825" s="43"/>
      <c r="H825" s="43"/>
      <c r="I825" s="44"/>
      <c r="J825" s="44"/>
      <c r="K825" s="44"/>
      <c r="L825" s="45"/>
      <c r="M825" s="46"/>
      <c r="N825" s="45"/>
      <c r="O825" s="47" t="str">
        <f aca="false">IF(OR($L825="",$M825=""),"",(DATE(Semana!$J$3,1,4)-WEEKDAY(DATE(Semana!$J$3,1,4),3))+($L825-1)*7+MATCH($M825,Listas!$F$5:$F$11,0)-1)</f>
        <v/>
      </c>
      <c r="P825" s="47" t="str">
        <f aca="false">IF(OR($F825="",$O825=""),"",$O825+MAX(0,ROUNDUP($AK825*MAX(1,IF($N825="",1,$N825))/MAX(1,$AL825),0)-1))</f>
        <v/>
      </c>
      <c r="Q825" s="48"/>
      <c r="R825" s="43"/>
      <c r="S825" s="49"/>
      <c r="T825" s="42"/>
      <c r="U825" s="42"/>
      <c r="V825" s="39" t="str">
        <f aca="false">IF($F825="","",IF(ISNUMBER(SEARCH("(externo)",$I825&amp;$J825&amp;$K825)),"Terceirizada","Interna"))</f>
        <v/>
      </c>
      <c r="W825" s="47" t="str">
        <f aca="false">IF($O825="","",IF($S825="",$O825,(DATE(Semana!$J$3,1,4)-WEEKDAY(DATE(Semana!$J$3,1,4),3))+($S825-1)*7+IF($M825="",0,MATCH($M825,Listas!$F$5:$F$11,0)-1)))</f>
        <v/>
      </c>
      <c r="X825" s="39" t="str">
        <f aca="false">IF($F825="","",IF(OR($AT825="",$O825=""),0,IF($AT825&lt;=$O825,1,0)))</f>
        <v/>
      </c>
      <c r="Y825" s="39" t="str">
        <f aca="false">IF($F825="","",IF(OR($AT825="",$W825=""),0,IF($AT825&lt;=$W825,1,0)))</f>
        <v/>
      </c>
      <c r="Z825" s="39" t="str">
        <f aca="false">IF(OR($AT825="",$O825=""),"",MAX(0,$AT825-$O825))</f>
        <v/>
      </c>
      <c r="AA825" s="39" t="str">
        <f aca="false">IF($F825="","",IF(AND($S825&lt;&gt;"",$L825&lt;&gt;"",$S825&lt;&gt;$L825),1,0))</f>
        <v/>
      </c>
      <c r="AB825" s="39" t="str">
        <f aca="false">IF($F825="","",IF($R825="Cancelada",0,IF(OR($AT825&lt;&gt;"",$R825="Concluída"),1,0)))</f>
        <v/>
      </c>
      <c r="AC825" s="39" t="n">
        <f aca="false">IF($P825="",0,IF($P825&lt;Hoje!$L$1,1,IF(AND($P825=Hoje!$L$1,Hoje!$L$2&gt;Semana!$M$3),1,0)))</f>
        <v>0</v>
      </c>
      <c r="AD825" s="39" t="str">
        <f aca="false">IF($F825="","",IF(COUNTA($I825:$K825)=0,0,1/COUNTA($I825:$K825)))</f>
        <v/>
      </c>
      <c r="AE825" s="39" t="str">
        <f aca="false">IF($AH825=0,"",SUM($AH$4:$AH825))</f>
        <v/>
      </c>
      <c r="AF825" s="39" t="str">
        <f aca="false">IF($AI825=0,"",SUM($AI$4:$AI825))</f>
        <v/>
      </c>
      <c r="AG825" s="50" t="str">
        <f aca="false">IF($F825="","",$I825&amp;IF($J825="",""," · "&amp;$J825)&amp;IF($K825="",""," · "&amp;$K825))</f>
        <v/>
      </c>
      <c r="AH825" s="39" t="n">
        <f aca="false">IF(AND($F825&lt;&gt;"",$O825&lt;&gt;"",$O825&lt;=Hoje!$C$3,$P825&gt;=Hoje!$C$3,$R825&lt;&gt;"Cancelada"),1,0)</f>
        <v>0</v>
      </c>
      <c r="AI825" s="39" t="n">
        <f aca="false">IF(AND($F825&lt;&gt;"",$P825&lt;&gt;"",$P825&lt;Hoje!$C$3,$AB825=0,$R825&lt;&gt;"Cancelada"),1,0)</f>
        <v>0</v>
      </c>
      <c r="AJ825" s="50" t="str">
        <f aca="false">IF($F825="","",$D825&amp;"|"&amp;$E825&amp;"|"&amp;$L825)</f>
        <v/>
      </c>
      <c r="AK825" s="39" t="str">
        <f aca="false">IF($AJ825="","",COUNTIF($AJ$4:$AJ825,$AJ825))</f>
        <v/>
      </c>
      <c r="AL825" s="39" t="str">
        <f aca="false">IF($AJ825="","",COUNTIF($AJ$4:$AJ$1004,$AJ825))</f>
        <v/>
      </c>
      <c r="AM825" s="42"/>
      <c r="AN825" s="50" t="str">
        <f aca="false">IF($D825="","",IFERROR(T(VLOOKUP($D825,Listas!$B$5:$H$120,7,0)),""))</f>
        <v/>
      </c>
      <c r="AO825" s="50" t="str">
        <f aca="false">IF(OR($F825="",$L825&lt;&gt;"",$R825="Cancelada",$AT825&lt;&gt;""),"",$AN825&amp;"|"&amp;$D825&amp;"|"&amp;IF($C825="","zzz",$C825)&amp;"|"&amp;TEXT(825,"0000"))</f>
        <v/>
      </c>
      <c r="AP825" s="50" t="str">
        <f aca="false">IF($AO825="","",COUNTIF($AO$5:$AO$1004,"&lt;"&amp;$AO825)-(ROWS($AO$5:$AO$1004)-Hoje!$L$5)+1)</f>
        <v/>
      </c>
      <c r="AQ825" s="50" t="n">
        <f aca="false">IF(AND($F825&lt;&gt;"",$D825=Frota!$C$3),1,0)</f>
        <v>0</v>
      </c>
      <c r="AR825" s="50" t="str">
        <f aca="false">IF($AQ825=0,"",SUM($AQ$4:$AQ825))</f>
        <v/>
      </c>
      <c r="AS825" s="50" t="str">
        <f aca="false">IFERROR(INDEX(Hoje!$K$10:$K$29,MATCH(ROW(),Hoje!$J$10:$J$29,0)),"")</f>
        <v/>
      </c>
      <c r="AT825" s="50" t="str">
        <f aca="false">IF($Q825&lt;&gt;"",$Q825,$AS825)</f>
        <v/>
      </c>
    </row>
    <row r="826" customFormat="false" ht="16.5" hidden="false" customHeight="true" outlineLevel="0" collapsed="false">
      <c r="A826" s="39" t="str">
        <f aca="false">IF($F826="","",ROW())</f>
        <v/>
      </c>
      <c r="B826" s="40" t="str">
        <f aca="false">IF($F826="",IF($D826="","","Falta a atividade"),IF($R826="Cancelada","Cancelada",IF($AB826=1,IF(N($Z826)&gt;0,"Concluída com atraso","Concluída"),IF($R826="Em programação","Em programação",IF($O826="",IF($M826="","Na carteira","Falta a semana"),IF($AC826=1,"VENCIDA",IF($O826&gt;Hoje!$L$1,"Programada",IF($P826&gt;Hoje!$L$1,"Em execução","Fecha hoje"))))))))</f>
        <v/>
      </c>
      <c r="C826" s="41"/>
      <c r="D826" s="42"/>
      <c r="E826" s="42"/>
      <c r="F826" s="42"/>
      <c r="G826" s="43"/>
      <c r="H826" s="43"/>
      <c r="I826" s="44"/>
      <c r="J826" s="44"/>
      <c r="K826" s="44"/>
      <c r="L826" s="45"/>
      <c r="M826" s="46"/>
      <c r="N826" s="45"/>
      <c r="O826" s="47" t="str">
        <f aca="false">IF(OR($L826="",$M826=""),"",(DATE(Semana!$J$3,1,4)-WEEKDAY(DATE(Semana!$J$3,1,4),3))+($L826-1)*7+MATCH($M826,Listas!$F$5:$F$11,0)-1)</f>
        <v/>
      </c>
      <c r="P826" s="47" t="str">
        <f aca="false">IF(OR($F826="",$O826=""),"",$O826+MAX(0,ROUNDUP($AK826*MAX(1,IF($N826="",1,$N826))/MAX(1,$AL826),0)-1))</f>
        <v/>
      </c>
      <c r="Q826" s="48"/>
      <c r="R826" s="43"/>
      <c r="S826" s="49"/>
      <c r="T826" s="42"/>
      <c r="U826" s="42"/>
      <c r="V826" s="39" t="str">
        <f aca="false">IF($F826="","",IF(ISNUMBER(SEARCH("(externo)",$I826&amp;$J826&amp;$K826)),"Terceirizada","Interna"))</f>
        <v/>
      </c>
      <c r="W826" s="47" t="str">
        <f aca="false">IF($O826="","",IF($S826="",$O826,(DATE(Semana!$J$3,1,4)-WEEKDAY(DATE(Semana!$J$3,1,4),3))+($S826-1)*7+IF($M826="",0,MATCH($M826,Listas!$F$5:$F$11,0)-1)))</f>
        <v/>
      </c>
      <c r="X826" s="39" t="str">
        <f aca="false">IF($F826="","",IF(OR($AT826="",$O826=""),0,IF($AT826&lt;=$O826,1,0)))</f>
        <v/>
      </c>
      <c r="Y826" s="39" t="str">
        <f aca="false">IF($F826="","",IF(OR($AT826="",$W826=""),0,IF($AT826&lt;=$W826,1,0)))</f>
        <v/>
      </c>
      <c r="Z826" s="39" t="str">
        <f aca="false">IF(OR($AT826="",$O826=""),"",MAX(0,$AT826-$O826))</f>
        <v/>
      </c>
      <c r="AA826" s="39" t="str">
        <f aca="false">IF($F826="","",IF(AND($S826&lt;&gt;"",$L826&lt;&gt;"",$S826&lt;&gt;$L826),1,0))</f>
        <v/>
      </c>
      <c r="AB826" s="39" t="str">
        <f aca="false">IF($F826="","",IF($R826="Cancelada",0,IF(OR($AT826&lt;&gt;"",$R826="Concluída"),1,0)))</f>
        <v/>
      </c>
      <c r="AC826" s="39" t="n">
        <f aca="false">IF($P826="",0,IF($P826&lt;Hoje!$L$1,1,IF(AND($P826=Hoje!$L$1,Hoje!$L$2&gt;Semana!$M$3),1,0)))</f>
        <v>0</v>
      </c>
      <c r="AD826" s="39" t="str">
        <f aca="false">IF($F826="","",IF(COUNTA($I826:$K826)=0,0,1/COUNTA($I826:$K826)))</f>
        <v/>
      </c>
      <c r="AE826" s="39" t="str">
        <f aca="false">IF($AH826=0,"",SUM($AH$4:$AH826))</f>
        <v/>
      </c>
      <c r="AF826" s="39" t="str">
        <f aca="false">IF($AI826=0,"",SUM($AI$4:$AI826))</f>
        <v/>
      </c>
      <c r="AG826" s="50" t="str">
        <f aca="false">IF($F826="","",$I826&amp;IF($J826="",""," · "&amp;$J826)&amp;IF($K826="",""," · "&amp;$K826))</f>
        <v/>
      </c>
      <c r="AH826" s="39" t="n">
        <f aca="false">IF(AND($F826&lt;&gt;"",$O826&lt;&gt;"",$O826&lt;=Hoje!$C$3,$P826&gt;=Hoje!$C$3,$R826&lt;&gt;"Cancelada"),1,0)</f>
        <v>0</v>
      </c>
      <c r="AI826" s="39" t="n">
        <f aca="false">IF(AND($F826&lt;&gt;"",$P826&lt;&gt;"",$P826&lt;Hoje!$C$3,$AB826=0,$R826&lt;&gt;"Cancelada"),1,0)</f>
        <v>0</v>
      </c>
      <c r="AJ826" s="50" t="str">
        <f aca="false">IF($F826="","",$D826&amp;"|"&amp;$E826&amp;"|"&amp;$L826)</f>
        <v/>
      </c>
      <c r="AK826" s="39" t="str">
        <f aca="false">IF($AJ826="","",COUNTIF($AJ$4:$AJ826,$AJ826))</f>
        <v/>
      </c>
      <c r="AL826" s="39" t="str">
        <f aca="false">IF($AJ826="","",COUNTIF($AJ$4:$AJ$1004,$AJ826))</f>
        <v/>
      </c>
      <c r="AM826" s="42"/>
      <c r="AN826" s="50" t="str">
        <f aca="false">IF($D826="","",IFERROR(T(VLOOKUP($D826,Listas!$B$5:$H$120,7,0)),""))</f>
        <v/>
      </c>
      <c r="AO826" s="50" t="str">
        <f aca="false">IF(OR($F826="",$L826&lt;&gt;"",$R826="Cancelada",$AT826&lt;&gt;""),"",$AN826&amp;"|"&amp;$D826&amp;"|"&amp;IF($C826="","zzz",$C826)&amp;"|"&amp;TEXT(826,"0000"))</f>
        <v/>
      </c>
      <c r="AP826" s="50" t="str">
        <f aca="false">IF($AO826="","",COUNTIF($AO$5:$AO$1004,"&lt;"&amp;$AO826)-(ROWS($AO$5:$AO$1004)-Hoje!$L$5)+1)</f>
        <v/>
      </c>
      <c r="AQ826" s="50" t="n">
        <f aca="false">IF(AND($F826&lt;&gt;"",$D826=Frota!$C$3),1,0)</f>
        <v>0</v>
      </c>
      <c r="AR826" s="50" t="str">
        <f aca="false">IF($AQ826=0,"",SUM($AQ$4:$AQ826))</f>
        <v/>
      </c>
      <c r="AS826" s="50" t="str">
        <f aca="false">IFERROR(INDEX(Hoje!$K$10:$K$29,MATCH(ROW(),Hoje!$J$10:$J$29,0)),"")</f>
        <v/>
      </c>
      <c r="AT826" s="50" t="str">
        <f aca="false">IF($Q826&lt;&gt;"",$Q826,$AS826)</f>
        <v/>
      </c>
    </row>
    <row r="827" customFormat="false" ht="16.5" hidden="false" customHeight="true" outlineLevel="0" collapsed="false">
      <c r="A827" s="39" t="str">
        <f aca="false">IF($F827="","",ROW())</f>
        <v/>
      </c>
      <c r="B827" s="40" t="str">
        <f aca="false">IF($F827="",IF($D827="","","Falta a atividade"),IF($R827="Cancelada","Cancelada",IF($AB827=1,IF(N($Z827)&gt;0,"Concluída com atraso","Concluída"),IF($R827="Em programação","Em programação",IF($O827="",IF($M827="","Na carteira","Falta a semana"),IF($AC827=1,"VENCIDA",IF($O827&gt;Hoje!$L$1,"Programada",IF($P827&gt;Hoje!$L$1,"Em execução","Fecha hoje"))))))))</f>
        <v/>
      </c>
      <c r="C827" s="41"/>
      <c r="D827" s="42"/>
      <c r="E827" s="42"/>
      <c r="F827" s="42"/>
      <c r="G827" s="43"/>
      <c r="H827" s="43"/>
      <c r="I827" s="44"/>
      <c r="J827" s="44"/>
      <c r="K827" s="44"/>
      <c r="L827" s="45"/>
      <c r="M827" s="46"/>
      <c r="N827" s="45"/>
      <c r="O827" s="47" t="str">
        <f aca="false">IF(OR($L827="",$M827=""),"",(DATE(Semana!$J$3,1,4)-WEEKDAY(DATE(Semana!$J$3,1,4),3))+($L827-1)*7+MATCH($M827,Listas!$F$5:$F$11,0)-1)</f>
        <v/>
      </c>
      <c r="P827" s="47" t="str">
        <f aca="false">IF(OR($F827="",$O827=""),"",$O827+MAX(0,ROUNDUP($AK827*MAX(1,IF($N827="",1,$N827))/MAX(1,$AL827),0)-1))</f>
        <v/>
      </c>
      <c r="Q827" s="48"/>
      <c r="R827" s="43"/>
      <c r="S827" s="49"/>
      <c r="T827" s="42"/>
      <c r="U827" s="42"/>
      <c r="V827" s="39" t="str">
        <f aca="false">IF($F827="","",IF(ISNUMBER(SEARCH("(externo)",$I827&amp;$J827&amp;$K827)),"Terceirizada","Interna"))</f>
        <v/>
      </c>
      <c r="W827" s="47" t="str">
        <f aca="false">IF($O827="","",IF($S827="",$O827,(DATE(Semana!$J$3,1,4)-WEEKDAY(DATE(Semana!$J$3,1,4),3))+($S827-1)*7+IF($M827="",0,MATCH($M827,Listas!$F$5:$F$11,0)-1)))</f>
        <v/>
      </c>
      <c r="X827" s="39" t="str">
        <f aca="false">IF($F827="","",IF(OR($AT827="",$O827=""),0,IF($AT827&lt;=$O827,1,0)))</f>
        <v/>
      </c>
      <c r="Y827" s="39" t="str">
        <f aca="false">IF($F827="","",IF(OR($AT827="",$W827=""),0,IF($AT827&lt;=$W827,1,0)))</f>
        <v/>
      </c>
      <c r="Z827" s="39" t="str">
        <f aca="false">IF(OR($AT827="",$O827=""),"",MAX(0,$AT827-$O827))</f>
        <v/>
      </c>
      <c r="AA827" s="39" t="str">
        <f aca="false">IF($F827="","",IF(AND($S827&lt;&gt;"",$L827&lt;&gt;"",$S827&lt;&gt;$L827),1,0))</f>
        <v/>
      </c>
      <c r="AB827" s="39" t="str">
        <f aca="false">IF($F827="","",IF($R827="Cancelada",0,IF(OR($AT827&lt;&gt;"",$R827="Concluída"),1,0)))</f>
        <v/>
      </c>
      <c r="AC827" s="39" t="n">
        <f aca="false">IF($P827="",0,IF($P827&lt;Hoje!$L$1,1,IF(AND($P827=Hoje!$L$1,Hoje!$L$2&gt;Semana!$M$3),1,0)))</f>
        <v>0</v>
      </c>
      <c r="AD827" s="39" t="str">
        <f aca="false">IF($F827="","",IF(COUNTA($I827:$K827)=0,0,1/COUNTA($I827:$K827)))</f>
        <v/>
      </c>
      <c r="AE827" s="39" t="str">
        <f aca="false">IF($AH827=0,"",SUM($AH$4:$AH827))</f>
        <v/>
      </c>
      <c r="AF827" s="39" t="str">
        <f aca="false">IF($AI827=0,"",SUM($AI$4:$AI827))</f>
        <v/>
      </c>
      <c r="AG827" s="50" t="str">
        <f aca="false">IF($F827="","",$I827&amp;IF($J827="",""," · "&amp;$J827)&amp;IF($K827="",""," · "&amp;$K827))</f>
        <v/>
      </c>
      <c r="AH827" s="39" t="n">
        <f aca="false">IF(AND($F827&lt;&gt;"",$O827&lt;&gt;"",$O827&lt;=Hoje!$C$3,$P827&gt;=Hoje!$C$3,$R827&lt;&gt;"Cancelada"),1,0)</f>
        <v>0</v>
      </c>
      <c r="AI827" s="39" t="n">
        <f aca="false">IF(AND($F827&lt;&gt;"",$P827&lt;&gt;"",$P827&lt;Hoje!$C$3,$AB827=0,$R827&lt;&gt;"Cancelada"),1,0)</f>
        <v>0</v>
      </c>
      <c r="AJ827" s="50" t="str">
        <f aca="false">IF($F827="","",$D827&amp;"|"&amp;$E827&amp;"|"&amp;$L827)</f>
        <v/>
      </c>
      <c r="AK827" s="39" t="str">
        <f aca="false">IF($AJ827="","",COUNTIF($AJ$4:$AJ827,$AJ827))</f>
        <v/>
      </c>
      <c r="AL827" s="39" t="str">
        <f aca="false">IF($AJ827="","",COUNTIF($AJ$4:$AJ$1004,$AJ827))</f>
        <v/>
      </c>
      <c r="AM827" s="42"/>
      <c r="AN827" s="50" t="str">
        <f aca="false">IF($D827="","",IFERROR(T(VLOOKUP($D827,Listas!$B$5:$H$120,7,0)),""))</f>
        <v/>
      </c>
      <c r="AO827" s="50" t="str">
        <f aca="false">IF(OR($F827="",$L827&lt;&gt;"",$R827="Cancelada",$AT827&lt;&gt;""),"",$AN827&amp;"|"&amp;$D827&amp;"|"&amp;IF($C827="","zzz",$C827)&amp;"|"&amp;TEXT(827,"0000"))</f>
        <v/>
      </c>
      <c r="AP827" s="50" t="str">
        <f aca="false">IF($AO827="","",COUNTIF($AO$5:$AO$1004,"&lt;"&amp;$AO827)-(ROWS($AO$5:$AO$1004)-Hoje!$L$5)+1)</f>
        <v/>
      </c>
      <c r="AQ827" s="50" t="n">
        <f aca="false">IF(AND($F827&lt;&gt;"",$D827=Frota!$C$3),1,0)</f>
        <v>0</v>
      </c>
      <c r="AR827" s="50" t="str">
        <f aca="false">IF($AQ827=0,"",SUM($AQ$4:$AQ827))</f>
        <v/>
      </c>
      <c r="AS827" s="50" t="str">
        <f aca="false">IFERROR(INDEX(Hoje!$K$10:$K$29,MATCH(ROW(),Hoje!$J$10:$J$29,0)),"")</f>
        <v/>
      </c>
      <c r="AT827" s="50" t="str">
        <f aca="false">IF($Q827&lt;&gt;"",$Q827,$AS827)</f>
        <v/>
      </c>
    </row>
    <row r="828" customFormat="false" ht="16.5" hidden="false" customHeight="true" outlineLevel="0" collapsed="false">
      <c r="A828" s="39" t="str">
        <f aca="false">IF($F828="","",ROW())</f>
        <v/>
      </c>
      <c r="B828" s="40" t="str">
        <f aca="false">IF($F828="",IF($D828="","","Falta a atividade"),IF($R828="Cancelada","Cancelada",IF($AB828=1,IF(N($Z828)&gt;0,"Concluída com atraso","Concluída"),IF($R828="Em programação","Em programação",IF($O828="",IF($M828="","Na carteira","Falta a semana"),IF($AC828=1,"VENCIDA",IF($O828&gt;Hoje!$L$1,"Programada",IF($P828&gt;Hoje!$L$1,"Em execução","Fecha hoje"))))))))</f>
        <v/>
      </c>
      <c r="C828" s="41"/>
      <c r="D828" s="42"/>
      <c r="E828" s="42"/>
      <c r="F828" s="42"/>
      <c r="G828" s="43"/>
      <c r="H828" s="43"/>
      <c r="I828" s="44"/>
      <c r="J828" s="44"/>
      <c r="K828" s="44"/>
      <c r="L828" s="45"/>
      <c r="M828" s="46"/>
      <c r="N828" s="45"/>
      <c r="O828" s="47" t="str">
        <f aca="false">IF(OR($L828="",$M828=""),"",(DATE(Semana!$J$3,1,4)-WEEKDAY(DATE(Semana!$J$3,1,4),3))+($L828-1)*7+MATCH($M828,Listas!$F$5:$F$11,0)-1)</f>
        <v/>
      </c>
      <c r="P828" s="47" t="str">
        <f aca="false">IF(OR($F828="",$O828=""),"",$O828+MAX(0,ROUNDUP($AK828*MAX(1,IF($N828="",1,$N828))/MAX(1,$AL828),0)-1))</f>
        <v/>
      </c>
      <c r="Q828" s="48"/>
      <c r="R828" s="43"/>
      <c r="S828" s="49"/>
      <c r="T828" s="42"/>
      <c r="U828" s="42"/>
      <c r="V828" s="39" t="str">
        <f aca="false">IF($F828="","",IF(ISNUMBER(SEARCH("(externo)",$I828&amp;$J828&amp;$K828)),"Terceirizada","Interna"))</f>
        <v/>
      </c>
      <c r="W828" s="47" t="str">
        <f aca="false">IF($O828="","",IF($S828="",$O828,(DATE(Semana!$J$3,1,4)-WEEKDAY(DATE(Semana!$J$3,1,4),3))+($S828-1)*7+IF($M828="",0,MATCH($M828,Listas!$F$5:$F$11,0)-1)))</f>
        <v/>
      </c>
      <c r="X828" s="39" t="str">
        <f aca="false">IF($F828="","",IF(OR($AT828="",$O828=""),0,IF($AT828&lt;=$O828,1,0)))</f>
        <v/>
      </c>
      <c r="Y828" s="39" t="str">
        <f aca="false">IF($F828="","",IF(OR($AT828="",$W828=""),0,IF($AT828&lt;=$W828,1,0)))</f>
        <v/>
      </c>
      <c r="Z828" s="39" t="str">
        <f aca="false">IF(OR($AT828="",$O828=""),"",MAX(0,$AT828-$O828))</f>
        <v/>
      </c>
      <c r="AA828" s="39" t="str">
        <f aca="false">IF($F828="","",IF(AND($S828&lt;&gt;"",$L828&lt;&gt;"",$S828&lt;&gt;$L828),1,0))</f>
        <v/>
      </c>
      <c r="AB828" s="39" t="str">
        <f aca="false">IF($F828="","",IF($R828="Cancelada",0,IF(OR($AT828&lt;&gt;"",$R828="Concluída"),1,0)))</f>
        <v/>
      </c>
      <c r="AC828" s="39" t="n">
        <f aca="false">IF($P828="",0,IF($P828&lt;Hoje!$L$1,1,IF(AND($P828=Hoje!$L$1,Hoje!$L$2&gt;Semana!$M$3),1,0)))</f>
        <v>0</v>
      </c>
      <c r="AD828" s="39" t="str">
        <f aca="false">IF($F828="","",IF(COUNTA($I828:$K828)=0,0,1/COUNTA($I828:$K828)))</f>
        <v/>
      </c>
      <c r="AE828" s="39" t="str">
        <f aca="false">IF($AH828=0,"",SUM($AH$4:$AH828))</f>
        <v/>
      </c>
      <c r="AF828" s="39" t="str">
        <f aca="false">IF($AI828=0,"",SUM($AI$4:$AI828))</f>
        <v/>
      </c>
      <c r="AG828" s="50" t="str">
        <f aca="false">IF($F828="","",$I828&amp;IF($J828="",""," · "&amp;$J828)&amp;IF($K828="",""," · "&amp;$K828))</f>
        <v/>
      </c>
      <c r="AH828" s="39" t="n">
        <f aca="false">IF(AND($F828&lt;&gt;"",$O828&lt;&gt;"",$O828&lt;=Hoje!$C$3,$P828&gt;=Hoje!$C$3,$R828&lt;&gt;"Cancelada"),1,0)</f>
        <v>0</v>
      </c>
      <c r="AI828" s="39" t="n">
        <f aca="false">IF(AND($F828&lt;&gt;"",$P828&lt;&gt;"",$P828&lt;Hoje!$C$3,$AB828=0,$R828&lt;&gt;"Cancelada"),1,0)</f>
        <v>0</v>
      </c>
      <c r="AJ828" s="50" t="str">
        <f aca="false">IF($F828="","",$D828&amp;"|"&amp;$E828&amp;"|"&amp;$L828)</f>
        <v/>
      </c>
      <c r="AK828" s="39" t="str">
        <f aca="false">IF($AJ828="","",COUNTIF($AJ$4:$AJ828,$AJ828))</f>
        <v/>
      </c>
      <c r="AL828" s="39" t="str">
        <f aca="false">IF($AJ828="","",COUNTIF($AJ$4:$AJ$1004,$AJ828))</f>
        <v/>
      </c>
      <c r="AM828" s="42"/>
      <c r="AN828" s="50" t="str">
        <f aca="false">IF($D828="","",IFERROR(T(VLOOKUP($D828,Listas!$B$5:$H$120,7,0)),""))</f>
        <v/>
      </c>
      <c r="AO828" s="50" t="str">
        <f aca="false">IF(OR($F828="",$L828&lt;&gt;"",$R828="Cancelada",$AT828&lt;&gt;""),"",$AN828&amp;"|"&amp;$D828&amp;"|"&amp;IF($C828="","zzz",$C828)&amp;"|"&amp;TEXT(828,"0000"))</f>
        <v/>
      </c>
      <c r="AP828" s="50" t="str">
        <f aca="false">IF($AO828="","",COUNTIF($AO$5:$AO$1004,"&lt;"&amp;$AO828)-(ROWS($AO$5:$AO$1004)-Hoje!$L$5)+1)</f>
        <v/>
      </c>
      <c r="AQ828" s="50" t="n">
        <f aca="false">IF(AND($F828&lt;&gt;"",$D828=Frota!$C$3),1,0)</f>
        <v>0</v>
      </c>
      <c r="AR828" s="50" t="str">
        <f aca="false">IF($AQ828=0,"",SUM($AQ$4:$AQ828))</f>
        <v/>
      </c>
      <c r="AS828" s="50" t="str">
        <f aca="false">IFERROR(INDEX(Hoje!$K$10:$K$29,MATCH(ROW(),Hoje!$J$10:$J$29,0)),"")</f>
        <v/>
      </c>
      <c r="AT828" s="50" t="str">
        <f aca="false">IF($Q828&lt;&gt;"",$Q828,$AS828)</f>
        <v/>
      </c>
    </row>
    <row r="829" customFormat="false" ht="16.5" hidden="false" customHeight="true" outlineLevel="0" collapsed="false">
      <c r="A829" s="39" t="str">
        <f aca="false">IF($F829="","",ROW())</f>
        <v/>
      </c>
      <c r="B829" s="40" t="str">
        <f aca="false">IF($F829="",IF($D829="","","Falta a atividade"),IF($R829="Cancelada","Cancelada",IF($AB829=1,IF(N($Z829)&gt;0,"Concluída com atraso","Concluída"),IF($R829="Em programação","Em programação",IF($O829="",IF($M829="","Na carteira","Falta a semana"),IF($AC829=1,"VENCIDA",IF($O829&gt;Hoje!$L$1,"Programada",IF($P829&gt;Hoje!$L$1,"Em execução","Fecha hoje"))))))))</f>
        <v/>
      </c>
      <c r="C829" s="41"/>
      <c r="D829" s="42"/>
      <c r="E829" s="42"/>
      <c r="F829" s="42"/>
      <c r="G829" s="43"/>
      <c r="H829" s="43"/>
      <c r="I829" s="44"/>
      <c r="J829" s="44"/>
      <c r="K829" s="44"/>
      <c r="L829" s="45"/>
      <c r="M829" s="46"/>
      <c r="N829" s="45"/>
      <c r="O829" s="47" t="str">
        <f aca="false">IF(OR($L829="",$M829=""),"",(DATE(Semana!$J$3,1,4)-WEEKDAY(DATE(Semana!$J$3,1,4),3))+($L829-1)*7+MATCH($M829,Listas!$F$5:$F$11,0)-1)</f>
        <v/>
      </c>
      <c r="P829" s="47" t="str">
        <f aca="false">IF(OR($F829="",$O829=""),"",$O829+MAX(0,ROUNDUP($AK829*MAX(1,IF($N829="",1,$N829))/MAX(1,$AL829),0)-1))</f>
        <v/>
      </c>
      <c r="Q829" s="48"/>
      <c r="R829" s="43"/>
      <c r="S829" s="49"/>
      <c r="T829" s="42"/>
      <c r="U829" s="42"/>
      <c r="V829" s="39" t="str">
        <f aca="false">IF($F829="","",IF(ISNUMBER(SEARCH("(externo)",$I829&amp;$J829&amp;$K829)),"Terceirizada","Interna"))</f>
        <v/>
      </c>
      <c r="W829" s="47" t="str">
        <f aca="false">IF($O829="","",IF($S829="",$O829,(DATE(Semana!$J$3,1,4)-WEEKDAY(DATE(Semana!$J$3,1,4),3))+($S829-1)*7+IF($M829="",0,MATCH($M829,Listas!$F$5:$F$11,0)-1)))</f>
        <v/>
      </c>
      <c r="X829" s="39" t="str">
        <f aca="false">IF($F829="","",IF(OR($AT829="",$O829=""),0,IF($AT829&lt;=$O829,1,0)))</f>
        <v/>
      </c>
      <c r="Y829" s="39" t="str">
        <f aca="false">IF($F829="","",IF(OR($AT829="",$W829=""),0,IF($AT829&lt;=$W829,1,0)))</f>
        <v/>
      </c>
      <c r="Z829" s="39" t="str">
        <f aca="false">IF(OR($AT829="",$O829=""),"",MAX(0,$AT829-$O829))</f>
        <v/>
      </c>
      <c r="AA829" s="39" t="str">
        <f aca="false">IF($F829="","",IF(AND($S829&lt;&gt;"",$L829&lt;&gt;"",$S829&lt;&gt;$L829),1,0))</f>
        <v/>
      </c>
      <c r="AB829" s="39" t="str">
        <f aca="false">IF($F829="","",IF($R829="Cancelada",0,IF(OR($AT829&lt;&gt;"",$R829="Concluída"),1,0)))</f>
        <v/>
      </c>
      <c r="AC829" s="39" t="n">
        <f aca="false">IF($P829="",0,IF($P829&lt;Hoje!$L$1,1,IF(AND($P829=Hoje!$L$1,Hoje!$L$2&gt;Semana!$M$3),1,0)))</f>
        <v>0</v>
      </c>
      <c r="AD829" s="39" t="str">
        <f aca="false">IF($F829="","",IF(COUNTA($I829:$K829)=0,0,1/COUNTA($I829:$K829)))</f>
        <v/>
      </c>
      <c r="AE829" s="39" t="str">
        <f aca="false">IF($AH829=0,"",SUM($AH$4:$AH829))</f>
        <v/>
      </c>
      <c r="AF829" s="39" t="str">
        <f aca="false">IF($AI829=0,"",SUM($AI$4:$AI829))</f>
        <v/>
      </c>
      <c r="AG829" s="50" t="str">
        <f aca="false">IF($F829="","",$I829&amp;IF($J829="",""," · "&amp;$J829)&amp;IF($K829="",""," · "&amp;$K829))</f>
        <v/>
      </c>
      <c r="AH829" s="39" t="n">
        <f aca="false">IF(AND($F829&lt;&gt;"",$O829&lt;&gt;"",$O829&lt;=Hoje!$C$3,$P829&gt;=Hoje!$C$3,$R829&lt;&gt;"Cancelada"),1,0)</f>
        <v>0</v>
      </c>
      <c r="AI829" s="39" t="n">
        <f aca="false">IF(AND($F829&lt;&gt;"",$P829&lt;&gt;"",$P829&lt;Hoje!$C$3,$AB829=0,$R829&lt;&gt;"Cancelada"),1,0)</f>
        <v>0</v>
      </c>
      <c r="AJ829" s="50" t="str">
        <f aca="false">IF($F829="","",$D829&amp;"|"&amp;$E829&amp;"|"&amp;$L829)</f>
        <v/>
      </c>
      <c r="AK829" s="39" t="str">
        <f aca="false">IF($AJ829="","",COUNTIF($AJ$4:$AJ829,$AJ829))</f>
        <v/>
      </c>
      <c r="AL829" s="39" t="str">
        <f aca="false">IF($AJ829="","",COUNTIF($AJ$4:$AJ$1004,$AJ829))</f>
        <v/>
      </c>
      <c r="AM829" s="42"/>
      <c r="AN829" s="50" t="str">
        <f aca="false">IF($D829="","",IFERROR(T(VLOOKUP($D829,Listas!$B$5:$H$120,7,0)),""))</f>
        <v/>
      </c>
      <c r="AO829" s="50" t="str">
        <f aca="false">IF(OR($F829="",$L829&lt;&gt;"",$R829="Cancelada",$AT829&lt;&gt;""),"",$AN829&amp;"|"&amp;$D829&amp;"|"&amp;IF($C829="","zzz",$C829)&amp;"|"&amp;TEXT(829,"0000"))</f>
        <v/>
      </c>
      <c r="AP829" s="50" t="str">
        <f aca="false">IF($AO829="","",COUNTIF($AO$5:$AO$1004,"&lt;"&amp;$AO829)-(ROWS($AO$5:$AO$1004)-Hoje!$L$5)+1)</f>
        <v/>
      </c>
      <c r="AQ829" s="50" t="n">
        <f aca="false">IF(AND($F829&lt;&gt;"",$D829=Frota!$C$3),1,0)</f>
        <v>0</v>
      </c>
      <c r="AR829" s="50" t="str">
        <f aca="false">IF($AQ829=0,"",SUM($AQ$4:$AQ829))</f>
        <v/>
      </c>
      <c r="AS829" s="50" t="str">
        <f aca="false">IFERROR(INDEX(Hoje!$K$10:$K$29,MATCH(ROW(),Hoje!$J$10:$J$29,0)),"")</f>
        <v/>
      </c>
      <c r="AT829" s="50" t="str">
        <f aca="false">IF($Q829&lt;&gt;"",$Q829,$AS829)</f>
        <v/>
      </c>
    </row>
    <row r="830" customFormat="false" ht="16.5" hidden="false" customHeight="true" outlineLevel="0" collapsed="false">
      <c r="A830" s="39" t="str">
        <f aca="false">IF($F830="","",ROW())</f>
        <v/>
      </c>
      <c r="B830" s="40" t="str">
        <f aca="false">IF($F830="",IF($D830="","","Falta a atividade"),IF($R830="Cancelada","Cancelada",IF($AB830=1,IF(N($Z830)&gt;0,"Concluída com atraso","Concluída"),IF($R830="Em programação","Em programação",IF($O830="",IF($M830="","Na carteira","Falta a semana"),IF($AC830=1,"VENCIDA",IF($O830&gt;Hoje!$L$1,"Programada",IF($P830&gt;Hoje!$L$1,"Em execução","Fecha hoje"))))))))</f>
        <v/>
      </c>
      <c r="C830" s="41"/>
      <c r="D830" s="42"/>
      <c r="E830" s="42"/>
      <c r="F830" s="42"/>
      <c r="G830" s="43"/>
      <c r="H830" s="43"/>
      <c r="I830" s="44"/>
      <c r="J830" s="44"/>
      <c r="K830" s="44"/>
      <c r="L830" s="45"/>
      <c r="M830" s="46"/>
      <c r="N830" s="45"/>
      <c r="O830" s="47" t="str">
        <f aca="false">IF(OR($L830="",$M830=""),"",(DATE(Semana!$J$3,1,4)-WEEKDAY(DATE(Semana!$J$3,1,4),3))+($L830-1)*7+MATCH($M830,Listas!$F$5:$F$11,0)-1)</f>
        <v/>
      </c>
      <c r="P830" s="47" t="str">
        <f aca="false">IF(OR($F830="",$O830=""),"",$O830+MAX(0,ROUNDUP($AK830*MAX(1,IF($N830="",1,$N830))/MAX(1,$AL830),0)-1))</f>
        <v/>
      </c>
      <c r="Q830" s="48"/>
      <c r="R830" s="43"/>
      <c r="S830" s="49"/>
      <c r="T830" s="42"/>
      <c r="U830" s="42"/>
      <c r="V830" s="39" t="str">
        <f aca="false">IF($F830="","",IF(ISNUMBER(SEARCH("(externo)",$I830&amp;$J830&amp;$K830)),"Terceirizada","Interna"))</f>
        <v/>
      </c>
      <c r="W830" s="47" t="str">
        <f aca="false">IF($O830="","",IF($S830="",$O830,(DATE(Semana!$J$3,1,4)-WEEKDAY(DATE(Semana!$J$3,1,4),3))+($S830-1)*7+IF($M830="",0,MATCH($M830,Listas!$F$5:$F$11,0)-1)))</f>
        <v/>
      </c>
      <c r="X830" s="39" t="str">
        <f aca="false">IF($F830="","",IF(OR($AT830="",$O830=""),0,IF($AT830&lt;=$O830,1,0)))</f>
        <v/>
      </c>
      <c r="Y830" s="39" t="str">
        <f aca="false">IF($F830="","",IF(OR($AT830="",$W830=""),0,IF($AT830&lt;=$W830,1,0)))</f>
        <v/>
      </c>
      <c r="Z830" s="39" t="str">
        <f aca="false">IF(OR($AT830="",$O830=""),"",MAX(0,$AT830-$O830))</f>
        <v/>
      </c>
      <c r="AA830" s="39" t="str">
        <f aca="false">IF($F830="","",IF(AND($S830&lt;&gt;"",$L830&lt;&gt;"",$S830&lt;&gt;$L830),1,0))</f>
        <v/>
      </c>
      <c r="AB830" s="39" t="str">
        <f aca="false">IF($F830="","",IF($R830="Cancelada",0,IF(OR($AT830&lt;&gt;"",$R830="Concluída"),1,0)))</f>
        <v/>
      </c>
      <c r="AC830" s="39" t="n">
        <f aca="false">IF($P830="",0,IF($P830&lt;Hoje!$L$1,1,IF(AND($P830=Hoje!$L$1,Hoje!$L$2&gt;Semana!$M$3),1,0)))</f>
        <v>0</v>
      </c>
      <c r="AD830" s="39" t="str">
        <f aca="false">IF($F830="","",IF(COUNTA($I830:$K830)=0,0,1/COUNTA($I830:$K830)))</f>
        <v/>
      </c>
      <c r="AE830" s="39" t="str">
        <f aca="false">IF($AH830=0,"",SUM($AH$4:$AH830))</f>
        <v/>
      </c>
      <c r="AF830" s="39" t="str">
        <f aca="false">IF($AI830=0,"",SUM($AI$4:$AI830))</f>
        <v/>
      </c>
      <c r="AG830" s="50" t="str">
        <f aca="false">IF($F830="","",$I830&amp;IF($J830="",""," · "&amp;$J830)&amp;IF($K830="",""," · "&amp;$K830))</f>
        <v/>
      </c>
      <c r="AH830" s="39" t="n">
        <f aca="false">IF(AND($F830&lt;&gt;"",$O830&lt;&gt;"",$O830&lt;=Hoje!$C$3,$P830&gt;=Hoje!$C$3,$R830&lt;&gt;"Cancelada"),1,0)</f>
        <v>0</v>
      </c>
      <c r="AI830" s="39" t="n">
        <f aca="false">IF(AND($F830&lt;&gt;"",$P830&lt;&gt;"",$P830&lt;Hoje!$C$3,$AB830=0,$R830&lt;&gt;"Cancelada"),1,0)</f>
        <v>0</v>
      </c>
      <c r="AJ830" s="50" t="str">
        <f aca="false">IF($F830="","",$D830&amp;"|"&amp;$E830&amp;"|"&amp;$L830)</f>
        <v/>
      </c>
      <c r="AK830" s="39" t="str">
        <f aca="false">IF($AJ830="","",COUNTIF($AJ$4:$AJ830,$AJ830))</f>
        <v/>
      </c>
      <c r="AL830" s="39" t="str">
        <f aca="false">IF($AJ830="","",COUNTIF($AJ$4:$AJ$1004,$AJ830))</f>
        <v/>
      </c>
      <c r="AM830" s="42"/>
      <c r="AN830" s="50" t="str">
        <f aca="false">IF($D830="","",IFERROR(T(VLOOKUP($D830,Listas!$B$5:$H$120,7,0)),""))</f>
        <v/>
      </c>
      <c r="AO830" s="50" t="str">
        <f aca="false">IF(OR($F830="",$L830&lt;&gt;"",$R830="Cancelada",$AT830&lt;&gt;""),"",$AN830&amp;"|"&amp;$D830&amp;"|"&amp;IF($C830="","zzz",$C830)&amp;"|"&amp;TEXT(830,"0000"))</f>
        <v/>
      </c>
      <c r="AP830" s="50" t="str">
        <f aca="false">IF($AO830="","",COUNTIF($AO$5:$AO$1004,"&lt;"&amp;$AO830)-(ROWS($AO$5:$AO$1004)-Hoje!$L$5)+1)</f>
        <v/>
      </c>
      <c r="AQ830" s="50" t="n">
        <f aca="false">IF(AND($F830&lt;&gt;"",$D830=Frota!$C$3),1,0)</f>
        <v>0</v>
      </c>
      <c r="AR830" s="50" t="str">
        <f aca="false">IF($AQ830=0,"",SUM($AQ$4:$AQ830))</f>
        <v/>
      </c>
      <c r="AS830" s="50" t="str">
        <f aca="false">IFERROR(INDEX(Hoje!$K$10:$K$29,MATCH(ROW(),Hoje!$J$10:$J$29,0)),"")</f>
        <v/>
      </c>
      <c r="AT830" s="50" t="str">
        <f aca="false">IF($Q830&lt;&gt;"",$Q830,$AS830)</f>
        <v/>
      </c>
    </row>
    <row r="831" customFormat="false" ht="16.5" hidden="false" customHeight="true" outlineLevel="0" collapsed="false">
      <c r="A831" s="39" t="str">
        <f aca="false">IF($F831="","",ROW())</f>
        <v/>
      </c>
      <c r="B831" s="40" t="str">
        <f aca="false">IF($F831="",IF($D831="","","Falta a atividade"),IF($R831="Cancelada","Cancelada",IF($AB831=1,IF(N($Z831)&gt;0,"Concluída com atraso","Concluída"),IF($R831="Em programação","Em programação",IF($O831="",IF($M831="","Na carteira","Falta a semana"),IF($AC831=1,"VENCIDA",IF($O831&gt;Hoje!$L$1,"Programada",IF($P831&gt;Hoje!$L$1,"Em execução","Fecha hoje"))))))))</f>
        <v/>
      </c>
      <c r="C831" s="41"/>
      <c r="D831" s="42"/>
      <c r="E831" s="42"/>
      <c r="F831" s="42"/>
      <c r="G831" s="43"/>
      <c r="H831" s="43"/>
      <c r="I831" s="44"/>
      <c r="J831" s="44"/>
      <c r="K831" s="44"/>
      <c r="L831" s="45"/>
      <c r="M831" s="46"/>
      <c r="N831" s="45"/>
      <c r="O831" s="47" t="str">
        <f aca="false">IF(OR($L831="",$M831=""),"",(DATE(Semana!$J$3,1,4)-WEEKDAY(DATE(Semana!$J$3,1,4),3))+($L831-1)*7+MATCH($M831,Listas!$F$5:$F$11,0)-1)</f>
        <v/>
      </c>
      <c r="P831" s="47" t="str">
        <f aca="false">IF(OR($F831="",$O831=""),"",$O831+MAX(0,ROUNDUP($AK831*MAX(1,IF($N831="",1,$N831))/MAX(1,$AL831),0)-1))</f>
        <v/>
      </c>
      <c r="Q831" s="48"/>
      <c r="R831" s="43"/>
      <c r="S831" s="49"/>
      <c r="T831" s="42"/>
      <c r="U831" s="42"/>
      <c r="V831" s="39" t="str">
        <f aca="false">IF($F831="","",IF(ISNUMBER(SEARCH("(externo)",$I831&amp;$J831&amp;$K831)),"Terceirizada","Interna"))</f>
        <v/>
      </c>
      <c r="W831" s="47" t="str">
        <f aca="false">IF($O831="","",IF($S831="",$O831,(DATE(Semana!$J$3,1,4)-WEEKDAY(DATE(Semana!$J$3,1,4),3))+($S831-1)*7+IF($M831="",0,MATCH($M831,Listas!$F$5:$F$11,0)-1)))</f>
        <v/>
      </c>
      <c r="X831" s="39" t="str">
        <f aca="false">IF($F831="","",IF(OR($AT831="",$O831=""),0,IF($AT831&lt;=$O831,1,0)))</f>
        <v/>
      </c>
      <c r="Y831" s="39" t="str">
        <f aca="false">IF($F831="","",IF(OR($AT831="",$W831=""),0,IF($AT831&lt;=$W831,1,0)))</f>
        <v/>
      </c>
      <c r="Z831" s="39" t="str">
        <f aca="false">IF(OR($AT831="",$O831=""),"",MAX(0,$AT831-$O831))</f>
        <v/>
      </c>
      <c r="AA831" s="39" t="str">
        <f aca="false">IF($F831="","",IF(AND($S831&lt;&gt;"",$L831&lt;&gt;"",$S831&lt;&gt;$L831),1,0))</f>
        <v/>
      </c>
      <c r="AB831" s="39" t="str">
        <f aca="false">IF($F831="","",IF($R831="Cancelada",0,IF(OR($AT831&lt;&gt;"",$R831="Concluída"),1,0)))</f>
        <v/>
      </c>
      <c r="AC831" s="39" t="n">
        <f aca="false">IF($P831="",0,IF($P831&lt;Hoje!$L$1,1,IF(AND($P831=Hoje!$L$1,Hoje!$L$2&gt;Semana!$M$3),1,0)))</f>
        <v>0</v>
      </c>
      <c r="AD831" s="39" t="str">
        <f aca="false">IF($F831="","",IF(COUNTA($I831:$K831)=0,0,1/COUNTA($I831:$K831)))</f>
        <v/>
      </c>
      <c r="AE831" s="39" t="str">
        <f aca="false">IF($AH831=0,"",SUM($AH$4:$AH831))</f>
        <v/>
      </c>
      <c r="AF831" s="39" t="str">
        <f aca="false">IF($AI831=0,"",SUM($AI$4:$AI831))</f>
        <v/>
      </c>
      <c r="AG831" s="50" t="str">
        <f aca="false">IF($F831="","",$I831&amp;IF($J831="",""," · "&amp;$J831)&amp;IF($K831="",""," · "&amp;$K831))</f>
        <v/>
      </c>
      <c r="AH831" s="39" t="n">
        <f aca="false">IF(AND($F831&lt;&gt;"",$O831&lt;&gt;"",$O831&lt;=Hoje!$C$3,$P831&gt;=Hoje!$C$3,$R831&lt;&gt;"Cancelada"),1,0)</f>
        <v>0</v>
      </c>
      <c r="AI831" s="39" t="n">
        <f aca="false">IF(AND($F831&lt;&gt;"",$P831&lt;&gt;"",$P831&lt;Hoje!$C$3,$AB831=0,$R831&lt;&gt;"Cancelada"),1,0)</f>
        <v>0</v>
      </c>
      <c r="AJ831" s="50" t="str">
        <f aca="false">IF($F831="","",$D831&amp;"|"&amp;$E831&amp;"|"&amp;$L831)</f>
        <v/>
      </c>
      <c r="AK831" s="39" t="str">
        <f aca="false">IF($AJ831="","",COUNTIF($AJ$4:$AJ831,$AJ831))</f>
        <v/>
      </c>
      <c r="AL831" s="39" t="str">
        <f aca="false">IF($AJ831="","",COUNTIF($AJ$4:$AJ$1004,$AJ831))</f>
        <v/>
      </c>
      <c r="AM831" s="42"/>
      <c r="AN831" s="50" t="str">
        <f aca="false">IF($D831="","",IFERROR(T(VLOOKUP($D831,Listas!$B$5:$H$120,7,0)),""))</f>
        <v/>
      </c>
      <c r="AO831" s="50" t="str">
        <f aca="false">IF(OR($F831="",$L831&lt;&gt;"",$R831="Cancelada",$AT831&lt;&gt;""),"",$AN831&amp;"|"&amp;$D831&amp;"|"&amp;IF($C831="","zzz",$C831)&amp;"|"&amp;TEXT(831,"0000"))</f>
        <v/>
      </c>
      <c r="AP831" s="50" t="str">
        <f aca="false">IF($AO831="","",COUNTIF($AO$5:$AO$1004,"&lt;"&amp;$AO831)-(ROWS($AO$5:$AO$1004)-Hoje!$L$5)+1)</f>
        <v/>
      </c>
      <c r="AQ831" s="50" t="n">
        <f aca="false">IF(AND($F831&lt;&gt;"",$D831=Frota!$C$3),1,0)</f>
        <v>0</v>
      </c>
      <c r="AR831" s="50" t="str">
        <f aca="false">IF($AQ831=0,"",SUM($AQ$4:$AQ831))</f>
        <v/>
      </c>
      <c r="AS831" s="50" t="str">
        <f aca="false">IFERROR(INDEX(Hoje!$K$10:$K$29,MATCH(ROW(),Hoje!$J$10:$J$29,0)),"")</f>
        <v/>
      </c>
      <c r="AT831" s="50" t="str">
        <f aca="false">IF($Q831&lt;&gt;"",$Q831,$AS831)</f>
        <v/>
      </c>
    </row>
    <row r="832" customFormat="false" ht="16.5" hidden="false" customHeight="true" outlineLevel="0" collapsed="false">
      <c r="A832" s="39" t="str">
        <f aca="false">IF($F832="","",ROW())</f>
        <v/>
      </c>
      <c r="B832" s="40" t="str">
        <f aca="false">IF($F832="",IF($D832="","","Falta a atividade"),IF($R832="Cancelada","Cancelada",IF($AB832=1,IF(N($Z832)&gt;0,"Concluída com atraso","Concluída"),IF($R832="Em programação","Em programação",IF($O832="",IF($M832="","Na carteira","Falta a semana"),IF($AC832=1,"VENCIDA",IF($O832&gt;Hoje!$L$1,"Programada",IF($P832&gt;Hoje!$L$1,"Em execução","Fecha hoje"))))))))</f>
        <v/>
      </c>
      <c r="C832" s="41"/>
      <c r="D832" s="42"/>
      <c r="E832" s="42"/>
      <c r="F832" s="42"/>
      <c r="G832" s="43"/>
      <c r="H832" s="43"/>
      <c r="I832" s="44"/>
      <c r="J832" s="44"/>
      <c r="K832" s="44"/>
      <c r="L832" s="45"/>
      <c r="M832" s="46"/>
      <c r="N832" s="45"/>
      <c r="O832" s="47" t="str">
        <f aca="false">IF(OR($L832="",$M832=""),"",(DATE(Semana!$J$3,1,4)-WEEKDAY(DATE(Semana!$J$3,1,4),3))+($L832-1)*7+MATCH($M832,Listas!$F$5:$F$11,0)-1)</f>
        <v/>
      </c>
      <c r="P832" s="47" t="str">
        <f aca="false">IF(OR($F832="",$O832=""),"",$O832+MAX(0,ROUNDUP($AK832*MAX(1,IF($N832="",1,$N832))/MAX(1,$AL832),0)-1))</f>
        <v/>
      </c>
      <c r="Q832" s="48"/>
      <c r="R832" s="43"/>
      <c r="S832" s="49"/>
      <c r="T832" s="42"/>
      <c r="U832" s="42"/>
      <c r="V832" s="39" t="str">
        <f aca="false">IF($F832="","",IF(ISNUMBER(SEARCH("(externo)",$I832&amp;$J832&amp;$K832)),"Terceirizada","Interna"))</f>
        <v/>
      </c>
      <c r="W832" s="47" t="str">
        <f aca="false">IF($O832="","",IF($S832="",$O832,(DATE(Semana!$J$3,1,4)-WEEKDAY(DATE(Semana!$J$3,1,4),3))+($S832-1)*7+IF($M832="",0,MATCH($M832,Listas!$F$5:$F$11,0)-1)))</f>
        <v/>
      </c>
      <c r="X832" s="39" t="str">
        <f aca="false">IF($F832="","",IF(OR($AT832="",$O832=""),0,IF($AT832&lt;=$O832,1,0)))</f>
        <v/>
      </c>
      <c r="Y832" s="39" t="str">
        <f aca="false">IF($F832="","",IF(OR($AT832="",$W832=""),0,IF($AT832&lt;=$W832,1,0)))</f>
        <v/>
      </c>
      <c r="Z832" s="39" t="str">
        <f aca="false">IF(OR($AT832="",$O832=""),"",MAX(0,$AT832-$O832))</f>
        <v/>
      </c>
      <c r="AA832" s="39" t="str">
        <f aca="false">IF($F832="","",IF(AND($S832&lt;&gt;"",$L832&lt;&gt;"",$S832&lt;&gt;$L832),1,0))</f>
        <v/>
      </c>
      <c r="AB832" s="39" t="str">
        <f aca="false">IF($F832="","",IF($R832="Cancelada",0,IF(OR($AT832&lt;&gt;"",$R832="Concluída"),1,0)))</f>
        <v/>
      </c>
      <c r="AC832" s="39" t="n">
        <f aca="false">IF($P832="",0,IF($P832&lt;Hoje!$L$1,1,IF(AND($P832=Hoje!$L$1,Hoje!$L$2&gt;Semana!$M$3),1,0)))</f>
        <v>0</v>
      </c>
      <c r="AD832" s="39" t="str">
        <f aca="false">IF($F832="","",IF(COUNTA($I832:$K832)=0,0,1/COUNTA($I832:$K832)))</f>
        <v/>
      </c>
      <c r="AE832" s="39" t="str">
        <f aca="false">IF($AH832=0,"",SUM($AH$4:$AH832))</f>
        <v/>
      </c>
      <c r="AF832" s="39" t="str">
        <f aca="false">IF($AI832=0,"",SUM($AI$4:$AI832))</f>
        <v/>
      </c>
      <c r="AG832" s="50" t="str">
        <f aca="false">IF($F832="","",$I832&amp;IF($J832="",""," · "&amp;$J832)&amp;IF($K832="",""," · "&amp;$K832))</f>
        <v/>
      </c>
      <c r="AH832" s="39" t="n">
        <f aca="false">IF(AND($F832&lt;&gt;"",$O832&lt;&gt;"",$O832&lt;=Hoje!$C$3,$P832&gt;=Hoje!$C$3,$R832&lt;&gt;"Cancelada"),1,0)</f>
        <v>0</v>
      </c>
      <c r="AI832" s="39" t="n">
        <f aca="false">IF(AND($F832&lt;&gt;"",$P832&lt;&gt;"",$P832&lt;Hoje!$C$3,$AB832=0,$R832&lt;&gt;"Cancelada"),1,0)</f>
        <v>0</v>
      </c>
      <c r="AJ832" s="50" t="str">
        <f aca="false">IF($F832="","",$D832&amp;"|"&amp;$E832&amp;"|"&amp;$L832)</f>
        <v/>
      </c>
      <c r="AK832" s="39" t="str">
        <f aca="false">IF($AJ832="","",COUNTIF($AJ$4:$AJ832,$AJ832))</f>
        <v/>
      </c>
      <c r="AL832" s="39" t="str">
        <f aca="false">IF($AJ832="","",COUNTIF($AJ$4:$AJ$1004,$AJ832))</f>
        <v/>
      </c>
      <c r="AM832" s="42"/>
      <c r="AN832" s="50" t="str">
        <f aca="false">IF($D832="","",IFERROR(T(VLOOKUP($D832,Listas!$B$5:$H$120,7,0)),""))</f>
        <v/>
      </c>
      <c r="AO832" s="50" t="str">
        <f aca="false">IF(OR($F832="",$L832&lt;&gt;"",$R832="Cancelada",$AT832&lt;&gt;""),"",$AN832&amp;"|"&amp;$D832&amp;"|"&amp;IF($C832="","zzz",$C832)&amp;"|"&amp;TEXT(832,"0000"))</f>
        <v/>
      </c>
      <c r="AP832" s="50" t="str">
        <f aca="false">IF($AO832="","",COUNTIF($AO$5:$AO$1004,"&lt;"&amp;$AO832)-(ROWS($AO$5:$AO$1004)-Hoje!$L$5)+1)</f>
        <v/>
      </c>
      <c r="AQ832" s="50" t="n">
        <f aca="false">IF(AND($F832&lt;&gt;"",$D832=Frota!$C$3),1,0)</f>
        <v>0</v>
      </c>
      <c r="AR832" s="50" t="str">
        <f aca="false">IF($AQ832=0,"",SUM($AQ$4:$AQ832))</f>
        <v/>
      </c>
      <c r="AS832" s="50" t="str">
        <f aca="false">IFERROR(INDEX(Hoje!$K$10:$K$29,MATCH(ROW(),Hoje!$J$10:$J$29,0)),"")</f>
        <v/>
      </c>
      <c r="AT832" s="50" t="str">
        <f aca="false">IF($Q832&lt;&gt;"",$Q832,$AS832)</f>
        <v/>
      </c>
    </row>
    <row r="833" customFormat="false" ht="16.5" hidden="false" customHeight="true" outlineLevel="0" collapsed="false">
      <c r="A833" s="39" t="str">
        <f aca="false">IF($F833="","",ROW())</f>
        <v/>
      </c>
      <c r="B833" s="40" t="str">
        <f aca="false">IF($F833="",IF($D833="","","Falta a atividade"),IF($R833="Cancelada","Cancelada",IF($AB833=1,IF(N($Z833)&gt;0,"Concluída com atraso","Concluída"),IF($R833="Em programação","Em programação",IF($O833="",IF($M833="","Na carteira","Falta a semana"),IF($AC833=1,"VENCIDA",IF($O833&gt;Hoje!$L$1,"Programada",IF($P833&gt;Hoje!$L$1,"Em execução","Fecha hoje"))))))))</f>
        <v/>
      </c>
      <c r="C833" s="41"/>
      <c r="D833" s="42"/>
      <c r="E833" s="42"/>
      <c r="F833" s="42"/>
      <c r="G833" s="43"/>
      <c r="H833" s="43"/>
      <c r="I833" s="44"/>
      <c r="J833" s="44"/>
      <c r="K833" s="44"/>
      <c r="L833" s="45"/>
      <c r="M833" s="46"/>
      <c r="N833" s="45"/>
      <c r="O833" s="47" t="str">
        <f aca="false">IF(OR($L833="",$M833=""),"",(DATE(Semana!$J$3,1,4)-WEEKDAY(DATE(Semana!$J$3,1,4),3))+($L833-1)*7+MATCH($M833,Listas!$F$5:$F$11,0)-1)</f>
        <v/>
      </c>
      <c r="P833" s="47" t="str">
        <f aca="false">IF(OR($F833="",$O833=""),"",$O833+MAX(0,ROUNDUP($AK833*MAX(1,IF($N833="",1,$N833))/MAX(1,$AL833),0)-1))</f>
        <v/>
      </c>
      <c r="Q833" s="48"/>
      <c r="R833" s="43"/>
      <c r="S833" s="49"/>
      <c r="T833" s="42"/>
      <c r="U833" s="42"/>
      <c r="V833" s="39" t="str">
        <f aca="false">IF($F833="","",IF(ISNUMBER(SEARCH("(externo)",$I833&amp;$J833&amp;$K833)),"Terceirizada","Interna"))</f>
        <v/>
      </c>
      <c r="W833" s="47" t="str">
        <f aca="false">IF($O833="","",IF($S833="",$O833,(DATE(Semana!$J$3,1,4)-WEEKDAY(DATE(Semana!$J$3,1,4),3))+($S833-1)*7+IF($M833="",0,MATCH($M833,Listas!$F$5:$F$11,0)-1)))</f>
        <v/>
      </c>
      <c r="X833" s="39" t="str">
        <f aca="false">IF($F833="","",IF(OR($AT833="",$O833=""),0,IF($AT833&lt;=$O833,1,0)))</f>
        <v/>
      </c>
      <c r="Y833" s="39" t="str">
        <f aca="false">IF($F833="","",IF(OR($AT833="",$W833=""),0,IF($AT833&lt;=$W833,1,0)))</f>
        <v/>
      </c>
      <c r="Z833" s="39" t="str">
        <f aca="false">IF(OR($AT833="",$O833=""),"",MAX(0,$AT833-$O833))</f>
        <v/>
      </c>
      <c r="AA833" s="39" t="str">
        <f aca="false">IF($F833="","",IF(AND($S833&lt;&gt;"",$L833&lt;&gt;"",$S833&lt;&gt;$L833),1,0))</f>
        <v/>
      </c>
      <c r="AB833" s="39" t="str">
        <f aca="false">IF($F833="","",IF($R833="Cancelada",0,IF(OR($AT833&lt;&gt;"",$R833="Concluída"),1,0)))</f>
        <v/>
      </c>
      <c r="AC833" s="39" t="n">
        <f aca="false">IF($P833="",0,IF($P833&lt;Hoje!$L$1,1,IF(AND($P833=Hoje!$L$1,Hoje!$L$2&gt;Semana!$M$3),1,0)))</f>
        <v>0</v>
      </c>
      <c r="AD833" s="39" t="str">
        <f aca="false">IF($F833="","",IF(COUNTA($I833:$K833)=0,0,1/COUNTA($I833:$K833)))</f>
        <v/>
      </c>
      <c r="AE833" s="39" t="str">
        <f aca="false">IF($AH833=0,"",SUM($AH$4:$AH833))</f>
        <v/>
      </c>
      <c r="AF833" s="39" t="str">
        <f aca="false">IF($AI833=0,"",SUM($AI$4:$AI833))</f>
        <v/>
      </c>
      <c r="AG833" s="50" t="str">
        <f aca="false">IF($F833="","",$I833&amp;IF($J833="",""," · "&amp;$J833)&amp;IF($K833="",""," · "&amp;$K833))</f>
        <v/>
      </c>
      <c r="AH833" s="39" t="n">
        <f aca="false">IF(AND($F833&lt;&gt;"",$O833&lt;&gt;"",$O833&lt;=Hoje!$C$3,$P833&gt;=Hoje!$C$3,$R833&lt;&gt;"Cancelada"),1,0)</f>
        <v>0</v>
      </c>
      <c r="AI833" s="39" t="n">
        <f aca="false">IF(AND($F833&lt;&gt;"",$P833&lt;&gt;"",$P833&lt;Hoje!$C$3,$AB833=0,$R833&lt;&gt;"Cancelada"),1,0)</f>
        <v>0</v>
      </c>
      <c r="AJ833" s="50" t="str">
        <f aca="false">IF($F833="","",$D833&amp;"|"&amp;$E833&amp;"|"&amp;$L833)</f>
        <v/>
      </c>
      <c r="AK833" s="39" t="str">
        <f aca="false">IF($AJ833="","",COUNTIF($AJ$4:$AJ833,$AJ833))</f>
        <v/>
      </c>
      <c r="AL833" s="39" t="str">
        <f aca="false">IF($AJ833="","",COUNTIF($AJ$4:$AJ$1004,$AJ833))</f>
        <v/>
      </c>
      <c r="AM833" s="42"/>
      <c r="AN833" s="50" t="str">
        <f aca="false">IF($D833="","",IFERROR(T(VLOOKUP($D833,Listas!$B$5:$H$120,7,0)),""))</f>
        <v/>
      </c>
      <c r="AO833" s="50" t="str">
        <f aca="false">IF(OR($F833="",$L833&lt;&gt;"",$R833="Cancelada",$AT833&lt;&gt;""),"",$AN833&amp;"|"&amp;$D833&amp;"|"&amp;IF($C833="","zzz",$C833)&amp;"|"&amp;TEXT(833,"0000"))</f>
        <v/>
      </c>
      <c r="AP833" s="50" t="str">
        <f aca="false">IF($AO833="","",COUNTIF($AO$5:$AO$1004,"&lt;"&amp;$AO833)-(ROWS($AO$5:$AO$1004)-Hoje!$L$5)+1)</f>
        <v/>
      </c>
      <c r="AQ833" s="50" t="n">
        <f aca="false">IF(AND($F833&lt;&gt;"",$D833=Frota!$C$3),1,0)</f>
        <v>0</v>
      </c>
      <c r="AR833" s="50" t="str">
        <f aca="false">IF($AQ833=0,"",SUM($AQ$4:$AQ833))</f>
        <v/>
      </c>
      <c r="AS833" s="50" t="str">
        <f aca="false">IFERROR(INDEX(Hoje!$K$10:$K$29,MATCH(ROW(),Hoje!$J$10:$J$29,0)),"")</f>
        <v/>
      </c>
      <c r="AT833" s="50" t="str">
        <f aca="false">IF($Q833&lt;&gt;"",$Q833,$AS833)</f>
        <v/>
      </c>
    </row>
    <row r="834" customFormat="false" ht="16.5" hidden="false" customHeight="true" outlineLevel="0" collapsed="false">
      <c r="A834" s="39" t="str">
        <f aca="false">IF($F834="","",ROW())</f>
        <v/>
      </c>
      <c r="B834" s="40" t="str">
        <f aca="false">IF($F834="",IF($D834="","","Falta a atividade"),IF($R834="Cancelada","Cancelada",IF($AB834=1,IF(N($Z834)&gt;0,"Concluída com atraso","Concluída"),IF($R834="Em programação","Em programação",IF($O834="",IF($M834="","Na carteira","Falta a semana"),IF($AC834=1,"VENCIDA",IF($O834&gt;Hoje!$L$1,"Programada",IF($P834&gt;Hoje!$L$1,"Em execução","Fecha hoje"))))))))</f>
        <v/>
      </c>
      <c r="C834" s="41"/>
      <c r="D834" s="42"/>
      <c r="E834" s="42"/>
      <c r="F834" s="42"/>
      <c r="G834" s="43"/>
      <c r="H834" s="43"/>
      <c r="I834" s="44"/>
      <c r="J834" s="44"/>
      <c r="K834" s="44"/>
      <c r="L834" s="45"/>
      <c r="M834" s="46"/>
      <c r="N834" s="45"/>
      <c r="O834" s="47" t="str">
        <f aca="false">IF(OR($L834="",$M834=""),"",(DATE(Semana!$J$3,1,4)-WEEKDAY(DATE(Semana!$J$3,1,4),3))+($L834-1)*7+MATCH($M834,Listas!$F$5:$F$11,0)-1)</f>
        <v/>
      </c>
      <c r="P834" s="47" t="str">
        <f aca="false">IF(OR($F834="",$O834=""),"",$O834+MAX(0,ROUNDUP($AK834*MAX(1,IF($N834="",1,$N834))/MAX(1,$AL834),0)-1))</f>
        <v/>
      </c>
      <c r="Q834" s="48"/>
      <c r="R834" s="43"/>
      <c r="S834" s="49"/>
      <c r="T834" s="42"/>
      <c r="U834" s="42"/>
      <c r="V834" s="39" t="str">
        <f aca="false">IF($F834="","",IF(ISNUMBER(SEARCH("(externo)",$I834&amp;$J834&amp;$K834)),"Terceirizada","Interna"))</f>
        <v/>
      </c>
      <c r="W834" s="47" t="str">
        <f aca="false">IF($O834="","",IF($S834="",$O834,(DATE(Semana!$J$3,1,4)-WEEKDAY(DATE(Semana!$J$3,1,4),3))+($S834-1)*7+IF($M834="",0,MATCH($M834,Listas!$F$5:$F$11,0)-1)))</f>
        <v/>
      </c>
      <c r="X834" s="39" t="str">
        <f aca="false">IF($F834="","",IF(OR($AT834="",$O834=""),0,IF($AT834&lt;=$O834,1,0)))</f>
        <v/>
      </c>
      <c r="Y834" s="39" t="str">
        <f aca="false">IF($F834="","",IF(OR($AT834="",$W834=""),0,IF($AT834&lt;=$W834,1,0)))</f>
        <v/>
      </c>
      <c r="Z834" s="39" t="str">
        <f aca="false">IF(OR($AT834="",$O834=""),"",MAX(0,$AT834-$O834))</f>
        <v/>
      </c>
      <c r="AA834" s="39" t="str">
        <f aca="false">IF($F834="","",IF(AND($S834&lt;&gt;"",$L834&lt;&gt;"",$S834&lt;&gt;$L834),1,0))</f>
        <v/>
      </c>
      <c r="AB834" s="39" t="str">
        <f aca="false">IF($F834="","",IF($R834="Cancelada",0,IF(OR($AT834&lt;&gt;"",$R834="Concluída"),1,0)))</f>
        <v/>
      </c>
      <c r="AC834" s="39" t="n">
        <f aca="false">IF($P834="",0,IF($P834&lt;Hoje!$L$1,1,IF(AND($P834=Hoje!$L$1,Hoje!$L$2&gt;Semana!$M$3),1,0)))</f>
        <v>0</v>
      </c>
      <c r="AD834" s="39" t="str">
        <f aca="false">IF($F834="","",IF(COUNTA($I834:$K834)=0,0,1/COUNTA($I834:$K834)))</f>
        <v/>
      </c>
      <c r="AE834" s="39" t="str">
        <f aca="false">IF($AH834=0,"",SUM($AH$4:$AH834))</f>
        <v/>
      </c>
      <c r="AF834" s="39" t="str">
        <f aca="false">IF($AI834=0,"",SUM($AI$4:$AI834))</f>
        <v/>
      </c>
      <c r="AG834" s="50" t="str">
        <f aca="false">IF($F834="","",$I834&amp;IF($J834="",""," · "&amp;$J834)&amp;IF($K834="",""," · "&amp;$K834))</f>
        <v/>
      </c>
      <c r="AH834" s="39" t="n">
        <f aca="false">IF(AND($F834&lt;&gt;"",$O834&lt;&gt;"",$O834&lt;=Hoje!$C$3,$P834&gt;=Hoje!$C$3,$R834&lt;&gt;"Cancelada"),1,0)</f>
        <v>0</v>
      </c>
      <c r="AI834" s="39" t="n">
        <f aca="false">IF(AND($F834&lt;&gt;"",$P834&lt;&gt;"",$P834&lt;Hoje!$C$3,$AB834=0,$R834&lt;&gt;"Cancelada"),1,0)</f>
        <v>0</v>
      </c>
      <c r="AJ834" s="50" t="str">
        <f aca="false">IF($F834="","",$D834&amp;"|"&amp;$E834&amp;"|"&amp;$L834)</f>
        <v/>
      </c>
      <c r="AK834" s="39" t="str">
        <f aca="false">IF($AJ834="","",COUNTIF($AJ$4:$AJ834,$AJ834))</f>
        <v/>
      </c>
      <c r="AL834" s="39" t="str">
        <f aca="false">IF($AJ834="","",COUNTIF($AJ$4:$AJ$1004,$AJ834))</f>
        <v/>
      </c>
      <c r="AM834" s="42"/>
      <c r="AN834" s="50" t="str">
        <f aca="false">IF($D834="","",IFERROR(T(VLOOKUP($D834,Listas!$B$5:$H$120,7,0)),""))</f>
        <v/>
      </c>
      <c r="AO834" s="50" t="str">
        <f aca="false">IF(OR($F834="",$L834&lt;&gt;"",$R834="Cancelada",$AT834&lt;&gt;""),"",$AN834&amp;"|"&amp;$D834&amp;"|"&amp;IF($C834="","zzz",$C834)&amp;"|"&amp;TEXT(834,"0000"))</f>
        <v/>
      </c>
      <c r="AP834" s="50" t="str">
        <f aca="false">IF($AO834="","",COUNTIF($AO$5:$AO$1004,"&lt;"&amp;$AO834)-(ROWS($AO$5:$AO$1004)-Hoje!$L$5)+1)</f>
        <v/>
      </c>
      <c r="AQ834" s="50" t="n">
        <f aca="false">IF(AND($F834&lt;&gt;"",$D834=Frota!$C$3),1,0)</f>
        <v>0</v>
      </c>
      <c r="AR834" s="50" t="str">
        <f aca="false">IF($AQ834=0,"",SUM($AQ$4:$AQ834))</f>
        <v/>
      </c>
      <c r="AS834" s="50" t="str">
        <f aca="false">IFERROR(INDEX(Hoje!$K$10:$K$29,MATCH(ROW(),Hoje!$J$10:$J$29,0)),"")</f>
        <v/>
      </c>
      <c r="AT834" s="50" t="str">
        <f aca="false">IF($Q834&lt;&gt;"",$Q834,$AS834)</f>
        <v/>
      </c>
    </row>
    <row r="835" customFormat="false" ht="16.5" hidden="false" customHeight="true" outlineLevel="0" collapsed="false">
      <c r="A835" s="39" t="str">
        <f aca="false">IF($F835="","",ROW())</f>
        <v/>
      </c>
      <c r="B835" s="40" t="str">
        <f aca="false">IF($F835="",IF($D835="","","Falta a atividade"),IF($R835="Cancelada","Cancelada",IF($AB835=1,IF(N($Z835)&gt;0,"Concluída com atraso","Concluída"),IF($R835="Em programação","Em programação",IF($O835="",IF($M835="","Na carteira","Falta a semana"),IF($AC835=1,"VENCIDA",IF($O835&gt;Hoje!$L$1,"Programada",IF($P835&gt;Hoje!$L$1,"Em execução","Fecha hoje"))))))))</f>
        <v/>
      </c>
      <c r="C835" s="41"/>
      <c r="D835" s="42"/>
      <c r="E835" s="42"/>
      <c r="F835" s="42"/>
      <c r="G835" s="43"/>
      <c r="H835" s="43"/>
      <c r="I835" s="44"/>
      <c r="J835" s="44"/>
      <c r="K835" s="44"/>
      <c r="L835" s="45"/>
      <c r="M835" s="46"/>
      <c r="N835" s="45"/>
      <c r="O835" s="47" t="str">
        <f aca="false">IF(OR($L835="",$M835=""),"",(DATE(Semana!$J$3,1,4)-WEEKDAY(DATE(Semana!$J$3,1,4),3))+($L835-1)*7+MATCH($M835,Listas!$F$5:$F$11,0)-1)</f>
        <v/>
      </c>
      <c r="P835" s="47" t="str">
        <f aca="false">IF(OR($F835="",$O835=""),"",$O835+MAX(0,ROUNDUP($AK835*MAX(1,IF($N835="",1,$N835))/MAX(1,$AL835),0)-1))</f>
        <v/>
      </c>
      <c r="Q835" s="48"/>
      <c r="R835" s="43"/>
      <c r="S835" s="49"/>
      <c r="T835" s="42"/>
      <c r="U835" s="42"/>
      <c r="V835" s="39" t="str">
        <f aca="false">IF($F835="","",IF(ISNUMBER(SEARCH("(externo)",$I835&amp;$J835&amp;$K835)),"Terceirizada","Interna"))</f>
        <v/>
      </c>
      <c r="W835" s="47" t="str">
        <f aca="false">IF($O835="","",IF($S835="",$O835,(DATE(Semana!$J$3,1,4)-WEEKDAY(DATE(Semana!$J$3,1,4),3))+($S835-1)*7+IF($M835="",0,MATCH($M835,Listas!$F$5:$F$11,0)-1)))</f>
        <v/>
      </c>
      <c r="X835" s="39" t="str">
        <f aca="false">IF($F835="","",IF(OR($AT835="",$O835=""),0,IF($AT835&lt;=$O835,1,0)))</f>
        <v/>
      </c>
      <c r="Y835" s="39" t="str">
        <f aca="false">IF($F835="","",IF(OR($AT835="",$W835=""),0,IF($AT835&lt;=$W835,1,0)))</f>
        <v/>
      </c>
      <c r="Z835" s="39" t="str">
        <f aca="false">IF(OR($AT835="",$O835=""),"",MAX(0,$AT835-$O835))</f>
        <v/>
      </c>
      <c r="AA835" s="39" t="str">
        <f aca="false">IF($F835="","",IF(AND($S835&lt;&gt;"",$L835&lt;&gt;"",$S835&lt;&gt;$L835),1,0))</f>
        <v/>
      </c>
      <c r="AB835" s="39" t="str">
        <f aca="false">IF($F835="","",IF($R835="Cancelada",0,IF(OR($AT835&lt;&gt;"",$R835="Concluída"),1,0)))</f>
        <v/>
      </c>
      <c r="AC835" s="39" t="n">
        <f aca="false">IF($P835="",0,IF($P835&lt;Hoje!$L$1,1,IF(AND($P835=Hoje!$L$1,Hoje!$L$2&gt;Semana!$M$3),1,0)))</f>
        <v>0</v>
      </c>
      <c r="AD835" s="39" t="str">
        <f aca="false">IF($F835="","",IF(COUNTA($I835:$K835)=0,0,1/COUNTA($I835:$K835)))</f>
        <v/>
      </c>
      <c r="AE835" s="39" t="str">
        <f aca="false">IF($AH835=0,"",SUM($AH$4:$AH835))</f>
        <v/>
      </c>
      <c r="AF835" s="39" t="str">
        <f aca="false">IF($AI835=0,"",SUM($AI$4:$AI835))</f>
        <v/>
      </c>
      <c r="AG835" s="50" t="str">
        <f aca="false">IF($F835="","",$I835&amp;IF($J835="",""," · "&amp;$J835)&amp;IF($K835="",""," · "&amp;$K835))</f>
        <v/>
      </c>
      <c r="AH835" s="39" t="n">
        <f aca="false">IF(AND($F835&lt;&gt;"",$O835&lt;&gt;"",$O835&lt;=Hoje!$C$3,$P835&gt;=Hoje!$C$3,$R835&lt;&gt;"Cancelada"),1,0)</f>
        <v>0</v>
      </c>
      <c r="AI835" s="39" t="n">
        <f aca="false">IF(AND($F835&lt;&gt;"",$P835&lt;&gt;"",$P835&lt;Hoje!$C$3,$AB835=0,$R835&lt;&gt;"Cancelada"),1,0)</f>
        <v>0</v>
      </c>
      <c r="AJ835" s="50" t="str">
        <f aca="false">IF($F835="","",$D835&amp;"|"&amp;$E835&amp;"|"&amp;$L835)</f>
        <v/>
      </c>
      <c r="AK835" s="39" t="str">
        <f aca="false">IF($AJ835="","",COUNTIF($AJ$4:$AJ835,$AJ835))</f>
        <v/>
      </c>
      <c r="AL835" s="39" t="str">
        <f aca="false">IF($AJ835="","",COUNTIF($AJ$4:$AJ$1004,$AJ835))</f>
        <v/>
      </c>
      <c r="AM835" s="42"/>
      <c r="AN835" s="50" t="str">
        <f aca="false">IF($D835="","",IFERROR(T(VLOOKUP($D835,Listas!$B$5:$H$120,7,0)),""))</f>
        <v/>
      </c>
      <c r="AO835" s="50" t="str">
        <f aca="false">IF(OR($F835="",$L835&lt;&gt;"",$R835="Cancelada",$AT835&lt;&gt;""),"",$AN835&amp;"|"&amp;$D835&amp;"|"&amp;IF($C835="","zzz",$C835)&amp;"|"&amp;TEXT(835,"0000"))</f>
        <v/>
      </c>
      <c r="AP835" s="50" t="str">
        <f aca="false">IF($AO835="","",COUNTIF($AO$5:$AO$1004,"&lt;"&amp;$AO835)-(ROWS($AO$5:$AO$1004)-Hoje!$L$5)+1)</f>
        <v/>
      </c>
      <c r="AQ835" s="50" t="n">
        <f aca="false">IF(AND($F835&lt;&gt;"",$D835=Frota!$C$3),1,0)</f>
        <v>0</v>
      </c>
      <c r="AR835" s="50" t="str">
        <f aca="false">IF($AQ835=0,"",SUM($AQ$4:$AQ835))</f>
        <v/>
      </c>
      <c r="AS835" s="50" t="str">
        <f aca="false">IFERROR(INDEX(Hoje!$K$10:$K$29,MATCH(ROW(),Hoje!$J$10:$J$29,0)),"")</f>
        <v/>
      </c>
      <c r="AT835" s="50" t="str">
        <f aca="false">IF($Q835&lt;&gt;"",$Q835,$AS835)</f>
        <v/>
      </c>
    </row>
    <row r="836" customFormat="false" ht="16.5" hidden="false" customHeight="true" outlineLevel="0" collapsed="false">
      <c r="A836" s="39" t="str">
        <f aca="false">IF($F836="","",ROW())</f>
        <v/>
      </c>
      <c r="B836" s="40" t="str">
        <f aca="false">IF($F836="",IF($D836="","","Falta a atividade"),IF($R836="Cancelada","Cancelada",IF($AB836=1,IF(N($Z836)&gt;0,"Concluída com atraso","Concluída"),IF($R836="Em programação","Em programação",IF($O836="",IF($M836="","Na carteira","Falta a semana"),IF($AC836=1,"VENCIDA",IF($O836&gt;Hoje!$L$1,"Programada",IF($P836&gt;Hoje!$L$1,"Em execução","Fecha hoje"))))))))</f>
        <v/>
      </c>
      <c r="C836" s="41"/>
      <c r="D836" s="42"/>
      <c r="E836" s="42"/>
      <c r="F836" s="42"/>
      <c r="G836" s="43"/>
      <c r="H836" s="43"/>
      <c r="I836" s="44"/>
      <c r="J836" s="44"/>
      <c r="K836" s="44"/>
      <c r="L836" s="45"/>
      <c r="M836" s="46"/>
      <c r="N836" s="45"/>
      <c r="O836" s="47" t="str">
        <f aca="false">IF(OR($L836="",$M836=""),"",(DATE(Semana!$J$3,1,4)-WEEKDAY(DATE(Semana!$J$3,1,4),3))+($L836-1)*7+MATCH($M836,Listas!$F$5:$F$11,0)-1)</f>
        <v/>
      </c>
      <c r="P836" s="47" t="str">
        <f aca="false">IF(OR($F836="",$O836=""),"",$O836+MAX(0,ROUNDUP($AK836*MAX(1,IF($N836="",1,$N836))/MAX(1,$AL836),0)-1))</f>
        <v/>
      </c>
      <c r="Q836" s="48"/>
      <c r="R836" s="43"/>
      <c r="S836" s="49"/>
      <c r="T836" s="42"/>
      <c r="U836" s="42"/>
      <c r="V836" s="39" t="str">
        <f aca="false">IF($F836="","",IF(ISNUMBER(SEARCH("(externo)",$I836&amp;$J836&amp;$K836)),"Terceirizada","Interna"))</f>
        <v/>
      </c>
      <c r="W836" s="47" t="str">
        <f aca="false">IF($O836="","",IF($S836="",$O836,(DATE(Semana!$J$3,1,4)-WEEKDAY(DATE(Semana!$J$3,1,4),3))+($S836-1)*7+IF($M836="",0,MATCH($M836,Listas!$F$5:$F$11,0)-1)))</f>
        <v/>
      </c>
      <c r="X836" s="39" t="str">
        <f aca="false">IF($F836="","",IF(OR($AT836="",$O836=""),0,IF($AT836&lt;=$O836,1,0)))</f>
        <v/>
      </c>
      <c r="Y836" s="39" t="str">
        <f aca="false">IF($F836="","",IF(OR($AT836="",$W836=""),0,IF($AT836&lt;=$W836,1,0)))</f>
        <v/>
      </c>
      <c r="Z836" s="39" t="str">
        <f aca="false">IF(OR($AT836="",$O836=""),"",MAX(0,$AT836-$O836))</f>
        <v/>
      </c>
      <c r="AA836" s="39" t="str">
        <f aca="false">IF($F836="","",IF(AND($S836&lt;&gt;"",$L836&lt;&gt;"",$S836&lt;&gt;$L836),1,0))</f>
        <v/>
      </c>
      <c r="AB836" s="39" t="str">
        <f aca="false">IF($F836="","",IF($R836="Cancelada",0,IF(OR($AT836&lt;&gt;"",$R836="Concluída"),1,0)))</f>
        <v/>
      </c>
      <c r="AC836" s="39" t="n">
        <f aca="false">IF($P836="",0,IF($P836&lt;Hoje!$L$1,1,IF(AND($P836=Hoje!$L$1,Hoje!$L$2&gt;Semana!$M$3),1,0)))</f>
        <v>0</v>
      </c>
      <c r="AD836" s="39" t="str">
        <f aca="false">IF($F836="","",IF(COUNTA($I836:$K836)=0,0,1/COUNTA($I836:$K836)))</f>
        <v/>
      </c>
      <c r="AE836" s="39" t="str">
        <f aca="false">IF($AH836=0,"",SUM($AH$4:$AH836))</f>
        <v/>
      </c>
      <c r="AF836" s="39" t="str">
        <f aca="false">IF($AI836=0,"",SUM($AI$4:$AI836))</f>
        <v/>
      </c>
      <c r="AG836" s="50" t="str">
        <f aca="false">IF($F836="","",$I836&amp;IF($J836="",""," · "&amp;$J836)&amp;IF($K836="",""," · "&amp;$K836))</f>
        <v/>
      </c>
      <c r="AH836" s="39" t="n">
        <f aca="false">IF(AND($F836&lt;&gt;"",$O836&lt;&gt;"",$O836&lt;=Hoje!$C$3,$P836&gt;=Hoje!$C$3,$R836&lt;&gt;"Cancelada"),1,0)</f>
        <v>0</v>
      </c>
      <c r="AI836" s="39" t="n">
        <f aca="false">IF(AND($F836&lt;&gt;"",$P836&lt;&gt;"",$P836&lt;Hoje!$C$3,$AB836=0,$R836&lt;&gt;"Cancelada"),1,0)</f>
        <v>0</v>
      </c>
      <c r="AJ836" s="50" t="str">
        <f aca="false">IF($F836="","",$D836&amp;"|"&amp;$E836&amp;"|"&amp;$L836)</f>
        <v/>
      </c>
      <c r="AK836" s="39" t="str">
        <f aca="false">IF($AJ836="","",COUNTIF($AJ$4:$AJ836,$AJ836))</f>
        <v/>
      </c>
      <c r="AL836" s="39" t="str">
        <f aca="false">IF($AJ836="","",COUNTIF($AJ$4:$AJ$1004,$AJ836))</f>
        <v/>
      </c>
      <c r="AM836" s="42"/>
      <c r="AN836" s="50" t="str">
        <f aca="false">IF($D836="","",IFERROR(T(VLOOKUP($D836,Listas!$B$5:$H$120,7,0)),""))</f>
        <v/>
      </c>
      <c r="AO836" s="50" t="str">
        <f aca="false">IF(OR($F836="",$L836&lt;&gt;"",$R836="Cancelada",$AT836&lt;&gt;""),"",$AN836&amp;"|"&amp;$D836&amp;"|"&amp;IF($C836="","zzz",$C836)&amp;"|"&amp;TEXT(836,"0000"))</f>
        <v/>
      </c>
      <c r="AP836" s="50" t="str">
        <f aca="false">IF($AO836="","",COUNTIF($AO$5:$AO$1004,"&lt;"&amp;$AO836)-(ROWS($AO$5:$AO$1004)-Hoje!$L$5)+1)</f>
        <v/>
      </c>
      <c r="AQ836" s="50" t="n">
        <f aca="false">IF(AND($F836&lt;&gt;"",$D836=Frota!$C$3),1,0)</f>
        <v>0</v>
      </c>
      <c r="AR836" s="50" t="str">
        <f aca="false">IF($AQ836=0,"",SUM($AQ$4:$AQ836))</f>
        <v/>
      </c>
      <c r="AS836" s="50" t="str">
        <f aca="false">IFERROR(INDEX(Hoje!$K$10:$K$29,MATCH(ROW(),Hoje!$J$10:$J$29,0)),"")</f>
        <v/>
      </c>
      <c r="AT836" s="50" t="str">
        <f aca="false">IF($Q836&lt;&gt;"",$Q836,$AS836)</f>
        <v/>
      </c>
    </row>
    <row r="837" customFormat="false" ht="16.5" hidden="false" customHeight="true" outlineLevel="0" collapsed="false">
      <c r="A837" s="39" t="str">
        <f aca="false">IF($F837="","",ROW())</f>
        <v/>
      </c>
      <c r="B837" s="40" t="str">
        <f aca="false">IF($F837="",IF($D837="","","Falta a atividade"),IF($R837="Cancelada","Cancelada",IF($AB837=1,IF(N($Z837)&gt;0,"Concluída com atraso","Concluída"),IF($R837="Em programação","Em programação",IF($O837="",IF($M837="","Na carteira","Falta a semana"),IF($AC837=1,"VENCIDA",IF($O837&gt;Hoje!$L$1,"Programada",IF($P837&gt;Hoje!$L$1,"Em execução","Fecha hoje"))))))))</f>
        <v/>
      </c>
      <c r="C837" s="41"/>
      <c r="D837" s="42"/>
      <c r="E837" s="42"/>
      <c r="F837" s="42"/>
      <c r="G837" s="43"/>
      <c r="H837" s="43"/>
      <c r="I837" s="44"/>
      <c r="J837" s="44"/>
      <c r="K837" s="44"/>
      <c r="L837" s="45"/>
      <c r="M837" s="46"/>
      <c r="N837" s="45"/>
      <c r="O837" s="47" t="str">
        <f aca="false">IF(OR($L837="",$M837=""),"",(DATE(Semana!$J$3,1,4)-WEEKDAY(DATE(Semana!$J$3,1,4),3))+($L837-1)*7+MATCH($M837,Listas!$F$5:$F$11,0)-1)</f>
        <v/>
      </c>
      <c r="P837" s="47" t="str">
        <f aca="false">IF(OR($F837="",$O837=""),"",$O837+MAX(0,ROUNDUP($AK837*MAX(1,IF($N837="",1,$N837))/MAX(1,$AL837),0)-1))</f>
        <v/>
      </c>
      <c r="Q837" s="48"/>
      <c r="R837" s="43"/>
      <c r="S837" s="49"/>
      <c r="T837" s="42"/>
      <c r="U837" s="42"/>
      <c r="V837" s="39" t="str">
        <f aca="false">IF($F837="","",IF(ISNUMBER(SEARCH("(externo)",$I837&amp;$J837&amp;$K837)),"Terceirizada","Interna"))</f>
        <v/>
      </c>
      <c r="W837" s="47" t="str">
        <f aca="false">IF($O837="","",IF($S837="",$O837,(DATE(Semana!$J$3,1,4)-WEEKDAY(DATE(Semana!$J$3,1,4),3))+($S837-1)*7+IF($M837="",0,MATCH($M837,Listas!$F$5:$F$11,0)-1)))</f>
        <v/>
      </c>
      <c r="X837" s="39" t="str">
        <f aca="false">IF($F837="","",IF(OR($AT837="",$O837=""),0,IF($AT837&lt;=$O837,1,0)))</f>
        <v/>
      </c>
      <c r="Y837" s="39" t="str">
        <f aca="false">IF($F837="","",IF(OR($AT837="",$W837=""),0,IF($AT837&lt;=$W837,1,0)))</f>
        <v/>
      </c>
      <c r="Z837" s="39" t="str">
        <f aca="false">IF(OR($AT837="",$O837=""),"",MAX(0,$AT837-$O837))</f>
        <v/>
      </c>
      <c r="AA837" s="39" t="str">
        <f aca="false">IF($F837="","",IF(AND($S837&lt;&gt;"",$L837&lt;&gt;"",$S837&lt;&gt;$L837),1,0))</f>
        <v/>
      </c>
      <c r="AB837" s="39" t="str">
        <f aca="false">IF($F837="","",IF($R837="Cancelada",0,IF(OR($AT837&lt;&gt;"",$R837="Concluída"),1,0)))</f>
        <v/>
      </c>
      <c r="AC837" s="39" t="n">
        <f aca="false">IF($P837="",0,IF($P837&lt;Hoje!$L$1,1,IF(AND($P837=Hoje!$L$1,Hoje!$L$2&gt;Semana!$M$3),1,0)))</f>
        <v>0</v>
      </c>
      <c r="AD837" s="39" t="str">
        <f aca="false">IF($F837="","",IF(COUNTA($I837:$K837)=0,0,1/COUNTA($I837:$K837)))</f>
        <v/>
      </c>
      <c r="AE837" s="39" t="str">
        <f aca="false">IF($AH837=0,"",SUM($AH$4:$AH837))</f>
        <v/>
      </c>
      <c r="AF837" s="39" t="str">
        <f aca="false">IF($AI837=0,"",SUM($AI$4:$AI837))</f>
        <v/>
      </c>
      <c r="AG837" s="50" t="str">
        <f aca="false">IF($F837="","",$I837&amp;IF($J837="",""," · "&amp;$J837)&amp;IF($K837="",""," · "&amp;$K837))</f>
        <v/>
      </c>
      <c r="AH837" s="39" t="n">
        <f aca="false">IF(AND($F837&lt;&gt;"",$O837&lt;&gt;"",$O837&lt;=Hoje!$C$3,$P837&gt;=Hoje!$C$3,$R837&lt;&gt;"Cancelada"),1,0)</f>
        <v>0</v>
      </c>
      <c r="AI837" s="39" t="n">
        <f aca="false">IF(AND($F837&lt;&gt;"",$P837&lt;&gt;"",$P837&lt;Hoje!$C$3,$AB837=0,$R837&lt;&gt;"Cancelada"),1,0)</f>
        <v>0</v>
      </c>
      <c r="AJ837" s="50" t="str">
        <f aca="false">IF($F837="","",$D837&amp;"|"&amp;$E837&amp;"|"&amp;$L837)</f>
        <v/>
      </c>
      <c r="AK837" s="39" t="str">
        <f aca="false">IF($AJ837="","",COUNTIF($AJ$4:$AJ837,$AJ837))</f>
        <v/>
      </c>
      <c r="AL837" s="39" t="str">
        <f aca="false">IF($AJ837="","",COUNTIF($AJ$4:$AJ$1004,$AJ837))</f>
        <v/>
      </c>
      <c r="AM837" s="42"/>
      <c r="AN837" s="50" t="str">
        <f aca="false">IF($D837="","",IFERROR(T(VLOOKUP($D837,Listas!$B$5:$H$120,7,0)),""))</f>
        <v/>
      </c>
      <c r="AO837" s="50" t="str">
        <f aca="false">IF(OR($F837="",$L837&lt;&gt;"",$R837="Cancelada",$AT837&lt;&gt;""),"",$AN837&amp;"|"&amp;$D837&amp;"|"&amp;IF($C837="","zzz",$C837)&amp;"|"&amp;TEXT(837,"0000"))</f>
        <v/>
      </c>
      <c r="AP837" s="50" t="str">
        <f aca="false">IF($AO837="","",COUNTIF($AO$5:$AO$1004,"&lt;"&amp;$AO837)-(ROWS($AO$5:$AO$1004)-Hoje!$L$5)+1)</f>
        <v/>
      </c>
      <c r="AQ837" s="50" t="n">
        <f aca="false">IF(AND($F837&lt;&gt;"",$D837=Frota!$C$3),1,0)</f>
        <v>0</v>
      </c>
      <c r="AR837" s="50" t="str">
        <f aca="false">IF($AQ837=0,"",SUM($AQ$4:$AQ837))</f>
        <v/>
      </c>
      <c r="AS837" s="50" t="str">
        <f aca="false">IFERROR(INDEX(Hoje!$K$10:$K$29,MATCH(ROW(),Hoje!$J$10:$J$29,0)),"")</f>
        <v/>
      </c>
      <c r="AT837" s="50" t="str">
        <f aca="false">IF($Q837&lt;&gt;"",$Q837,$AS837)</f>
        <v/>
      </c>
    </row>
    <row r="838" customFormat="false" ht="16.5" hidden="false" customHeight="true" outlineLevel="0" collapsed="false">
      <c r="A838" s="39" t="str">
        <f aca="false">IF($F838="","",ROW())</f>
        <v/>
      </c>
      <c r="B838" s="40" t="str">
        <f aca="false">IF($F838="",IF($D838="","","Falta a atividade"),IF($R838="Cancelada","Cancelada",IF($AB838=1,IF(N($Z838)&gt;0,"Concluída com atraso","Concluída"),IF($R838="Em programação","Em programação",IF($O838="",IF($M838="","Na carteira","Falta a semana"),IF($AC838=1,"VENCIDA",IF($O838&gt;Hoje!$L$1,"Programada",IF($P838&gt;Hoje!$L$1,"Em execução","Fecha hoje"))))))))</f>
        <v/>
      </c>
      <c r="C838" s="41"/>
      <c r="D838" s="42"/>
      <c r="E838" s="42"/>
      <c r="F838" s="42"/>
      <c r="G838" s="43"/>
      <c r="H838" s="43"/>
      <c r="I838" s="44"/>
      <c r="J838" s="44"/>
      <c r="K838" s="44"/>
      <c r="L838" s="45"/>
      <c r="M838" s="46"/>
      <c r="N838" s="45"/>
      <c r="O838" s="47" t="str">
        <f aca="false">IF(OR($L838="",$M838=""),"",(DATE(Semana!$J$3,1,4)-WEEKDAY(DATE(Semana!$J$3,1,4),3))+($L838-1)*7+MATCH($M838,Listas!$F$5:$F$11,0)-1)</f>
        <v/>
      </c>
      <c r="P838" s="47" t="str">
        <f aca="false">IF(OR($F838="",$O838=""),"",$O838+MAX(0,ROUNDUP($AK838*MAX(1,IF($N838="",1,$N838))/MAX(1,$AL838),0)-1))</f>
        <v/>
      </c>
      <c r="Q838" s="48"/>
      <c r="R838" s="43"/>
      <c r="S838" s="49"/>
      <c r="T838" s="42"/>
      <c r="U838" s="42"/>
      <c r="V838" s="39" t="str">
        <f aca="false">IF($F838="","",IF(ISNUMBER(SEARCH("(externo)",$I838&amp;$J838&amp;$K838)),"Terceirizada","Interna"))</f>
        <v/>
      </c>
      <c r="W838" s="47" t="str">
        <f aca="false">IF($O838="","",IF($S838="",$O838,(DATE(Semana!$J$3,1,4)-WEEKDAY(DATE(Semana!$J$3,1,4),3))+($S838-1)*7+IF($M838="",0,MATCH($M838,Listas!$F$5:$F$11,0)-1)))</f>
        <v/>
      </c>
      <c r="X838" s="39" t="str">
        <f aca="false">IF($F838="","",IF(OR($AT838="",$O838=""),0,IF($AT838&lt;=$O838,1,0)))</f>
        <v/>
      </c>
      <c r="Y838" s="39" t="str">
        <f aca="false">IF($F838="","",IF(OR($AT838="",$W838=""),0,IF($AT838&lt;=$W838,1,0)))</f>
        <v/>
      </c>
      <c r="Z838" s="39" t="str">
        <f aca="false">IF(OR($AT838="",$O838=""),"",MAX(0,$AT838-$O838))</f>
        <v/>
      </c>
      <c r="AA838" s="39" t="str">
        <f aca="false">IF($F838="","",IF(AND($S838&lt;&gt;"",$L838&lt;&gt;"",$S838&lt;&gt;$L838),1,0))</f>
        <v/>
      </c>
      <c r="AB838" s="39" t="str">
        <f aca="false">IF($F838="","",IF($R838="Cancelada",0,IF(OR($AT838&lt;&gt;"",$R838="Concluída"),1,0)))</f>
        <v/>
      </c>
      <c r="AC838" s="39" t="n">
        <f aca="false">IF($P838="",0,IF($P838&lt;Hoje!$L$1,1,IF(AND($P838=Hoje!$L$1,Hoje!$L$2&gt;Semana!$M$3),1,0)))</f>
        <v>0</v>
      </c>
      <c r="AD838" s="39" t="str">
        <f aca="false">IF($F838="","",IF(COUNTA($I838:$K838)=0,0,1/COUNTA($I838:$K838)))</f>
        <v/>
      </c>
      <c r="AE838" s="39" t="str">
        <f aca="false">IF($AH838=0,"",SUM($AH$4:$AH838))</f>
        <v/>
      </c>
      <c r="AF838" s="39" t="str">
        <f aca="false">IF($AI838=0,"",SUM($AI$4:$AI838))</f>
        <v/>
      </c>
      <c r="AG838" s="50" t="str">
        <f aca="false">IF($F838="","",$I838&amp;IF($J838="",""," · "&amp;$J838)&amp;IF($K838="",""," · "&amp;$K838))</f>
        <v/>
      </c>
      <c r="AH838" s="39" t="n">
        <f aca="false">IF(AND($F838&lt;&gt;"",$O838&lt;&gt;"",$O838&lt;=Hoje!$C$3,$P838&gt;=Hoje!$C$3,$R838&lt;&gt;"Cancelada"),1,0)</f>
        <v>0</v>
      </c>
      <c r="AI838" s="39" t="n">
        <f aca="false">IF(AND($F838&lt;&gt;"",$P838&lt;&gt;"",$P838&lt;Hoje!$C$3,$AB838=0,$R838&lt;&gt;"Cancelada"),1,0)</f>
        <v>0</v>
      </c>
      <c r="AJ838" s="50" t="str">
        <f aca="false">IF($F838="","",$D838&amp;"|"&amp;$E838&amp;"|"&amp;$L838)</f>
        <v/>
      </c>
      <c r="AK838" s="39" t="str">
        <f aca="false">IF($AJ838="","",COUNTIF($AJ$4:$AJ838,$AJ838))</f>
        <v/>
      </c>
      <c r="AL838" s="39" t="str">
        <f aca="false">IF($AJ838="","",COUNTIF($AJ$4:$AJ$1004,$AJ838))</f>
        <v/>
      </c>
      <c r="AM838" s="42"/>
      <c r="AN838" s="50" t="str">
        <f aca="false">IF($D838="","",IFERROR(T(VLOOKUP($D838,Listas!$B$5:$H$120,7,0)),""))</f>
        <v/>
      </c>
      <c r="AO838" s="50" t="str">
        <f aca="false">IF(OR($F838="",$L838&lt;&gt;"",$R838="Cancelada",$AT838&lt;&gt;""),"",$AN838&amp;"|"&amp;$D838&amp;"|"&amp;IF($C838="","zzz",$C838)&amp;"|"&amp;TEXT(838,"0000"))</f>
        <v/>
      </c>
      <c r="AP838" s="50" t="str">
        <f aca="false">IF($AO838="","",COUNTIF($AO$5:$AO$1004,"&lt;"&amp;$AO838)-(ROWS($AO$5:$AO$1004)-Hoje!$L$5)+1)</f>
        <v/>
      </c>
      <c r="AQ838" s="50" t="n">
        <f aca="false">IF(AND($F838&lt;&gt;"",$D838=Frota!$C$3),1,0)</f>
        <v>0</v>
      </c>
      <c r="AR838" s="50" t="str">
        <f aca="false">IF($AQ838=0,"",SUM($AQ$4:$AQ838))</f>
        <v/>
      </c>
      <c r="AS838" s="50" t="str">
        <f aca="false">IFERROR(INDEX(Hoje!$K$10:$K$29,MATCH(ROW(),Hoje!$J$10:$J$29,0)),"")</f>
        <v/>
      </c>
      <c r="AT838" s="50" t="str">
        <f aca="false">IF($Q838&lt;&gt;"",$Q838,$AS838)</f>
        <v/>
      </c>
    </row>
    <row r="839" customFormat="false" ht="16.5" hidden="false" customHeight="true" outlineLevel="0" collapsed="false">
      <c r="A839" s="39" t="str">
        <f aca="false">IF($F839="","",ROW())</f>
        <v/>
      </c>
      <c r="B839" s="40" t="str">
        <f aca="false">IF($F839="",IF($D839="","","Falta a atividade"),IF($R839="Cancelada","Cancelada",IF($AB839=1,IF(N($Z839)&gt;0,"Concluída com atraso","Concluída"),IF($R839="Em programação","Em programação",IF($O839="",IF($M839="","Na carteira","Falta a semana"),IF($AC839=1,"VENCIDA",IF($O839&gt;Hoje!$L$1,"Programada",IF($P839&gt;Hoje!$L$1,"Em execução","Fecha hoje"))))))))</f>
        <v/>
      </c>
      <c r="C839" s="41"/>
      <c r="D839" s="42"/>
      <c r="E839" s="42"/>
      <c r="F839" s="42"/>
      <c r="G839" s="43"/>
      <c r="H839" s="43"/>
      <c r="I839" s="44"/>
      <c r="J839" s="44"/>
      <c r="K839" s="44"/>
      <c r="L839" s="45"/>
      <c r="M839" s="46"/>
      <c r="N839" s="45"/>
      <c r="O839" s="47" t="str">
        <f aca="false">IF(OR($L839="",$M839=""),"",(DATE(Semana!$J$3,1,4)-WEEKDAY(DATE(Semana!$J$3,1,4),3))+($L839-1)*7+MATCH($M839,Listas!$F$5:$F$11,0)-1)</f>
        <v/>
      </c>
      <c r="P839" s="47" t="str">
        <f aca="false">IF(OR($F839="",$O839=""),"",$O839+MAX(0,ROUNDUP($AK839*MAX(1,IF($N839="",1,$N839))/MAX(1,$AL839),0)-1))</f>
        <v/>
      </c>
      <c r="Q839" s="48"/>
      <c r="R839" s="43"/>
      <c r="S839" s="49"/>
      <c r="T839" s="42"/>
      <c r="U839" s="42"/>
      <c r="V839" s="39" t="str">
        <f aca="false">IF($F839="","",IF(ISNUMBER(SEARCH("(externo)",$I839&amp;$J839&amp;$K839)),"Terceirizada","Interna"))</f>
        <v/>
      </c>
      <c r="W839" s="47" t="str">
        <f aca="false">IF($O839="","",IF($S839="",$O839,(DATE(Semana!$J$3,1,4)-WEEKDAY(DATE(Semana!$J$3,1,4),3))+($S839-1)*7+IF($M839="",0,MATCH($M839,Listas!$F$5:$F$11,0)-1)))</f>
        <v/>
      </c>
      <c r="X839" s="39" t="str">
        <f aca="false">IF($F839="","",IF(OR($AT839="",$O839=""),0,IF($AT839&lt;=$O839,1,0)))</f>
        <v/>
      </c>
      <c r="Y839" s="39" t="str">
        <f aca="false">IF($F839="","",IF(OR($AT839="",$W839=""),0,IF($AT839&lt;=$W839,1,0)))</f>
        <v/>
      </c>
      <c r="Z839" s="39" t="str">
        <f aca="false">IF(OR($AT839="",$O839=""),"",MAX(0,$AT839-$O839))</f>
        <v/>
      </c>
      <c r="AA839" s="39" t="str">
        <f aca="false">IF($F839="","",IF(AND($S839&lt;&gt;"",$L839&lt;&gt;"",$S839&lt;&gt;$L839),1,0))</f>
        <v/>
      </c>
      <c r="AB839" s="39" t="str">
        <f aca="false">IF($F839="","",IF($R839="Cancelada",0,IF(OR($AT839&lt;&gt;"",$R839="Concluída"),1,0)))</f>
        <v/>
      </c>
      <c r="AC839" s="39" t="n">
        <f aca="false">IF($P839="",0,IF($P839&lt;Hoje!$L$1,1,IF(AND($P839=Hoje!$L$1,Hoje!$L$2&gt;Semana!$M$3),1,0)))</f>
        <v>0</v>
      </c>
      <c r="AD839" s="39" t="str">
        <f aca="false">IF($F839="","",IF(COUNTA($I839:$K839)=0,0,1/COUNTA($I839:$K839)))</f>
        <v/>
      </c>
      <c r="AE839" s="39" t="str">
        <f aca="false">IF($AH839=0,"",SUM($AH$4:$AH839))</f>
        <v/>
      </c>
      <c r="AF839" s="39" t="str">
        <f aca="false">IF($AI839=0,"",SUM($AI$4:$AI839))</f>
        <v/>
      </c>
      <c r="AG839" s="50" t="str">
        <f aca="false">IF($F839="","",$I839&amp;IF($J839="",""," · "&amp;$J839)&amp;IF($K839="",""," · "&amp;$K839))</f>
        <v/>
      </c>
      <c r="AH839" s="39" t="n">
        <f aca="false">IF(AND($F839&lt;&gt;"",$O839&lt;&gt;"",$O839&lt;=Hoje!$C$3,$P839&gt;=Hoje!$C$3,$R839&lt;&gt;"Cancelada"),1,0)</f>
        <v>0</v>
      </c>
      <c r="AI839" s="39" t="n">
        <f aca="false">IF(AND($F839&lt;&gt;"",$P839&lt;&gt;"",$P839&lt;Hoje!$C$3,$AB839=0,$R839&lt;&gt;"Cancelada"),1,0)</f>
        <v>0</v>
      </c>
      <c r="AJ839" s="50" t="str">
        <f aca="false">IF($F839="","",$D839&amp;"|"&amp;$E839&amp;"|"&amp;$L839)</f>
        <v/>
      </c>
      <c r="AK839" s="39" t="str">
        <f aca="false">IF($AJ839="","",COUNTIF($AJ$4:$AJ839,$AJ839))</f>
        <v/>
      </c>
      <c r="AL839" s="39" t="str">
        <f aca="false">IF($AJ839="","",COUNTIF($AJ$4:$AJ$1004,$AJ839))</f>
        <v/>
      </c>
      <c r="AM839" s="42"/>
      <c r="AN839" s="50" t="str">
        <f aca="false">IF($D839="","",IFERROR(T(VLOOKUP($D839,Listas!$B$5:$H$120,7,0)),""))</f>
        <v/>
      </c>
      <c r="AO839" s="50" t="str">
        <f aca="false">IF(OR($F839="",$L839&lt;&gt;"",$R839="Cancelada",$AT839&lt;&gt;""),"",$AN839&amp;"|"&amp;$D839&amp;"|"&amp;IF($C839="","zzz",$C839)&amp;"|"&amp;TEXT(839,"0000"))</f>
        <v/>
      </c>
      <c r="AP839" s="50" t="str">
        <f aca="false">IF($AO839="","",COUNTIF($AO$5:$AO$1004,"&lt;"&amp;$AO839)-(ROWS($AO$5:$AO$1004)-Hoje!$L$5)+1)</f>
        <v/>
      </c>
      <c r="AQ839" s="50" t="n">
        <f aca="false">IF(AND($F839&lt;&gt;"",$D839=Frota!$C$3),1,0)</f>
        <v>0</v>
      </c>
      <c r="AR839" s="50" t="str">
        <f aca="false">IF($AQ839=0,"",SUM($AQ$4:$AQ839))</f>
        <v/>
      </c>
      <c r="AS839" s="50" t="str">
        <f aca="false">IFERROR(INDEX(Hoje!$K$10:$K$29,MATCH(ROW(),Hoje!$J$10:$J$29,0)),"")</f>
        <v/>
      </c>
      <c r="AT839" s="50" t="str">
        <f aca="false">IF($Q839&lt;&gt;"",$Q839,$AS839)</f>
        <v/>
      </c>
    </row>
    <row r="840" customFormat="false" ht="16.5" hidden="false" customHeight="true" outlineLevel="0" collapsed="false">
      <c r="A840" s="39" t="str">
        <f aca="false">IF($F840="","",ROW())</f>
        <v/>
      </c>
      <c r="B840" s="40" t="str">
        <f aca="false">IF($F840="",IF($D840="","","Falta a atividade"),IF($R840="Cancelada","Cancelada",IF($AB840=1,IF(N($Z840)&gt;0,"Concluída com atraso","Concluída"),IF($R840="Em programação","Em programação",IF($O840="",IF($M840="","Na carteira","Falta a semana"),IF($AC840=1,"VENCIDA",IF($O840&gt;Hoje!$L$1,"Programada",IF($P840&gt;Hoje!$L$1,"Em execução","Fecha hoje"))))))))</f>
        <v/>
      </c>
      <c r="C840" s="41"/>
      <c r="D840" s="42"/>
      <c r="E840" s="42"/>
      <c r="F840" s="42"/>
      <c r="G840" s="43"/>
      <c r="H840" s="43"/>
      <c r="I840" s="44"/>
      <c r="J840" s="44"/>
      <c r="K840" s="44"/>
      <c r="L840" s="45"/>
      <c r="M840" s="46"/>
      <c r="N840" s="45"/>
      <c r="O840" s="47" t="str">
        <f aca="false">IF(OR($L840="",$M840=""),"",(DATE(Semana!$J$3,1,4)-WEEKDAY(DATE(Semana!$J$3,1,4),3))+($L840-1)*7+MATCH($M840,Listas!$F$5:$F$11,0)-1)</f>
        <v/>
      </c>
      <c r="P840" s="47" t="str">
        <f aca="false">IF(OR($F840="",$O840=""),"",$O840+MAX(0,ROUNDUP($AK840*MAX(1,IF($N840="",1,$N840))/MAX(1,$AL840),0)-1))</f>
        <v/>
      </c>
      <c r="Q840" s="48"/>
      <c r="R840" s="43"/>
      <c r="S840" s="49"/>
      <c r="T840" s="42"/>
      <c r="U840" s="42"/>
      <c r="V840" s="39" t="str">
        <f aca="false">IF($F840="","",IF(ISNUMBER(SEARCH("(externo)",$I840&amp;$J840&amp;$K840)),"Terceirizada","Interna"))</f>
        <v/>
      </c>
      <c r="W840" s="47" t="str">
        <f aca="false">IF($O840="","",IF($S840="",$O840,(DATE(Semana!$J$3,1,4)-WEEKDAY(DATE(Semana!$J$3,1,4),3))+($S840-1)*7+IF($M840="",0,MATCH($M840,Listas!$F$5:$F$11,0)-1)))</f>
        <v/>
      </c>
      <c r="X840" s="39" t="str">
        <f aca="false">IF($F840="","",IF(OR($AT840="",$O840=""),0,IF($AT840&lt;=$O840,1,0)))</f>
        <v/>
      </c>
      <c r="Y840" s="39" t="str">
        <f aca="false">IF($F840="","",IF(OR($AT840="",$W840=""),0,IF($AT840&lt;=$W840,1,0)))</f>
        <v/>
      </c>
      <c r="Z840" s="39" t="str">
        <f aca="false">IF(OR($AT840="",$O840=""),"",MAX(0,$AT840-$O840))</f>
        <v/>
      </c>
      <c r="AA840" s="39" t="str">
        <f aca="false">IF($F840="","",IF(AND($S840&lt;&gt;"",$L840&lt;&gt;"",$S840&lt;&gt;$L840),1,0))</f>
        <v/>
      </c>
      <c r="AB840" s="39" t="str">
        <f aca="false">IF($F840="","",IF($R840="Cancelada",0,IF(OR($AT840&lt;&gt;"",$R840="Concluída"),1,0)))</f>
        <v/>
      </c>
      <c r="AC840" s="39" t="n">
        <f aca="false">IF($P840="",0,IF($P840&lt;Hoje!$L$1,1,IF(AND($P840=Hoje!$L$1,Hoje!$L$2&gt;Semana!$M$3),1,0)))</f>
        <v>0</v>
      </c>
      <c r="AD840" s="39" t="str">
        <f aca="false">IF($F840="","",IF(COUNTA($I840:$K840)=0,0,1/COUNTA($I840:$K840)))</f>
        <v/>
      </c>
      <c r="AE840" s="39" t="str">
        <f aca="false">IF($AH840=0,"",SUM($AH$4:$AH840))</f>
        <v/>
      </c>
      <c r="AF840" s="39" t="str">
        <f aca="false">IF($AI840=0,"",SUM($AI$4:$AI840))</f>
        <v/>
      </c>
      <c r="AG840" s="50" t="str">
        <f aca="false">IF($F840="","",$I840&amp;IF($J840="",""," · "&amp;$J840)&amp;IF($K840="",""," · "&amp;$K840))</f>
        <v/>
      </c>
      <c r="AH840" s="39" t="n">
        <f aca="false">IF(AND($F840&lt;&gt;"",$O840&lt;&gt;"",$O840&lt;=Hoje!$C$3,$P840&gt;=Hoje!$C$3,$R840&lt;&gt;"Cancelada"),1,0)</f>
        <v>0</v>
      </c>
      <c r="AI840" s="39" t="n">
        <f aca="false">IF(AND($F840&lt;&gt;"",$P840&lt;&gt;"",$P840&lt;Hoje!$C$3,$AB840=0,$R840&lt;&gt;"Cancelada"),1,0)</f>
        <v>0</v>
      </c>
      <c r="AJ840" s="50" t="str">
        <f aca="false">IF($F840="","",$D840&amp;"|"&amp;$E840&amp;"|"&amp;$L840)</f>
        <v/>
      </c>
      <c r="AK840" s="39" t="str">
        <f aca="false">IF($AJ840="","",COUNTIF($AJ$4:$AJ840,$AJ840))</f>
        <v/>
      </c>
      <c r="AL840" s="39" t="str">
        <f aca="false">IF($AJ840="","",COUNTIF($AJ$4:$AJ$1004,$AJ840))</f>
        <v/>
      </c>
      <c r="AM840" s="42"/>
      <c r="AN840" s="50" t="str">
        <f aca="false">IF($D840="","",IFERROR(T(VLOOKUP($D840,Listas!$B$5:$H$120,7,0)),""))</f>
        <v/>
      </c>
      <c r="AO840" s="50" t="str">
        <f aca="false">IF(OR($F840="",$L840&lt;&gt;"",$R840="Cancelada",$AT840&lt;&gt;""),"",$AN840&amp;"|"&amp;$D840&amp;"|"&amp;IF($C840="","zzz",$C840)&amp;"|"&amp;TEXT(840,"0000"))</f>
        <v/>
      </c>
      <c r="AP840" s="50" t="str">
        <f aca="false">IF($AO840="","",COUNTIF($AO$5:$AO$1004,"&lt;"&amp;$AO840)-(ROWS($AO$5:$AO$1004)-Hoje!$L$5)+1)</f>
        <v/>
      </c>
      <c r="AQ840" s="50" t="n">
        <f aca="false">IF(AND($F840&lt;&gt;"",$D840=Frota!$C$3),1,0)</f>
        <v>0</v>
      </c>
      <c r="AR840" s="50" t="str">
        <f aca="false">IF($AQ840=0,"",SUM($AQ$4:$AQ840))</f>
        <v/>
      </c>
      <c r="AS840" s="50" t="str">
        <f aca="false">IFERROR(INDEX(Hoje!$K$10:$K$29,MATCH(ROW(),Hoje!$J$10:$J$29,0)),"")</f>
        <v/>
      </c>
      <c r="AT840" s="50" t="str">
        <f aca="false">IF($Q840&lt;&gt;"",$Q840,$AS840)</f>
        <v/>
      </c>
    </row>
    <row r="841" customFormat="false" ht="16.5" hidden="false" customHeight="true" outlineLevel="0" collapsed="false">
      <c r="A841" s="39" t="str">
        <f aca="false">IF($F841="","",ROW())</f>
        <v/>
      </c>
      <c r="B841" s="40" t="str">
        <f aca="false">IF($F841="",IF($D841="","","Falta a atividade"),IF($R841="Cancelada","Cancelada",IF($AB841=1,IF(N($Z841)&gt;0,"Concluída com atraso","Concluída"),IF($R841="Em programação","Em programação",IF($O841="",IF($M841="","Na carteira","Falta a semana"),IF($AC841=1,"VENCIDA",IF($O841&gt;Hoje!$L$1,"Programada",IF($P841&gt;Hoje!$L$1,"Em execução","Fecha hoje"))))))))</f>
        <v/>
      </c>
      <c r="C841" s="41"/>
      <c r="D841" s="42"/>
      <c r="E841" s="42"/>
      <c r="F841" s="42"/>
      <c r="G841" s="43"/>
      <c r="H841" s="43"/>
      <c r="I841" s="44"/>
      <c r="J841" s="44"/>
      <c r="K841" s="44"/>
      <c r="L841" s="45"/>
      <c r="M841" s="46"/>
      <c r="N841" s="45"/>
      <c r="O841" s="47" t="str">
        <f aca="false">IF(OR($L841="",$M841=""),"",(DATE(Semana!$J$3,1,4)-WEEKDAY(DATE(Semana!$J$3,1,4),3))+($L841-1)*7+MATCH($M841,Listas!$F$5:$F$11,0)-1)</f>
        <v/>
      </c>
      <c r="P841" s="47" t="str">
        <f aca="false">IF(OR($F841="",$O841=""),"",$O841+MAX(0,ROUNDUP($AK841*MAX(1,IF($N841="",1,$N841))/MAX(1,$AL841),0)-1))</f>
        <v/>
      </c>
      <c r="Q841" s="48"/>
      <c r="R841" s="43"/>
      <c r="S841" s="49"/>
      <c r="T841" s="42"/>
      <c r="U841" s="42"/>
      <c r="V841" s="39" t="str">
        <f aca="false">IF($F841="","",IF(ISNUMBER(SEARCH("(externo)",$I841&amp;$J841&amp;$K841)),"Terceirizada","Interna"))</f>
        <v/>
      </c>
      <c r="W841" s="47" t="str">
        <f aca="false">IF($O841="","",IF($S841="",$O841,(DATE(Semana!$J$3,1,4)-WEEKDAY(DATE(Semana!$J$3,1,4),3))+($S841-1)*7+IF($M841="",0,MATCH($M841,Listas!$F$5:$F$11,0)-1)))</f>
        <v/>
      </c>
      <c r="X841" s="39" t="str">
        <f aca="false">IF($F841="","",IF(OR($AT841="",$O841=""),0,IF($AT841&lt;=$O841,1,0)))</f>
        <v/>
      </c>
      <c r="Y841" s="39" t="str">
        <f aca="false">IF($F841="","",IF(OR($AT841="",$W841=""),0,IF($AT841&lt;=$W841,1,0)))</f>
        <v/>
      </c>
      <c r="Z841" s="39" t="str">
        <f aca="false">IF(OR($AT841="",$O841=""),"",MAX(0,$AT841-$O841))</f>
        <v/>
      </c>
      <c r="AA841" s="39" t="str">
        <f aca="false">IF($F841="","",IF(AND($S841&lt;&gt;"",$L841&lt;&gt;"",$S841&lt;&gt;$L841),1,0))</f>
        <v/>
      </c>
      <c r="AB841" s="39" t="str">
        <f aca="false">IF($F841="","",IF($R841="Cancelada",0,IF(OR($AT841&lt;&gt;"",$R841="Concluída"),1,0)))</f>
        <v/>
      </c>
      <c r="AC841" s="39" t="n">
        <f aca="false">IF($P841="",0,IF($P841&lt;Hoje!$L$1,1,IF(AND($P841=Hoje!$L$1,Hoje!$L$2&gt;Semana!$M$3),1,0)))</f>
        <v>0</v>
      </c>
      <c r="AD841" s="39" t="str">
        <f aca="false">IF($F841="","",IF(COUNTA($I841:$K841)=0,0,1/COUNTA($I841:$K841)))</f>
        <v/>
      </c>
      <c r="AE841" s="39" t="str">
        <f aca="false">IF($AH841=0,"",SUM($AH$4:$AH841))</f>
        <v/>
      </c>
      <c r="AF841" s="39" t="str">
        <f aca="false">IF($AI841=0,"",SUM($AI$4:$AI841))</f>
        <v/>
      </c>
      <c r="AG841" s="50" t="str">
        <f aca="false">IF($F841="","",$I841&amp;IF($J841="",""," · "&amp;$J841)&amp;IF($K841="",""," · "&amp;$K841))</f>
        <v/>
      </c>
      <c r="AH841" s="39" t="n">
        <f aca="false">IF(AND($F841&lt;&gt;"",$O841&lt;&gt;"",$O841&lt;=Hoje!$C$3,$P841&gt;=Hoje!$C$3,$R841&lt;&gt;"Cancelada"),1,0)</f>
        <v>0</v>
      </c>
      <c r="AI841" s="39" t="n">
        <f aca="false">IF(AND($F841&lt;&gt;"",$P841&lt;&gt;"",$P841&lt;Hoje!$C$3,$AB841=0,$R841&lt;&gt;"Cancelada"),1,0)</f>
        <v>0</v>
      </c>
      <c r="AJ841" s="50" t="str">
        <f aca="false">IF($F841="","",$D841&amp;"|"&amp;$E841&amp;"|"&amp;$L841)</f>
        <v/>
      </c>
      <c r="AK841" s="39" t="str">
        <f aca="false">IF($AJ841="","",COUNTIF($AJ$4:$AJ841,$AJ841))</f>
        <v/>
      </c>
      <c r="AL841" s="39" t="str">
        <f aca="false">IF($AJ841="","",COUNTIF($AJ$4:$AJ$1004,$AJ841))</f>
        <v/>
      </c>
      <c r="AM841" s="42"/>
      <c r="AN841" s="50" t="str">
        <f aca="false">IF($D841="","",IFERROR(T(VLOOKUP($D841,Listas!$B$5:$H$120,7,0)),""))</f>
        <v/>
      </c>
      <c r="AO841" s="50" t="str">
        <f aca="false">IF(OR($F841="",$L841&lt;&gt;"",$R841="Cancelada",$AT841&lt;&gt;""),"",$AN841&amp;"|"&amp;$D841&amp;"|"&amp;IF($C841="","zzz",$C841)&amp;"|"&amp;TEXT(841,"0000"))</f>
        <v/>
      </c>
      <c r="AP841" s="50" t="str">
        <f aca="false">IF($AO841="","",COUNTIF($AO$5:$AO$1004,"&lt;"&amp;$AO841)-(ROWS($AO$5:$AO$1004)-Hoje!$L$5)+1)</f>
        <v/>
      </c>
      <c r="AQ841" s="50" t="n">
        <f aca="false">IF(AND($F841&lt;&gt;"",$D841=Frota!$C$3),1,0)</f>
        <v>0</v>
      </c>
      <c r="AR841" s="50" t="str">
        <f aca="false">IF($AQ841=0,"",SUM($AQ$4:$AQ841))</f>
        <v/>
      </c>
      <c r="AS841" s="50" t="str">
        <f aca="false">IFERROR(INDEX(Hoje!$K$10:$K$29,MATCH(ROW(),Hoje!$J$10:$J$29,0)),"")</f>
        <v/>
      </c>
      <c r="AT841" s="50" t="str">
        <f aca="false">IF($Q841&lt;&gt;"",$Q841,$AS841)</f>
        <v/>
      </c>
    </row>
    <row r="842" customFormat="false" ht="16.5" hidden="false" customHeight="true" outlineLevel="0" collapsed="false">
      <c r="A842" s="39" t="str">
        <f aca="false">IF($F842="","",ROW())</f>
        <v/>
      </c>
      <c r="B842" s="40" t="str">
        <f aca="false">IF($F842="",IF($D842="","","Falta a atividade"),IF($R842="Cancelada","Cancelada",IF($AB842=1,IF(N($Z842)&gt;0,"Concluída com atraso","Concluída"),IF($R842="Em programação","Em programação",IF($O842="",IF($M842="","Na carteira","Falta a semana"),IF($AC842=1,"VENCIDA",IF($O842&gt;Hoje!$L$1,"Programada",IF($P842&gt;Hoje!$L$1,"Em execução","Fecha hoje"))))))))</f>
        <v/>
      </c>
      <c r="C842" s="41"/>
      <c r="D842" s="42"/>
      <c r="E842" s="42"/>
      <c r="F842" s="42"/>
      <c r="G842" s="43"/>
      <c r="H842" s="43"/>
      <c r="I842" s="44"/>
      <c r="J842" s="44"/>
      <c r="K842" s="44"/>
      <c r="L842" s="45"/>
      <c r="M842" s="46"/>
      <c r="N842" s="45"/>
      <c r="O842" s="47" t="str">
        <f aca="false">IF(OR($L842="",$M842=""),"",(DATE(Semana!$J$3,1,4)-WEEKDAY(DATE(Semana!$J$3,1,4),3))+($L842-1)*7+MATCH($M842,Listas!$F$5:$F$11,0)-1)</f>
        <v/>
      </c>
      <c r="P842" s="47" t="str">
        <f aca="false">IF(OR($F842="",$O842=""),"",$O842+MAX(0,ROUNDUP($AK842*MAX(1,IF($N842="",1,$N842))/MAX(1,$AL842),0)-1))</f>
        <v/>
      </c>
      <c r="Q842" s="48"/>
      <c r="R842" s="43"/>
      <c r="S842" s="49"/>
      <c r="T842" s="42"/>
      <c r="U842" s="42"/>
      <c r="V842" s="39" t="str">
        <f aca="false">IF($F842="","",IF(ISNUMBER(SEARCH("(externo)",$I842&amp;$J842&amp;$K842)),"Terceirizada","Interna"))</f>
        <v/>
      </c>
      <c r="W842" s="47" t="str">
        <f aca="false">IF($O842="","",IF($S842="",$O842,(DATE(Semana!$J$3,1,4)-WEEKDAY(DATE(Semana!$J$3,1,4),3))+($S842-1)*7+IF($M842="",0,MATCH($M842,Listas!$F$5:$F$11,0)-1)))</f>
        <v/>
      </c>
      <c r="X842" s="39" t="str">
        <f aca="false">IF($F842="","",IF(OR($AT842="",$O842=""),0,IF($AT842&lt;=$O842,1,0)))</f>
        <v/>
      </c>
      <c r="Y842" s="39" t="str">
        <f aca="false">IF($F842="","",IF(OR($AT842="",$W842=""),0,IF($AT842&lt;=$W842,1,0)))</f>
        <v/>
      </c>
      <c r="Z842" s="39" t="str">
        <f aca="false">IF(OR($AT842="",$O842=""),"",MAX(0,$AT842-$O842))</f>
        <v/>
      </c>
      <c r="AA842" s="39" t="str">
        <f aca="false">IF($F842="","",IF(AND($S842&lt;&gt;"",$L842&lt;&gt;"",$S842&lt;&gt;$L842),1,0))</f>
        <v/>
      </c>
      <c r="AB842" s="39" t="str">
        <f aca="false">IF($F842="","",IF($R842="Cancelada",0,IF(OR($AT842&lt;&gt;"",$R842="Concluída"),1,0)))</f>
        <v/>
      </c>
      <c r="AC842" s="39" t="n">
        <f aca="false">IF($P842="",0,IF($P842&lt;Hoje!$L$1,1,IF(AND($P842=Hoje!$L$1,Hoje!$L$2&gt;Semana!$M$3),1,0)))</f>
        <v>0</v>
      </c>
      <c r="AD842" s="39" t="str">
        <f aca="false">IF($F842="","",IF(COUNTA($I842:$K842)=0,0,1/COUNTA($I842:$K842)))</f>
        <v/>
      </c>
      <c r="AE842" s="39" t="str">
        <f aca="false">IF($AH842=0,"",SUM($AH$4:$AH842))</f>
        <v/>
      </c>
      <c r="AF842" s="39" t="str">
        <f aca="false">IF($AI842=0,"",SUM($AI$4:$AI842))</f>
        <v/>
      </c>
      <c r="AG842" s="50" t="str">
        <f aca="false">IF($F842="","",$I842&amp;IF($J842="",""," · "&amp;$J842)&amp;IF($K842="",""," · "&amp;$K842))</f>
        <v/>
      </c>
      <c r="AH842" s="39" t="n">
        <f aca="false">IF(AND($F842&lt;&gt;"",$O842&lt;&gt;"",$O842&lt;=Hoje!$C$3,$P842&gt;=Hoje!$C$3,$R842&lt;&gt;"Cancelada"),1,0)</f>
        <v>0</v>
      </c>
      <c r="AI842" s="39" t="n">
        <f aca="false">IF(AND($F842&lt;&gt;"",$P842&lt;&gt;"",$P842&lt;Hoje!$C$3,$AB842=0,$R842&lt;&gt;"Cancelada"),1,0)</f>
        <v>0</v>
      </c>
      <c r="AJ842" s="50" t="str">
        <f aca="false">IF($F842="","",$D842&amp;"|"&amp;$E842&amp;"|"&amp;$L842)</f>
        <v/>
      </c>
      <c r="AK842" s="39" t="str">
        <f aca="false">IF($AJ842="","",COUNTIF($AJ$4:$AJ842,$AJ842))</f>
        <v/>
      </c>
      <c r="AL842" s="39" t="str">
        <f aca="false">IF($AJ842="","",COUNTIF($AJ$4:$AJ$1004,$AJ842))</f>
        <v/>
      </c>
      <c r="AM842" s="42"/>
      <c r="AN842" s="50" t="str">
        <f aca="false">IF($D842="","",IFERROR(T(VLOOKUP($D842,Listas!$B$5:$H$120,7,0)),""))</f>
        <v/>
      </c>
      <c r="AO842" s="50" t="str">
        <f aca="false">IF(OR($F842="",$L842&lt;&gt;"",$R842="Cancelada",$AT842&lt;&gt;""),"",$AN842&amp;"|"&amp;$D842&amp;"|"&amp;IF($C842="","zzz",$C842)&amp;"|"&amp;TEXT(842,"0000"))</f>
        <v/>
      </c>
      <c r="AP842" s="50" t="str">
        <f aca="false">IF($AO842="","",COUNTIF($AO$5:$AO$1004,"&lt;"&amp;$AO842)-(ROWS($AO$5:$AO$1004)-Hoje!$L$5)+1)</f>
        <v/>
      </c>
      <c r="AQ842" s="50" t="n">
        <f aca="false">IF(AND($F842&lt;&gt;"",$D842=Frota!$C$3),1,0)</f>
        <v>0</v>
      </c>
      <c r="AR842" s="50" t="str">
        <f aca="false">IF($AQ842=0,"",SUM($AQ$4:$AQ842))</f>
        <v/>
      </c>
      <c r="AS842" s="50" t="str">
        <f aca="false">IFERROR(INDEX(Hoje!$K$10:$K$29,MATCH(ROW(),Hoje!$J$10:$J$29,0)),"")</f>
        <v/>
      </c>
      <c r="AT842" s="50" t="str">
        <f aca="false">IF($Q842&lt;&gt;"",$Q842,$AS842)</f>
        <v/>
      </c>
    </row>
    <row r="843" customFormat="false" ht="16.5" hidden="false" customHeight="true" outlineLevel="0" collapsed="false">
      <c r="A843" s="39" t="str">
        <f aca="false">IF($F843="","",ROW())</f>
        <v/>
      </c>
      <c r="B843" s="40" t="str">
        <f aca="false">IF($F843="",IF($D843="","","Falta a atividade"),IF($R843="Cancelada","Cancelada",IF($AB843=1,IF(N($Z843)&gt;0,"Concluída com atraso","Concluída"),IF($R843="Em programação","Em programação",IF($O843="",IF($M843="","Na carteira","Falta a semana"),IF($AC843=1,"VENCIDA",IF($O843&gt;Hoje!$L$1,"Programada",IF($P843&gt;Hoje!$L$1,"Em execução","Fecha hoje"))))))))</f>
        <v/>
      </c>
      <c r="C843" s="41"/>
      <c r="D843" s="42"/>
      <c r="E843" s="42"/>
      <c r="F843" s="42"/>
      <c r="G843" s="43"/>
      <c r="H843" s="43"/>
      <c r="I843" s="44"/>
      <c r="J843" s="44"/>
      <c r="K843" s="44"/>
      <c r="L843" s="45"/>
      <c r="M843" s="46"/>
      <c r="N843" s="45"/>
      <c r="O843" s="47" t="str">
        <f aca="false">IF(OR($L843="",$M843=""),"",(DATE(Semana!$J$3,1,4)-WEEKDAY(DATE(Semana!$J$3,1,4),3))+($L843-1)*7+MATCH($M843,Listas!$F$5:$F$11,0)-1)</f>
        <v/>
      </c>
      <c r="P843" s="47" t="str">
        <f aca="false">IF(OR($F843="",$O843=""),"",$O843+MAX(0,ROUNDUP($AK843*MAX(1,IF($N843="",1,$N843))/MAX(1,$AL843),0)-1))</f>
        <v/>
      </c>
      <c r="Q843" s="48"/>
      <c r="R843" s="43"/>
      <c r="S843" s="49"/>
      <c r="T843" s="42"/>
      <c r="U843" s="42"/>
      <c r="V843" s="39" t="str">
        <f aca="false">IF($F843="","",IF(ISNUMBER(SEARCH("(externo)",$I843&amp;$J843&amp;$K843)),"Terceirizada","Interna"))</f>
        <v/>
      </c>
      <c r="W843" s="47" t="str">
        <f aca="false">IF($O843="","",IF($S843="",$O843,(DATE(Semana!$J$3,1,4)-WEEKDAY(DATE(Semana!$J$3,1,4),3))+($S843-1)*7+IF($M843="",0,MATCH($M843,Listas!$F$5:$F$11,0)-1)))</f>
        <v/>
      </c>
      <c r="X843" s="39" t="str">
        <f aca="false">IF($F843="","",IF(OR($AT843="",$O843=""),0,IF($AT843&lt;=$O843,1,0)))</f>
        <v/>
      </c>
      <c r="Y843" s="39" t="str">
        <f aca="false">IF($F843="","",IF(OR($AT843="",$W843=""),0,IF($AT843&lt;=$W843,1,0)))</f>
        <v/>
      </c>
      <c r="Z843" s="39" t="str">
        <f aca="false">IF(OR($AT843="",$O843=""),"",MAX(0,$AT843-$O843))</f>
        <v/>
      </c>
      <c r="AA843" s="39" t="str">
        <f aca="false">IF($F843="","",IF(AND($S843&lt;&gt;"",$L843&lt;&gt;"",$S843&lt;&gt;$L843),1,0))</f>
        <v/>
      </c>
      <c r="AB843" s="39" t="str">
        <f aca="false">IF($F843="","",IF($R843="Cancelada",0,IF(OR($AT843&lt;&gt;"",$R843="Concluída"),1,0)))</f>
        <v/>
      </c>
      <c r="AC843" s="39" t="n">
        <f aca="false">IF($P843="",0,IF($P843&lt;Hoje!$L$1,1,IF(AND($P843=Hoje!$L$1,Hoje!$L$2&gt;Semana!$M$3),1,0)))</f>
        <v>0</v>
      </c>
      <c r="AD843" s="39" t="str">
        <f aca="false">IF($F843="","",IF(COUNTA($I843:$K843)=0,0,1/COUNTA($I843:$K843)))</f>
        <v/>
      </c>
      <c r="AE843" s="39" t="str">
        <f aca="false">IF($AH843=0,"",SUM($AH$4:$AH843))</f>
        <v/>
      </c>
      <c r="AF843" s="39" t="str">
        <f aca="false">IF($AI843=0,"",SUM($AI$4:$AI843))</f>
        <v/>
      </c>
      <c r="AG843" s="50" t="str">
        <f aca="false">IF($F843="","",$I843&amp;IF($J843="",""," · "&amp;$J843)&amp;IF($K843="",""," · "&amp;$K843))</f>
        <v/>
      </c>
      <c r="AH843" s="39" t="n">
        <f aca="false">IF(AND($F843&lt;&gt;"",$O843&lt;&gt;"",$O843&lt;=Hoje!$C$3,$P843&gt;=Hoje!$C$3,$R843&lt;&gt;"Cancelada"),1,0)</f>
        <v>0</v>
      </c>
      <c r="AI843" s="39" t="n">
        <f aca="false">IF(AND($F843&lt;&gt;"",$P843&lt;&gt;"",$P843&lt;Hoje!$C$3,$AB843=0,$R843&lt;&gt;"Cancelada"),1,0)</f>
        <v>0</v>
      </c>
      <c r="AJ843" s="50" t="str">
        <f aca="false">IF($F843="","",$D843&amp;"|"&amp;$E843&amp;"|"&amp;$L843)</f>
        <v/>
      </c>
      <c r="AK843" s="39" t="str">
        <f aca="false">IF($AJ843="","",COUNTIF($AJ$4:$AJ843,$AJ843))</f>
        <v/>
      </c>
      <c r="AL843" s="39" t="str">
        <f aca="false">IF($AJ843="","",COUNTIF($AJ$4:$AJ$1004,$AJ843))</f>
        <v/>
      </c>
      <c r="AM843" s="42"/>
      <c r="AN843" s="50" t="str">
        <f aca="false">IF($D843="","",IFERROR(T(VLOOKUP($D843,Listas!$B$5:$H$120,7,0)),""))</f>
        <v/>
      </c>
      <c r="AO843" s="50" t="str">
        <f aca="false">IF(OR($F843="",$L843&lt;&gt;"",$R843="Cancelada",$AT843&lt;&gt;""),"",$AN843&amp;"|"&amp;$D843&amp;"|"&amp;IF($C843="","zzz",$C843)&amp;"|"&amp;TEXT(843,"0000"))</f>
        <v/>
      </c>
      <c r="AP843" s="50" t="str">
        <f aca="false">IF($AO843="","",COUNTIF($AO$5:$AO$1004,"&lt;"&amp;$AO843)-(ROWS($AO$5:$AO$1004)-Hoje!$L$5)+1)</f>
        <v/>
      </c>
      <c r="AQ843" s="50" t="n">
        <f aca="false">IF(AND($F843&lt;&gt;"",$D843=Frota!$C$3),1,0)</f>
        <v>0</v>
      </c>
      <c r="AR843" s="50" t="str">
        <f aca="false">IF($AQ843=0,"",SUM($AQ$4:$AQ843))</f>
        <v/>
      </c>
      <c r="AS843" s="50" t="str">
        <f aca="false">IFERROR(INDEX(Hoje!$K$10:$K$29,MATCH(ROW(),Hoje!$J$10:$J$29,0)),"")</f>
        <v/>
      </c>
      <c r="AT843" s="50" t="str">
        <f aca="false">IF($Q843&lt;&gt;"",$Q843,$AS843)</f>
        <v/>
      </c>
    </row>
    <row r="844" customFormat="false" ht="16.5" hidden="false" customHeight="true" outlineLevel="0" collapsed="false">
      <c r="A844" s="39" t="str">
        <f aca="false">IF($F844="","",ROW())</f>
        <v/>
      </c>
      <c r="B844" s="40" t="str">
        <f aca="false">IF($F844="",IF($D844="","","Falta a atividade"),IF($R844="Cancelada","Cancelada",IF($AB844=1,IF(N($Z844)&gt;0,"Concluída com atraso","Concluída"),IF($R844="Em programação","Em programação",IF($O844="",IF($M844="","Na carteira","Falta a semana"),IF($AC844=1,"VENCIDA",IF($O844&gt;Hoje!$L$1,"Programada",IF($P844&gt;Hoje!$L$1,"Em execução","Fecha hoje"))))))))</f>
        <v/>
      </c>
      <c r="C844" s="41"/>
      <c r="D844" s="42"/>
      <c r="E844" s="42"/>
      <c r="F844" s="42"/>
      <c r="G844" s="43"/>
      <c r="H844" s="43"/>
      <c r="I844" s="44"/>
      <c r="J844" s="44"/>
      <c r="K844" s="44"/>
      <c r="L844" s="45"/>
      <c r="M844" s="46"/>
      <c r="N844" s="45"/>
      <c r="O844" s="47" t="str">
        <f aca="false">IF(OR($L844="",$M844=""),"",(DATE(Semana!$J$3,1,4)-WEEKDAY(DATE(Semana!$J$3,1,4),3))+($L844-1)*7+MATCH($M844,Listas!$F$5:$F$11,0)-1)</f>
        <v/>
      </c>
      <c r="P844" s="47" t="str">
        <f aca="false">IF(OR($F844="",$O844=""),"",$O844+MAX(0,ROUNDUP($AK844*MAX(1,IF($N844="",1,$N844))/MAX(1,$AL844),0)-1))</f>
        <v/>
      </c>
      <c r="Q844" s="48"/>
      <c r="R844" s="43"/>
      <c r="S844" s="49"/>
      <c r="T844" s="42"/>
      <c r="U844" s="42"/>
      <c r="V844" s="39" t="str">
        <f aca="false">IF($F844="","",IF(ISNUMBER(SEARCH("(externo)",$I844&amp;$J844&amp;$K844)),"Terceirizada","Interna"))</f>
        <v/>
      </c>
      <c r="W844" s="47" t="str">
        <f aca="false">IF($O844="","",IF($S844="",$O844,(DATE(Semana!$J$3,1,4)-WEEKDAY(DATE(Semana!$J$3,1,4),3))+($S844-1)*7+IF($M844="",0,MATCH($M844,Listas!$F$5:$F$11,0)-1)))</f>
        <v/>
      </c>
      <c r="X844" s="39" t="str">
        <f aca="false">IF($F844="","",IF(OR($AT844="",$O844=""),0,IF($AT844&lt;=$O844,1,0)))</f>
        <v/>
      </c>
      <c r="Y844" s="39" t="str">
        <f aca="false">IF($F844="","",IF(OR($AT844="",$W844=""),0,IF($AT844&lt;=$W844,1,0)))</f>
        <v/>
      </c>
      <c r="Z844" s="39" t="str">
        <f aca="false">IF(OR($AT844="",$O844=""),"",MAX(0,$AT844-$O844))</f>
        <v/>
      </c>
      <c r="AA844" s="39" t="str">
        <f aca="false">IF($F844="","",IF(AND($S844&lt;&gt;"",$L844&lt;&gt;"",$S844&lt;&gt;$L844),1,0))</f>
        <v/>
      </c>
      <c r="AB844" s="39" t="str">
        <f aca="false">IF($F844="","",IF($R844="Cancelada",0,IF(OR($AT844&lt;&gt;"",$R844="Concluída"),1,0)))</f>
        <v/>
      </c>
      <c r="AC844" s="39" t="n">
        <f aca="false">IF($P844="",0,IF($P844&lt;Hoje!$L$1,1,IF(AND($P844=Hoje!$L$1,Hoje!$L$2&gt;Semana!$M$3),1,0)))</f>
        <v>0</v>
      </c>
      <c r="AD844" s="39" t="str">
        <f aca="false">IF($F844="","",IF(COUNTA($I844:$K844)=0,0,1/COUNTA($I844:$K844)))</f>
        <v/>
      </c>
      <c r="AE844" s="39" t="str">
        <f aca="false">IF($AH844=0,"",SUM($AH$4:$AH844))</f>
        <v/>
      </c>
      <c r="AF844" s="39" t="str">
        <f aca="false">IF($AI844=0,"",SUM($AI$4:$AI844))</f>
        <v/>
      </c>
      <c r="AG844" s="50" t="str">
        <f aca="false">IF($F844="","",$I844&amp;IF($J844="",""," · "&amp;$J844)&amp;IF($K844="",""," · "&amp;$K844))</f>
        <v/>
      </c>
      <c r="AH844" s="39" t="n">
        <f aca="false">IF(AND($F844&lt;&gt;"",$O844&lt;&gt;"",$O844&lt;=Hoje!$C$3,$P844&gt;=Hoje!$C$3,$R844&lt;&gt;"Cancelada"),1,0)</f>
        <v>0</v>
      </c>
      <c r="AI844" s="39" t="n">
        <f aca="false">IF(AND($F844&lt;&gt;"",$P844&lt;&gt;"",$P844&lt;Hoje!$C$3,$AB844=0,$R844&lt;&gt;"Cancelada"),1,0)</f>
        <v>0</v>
      </c>
      <c r="AJ844" s="50" t="str">
        <f aca="false">IF($F844="","",$D844&amp;"|"&amp;$E844&amp;"|"&amp;$L844)</f>
        <v/>
      </c>
      <c r="AK844" s="39" t="str">
        <f aca="false">IF($AJ844="","",COUNTIF($AJ$4:$AJ844,$AJ844))</f>
        <v/>
      </c>
      <c r="AL844" s="39" t="str">
        <f aca="false">IF($AJ844="","",COUNTIF($AJ$4:$AJ$1004,$AJ844))</f>
        <v/>
      </c>
      <c r="AM844" s="42"/>
      <c r="AN844" s="50" t="str">
        <f aca="false">IF($D844="","",IFERROR(T(VLOOKUP($D844,Listas!$B$5:$H$120,7,0)),""))</f>
        <v/>
      </c>
      <c r="AO844" s="50" t="str">
        <f aca="false">IF(OR($F844="",$L844&lt;&gt;"",$R844="Cancelada",$AT844&lt;&gt;""),"",$AN844&amp;"|"&amp;$D844&amp;"|"&amp;IF($C844="","zzz",$C844)&amp;"|"&amp;TEXT(844,"0000"))</f>
        <v/>
      </c>
      <c r="AP844" s="50" t="str">
        <f aca="false">IF($AO844="","",COUNTIF($AO$5:$AO$1004,"&lt;"&amp;$AO844)-(ROWS($AO$5:$AO$1004)-Hoje!$L$5)+1)</f>
        <v/>
      </c>
      <c r="AQ844" s="50" t="n">
        <f aca="false">IF(AND($F844&lt;&gt;"",$D844=Frota!$C$3),1,0)</f>
        <v>0</v>
      </c>
      <c r="AR844" s="50" t="str">
        <f aca="false">IF($AQ844=0,"",SUM($AQ$4:$AQ844))</f>
        <v/>
      </c>
      <c r="AS844" s="50" t="str">
        <f aca="false">IFERROR(INDEX(Hoje!$K$10:$K$29,MATCH(ROW(),Hoje!$J$10:$J$29,0)),"")</f>
        <v/>
      </c>
      <c r="AT844" s="50" t="str">
        <f aca="false">IF($Q844&lt;&gt;"",$Q844,$AS844)</f>
        <v/>
      </c>
    </row>
    <row r="845" customFormat="false" ht="16.5" hidden="false" customHeight="true" outlineLevel="0" collapsed="false">
      <c r="A845" s="39" t="str">
        <f aca="false">IF($F845="","",ROW())</f>
        <v/>
      </c>
      <c r="B845" s="40" t="str">
        <f aca="false">IF($F845="",IF($D845="","","Falta a atividade"),IF($R845="Cancelada","Cancelada",IF($AB845=1,IF(N($Z845)&gt;0,"Concluída com atraso","Concluída"),IF($R845="Em programação","Em programação",IF($O845="",IF($M845="","Na carteira","Falta a semana"),IF($AC845=1,"VENCIDA",IF($O845&gt;Hoje!$L$1,"Programada",IF($P845&gt;Hoje!$L$1,"Em execução","Fecha hoje"))))))))</f>
        <v/>
      </c>
      <c r="C845" s="41"/>
      <c r="D845" s="42"/>
      <c r="E845" s="42"/>
      <c r="F845" s="42"/>
      <c r="G845" s="43"/>
      <c r="H845" s="43"/>
      <c r="I845" s="44"/>
      <c r="J845" s="44"/>
      <c r="K845" s="44"/>
      <c r="L845" s="45"/>
      <c r="M845" s="46"/>
      <c r="N845" s="45"/>
      <c r="O845" s="47" t="str">
        <f aca="false">IF(OR($L845="",$M845=""),"",(DATE(Semana!$J$3,1,4)-WEEKDAY(DATE(Semana!$J$3,1,4),3))+($L845-1)*7+MATCH($M845,Listas!$F$5:$F$11,0)-1)</f>
        <v/>
      </c>
      <c r="P845" s="47" t="str">
        <f aca="false">IF(OR($F845="",$O845=""),"",$O845+MAX(0,ROUNDUP($AK845*MAX(1,IF($N845="",1,$N845))/MAX(1,$AL845),0)-1))</f>
        <v/>
      </c>
      <c r="Q845" s="48"/>
      <c r="R845" s="43"/>
      <c r="S845" s="49"/>
      <c r="T845" s="42"/>
      <c r="U845" s="42"/>
      <c r="V845" s="39" t="str">
        <f aca="false">IF($F845="","",IF(ISNUMBER(SEARCH("(externo)",$I845&amp;$J845&amp;$K845)),"Terceirizada","Interna"))</f>
        <v/>
      </c>
      <c r="W845" s="47" t="str">
        <f aca="false">IF($O845="","",IF($S845="",$O845,(DATE(Semana!$J$3,1,4)-WEEKDAY(DATE(Semana!$J$3,1,4),3))+($S845-1)*7+IF($M845="",0,MATCH($M845,Listas!$F$5:$F$11,0)-1)))</f>
        <v/>
      </c>
      <c r="X845" s="39" t="str">
        <f aca="false">IF($F845="","",IF(OR($AT845="",$O845=""),0,IF($AT845&lt;=$O845,1,0)))</f>
        <v/>
      </c>
      <c r="Y845" s="39" t="str">
        <f aca="false">IF($F845="","",IF(OR($AT845="",$W845=""),0,IF($AT845&lt;=$W845,1,0)))</f>
        <v/>
      </c>
      <c r="Z845" s="39" t="str">
        <f aca="false">IF(OR($AT845="",$O845=""),"",MAX(0,$AT845-$O845))</f>
        <v/>
      </c>
      <c r="AA845" s="39" t="str">
        <f aca="false">IF($F845="","",IF(AND($S845&lt;&gt;"",$L845&lt;&gt;"",$S845&lt;&gt;$L845),1,0))</f>
        <v/>
      </c>
      <c r="AB845" s="39" t="str">
        <f aca="false">IF($F845="","",IF($R845="Cancelada",0,IF(OR($AT845&lt;&gt;"",$R845="Concluída"),1,0)))</f>
        <v/>
      </c>
      <c r="AC845" s="39" t="n">
        <f aca="false">IF($P845="",0,IF($P845&lt;Hoje!$L$1,1,IF(AND($P845=Hoje!$L$1,Hoje!$L$2&gt;Semana!$M$3),1,0)))</f>
        <v>0</v>
      </c>
      <c r="AD845" s="39" t="str">
        <f aca="false">IF($F845="","",IF(COUNTA($I845:$K845)=0,0,1/COUNTA($I845:$K845)))</f>
        <v/>
      </c>
      <c r="AE845" s="39" t="str">
        <f aca="false">IF($AH845=0,"",SUM($AH$4:$AH845))</f>
        <v/>
      </c>
      <c r="AF845" s="39" t="str">
        <f aca="false">IF($AI845=0,"",SUM($AI$4:$AI845))</f>
        <v/>
      </c>
      <c r="AG845" s="50" t="str">
        <f aca="false">IF($F845="","",$I845&amp;IF($J845="",""," · "&amp;$J845)&amp;IF($K845="",""," · "&amp;$K845))</f>
        <v/>
      </c>
      <c r="AH845" s="39" t="n">
        <f aca="false">IF(AND($F845&lt;&gt;"",$O845&lt;&gt;"",$O845&lt;=Hoje!$C$3,$P845&gt;=Hoje!$C$3,$R845&lt;&gt;"Cancelada"),1,0)</f>
        <v>0</v>
      </c>
      <c r="AI845" s="39" t="n">
        <f aca="false">IF(AND($F845&lt;&gt;"",$P845&lt;&gt;"",$P845&lt;Hoje!$C$3,$AB845=0,$R845&lt;&gt;"Cancelada"),1,0)</f>
        <v>0</v>
      </c>
      <c r="AJ845" s="50" t="str">
        <f aca="false">IF($F845="","",$D845&amp;"|"&amp;$E845&amp;"|"&amp;$L845)</f>
        <v/>
      </c>
      <c r="AK845" s="39" t="str">
        <f aca="false">IF($AJ845="","",COUNTIF($AJ$4:$AJ845,$AJ845))</f>
        <v/>
      </c>
      <c r="AL845" s="39" t="str">
        <f aca="false">IF($AJ845="","",COUNTIF($AJ$4:$AJ$1004,$AJ845))</f>
        <v/>
      </c>
      <c r="AM845" s="42"/>
      <c r="AN845" s="50" t="str">
        <f aca="false">IF($D845="","",IFERROR(T(VLOOKUP($D845,Listas!$B$5:$H$120,7,0)),""))</f>
        <v/>
      </c>
      <c r="AO845" s="50" t="str">
        <f aca="false">IF(OR($F845="",$L845&lt;&gt;"",$R845="Cancelada",$AT845&lt;&gt;""),"",$AN845&amp;"|"&amp;$D845&amp;"|"&amp;IF($C845="","zzz",$C845)&amp;"|"&amp;TEXT(845,"0000"))</f>
        <v/>
      </c>
      <c r="AP845" s="50" t="str">
        <f aca="false">IF($AO845="","",COUNTIF($AO$5:$AO$1004,"&lt;"&amp;$AO845)-(ROWS($AO$5:$AO$1004)-Hoje!$L$5)+1)</f>
        <v/>
      </c>
      <c r="AQ845" s="50" t="n">
        <f aca="false">IF(AND($F845&lt;&gt;"",$D845=Frota!$C$3),1,0)</f>
        <v>0</v>
      </c>
      <c r="AR845" s="50" t="str">
        <f aca="false">IF($AQ845=0,"",SUM($AQ$4:$AQ845))</f>
        <v/>
      </c>
      <c r="AS845" s="50" t="str">
        <f aca="false">IFERROR(INDEX(Hoje!$K$10:$K$29,MATCH(ROW(),Hoje!$J$10:$J$29,0)),"")</f>
        <v/>
      </c>
      <c r="AT845" s="50" t="str">
        <f aca="false">IF($Q845&lt;&gt;"",$Q845,$AS845)</f>
        <v/>
      </c>
    </row>
    <row r="846" customFormat="false" ht="16.5" hidden="false" customHeight="true" outlineLevel="0" collapsed="false">
      <c r="A846" s="39" t="str">
        <f aca="false">IF($F846="","",ROW())</f>
        <v/>
      </c>
      <c r="B846" s="40" t="str">
        <f aca="false">IF($F846="",IF($D846="","","Falta a atividade"),IF($R846="Cancelada","Cancelada",IF($AB846=1,IF(N($Z846)&gt;0,"Concluída com atraso","Concluída"),IF($R846="Em programação","Em programação",IF($O846="",IF($M846="","Na carteira","Falta a semana"),IF($AC846=1,"VENCIDA",IF($O846&gt;Hoje!$L$1,"Programada",IF($P846&gt;Hoje!$L$1,"Em execução","Fecha hoje"))))))))</f>
        <v/>
      </c>
      <c r="C846" s="41"/>
      <c r="D846" s="42"/>
      <c r="E846" s="42"/>
      <c r="F846" s="42"/>
      <c r="G846" s="43"/>
      <c r="H846" s="43"/>
      <c r="I846" s="44"/>
      <c r="J846" s="44"/>
      <c r="K846" s="44"/>
      <c r="L846" s="45"/>
      <c r="M846" s="46"/>
      <c r="N846" s="45"/>
      <c r="O846" s="47" t="str">
        <f aca="false">IF(OR($L846="",$M846=""),"",(DATE(Semana!$J$3,1,4)-WEEKDAY(DATE(Semana!$J$3,1,4),3))+($L846-1)*7+MATCH($M846,Listas!$F$5:$F$11,0)-1)</f>
        <v/>
      </c>
      <c r="P846" s="47" t="str">
        <f aca="false">IF(OR($F846="",$O846=""),"",$O846+MAX(0,ROUNDUP($AK846*MAX(1,IF($N846="",1,$N846))/MAX(1,$AL846),0)-1))</f>
        <v/>
      </c>
      <c r="Q846" s="48"/>
      <c r="R846" s="43"/>
      <c r="S846" s="49"/>
      <c r="T846" s="42"/>
      <c r="U846" s="42"/>
      <c r="V846" s="39" t="str">
        <f aca="false">IF($F846="","",IF(ISNUMBER(SEARCH("(externo)",$I846&amp;$J846&amp;$K846)),"Terceirizada","Interna"))</f>
        <v/>
      </c>
      <c r="W846" s="47" t="str">
        <f aca="false">IF($O846="","",IF($S846="",$O846,(DATE(Semana!$J$3,1,4)-WEEKDAY(DATE(Semana!$J$3,1,4),3))+($S846-1)*7+IF($M846="",0,MATCH($M846,Listas!$F$5:$F$11,0)-1)))</f>
        <v/>
      </c>
      <c r="X846" s="39" t="str">
        <f aca="false">IF($F846="","",IF(OR($AT846="",$O846=""),0,IF($AT846&lt;=$O846,1,0)))</f>
        <v/>
      </c>
      <c r="Y846" s="39" t="str">
        <f aca="false">IF($F846="","",IF(OR($AT846="",$W846=""),0,IF($AT846&lt;=$W846,1,0)))</f>
        <v/>
      </c>
      <c r="Z846" s="39" t="str">
        <f aca="false">IF(OR($AT846="",$O846=""),"",MAX(0,$AT846-$O846))</f>
        <v/>
      </c>
      <c r="AA846" s="39" t="str">
        <f aca="false">IF($F846="","",IF(AND($S846&lt;&gt;"",$L846&lt;&gt;"",$S846&lt;&gt;$L846),1,0))</f>
        <v/>
      </c>
      <c r="AB846" s="39" t="str">
        <f aca="false">IF($F846="","",IF($R846="Cancelada",0,IF(OR($AT846&lt;&gt;"",$R846="Concluída"),1,0)))</f>
        <v/>
      </c>
      <c r="AC846" s="39" t="n">
        <f aca="false">IF($P846="",0,IF($P846&lt;Hoje!$L$1,1,IF(AND($P846=Hoje!$L$1,Hoje!$L$2&gt;Semana!$M$3),1,0)))</f>
        <v>0</v>
      </c>
      <c r="AD846" s="39" t="str">
        <f aca="false">IF($F846="","",IF(COUNTA($I846:$K846)=0,0,1/COUNTA($I846:$K846)))</f>
        <v/>
      </c>
      <c r="AE846" s="39" t="str">
        <f aca="false">IF($AH846=0,"",SUM($AH$4:$AH846))</f>
        <v/>
      </c>
      <c r="AF846" s="39" t="str">
        <f aca="false">IF($AI846=0,"",SUM($AI$4:$AI846))</f>
        <v/>
      </c>
      <c r="AG846" s="50" t="str">
        <f aca="false">IF($F846="","",$I846&amp;IF($J846="",""," · "&amp;$J846)&amp;IF($K846="",""," · "&amp;$K846))</f>
        <v/>
      </c>
      <c r="AH846" s="39" t="n">
        <f aca="false">IF(AND($F846&lt;&gt;"",$O846&lt;&gt;"",$O846&lt;=Hoje!$C$3,$P846&gt;=Hoje!$C$3,$R846&lt;&gt;"Cancelada"),1,0)</f>
        <v>0</v>
      </c>
      <c r="AI846" s="39" t="n">
        <f aca="false">IF(AND($F846&lt;&gt;"",$P846&lt;&gt;"",$P846&lt;Hoje!$C$3,$AB846=0,$R846&lt;&gt;"Cancelada"),1,0)</f>
        <v>0</v>
      </c>
      <c r="AJ846" s="50" t="str">
        <f aca="false">IF($F846="","",$D846&amp;"|"&amp;$E846&amp;"|"&amp;$L846)</f>
        <v/>
      </c>
      <c r="AK846" s="39" t="str">
        <f aca="false">IF($AJ846="","",COUNTIF($AJ$4:$AJ846,$AJ846))</f>
        <v/>
      </c>
      <c r="AL846" s="39" t="str">
        <f aca="false">IF($AJ846="","",COUNTIF($AJ$4:$AJ$1004,$AJ846))</f>
        <v/>
      </c>
      <c r="AM846" s="42"/>
      <c r="AN846" s="50" t="str">
        <f aca="false">IF($D846="","",IFERROR(T(VLOOKUP($D846,Listas!$B$5:$H$120,7,0)),""))</f>
        <v/>
      </c>
      <c r="AO846" s="50" t="str">
        <f aca="false">IF(OR($F846="",$L846&lt;&gt;"",$R846="Cancelada",$AT846&lt;&gt;""),"",$AN846&amp;"|"&amp;$D846&amp;"|"&amp;IF($C846="","zzz",$C846)&amp;"|"&amp;TEXT(846,"0000"))</f>
        <v/>
      </c>
      <c r="AP846" s="50" t="str">
        <f aca="false">IF($AO846="","",COUNTIF($AO$5:$AO$1004,"&lt;"&amp;$AO846)-(ROWS($AO$5:$AO$1004)-Hoje!$L$5)+1)</f>
        <v/>
      </c>
      <c r="AQ846" s="50" t="n">
        <f aca="false">IF(AND($F846&lt;&gt;"",$D846=Frota!$C$3),1,0)</f>
        <v>0</v>
      </c>
      <c r="AR846" s="50" t="str">
        <f aca="false">IF($AQ846=0,"",SUM($AQ$4:$AQ846))</f>
        <v/>
      </c>
      <c r="AS846" s="50" t="str">
        <f aca="false">IFERROR(INDEX(Hoje!$K$10:$K$29,MATCH(ROW(),Hoje!$J$10:$J$29,0)),"")</f>
        <v/>
      </c>
      <c r="AT846" s="50" t="str">
        <f aca="false">IF($Q846&lt;&gt;"",$Q846,$AS846)</f>
        <v/>
      </c>
    </row>
    <row r="847" customFormat="false" ht="16.5" hidden="false" customHeight="true" outlineLevel="0" collapsed="false">
      <c r="A847" s="39" t="str">
        <f aca="false">IF($F847="","",ROW())</f>
        <v/>
      </c>
      <c r="B847" s="40" t="str">
        <f aca="false">IF($F847="",IF($D847="","","Falta a atividade"),IF($R847="Cancelada","Cancelada",IF($AB847=1,IF(N($Z847)&gt;0,"Concluída com atraso","Concluída"),IF($R847="Em programação","Em programação",IF($O847="",IF($M847="","Na carteira","Falta a semana"),IF($AC847=1,"VENCIDA",IF($O847&gt;Hoje!$L$1,"Programada",IF($P847&gt;Hoje!$L$1,"Em execução","Fecha hoje"))))))))</f>
        <v/>
      </c>
      <c r="C847" s="41"/>
      <c r="D847" s="42"/>
      <c r="E847" s="42"/>
      <c r="F847" s="42"/>
      <c r="G847" s="43"/>
      <c r="H847" s="43"/>
      <c r="I847" s="44"/>
      <c r="J847" s="44"/>
      <c r="K847" s="44"/>
      <c r="L847" s="45"/>
      <c r="M847" s="46"/>
      <c r="N847" s="45"/>
      <c r="O847" s="47" t="str">
        <f aca="false">IF(OR($L847="",$M847=""),"",(DATE(Semana!$J$3,1,4)-WEEKDAY(DATE(Semana!$J$3,1,4),3))+($L847-1)*7+MATCH($M847,Listas!$F$5:$F$11,0)-1)</f>
        <v/>
      </c>
      <c r="P847" s="47" t="str">
        <f aca="false">IF(OR($F847="",$O847=""),"",$O847+MAX(0,ROUNDUP($AK847*MAX(1,IF($N847="",1,$N847))/MAX(1,$AL847),0)-1))</f>
        <v/>
      </c>
      <c r="Q847" s="48"/>
      <c r="R847" s="43"/>
      <c r="S847" s="49"/>
      <c r="T847" s="42"/>
      <c r="U847" s="42"/>
      <c r="V847" s="39" t="str">
        <f aca="false">IF($F847="","",IF(ISNUMBER(SEARCH("(externo)",$I847&amp;$J847&amp;$K847)),"Terceirizada","Interna"))</f>
        <v/>
      </c>
      <c r="W847" s="47" t="str">
        <f aca="false">IF($O847="","",IF($S847="",$O847,(DATE(Semana!$J$3,1,4)-WEEKDAY(DATE(Semana!$J$3,1,4),3))+($S847-1)*7+IF($M847="",0,MATCH($M847,Listas!$F$5:$F$11,0)-1)))</f>
        <v/>
      </c>
      <c r="X847" s="39" t="str">
        <f aca="false">IF($F847="","",IF(OR($AT847="",$O847=""),0,IF($AT847&lt;=$O847,1,0)))</f>
        <v/>
      </c>
      <c r="Y847" s="39" t="str">
        <f aca="false">IF($F847="","",IF(OR($AT847="",$W847=""),0,IF($AT847&lt;=$W847,1,0)))</f>
        <v/>
      </c>
      <c r="Z847" s="39" t="str">
        <f aca="false">IF(OR($AT847="",$O847=""),"",MAX(0,$AT847-$O847))</f>
        <v/>
      </c>
      <c r="AA847" s="39" t="str">
        <f aca="false">IF($F847="","",IF(AND($S847&lt;&gt;"",$L847&lt;&gt;"",$S847&lt;&gt;$L847),1,0))</f>
        <v/>
      </c>
      <c r="AB847" s="39" t="str">
        <f aca="false">IF($F847="","",IF($R847="Cancelada",0,IF(OR($AT847&lt;&gt;"",$R847="Concluída"),1,0)))</f>
        <v/>
      </c>
      <c r="AC847" s="39" t="n">
        <f aca="false">IF($P847="",0,IF($P847&lt;Hoje!$L$1,1,IF(AND($P847=Hoje!$L$1,Hoje!$L$2&gt;Semana!$M$3),1,0)))</f>
        <v>0</v>
      </c>
      <c r="AD847" s="39" t="str">
        <f aca="false">IF($F847="","",IF(COUNTA($I847:$K847)=0,0,1/COUNTA($I847:$K847)))</f>
        <v/>
      </c>
      <c r="AE847" s="39" t="str">
        <f aca="false">IF($AH847=0,"",SUM($AH$4:$AH847))</f>
        <v/>
      </c>
      <c r="AF847" s="39" t="str">
        <f aca="false">IF($AI847=0,"",SUM($AI$4:$AI847))</f>
        <v/>
      </c>
      <c r="AG847" s="50" t="str">
        <f aca="false">IF($F847="","",$I847&amp;IF($J847="",""," · "&amp;$J847)&amp;IF($K847="",""," · "&amp;$K847))</f>
        <v/>
      </c>
      <c r="AH847" s="39" t="n">
        <f aca="false">IF(AND($F847&lt;&gt;"",$O847&lt;&gt;"",$O847&lt;=Hoje!$C$3,$P847&gt;=Hoje!$C$3,$R847&lt;&gt;"Cancelada"),1,0)</f>
        <v>0</v>
      </c>
      <c r="AI847" s="39" t="n">
        <f aca="false">IF(AND($F847&lt;&gt;"",$P847&lt;&gt;"",$P847&lt;Hoje!$C$3,$AB847=0,$R847&lt;&gt;"Cancelada"),1,0)</f>
        <v>0</v>
      </c>
      <c r="AJ847" s="50" t="str">
        <f aca="false">IF($F847="","",$D847&amp;"|"&amp;$E847&amp;"|"&amp;$L847)</f>
        <v/>
      </c>
      <c r="AK847" s="39" t="str">
        <f aca="false">IF($AJ847="","",COUNTIF($AJ$4:$AJ847,$AJ847))</f>
        <v/>
      </c>
      <c r="AL847" s="39" t="str">
        <f aca="false">IF($AJ847="","",COUNTIF($AJ$4:$AJ$1004,$AJ847))</f>
        <v/>
      </c>
      <c r="AM847" s="42"/>
      <c r="AN847" s="50" t="str">
        <f aca="false">IF($D847="","",IFERROR(T(VLOOKUP($D847,Listas!$B$5:$H$120,7,0)),""))</f>
        <v/>
      </c>
      <c r="AO847" s="50" t="str">
        <f aca="false">IF(OR($F847="",$L847&lt;&gt;"",$R847="Cancelada",$AT847&lt;&gt;""),"",$AN847&amp;"|"&amp;$D847&amp;"|"&amp;IF($C847="","zzz",$C847)&amp;"|"&amp;TEXT(847,"0000"))</f>
        <v/>
      </c>
      <c r="AP847" s="50" t="str">
        <f aca="false">IF($AO847="","",COUNTIF($AO$5:$AO$1004,"&lt;"&amp;$AO847)-(ROWS($AO$5:$AO$1004)-Hoje!$L$5)+1)</f>
        <v/>
      </c>
      <c r="AQ847" s="50" t="n">
        <f aca="false">IF(AND($F847&lt;&gt;"",$D847=Frota!$C$3),1,0)</f>
        <v>0</v>
      </c>
      <c r="AR847" s="50" t="str">
        <f aca="false">IF($AQ847=0,"",SUM($AQ$4:$AQ847))</f>
        <v/>
      </c>
      <c r="AS847" s="50" t="str">
        <f aca="false">IFERROR(INDEX(Hoje!$K$10:$K$29,MATCH(ROW(),Hoje!$J$10:$J$29,0)),"")</f>
        <v/>
      </c>
      <c r="AT847" s="50" t="str">
        <f aca="false">IF($Q847&lt;&gt;"",$Q847,$AS847)</f>
        <v/>
      </c>
    </row>
    <row r="848" customFormat="false" ht="16.5" hidden="false" customHeight="true" outlineLevel="0" collapsed="false">
      <c r="A848" s="39" t="str">
        <f aca="false">IF($F848="","",ROW())</f>
        <v/>
      </c>
      <c r="B848" s="40" t="str">
        <f aca="false">IF($F848="",IF($D848="","","Falta a atividade"),IF($R848="Cancelada","Cancelada",IF($AB848=1,IF(N($Z848)&gt;0,"Concluída com atraso","Concluída"),IF($R848="Em programação","Em programação",IF($O848="",IF($M848="","Na carteira","Falta a semana"),IF($AC848=1,"VENCIDA",IF($O848&gt;Hoje!$L$1,"Programada",IF($P848&gt;Hoje!$L$1,"Em execução","Fecha hoje"))))))))</f>
        <v/>
      </c>
      <c r="C848" s="41"/>
      <c r="D848" s="42"/>
      <c r="E848" s="42"/>
      <c r="F848" s="42"/>
      <c r="G848" s="43"/>
      <c r="H848" s="43"/>
      <c r="I848" s="44"/>
      <c r="J848" s="44"/>
      <c r="K848" s="44"/>
      <c r="L848" s="45"/>
      <c r="M848" s="46"/>
      <c r="N848" s="45"/>
      <c r="O848" s="47" t="str">
        <f aca="false">IF(OR($L848="",$M848=""),"",(DATE(Semana!$J$3,1,4)-WEEKDAY(DATE(Semana!$J$3,1,4),3))+($L848-1)*7+MATCH($M848,Listas!$F$5:$F$11,0)-1)</f>
        <v/>
      </c>
      <c r="P848" s="47" t="str">
        <f aca="false">IF(OR($F848="",$O848=""),"",$O848+MAX(0,ROUNDUP($AK848*MAX(1,IF($N848="",1,$N848))/MAX(1,$AL848),0)-1))</f>
        <v/>
      </c>
      <c r="Q848" s="48"/>
      <c r="R848" s="43"/>
      <c r="S848" s="49"/>
      <c r="T848" s="42"/>
      <c r="U848" s="42"/>
      <c r="V848" s="39" t="str">
        <f aca="false">IF($F848="","",IF(ISNUMBER(SEARCH("(externo)",$I848&amp;$J848&amp;$K848)),"Terceirizada","Interna"))</f>
        <v/>
      </c>
      <c r="W848" s="47" t="str">
        <f aca="false">IF($O848="","",IF($S848="",$O848,(DATE(Semana!$J$3,1,4)-WEEKDAY(DATE(Semana!$J$3,1,4),3))+($S848-1)*7+IF($M848="",0,MATCH($M848,Listas!$F$5:$F$11,0)-1)))</f>
        <v/>
      </c>
      <c r="X848" s="39" t="str">
        <f aca="false">IF($F848="","",IF(OR($AT848="",$O848=""),0,IF($AT848&lt;=$O848,1,0)))</f>
        <v/>
      </c>
      <c r="Y848" s="39" t="str">
        <f aca="false">IF($F848="","",IF(OR($AT848="",$W848=""),0,IF($AT848&lt;=$W848,1,0)))</f>
        <v/>
      </c>
      <c r="Z848" s="39" t="str">
        <f aca="false">IF(OR($AT848="",$O848=""),"",MAX(0,$AT848-$O848))</f>
        <v/>
      </c>
      <c r="AA848" s="39" t="str">
        <f aca="false">IF($F848="","",IF(AND($S848&lt;&gt;"",$L848&lt;&gt;"",$S848&lt;&gt;$L848),1,0))</f>
        <v/>
      </c>
      <c r="AB848" s="39" t="str">
        <f aca="false">IF($F848="","",IF($R848="Cancelada",0,IF(OR($AT848&lt;&gt;"",$R848="Concluída"),1,0)))</f>
        <v/>
      </c>
      <c r="AC848" s="39" t="n">
        <f aca="false">IF($P848="",0,IF($P848&lt;Hoje!$L$1,1,IF(AND($P848=Hoje!$L$1,Hoje!$L$2&gt;Semana!$M$3),1,0)))</f>
        <v>0</v>
      </c>
      <c r="AD848" s="39" t="str">
        <f aca="false">IF($F848="","",IF(COUNTA($I848:$K848)=0,0,1/COUNTA($I848:$K848)))</f>
        <v/>
      </c>
      <c r="AE848" s="39" t="str">
        <f aca="false">IF($AH848=0,"",SUM($AH$4:$AH848))</f>
        <v/>
      </c>
      <c r="AF848" s="39" t="str">
        <f aca="false">IF($AI848=0,"",SUM($AI$4:$AI848))</f>
        <v/>
      </c>
      <c r="AG848" s="50" t="str">
        <f aca="false">IF($F848="","",$I848&amp;IF($J848="",""," · "&amp;$J848)&amp;IF($K848="",""," · "&amp;$K848))</f>
        <v/>
      </c>
      <c r="AH848" s="39" t="n">
        <f aca="false">IF(AND($F848&lt;&gt;"",$O848&lt;&gt;"",$O848&lt;=Hoje!$C$3,$P848&gt;=Hoje!$C$3,$R848&lt;&gt;"Cancelada"),1,0)</f>
        <v>0</v>
      </c>
      <c r="AI848" s="39" t="n">
        <f aca="false">IF(AND($F848&lt;&gt;"",$P848&lt;&gt;"",$P848&lt;Hoje!$C$3,$AB848=0,$R848&lt;&gt;"Cancelada"),1,0)</f>
        <v>0</v>
      </c>
      <c r="AJ848" s="50" t="str">
        <f aca="false">IF($F848="","",$D848&amp;"|"&amp;$E848&amp;"|"&amp;$L848)</f>
        <v/>
      </c>
      <c r="AK848" s="39" t="str">
        <f aca="false">IF($AJ848="","",COUNTIF($AJ$4:$AJ848,$AJ848))</f>
        <v/>
      </c>
      <c r="AL848" s="39" t="str">
        <f aca="false">IF($AJ848="","",COUNTIF($AJ$4:$AJ$1004,$AJ848))</f>
        <v/>
      </c>
      <c r="AM848" s="42"/>
      <c r="AN848" s="50" t="str">
        <f aca="false">IF($D848="","",IFERROR(T(VLOOKUP($D848,Listas!$B$5:$H$120,7,0)),""))</f>
        <v/>
      </c>
      <c r="AO848" s="50" t="str">
        <f aca="false">IF(OR($F848="",$L848&lt;&gt;"",$R848="Cancelada",$AT848&lt;&gt;""),"",$AN848&amp;"|"&amp;$D848&amp;"|"&amp;IF($C848="","zzz",$C848)&amp;"|"&amp;TEXT(848,"0000"))</f>
        <v/>
      </c>
      <c r="AP848" s="50" t="str">
        <f aca="false">IF($AO848="","",COUNTIF($AO$5:$AO$1004,"&lt;"&amp;$AO848)-(ROWS($AO$5:$AO$1004)-Hoje!$L$5)+1)</f>
        <v/>
      </c>
      <c r="AQ848" s="50" t="n">
        <f aca="false">IF(AND($F848&lt;&gt;"",$D848=Frota!$C$3),1,0)</f>
        <v>0</v>
      </c>
      <c r="AR848" s="50" t="str">
        <f aca="false">IF($AQ848=0,"",SUM($AQ$4:$AQ848))</f>
        <v/>
      </c>
      <c r="AS848" s="50" t="str">
        <f aca="false">IFERROR(INDEX(Hoje!$K$10:$K$29,MATCH(ROW(),Hoje!$J$10:$J$29,0)),"")</f>
        <v/>
      </c>
      <c r="AT848" s="50" t="str">
        <f aca="false">IF($Q848&lt;&gt;"",$Q848,$AS848)</f>
        <v/>
      </c>
    </row>
    <row r="849" customFormat="false" ht="16.5" hidden="false" customHeight="true" outlineLevel="0" collapsed="false">
      <c r="A849" s="39" t="str">
        <f aca="false">IF($F849="","",ROW())</f>
        <v/>
      </c>
      <c r="B849" s="40" t="str">
        <f aca="false">IF($F849="",IF($D849="","","Falta a atividade"),IF($R849="Cancelada","Cancelada",IF($AB849=1,IF(N($Z849)&gt;0,"Concluída com atraso","Concluída"),IF($R849="Em programação","Em programação",IF($O849="",IF($M849="","Na carteira","Falta a semana"),IF($AC849=1,"VENCIDA",IF($O849&gt;Hoje!$L$1,"Programada",IF($P849&gt;Hoje!$L$1,"Em execução","Fecha hoje"))))))))</f>
        <v/>
      </c>
      <c r="C849" s="41"/>
      <c r="D849" s="42"/>
      <c r="E849" s="42"/>
      <c r="F849" s="42"/>
      <c r="G849" s="43"/>
      <c r="H849" s="43"/>
      <c r="I849" s="44"/>
      <c r="J849" s="44"/>
      <c r="K849" s="44"/>
      <c r="L849" s="45"/>
      <c r="M849" s="46"/>
      <c r="N849" s="45"/>
      <c r="O849" s="47" t="str">
        <f aca="false">IF(OR($L849="",$M849=""),"",(DATE(Semana!$J$3,1,4)-WEEKDAY(DATE(Semana!$J$3,1,4),3))+($L849-1)*7+MATCH($M849,Listas!$F$5:$F$11,0)-1)</f>
        <v/>
      </c>
      <c r="P849" s="47" t="str">
        <f aca="false">IF(OR($F849="",$O849=""),"",$O849+MAX(0,ROUNDUP($AK849*MAX(1,IF($N849="",1,$N849))/MAX(1,$AL849),0)-1))</f>
        <v/>
      </c>
      <c r="Q849" s="48"/>
      <c r="R849" s="43"/>
      <c r="S849" s="49"/>
      <c r="T849" s="42"/>
      <c r="U849" s="42"/>
      <c r="V849" s="39" t="str">
        <f aca="false">IF($F849="","",IF(ISNUMBER(SEARCH("(externo)",$I849&amp;$J849&amp;$K849)),"Terceirizada","Interna"))</f>
        <v/>
      </c>
      <c r="W849" s="47" t="str">
        <f aca="false">IF($O849="","",IF($S849="",$O849,(DATE(Semana!$J$3,1,4)-WEEKDAY(DATE(Semana!$J$3,1,4),3))+($S849-1)*7+IF($M849="",0,MATCH($M849,Listas!$F$5:$F$11,0)-1)))</f>
        <v/>
      </c>
      <c r="X849" s="39" t="str">
        <f aca="false">IF($F849="","",IF(OR($AT849="",$O849=""),0,IF($AT849&lt;=$O849,1,0)))</f>
        <v/>
      </c>
      <c r="Y849" s="39" t="str">
        <f aca="false">IF($F849="","",IF(OR($AT849="",$W849=""),0,IF($AT849&lt;=$W849,1,0)))</f>
        <v/>
      </c>
      <c r="Z849" s="39" t="str">
        <f aca="false">IF(OR($AT849="",$O849=""),"",MAX(0,$AT849-$O849))</f>
        <v/>
      </c>
      <c r="AA849" s="39" t="str">
        <f aca="false">IF($F849="","",IF(AND($S849&lt;&gt;"",$L849&lt;&gt;"",$S849&lt;&gt;$L849),1,0))</f>
        <v/>
      </c>
      <c r="AB849" s="39" t="str">
        <f aca="false">IF($F849="","",IF($R849="Cancelada",0,IF(OR($AT849&lt;&gt;"",$R849="Concluída"),1,0)))</f>
        <v/>
      </c>
      <c r="AC849" s="39" t="n">
        <f aca="false">IF($P849="",0,IF($P849&lt;Hoje!$L$1,1,IF(AND($P849=Hoje!$L$1,Hoje!$L$2&gt;Semana!$M$3),1,0)))</f>
        <v>0</v>
      </c>
      <c r="AD849" s="39" t="str">
        <f aca="false">IF($F849="","",IF(COUNTA($I849:$K849)=0,0,1/COUNTA($I849:$K849)))</f>
        <v/>
      </c>
      <c r="AE849" s="39" t="str">
        <f aca="false">IF($AH849=0,"",SUM($AH$4:$AH849))</f>
        <v/>
      </c>
      <c r="AF849" s="39" t="str">
        <f aca="false">IF($AI849=0,"",SUM($AI$4:$AI849))</f>
        <v/>
      </c>
      <c r="AG849" s="50" t="str">
        <f aca="false">IF($F849="","",$I849&amp;IF($J849="",""," · "&amp;$J849)&amp;IF($K849="",""," · "&amp;$K849))</f>
        <v/>
      </c>
      <c r="AH849" s="39" t="n">
        <f aca="false">IF(AND($F849&lt;&gt;"",$O849&lt;&gt;"",$O849&lt;=Hoje!$C$3,$P849&gt;=Hoje!$C$3,$R849&lt;&gt;"Cancelada"),1,0)</f>
        <v>0</v>
      </c>
      <c r="AI849" s="39" t="n">
        <f aca="false">IF(AND($F849&lt;&gt;"",$P849&lt;&gt;"",$P849&lt;Hoje!$C$3,$AB849=0,$R849&lt;&gt;"Cancelada"),1,0)</f>
        <v>0</v>
      </c>
      <c r="AJ849" s="50" t="str">
        <f aca="false">IF($F849="","",$D849&amp;"|"&amp;$E849&amp;"|"&amp;$L849)</f>
        <v/>
      </c>
      <c r="AK849" s="39" t="str">
        <f aca="false">IF($AJ849="","",COUNTIF($AJ$4:$AJ849,$AJ849))</f>
        <v/>
      </c>
      <c r="AL849" s="39" t="str">
        <f aca="false">IF($AJ849="","",COUNTIF($AJ$4:$AJ$1004,$AJ849))</f>
        <v/>
      </c>
      <c r="AM849" s="42"/>
      <c r="AN849" s="50" t="str">
        <f aca="false">IF($D849="","",IFERROR(T(VLOOKUP($D849,Listas!$B$5:$H$120,7,0)),""))</f>
        <v/>
      </c>
      <c r="AO849" s="50" t="str">
        <f aca="false">IF(OR($F849="",$L849&lt;&gt;"",$R849="Cancelada",$AT849&lt;&gt;""),"",$AN849&amp;"|"&amp;$D849&amp;"|"&amp;IF($C849="","zzz",$C849)&amp;"|"&amp;TEXT(849,"0000"))</f>
        <v/>
      </c>
      <c r="AP849" s="50" t="str">
        <f aca="false">IF($AO849="","",COUNTIF($AO$5:$AO$1004,"&lt;"&amp;$AO849)-(ROWS($AO$5:$AO$1004)-Hoje!$L$5)+1)</f>
        <v/>
      </c>
      <c r="AQ849" s="50" t="n">
        <f aca="false">IF(AND($F849&lt;&gt;"",$D849=Frota!$C$3),1,0)</f>
        <v>0</v>
      </c>
      <c r="AR849" s="50" t="str">
        <f aca="false">IF($AQ849=0,"",SUM($AQ$4:$AQ849))</f>
        <v/>
      </c>
      <c r="AS849" s="50" t="str">
        <f aca="false">IFERROR(INDEX(Hoje!$K$10:$K$29,MATCH(ROW(),Hoje!$J$10:$J$29,0)),"")</f>
        <v/>
      </c>
      <c r="AT849" s="50" t="str">
        <f aca="false">IF($Q849&lt;&gt;"",$Q849,$AS849)</f>
        <v/>
      </c>
    </row>
    <row r="850" customFormat="false" ht="16.5" hidden="false" customHeight="true" outlineLevel="0" collapsed="false">
      <c r="A850" s="39" t="str">
        <f aca="false">IF($F850="","",ROW())</f>
        <v/>
      </c>
      <c r="B850" s="40" t="str">
        <f aca="false">IF($F850="",IF($D850="","","Falta a atividade"),IF($R850="Cancelada","Cancelada",IF($AB850=1,IF(N($Z850)&gt;0,"Concluída com atraso","Concluída"),IF($R850="Em programação","Em programação",IF($O850="",IF($M850="","Na carteira","Falta a semana"),IF($AC850=1,"VENCIDA",IF($O850&gt;Hoje!$L$1,"Programada",IF($P850&gt;Hoje!$L$1,"Em execução","Fecha hoje"))))))))</f>
        <v/>
      </c>
      <c r="C850" s="41"/>
      <c r="D850" s="42"/>
      <c r="E850" s="42"/>
      <c r="F850" s="42"/>
      <c r="G850" s="43"/>
      <c r="H850" s="43"/>
      <c r="I850" s="44"/>
      <c r="J850" s="44"/>
      <c r="K850" s="44"/>
      <c r="L850" s="45"/>
      <c r="M850" s="46"/>
      <c r="N850" s="45"/>
      <c r="O850" s="47" t="str">
        <f aca="false">IF(OR($L850="",$M850=""),"",(DATE(Semana!$J$3,1,4)-WEEKDAY(DATE(Semana!$J$3,1,4),3))+($L850-1)*7+MATCH($M850,Listas!$F$5:$F$11,0)-1)</f>
        <v/>
      </c>
      <c r="P850" s="47" t="str">
        <f aca="false">IF(OR($F850="",$O850=""),"",$O850+MAX(0,ROUNDUP($AK850*MAX(1,IF($N850="",1,$N850))/MAX(1,$AL850),0)-1))</f>
        <v/>
      </c>
      <c r="Q850" s="48"/>
      <c r="R850" s="43"/>
      <c r="S850" s="49"/>
      <c r="T850" s="42"/>
      <c r="U850" s="42"/>
      <c r="V850" s="39" t="str">
        <f aca="false">IF($F850="","",IF(ISNUMBER(SEARCH("(externo)",$I850&amp;$J850&amp;$K850)),"Terceirizada","Interna"))</f>
        <v/>
      </c>
      <c r="W850" s="47" t="str">
        <f aca="false">IF($O850="","",IF($S850="",$O850,(DATE(Semana!$J$3,1,4)-WEEKDAY(DATE(Semana!$J$3,1,4),3))+($S850-1)*7+IF($M850="",0,MATCH($M850,Listas!$F$5:$F$11,0)-1)))</f>
        <v/>
      </c>
      <c r="X850" s="39" t="str">
        <f aca="false">IF($F850="","",IF(OR($AT850="",$O850=""),0,IF($AT850&lt;=$O850,1,0)))</f>
        <v/>
      </c>
      <c r="Y850" s="39" t="str">
        <f aca="false">IF($F850="","",IF(OR($AT850="",$W850=""),0,IF($AT850&lt;=$W850,1,0)))</f>
        <v/>
      </c>
      <c r="Z850" s="39" t="str">
        <f aca="false">IF(OR($AT850="",$O850=""),"",MAX(0,$AT850-$O850))</f>
        <v/>
      </c>
      <c r="AA850" s="39" t="str">
        <f aca="false">IF($F850="","",IF(AND($S850&lt;&gt;"",$L850&lt;&gt;"",$S850&lt;&gt;$L850),1,0))</f>
        <v/>
      </c>
      <c r="AB850" s="39" t="str">
        <f aca="false">IF($F850="","",IF($R850="Cancelada",0,IF(OR($AT850&lt;&gt;"",$R850="Concluída"),1,0)))</f>
        <v/>
      </c>
      <c r="AC850" s="39" t="n">
        <f aca="false">IF($P850="",0,IF($P850&lt;Hoje!$L$1,1,IF(AND($P850=Hoje!$L$1,Hoje!$L$2&gt;Semana!$M$3),1,0)))</f>
        <v>0</v>
      </c>
      <c r="AD850" s="39" t="str">
        <f aca="false">IF($F850="","",IF(COUNTA($I850:$K850)=0,0,1/COUNTA($I850:$K850)))</f>
        <v/>
      </c>
      <c r="AE850" s="39" t="str">
        <f aca="false">IF($AH850=0,"",SUM($AH$4:$AH850))</f>
        <v/>
      </c>
      <c r="AF850" s="39" t="str">
        <f aca="false">IF($AI850=0,"",SUM($AI$4:$AI850))</f>
        <v/>
      </c>
      <c r="AG850" s="50" t="str">
        <f aca="false">IF($F850="","",$I850&amp;IF($J850="",""," · "&amp;$J850)&amp;IF($K850="",""," · "&amp;$K850))</f>
        <v/>
      </c>
      <c r="AH850" s="39" t="n">
        <f aca="false">IF(AND($F850&lt;&gt;"",$O850&lt;&gt;"",$O850&lt;=Hoje!$C$3,$P850&gt;=Hoje!$C$3,$R850&lt;&gt;"Cancelada"),1,0)</f>
        <v>0</v>
      </c>
      <c r="AI850" s="39" t="n">
        <f aca="false">IF(AND($F850&lt;&gt;"",$P850&lt;&gt;"",$P850&lt;Hoje!$C$3,$AB850=0,$R850&lt;&gt;"Cancelada"),1,0)</f>
        <v>0</v>
      </c>
      <c r="AJ850" s="50" t="str">
        <f aca="false">IF($F850="","",$D850&amp;"|"&amp;$E850&amp;"|"&amp;$L850)</f>
        <v/>
      </c>
      <c r="AK850" s="39" t="str">
        <f aca="false">IF($AJ850="","",COUNTIF($AJ$4:$AJ850,$AJ850))</f>
        <v/>
      </c>
      <c r="AL850" s="39" t="str">
        <f aca="false">IF($AJ850="","",COUNTIF($AJ$4:$AJ$1004,$AJ850))</f>
        <v/>
      </c>
      <c r="AM850" s="42"/>
      <c r="AN850" s="50" t="str">
        <f aca="false">IF($D850="","",IFERROR(T(VLOOKUP($D850,Listas!$B$5:$H$120,7,0)),""))</f>
        <v/>
      </c>
      <c r="AO850" s="50" t="str">
        <f aca="false">IF(OR($F850="",$L850&lt;&gt;"",$R850="Cancelada",$AT850&lt;&gt;""),"",$AN850&amp;"|"&amp;$D850&amp;"|"&amp;IF($C850="","zzz",$C850)&amp;"|"&amp;TEXT(850,"0000"))</f>
        <v/>
      </c>
      <c r="AP850" s="50" t="str">
        <f aca="false">IF($AO850="","",COUNTIF($AO$5:$AO$1004,"&lt;"&amp;$AO850)-(ROWS($AO$5:$AO$1004)-Hoje!$L$5)+1)</f>
        <v/>
      </c>
      <c r="AQ850" s="50" t="n">
        <f aca="false">IF(AND($F850&lt;&gt;"",$D850=Frota!$C$3),1,0)</f>
        <v>0</v>
      </c>
      <c r="AR850" s="50" t="str">
        <f aca="false">IF($AQ850=0,"",SUM($AQ$4:$AQ850))</f>
        <v/>
      </c>
      <c r="AS850" s="50" t="str">
        <f aca="false">IFERROR(INDEX(Hoje!$K$10:$K$29,MATCH(ROW(),Hoje!$J$10:$J$29,0)),"")</f>
        <v/>
      </c>
      <c r="AT850" s="50" t="str">
        <f aca="false">IF($Q850&lt;&gt;"",$Q850,$AS850)</f>
        <v/>
      </c>
    </row>
    <row r="851" customFormat="false" ht="16.5" hidden="false" customHeight="true" outlineLevel="0" collapsed="false">
      <c r="A851" s="39" t="str">
        <f aca="false">IF($F851="","",ROW())</f>
        <v/>
      </c>
      <c r="B851" s="40" t="str">
        <f aca="false">IF($F851="",IF($D851="","","Falta a atividade"),IF($R851="Cancelada","Cancelada",IF($AB851=1,IF(N($Z851)&gt;0,"Concluída com atraso","Concluída"),IF($R851="Em programação","Em programação",IF($O851="",IF($M851="","Na carteira","Falta a semana"),IF($AC851=1,"VENCIDA",IF($O851&gt;Hoje!$L$1,"Programada",IF($P851&gt;Hoje!$L$1,"Em execução","Fecha hoje"))))))))</f>
        <v/>
      </c>
      <c r="C851" s="41"/>
      <c r="D851" s="42"/>
      <c r="E851" s="42"/>
      <c r="F851" s="42"/>
      <c r="G851" s="43"/>
      <c r="H851" s="43"/>
      <c r="I851" s="44"/>
      <c r="J851" s="44"/>
      <c r="K851" s="44"/>
      <c r="L851" s="45"/>
      <c r="M851" s="46"/>
      <c r="N851" s="45"/>
      <c r="O851" s="47" t="str">
        <f aca="false">IF(OR($L851="",$M851=""),"",(DATE(Semana!$J$3,1,4)-WEEKDAY(DATE(Semana!$J$3,1,4),3))+($L851-1)*7+MATCH($M851,Listas!$F$5:$F$11,0)-1)</f>
        <v/>
      </c>
      <c r="P851" s="47" t="str">
        <f aca="false">IF(OR($F851="",$O851=""),"",$O851+MAX(0,ROUNDUP($AK851*MAX(1,IF($N851="",1,$N851))/MAX(1,$AL851),0)-1))</f>
        <v/>
      </c>
      <c r="Q851" s="48"/>
      <c r="R851" s="43"/>
      <c r="S851" s="49"/>
      <c r="T851" s="42"/>
      <c r="U851" s="42"/>
      <c r="V851" s="39" t="str">
        <f aca="false">IF($F851="","",IF(ISNUMBER(SEARCH("(externo)",$I851&amp;$J851&amp;$K851)),"Terceirizada","Interna"))</f>
        <v/>
      </c>
      <c r="W851" s="47" t="str">
        <f aca="false">IF($O851="","",IF($S851="",$O851,(DATE(Semana!$J$3,1,4)-WEEKDAY(DATE(Semana!$J$3,1,4),3))+($S851-1)*7+IF($M851="",0,MATCH($M851,Listas!$F$5:$F$11,0)-1)))</f>
        <v/>
      </c>
      <c r="X851" s="39" t="str">
        <f aca="false">IF($F851="","",IF(OR($AT851="",$O851=""),0,IF($AT851&lt;=$O851,1,0)))</f>
        <v/>
      </c>
      <c r="Y851" s="39" t="str">
        <f aca="false">IF($F851="","",IF(OR($AT851="",$W851=""),0,IF($AT851&lt;=$W851,1,0)))</f>
        <v/>
      </c>
      <c r="Z851" s="39" t="str">
        <f aca="false">IF(OR($AT851="",$O851=""),"",MAX(0,$AT851-$O851))</f>
        <v/>
      </c>
      <c r="AA851" s="39" t="str">
        <f aca="false">IF($F851="","",IF(AND($S851&lt;&gt;"",$L851&lt;&gt;"",$S851&lt;&gt;$L851),1,0))</f>
        <v/>
      </c>
      <c r="AB851" s="39" t="str">
        <f aca="false">IF($F851="","",IF($R851="Cancelada",0,IF(OR($AT851&lt;&gt;"",$R851="Concluída"),1,0)))</f>
        <v/>
      </c>
      <c r="AC851" s="39" t="n">
        <f aca="false">IF($P851="",0,IF($P851&lt;Hoje!$L$1,1,IF(AND($P851=Hoje!$L$1,Hoje!$L$2&gt;Semana!$M$3),1,0)))</f>
        <v>0</v>
      </c>
      <c r="AD851" s="39" t="str">
        <f aca="false">IF($F851="","",IF(COUNTA($I851:$K851)=0,0,1/COUNTA($I851:$K851)))</f>
        <v/>
      </c>
      <c r="AE851" s="39" t="str">
        <f aca="false">IF($AH851=0,"",SUM($AH$4:$AH851))</f>
        <v/>
      </c>
      <c r="AF851" s="39" t="str">
        <f aca="false">IF($AI851=0,"",SUM($AI$4:$AI851))</f>
        <v/>
      </c>
      <c r="AG851" s="50" t="str">
        <f aca="false">IF($F851="","",$I851&amp;IF($J851="",""," · "&amp;$J851)&amp;IF($K851="",""," · "&amp;$K851))</f>
        <v/>
      </c>
      <c r="AH851" s="39" t="n">
        <f aca="false">IF(AND($F851&lt;&gt;"",$O851&lt;&gt;"",$O851&lt;=Hoje!$C$3,$P851&gt;=Hoje!$C$3,$R851&lt;&gt;"Cancelada"),1,0)</f>
        <v>0</v>
      </c>
      <c r="AI851" s="39" t="n">
        <f aca="false">IF(AND($F851&lt;&gt;"",$P851&lt;&gt;"",$P851&lt;Hoje!$C$3,$AB851=0,$R851&lt;&gt;"Cancelada"),1,0)</f>
        <v>0</v>
      </c>
      <c r="AJ851" s="50" t="str">
        <f aca="false">IF($F851="","",$D851&amp;"|"&amp;$E851&amp;"|"&amp;$L851)</f>
        <v/>
      </c>
      <c r="AK851" s="39" t="str">
        <f aca="false">IF($AJ851="","",COUNTIF($AJ$4:$AJ851,$AJ851))</f>
        <v/>
      </c>
      <c r="AL851" s="39" t="str">
        <f aca="false">IF($AJ851="","",COUNTIF($AJ$4:$AJ$1004,$AJ851))</f>
        <v/>
      </c>
      <c r="AM851" s="42"/>
      <c r="AN851" s="50" t="str">
        <f aca="false">IF($D851="","",IFERROR(T(VLOOKUP($D851,Listas!$B$5:$H$120,7,0)),""))</f>
        <v/>
      </c>
      <c r="AO851" s="50" t="str">
        <f aca="false">IF(OR($F851="",$L851&lt;&gt;"",$R851="Cancelada",$AT851&lt;&gt;""),"",$AN851&amp;"|"&amp;$D851&amp;"|"&amp;IF($C851="","zzz",$C851)&amp;"|"&amp;TEXT(851,"0000"))</f>
        <v/>
      </c>
      <c r="AP851" s="50" t="str">
        <f aca="false">IF($AO851="","",COUNTIF($AO$5:$AO$1004,"&lt;"&amp;$AO851)-(ROWS($AO$5:$AO$1004)-Hoje!$L$5)+1)</f>
        <v/>
      </c>
      <c r="AQ851" s="50" t="n">
        <f aca="false">IF(AND($F851&lt;&gt;"",$D851=Frota!$C$3),1,0)</f>
        <v>0</v>
      </c>
      <c r="AR851" s="50" t="str">
        <f aca="false">IF($AQ851=0,"",SUM($AQ$4:$AQ851))</f>
        <v/>
      </c>
      <c r="AS851" s="50" t="str">
        <f aca="false">IFERROR(INDEX(Hoje!$K$10:$K$29,MATCH(ROW(),Hoje!$J$10:$J$29,0)),"")</f>
        <v/>
      </c>
      <c r="AT851" s="50" t="str">
        <f aca="false">IF($Q851&lt;&gt;"",$Q851,$AS851)</f>
        <v/>
      </c>
    </row>
    <row r="852" customFormat="false" ht="16.5" hidden="false" customHeight="true" outlineLevel="0" collapsed="false">
      <c r="A852" s="39" t="str">
        <f aca="false">IF($F852="","",ROW())</f>
        <v/>
      </c>
      <c r="B852" s="40" t="str">
        <f aca="false">IF($F852="",IF($D852="","","Falta a atividade"),IF($R852="Cancelada","Cancelada",IF($AB852=1,IF(N($Z852)&gt;0,"Concluída com atraso","Concluída"),IF($R852="Em programação","Em programação",IF($O852="",IF($M852="","Na carteira","Falta a semana"),IF($AC852=1,"VENCIDA",IF($O852&gt;Hoje!$L$1,"Programada",IF($P852&gt;Hoje!$L$1,"Em execução","Fecha hoje"))))))))</f>
        <v/>
      </c>
      <c r="C852" s="41"/>
      <c r="D852" s="42"/>
      <c r="E852" s="42"/>
      <c r="F852" s="42"/>
      <c r="G852" s="43"/>
      <c r="H852" s="43"/>
      <c r="I852" s="44"/>
      <c r="J852" s="44"/>
      <c r="K852" s="44"/>
      <c r="L852" s="45"/>
      <c r="M852" s="46"/>
      <c r="N852" s="45"/>
      <c r="O852" s="47" t="str">
        <f aca="false">IF(OR($L852="",$M852=""),"",(DATE(Semana!$J$3,1,4)-WEEKDAY(DATE(Semana!$J$3,1,4),3))+($L852-1)*7+MATCH($M852,Listas!$F$5:$F$11,0)-1)</f>
        <v/>
      </c>
      <c r="P852" s="47" t="str">
        <f aca="false">IF(OR($F852="",$O852=""),"",$O852+MAX(0,ROUNDUP($AK852*MAX(1,IF($N852="",1,$N852))/MAX(1,$AL852),0)-1))</f>
        <v/>
      </c>
      <c r="Q852" s="48"/>
      <c r="R852" s="43"/>
      <c r="S852" s="49"/>
      <c r="T852" s="42"/>
      <c r="U852" s="42"/>
      <c r="V852" s="39" t="str">
        <f aca="false">IF($F852="","",IF(ISNUMBER(SEARCH("(externo)",$I852&amp;$J852&amp;$K852)),"Terceirizada","Interna"))</f>
        <v/>
      </c>
      <c r="W852" s="47" t="str">
        <f aca="false">IF($O852="","",IF($S852="",$O852,(DATE(Semana!$J$3,1,4)-WEEKDAY(DATE(Semana!$J$3,1,4),3))+($S852-1)*7+IF($M852="",0,MATCH($M852,Listas!$F$5:$F$11,0)-1)))</f>
        <v/>
      </c>
      <c r="X852" s="39" t="str">
        <f aca="false">IF($F852="","",IF(OR($AT852="",$O852=""),0,IF($AT852&lt;=$O852,1,0)))</f>
        <v/>
      </c>
      <c r="Y852" s="39" t="str">
        <f aca="false">IF($F852="","",IF(OR($AT852="",$W852=""),0,IF($AT852&lt;=$W852,1,0)))</f>
        <v/>
      </c>
      <c r="Z852" s="39" t="str">
        <f aca="false">IF(OR($AT852="",$O852=""),"",MAX(0,$AT852-$O852))</f>
        <v/>
      </c>
      <c r="AA852" s="39" t="str">
        <f aca="false">IF($F852="","",IF(AND($S852&lt;&gt;"",$L852&lt;&gt;"",$S852&lt;&gt;$L852),1,0))</f>
        <v/>
      </c>
      <c r="AB852" s="39" t="str">
        <f aca="false">IF($F852="","",IF($R852="Cancelada",0,IF(OR($AT852&lt;&gt;"",$R852="Concluída"),1,0)))</f>
        <v/>
      </c>
      <c r="AC852" s="39" t="n">
        <f aca="false">IF($P852="",0,IF($P852&lt;Hoje!$L$1,1,IF(AND($P852=Hoje!$L$1,Hoje!$L$2&gt;Semana!$M$3),1,0)))</f>
        <v>0</v>
      </c>
      <c r="AD852" s="39" t="str">
        <f aca="false">IF($F852="","",IF(COUNTA($I852:$K852)=0,0,1/COUNTA($I852:$K852)))</f>
        <v/>
      </c>
      <c r="AE852" s="39" t="str">
        <f aca="false">IF($AH852=0,"",SUM($AH$4:$AH852))</f>
        <v/>
      </c>
      <c r="AF852" s="39" t="str">
        <f aca="false">IF($AI852=0,"",SUM($AI$4:$AI852))</f>
        <v/>
      </c>
      <c r="AG852" s="50" t="str">
        <f aca="false">IF($F852="","",$I852&amp;IF($J852="",""," · "&amp;$J852)&amp;IF($K852="",""," · "&amp;$K852))</f>
        <v/>
      </c>
      <c r="AH852" s="39" t="n">
        <f aca="false">IF(AND($F852&lt;&gt;"",$O852&lt;&gt;"",$O852&lt;=Hoje!$C$3,$P852&gt;=Hoje!$C$3,$R852&lt;&gt;"Cancelada"),1,0)</f>
        <v>0</v>
      </c>
      <c r="AI852" s="39" t="n">
        <f aca="false">IF(AND($F852&lt;&gt;"",$P852&lt;&gt;"",$P852&lt;Hoje!$C$3,$AB852=0,$R852&lt;&gt;"Cancelada"),1,0)</f>
        <v>0</v>
      </c>
      <c r="AJ852" s="50" t="str">
        <f aca="false">IF($F852="","",$D852&amp;"|"&amp;$E852&amp;"|"&amp;$L852)</f>
        <v/>
      </c>
      <c r="AK852" s="39" t="str">
        <f aca="false">IF($AJ852="","",COUNTIF($AJ$4:$AJ852,$AJ852))</f>
        <v/>
      </c>
      <c r="AL852" s="39" t="str">
        <f aca="false">IF($AJ852="","",COUNTIF($AJ$4:$AJ$1004,$AJ852))</f>
        <v/>
      </c>
      <c r="AM852" s="42"/>
      <c r="AN852" s="50" t="str">
        <f aca="false">IF($D852="","",IFERROR(T(VLOOKUP($D852,Listas!$B$5:$H$120,7,0)),""))</f>
        <v/>
      </c>
      <c r="AO852" s="50" t="str">
        <f aca="false">IF(OR($F852="",$L852&lt;&gt;"",$R852="Cancelada",$AT852&lt;&gt;""),"",$AN852&amp;"|"&amp;$D852&amp;"|"&amp;IF($C852="","zzz",$C852)&amp;"|"&amp;TEXT(852,"0000"))</f>
        <v/>
      </c>
      <c r="AP852" s="50" t="str">
        <f aca="false">IF($AO852="","",COUNTIF($AO$5:$AO$1004,"&lt;"&amp;$AO852)-(ROWS($AO$5:$AO$1004)-Hoje!$L$5)+1)</f>
        <v/>
      </c>
      <c r="AQ852" s="50" t="n">
        <f aca="false">IF(AND($F852&lt;&gt;"",$D852=Frota!$C$3),1,0)</f>
        <v>0</v>
      </c>
      <c r="AR852" s="50" t="str">
        <f aca="false">IF($AQ852=0,"",SUM($AQ$4:$AQ852))</f>
        <v/>
      </c>
      <c r="AS852" s="50" t="str">
        <f aca="false">IFERROR(INDEX(Hoje!$K$10:$K$29,MATCH(ROW(),Hoje!$J$10:$J$29,0)),"")</f>
        <v/>
      </c>
      <c r="AT852" s="50" t="str">
        <f aca="false">IF($Q852&lt;&gt;"",$Q852,$AS852)</f>
        <v/>
      </c>
    </row>
    <row r="853" customFormat="false" ht="16.5" hidden="false" customHeight="true" outlineLevel="0" collapsed="false">
      <c r="A853" s="39" t="str">
        <f aca="false">IF($F853="","",ROW())</f>
        <v/>
      </c>
      <c r="B853" s="40" t="str">
        <f aca="false">IF($F853="",IF($D853="","","Falta a atividade"),IF($R853="Cancelada","Cancelada",IF($AB853=1,IF(N($Z853)&gt;0,"Concluída com atraso","Concluída"),IF($R853="Em programação","Em programação",IF($O853="",IF($M853="","Na carteira","Falta a semana"),IF($AC853=1,"VENCIDA",IF($O853&gt;Hoje!$L$1,"Programada",IF($P853&gt;Hoje!$L$1,"Em execução","Fecha hoje"))))))))</f>
        <v/>
      </c>
      <c r="C853" s="41"/>
      <c r="D853" s="42"/>
      <c r="E853" s="42"/>
      <c r="F853" s="42"/>
      <c r="G853" s="43"/>
      <c r="H853" s="43"/>
      <c r="I853" s="44"/>
      <c r="J853" s="44"/>
      <c r="K853" s="44"/>
      <c r="L853" s="45"/>
      <c r="M853" s="46"/>
      <c r="N853" s="45"/>
      <c r="O853" s="47" t="str">
        <f aca="false">IF(OR($L853="",$M853=""),"",(DATE(Semana!$J$3,1,4)-WEEKDAY(DATE(Semana!$J$3,1,4),3))+($L853-1)*7+MATCH($M853,Listas!$F$5:$F$11,0)-1)</f>
        <v/>
      </c>
      <c r="P853" s="47" t="str">
        <f aca="false">IF(OR($F853="",$O853=""),"",$O853+MAX(0,ROUNDUP($AK853*MAX(1,IF($N853="",1,$N853))/MAX(1,$AL853),0)-1))</f>
        <v/>
      </c>
      <c r="Q853" s="48"/>
      <c r="R853" s="43"/>
      <c r="S853" s="49"/>
      <c r="T853" s="42"/>
      <c r="U853" s="42"/>
      <c r="V853" s="39" t="str">
        <f aca="false">IF($F853="","",IF(ISNUMBER(SEARCH("(externo)",$I853&amp;$J853&amp;$K853)),"Terceirizada","Interna"))</f>
        <v/>
      </c>
      <c r="W853" s="47" t="str">
        <f aca="false">IF($O853="","",IF($S853="",$O853,(DATE(Semana!$J$3,1,4)-WEEKDAY(DATE(Semana!$J$3,1,4),3))+($S853-1)*7+IF($M853="",0,MATCH($M853,Listas!$F$5:$F$11,0)-1)))</f>
        <v/>
      </c>
      <c r="X853" s="39" t="str">
        <f aca="false">IF($F853="","",IF(OR($AT853="",$O853=""),0,IF($AT853&lt;=$O853,1,0)))</f>
        <v/>
      </c>
      <c r="Y853" s="39" t="str">
        <f aca="false">IF($F853="","",IF(OR($AT853="",$W853=""),0,IF($AT853&lt;=$W853,1,0)))</f>
        <v/>
      </c>
      <c r="Z853" s="39" t="str">
        <f aca="false">IF(OR($AT853="",$O853=""),"",MAX(0,$AT853-$O853))</f>
        <v/>
      </c>
      <c r="AA853" s="39" t="str">
        <f aca="false">IF($F853="","",IF(AND($S853&lt;&gt;"",$L853&lt;&gt;"",$S853&lt;&gt;$L853),1,0))</f>
        <v/>
      </c>
      <c r="AB853" s="39" t="str">
        <f aca="false">IF($F853="","",IF($R853="Cancelada",0,IF(OR($AT853&lt;&gt;"",$R853="Concluída"),1,0)))</f>
        <v/>
      </c>
      <c r="AC853" s="39" t="n">
        <f aca="false">IF($P853="",0,IF($P853&lt;Hoje!$L$1,1,IF(AND($P853=Hoje!$L$1,Hoje!$L$2&gt;Semana!$M$3),1,0)))</f>
        <v>0</v>
      </c>
      <c r="AD853" s="39" t="str">
        <f aca="false">IF($F853="","",IF(COUNTA($I853:$K853)=0,0,1/COUNTA($I853:$K853)))</f>
        <v/>
      </c>
      <c r="AE853" s="39" t="str">
        <f aca="false">IF($AH853=0,"",SUM($AH$4:$AH853))</f>
        <v/>
      </c>
      <c r="AF853" s="39" t="str">
        <f aca="false">IF($AI853=0,"",SUM($AI$4:$AI853))</f>
        <v/>
      </c>
      <c r="AG853" s="50" t="str">
        <f aca="false">IF($F853="","",$I853&amp;IF($J853="",""," · "&amp;$J853)&amp;IF($K853="",""," · "&amp;$K853))</f>
        <v/>
      </c>
      <c r="AH853" s="39" t="n">
        <f aca="false">IF(AND($F853&lt;&gt;"",$O853&lt;&gt;"",$O853&lt;=Hoje!$C$3,$P853&gt;=Hoje!$C$3,$R853&lt;&gt;"Cancelada"),1,0)</f>
        <v>0</v>
      </c>
      <c r="AI853" s="39" t="n">
        <f aca="false">IF(AND($F853&lt;&gt;"",$P853&lt;&gt;"",$P853&lt;Hoje!$C$3,$AB853=0,$R853&lt;&gt;"Cancelada"),1,0)</f>
        <v>0</v>
      </c>
      <c r="AJ853" s="50" t="str">
        <f aca="false">IF($F853="","",$D853&amp;"|"&amp;$E853&amp;"|"&amp;$L853)</f>
        <v/>
      </c>
      <c r="AK853" s="39" t="str">
        <f aca="false">IF($AJ853="","",COUNTIF($AJ$4:$AJ853,$AJ853))</f>
        <v/>
      </c>
      <c r="AL853" s="39" t="str">
        <f aca="false">IF($AJ853="","",COUNTIF($AJ$4:$AJ$1004,$AJ853))</f>
        <v/>
      </c>
      <c r="AM853" s="42"/>
      <c r="AN853" s="50" t="str">
        <f aca="false">IF($D853="","",IFERROR(T(VLOOKUP($D853,Listas!$B$5:$H$120,7,0)),""))</f>
        <v/>
      </c>
      <c r="AO853" s="50" t="str">
        <f aca="false">IF(OR($F853="",$L853&lt;&gt;"",$R853="Cancelada",$AT853&lt;&gt;""),"",$AN853&amp;"|"&amp;$D853&amp;"|"&amp;IF($C853="","zzz",$C853)&amp;"|"&amp;TEXT(853,"0000"))</f>
        <v/>
      </c>
      <c r="AP853" s="50" t="str">
        <f aca="false">IF($AO853="","",COUNTIF($AO$5:$AO$1004,"&lt;"&amp;$AO853)-(ROWS($AO$5:$AO$1004)-Hoje!$L$5)+1)</f>
        <v/>
      </c>
      <c r="AQ853" s="50" t="n">
        <f aca="false">IF(AND($F853&lt;&gt;"",$D853=Frota!$C$3),1,0)</f>
        <v>0</v>
      </c>
      <c r="AR853" s="50" t="str">
        <f aca="false">IF($AQ853=0,"",SUM($AQ$4:$AQ853))</f>
        <v/>
      </c>
      <c r="AS853" s="50" t="str">
        <f aca="false">IFERROR(INDEX(Hoje!$K$10:$K$29,MATCH(ROW(),Hoje!$J$10:$J$29,0)),"")</f>
        <v/>
      </c>
      <c r="AT853" s="50" t="str">
        <f aca="false">IF($Q853&lt;&gt;"",$Q853,$AS853)</f>
        <v/>
      </c>
    </row>
    <row r="854" customFormat="false" ht="16.5" hidden="false" customHeight="true" outlineLevel="0" collapsed="false">
      <c r="A854" s="39" t="str">
        <f aca="false">IF($F854="","",ROW())</f>
        <v/>
      </c>
      <c r="B854" s="40" t="str">
        <f aca="false">IF($F854="",IF($D854="","","Falta a atividade"),IF($R854="Cancelada","Cancelada",IF($AB854=1,IF(N($Z854)&gt;0,"Concluída com atraso","Concluída"),IF($R854="Em programação","Em programação",IF($O854="",IF($M854="","Na carteira","Falta a semana"),IF($AC854=1,"VENCIDA",IF($O854&gt;Hoje!$L$1,"Programada",IF($P854&gt;Hoje!$L$1,"Em execução","Fecha hoje"))))))))</f>
        <v/>
      </c>
      <c r="C854" s="41"/>
      <c r="D854" s="42"/>
      <c r="E854" s="42"/>
      <c r="F854" s="42"/>
      <c r="G854" s="43"/>
      <c r="H854" s="43"/>
      <c r="I854" s="44"/>
      <c r="J854" s="44"/>
      <c r="K854" s="44"/>
      <c r="L854" s="45"/>
      <c r="M854" s="46"/>
      <c r="N854" s="45"/>
      <c r="O854" s="47" t="str">
        <f aca="false">IF(OR($L854="",$M854=""),"",(DATE(Semana!$J$3,1,4)-WEEKDAY(DATE(Semana!$J$3,1,4),3))+($L854-1)*7+MATCH($M854,Listas!$F$5:$F$11,0)-1)</f>
        <v/>
      </c>
      <c r="P854" s="47" t="str">
        <f aca="false">IF(OR($F854="",$O854=""),"",$O854+MAX(0,ROUNDUP($AK854*MAX(1,IF($N854="",1,$N854))/MAX(1,$AL854),0)-1))</f>
        <v/>
      </c>
      <c r="Q854" s="48"/>
      <c r="R854" s="43"/>
      <c r="S854" s="49"/>
      <c r="T854" s="42"/>
      <c r="U854" s="42"/>
      <c r="V854" s="39" t="str">
        <f aca="false">IF($F854="","",IF(ISNUMBER(SEARCH("(externo)",$I854&amp;$J854&amp;$K854)),"Terceirizada","Interna"))</f>
        <v/>
      </c>
      <c r="W854" s="47" t="str">
        <f aca="false">IF($O854="","",IF($S854="",$O854,(DATE(Semana!$J$3,1,4)-WEEKDAY(DATE(Semana!$J$3,1,4),3))+($S854-1)*7+IF($M854="",0,MATCH($M854,Listas!$F$5:$F$11,0)-1)))</f>
        <v/>
      </c>
      <c r="X854" s="39" t="str">
        <f aca="false">IF($F854="","",IF(OR($AT854="",$O854=""),0,IF($AT854&lt;=$O854,1,0)))</f>
        <v/>
      </c>
      <c r="Y854" s="39" t="str">
        <f aca="false">IF($F854="","",IF(OR($AT854="",$W854=""),0,IF($AT854&lt;=$W854,1,0)))</f>
        <v/>
      </c>
      <c r="Z854" s="39" t="str">
        <f aca="false">IF(OR($AT854="",$O854=""),"",MAX(0,$AT854-$O854))</f>
        <v/>
      </c>
      <c r="AA854" s="39" t="str">
        <f aca="false">IF($F854="","",IF(AND($S854&lt;&gt;"",$L854&lt;&gt;"",$S854&lt;&gt;$L854),1,0))</f>
        <v/>
      </c>
      <c r="AB854" s="39" t="str">
        <f aca="false">IF($F854="","",IF($R854="Cancelada",0,IF(OR($AT854&lt;&gt;"",$R854="Concluída"),1,0)))</f>
        <v/>
      </c>
      <c r="AC854" s="39" t="n">
        <f aca="false">IF($P854="",0,IF($P854&lt;Hoje!$L$1,1,IF(AND($P854=Hoje!$L$1,Hoje!$L$2&gt;Semana!$M$3),1,0)))</f>
        <v>0</v>
      </c>
      <c r="AD854" s="39" t="str">
        <f aca="false">IF($F854="","",IF(COUNTA($I854:$K854)=0,0,1/COUNTA($I854:$K854)))</f>
        <v/>
      </c>
      <c r="AE854" s="39" t="str">
        <f aca="false">IF($AH854=0,"",SUM($AH$4:$AH854))</f>
        <v/>
      </c>
      <c r="AF854" s="39" t="str">
        <f aca="false">IF($AI854=0,"",SUM($AI$4:$AI854))</f>
        <v/>
      </c>
      <c r="AG854" s="50" t="str">
        <f aca="false">IF($F854="","",$I854&amp;IF($J854="",""," · "&amp;$J854)&amp;IF($K854="",""," · "&amp;$K854))</f>
        <v/>
      </c>
      <c r="AH854" s="39" t="n">
        <f aca="false">IF(AND($F854&lt;&gt;"",$O854&lt;&gt;"",$O854&lt;=Hoje!$C$3,$P854&gt;=Hoje!$C$3,$R854&lt;&gt;"Cancelada"),1,0)</f>
        <v>0</v>
      </c>
      <c r="AI854" s="39" t="n">
        <f aca="false">IF(AND($F854&lt;&gt;"",$P854&lt;&gt;"",$P854&lt;Hoje!$C$3,$AB854=0,$R854&lt;&gt;"Cancelada"),1,0)</f>
        <v>0</v>
      </c>
      <c r="AJ854" s="50" t="str">
        <f aca="false">IF($F854="","",$D854&amp;"|"&amp;$E854&amp;"|"&amp;$L854)</f>
        <v/>
      </c>
      <c r="AK854" s="39" t="str">
        <f aca="false">IF($AJ854="","",COUNTIF($AJ$4:$AJ854,$AJ854))</f>
        <v/>
      </c>
      <c r="AL854" s="39" t="str">
        <f aca="false">IF($AJ854="","",COUNTIF($AJ$4:$AJ$1004,$AJ854))</f>
        <v/>
      </c>
      <c r="AM854" s="42"/>
      <c r="AN854" s="50" t="str">
        <f aca="false">IF($D854="","",IFERROR(T(VLOOKUP($D854,Listas!$B$5:$H$120,7,0)),""))</f>
        <v/>
      </c>
      <c r="AO854" s="50" t="str">
        <f aca="false">IF(OR($F854="",$L854&lt;&gt;"",$R854="Cancelada",$AT854&lt;&gt;""),"",$AN854&amp;"|"&amp;$D854&amp;"|"&amp;IF($C854="","zzz",$C854)&amp;"|"&amp;TEXT(854,"0000"))</f>
        <v/>
      </c>
      <c r="AP854" s="50" t="str">
        <f aca="false">IF($AO854="","",COUNTIF($AO$5:$AO$1004,"&lt;"&amp;$AO854)-(ROWS($AO$5:$AO$1004)-Hoje!$L$5)+1)</f>
        <v/>
      </c>
      <c r="AQ854" s="50" t="n">
        <f aca="false">IF(AND($F854&lt;&gt;"",$D854=Frota!$C$3),1,0)</f>
        <v>0</v>
      </c>
      <c r="AR854" s="50" t="str">
        <f aca="false">IF($AQ854=0,"",SUM($AQ$4:$AQ854))</f>
        <v/>
      </c>
      <c r="AS854" s="50" t="str">
        <f aca="false">IFERROR(INDEX(Hoje!$K$10:$K$29,MATCH(ROW(),Hoje!$J$10:$J$29,0)),"")</f>
        <v/>
      </c>
      <c r="AT854" s="50" t="str">
        <f aca="false">IF($Q854&lt;&gt;"",$Q854,$AS854)</f>
        <v/>
      </c>
    </row>
    <row r="855" customFormat="false" ht="16.5" hidden="false" customHeight="true" outlineLevel="0" collapsed="false">
      <c r="A855" s="39" t="str">
        <f aca="false">IF($F855="","",ROW())</f>
        <v/>
      </c>
      <c r="B855" s="40" t="str">
        <f aca="false">IF($F855="",IF($D855="","","Falta a atividade"),IF($R855="Cancelada","Cancelada",IF($AB855=1,IF(N($Z855)&gt;0,"Concluída com atraso","Concluída"),IF($R855="Em programação","Em programação",IF($O855="",IF($M855="","Na carteira","Falta a semana"),IF($AC855=1,"VENCIDA",IF($O855&gt;Hoje!$L$1,"Programada",IF($P855&gt;Hoje!$L$1,"Em execução","Fecha hoje"))))))))</f>
        <v/>
      </c>
      <c r="C855" s="41"/>
      <c r="D855" s="42"/>
      <c r="E855" s="42"/>
      <c r="F855" s="42"/>
      <c r="G855" s="43"/>
      <c r="H855" s="43"/>
      <c r="I855" s="44"/>
      <c r="J855" s="44"/>
      <c r="K855" s="44"/>
      <c r="L855" s="45"/>
      <c r="M855" s="46"/>
      <c r="N855" s="45"/>
      <c r="O855" s="47" t="str">
        <f aca="false">IF(OR($L855="",$M855=""),"",(DATE(Semana!$J$3,1,4)-WEEKDAY(DATE(Semana!$J$3,1,4),3))+($L855-1)*7+MATCH($M855,Listas!$F$5:$F$11,0)-1)</f>
        <v/>
      </c>
      <c r="P855" s="47" t="str">
        <f aca="false">IF(OR($F855="",$O855=""),"",$O855+MAX(0,ROUNDUP($AK855*MAX(1,IF($N855="",1,$N855))/MAX(1,$AL855),0)-1))</f>
        <v/>
      </c>
      <c r="Q855" s="48"/>
      <c r="R855" s="43"/>
      <c r="S855" s="49"/>
      <c r="T855" s="42"/>
      <c r="U855" s="42"/>
      <c r="V855" s="39" t="str">
        <f aca="false">IF($F855="","",IF(ISNUMBER(SEARCH("(externo)",$I855&amp;$J855&amp;$K855)),"Terceirizada","Interna"))</f>
        <v/>
      </c>
      <c r="W855" s="47" t="str">
        <f aca="false">IF($O855="","",IF($S855="",$O855,(DATE(Semana!$J$3,1,4)-WEEKDAY(DATE(Semana!$J$3,1,4),3))+($S855-1)*7+IF($M855="",0,MATCH($M855,Listas!$F$5:$F$11,0)-1)))</f>
        <v/>
      </c>
      <c r="X855" s="39" t="str">
        <f aca="false">IF($F855="","",IF(OR($AT855="",$O855=""),0,IF($AT855&lt;=$O855,1,0)))</f>
        <v/>
      </c>
      <c r="Y855" s="39" t="str">
        <f aca="false">IF($F855="","",IF(OR($AT855="",$W855=""),0,IF($AT855&lt;=$W855,1,0)))</f>
        <v/>
      </c>
      <c r="Z855" s="39" t="str">
        <f aca="false">IF(OR($AT855="",$O855=""),"",MAX(0,$AT855-$O855))</f>
        <v/>
      </c>
      <c r="AA855" s="39" t="str">
        <f aca="false">IF($F855="","",IF(AND($S855&lt;&gt;"",$L855&lt;&gt;"",$S855&lt;&gt;$L855),1,0))</f>
        <v/>
      </c>
      <c r="AB855" s="39" t="str">
        <f aca="false">IF($F855="","",IF($R855="Cancelada",0,IF(OR($AT855&lt;&gt;"",$R855="Concluída"),1,0)))</f>
        <v/>
      </c>
      <c r="AC855" s="39" t="n">
        <f aca="false">IF($P855="",0,IF($P855&lt;Hoje!$L$1,1,IF(AND($P855=Hoje!$L$1,Hoje!$L$2&gt;Semana!$M$3),1,0)))</f>
        <v>0</v>
      </c>
      <c r="AD855" s="39" t="str">
        <f aca="false">IF($F855="","",IF(COUNTA($I855:$K855)=0,0,1/COUNTA($I855:$K855)))</f>
        <v/>
      </c>
      <c r="AE855" s="39" t="str">
        <f aca="false">IF($AH855=0,"",SUM($AH$4:$AH855))</f>
        <v/>
      </c>
      <c r="AF855" s="39" t="str">
        <f aca="false">IF($AI855=0,"",SUM($AI$4:$AI855))</f>
        <v/>
      </c>
      <c r="AG855" s="50" t="str">
        <f aca="false">IF($F855="","",$I855&amp;IF($J855="",""," · "&amp;$J855)&amp;IF($K855="",""," · "&amp;$K855))</f>
        <v/>
      </c>
      <c r="AH855" s="39" t="n">
        <f aca="false">IF(AND($F855&lt;&gt;"",$O855&lt;&gt;"",$O855&lt;=Hoje!$C$3,$P855&gt;=Hoje!$C$3,$R855&lt;&gt;"Cancelada"),1,0)</f>
        <v>0</v>
      </c>
      <c r="AI855" s="39" t="n">
        <f aca="false">IF(AND($F855&lt;&gt;"",$P855&lt;&gt;"",$P855&lt;Hoje!$C$3,$AB855=0,$R855&lt;&gt;"Cancelada"),1,0)</f>
        <v>0</v>
      </c>
      <c r="AJ855" s="50" t="str">
        <f aca="false">IF($F855="","",$D855&amp;"|"&amp;$E855&amp;"|"&amp;$L855)</f>
        <v/>
      </c>
      <c r="AK855" s="39" t="str">
        <f aca="false">IF($AJ855="","",COUNTIF($AJ$4:$AJ855,$AJ855))</f>
        <v/>
      </c>
      <c r="AL855" s="39" t="str">
        <f aca="false">IF($AJ855="","",COUNTIF($AJ$4:$AJ$1004,$AJ855))</f>
        <v/>
      </c>
      <c r="AM855" s="42"/>
      <c r="AN855" s="50" t="str">
        <f aca="false">IF($D855="","",IFERROR(T(VLOOKUP($D855,Listas!$B$5:$H$120,7,0)),""))</f>
        <v/>
      </c>
      <c r="AO855" s="50" t="str">
        <f aca="false">IF(OR($F855="",$L855&lt;&gt;"",$R855="Cancelada",$AT855&lt;&gt;""),"",$AN855&amp;"|"&amp;$D855&amp;"|"&amp;IF($C855="","zzz",$C855)&amp;"|"&amp;TEXT(855,"0000"))</f>
        <v/>
      </c>
      <c r="AP855" s="50" t="str">
        <f aca="false">IF($AO855="","",COUNTIF($AO$5:$AO$1004,"&lt;"&amp;$AO855)-(ROWS($AO$5:$AO$1004)-Hoje!$L$5)+1)</f>
        <v/>
      </c>
      <c r="AQ855" s="50" t="n">
        <f aca="false">IF(AND($F855&lt;&gt;"",$D855=Frota!$C$3),1,0)</f>
        <v>0</v>
      </c>
      <c r="AR855" s="50" t="str">
        <f aca="false">IF($AQ855=0,"",SUM($AQ$4:$AQ855))</f>
        <v/>
      </c>
      <c r="AS855" s="50" t="str">
        <f aca="false">IFERROR(INDEX(Hoje!$K$10:$K$29,MATCH(ROW(),Hoje!$J$10:$J$29,0)),"")</f>
        <v/>
      </c>
      <c r="AT855" s="50" t="str">
        <f aca="false">IF($Q855&lt;&gt;"",$Q855,$AS855)</f>
        <v/>
      </c>
    </row>
    <row r="856" customFormat="false" ht="16.5" hidden="false" customHeight="true" outlineLevel="0" collapsed="false">
      <c r="A856" s="39" t="str">
        <f aca="false">IF($F856="","",ROW())</f>
        <v/>
      </c>
      <c r="B856" s="40" t="str">
        <f aca="false">IF($F856="",IF($D856="","","Falta a atividade"),IF($R856="Cancelada","Cancelada",IF($AB856=1,IF(N($Z856)&gt;0,"Concluída com atraso","Concluída"),IF($R856="Em programação","Em programação",IF($O856="",IF($M856="","Na carteira","Falta a semana"),IF($AC856=1,"VENCIDA",IF($O856&gt;Hoje!$L$1,"Programada",IF($P856&gt;Hoje!$L$1,"Em execução","Fecha hoje"))))))))</f>
        <v/>
      </c>
      <c r="C856" s="41"/>
      <c r="D856" s="42"/>
      <c r="E856" s="42"/>
      <c r="F856" s="42"/>
      <c r="G856" s="43"/>
      <c r="H856" s="43"/>
      <c r="I856" s="44"/>
      <c r="J856" s="44"/>
      <c r="K856" s="44"/>
      <c r="L856" s="45"/>
      <c r="M856" s="46"/>
      <c r="N856" s="45"/>
      <c r="O856" s="47" t="str">
        <f aca="false">IF(OR($L856="",$M856=""),"",(DATE(Semana!$J$3,1,4)-WEEKDAY(DATE(Semana!$J$3,1,4),3))+($L856-1)*7+MATCH($M856,Listas!$F$5:$F$11,0)-1)</f>
        <v/>
      </c>
      <c r="P856" s="47" t="str">
        <f aca="false">IF(OR($F856="",$O856=""),"",$O856+MAX(0,ROUNDUP($AK856*MAX(1,IF($N856="",1,$N856))/MAX(1,$AL856),0)-1))</f>
        <v/>
      </c>
      <c r="Q856" s="48"/>
      <c r="R856" s="43"/>
      <c r="S856" s="49"/>
      <c r="T856" s="42"/>
      <c r="U856" s="42"/>
      <c r="V856" s="39" t="str">
        <f aca="false">IF($F856="","",IF(ISNUMBER(SEARCH("(externo)",$I856&amp;$J856&amp;$K856)),"Terceirizada","Interna"))</f>
        <v/>
      </c>
      <c r="W856" s="47" t="str">
        <f aca="false">IF($O856="","",IF($S856="",$O856,(DATE(Semana!$J$3,1,4)-WEEKDAY(DATE(Semana!$J$3,1,4),3))+($S856-1)*7+IF($M856="",0,MATCH($M856,Listas!$F$5:$F$11,0)-1)))</f>
        <v/>
      </c>
      <c r="X856" s="39" t="str">
        <f aca="false">IF($F856="","",IF(OR($AT856="",$O856=""),0,IF($AT856&lt;=$O856,1,0)))</f>
        <v/>
      </c>
      <c r="Y856" s="39" t="str">
        <f aca="false">IF($F856="","",IF(OR($AT856="",$W856=""),0,IF($AT856&lt;=$W856,1,0)))</f>
        <v/>
      </c>
      <c r="Z856" s="39" t="str">
        <f aca="false">IF(OR($AT856="",$O856=""),"",MAX(0,$AT856-$O856))</f>
        <v/>
      </c>
      <c r="AA856" s="39" t="str">
        <f aca="false">IF($F856="","",IF(AND($S856&lt;&gt;"",$L856&lt;&gt;"",$S856&lt;&gt;$L856),1,0))</f>
        <v/>
      </c>
      <c r="AB856" s="39" t="str">
        <f aca="false">IF($F856="","",IF($R856="Cancelada",0,IF(OR($AT856&lt;&gt;"",$R856="Concluída"),1,0)))</f>
        <v/>
      </c>
      <c r="AC856" s="39" t="n">
        <f aca="false">IF($P856="",0,IF($P856&lt;Hoje!$L$1,1,IF(AND($P856=Hoje!$L$1,Hoje!$L$2&gt;Semana!$M$3),1,0)))</f>
        <v>0</v>
      </c>
      <c r="AD856" s="39" t="str">
        <f aca="false">IF($F856="","",IF(COUNTA($I856:$K856)=0,0,1/COUNTA($I856:$K856)))</f>
        <v/>
      </c>
      <c r="AE856" s="39" t="str">
        <f aca="false">IF($AH856=0,"",SUM($AH$4:$AH856))</f>
        <v/>
      </c>
      <c r="AF856" s="39" t="str">
        <f aca="false">IF($AI856=0,"",SUM($AI$4:$AI856))</f>
        <v/>
      </c>
      <c r="AG856" s="50" t="str">
        <f aca="false">IF($F856="","",$I856&amp;IF($J856="",""," · "&amp;$J856)&amp;IF($K856="",""," · "&amp;$K856))</f>
        <v/>
      </c>
      <c r="AH856" s="39" t="n">
        <f aca="false">IF(AND($F856&lt;&gt;"",$O856&lt;&gt;"",$O856&lt;=Hoje!$C$3,$P856&gt;=Hoje!$C$3,$R856&lt;&gt;"Cancelada"),1,0)</f>
        <v>0</v>
      </c>
      <c r="AI856" s="39" t="n">
        <f aca="false">IF(AND($F856&lt;&gt;"",$P856&lt;&gt;"",$P856&lt;Hoje!$C$3,$AB856=0,$R856&lt;&gt;"Cancelada"),1,0)</f>
        <v>0</v>
      </c>
      <c r="AJ856" s="50" t="str">
        <f aca="false">IF($F856="","",$D856&amp;"|"&amp;$E856&amp;"|"&amp;$L856)</f>
        <v/>
      </c>
      <c r="AK856" s="39" t="str">
        <f aca="false">IF($AJ856="","",COUNTIF($AJ$4:$AJ856,$AJ856))</f>
        <v/>
      </c>
      <c r="AL856" s="39" t="str">
        <f aca="false">IF($AJ856="","",COUNTIF($AJ$4:$AJ$1004,$AJ856))</f>
        <v/>
      </c>
      <c r="AM856" s="42"/>
      <c r="AN856" s="50" t="str">
        <f aca="false">IF($D856="","",IFERROR(T(VLOOKUP($D856,Listas!$B$5:$H$120,7,0)),""))</f>
        <v/>
      </c>
      <c r="AO856" s="50" t="str">
        <f aca="false">IF(OR($F856="",$L856&lt;&gt;"",$R856="Cancelada",$AT856&lt;&gt;""),"",$AN856&amp;"|"&amp;$D856&amp;"|"&amp;IF($C856="","zzz",$C856)&amp;"|"&amp;TEXT(856,"0000"))</f>
        <v/>
      </c>
      <c r="AP856" s="50" t="str">
        <f aca="false">IF($AO856="","",COUNTIF($AO$5:$AO$1004,"&lt;"&amp;$AO856)-(ROWS($AO$5:$AO$1004)-Hoje!$L$5)+1)</f>
        <v/>
      </c>
      <c r="AQ856" s="50" t="n">
        <f aca="false">IF(AND($F856&lt;&gt;"",$D856=Frota!$C$3),1,0)</f>
        <v>0</v>
      </c>
      <c r="AR856" s="50" t="str">
        <f aca="false">IF($AQ856=0,"",SUM($AQ$4:$AQ856))</f>
        <v/>
      </c>
      <c r="AS856" s="50" t="str">
        <f aca="false">IFERROR(INDEX(Hoje!$K$10:$K$29,MATCH(ROW(),Hoje!$J$10:$J$29,0)),"")</f>
        <v/>
      </c>
      <c r="AT856" s="50" t="str">
        <f aca="false">IF($Q856&lt;&gt;"",$Q856,$AS856)</f>
        <v/>
      </c>
    </row>
    <row r="857" customFormat="false" ht="16.5" hidden="false" customHeight="true" outlineLevel="0" collapsed="false">
      <c r="A857" s="39" t="str">
        <f aca="false">IF($F857="","",ROW())</f>
        <v/>
      </c>
      <c r="B857" s="40" t="str">
        <f aca="false">IF($F857="",IF($D857="","","Falta a atividade"),IF($R857="Cancelada","Cancelada",IF($AB857=1,IF(N($Z857)&gt;0,"Concluída com atraso","Concluída"),IF($R857="Em programação","Em programação",IF($O857="",IF($M857="","Na carteira","Falta a semana"),IF($AC857=1,"VENCIDA",IF($O857&gt;Hoje!$L$1,"Programada",IF($P857&gt;Hoje!$L$1,"Em execução","Fecha hoje"))))))))</f>
        <v/>
      </c>
      <c r="C857" s="41"/>
      <c r="D857" s="42"/>
      <c r="E857" s="42"/>
      <c r="F857" s="42"/>
      <c r="G857" s="43"/>
      <c r="H857" s="43"/>
      <c r="I857" s="44"/>
      <c r="J857" s="44"/>
      <c r="K857" s="44"/>
      <c r="L857" s="45"/>
      <c r="M857" s="46"/>
      <c r="N857" s="45"/>
      <c r="O857" s="47" t="str">
        <f aca="false">IF(OR($L857="",$M857=""),"",(DATE(Semana!$J$3,1,4)-WEEKDAY(DATE(Semana!$J$3,1,4),3))+($L857-1)*7+MATCH($M857,Listas!$F$5:$F$11,0)-1)</f>
        <v/>
      </c>
      <c r="P857" s="47" t="str">
        <f aca="false">IF(OR($F857="",$O857=""),"",$O857+MAX(0,ROUNDUP($AK857*MAX(1,IF($N857="",1,$N857))/MAX(1,$AL857),0)-1))</f>
        <v/>
      </c>
      <c r="Q857" s="48"/>
      <c r="R857" s="43"/>
      <c r="S857" s="49"/>
      <c r="T857" s="42"/>
      <c r="U857" s="42"/>
      <c r="V857" s="39" t="str">
        <f aca="false">IF($F857="","",IF(ISNUMBER(SEARCH("(externo)",$I857&amp;$J857&amp;$K857)),"Terceirizada","Interna"))</f>
        <v/>
      </c>
      <c r="W857" s="47" t="str">
        <f aca="false">IF($O857="","",IF($S857="",$O857,(DATE(Semana!$J$3,1,4)-WEEKDAY(DATE(Semana!$J$3,1,4),3))+($S857-1)*7+IF($M857="",0,MATCH($M857,Listas!$F$5:$F$11,0)-1)))</f>
        <v/>
      </c>
      <c r="X857" s="39" t="str">
        <f aca="false">IF($F857="","",IF(OR($AT857="",$O857=""),0,IF($AT857&lt;=$O857,1,0)))</f>
        <v/>
      </c>
      <c r="Y857" s="39" t="str">
        <f aca="false">IF($F857="","",IF(OR($AT857="",$W857=""),0,IF($AT857&lt;=$W857,1,0)))</f>
        <v/>
      </c>
      <c r="Z857" s="39" t="str">
        <f aca="false">IF(OR($AT857="",$O857=""),"",MAX(0,$AT857-$O857))</f>
        <v/>
      </c>
      <c r="AA857" s="39" t="str">
        <f aca="false">IF($F857="","",IF(AND($S857&lt;&gt;"",$L857&lt;&gt;"",$S857&lt;&gt;$L857),1,0))</f>
        <v/>
      </c>
      <c r="AB857" s="39" t="str">
        <f aca="false">IF($F857="","",IF($R857="Cancelada",0,IF(OR($AT857&lt;&gt;"",$R857="Concluída"),1,0)))</f>
        <v/>
      </c>
      <c r="AC857" s="39" t="n">
        <f aca="false">IF($P857="",0,IF($P857&lt;Hoje!$L$1,1,IF(AND($P857=Hoje!$L$1,Hoje!$L$2&gt;Semana!$M$3),1,0)))</f>
        <v>0</v>
      </c>
      <c r="AD857" s="39" t="str">
        <f aca="false">IF($F857="","",IF(COUNTA($I857:$K857)=0,0,1/COUNTA($I857:$K857)))</f>
        <v/>
      </c>
      <c r="AE857" s="39" t="str">
        <f aca="false">IF($AH857=0,"",SUM($AH$4:$AH857))</f>
        <v/>
      </c>
      <c r="AF857" s="39" t="str">
        <f aca="false">IF($AI857=0,"",SUM($AI$4:$AI857))</f>
        <v/>
      </c>
      <c r="AG857" s="50" t="str">
        <f aca="false">IF($F857="","",$I857&amp;IF($J857="",""," · "&amp;$J857)&amp;IF($K857="",""," · "&amp;$K857))</f>
        <v/>
      </c>
      <c r="AH857" s="39" t="n">
        <f aca="false">IF(AND($F857&lt;&gt;"",$O857&lt;&gt;"",$O857&lt;=Hoje!$C$3,$P857&gt;=Hoje!$C$3,$R857&lt;&gt;"Cancelada"),1,0)</f>
        <v>0</v>
      </c>
      <c r="AI857" s="39" t="n">
        <f aca="false">IF(AND($F857&lt;&gt;"",$P857&lt;&gt;"",$P857&lt;Hoje!$C$3,$AB857=0,$R857&lt;&gt;"Cancelada"),1,0)</f>
        <v>0</v>
      </c>
      <c r="AJ857" s="50" t="str">
        <f aca="false">IF($F857="","",$D857&amp;"|"&amp;$E857&amp;"|"&amp;$L857)</f>
        <v/>
      </c>
      <c r="AK857" s="39" t="str">
        <f aca="false">IF($AJ857="","",COUNTIF($AJ$4:$AJ857,$AJ857))</f>
        <v/>
      </c>
      <c r="AL857" s="39" t="str">
        <f aca="false">IF($AJ857="","",COUNTIF($AJ$4:$AJ$1004,$AJ857))</f>
        <v/>
      </c>
      <c r="AM857" s="42"/>
      <c r="AN857" s="50" t="str">
        <f aca="false">IF($D857="","",IFERROR(T(VLOOKUP($D857,Listas!$B$5:$H$120,7,0)),""))</f>
        <v/>
      </c>
      <c r="AO857" s="50" t="str">
        <f aca="false">IF(OR($F857="",$L857&lt;&gt;"",$R857="Cancelada",$AT857&lt;&gt;""),"",$AN857&amp;"|"&amp;$D857&amp;"|"&amp;IF($C857="","zzz",$C857)&amp;"|"&amp;TEXT(857,"0000"))</f>
        <v/>
      </c>
      <c r="AP857" s="50" t="str">
        <f aca="false">IF($AO857="","",COUNTIF($AO$5:$AO$1004,"&lt;"&amp;$AO857)-(ROWS($AO$5:$AO$1004)-Hoje!$L$5)+1)</f>
        <v/>
      </c>
      <c r="AQ857" s="50" t="n">
        <f aca="false">IF(AND($F857&lt;&gt;"",$D857=Frota!$C$3),1,0)</f>
        <v>0</v>
      </c>
      <c r="AR857" s="50" t="str">
        <f aca="false">IF($AQ857=0,"",SUM($AQ$4:$AQ857))</f>
        <v/>
      </c>
      <c r="AS857" s="50" t="str">
        <f aca="false">IFERROR(INDEX(Hoje!$K$10:$K$29,MATCH(ROW(),Hoje!$J$10:$J$29,0)),"")</f>
        <v/>
      </c>
      <c r="AT857" s="50" t="str">
        <f aca="false">IF($Q857&lt;&gt;"",$Q857,$AS857)</f>
        <v/>
      </c>
    </row>
    <row r="858" customFormat="false" ht="16.5" hidden="false" customHeight="true" outlineLevel="0" collapsed="false">
      <c r="A858" s="39" t="str">
        <f aca="false">IF($F858="","",ROW())</f>
        <v/>
      </c>
      <c r="B858" s="40" t="str">
        <f aca="false">IF($F858="",IF($D858="","","Falta a atividade"),IF($R858="Cancelada","Cancelada",IF($AB858=1,IF(N($Z858)&gt;0,"Concluída com atraso","Concluída"),IF($R858="Em programação","Em programação",IF($O858="",IF($M858="","Na carteira","Falta a semana"),IF($AC858=1,"VENCIDA",IF($O858&gt;Hoje!$L$1,"Programada",IF($P858&gt;Hoje!$L$1,"Em execução","Fecha hoje"))))))))</f>
        <v/>
      </c>
      <c r="C858" s="41"/>
      <c r="D858" s="42"/>
      <c r="E858" s="42"/>
      <c r="F858" s="42"/>
      <c r="G858" s="43"/>
      <c r="H858" s="43"/>
      <c r="I858" s="44"/>
      <c r="J858" s="44"/>
      <c r="K858" s="44"/>
      <c r="L858" s="45"/>
      <c r="M858" s="46"/>
      <c r="N858" s="45"/>
      <c r="O858" s="47" t="str">
        <f aca="false">IF(OR($L858="",$M858=""),"",(DATE(Semana!$J$3,1,4)-WEEKDAY(DATE(Semana!$J$3,1,4),3))+($L858-1)*7+MATCH($M858,Listas!$F$5:$F$11,0)-1)</f>
        <v/>
      </c>
      <c r="P858" s="47" t="str">
        <f aca="false">IF(OR($F858="",$O858=""),"",$O858+MAX(0,ROUNDUP($AK858*MAX(1,IF($N858="",1,$N858))/MAX(1,$AL858),0)-1))</f>
        <v/>
      </c>
      <c r="Q858" s="48"/>
      <c r="R858" s="43"/>
      <c r="S858" s="49"/>
      <c r="T858" s="42"/>
      <c r="U858" s="42"/>
      <c r="V858" s="39" t="str">
        <f aca="false">IF($F858="","",IF(ISNUMBER(SEARCH("(externo)",$I858&amp;$J858&amp;$K858)),"Terceirizada","Interna"))</f>
        <v/>
      </c>
      <c r="W858" s="47" t="str">
        <f aca="false">IF($O858="","",IF($S858="",$O858,(DATE(Semana!$J$3,1,4)-WEEKDAY(DATE(Semana!$J$3,1,4),3))+($S858-1)*7+IF($M858="",0,MATCH($M858,Listas!$F$5:$F$11,0)-1)))</f>
        <v/>
      </c>
      <c r="X858" s="39" t="str">
        <f aca="false">IF($F858="","",IF(OR($AT858="",$O858=""),0,IF($AT858&lt;=$O858,1,0)))</f>
        <v/>
      </c>
      <c r="Y858" s="39" t="str">
        <f aca="false">IF($F858="","",IF(OR($AT858="",$W858=""),0,IF($AT858&lt;=$W858,1,0)))</f>
        <v/>
      </c>
      <c r="Z858" s="39" t="str">
        <f aca="false">IF(OR($AT858="",$O858=""),"",MAX(0,$AT858-$O858))</f>
        <v/>
      </c>
      <c r="AA858" s="39" t="str">
        <f aca="false">IF($F858="","",IF(AND($S858&lt;&gt;"",$L858&lt;&gt;"",$S858&lt;&gt;$L858),1,0))</f>
        <v/>
      </c>
      <c r="AB858" s="39" t="str">
        <f aca="false">IF($F858="","",IF($R858="Cancelada",0,IF(OR($AT858&lt;&gt;"",$R858="Concluída"),1,0)))</f>
        <v/>
      </c>
      <c r="AC858" s="39" t="n">
        <f aca="false">IF($P858="",0,IF($P858&lt;Hoje!$L$1,1,IF(AND($P858=Hoje!$L$1,Hoje!$L$2&gt;Semana!$M$3),1,0)))</f>
        <v>0</v>
      </c>
      <c r="AD858" s="39" t="str">
        <f aca="false">IF($F858="","",IF(COUNTA($I858:$K858)=0,0,1/COUNTA($I858:$K858)))</f>
        <v/>
      </c>
      <c r="AE858" s="39" t="str">
        <f aca="false">IF($AH858=0,"",SUM($AH$4:$AH858))</f>
        <v/>
      </c>
      <c r="AF858" s="39" t="str">
        <f aca="false">IF($AI858=0,"",SUM($AI$4:$AI858))</f>
        <v/>
      </c>
      <c r="AG858" s="50" t="str">
        <f aca="false">IF($F858="","",$I858&amp;IF($J858="",""," · "&amp;$J858)&amp;IF($K858="",""," · "&amp;$K858))</f>
        <v/>
      </c>
      <c r="AH858" s="39" t="n">
        <f aca="false">IF(AND($F858&lt;&gt;"",$O858&lt;&gt;"",$O858&lt;=Hoje!$C$3,$P858&gt;=Hoje!$C$3,$R858&lt;&gt;"Cancelada"),1,0)</f>
        <v>0</v>
      </c>
      <c r="AI858" s="39" t="n">
        <f aca="false">IF(AND($F858&lt;&gt;"",$P858&lt;&gt;"",$P858&lt;Hoje!$C$3,$AB858=0,$R858&lt;&gt;"Cancelada"),1,0)</f>
        <v>0</v>
      </c>
      <c r="AJ858" s="50" t="str">
        <f aca="false">IF($F858="","",$D858&amp;"|"&amp;$E858&amp;"|"&amp;$L858)</f>
        <v/>
      </c>
      <c r="AK858" s="39" t="str">
        <f aca="false">IF($AJ858="","",COUNTIF($AJ$4:$AJ858,$AJ858))</f>
        <v/>
      </c>
      <c r="AL858" s="39" t="str">
        <f aca="false">IF($AJ858="","",COUNTIF($AJ$4:$AJ$1004,$AJ858))</f>
        <v/>
      </c>
      <c r="AM858" s="42"/>
      <c r="AN858" s="50" t="str">
        <f aca="false">IF($D858="","",IFERROR(T(VLOOKUP($D858,Listas!$B$5:$H$120,7,0)),""))</f>
        <v/>
      </c>
      <c r="AO858" s="50" t="str">
        <f aca="false">IF(OR($F858="",$L858&lt;&gt;"",$R858="Cancelada",$AT858&lt;&gt;""),"",$AN858&amp;"|"&amp;$D858&amp;"|"&amp;IF($C858="","zzz",$C858)&amp;"|"&amp;TEXT(858,"0000"))</f>
        <v/>
      </c>
      <c r="AP858" s="50" t="str">
        <f aca="false">IF($AO858="","",COUNTIF($AO$5:$AO$1004,"&lt;"&amp;$AO858)-(ROWS($AO$5:$AO$1004)-Hoje!$L$5)+1)</f>
        <v/>
      </c>
      <c r="AQ858" s="50" t="n">
        <f aca="false">IF(AND($F858&lt;&gt;"",$D858=Frota!$C$3),1,0)</f>
        <v>0</v>
      </c>
      <c r="AR858" s="50" t="str">
        <f aca="false">IF($AQ858=0,"",SUM($AQ$4:$AQ858))</f>
        <v/>
      </c>
      <c r="AS858" s="50" t="str">
        <f aca="false">IFERROR(INDEX(Hoje!$K$10:$K$29,MATCH(ROW(),Hoje!$J$10:$J$29,0)),"")</f>
        <v/>
      </c>
      <c r="AT858" s="50" t="str">
        <f aca="false">IF($Q858&lt;&gt;"",$Q858,$AS858)</f>
        <v/>
      </c>
    </row>
    <row r="859" customFormat="false" ht="16.5" hidden="false" customHeight="true" outlineLevel="0" collapsed="false">
      <c r="A859" s="39" t="str">
        <f aca="false">IF($F859="","",ROW())</f>
        <v/>
      </c>
      <c r="B859" s="40" t="str">
        <f aca="false">IF($F859="",IF($D859="","","Falta a atividade"),IF($R859="Cancelada","Cancelada",IF($AB859=1,IF(N($Z859)&gt;0,"Concluída com atraso","Concluída"),IF($R859="Em programação","Em programação",IF($O859="",IF($M859="","Na carteira","Falta a semana"),IF($AC859=1,"VENCIDA",IF($O859&gt;Hoje!$L$1,"Programada",IF($P859&gt;Hoje!$L$1,"Em execução","Fecha hoje"))))))))</f>
        <v/>
      </c>
      <c r="C859" s="41"/>
      <c r="D859" s="42"/>
      <c r="E859" s="42"/>
      <c r="F859" s="42"/>
      <c r="G859" s="43"/>
      <c r="H859" s="43"/>
      <c r="I859" s="44"/>
      <c r="J859" s="44"/>
      <c r="K859" s="44"/>
      <c r="L859" s="45"/>
      <c r="M859" s="46"/>
      <c r="N859" s="45"/>
      <c r="O859" s="47" t="str">
        <f aca="false">IF(OR($L859="",$M859=""),"",(DATE(Semana!$J$3,1,4)-WEEKDAY(DATE(Semana!$J$3,1,4),3))+($L859-1)*7+MATCH($M859,Listas!$F$5:$F$11,0)-1)</f>
        <v/>
      </c>
      <c r="P859" s="47" t="str">
        <f aca="false">IF(OR($F859="",$O859=""),"",$O859+MAX(0,ROUNDUP($AK859*MAX(1,IF($N859="",1,$N859))/MAX(1,$AL859),0)-1))</f>
        <v/>
      </c>
      <c r="Q859" s="48"/>
      <c r="R859" s="43"/>
      <c r="S859" s="49"/>
      <c r="T859" s="42"/>
      <c r="U859" s="42"/>
      <c r="V859" s="39" t="str">
        <f aca="false">IF($F859="","",IF(ISNUMBER(SEARCH("(externo)",$I859&amp;$J859&amp;$K859)),"Terceirizada","Interna"))</f>
        <v/>
      </c>
      <c r="W859" s="47" t="str">
        <f aca="false">IF($O859="","",IF($S859="",$O859,(DATE(Semana!$J$3,1,4)-WEEKDAY(DATE(Semana!$J$3,1,4),3))+($S859-1)*7+IF($M859="",0,MATCH($M859,Listas!$F$5:$F$11,0)-1)))</f>
        <v/>
      </c>
      <c r="X859" s="39" t="str">
        <f aca="false">IF($F859="","",IF(OR($AT859="",$O859=""),0,IF($AT859&lt;=$O859,1,0)))</f>
        <v/>
      </c>
      <c r="Y859" s="39" t="str">
        <f aca="false">IF($F859="","",IF(OR($AT859="",$W859=""),0,IF($AT859&lt;=$W859,1,0)))</f>
        <v/>
      </c>
      <c r="Z859" s="39" t="str">
        <f aca="false">IF(OR($AT859="",$O859=""),"",MAX(0,$AT859-$O859))</f>
        <v/>
      </c>
      <c r="AA859" s="39" t="str">
        <f aca="false">IF($F859="","",IF(AND($S859&lt;&gt;"",$L859&lt;&gt;"",$S859&lt;&gt;$L859),1,0))</f>
        <v/>
      </c>
      <c r="AB859" s="39" t="str">
        <f aca="false">IF($F859="","",IF($R859="Cancelada",0,IF(OR($AT859&lt;&gt;"",$R859="Concluída"),1,0)))</f>
        <v/>
      </c>
      <c r="AC859" s="39" t="n">
        <f aca="false">IF($P859="",0,IF($P859&lt;Hoje!$L$1,1,IF(AND($P859=Hoje!$L$1,Hoje!$L$2&gt;Semana!$M$3),1,0)))</f>
        <v>0</v>
      </c>
      <c r="AD859" s="39" t="str">
        <f aca="false">IF($F859="","",IF(COUNTA($I859:$K859)=0,0,1/COUNTA($I859:$K859)))</f>
        <v/>
      </c>
      <c r="AE859" s="39" t="str">
        <f aca="false">IF($AH859=0,"",SUM($AH$4:$AH859))</f>
        <v/>
      </c>
      <c r="AF859" s="39" t="str">
        <f aca="false">IF($AI859=0,"",SUM($AI$4:$AI859))</f>
        <v/>
      </c>
      <c r="AG859" s="50" t="str">
        <f aca="false">IF($F859="","",$I859&amp;IF($J859="",""," · "&amp;$J859)&amp;IF($K859="",""," · "&amp;$K859))</f>
        <v/>
      </c>
      <c r="AH859" s="39" t="n">
        <f aca="false">IF(AND($F859&lt;&gt;"",$O859&lt;&gt;"",$O859&lt;=Hoje!$C$3,$P859&gt;=Hoje!$C$3,$R859&lt;&gt;"Cancelada"),1,0)</f>
        <v>0</v>
      </c>
      <c r="AI859" s="39" t="n">
        <f aca="false">IF(AND($F859&lt;&gt;"",$P859&lt;&gt;"",$P859&lt;Hoje!$C$3,$AB859=0,$R859&lt;&gt;"Cancelada"),1,0)</f>
        <v>0</v>
      </c>
      <c r="AJ859" s="50" t="str">
        <f aca="false">IF($F859="","",$D859&amp;"|"&amp;$E859&amp;"|"&amp;$L859)</f>
        <v/>
      </c>
      <c r="AK859" s="39" t="str">
        <f aca="false">IF($AJ859="","",COUNTIF($AJ$4:$AJ859,$AJ859))</f>
        <v/>
      </c>
      <c r="AL859" s="39" t="str">
        <f aca="false">IF($AJ859="","",COUNTIF($AJ$4:$AJ$1004,$AJ859))</f>
        <v/>
      </c>
      <c r="AM859" s="42"/>
      <c r="AN859" s="50" t="str">
        <f aca="false">IF($D859="","",IFERROR(T(VLOOKUP($D859,Listas!$B$5:$H$120,7,0)),""))</f>
        <v/>
      </c>
      <c r="AO859" s="50" t="str">
        <f aca="false">IF(OR($F859="",$L859&lt;&gt;"",$R859="Cancelada",$AT859&lt;&gt;""),"",$AN859&amp;"|"&amp;$D859&amp;"|"&amp;IF($C859="","zzz",$C859)&amp;"|"&amp;TEXT(859,"0000"))</f>
        <v/>
      </c>
      <c r="AP859" s="50" t="str">
        <f aca="false">IF($AO859="","",COUNTIF($AO$5:$AO$1004,"&lt;"&amp;$AO859)-(ROWS($AO$5:$AO$1004)-Hoje!$L$5)+1)</f>
        <v/>
      </c>
      <c r="AQ859" s="50" t="n">
        <f aca="false">IF(AND($F859&lt;&gt;"",$D859=Frota!$C$3),1,0)</f>
        <v>0</v>
      </c>
      <c r="AR859" s="50" t="str">
        <f aca="false">IF($AQ859=0,"",SUM($AQ$4:$AQ859))</f>
        <v/>
      </c>
      <c r="AS859" s="50" t="str">
        <f aca="false">IFERROR(INDEX(Hoje!$K$10:$K$29,MATCH(ROW(),Hoje!$J$10:$J$29,0)),"")</f>
        <v/>
      </c>
      <c r="AT859" s="50" t="str">
        <f aca="false">IF($Q859&lt;&gt;"",$Q859,$AS859)</f>
        <v/>
      </c>
    </row>
    <row r="860" customFormat="false" ht="16.5" hidden="false" customHeight="true" outlineLevel="0" collapsed="false">
      <c r="A860" s="39" t="str">
        <f aca="false">IF($F860="","",ROW())</f>
        <v/>
      </c>
      <c r="B860" s="40" t="str">
        <f aca="false">IF($F860="",IF($D860="","","Falta a atividade"),IF($R860="Cancelada","Cancelada",IF($AB860=1,IF(N($Z860)&gt;0,"Concluída com atraso","Concluída"),IF($R860="Em programação","Em programação",IF($O860="",IF($M860="","Na carteira","Falta a semana"),IF($AC860=1,"VENCIDA",IF($O860&gt;Hoje!$L$1,"Programada",IF($P860&gt;Hoje!$L$1,"Em execução","Fecha hoje"))))))))</f>
        <v/>
      </c>
      <c r="C860" s="41"/>
      <c r="D860" s="42"/>
      <c r="E860" s="42"/>
      <c r="F860" s="42"/>
      <c r="G860" s="43"/>
      <c r="H860" s="43"/>
      <c r="I860" s="44"/>
      <c r="J860" s="44"/>
      <c r="K860" s="44"/>
      <c r="L860" s="45"/>
      <c r="M860" s="46"/>
      <c r="N860" s="45"/>
      <c r="O860" s="47" t="str">
        <f aca="false">IF(OR($L860="",$M860=""),"",(DATE(Semana!$J$3,1,4)-WEEKDAY(DATE(Semana!$J$3,1,4),3))+($L860-1)*7+MATCH($M860,Listas!$F$5:$F$11,0)-1)</f>
        <v/>
      </c>
      <c r="P860" s="47" t="str">
        <f aca="false">IF(OR($F860="",$O860=""),"",$O860+MAX(0,ROUNDUP($AK860*MAX(1,IF($N860="",1,$N860))/MAX(1,$AL860),0)-1))</f>
        <v/>
      </c>
      <c r="Q860" s="48"/>
      <c r="R860" s="43"/>
      <c r="S860" s="49"/>
      <c r="T860" s="42"/>
      <c r="U860" s="42"/>
      <c r="V860" s="39" t="str">
        <f aca="false">IF($F860="","",IF(ISNUMBER(SEARCH("(externo)",$I860&amp;$J860&amp;$K860)),"Terceirizada","Interna"))</f>
        <v/>
      </c>
      <c r="W860" s="47" t="str">
        <f aca="false">IF($O860="","",IF($S860="",$O860,(DATE(Semana!$J$3,1,4)-WEEKDAY(DATE(Semana!$J$3,1,4),3))+($S860-1)*7+IF($M860="",0,MATCH($M860,Listas!$F$5:$F$11,0)-1)))</f>
        <v/>
      </c>
      <c r="X860" s="39" t="str">
        <f aca="false">IF($F860="","",IF(OR($AT860="",$O860=""),0,IF($AT860&lt;=$O860,1,0)))</f>
        <v/>
      </c>
      <c r="Y860" s="39" t="str">
        <f aca="false">IF($F860="","",IF(OR($AT860="",$W860=""),0,IF($AT860&lt;=$W860,1,0)))</f>
        <v/>
      </c>
      <c r="Z860" s="39" t="str">
        <f aca="false">IF(OR($AT860="",$O860=""),"",MAX(0,$AT860-$O860))</f>
        <v/>
      </c>
      <c r="AA860" s="39" t="str">
        <f aca="false">IF($F860="","",IF(AND($S860&lt;&gt;"",$L860&lt;&gt;"",$S860&lt;&gt;$L860),1,0))</f>
        <v/>
      </c>
      <c r="AB860" s="39" t="str">
        <f aca="false">IF($F860="","",IF($R860="Cancelada",0,IF(OR($AT860&lt;&gt;"",$R860="Concluída"),1,0)))</f>
        <v/>
      </c>
      <c r="AC860" s="39" t="n">
        <f aca="false">IF($P860="",0,IF($P860&lt;Hoje!$L$1,1,IF(AND($P860=Hoje!$L$1,Hoje!$L$2&gt;Semana!$M$3),1,0)))</f>
        <v>0</v>
      </c>
      <c r="AD860" s="39" t="str">
        <f aca="false">IF($F860="","",IF(COUNTA($I860:$K860)=0,0,1/COUNTA($I860:$K860)))</f>
        <v/>
      </c>
      <c r="AE860" s="39" t="str">
        <f aca="false">IF($AH860=0,"",SUM($AH$4:$AH860))</f>
        <v/>
      </c>
      <c r="AF860" s="39" t="str">
        <f aca="false">IF($AI860=0,"",SUM($AI$4:$AI860))</f>
        <v/>
      </c>
      <c r="AG860" s="50" t="str">
        <f aca="false">IF($F860="","",$I860&amp;IF($J860="",""," · "&amp;$J860)&amp;IF($K860="",""," · "&amp;$K860))</f>
        <v/>
      </c>
      <c r="AH860" s="39" t="n">
        <f aca="false">IF(AND($F860&lt;&gt;"",$O860&lt;&gt;"",$O860&lt;=Hoje!$C$3,$P860&gt;=Hoje!$C$3,$R860&lt;&gt;"Cancelada"),1,0)</f>
        <v>0</v>
      </c>
      <c r="AI860" s="39" t="n">
        <f aca="false">IF(AND($F860&lt;&gt;"",$P860&lt;&gt;"",$P860&lt;Hoje!$C$3,$AB860=0,$R860&lt;&gt;"Cancelada"),1,0)</f>
        <v>0</v>
      </c>
      <c r="AJ860" s="50" t="str">
        <f aca="false">IF($F860="","",$D860&amp;"|"&amp;$E860&amp;"|"&amp;$L860)</f>
        <v/>
      </c>
      <c r="AK860" s="39" t="str">
        <f aca="false">IF($AJ860="","",COUNTIF($AJ$4:$AJ860,$AJ860))</f>
        <v/>
      </c>
      <c r="AL860" s="39" t="str">
        <f aca="false">IF($AJ860="","",COUNTIF($AJ$4:$AJ$1004,$AJ860))</f>
        <v/>
      </c>
      <c r="AM860" s="42"/>
      <c r="AN860" s="50" t="str">
        <f aca="false">IF($D860="","",IFERROR(T(VLOOKUP($D860,Listas!$B$5:$H$120,7,0)),""))</f>
        <v/>
      </c>
      <c r="AO860" s="50" t="str">
        <f aca="false">IF(OR($F860="",$L860&lt;&gt;"",$R860="Cancelada",$AT860&lt;&gt;""),"",$AN860&amp;"|"&amp;$D860&amp;"|"&amp;IF($C860="","zzz",$C860)&amp;"|"&amp;TEXT(860,"0000"))</f>
        <v/>
      </c>
      <c r="AP860" s="50" t="str">
        <f aca="false">IF($AO860="","",COUNTIF($AO$5:$AO$1004,"&lt;"&amp;$AO860)-(ROWS($AO$5:$AO$1004)-Hoje!$L$5)+1)</f>
        <v/>
      </c>
      <c r="AQ860" s="50" t="n">
        <f aca="false">IF(AND($F860&lt;&gt;"",$D860=Frota!$C$3),1,0)</f>
        <v>0</v>
      </c>
      <c r="AR860" s="50" t="str">
        <f aca="false">IF($AQ860=0,"",SUM($AQ$4:$AQ860))</f>
        <v/>
      </c>
      <c r="AS860" s="50" t="str">
        <f aca="false">IFERROR(INDEX(Hoje!$K$10:$K$29,MATCH(ROW(),Hoje!$J$10:$J$29,0)),"")</f>
        <v/>
      </c>
      <c r="AT860" s="50" t="str">
        <f aca="false">IF($Q860&lt;&gt;"",$Q860,$AS860)</f>
        <v/>
      </c>
    </row>
    <row r="861" customFormat="false" ht="16.5" hidden="false" customHeight="true" outlineLevel="0" collapsed="false">
      <c r="A861" s="39" t="str">
        <f aca="false">IF($F861="","",ROW())</f>
        <v/>
      </c>
      <c r="B861" s="40" t="str">
        <f aca="false">IF($F861="",IF($D861="","","Falta a atividade"),IF($R861="Cancelada","Cancelada",IF($AB861=1,IF(N($Z861)&gt;0,"Concluída com atraso","Concluída"),IF($R861="Em programação","Em programação",IF($O861="",IF($M861="","Na carteira","Falta a semana"),IF($AC861=1,"VENCIDA",IF($O861&gt;Hoje!$L$1,"Programada",IF($P861&gt;Hoje!$L$1,"Em execução","Fecha hoje"))))))))</f>
        <v/>
      </c>
      <c r="C861" s="41"/>
      <c r="D861" s="42"/>
      <c r="E861" s="42"/>
      <c r="F861" s="42"/>
      <c r="G861" s="43"/>
      <c r="H861" s="43"/>
      <c r="I861" s="44"/>
      <c r="J861" s="44"/>
      <c r="K861" s="44"/>
      <c r="L861" s="45"/>
      <c r="M861" s="46"/>
      <c r="N861" s="45"/>
      <c r="O861" s="47" t="str">
        <f aca="false">IF(OR($L861="",$M861=""),"",(DATE(Semana!$J$3,1,4)-WEEKDAY(DATE(Semana!$J$3,1,4),3))+($L861-1)*7+MATCH($M861,Listas!$F$5:$F$11,0)-1)</f>
        <v/>
      </c>
      <c r="P861" s="47" t="str">
        <f aca="false">IF(OR($F861="",$O861=""),"",$O861+MAX(0,ROUNDUP($AK861*MAX(1,IF($N861="",1,$N861))/MAX(1,$AL861),0)-1))</f>
        <v/>
      </c>
      <c r="Q861" s="48"/>
      <c r="R861" s="43"/>
      <c r="S861" s="49"/>
      <c r="T861" s="42"/>
      <c r="U861" s="42"/>
      <c r="V861" s="39" t="str">
        <f aca="false">IF($F861="","",IF(ISNUMBER(SEARCH("(externo)",$I861&amp;$J861&amp;$K861)),"Terceirizada","Interna"))</f>
        <v/>
      </c>
      <c r="W861" s="47" t="str">
        <f aca="false">IF($O861="","",IF($S861="",$O861,(DATE(Semana!$J$3,1,4)-WEEKDAY(DATE(Semana!$J$3,1,4),3))+($S861-1)*7+IF($M861="",0,MATCH($M861,Listas!$F$5:$F$11,0)-1)))</f>
        <v/>
      </c>
      <c r="X861" s="39" t="str">
        <f aca="false">IF($F861="","",IF(OR($AT861="",$O861=""),0,IF($AT861&lt;=$O861,1,0)))</f>
        <v/>
      </c>
      <c r="Y861" s="39" t="str">
        <f aca="false">IF($F861="","",IF(OR($AT861="",$W861=""),0,IF($AT861&lt;=$W861,1,0)))</f>
        <v/>
      </c>
      <c r="Z861" s="39" t="str">
        <f aca="false">IF(OR($AT861="",$O861=""),"",MAX(0,$AT861-$O861))</f>
        <v/>
      </c>
      <c r="AA861" s="39" t="str">
        <f aca="false">IF($F861="","",IF(AND($S861&lt;&gt;"",$L861&lt;&gt;"",$S861&lt;&gt;$L861),1,0))</f>
        <v/>
      </c>
      <c r="AB861" s="39" t="str">
        <f aca="false">IF($F861="","",IF($R861="Cancelada",0,IF(OR($AT861&lt;&gt;"",$R861="Concluída"),1,0)))</f>
        <v/>
      </c>
      <c r="AC861" s="39" t="n">
        <f aca="false">IF($P861="",0,IF($P861&lt;Hoje!$L$1,1,IF(AND($P861=Hoje!$L$1,Hoje!$L$2&gt;Semana!$M$3),1,0)))</f>
        <v>0</v>
      </c>
      <c r="AD861" s="39" t="str">
        <f aca="false">IF($F861="","",IF(COUNTA($I861:$K861)=0,0,1/COUNTA($I861:$K861)))</f>
        <v/>
      </c>
      <c r="AE861" s="39" t="str">
        <f aca="false">IF($AH861=0,"",SUM($AH$4:$AH861))</f>
        <v/>
      </c>
      <c r="AF861" s="39" t="str">
        <f aca="false">IF($AI861=0,"",SUM($AI$4:$AI861))</f>
        <v/>
      </c>
      <c r="AG861" s="50" t="str">
        <f aca="false">IF($F861="","",$I861&amp;IF($J861="",""," · "&amp;$J861)&amp;IF($K861="",""," · "&amp;$K861))</f>
        <v/>
      </c>
      <c r="AH861" s="39" t="n">
        <f aca="false">IF(AND($F861&lt;&gt;"",$O861&lt;&gt;"",$O861&lt;=Hoje!$C$3,$P861&gt;=Hoje!$C$3,$R861&lt;&gt;"Cancelada"),1,0)</f>
        <v>0</v>
      </c>
      <c r="AI861" s="39" t="n">
        <f aca="false">IF(AND($F861&lt;&gt;"",$P861&lt;&gt;"",$P861&lt;Hoje!$C$3,$AB861=0,$R861&lt;&gt;"Cancelada"),1,0)</f>
        <v>0</v>
      </c>
      <c r="AJ861" s="50" t="str">
        <f aca="false">IF($F861="","",$D861&amp;"|"&amp;$E861&amp;"|"&amp;$L861)</f>
        <v/>
      </c>
      <c r="AK861" s="39" t="str">
        <f aca="false">IF($AJ861="","",COUNTIF($AJ$4:$AJ861,$AJ861))</f>
        <v/>
      </c>
      <c r="AL861" s="39" t="str">
        <f aca="false">IF($AJ861="","",COUNTIF($AJ$4:$AJ$1004,$AJ861))</f>
        <v/>
      </c>
      <c r="AM861" s="42"/>
      <c r="AN861" s="50" t="str">
        <f aca="false">IF($D861="","",IFERROR(T(VLOOKUP($D861,Listas!$B$5:$H$120,7,0)),""))</f>
        <v/>
      </c>
      <c r="AO861" s="50" t="str">
        <f aca="false">IF(OR($F861="",$L861&lt;&gt;"",$R861="Cancelada",$AT861&lt;&gt;""),"",$AN861&amp;"|"&amp;$D861&amp;"|"&amp;IF($C861="","zzz",$C861)&amp;"|"&amp;TEXT(861,"0000"))</f>
        <v/>
      </c>
      <c r="AP861" s="50" t="str">
        <f aca="false">IF($AO861="","",COUNTIF($AO$5:$AO$1004,"&lt;"&amp;$AO861)-(ROWS($AO$5:$AO$1004)-Hoje!$L$5)+1)</f>
        <v/>
      </c>
      <c r="AQ861" s="50" t="n">
        <f aca="false">IF(AND($F861&lt;&gt;"",$D861=Frota!$C$3),1,0)</f>
        <v>0</v>
      </c>
      <c r="AR861" s="50" t="str">
        <f aca="false">IF($AQ861=0,"",SUM($AQ$4:$AQ861))</f>
        <v/>
      </c>
      <c r="AS861" s="50" t="str">
        <f aca="false">IFERROR(INDEX(Hoje!$K$10:$K$29,MATCH(ROW(),Hoje!$J$10:$J$29,0)),"")</f>
        <v/>
      </c>
      <c r="AT861" s="50" t="str">
        <f aca="false">IF($Q861&lt;&gt;"",$Q861,$AS861)</f>
        <v/>
      </c>
    </row>
    <row r="862" customFormat="false" ht="16.5" hidden="false" customHeight="true" outlineLevel="0" collapsed="false">
      <c r="A862" s="39" t="str">
        <f aca="false">IF($F862="","",ROW())</f>
        <v/>
      </c>
      <c r="B862" s="40" t="str">
        <f aca="false">IF($F862="",IF($D862="","","Falta a atividade"),IF($R862="Cancelada","Cancelada",IF($AB862=1,IF(N($Z862)&gt;0,"Concluída com atraso","Concluída"),IF($R862="Em programação","Em programação",IF($O862="",IF($M862="","Na carteira","Falta a semana"),IF($AC862=1,"VENCIDA",IF($O862&gt;Hoje!$L$1,"Programada",IF($P862&gt;Hoje!$L$1,"Em execução","Fecha hoje"))))))))</f>
        <v/>
      </c>
      <c r="C862" s="41"/>
      <c r="D862" s="42"/>
      <c r="E862" s="42"/>
      <c r="F862" s="42"/>
      <c r="G862" s="43"/>
      <c r="H862" s="43"/>
      <c r="I862" s="44"/>
      <c r="J862" s="44"/>
      <c r="K862" s="44"/>
      <c r="L862" s="45"/>
      <c r="M862" s="46"/>
      <c r="N862" s="45"/>
      <c r="O862" s="47" t="str">
        <f aca="false">IF(OR($L862="",$M862=""),"",(DATE(Semana!$J$3,1,4)-WEEKDAY(DATE(Semana!$J$3,1,4),3))+($L862-1)*7+MATCH($M862,Listas!$F$5:$F$11,0)-1)</f>
        <v/>
      </c>
      <c r="P862" s="47" t="str">
        <f aca="false">IF(OR($F862="",$O862=""),"",$O862+MAX(0,ROUNDUP($AK862*MAX(1,IF($N862="",1,$N862))/MAX(1,$AL862),0)-1))</f>
        <v/>
      </c>
      <c r="Q862" s="48"/>
      <c r="R862" s="43"/>
      <c r="S862" s="49"/>
      <c r="T862" s="42"/>
      <c r="U862" s="42"/>
      <c r="V862" s="39" t="str">
        <f aca="false">IF($F862="","",IF(ISNUMBER(SEARCH("(externo)",$I862&amp;$J862&amp;$K862)),"Terceirizada","Interna"))</f>
        <v/>
      </c>
      <c r="W862" s="47" t="str">
        <f aca="false">IF($O862="","",IF($S862="",$O862,(DATE(Semana!$J$3,1,4)-WEEKDAY(DATE(Semana!$J$3,1,4),3))+($S862-1)*7+IF($M862="",0,MATCH($M862,Listas!$F$5:$F$11,0)-1)))</f>
        <v/>
      </c>
      <c r="X862" s="39" t="str">
        <f aca="false">IF($F862="","",IF(OR($AT862="",$O862=""),0,IF($AT862&lt;=$O862,1,0)))</f>
        <v/>
      </c>
      <c r="Y862" s="39" t="str">
        <f aca="false">IF($F862="","",IF(OR($AT862="",$W862=""),0,IF($AT862&lt;=$W862,1,0)))</f>
        <v/>
      </c>
      <c r="Z862" s="39" t="str">
        <f aca="false">IF(OR($AT862="",$O862=""),"",MAX(0,$AT862-$O862))</f>
        <v/>
      </c>
      <c r="AA862" s="39" t="str">
        <f aca="false">IF($F862="","",IF(AND($S862&lt;&gt;"",$L862&lt;&gt;"",$S862&lt;&gt;$L862),1,0))</f>
        <v/>
      </c>
      <c r="AB862" s="39" t="str">
        <f aca="false">IF($F862="","",IF($R862="Cancelada",0,IF(OR($AT862&lt;&gt;"",$R862="Concluída"),1,0)))</f>
        <v/>
      </c>
      <c r="AC862" s="39" t="n">
        <f aca="false">IF($P862="",0,IF($P862&lt;Hoje!$L$1,1,IF(AND($P862=Hoje!$L$1,Hoje!$L$2&gt;Semana!$M$3),1,0)))</f>
        <v>0</v>
      </c>
      <c r="AD862" s="39" t="str">
        <f aca="false">IF($F862="","",IF(COUNTA($I862:$K862)=0,0,1/COUNTA($I862:$K862)))</f>
        <v/>
      </c>
      <c r="AE862" s="39" t="str">
        <f aca="false">IF($AH862=0,"",SUM($AH$4:$AH862))</f>
        <v/>
      </c>
      <c r="AF862" s="39" t="str">
        <f aca="false">IF($AI862=0,"",SUM($AI$4:$AI862))</f>
        <v/>
      </c>
      <c r="AG862" s="50" t="str">
        <f aca="false">IF($F862="","",$I862&amp;IF($J862="",""," · "&amp;$J862)&amp;IF($K862="",""," · "&amp;$K862))</f>
        <v/>
      </c>
      <c r="AH862" s="39" t="n">
        <f aca="false">IF(AND($F862&lt;&gt;"",$O862&lt;&gt;"",$O862&lt;=Hoje!$C$3,$P862&gt;=Hoje!$C$3,$R862&lt;&gt;"Cancelada"),1,0)</f>
        <v>0</v>
      </c>
      <c r="AI862" s="39" t="n">
        <f aca="false">IF(AND($F862&lt;&gt;"",$P862&lt;&gt;"",$P862&lt;Hoje!$C$3,$AB862=0,$R862&lt;&gt;"Cancelada"),1,0)</f>
        <v>0</v>
      </c>
      <c r="AJ862" s="50" t="str">
        <f aca="false">IF($F862="","",$D862&amp;"|"&amp;$E862&amp;"|"&amp;$L862)</f>
        <v/>
      </c>
      <c r="AK862" s="39" t="str">
        <f aca="false">IF($AJ862="","",COUNTIF($AJ$4:$AJ862,$AJ862))</f>
        <v/>
      </c>
      <c r="AL862" s="39" t="str">
        <f aca="false">IF($AJ862="","",COUNTIF($AJ$4:$AJ$1004,$AJ862))</f>
        <v/>
      </c>
      <c r="AM862" s="42"/>
      <c r="AN862" s="50" t="str">
        <f aca="false">IF($D862="","",IFERROR(T(VLOOKUP($D862,Listas!$B$5:$H$120,7,0)),""))</f>
        <v/>
      </c>
      <c r="AO862" s="50" t="str">
        <f aca="false">IF(OR($F862="",$L862&lt;&gt;"",$R862="Cancelada",$AT862&lt;&gt;""),"",$AN862&amp;"|"&amp;$D862&amp;"|"&amp;IF($C862="","zzz",$C862)&amp;"|"&amp;TEXT(862,"0000"))</f>
        <v/>
      </c>
      <c r="AP862" s="50" t="str">
        <f aca="false">IF($AO862="","",COUNTIF($AO$5:$AO$1004,"&lt;"&amp;$AO862)-(ROWS($AO$5:$AO$1004)-Hoje!$L$5)+1)</f>
        <v/>
      </c>
      <c r="AQ862" s="50" t="n">
        <f aca="false">IF(AND($F862&lt;&gt;"",$D862=Frota!$C$3),1,0)</f>
        <v>0</v>
      </c>
      <c r="AR862" s="50" t="str">
        <f aca="false">IF($AQ862=0,"",SUM($AQ$4:$AQ862))</f>
        <v/>
      </c>
      <c r="AS862" s="50" t="str">
        <f aca="false">IFERROR(INDEX(Hoje!$K$10:$K$29,MATCH(ROW(),Hoje!$J$10:$J$29,0)),"")</f>
        <v/>
      </c>
      <c r="AT862" s="50" t="str">
        <f aca="false">IF($Q862&lt;&gt;"",$Q862,$AS862)</f>
        <v/>
      </c>
    </row>
    <row r="863" customFormat="false" ht="16.5" hidden="false" customHeight="true" outlineLevel="0" collapsed="false">
      <c r="A863" s="39" t="str">
        <f aca="false">IF($F863="","",ROW())</f>
        <v/>
      </c>
      <c r="B863" s="40" t="str">
        <f aca="false">IF($F863="",IF($D863="","","Falta a atividade"),IF($R863="Cancelada","Cancelada",IF($AB863=1,IF(N($Z863)&gt;0,"Concluída com atraso","Concluída"),IF($R863="Em programação","Em programação",IF($O863="",IF($M863="","Na carteira","Falta a semana"),IF($AC863=1,"VENCIDA",IF($O863&gt;Hoje!$L$1,"Programada",IF($P863&gt;Hoje!$L$1,"Em execução","Fecha hoje"))))))))</f>
        <v/>
      </c>
      <c r="C863" s="41"/>
      <c r="D863" s="42"/>
      <c r="E863" s="42"/>
      <c r="F863" s="42"/>
      <c r="G863" s="43"/>
      <c r="H863" s="43"/>
      <c r="I863" s="44"/>
      <c r="J863" s="44"/>
      <c r="K863" s="44"/>
      <c r="L863" s="45"/>
      <c r="M863" s="46"/>
      <c r="N863" s="45"/>
      <c r="O863" s="47" t="str">
        <f aca="false">IF(OR($L863="",$M863=""),"",(DATE(Semana!$J$3,1,4)-WEEKDAY(DATE(Semana!$J$3,1,4),3))+($L863-1)*7+MATCH($M863,Listas!$F$5:$F$11,0)-1)</f>
        <v/>
      </c>
      <c r="P863" s="47" t="str">
        <f aca="false">IF(OR($F863="",$O863=""),"",$O863+MAX(0,ROUNDUP($AK863*MAX(1,IF($N863="",1,$N863))/MAX(1,$AL863),0)-1))</f>
        <v/>
      </c>
      <c r="Q863" s="48"/>
      <c r="R863" s="43"/>
      <c r="S863" s="49"/>
      <c r="T863" s="42"/>
      <c r="U863" s="42"/>
      <c r="V863" s="39" t="str">
        <f aca="false">IF($F863="","",IF(ISNUMBER(SEARCH("(externo)",$I863&amp;$J863&amp;$K863)),"Terceirizada","Interna"))</f>
        <v/>
      </c>
      <c r="W863" s="47" t="str">
        <f aca="false">IF($O863="","",IF($S863="",$O863,(DATE(Semana!$J$3,1,4)-WEEKDAY(DATE(Semana!$J$3,1,4),3))+($S863-1)*7+IF($M863="",0,MATCH($M863,Listas!$F$5:$F$11,0)-1)))</f>
        <v/>
      </c>
      <c r="X863" s="39" t="str">
        <f aca="false">IF($F863="","",IF(OR($AT863="",$O863=""),0,IF($AT863&lt;=$O863,1,0)))</f>
        <v/>
      </c>
      <c r="Y863" s="39" t="str">
        <f aca="false">IF($F863="","",IF(OR($AT863="",$W863=""),0,IF($AT863&lt;=$W863,1,0)))</f>
        <v/>
      </c>
      <c r="Z863" s="39" t="str">
        <f aca="false">IF(OR($AT863="",$O863=""),"",MAX(0,$AT863-$O863))</f>
        <v/>
      </c>
      <c r="AA863" s="39" t="str">
        <f aca="false">IF($F863="","",IF(AND($S863&lt;&gt;"",$L863&lt;&gt;"",$S863&lt;&gt;$L863),1,0))</f>
        <v/>
      </c>
      <c r="AB863" s="39" t="str">
        <f aca="false">IF($F863="","",IF($R863="Cancelada",0,IF(OR($AT863&lt;&gt;"",$R863="Concluída"),1,0)))</f>
        <v/>
      </c>
      <c r="AC863" s="39" t="n">
        <f aca="false">IF($P863="",0,IF($P863&lt;Hoje!$L$1,1,IF(AND($P863=Hoje!$L$1,Hoje!$L$2&gt;Semana!$M$3),1,0)))</f>
        <v>0</v>
      </c>
      <c r="AD863" s="39" t="str">
        <f aca="false">IF($F863="","",IF(COUNTA($I863:$K863)=0,0,1/COUNTA($I863:$K863)))</f>
        <v/>
      </c>
      <c r="AE863" s="39" t="str">
        <f aca="false">IF($AH863=0,"",SUM($AH$4:$AH863))</f>
        <v/>
      </c>
      <c r="AF863" s="39" t="str">
        <f aca="false">IF($AI863=0,"",SUM($AI$4:$AI863))</f>
        <v/>
      </c>
      <c r="AG863" s="50" t="str">
        <f aca="false">IF($F863="","",$I863&amp;IF($J863="",""," · "&amp;$J863)&amp;IF($K863="",""," · "&amp;$K863))</f>
        <v/>
      </c>
      <c r="AH863" s="39" t="n">
        <f aca="false">IF(AND($F863&lt;&gt;"",$O863&lt;&gt;"",$O863&lt;=Hoje!$C$3,$P863&gt;=Hoje!$C$3,$R863&lt;&gt;"Cancelada"),1,0)</f>
        <v>0</v>
      </c>
      <c r="AI863" s="39" t="n">
        <f aca="false">IF(AND($F863&lt;&gt;"",$P863&lt;&gt;"",$P863&lt;Hoje!$C$3,$AB863=0,$R863&lt;&gt;"Cancelada"),1,0)</f>
        <v>0</v>
      </c>
      <c r="AJ863" s="50" t="str">
        <f aca="false">IF($F863="","",$D863&amp;"|"&amp;$E863&amp;"|"&amp;$L863)</f>
        <v/>
      </c>
      <c r="AK863" s="39" t="str">
        <f aca="false">IF($AJ863="","",COUNTIF($AJ$4:$AJ863,$AJ863))</f>
        <v/>
      </c>
      <c r="AL863" s="39" t="str">
        <f aca="false">IF($AJ863="","",COUNTIF($AJ$4:$AJ$1004,$AJ863))</f>
        <v/>
      </c>
      <c r="AM863" s="42"/>
      <c r="AN863" s="50" t="str">
        <f aca="false">IF($D863="","",IFERROR(T(VLOOKUP($D863,Listas!$B$5:$H$120,7,0)),""))</f>
        <v/>
      </c>
      <c r="AO863" s="50" t="str">
        <f aca="false">IF(OR($F863="",$L863&lt;&gt;"",$R863="Cancelada",$AT863&lt;&gt;""),"",$AN863&amp;"|"&amp;$D863&amp;"|"&amp;IF($C863="","zzz",$C863)&amp;"|"&amp;TEXT(863,"0000"))</f>
        <v/>
      </c>
      <c r="AP863" s="50" t="str">
        <f aca="false">IF($AO863="","",COUNTIF($AO$5:$AO$1004,"&lt;"&amp;$AO863)-(ROWS($AO$5:$AO$1004)-Hoje!$L$5)+1)</f>
        <v/>
      </c>
      <c r="AQ863" s="50" t="n">
        <f aca="false">IF(AND($F863&lt;&gt;"",$D863=Frota!$C$3),1,0)</f>
        <v>0</v>
      </c>
      <c r="AR863" s="50" t="str">
        <f aca="false">IF($AQ863=0,"",SUM($AQ$4:$AQ863))</f>
        <v/>
      </c>
      <c r="AS863" s="50" t="str">
        <f aca="false">IFERROR(INDEX(Hoje!$K$10:$K$29,MATCH(ROW(),Hoje!$J$10:$J$29,0)),"")</f>
        <v/>
      </c>
      <c r="AT863" s="50" t="str">
        <f aca="false">IF($Q863&lt;&gt;"",$Q863,$AS863)</f>
        <v/>
      </c>
    </row>
    <row r="864" customFormat="false" ht="16.5" hidden="false" customHeight="true" outlineLevel="0" collapsed="false">
      <c r="A864" s="39" t="str">
        <f aca="false">IF($F864="","",ROW())</f>
        <v/>
      </c>
      <c r="B864" s="40" t="str">
        <f aca="false">IF($F864="",IF($D864="","","Falta a atividade"),IF($R864="Cancelada","Cancelada",IF($AB864=1,IF(N($Z864)&gt;0,"Concluída com atraso","Concluída"),IF($R864="Em programação","Em programação",IF($O864="",IF($M864="","Na carteira","Falta a semana"),IF($AC864=1,"VENCIDA",IF($O864&gt;Hoje!$L$1,"Programada",IF($P864&gt;Hoje!$L$1,"Em execução","Fecha hoje"))))))))</f>
        <v/>
      </c>
      <c r="C864" s="41"/>
      <c r="D864" s="42"/>
      <c r="E864" s="42"/>
      <c r="F864" s="42"/>
      <c r="G864" s="43"/>
      <c r="H864" s="43"/>
      <c r="I864" s="44"/>
      <c r="J864" s="44"/>
      <c r="K864" s="44"/>
      <c r="L864" s="45"/>
      <c r="M864" s="46"/>
      <c r="N864" s="45"/>
      <c r="O864" s="47" t="str">
        <f aca="false">IF(OR($L864="",$M864=""),"",(DATE(Semana!$J$3,1,4)-WEEKDAY(DATE(Semana!$J$3,1,4),3))+($L864-1)*7+MATCH($M864,Listas!$F$5:$F$11,0)-1)</f>
        <v/>
      </c>
      <c r="P864" s="47" t="str">
        <f aca="false">IF(OR($F864="",$O864=""),"",$O864+MAX(0,ROUNDUP($AK864*MAX(1,IF($N864="",1,$N864))/MAX(1,$AL864),0)-1))</f>
        <v/>
      </c>
      <c r="Q864" s="48"/>
      <c r="R864" s="43"/>
      <c r="S864" s="49"/>
      <c r="T864" s="42"/>
      <c r="U864" s="42"/>
      <c r="V864" s="39" t="str">
        <f aca="false">IF($F864="","",IF(ISNUMBER(SEARCH("(externo)",$I864&amp;$J864&amp;$K864)),"Terceirizada","Interna"))</f>
        <v/>
      </c>
      <c r="W864" s="47" t="str">
        <f aca="false">IF($O864="","",IF($S864="",$O864,(DATE(Semana!$J$3,1,4)-WEEKDAY(DATE(Semana!$J$3,1,4),3))+($S864-1)*7+IF($M864="",0,MATCH($M864,Listas!$F$5:$F$11,0)-1)))</f>
        <v/>
      </c>
      <c r="X864" s="39" t="str">
        <f aca="false">IF($F864="","",IF(OR($AT864="",$O864=""),0,IF($AT864&lt;=$O864,1,0)))</f>
        <v/>
      </c>
      <c r="Y864" s="39" t="str">
        <f aca="false">IF($F864="","",IF(OR($AT864="",$W864=""),0,IF($AT864&lt;=$W864,1,0)))</f>
        <v/>
      </c>
      <c r="Z864" s="39" t="str">
        <f aca="false">IF(OR($AT864="",$O864=""),"",MAX(0,$AT864-$O864))</f>
        <v/>
      </c>
      <c r="AA864" s="39" t="str">
        <f aca="false">IF($F864="","",IF(AND($S864&lt;&gt;"",$L864&lt;&gt;"",$S864&lt;&gt;$L864),1,0))</f>
        <v/>
      </c>
      <c r="AB864" s="39" t="str">
        <f aca="false">IF($F864="","",IF($R864="Cancelada",0,IF(OR($AT864&lt;&gt;"",$R864="Concluída"),1,0)))</f>
        <v/>
      </c>
      <c r="AC864" s="39" t="n">
        <f aca="false">IF($P864="",0,IF($P864&lt;Hoje!$L$1,1,IF(AND($P864=Hoje!$L$1,Hoje!$L$2&gt;Semana!$M$3),1,0)))</f>
        <v>0</v>
      </c>
      <c r="AD864" s="39" t="str">
        <f aca="false">IF($F864="","",IF(COUNTA($I864:$K864)=0,0,1/COUNTA($I864:$K864)))</f>
        <v/>
      </c>
      <c r="AE864" s="39" t="str">
        <f aca="false">IF($AH864=0,"",SUM($AH$4:$AH864))</f>
        <v/>
      </c>
      <c r="AF864" s="39" t="str">
        <f aca="false">IF($AI864=0,"",SUM($AI$4:$AI864))</f>
        <v/>
      </c>
      <c r="AG864" s="50" t="str">
        <f aca="false">IF($F864="","",$I864&amp;IF($J864="",""," · "&amp;$J864)&amp;IF($K864="",""," · "&amp;$K864))</f>
        <v/>
      </c>
      <c r="AH864" s="39" t="n">
        <f aca="false">IF(AND($F864&lt;&gt;"",$O864&lt;&gt;"",$O864&lt;=Hoje!$C$3,$P864&gt;=Hoje!$C$3,$R864&lt;&gt;"Cancelada"),1,0)</f>
        <v>0</v>
      </c>
      <c r="AI864" s="39" t="n">
        <f aca="false">IF(AND($F864&lt;&gt;"",$P864&lt;&gt;"",$P864&lt;Hoje!$C$3,$AB864=0,$R864&lt;&gt;"Cancelada"),1,0)</f>
        <v>0</v>
      </c>
      <c r="AJ864" s="50" t="str">
        <f aca="false">IF($F864="","",$D864&amp;"|"&amp;$E864&amp;"|"&amp;$L864)</f>
        <v/>
      </c>
      <c r="AK864" s="39" t="str">
        <f aca="false">IF($AJ864="","",COUNTIF($AJ$4:$AJ864,$AJ864))</f>
        <v/>
      </c>
      <c r="AL864" s="39" t="str">
        <f aca="false">IF($AJ864="","",COUNTIF($AJ$4:$AJ$1004,$AJ864))</f>
        <v/>
      </c>
      <c r="AM864" s="42"/>
      <c r="AN864" s="50" t="str">
        <f aca="false">IF($D864="","",IFERROR(T(VLOOKUP($D864,Listas!$B$5:$H$120,7,0)),""))</f>
        <v/>
      </c>
      <c r="AO864" s="50" t="str">
        <f aca="false">IF(OR($F864="",$L864&lt;&gt;"",$R864="Cancelada",$AT864&lt;&gt;""),"",$AN864&amp;"|"&amp;$D864&amp;"|"&amp;IF($C864="","zzz",$C864)&amp;"|"&amp;TEXT(864,"0000"))</f>
        <v/>
      </c>
      <c r="AP864" s="50" t="str">
        <f aca="false">IF($AO864="","",COUNTIF($AO$5:$AO$1004,"&lt;"&amp;$AO864)-(ROWS($AO$5:$AO$1004)-Hoje!$L$5)+1)</f>
        <v/>
      </c>
      <c r="AQ864" s="50" t="n">
        <f aca="false">IF(AND($F864&lt;&gt;"",$D864=Frota!$C$3),1,0)</f>
        <v>0</v>
      </c>
      <c r="AR864" s="50" t="str">
        <f aca="false">IF($AQ864=0,"",SUM($AQ$4:$AQ864))</f>
        <v/>
      </c>
      <c r="AS864" s="50" t="str">
        <f aca="false">IFERROR(INDEX(Hoje!$K$10:$K$29,MATCH(ROW(),Hoje!$J$10:$J$29,0)),"")</f>
        <v/>
      </c>
      <c r="AT864" s="50" t="str">
        <f aca="false">IF($Q864&lt;&gt;"",$Q864,$AS864)</f>
        <v/>
      </c>
    </row>
    <row r="865" customFormat="false" ht="16.5" hidden="false" customHeight="true" outlineLevel="0" collapsed="false">
      <c r="A865" s="39" t="str">
        <f aca="false">IF($F865="","",ROW())</f>
        <v/>
      </c>
      <c r="B865" s="40" t="str">
        <f aca="false">IF($F865="",IF($D865="","","Falta a atividade"),IF($R865="Cancelada","Cancelada",IF($AB865=1,IF(N($Z865)&gt;0,"Concluída com atraso","Concluída"),IF($R865="Em programação","Em programação",IF($O865="",IF($M865="","Na carteira","Falta a semana"),IF($AC865=1,"VENCIDA",IF($O865&gt;Hoje!$L$1,"Programada",IF($P865&gt;Hoje!$L$1,"Em execução","Fecha hoje"))))))))</f>
        <v/>
      </c>
      <c r="C865" s="41"/>
      <c r="D865" s="42"/>
      <c r="E865" s="42"/>
      <c r="F865" s="42"/>
      <c r="G865" s="43"/>
      <c r="H865" s="43"/>
      <c r="I865" s="44"/>
      <c r="J865" s="44"/>
      <c r="K865" s="44"/>
      <c r="L865" s="45"/>
      <c r="M865" s="46"/>
      <c r="N865" s="45"/>
      <c r="O865" s="47" t="str">
        <f aca="false">IF(OR($L865="",$M865=""),"",(DATE(Semana!$J$3,1,4)-WEEKDAY(DATE(Semana!$J$3,1,4),3))+($L865-1)*7+MATCH($M865,Listas!$F$5:$F$11,0)-1)</f>
        <v/>
      </c>
      <c r="P865" s="47" t="str">
        <f aca="false">IF(OR($F865="",$O865=""),"",$O865+MAX(0,ROUNDUP($AK865*MAX(1,IF($N865="",1,$N865))/MAX(1,$AL865),0)-1))</f>
        <v/>
      </c>
      <c r="Q865" s="48"/>
      <c r="R865" s="43"/>
      <c r="S865" s="49"/>
      <c r="T865" s="42"/>
      <c r="U865" s="42"/>
      <c r="V865" s="39" t="str">
        <f aca="false">IF($F865="","",IF(ISNUMBER(SEARCH("(externo)",$I865&amp;$J865&amp;$K865)),"Terceirizada","Interna"))</f>
        <v/>
      </c>
      <c r="W865" s="47" t="str">
        <f aca="false">IF($O865="","",IF($S865="",$O865,(DATE(Semana!$J$3,1,4)-WEEKDAY(DATE(Semana!$J$3,1,4),3))+($S865-1)*7+IF($M865="",0,MATCH($M865,Listas!$F$5:$F$11,0)-1)))</f>
        <v/>
      </c>
      <c r="X865" s="39" t="str">
        <f aca="false">IF($F865="","",IF(OR($AT865="",$O865=""),0,IF($AT865&lt;=$O865,1,0)))</f>
        <v/>
      </c>
      <c r="Y865" s="39" t="str">
        <f aca="false">IF($F865="","",IF(OR($AT865="",$W865=""),0,IF($AT865&lt;=$W865,1,0)))</f>
        <v/>
      </c>
      <c r="Z865" s="39" t="str">
        <f aca="false">IF(OR($AT865="",$O865=""),"",MAX(0,$AT865-$O865))</f>
        <v/>
      </c>
      <c r="AA865" s="39" t="str">
        <f aca="false">IF($F865="","",IF(AND($S865&lt;&gt;"",$L865&lt;&gt;"",$S865&lt;&gt;$L865),1,0))</f>
        <v/>
      </c>
      <c r="AB865" s="39" t="str">
        <f aca="false">IF($F865="","",IF($R865="Cancelada",0,IF(OR($AT865&lt;&gt;"",$R865="Concluída"),1,0)))</f>
        <v/>
      </c>
      <c r="AC865" s="39" t="n">
        <f aca="false">IF($P865="",0,IF($P865&lt;Hoje!$L$1,1,IF(AND($P865=Hoje!$L$1,Hoje!$L$2&gt;Semana!$M$3),1,0)))</f>
        <v>0</v>
      </c>
      <c r="AD865" s="39" t="str">
        <f aca="false">IF($F865="","",IF(COUNTA($I865:$K865)=0,0,1/COUNTA($I865:$K865)))</f>
        <v/>
      </c>
      <c r="AE865" s="39" t="str">
        <f aca="false">IF($AH865=0,"",SUM($AH$4:$AH865))</f>
        <v/>
      </c>
      <c r="AF865" s="39" t="str">
        <f aca="false">IF($AI865=0,"",SUM($AI$4:$AI865))</f>
        <v/>
      </c>
      <c r="AG865" s="50" t="str">
        <f aca="false">IF($F865="","",$I865&amp;IF($J865="",""," · "&amp;$J865)&amp;IF($K865="",""," · "&amp;$K865))</f>
        <v/>
      </c>
      <c r="AH865" s="39" t="n">
        <f aca="false">IF(AND($F865&lt;&gt;"",$O865&lt;&gt;"",$O865&lt;=Hoje!$C$3,$P865&gt;=Hoje!$C$3,$R865&lt;&gt;"Cancelada"),1,0)</f>
        <v>0</v>
      </c>
      <c r="AI865" s="39" t="n">
        <f aca="false">IF(AND($F865&lt;&gt;"",$P865&lt;&gt;"",$P865&lt;Hoje!$C$3,$AB865=0,$R865&lt;&gt;"Cancelada"),1,0)</f>
        <v>0</v>
      </c>
      <c r="AJ865" s="50" t="str">
        <f aca="false">IF($F865="","",$D865&amp;"|"&amp;$E865&amp;"|"&amp;$L865)</f>
        <v/>
      </c>
      <c r="AK865" s="39" t="str">
        <f aca="false">IF($AJ865="","",COUNTIF($AJ$4:$AJ865,$AJ865))</f>
        <v/>
      </c>
      <c r="AL865" s="39" t="str">
        <f aca="false">IF($AJ865="","",COUNTIF($AJ$4:$AJ$1004,$AJ865))</f>
        <v/>
      </c>
      <c r="AM865" s="42"/>
      <c r="AN865" s="50" t="str">
        <f aca="false">IF($D865="","",IFERROR(T(VLOOKUP($D865,Listas!$B$5:$H$120,7,0)),""))</f>
        <v/>
      </c>
      <c r="AO865" s="50" t="str">
        <f aca="false">IF(OR($F865="",$L865&lt;&gt;"",$R865="Cancelada",$AT865&lt;&gt;""),"",$AN865&amp;"|"&amp;$D865&amp;"|"&amp;IF($C865="","zzz",$C865)&amp;"|"&amp;TEXT(865,"0000"))</f>
        <v/>
      </c>
      <c r="AP865" s="50" t="str">
        <f aca="false">IF($AO865="","",COUNTIF($AO$5:$AO$1004,"&lt;"&amp;$AO865)-(ROWS($AO$5:$AO$1004)-Hoje!$L$5)+1)</f>
        <v/>
      </c>
      <c r="AQ865" s="50" t="n">
        <f aca="false">IF(AND($F865&lt;&gt;"",$D865=Frota!$C$3),1,0)</f>
        <v>0</v>
      </c>
      <c r="AR865" s="50" t="str">
        <f aca="false">IF($AQ865=0,"",SUM($AQ$4:$AQ865))</f>
        <v/>
      </c>
      <c r="AS865" s="50" t="str">
        <f aca="false">IFERROR(INDEX(Hoje!$K$10:$K$29,MATCH(ROW(),Hoje!$J$10:$J$29,0)),"")</f>
        <v/>
      </c>
      <c r="AT865" s="50" t="str">
        <f aca="false">IF($Q865&lt;&gt;"",$Q865,$AS865)</f>
        <v/>
      </c>
    </row>
    <row r="866" customFormat="false" ht="16.5" hidden="false" customHeight="true" outlineLevel="0" collapsed="false">
      <c r="A866" s="39" t="str">
        <f aca="false">IF($F866="","",ROW())</f>
        <v/>
      </c>
      <c r="B866" s="40" t="str">
        <f aca="false">IF($F866="",IF($D866="","","Falta a atividade"),IF($R866="Cancelada","Cancelada",IF($AB866=1,IF(N($Z866)&gt;0,"Concluída com atraso","Concluída"),IF($R866="Em programação","Em programação",IF($O866="",IF($M866="","Na carteira","Falta a semana"),IF($AC866=1,"VENCIDA",IF($O866&gt;Hoje!$L$1,"Programada",IF($P866&gt;Hoje!$L$1,"Em execução","Fecha hoje"))))))))</f>
        <v/>
      </c>
      <c r="C866" s="41"/>
      <c r="D866" s="42"/>
      <c r="E866" s="42"/>
      <c r="F866" s="42"/>
      <c r="G866" s="43"/>
      <c r="H866" s="43"/>
      <c r="I866" s="44"/>
      <c r="J866" s="44"/>
      <c r="K866" s="44"/>
      <c r="L866" s="45"/>
      <c r="M866" s="46"/>
      <c r="N866" s="45"/>
      <c r="O866" s="47" t="str">
        <f aca="false">IF(OR($L866="",$M866=""),"",(DATE(Semana!$J$3,1,4)-WEEKDAY(DATE(Semana!$J$3,1,4),3))+($L866-1)*7+MATCH($M866,Listas!$F$5:$F$11,0)-1)</f>
        <v/>
      </c>
      <c r="P866" s="47" t="str">
        <f aca="false">IF(OR($F866="",$O866=""),"",$O866+MAX(0,ROUNDUP($AK866*MAX(1,IF($N866="",1,$N866))/MAX(1,$AL866),0)-1))</f>
        <v/>
      </c>
      <c r="Q866" s="48"/>
      <c r="R866" s="43"/>
      <c r="S866" s="49"/>
      <c r="T866" s="42"/>
      <c r="U866" s="42"/>
      <c r="V866" s="39" t="str">
        <f aca="false">IF($F866="","",IF(ISNUMBER(SEARCH("(externo)",$I866&amp;$J866&amp;$K866)),"Terceirizada","Interna"))</f>
        <v/>
      </c>
      <c r="W866" s="47" t="str">
        <f aca="false">IF($O866="","",IF($S866="",$O866,(DATE(Semana!$J$3,1,4)-WEEKDAY(DATE(Semana!$J$3,1,4),3))+($S866-1)*7+IF($M866="",0,MATCH($M866,Listas!$F$5:$F$11,0)-1)))</f>
        <v/>
      </c>
      <c r="X866" s="39" t="str">
        <f aca="false">IF($F866="","",IF(OR($AT866="",$O866=""),0,IF($AT866&lt;=$O866,1,0)))</f>
        <v/>
      </c>
      <c r="Y866" s="39" t="str">
        <f aca="false">IF($F866="","",IF(OR($AT866="",$W866=""),0,IF($AT866&lt;=$W866,1,0)))</f>
        <v/>
      </c>
      <c r="Z866" s="39" t="str">
        <f aca="false">IF(OR($AT866="",$O866=""),"",MAX(0,$AT866-$O866))</f>
        <v/>
      </c>
      <c r="AA866" s="39" t="str">
        <f aca="false">IF($F866="","",IF(AND($S866&lt;&gt;"",$L866&lt;&gt;"",$S866&lt;&gt;$L866),1,0))</f>
        <v/>
      </c>
      <c r="AB866" s="39" t="str">
        <f aca="false">IF($F866="","",IF($R866="Cancelada",0,IF(OR($AT866&lt;&gt;"",$R866="Concluída"),1,0)))</f>
        <v/>
      </c>
      <c r="AC866" s="39" t="n">
        <f aca="false">IF($P866="",0,IF($P866&lt;Hoje!$L$1,1,IF(AND($P866=Hoje!$L$1,Hoje!$L$2&gt;Semana!$M$3),1,0)))</f>
        <v>0</v>
      </c>
      <c r="AD866" s="39" t="str">
        <f aca="false">IF($F866="","",IF(COUNTA($I866:$K866)=0,0,1/COUNTA($I866:$K866)))</f>
        <v/>
      </c>
      <c r="AE866" s="39" t="str">
        <f aca="false">IF($AH866=0,"",SUM($AH$4:$AH866))</f>
        <v/>
      </c>
      <c r="AF866" s="39" t="str">
        <f aca="false">IF($AI866=0,"",SUM($AI$4:$AI866))</f>
        <v/>
      </c>
      <c r="AG866" s="50" t="str">
        <f aca="false">IF($F866="","",$I866&amp;IF($J866="",""," · "&amp;$J866)&amp;IF($K866="",""," · "&amp;$K866))</f>
        <v/>
      </c>
      <c r="AH866" s="39" t="n">
        <f aca="false">IF(AND($F866&lt;&gt;"",$O866&lt;&gt;"",$O866&lt;=Hoje!$C$3,$P866&gt;=Hoje!$C$3,$R866&lt;&gt;"Cancelada"),1,0)</f>
        <v>0</v>
      </c>
      <c r="AI866" s="39" t="n">
        <f aca="false">IF(AND($F866&lt;&gt;"",$P866&lt;&gt;"",$P866&lt;Hoje!$C$3,$AB866=0,$R866&lt;&gt;"Cancelada"),1,0)</f>
        <v>0</v>
      </c>
      <c r="AJ866" s="50" t="str">
        <f aca="false">IF($F866="","",$D866&amp;"|"&amp;$E866&amp;"|"&amp;$L866)</f>
        <v/>
      </c>
      <c r="AK866" s="39" t="str">
        <f aca="false">IF($AJ866="","",COUNTIF($AJ$4:$AJ866,$AJ866))</f>
        <v/>
      </c>
      <c r="AL866" s="39" t="str">
        <f aca="false">IF($AJ866="","",COUNTIF($AJ$4:$AJ$1004,$AJ866))</f>
        <v/>
      </c>
      <c r="AM866" s="42"/>
      <c r="AN866" s="50" t="str">
        <f aca="false">IF($D866="","",IFERROR(T(VLOOKUP($D866,Listas!$B$5:$H$120,7,0)),""))</f>
        <v/>
      </c>
      <c r="AO866" s="50" t="str">
        <f aca="false">IF(OR($F866="",$L866&lt;&gt;"",$R866="Cancelada",$AT866&lt;&gt;""),"",$AN866&amp;"|"&amp;$D866&amp;"|"&amp;IF($C866="","zzz",$C866)&amp;"|"&amp;TEXT(866,"0000"))</f>
        <v/>
      </c>
      <c r="AP866" s="50" t="str">
        <f aca="false">IF($AO866="","",COUNTIF($AO$5:$AO$1004,"&lt;"&amp;$AO866)-(ROWS($AO$5:$AO$1004)-Hoje!$L$5)+1)</f>
        <v/>
      </c>
      <c r="AQ866" s="50" t="n">
        <f aca="false">IF(AND($F866&lt;&gt;"",$D866=Frota!$C$3),1,0)</f>
        <v>0</v>
      </c>
      <c r="AR866" s="50" t="str">
        <f aca="false">IF($AQ866=0,"",SUM($AQ$4:$AQ866))</f>
        <v/>
      </c>
      <c r="AS866" s="50" t="str">
        <f aca="false">IFERROR(INDEX(Hoje!$K$10:$K$29,MATCH(ROW(),Hoje!$J$10:$J$29,0)),"")</f>
        <v/>
      </c>
      <c r="AT866" s="50" t="str">
        <f aca="false">IF($Q866&lt;&gt;"",$Q866,$AS866)</f>
        <v/>
      </c>
    </row>
    <row r="867" customFormat="false" ht="16.5" hidden="false" customHeight="true" outlineLevel="0" collapsed="false">
      <c r="A867" s="39" t="str">
        <f aca="false">IF($F867="","",ROW())</f>
        <v/>
      </c>
      <c r="B867" s="40" t="str">
        <f aca="false">IF($F867="",IF($D867="","","Falta a atividade"),IF($R867="Cancelada","Cancelada",IF($AB867=1,IF(N($Z867)&gt;0,"Concluída com atraso","Concluída"),IF($R867="Em programação","Em programação",IF($O867="",IF($M867="","Na carteira","Falta a semana"),IF($AC867=1,"VENCIDA",IF($O867&gt;Hoje!$L$1,"Programada",IF($P867&gt;Hoje!$L$1,"Em execução","Fecha hoje"))))))))</f>
        <v/>
      </c>
      <c r="C867" s="41"/>
      <c r="D867" s="42"/>
      <c r="E867" s="42"/>
      <c r="F867" s="42"/>
      <c r="G867" s="43"/>
      <c r="H867" s="43"/>
      <c r="I867" s="44"/>
      <c r="J867" s="44"/>
      <c r="K867" s="44"/>
      <c r="L867" s="45"/>
      <c r="M867" s="46"/>
      <c r="N867" s="45"/>
      <c r="O867" s="47" t="str">
        <f aca="false">IF(OR($L867="",$M867=""),"",(DATE(Semana!$J$3,1,4)-WEEKDAY(DATE(Semana!$J$3,1,4),3))+($L867-1)*7+MATCH($M867,Listas!$F$5:$F$11,0)-1)</f>
        <v/>
      </c>
      <c r="P867" s="47" t="str">
        <f aca="false">IF(OR($F867="",$O867=""),"",$O867+MAX(0,ROUNDUP($AK867*MAX(1,IF($N867="",1,$N867))/MAX(1,$AL867),0)-1))</f>
        <v/>
      </c>
      <c r="Q867" s="48"/>
      <c r="R867" s="43"/>
      <c r="S867" s="49"/>
      <c r="T867" s="42"/>
      <c r="U867" s="42"/>
      <c r="V867" s="39" t="str">
        <f aca="false">IF($F867="","",IF(ISNUMBER(SEARCH("(externo)",$I867&amp;$J867&amp;$K867)),"Terceirizada","Interna"))</f>
        <v/>
      </c>
      <c r="W867" s="47" t="str">
        <f aca="false">IF($O867="","",IF($S867="",$O867,(DATE(Semana!$J$3,1,4)-WEEKDAY(DATE(Semana!$J$3,1,4),3))+($S867-1)*7+IF($M867="",0,MATCH($M867,Listas!$F$5:$F$11,0)-1)))</f>
        <v/>
      </c>
      <c r="X867" s="39" t="str">
        <f aca="false">IF($F867="","",IF(OR($AT867="",$O867=""),0,IF($AT867&lt;=$O867,1,0)))</f>
        <v/>
      </c>
      <c r="Y867" s="39" t="str">
        <f aca="false">IF($F867="","",IF(OR($AT867="",$W867=""),0,IF($AT867&lt;=$W867,1,0)))</f>
        <v/>
      </c>
      <c r="Z867" s="39" t="str">
        <f aca="false">IF(OR($AT867="",$O867=""),"",MAX(0,$AT867-$O867))</f>
        <v/>
      </c>
      <c r="AA867" s="39" t="str">
        <f aca="false">IF($F867="","",IF(AND($S867&lt;&gt;"",$L867&lt;&gt;"",$S867&lt;&gt;$L867),1,0))</f>
        <v/>
      </c>
      <c r="AB867" s="39" t="str">
        <f aca="false">IF($F867="","",IF($R867="Cancelada",0,IF(OR($AT867&lt;&gt;"",$R867="Concluída"),1,0)))</f>
        <v/>
      </c>
      <c r="AC867" s="39" t="n">
        <f aca="false">IF($P867="",0,IF($P867&lt;Hoje!$L$1,1,IF(AND($P867=Hoje!$L$1,Hoje!$L$2&gt;Semana!$M$3),1,0)))</f>
        <v>0</v>
      </c>
      <c r="AD867" s="39" t="str">
        <f aca="false">IF($F867="","",IF(COUNTA($I867:$K867)=0,0,1/COUNTA($I867:$K867)))</f>
        <v/>
      </c>
      <c r="AE867" s="39" t="str">
        <f aca="false">IF($AH867=0,"",SUM($AH$4:$AH867))</f>
        <v/>
      </c>
      <c r="AF867" s="39" t="str">
        <f aca="false">IF($AI867=0,"",SUM($AI$4:$AI867))</f>
        <v/>
      </c>
      <c r="AG867" s="50" t="str">
        <f aca="false">IF($F867="","",$I867&amp;IF($J867="",""," · "&amp;$J867)&amp;IF($K867="",""," · "&amp;$K867))</f>
        <v/>
      </c>
      <c r="AH867" s="39" t="n">
        <f aca="false">IF(AND($F867&lt;&gt;"",$O867&lt;&gt;"",$O867&lt;=Hoje!$C$3,$P867&gt;=Hoje!$C$3,$R867&lt;&gt;"Cancelada"),1,0)</f>
        <v>0</v>
      </c>
      <c r="AI867" s="39" t="n">
        <f aca="false">IF(AND($F867&lt;&gt;"",$P867&lt;&gt;"",$P867&lt;Hoje!$C$3,$AB867=0,$R867&lt;&gt;"Cancelada"),1,0)</f>
        <v>0</v>
      </c>
      <c r="AJ867" s="50" t="str">
        <f aca="false">IF($F867="","",$D867&amp;"|"&amp;$E867&amp;"|"&amp;$L867)</f>
        <v/>
      </c>
      <c r="AK867" s="39" t="str">
        <f aca="false">IF($AJ867="","",COUNTIF($AJ$4:$AJ867,$AJ867))</f>
        <v/>
      </c>
      <c r="AL867" s="39" t="str">
        <f aca="false">IF($AJ867="","",COUNTIF($AJ$4:$AJ$1004,$AJ867))</f>
        <v/>
      </c>
      <c r="AM867" s="42"/>
      <c r="AN867" s="50" t="str">
        <f aca="false">IF($D867="","",IFERROR(T(VLOOKUP($D867,Listas!$B$5:$H$120,7,0)),""))</f>
        <v/>
      </c>
      <c r="AO867" s="50" t="str">
        <f aca="false">IF(OR($F867="",$L867&lt;&gt;"",$R867="Cancelada",$AT867&lt;&gt;""),"",$AN867&amp;"|"&amp;$D867&amp;"|"&amp;IF($C867="","zzz",$C867)&amp;"|"&amp;TEXT(867,"0000"))</f>
        <v/>
      </c>
      <c r="AP867" s="50" t="str">
        <f aca="false">IF($AO867="","",COUNTIF($AO$5:$AO$1004,"&lt;"&amp;$AO867)-(ROWS($AO$5:$AO$1004)-Hoje!$L$5)+1)</f>
        <v/>
      </c>
      <c r="AQ867" s="50" t="n">
        <f aca="false">IF(AND($F867&lt;&gt;"",$D867=Frota!$C$3),1,0)</f>
        <v>0</v>
      </c>
      <c r="AR867" s="50" t="str">
        <f aca="false">IF($AQ867=0,"",SUM($AQ$4:$AQ867))</f>
        <v/>
      </c>
      <c r="AS867" s="50" t="str">
        <f aca="false">IFERROR(INDEX(Hoje!$K$10:$K$29,MATCH(ROW(),Hoje!$J$10:$J$29,0)),"")</f>
        <v/>
      </c>
      <c r="AT867" s="50" t="str">
        <f aca="false">IF($Q867&lt;&gt;"",$Q867,$AS867)</f>
        <v/>
      </c>
    </row>
    <row r="868" customFormat="false" ht="16.5" hidden="false" customHeight="true" outlineLevel="0" collapsed="false">
      <c r="A868" s="39" t="str">
        <f aca="false">IF($F868="","",ROW())</f>
        <v/>
      </c>
      <c r="B868" s="40" t="str">
        <f aca="false">IF($F868="",IF($D868="","","Falta a atividade"),IF($R868="Cancelada","Cancelada",IF($AB868=1,IF(N($Z868)&gt;0,"Concluída com atraso","Concluída"),IF($R868="Em programação","Em programação",IF($O868="",IF($M868="","Na carteira","Falta a semana"),IF($AC868=1,"VENCIDA",IF($O868&gt;Hoje!$L$1,"Programada",IF($P868&gt;Hoje!$L$1,"Em execução","Fecha hoje"))))))))</f>
        <v/>
      </c>
      <c r="C868" s="41"/>
      <c r="D868" s="42"/>
      <c r="E868" s="42"/>
      <c r="F868" s="42"/>
      <c r="G868" s="43"/>
      <c r="H868" s="43"/>
      <c r="I868" s="44"/>
      <c r="J868" s="44"/>
      <c r="K868" s="44"/>
      <c r="L868" s="45"/>
      <c r="M868" s="46"/>
      <c r="N868" s="45"/>
      <c r="O868" s="47" t="str">
        <f aca="false">IF(OR($L868="",$M868=""),"",(DATE(Semana!$J$3,1,4)-WEEKDAY(DATE(Semana!$J$3,1,4),3))+($L868-1)*7+MATCH($M868,Listas!$F$5:$F$11,0)-1)</f>
        <v/>
      </c>
      <c r="P868" s="47" t="str">
        <f aca="false">IF(OR($F868="",$O868=""),"",$O868+MAX(0,ROUNDUP($AK868*MAX(1,IF($N868="",1,$N868))/MAX(1,$AL868),0)-1))</f>
        <v/>
      </c>
      <c r="Q868" s="48"/>
      <c r="R868" s="43"/>
      <c r="S868" s="49"/>
      <c r="T868" s="42"/>
      <c r="U868" s="42"/>
      <c r="V868" s="39" t="str">
        <f aca="false">IF($F868="","",IF(ISNUMBER(SEARCH("(externo)",$I868&amp;$J868&amp;$K868)),"Terceirizada","Interna"))</f>
        <v/>
      </c>
      <c r="W868" s="47" t="str">
        <f aca="false">IF($O868="","",IF($S868="",$O868,(DATE(Semana!$J$3,1,4)-WEEKDAY(DATE(Semana!$J$3,1,4),3))+($S868-1)*7+IF($M868="",0,MATCH($M868,Listas!$F$5:$F$11,0)-1)))</f>
        <v/>
      </c>
      <c r="X868" s="39" t="str">
        <f aca="false">IF($F868="","",IF(OR($AT868="",$O868=""),0,IF($AT868&lt;=$O868,1,0)))</f>
        <v/>
      </c>
      <c r="Y868" s="39" t="str">
        <f aca="false">IF($F868="","",IF(OR($AT868="",$W868=""),0,IF($AT868&lt;=$W868,1,0)))</f>
        <v/>
      </c>
      <c r="Z868" s="39" t="str">
        <f aca="false">IF(OR($AT868="",$O868=""),"",MAX(0,$AT868-$O868))</f>
        <v/>
      </c>
      <c r="AA868" s="39" t="str">
        <f aca="false">IF($F868="","",IF(AND($S868&lt;&gt;"",$L868&lt;&gt;"",$S868&lt;&gt;$L868),1,0))</f>
        <v/>
      </c>
      <c r="AB868" s="39" t="str">
        <f aca="false">IF($F868="","",IF($R868="Cancelada",0,IF(OR($AT868&lt;&gt;"",$R868="Concluída"),1,0)))</f>
        <v/>
      </c>
      <c r="AC868" s="39" t="n">
        <f aca="false">IF($P868="",0,IF($P868&lt;Hoje!$L$1,1,IF(AND($P868=Hoje!$L$1,Hoje!$L$2&gt;Semana!$M$3),1,0)))</f>
        <v>0</v>
      </c>
      <c r="AD868" s="39" t="str">
        <f aca="false">IF($F868="","",IF(COUNTA($I868:$K868)=0,0,1/COUNTA($I868:$K868)))</f>
        <v/>
      </c>
      <c r="AE868" s="39" t="str">
        <f aca="false">IF($AH868=0,"",SUM($AH$4:$AH868))</f>
        <v/>
      </c>
      <c r="AF868" s="39" t="str">
        <f aca="false">IF($AI868=0,"",SUM($AI$4:$AI868))</f>
        <v/>
      </c>
      <c r="AG868" s="50" t="str">
        <f aca="false">IF($F868="","",$I868&amp;IF($J868="",""," · "&amp;$J868)&amp;IF($K868="",""," · "&amp;$K868))</f>
        <v/>
      </c>
      <c r="AH868" s="39" t="n">
        <f aca="false">IF(AND($F868&lt;&gt;"",$O868&lt;&gt;"",$O868&lt;=Hoje!$C$3,$P868&gt;=Hoje!$C$3,$R868&lt;&gt;"Cancelada"),1,0)</f>
        <v>0</v>
      </c>
      <c r="AI868" s="39" t="n">
        <f aca="false">IF(AND($F868&lt;&gt;"",$P868&lt;&gt;"",$P868&lt;Hoje!$C$3,$AB868=0,$R868&lt;&gt;"Cancelada"),1,0)</f>
        <v>0</v>
      </c>
      <c r="AJ868" s="50" t="str">
        <f aca="false">IF($F868="","",$D868&amp;"|"&amp;$E868&amp;"|"&amp;$L868)</f>
        <v/>
      </c>
      <c r="AK868" s="39" t="str">
        <f aca="false">IF($AJ868="","",COUNTIF($AJ$4:$AJ868,$AJ868))</f>
        <v/>
      </c>
      <c r="AL868" s="39" t="str">
        <f aca="false">IF($AJ868="","",COUNTIF($AJ$4:$AJ$1004,$AJ868))</f>
        <v/>
      </c>
      <c r="AM868" s="42"/>
      <c r="AN868" s="50" t="str">
        <f aca="false">IF($D868="","",IFERROR(T(VLOOKUP($D868,Listas!$B$5:$H$120,7,0)),""))</f>
        <v/>
      </c>
      <c r="AO868" s="50" t="str">
        <f aca="false">IF(OR($F868="",$L868&lt;&gt;"",$R868="Cancelada",$AT868&lt;&gt;""),"",$AN868&amp;"|"&amp;$D868&amp;"|"&amp;IF($C868="","zzz",$C868)&amp;"|"&amp;TEXT(868,"0000"))</f>
        <v/>
      </c>
      <c r="AP868" s="50" t="str">
        <f aca="false">IF($AO868="","",COUNTIF($AO$5:$AO$1004,"&lt;"&amp;$AO868)-(ROWS($AO$5:$AO$1004)-Hoje!$L$5)+1)</f>
        <v/>
      </c>
      <c r="AQ868" s="50" t="n">
        <f aca="false">IF(AND($F868&lt;&gt;"",$D868=Frota!$C$3),1,0)</f>
        <v>0</v>
      </c>
      <c r="AR868" s="50" t="str">
        <f aca="false">IF($AQ868=0,"",SUM($AQ$4:$AQ868))</f>
        <v/>
      </c>
      <c r="AS868" s="50" t="str">
        <f aca="false">IFERROR(INDEX(Hoje!$K$10:$K$29,MATCH(ROW(),Hoje!$J$10:$J$29,0)),"")</f>
        <v/>
      </c>
      <c r="AT868" s="50" t="str">
        <f aca="false">IF($Q868&lt;&gt;"",$Q868,$AS868)</f>
        <v/>
      </c>
    </row>
    <row r="869" customFormat="false" ht="16.5" hidden="false" customHeight="true" outlineLevel="0" collapsed="false">
      <c r="A869" s="39" t="str">
        <f aca="false">IF($F869="","",ROW())</f>
        <v/>
      </c>
      <c r="B869" s="40" t="str">
        <f aca="false">IF($F869="",IF($D869="","","Falta a atividade"),IF($R869="Cancelada","Cancelada",IF($AB869=1,IF(N($Z869)&gt;0,"Concluída com atraso","Concluída"),IF($R869="Em programação","Em programação",IF($O869="",IF($M869="","Na carteira","Falta a semana"),IF($AC869=1,"VENCIDA",IF($O869&gt;Hoje!$L$1,"Programada",IF($P869&gt;Hoje!$L$1,"Em execução","Fecha hoje"))))))))</f>
        <v/>
      </c>
      <c r="C869" s="41"/>
      <c r="D869" s="42"/>
      <c r="E869" s="42"/>
      <c r="F869" s="42"/>
      <c r="G869" s="43"/>
      <c r="H869" s="43"/>
      <c r="I869" s="44"/>
      <c r="J869" s="44"/>
      <c r="K869" s="44"/>
      <c r="L869" s="45"/>
      <c r="M869" s="46"/>
      <c r="N869" s="45"/>
      <c r="O869" s="47" t="str">
        <f aca="false">IF(OR($L869="",$M869=""),"",(DATE(Semana!$J$3,1,4)-WEEKDAY(DATE(Semana!$J$3,1,4),3))+($L869-1)*7+MATCH($M869,Listas!$F$5:$F$11,0)-1)</f>
        <v/>
      </c>
      <c r="P869" s="47" t="str">
        <f aca="false">IF(OR($F869="",$O869=""),"",$O869+MAX(0,ROUNDUP($AK869*MAX(1,IF($N869="",1,$N869))/MAX(1,$AL869),0)-1))</f>
        <v/>
      </c>
      <c r="Q869" s="48"/>
      <c r="R869" s="43"/>
      <c r="S869" s="49"/>
      <c r="T869" s="42"/>
      <c r="U869" s="42"/>
      <c r="V869" s="39" t="str">
        <f aca="false">IF($F869="","",IF(ISNUMBER(SEARCH("(externo)",$I869&amp;$J869&amp;$K869)),"Terceirizada","Interna"))</f>
        <v/>
      </c>
      <c r="W869" s="47" t="str">
        <f aca="false">IF($O869="","",IF($S869="",$O869,(DATE(Semana!$J$3,1,4)-WEEKDAY(DATE(Semana!$J$3,1,4),3))+($S869-1)*7+IF($M869="",0,MATCH($M869,Listas!$F$5:$F$11,0)-1)))</f>
        <v/>
      </c>
      <c r="X869" s="39" t="str">
        <f aca="false">IF($F869="","",IF(OR($AT869="",$O869=""),0,IF($AT869&lt;=$O869,1,0)))</f>
        <v/>
      </c>
      <c r="Y869" s="39" t="str">
        <f aca="false">IF($F869="","",IF(OR($AT869="",$W869=""),0,IF($AT869&lt;=$W869,1,0)))</f>
        <v/>
      </c>
      <c r="Z869" s="39" t="str">
        <f aca="false">IF(OR($AT869="",$O869=""),"",MAX(0,$AT869-$O869))</f>
        <v/>
      </c>
      <c r="AA869" s="39" t="str">
        <f aca="false">IF($F869="","",IF(AND($S869&lt;&gt;"",$L869&lt;&gt;"",$S869&lt;&gt;$L869),1,0))</f>
        <v/>
      </c>
      <c r="AB869" s="39" t="str">
        <f aca="false">IF($F869="","",IF($R869="Cancelada",0,IF(OR($AT869&lt;&gt;"",$R869="Concluída"),1,0)))</f>
        <v/>
      </c>
      <c r="AC869" s="39" t="n">
        <f aca="false">IF($P869="",0,IF($P869&lt;Hoje!$L$1,1,IF(AND($P869=Hoje!$L$1,Hoje!$L$2&gt;Semana!$M$3),1,0)))</f>
        <v>0</v>
      </c>
      <c r="AD869" s="39" t="str">
        <f aca="false">IF($F869="","",IF(COUNTA($I869:$K869)=0,0,1/COUNTA($I869:$K869)))</f>
        <v/>
      </c>
      <c r="AE869" s="39" t="str">
        <f aca="false">IF($AH869=0,"",SUM($AH$4:$AH869))</f>
        <v/>
      </c>
      <c r="AF869" s="39" t="str">
        <f aca="false">IF($AI869=0,"",SUM($AI$4:$AI869))</f>
        <v/>
      </c>
      <c r="AG869" s="50" t="str">
        <f aca="false">IF($F869="","",$I869&amp;IF($J869="",""," · "&amp;$J869)&amp;IF($K869="",""," · "&amp;$K869))</f>
        <v/>
      </c>
      <c r="AH869" s="39" t="n">
        <f aca="false">IF(AND($F869&lt;&gt;"",$O869&lt;&gt;"",$O869&lt;=Hoje!$C$3,$P869&gt;=Hoje!$C$3,$R869&lt;&gt;"Cancelada"),1,0)</f>
        <v>0</v>
      </c>
      <c r="AI869" s="39" t="n">
        <f aca="false">IF(AND($F869&lt;&gt;"",$P869&lt;&gt;"",$P869&lt;Hoje!$C$3,$AB869=0,$R869&lt;&gt;"Cancelada"),1,0)</f>
        <v>0</v>
      </c>
      <c r="AJ869" s="50" t="str">
        <f aca="false">IF($F869="","",$D869&amp;"|"&amp;$E869&amp;"|"&amp;$L869)</f>
        <v/>
      </c>
      <c r="AK869" s="39" t="str">
        <f aca="false">IF($AJ869="","",COUNTIF($AJ$4:$AJ869,$AJ869))</f>
        <v/>
      </c>
      <c r="AL869" s="39" t="str">
        <f aca="false">IF($AJ869="","",COUNTIF($AJ$4:$AJ$1004,$AJ869))</f>
        <v/>
      </c>
      <c r="AM869" s="42"/>
      <c r="AN869" s="50" t="str">
        <f aca="false">IF($D869="","",IFERROR(T(VLOOKUP($D869,Listas!$B$5:$H$120,7,0)),""))</f>
        <v/>
      </c>
      <c r="AO869" s="50" t="str">
        <f aca="false">IF(OR($F869="",$L869&lt;&gt;"",$R869="Cancelada",$AT869&lt;&gt;""),"",$AN869&amp;"|"&amp;$D869&amp;"|"&amp;IF($C869="","zzz",$C869)&amp;"|"&amp;TEXT(869,"0000"))</f>
        <v/>
      </c>
      <c r="AP869" s="50" t="str">
        <f aca="false">IF($AO869="","",COUNTIF($AO$5:$AO$1004,"&lt;"&amp;$AO869)-(ROWS($AO$5:$AO$1004)-Hoje!$L$5)+1)</f>
        <v/>
      </c>
      <c r="AQ869" s="50" t="n">
        <f aca="false">IF(AND($F869&lt;&gt;"",$D869=Frota!$C$3),1,0)</f>
        <v>0</v>
      </c>
      <c r="AR869" s="50" t="str">
        <f aca="false">IF($AQ869=0,"",SUM($AQ$4:$AQ869))</f>
        <v/>
      </c>
      <c r="AS869" s="50" t="str">
        <f aca="false">IFERROR(INDEX(Hoje!$K$10:$K$29,MATCH(ROW(),Hoje!$J$10:$J$29,0)),"")</f>
        <v/>
      </c>
      <c r="AT869" s="50" t="str">
        <f aca="false">IF($Q869&lt;&gt;"",$Q869,$AS869)</f>
        <v/>
      </c>
    </row>
    <row r="870" customFormat="false" ht="16.5" hidden="false" customHeight="true" outlineLevel="0" collapsed="false">
      <c r="A870" s="39" t="str">
        <f aca="false">IF($F870="","",ROW())</f>
        <v/>
      </c>
      <c r="B870" s="40" t="str">
        <f aca="false">IF($F870="",IF($D870="","","Falta a atividade"),IF($R870="Cancelada","Cancelada",IF($AB870=1,IF(N($Z870)&gt;0,"Concluída com atraso","Concluída"),IF($R870="Em programação","Em programação",IF($O870="",IF($M870="","Na carteira","Falta a semana"),IF($AC870=1,"VENCIDA",IF($O870&gt;Hoje!$L$1,"Programada",IF($P870&gt;Hoje!$L$1,"Em execução","Fecha hoje"))))))))</f>
        <v/>
      </c>
      <c r="C870" s="41"/>
      <c r="D870" s="42"/>
      <c r="E870" s="42"/>
      <c r="F870" s="42"/>
      <c r="G870" s="43"/>
      <c r="H870" s="43"/>
      <c r="I870" s="44"/>
      <c r="J870" s="44"/>
      <c r="K870" s="44"/>
      <c r="L870" s="45"/>
      <c r="M870" s="46"/>
      <c r="N870" s="45"/>
      <c r="O870" s="47" t="str">
        <f aca="false">IF(OR($L870="",$M870=""),"",(DATE(Semana!$J$3,1,4)-WEEKDAY(DATE(Semana!$J$3,1,4),3))+($L870-1)*7+MATCH($M870,Listas!$F$5:$F$11,0)-1)</f>
        <v/>
      </c>
      <c r="P870" s="47" t="str">
        <f aca="false">IF(OR($F870="",$O870=""),"",$O870+MAX(0,ROUNDUP($AK870*MAX(1,IF($N870="",1,$N870))/MAX(1,$AL870),0)-1))</f>
        <v/>
      </c>
      <c r="Q870" s="48"/>
      <c r="R870" s="43"/>
      <c r="S870" s="49"/>
      <c r="T870" s="42"/>
      <c r="U870" s="42"/>
      <c r="V870" s="39" t="str">
        <f aca="false">IF($F870="","",IF(ISNUMBER(SEARCH("(externo)",$I870&amp;$J870&amp;$K870)),"Terceirizada","Interna"))</f>
        <v/>
      </c>
      <c r="W870" s="47" t="str">
        <f aca="false">IF($O870="","",IF($S870="",$O870,(DATE(Semana!$J$3,1,4)-WEEKDAY(DATE(Semana!$J$3,1,4),3))+($S870-1)*7+IF($M870="",0,MATCH($M870,Listas!$F$5:$F$11,0)-1)))</f>
        <v/>
      </c>
      <c r="X870" s="39" t="str">
        <f aca="false">IF($F870="","",IF(OR($AT870="",$O870=""),0,IF($AT870&lt;=$O870,1,0)))</f>
        <v/>
      </c>
      <c r="Y870" s="39" t="str">
        <f aca="false">IF($F870="","",IF(OR($AT870="",$W870=""),0,IF($AT870&lt;=$W870,1,0)))</f>
        <v/>
      </c>
      <c r="Z870" s="39" t="str">
        <f aca="false">IF(OR($AT870="",$O870=""),"",MAX(0,$AT870-$O870))</f>
        <v/>
      </c>
      <c r="AA870" s="39" t="str">
        <f aca="false">IF($F870="","",IF(AND($S870&lt;&gt;"",$L870&lt;&gt;"",$S870&lt;&gt;$L870),1,0))</f>
        <v/>
      </c>
      <c r="AB870" s="39" t="str">
        <f aca="false">IF($F870="","",IF($R870="Cancelada",0,IF(OR($AT870&lt;&gt;"",$R870="Concluída"),1,0)))</f>
        <v/>
      </c>
      <c r="AC870" s="39" t="n">
        <f aca="false">IF($P870="",0,IF($P870&lt;Hoje!$L$1,1,IF(AND($P870=Hoje!$L$1,Hoje!$L$2&gt;Semana!$M$3),1,0)))</f>
        <v>0</v>
      </c>
      <c r="AD870" s="39" t="str">
        <f aca="false">IF($F870="","",IF(COUNTA($I870:$K870)=0,0,1/COUNTA($I870:$K870)))</f>
        <v/>
      </c>
      <c r="AE870" s="39" t="str">
        <f aca="false">IF($AH870=0,"",SUM($AH$4:$AH870))</f>
        <v/>
      </c>
      <c r="AF870" s="39" t="str">
        <f aca="false">IF($AI870=0,"",SUM($AI$4:$AI870))</f>
        <v/>
      </c>
      <c r="AG870" s="50" t="str">
        <f aca="false">IF($F870="","",$I870&amp;IF($J870="",""," · "&amp;$J870)&amp;IF($K870="",""," · "&amp;$K870))</f>
        <v/>
      </c>
      <c r="AH870" s="39" t="n">
        <f aca="false">IF(AND($F870&lt;&gt;"",$O870&lt;&gt;"",$O870&lt;=Hoje!$C$3,$P870&gt;=Hoje!$C$3,$R870&lt;&gt;"Cancelada"),1,0)</f>
        <v>0</v>
      </c>
      <c r="AI870" s="39" t="n">
        <f aca="false">IF(AND($F870&lt;&gt;"",$P870&lt;&gt;"",$P870&lt;Hoje!$C$3,$AB870=0,$R870&lt;&gt;"Cancelada"),1,0)</f>
        <v>0</v>
      </c>
      <c r="AJ870" s="50" t="str">
        <f aca="false">IF($F870="","",$D870&amp;"|"&amp;$E870&amp;"|"&amp;$L870)</f>
        <v/>
      </c>
      <c r="AK870" s="39" t="str">
        <f aca="false">IF($AJ870="","",COUNTIF($AJ$4:$AJ870,$AJ870))</f>
        <v/>
      </c>
      <c r="AL870" s="39" t="str">
        <f aca="false">IF($AJ870="","",COUNTIF($AJ$4:$AJ$1004,$AJ870))</f>
        <v/>
      </c>
      <c r="AM870" s="42"/>
      <c r="AN870" s="50" t="str">
        <f aca="false">IF($D870="","",IFERROR(T(VLOOKUP($D870,Listas!$B$5:$H$120,7,0)),""))</f>
        <v/>
      </c>
      <c r="AO870" s="50" t="str">
        <f aca="false">IF(OR($F870="",$L870&lt;&gt;"",$R870="Cancelada",$AT870&lt;&gt;""),"",$AN870&amp;"|"&amp;$D870&amp;"|"&amp;IF($C870="","zzz",$C870)&amp;"|"&amp;TEXT(870,"0000"))</f>
        <v/>
      </c>
      <c r="AP870" s="50" t="str">
        <f aca="false">IF($AO870="","",COUNTIF($AO$5:$AO$1004,"&lt;"&amp;$AO870)-(ROWS($AO$5:$AO$1004)-Hoje!$L$5)+1)</f>
        <v/>
      </c>
      <c r="AQ870" s="50" t="n">
        <f aca="false">IF(AND($F870&lt;&gt;"",$D870=Frota!$C$3),1,0)</f>
        <v>0</v>
      </c>
      <c r="AR870" s="50" t="str">
        <f aca="false">IF($AQ870=0,"",SUM($AQ$4:$AQ870))</f>
        <v/>
      </c>
      <c r="AS870" s="50" t="str">
        <f aca="false">IFERROR(INDEX(Hoje!$K$10:$K$29,MATCH(ROW(),Hoje!$J$10:$J$29,0)),"")</f>
        <v/>
      </c>
      <c r="AT870" s="50" t="str">
        <f aca="false">IF($Q870&lt;&gt;"",$Q870,$AS870)</f>
        <v/>
      </c>
    </row>
    <row r="871" customFormat="false" ht="16.5" hidden="false" customHeight="true" outlineLevel="0" collapsed="false">
      <c r="A871" s="39" t="str">
        <f aca="false">IF($F871="","",ROW())</f>
        <v/>
      </c>
      <c r="B871" s="40" t="str">
        <f aca="false">IF($F871="",IF($D871="","","Falta a atividade"),IF($R871="Cancelada","Cancelada",IF($AB871=1,IF(N($Z871)&gt;0,"Concluída com atraso","Concluída"),IF($R871="Em programação","Em programação",IF($O871="",IF($M871="","Na carteira","Falta a semana"),IF($AC871=1,"VENCIDA",IF($O871&gt;Hoje!$L$1,"Programada",IF($P871&gt;Hoje!$L$1,"Em execução","Fecha hoje"))))))))</f>
        <v/>
      </c>
      <c r="C871" s="41"/>
      <c r="D871" s="42"/>
      <c r="E871" s="42"/>
      <c r="F871" s="42"/>
      <c r="G871" s="43"/>
      <c r="H871" s="43"/>
      <c r="I871" s="44"/>
      <c r="J871" s="44"/>
      <c r="K871" s="44"/>
      <c r="L871" s="45"/>
      <c r="M871" s="46"/>
      <c r="N871" s="45"/>
      <c r="O871" s="47" t="str">
        <f aca="false">IF(OR($L871="",$M871=""),"",(DATE(Semana!$J$3,1,4)-WEEKDAY(DATE(Semana!$J$3,1,4),3))+($L871-1)*7+MATCH($M871,Listas!$F$5:$F$11,0)-1)</f>
        <v/>
      </c>
      <c r="P871" s="47" t="str">
        <f aca="false">IF(OR($F871="",$O871=""),"",$O871+MAX(0,ROUNDUP($AK871*MAX(1,IF($N871="",1,$N871))/MAX(1,$AL871),0)-1))</f>
        <v/>
      </c>
      <c r="Q871" s="48"/>
      <c r="R871" s="43"/>
      <c r="S871" s="49"/>
      <c r="T871" s="42"/>
      <c r="U871" s="42"/>
      <c r="V871" s="39" t="str">
        <f aca="false">IF($F871="","",IF(ISNUMBER(SEARCH("(externo)",$I871&amp;$J871&amp;$K871)),"Terceirizada","Interna"))</f>
        <v/>
      </c>
      <c r="W871" s="47" t="str">
        <f aca="false">IF($O871="","",IF($S871="",$O871,(DATE(Semana!$J$3,1,4)-WEEKDAY(DATE(Semana!$J$3,1,4),3))+($S871-1)*7+IF($M871="",0,MATCH($M871,Listas!$F$5:$F$11,0)-1)))</f>
        <v/>
      </c>
      <c r="X871" s="39" t="str">
        <f aca="false">IF($F871="","",IF(OR($AT871="",$O871=""),0,IF($AT871&lt;=$O871,1,0)))</f>
        <v/>
      </c>
      <c r="Y871" s="39" t="str">
        <f aca="false">IF($F871="","",IF(OR($AT871="",$W871=""),0,IF($AT871&lt;=$W871,1,0)))</f>
        <v/>
      </c>
      <c r="Z871" s="39" t="str">
        <f aca="false">IF(OR($AT871="",$O871=""),"",MAX(0,$AT871-$O871))</f>
        <v/>
      </c>
      <c r="AA871" s="39" t="str">
        <f aca="false">IF($F871="","",IF(AND($S871&lt;&gt;"",$L871&lt;&gt;"",$S871&lt;&gt;$L871),1,0))</f>
        <v/>
      </c>
      <c r="AB871" s="39" t="str">
        <f aca="false">IF($F871="","",IF($R871="Cancelada",0,IF(OR($AT871&lt;&gt;"",$R871="Concluída"),1,0)))</f>
        <v/>
      </c>
      <c r="AC871" s="39" t="n">
        <f aca="false">IF($P871="",0,IF($P871&lt;Hoje!$L$1,1,IF(AND($P871=Hoje!$L$1,Hoje!$L$2&gt;Semana!$M$3),1,0)))</f>
        <v>0</v>
      </c>
      <c r="AD871" s="39" t="str">
        <f aca="false">IF($F871="","",IF(COUNTA($I871:$K871)=0,0,1/COUNTA($I871:$K871)))</f>
        <v/>
      </c>
      <c r="AE871" s="39" t="str">
        <f aca="false">IF($AH871=0,"",SUM($AH$4:$AH871))</f>
        <v/>
      </c>
      <c r="AF871" s="39" t="str">
        <f aca="false">IF($AI871=0,"",SUM($AI$4:$AI871))</f>
        <v/>
      </c>
      <c r="AG871" s="50" t="str">
        <f aca="false">IF($F871="","",$I871&amp;IF($J871="",""," · "&amp;$J871)&amp;IF($K871="",""," · "&amp;$K871))</f>
        <v/>
      </c>
      <c r="AH871" s="39" t="n">
        <f aca="false">IF(AND($F871&lt;&gt;"",$O871&lt;&gt;"",$O871&lt;=Hoje!$C$3,$P871&gt;=Hoje!$C$3,$R871&lt;&gt;"Cancelada"),1,0)</f>
        <v>0</v>
      </c>
      <c r="AI871" s="39" t="n">
        <f aca="false">IF(AND($F871&lt;&gt;"",$P871&lt;&gt;"",$P871&lt;Hoje!$C$3,$AB871=0,$R871&lt;&gt;"Cancelada"),1,0)</f>
        <v>0</v>
      </c>
      <c r="AJ871" s="50" t="str">
        <f aca="false">IF($F871="","",$D871&amp;"|"&amp;$E871&amp;"|"&amp;$L871)</f>
        <v/>
      </c>
      <c r="AK871" s="39" t="str">
        <f aca="false">IF($AJ871="","",COUNTIF($AJ$4:$AJ871,$AJ871))</f>
        <v/>
      </c>
      <c r="AL871" s="39" t="str">
        <f aca="false">IF($AJ871="","",COUNTIF($AJ$4:$AJ$1004,$AJ871))</f>
        <v/>
      </c>
      <c r="AM871" s="42"/>
      <c r="AN871" s="50" t="str">
        <f aca="false">IF($D871="","",IFERROR(T(VLOOKUP($D871,Listas!$B$5:$H$120,7,0)),""))</f>
        <v/>
      </c>
      <c r="AO871" s="50" t="str">
        <f aca="false">IF(OR($F871="",$L871&lt;&gt;"",$R871="Cancelada",$AT871&lt;&gt;""),"",$AN871&amp;"|"&amp;$D871&amp;"|"&amp;IF($C871="","zzz",$C871)&amp;"|"&amp;TEXT(871,"0000"))</f>
        <v/>
      </c>
      <c r="AP871" s="50" t="str">
        <f aca="false">IF($AO871="","",COUNTIF($AO$5:$AO$1004,"&lt;"&amp;$AO871)-(ROWS($AO$5:$AO$1004)-Hoje!$L$5)+1)</f>
        <v/>
      </c>
      <c r="AQ871" s="50" t="n">
        <f aca="false">IF(AND($F871&lt;&gt;"",$D871=Frota!$C$3),1,0)</f>
        <v>0</v>
      </c>
      <c r="AR871" s="50" t="str">
        <f aca="false">IF($AQ871=0,"",SUM($AQ$4:$AQ871))</f>
        <v/>
      </c>
      <c r="AS871" s="50" t="str">
        <f aca="false">IFERROR(INDEX(Hoje!$K$10:$K$29,MATCH(ROW(),Hoje!$J$10:$J$29,0)),"")</f>
        <v/>
      </c>
      <c r="AT871" s="50" t="str">
        <f aca="false">IF($Q871&lt;&gt;"",$Q871,$AS871)</f>
        <v/>
      </c>
    </row>
    <row r="872" customFormat="false" ht="16.5" hidden="false" customHeight="true" outlineLevel="0" collapsed="false">
      <c r="A872" s="39" t="str">
        <f aca="false">IF($F872="","",ROW())</f>
        <v/>
      </c>
      <c r="B872" s="40" t="str">
        <f aca="false">IF($F872="",IF($D872="","","Falta a atividade"),IF($R872="Cancelada","Cancelada",IF($AB872=1,IF(N($Z872)&gt;0,"Concluída com atraso","Concluída"),IF($R872="Em programação","Em programação",IF($O872="",IF($M872="","Na carteira","Falta a semana"),IF($AC872=1,"VENCIDA",IF($O872&gt;Hoje!$L$1,"Programada",IF($P872&gt;Hoje!$L$1,"Em execução","Fecha hoje"))))))))</f>
        <v/>
      </c>
      <c r="C872" s="41"/>
      <c r="D872" s="42"/>
      <c r="E872" s="42"/>
      <c r="F872" s="42"/>
      <c r="G872" s="43"/>
      <c r="H872" s="43"/>
      <c r="I872" s="44"/>
      <c r="J872" s="44"/>
      <c r="K872" s="44"/>
      <c r="L872" s="45"/>
      <c r="M872" s="46"/>
      <c r="N872" s="45"/>
      <c r="O872" s="47" t="str">
        <f aca="false">IF(OR($L872="",$M872=""),"",(DATE(Semana!$J$3,1,4)-WEEKDAY(DATE(Semana!$J$3,1,4),3))+($L872-1)*7+MATCH($M872,Listas!$F$5:$F$11,0)-1)</f>
        <v/>
      </c>
      <c r="P872" s="47" t="str">
        <f aca="false">IF(OR($F872="",$O872=""),"",$O872+MAX(0,ROUNDUP($AK872*MAX(1,IF($N872="",1,$N872))/MAX(1,$AL872),0)-1))</f>
        <v/>
      </c>
      <c r="Q872" s="48"/>
      <c r="R872" s="43"/>
      <c r="S872" s="49"/>
      <c r="T872" s="42"/>
      <c r="U872" s="42"/>
      <c r="V872" s="39" t="str">
        <f aca="false">IF($F872="","",IF(ISNUMBER(SEARCH("(externo)",$I872&amp;$J872&amp;$K872)),"Terceirizada","Interna"))</f>
        <v/>
      </c>
      <c r="W872" s="47" t="str">
        <f aca="false">IF($O872="","",IF($S872="",$O872,(DATE(Semana!$J$3,1,4)-WEEKDAY(DATE(Semana!$J$3,1,4),3))+($S872-1)*7+IF($M872="",0,MATCH($M872,Listas!$F$5:$F$11,0)-1)))</f>
        <v/>
      </c>
      <c r="X872" s="39" t="str">
        <f aca="false">IF($F872="","",IF(OR($AT872="",$O872=""),0,IF($AT872&lt;=$O872,1,0)))</f>
        <v/>
      </c>
      <c r="Y872" s="39" t="str">
        <f aca="false">IF($F872="","",IF(OR($AT872="",$W872=""),0,IF($AT872&lt;=$W872,1,0)))</f>
        <v/>
      </c>
      <c r="Z872" s="39" t="str">
        <f aca="false">IF(OR($AT872="",$O872=""),"",MAX(0,$AT872-$O872))</f>
        <v/>
      </c>
      <c r="AA872" s="39" t="str">
        <f aca="false">IF($F872="","",IF(AND($S872&lt;&gt;"",$L872&lt;&gt;"",$S872&lt;&gt;$L872),1,0))</f>
        <v/>
      </c>
      <c r="AB872" s="39" t="str">
        <f aca="false">IF($F872="","",IF($R872="Cancelada",0,IF(OR($AT872&lt;&gt;"",$R872="Concluída"),1,0)))</f>
        <v/>
      </c>
      <c r="AC872" s="39" t="n">
        <f aca="false">IF($P872="",0,IF($P872&lt;Hoje!$L$1,1,IF(AND($P872=Hoje!$L$1,Hoje!$L$2&gt;Semana!$M$3),1,0)))</f>
        <v>0</v>
      </c>
      <c r="AD872" s="39" t="str">
        <f aca="false">IF($F872="","",IF(COUNTA($I872:$K872)=0,0,1/COUNTA($I872:$K872)))</f>
        <v/>
      </c>
      <c r="AE872" s="39" t="str">
        <f aca="false">IF($AH872=0,"",SUM($AH$4:$AH872))</f>
        <v/>
      </c>
      <c r="AF872" s="39" t="str">
        <f aca="false">IF($AI872=0,"",SUM($AI$4:$AI872))</f>
        <v/>
      </c>
      <c r="AG872" s="50" t="str">
        <f aca="false">IF($F872="","",$I872&amp;IF($J872="",""," · "&amp;$J872)&amp;IF($K872="",""," · "&amp;$K872))</f>
        <v/>
      </c>
      <c r="AH872" s="39" t="n">
        <f aca="false">IF(AND($F872&lt;&gt;"",$O872&lt;&gt;"",$O872&lt;=Hoje!$C$3,$P872&gt;=Hoje!$C$3,$R872&lt;&gt;"Cancelada"),1,0)</f>
        <v>0</v>
      </c>
      <c r="AI872" s="39" t="n">
        <f aca="false">IF(AND($F872&lt;&gt;"",$P872&lt;&gt;"",$P872&lt;Hoje!$C$3,$AB872=0,$R872&lt;&gt;"Cancelada"),1,0)</f>
        <v>0</v>
      </c>
      <c r="AJ872" s="50" t="str">
        <f aca="false">IF($F872="","",$D872&amp;"|"&amp;$E872&amp;"|"&amp;$L872)</f>
        <v/>
      </c>
      <c r="AK872" s="39" t="str">
        <f aca="false">IF($AJ872="","",COUNTIF($AJ$4:$AJ872,$AJ872))</f>
        <v/>
      </c>
      <c r="AL872" s="39" t="str">
        <f aca="false">IF($AJ872="","",COUNTIF($AJ$4:$AJ$1004,$AJ872))</f>
        <v/>
      </c>
      <c r="AM872" s="42"/>
      <c r="AN872" s="50" t="str">
        <f aca="false">IF($D872="","",IFERROR(T(VLOOKUP($D872,Listas!$B$5:$H$120,7,0)),""))</f>
        <v/>
      </c>
      <c r="AO872" s="50" t="str">
        <f aca="false">IF(OR($F872="",$L872&lt;&gt;"",$R872="Cancelada",$AT872&lt;&gt;""),"",$AN872&amp;"|"&amp;$D872&amp;"|"&amp;IF($C872="","zzz",$C872)&amp;"|"&amp;TEXT(872,"0000"))</f>
        <v/>
      </c>
      <c r="AP872" s="50" t="str">
        <f aca="false">IF($AO872="","",COUNTIF($AO$5:$AO$1004,"&lt;"&amp;$AO872)-(ROWS($AO$5:$AO$1004)-Hoje!$L$5)+1)</f>
        <v/>
      </c>
      <c r="AQ872" s="50" t="n">
        <f aca="false">IF(AND($F872&lt;&gt;"",$D872=Frota!$C$3),1,0)</f>
        <v>0</v>
      </c>
      <c r="AR872" s="50" t="str">
        <f aca="false">IF($AQ872=0,"",SUM($AQ$4:$AQ872))</f>
        <v/>
      </c>
      <c r="AS872" s="50" t="str">
        <f aca="false">IFERROR(INDEX(Hoje!$K$10:$K$29,MATCH(ROW(),Hoje!$J$10:$J$29,0)),"")</f>
        <v/>
      </c>
      <c r="AT872" s="50" t="str">
        <f aca="false">IF($Q872&lt;&gt;"",$Q872,$AS872)</f>
        <v/>
      </c>
    </row>
    <row r="873" customFormat="false" ht="16.5" hidden="false" customHeight="true" outlineLevel="0" collapsed="false">
      <c r="A873" s="39" t="str">
        <f aca="false">IF($F873="","",ROW())</f>
        <v/>
      </c>
      <c r="B873" s="40" t="str">
        <f aca="false">IF($F873="",IF($D873="","","Falta a atividade"),IF($R873="Cancelada","Cancelada",IF($AB873=1,IF(N($Z873)&gt;0,"Concluída com atraso","Concluída"),IF($R873="Em programação","Em programação",IF($O873="",IF($M873="","Na carteira","Falta a semana"),IF($AC873=1,"VENCIDA",IF($O873&gt;Hoje!$L$1,"Programada",IF($P873&gt;Hoje!$L$1,"Em execução","Fecha hoje"))))))))</f>
        <v/>
      </c>
      <c r="C873" s="41"/>
      <c r="D873" s="42"/>
      <c r="E873" s="42"/>
      <c r="F873" s="42"/>
      <c r="G873" s="43"/>
      <c r="H873" s="43"/>
      <c r="I873" s="44"/>
      <c r="J873" s="44"/>
      <c r="K873" s="44"/>
      <c r="L873" s="45"/>
      <c r="M873" s="46"/>
      <c r="N873" s="45"/>
      <c r="O873" s="47" t="str">
        <f aca="false">IF(OR($L873="",$M873=""),"",(DATE(Semana!$J$3,1,4)-WEEKDAY(DATE(Semana!$J$3,1,4),3))+($L873-1)*7+MATCH($M873,Listas!$F$5:$F$11,0)-1)</f>
        <v/>
      </c>
      <c r="P873" s="47" t="str">
        <f aca="false">IF(OR($F873="",$O873=""),"",$O873+MAX(0,ROUNDUP($AK873*MAX(1,IF($N873="",1,$N873))/MAX(1,$AL873),0)-1))</f>
        <v/>
      </c>
      <c r="Q873" s="48"/>
      <c r="R873" s="43"/>
      <c r="S873" s="49"/>
      <c r="T873" s="42"/>
      <c r="U873" s="42"/>
      <c r="V873" s="39" t="str">
        <f aca="false">IF($F873="","",IF(ISNUMBER(SEARCH("(externo)",$I873&amp;$J873&amp;$K873)),"Terceirizada","Interna"))</f>
        <v/>
      </c>
      <c r="W873" s="47" t="str">
        <f aca="false">IF($O873="","",IF($S873="",$O873,(DATE(Semana!$J$3,1,4)-WEEKDAY(DATE(Semana!$J$3,1,4),3))+($S873-1)*7+IF($M873="",0,MATCH($M873,Listas!$F$5:$F$11,0)-1)))</f>
        <v/>
      </c>
      <c r="X873" s="39" t="str">
        <f aca="false">IF($F873="","",IF(OR($AT873="",$O873=""),0,IF($AT873&lt;=$O873,1,0)))</f>
        <v/>
      </c>
      <c r="Y873" s="39" t="str">
        <f aca="false">IF($F873="","",IF(OR($AT873="",$W873=""),0,IF($AT873&lt;=$W873,1,0)))</f>
        <v/>
      </c>
      <c r="Z873" s="39" t="str">
        <f aca="false">IF(OR($AT873="",$O873=""),"",MAX(0,$AT873-$O873))</f>
        <v/>
      </c>
      <c r="AA873" s="39" t="str">
        <f aca="false">IF($F873="","",IF(AND($S873&lt;&gt;"",$L873&lt;&gt;"",$S873&lt;&gt;$L873),1,0))</f>
        <v/>
      </c>
      <c r="AB873" s="39" t="str">
        <f aca="false">IF($F873="","",IF($R873="Cancelada",0,IF(OR($AT873&lt;&gt;"",$R873="Concluída"),1,0)))</f>
        <v/>
      </c>
      <c r="AC873" s="39" t="n">
        <f aca="false">IF($P873="",0,IF($P873&lt;Hoje!$L$1,1,IF(AND($P873=Hoje!$L$1,Hoje!$L$2&gt;Semana!$M$3),1,0)))</f>
        <v>0</v>
      </c>
      <c r="AD873" s="39" t="str">
        <f aca="false">IF($F873="","",IF(COUNTA($I873:$K873)=0,0,1/COUNTA($I873:$K873)))</f>
        <v/>
      </c>
      <c r="AE873" s="39" t="str">
        <f aca="false">IF($AH873=0,"",SUM($AH$4:$AH873))</f>
        <v/>
      </c>
      <c r="AF873" s="39" t="str">
        <f aca="false">IF($AI873=0,"",SUM($AI$4:$AI873))</f>
        <v/>
      </c>
      <c r="AG873" s="50" t="str">
        <f aca="false">IF($F873="","",$I873&amp;IF($J873="",""," · "&amp;$J873)&amp;IF($K873="",""," · "&amp;$K873))</f>
        <v/>
      </c>
      <c r="AH873" s="39" t="n">
        <f aca="false">IF(AND($F873&lt;&gt;"",$O873&lt;&gt;"",$O873&lt;=Hoje!$C$3,$P873&gt;=Hoje!$C$3,$R873&lt;&gt;"Cancelada"),1,0)</f>
        <v>0</v>
      </c>
      <c r="AI873" s="39" t="n">
        <f aca="false">IF(AND($F873&lt;&gt;"",$P873&lt;&gt;"",$P873&lt;Hoje!$C$3,$AB873=0,$R873&lt;&gt;"Cancelada"),1,0)</f>
        <v>0</v>
      </c>
      <c r="AJ873" s="50" t="str">
        <f aca="false">IF($F873="","",$D873&amp;"|"&amp;$E873&amp;"|"&amp;$L873)</f>
        <v/>
      </c>
      <c r="AK873" s="39" t="str">
        <f aca="false">IF($AJ873="","",COUNTIF($AJ$4:$AJ873,$AJ873))</f>
        <v/>
      </c>
      <c r="AL873" s="39" t="str">
        <f aca="false">IF($AJ873="","",COUNTIF($AJ$4:$AJ$1004,$AJ873))</f>
        <v/>
      </c>
      <c r="AM873" s="42"/>
      <c r="AN873" s="50" t="str">
        <f aca="false">IF($D873="","",IFERROR(T(VLOOKUP($D873,Listas!$B$5:$H$120,7,0)),""))</f>
        <v/>
      </c>
      <c r="AO873" s="50" t="str">
        <f aca="false">IF(OR($F873="",$L873&lt;&gt;"",$R873="Cancelada",$AT873&lt;&gt;""),"",$AN873&amp;"|"&amp;$D873&amp;"|"&amp;IF($C873="","zzz",$C873)&amp;"|"&amp;TEXT(873,"0000"))</f>
        <v/>
      </c>
      <c r="AP873" s="50" t="str">
        <f aca="false">IF($AO873="","",COUNTIF($AO$5:$AO$1004,"&lt;"&amp;$AO873)-(ROWS($AO$5:$AO$1004)-Hoje!$L$5)+1)</f>
        <v/>
      </c>
      <c r="AQ873" s="50" t="n">
        <f aca="false">IF(AND($F873&lt;&gt;"",$D873=Frota!$C$3),1,0)</f>
        <v>0</v>
      </c>
      <c r="AR873" s="50" t="str">
        <f aca="false">IF($AQ873=0,"",SUM($AQ$4:$AQ873))</f>
        <v/>
      </c>
      <c r="AS873" s="50" t="str">
        <f aca="false">IFERROR(INDEX(Hoje!$K$10:$K$29,MATCH(ROW(),Hoje!$J$10:$J$29,0)),"")</f>
        <v/>
      </c>
      <c r="AT873" s="50" t="str">
        <f aca="false">IF($Q873&lt;&gt;"",$Q873,$AS873)</f>
        <v/>
      </c>
    </row>
    <row r="874" customFormat="false" ht="16.5" hidden="false" customHeight="true" outlineLevel="0" collapsed="false">
      <c r="A874" s="39" t="str">
        <f aca="false">IF($F874="","",ROW())</f>
        <v/>
      </c>
      <c r="B874" s="40" t="str">
        <f aca="false">IF($F874="",IF($D874="","","Falta a atividade"),IF($R874="Cancelada","Cancelada",IF($AB874=1,IF(N($Z874)&gt;0,"Concluída com atraso","Concluída"),IF($R874="Em programação","Em programação",IF($O874="",IF($M874="","Na carteira","Falta a semana"),IF($AC874=1,"VENCIDA",IF($O874&gt;Hoje!$L$1,"Programada",IF($P874&gt;Hoje!$L$1,"Em execução","Fecha hoje"))))))))</f>
        <v/>
      </c>
      <c r="C874" s="41"/>
      <c r="D874" s="42"/>
      <c r="E874" s="42"/>
      <c r="F874" s="42"/>
      <c r="G874" s="43"/>
      <c r="H874" s="43"/>
      <c r="I874" s="44"/>
      <c r="J874" s="44"/>
      <c r="K874" s="44"/>
      <c r="L874" s="45"/>
      <c r="M874" s="46"/>
      <c r="N874" s="45"/>
      <c r="O874" s="47" t="str">
        <f aca="false">IF(OR($L874="",$M874=""),"",(DATE(Semana!$J$3,1,4)-WEEKDAY(DATE(Semana!$J$3,1,4),3))+($L874-1)*7+MATCH($M874,Listas!$F$5:$F$11,0)-1)</f>
        <v/>
      </c>
      <c r="P874" s="47" t="str">
        <f aca="false">IF(OR($F874="",$O874=""),"",$O874+MAX(0,ROUNDUP($AK874*MAX(1,IF($N874="",1,$N874))/MAX(1,$AL874),0)-1))</f>
        <v/>
      </c>
      <c r="Q874" s="48"/>
      <c r="R874" s="43"/>
      <c r="S874" s="49"/>
      <c r="T874" s="42"/>
      <c r="U874" s="42"/>
      <c r="V874" s="39" t="str">
        <f aca="false">IF($F874="","",IF(ISNUMBER(SEARCH("(externo)",$I874&amp;$J874&amp;$K874)),"Terceirizada","Interna"))</f>
        <v/>
      </c>
      <c r="W874" s="47" t="str">
        <f aca="false">IF($O874="","",IF($S874="",$O874,(DATE(Semana!$J$3,1,4)-WEEKDAY(DATE(Semana!$J$3,1,4),3))+($S874-1)*7+IF($M874="",0,MATCH($M874,Listas!$F$5:$F$11,0)-1)))</f>
        <v/>
      </c>
      <c r="X874" s="39" t="str">
        <f aca="false">IF($F874="","",IF(OR($AT874="",$O874=""),0,IF($AT874&lt;=$O874,1,0)))</f>
        <v/>
      </c>
      <c r="Y874" s="39" t="str">
        <f aca="false">IF($F874="","",IF(OR($AT874="",$W874=""),0,IF($AT874&lt;=$W874,1,0)))</f>
        <v/>
      </c>
      <c r="Z874" s="39" t="str">
        <f aca="false">IF(OR($AT874="",$O874=""),"",MAX(0,$AT874-$O874))</f>
        <v/>
      </c>
      <c r="AA874" s="39" t="str">
        <f aca="false">IF($F874="","",IF(AND($S874&lt;&gt;"",$L874&lt;&gt;"",$S874&lt;&gt;$L874),1,0))</f>
        <v/>
      </c>
      <c r="AB874" s="39" t="str">
        <f aca="false">IF($F874="","",IF($R874="Cancelada",0,IF(OR($AT874&lt;&gt;"",$R874="Concluída"),1,0)))</f>
        <v/>
      </c>
      <c r="AC874" s="39" t="n">
        <f aca="false">IF($P874="",0,IF($P874&lt;Hoje!$L$1,1,IF(AND($P874=Hoje!$L$1,Hoje!$L$2&gt;Semana!$M$3),1,0)))</f>
        <v>0</v>
      </c>
      <c r="AD874" s="39" t="str">
        <f aca="false">IF($F874="","",IF(COUNTA($I874:$K874)=0,0,1/COUNTA($I874:$K874)))</f>
        <v/>
      </c>
      <c r="AE874" s="39" t="str">
        <f aca="false">IF($AH874=0,"",SUM($AH$4:$AH874))</f>
        <v/>
      </c>
      <c r="AF874" s="39" t="str">
        <f aca="false">IF($AI874=0,"",SUM($AI$4:$AI874))</f>
        <v/>
      </c>
      <c r="AG874" s="50" t="str">
        <f aca="false">IF($F874="","",$I874&amp;IF($J874="",""," · "&amp;$J874)&amp;IF($K874="",""," · "&amp;$K874))</f>
        <v/>
      </c>
      <c r="AH874" s="39" t="n">
        <f aca="false">IF(AND($F874&lt;&gt;"",$O874&lt;&gt;"",$O874&lt;=Hoje!$C$3,$P874&gt;=Hoje!$C$3,$R874&lt;&gt;"Cancelada"),1,0)</f>
        <v>0</v>
      </c>
      <c r="AI874" s="39" t="n">
        <f aca="false">IF(AND($F874&lt;&gt;"",$P874&lt;&gt;"",$P874&lt;Hoje!$C$3,$AB874=0,$R874&lt;&gt;"Cancelada"),1,0)</f>
        <v>0</v>
      </c>
      <c r="AJ874" s="50" t="str">
        <f aca="false">IF($F874="","",$D874&amp;"|"&amp;$E874&amp;"|"&amp;$L874)</f>
        <v/>
      </c>
      <c r="AK874" s="39" t="str">
        <f aca="false">IF($AJ874="","",COUNTIF($AJ$4:$AJ874,$AJ874))</f>
        <v/>
      </c>
      <c r="AL874" s="39" t="str">
        <f aca="false">IF($AJ874="","",COUNTIF($AJ$4:$AJ$1004,$AJ874))</f>
        <v/>
      </c>
      <c r="AM874" s="42"/>
      <c r="AN874" s="50" t="str">
        <f aca="false">IF($D874="","",IFERROR(T(VLOOKUP($D874,Listas!$B$5:$H$120,7,0)),""))</f>
        <v/>
      </c>
      <c r="AO874" s="50" t="str">
        <f aca="false">IF(OR($F874="",$L874&lt;&gt;"",$R874="Cancelada",$AT874&lt;&gt;""),"",$AN874&amp;"|"&amp;$D874&amp;"|"&amp;IF($C874="","zzz",$C874)&amp;"|"&amp;TEXT(874,"0000"))</f>
        <v/>
      </c>
      <c r="AP874" s="50" t="str">
        <f aca="false">IF($AO874="","",COUNTIF($AO$5:$AO$1004,"&lt;"&amp;$AO874)-(ROWS($AO$5:$AO$1004)-Hoje!$L$5)+1)</f>
        <v/>
      </c>
      <c r="AQ874" s="50" t="n">
        <f aca="false">IF(AND($F874&lt;&gt;"",$D874=Frota!$C$3),1,0)</f>
        <v>0</v>
      </c>
      <c r="AR874" s="50" t="str">
        <f aca="false">IF($AQ874=0,"",SUM($AQ$4:$AQ874))</f>
        <v/>
      </c>
      <c r="AS874" s="50" t="str">
        <f aca="false">IFERROR(INDEX(Hoje!$K$10:$K$29,MATCH(ROW(),Hoje!$J$10:$J$29,0)),"")</f>
        <v/>
      </c>
      <c r="AT874" s="50" t="str">
        <f aca="false">IF($Q874&lt;&gt;"",$Q874,$AS874)</f>
        <v/>
      </c>
    </row>
    <row r="875" customFormat="false" ht="16.5" hidden="false" customHeight="true" outlineLevel="0" collapsed="false">
      <c r="A875" s="39" t="str">
        <f aca="false">IF($F875="","",ROW())</f>
        <v/>
      </c>
      <c r="B875" s="40" t="str">
        <f aca="false">IF($F875="",IF($D875="","","Falta a atividade"),IF($R875="Cancelada","Cancelada",IF($AB875=1,IF(N($Z875)&gt;0,"Concluída com atraso","Concluída"),IF($R875="Em programação","Em programação",IF($O875="",IF($M875="","Na carteira","Falta a semana"),IF($AC875=1,"VENCIDA",IF($O875&gt;Hoje!$L$1,"Programada",IF($P875&gt;Hoje!$L$1,"Em execução","Fecha hoje"))))))))</f>
        <v/>
      </c>
      <c r="C875" s="41"/>
      <c r="D875" s="42"/>
      <c r="E875" s="42"/>
      <c r="F875" s="42"/>
      <c r="G875" s="43"/>
      <c r="H875" s="43"/>
      <c r="I875" s="44"/>
      <c r="J875" s="44"/>
      <c r="K875" s="44"/>
      <c r="L875" s="45"/>
      <c r="M875" s="46"/>
      <c r="N875" s="45"/>
      <c r="O875" s="47" t="str">
        <f aca="false">IF(OR($L875="",$M875=""),"",(DATE(Semana!$J$3,1,4)-WEEKDAY(DATE(Semana!$J$3,1,4),3))+($L875-1)*7+MATCH($M875,Listas!$F$5:$F$11,0)-1)</f>
        <v/>
      </c>
      <c r="P875" s="47" t="str">
        <f aca="false">IF(OR($F875="",$O875=""),"",$O875+MAX(0,ROUNDUP($AK875*MAX(1,IF($N875="",1,$N875))/MAX(1,$AL875),0)-1))</f>
        <v/>
      </c>
      <c r="Q875" s="48"/>
      <c r="R875" s="43"/>
      <c r="S875" s="49"/>
      <c r="T875" s="42"/>
      <c r="U875" s="42"/>
      <c r="V875" s="39" t="str">
        <f aca="false">IF($F875="","",IF(ISNUMBER(SEARCH("(externo)",$I875&amp;$J875&amp;$K875)),"Terceirizada","Interna"))</f>
        <v/>
      </c>
      <c r="W875" s="47" t="str">
        <f aca="false">IF($O875="","",IF($S875="",$O875,(DATE(Semana!$J$3,1,4)-WEEKDAY(DATE(Semana!$J$3,1,4),3))+($S875-1)*7+IF($M875="",0,MATCH($M875,Listas!$F$5:$F$11,0)-1)))</f>
        <v/>
      </c>
      <c r="X875" s="39" t="str">
        <f aca="false">IF($F875="","",IF(OR($AT875="",$O875=""),0,IF($AT875&lt;=$O875,1,0)))</f>
        <v/>
      </c>
      <c r="Y875" s="39" t="str">
        <f aca="false">IF($F875="","",IF(OR($AT875="",$W875=""),0,IF($AT875&lt;=$W875,1,0)))</f>
        <v/>
      </c>
      <c r="Z875" s="39" t="str">
        <f aca="false">IF(OR($AT875="",$O875=""),"",MAX(0,$AT875-$O875))</f>
        <v/>
      </c>
      <c r="AA875" s="39" t="str">
        <f aca="false">IF($F875="","",IF(AND($S875&lt;&gt;"",$L875&lt;&gt;"",$S875&lt;&gt;$L875),1,0))</f>
        <v/>
      </c>
      <c r="AB875" s="39" t="str">
        <f aca="false">IF($F875="","",IF($R875="Cancelada",0,IF(OR($AT875&lt;&gt;"",$R875="Concluída"),1,0)))</f>
        <v/>
      </c>
      <c r="AC875" s="39" t="n">
        <f aca="false">IF($P875="",0,IF($P875&lt;Hoje!$L$1,1,IF(AND($P875=Hoje!$L$1,Hoje!$L$2&gt;Semana!$M$3),1,0)))</f>
        <v>0</v>
      </c>
      <c r="AD875" s="39" t="str">
        <f aca="false">IF($F875="","",IF(COUNTA($I875:$K875)=0,0,1/COUNTA($I875:$K875)))</f>
        <v/>
      </c>
      <c r="AE875" s="39" t="str">
        <f aca="false">IF($AH875=0,"",SUM($AH$4:$AH875))</f>
        <v/>
      </c>
      <c r="AF875" s="39" t="str">
        <f aca="false">IF($AI875=0,"",SUM($AI$4:$AI875))</f>
        <v/>
      </c>
      <c r="AG875" s="50" t="str">
        <f aca="false">IF($F875="","",$I875&amp;IF($J875="",""," · "&amp;$J875)&amp;IF($K875="",""," · "&amp;$K875))</f>
        <v/>
      </c>
      <c r="AH875" s="39" t="n">
        <f aca="false">IF(AND($F875&lt;&gt;"",$O875&lt;&gt;"",$O875&lt;=Hoje!$C$3,$P875&gt;=Hoje!$C$3,$R875&lt;&gt;"Cancelada"),1,0)</f>
        <v>0</v>
      </c>
      <c r="AI875" s="39" t="n">
        <f aca="false">IF(AND($F875&lt;&gt;"",$P875&lt;&gt;"",$P875&lt;Hoje!$C$3,$AB875=0,$R875&lt;&gt;"Cancelada"),1,0)</f>
        <v>0</v>
      </c>
      <c r="AJ875" s="50" t="str">
        <f aca="false">IF($F875="","",$D875&amp;"|"&amp;$E875&amp;"|"&amp;$L875)</f>
        <v/>
      </c>
      <c r="AK875" s="39" t="str">
        <f aca="false">IF($AJ875="","",COUNTIF($AJ$4:$AJ875,$AJ875))</f>
        <v/>
      </c>
      <c r="AL875" s="39" t="str">
        <f aca="false">IF($AJ875="","",COUNTIF($AJ$4:$AJ$1004,$AJ875))</f>
        <v/>
      </c>
      <c r="AM875" s="42"/>
      <c r="AN875" s="50" t="str">
        <f aca="false">IF($D875="","",IFERROR(T(VLOOKUP($D875,Listas!$B$5:$H$120,7,0)),""))</f>
        <v/>
      </c>
      <c r="AO875" s="50" t="str">
        <f aca="false">IF(OR($F875="",$L875&lt;&gt;"",$R875="Cancelada",$AT875&lt;&gt;""),"",$AN875&amp;"|"&amp;$D875&amp;"|"&amp;IF($C875="","zzz",$C875)&amp;"|"&amp;TEXT(875,"0000"))</f>
        <v/>
      </c>
      <c r="AP875" s="50" t="str">
        <f aca="false">IF($AO875="","",COUNTIF($AO$5:$AO$1004,"&lt;"&amp;$AO875)-(ROWS($AO$5:$AO$1004)-Hoje!$L$5)+1)</f>
        <v/>
      </c>
      <c r="AQ875" s="50" t="n">
        <f aca="false">IF(AND($F875&lt;&gt;"",$D875=Frota!$C$3),1,0)</f>
        <v>0</v>
      </c>
      <c r="AR875" s="50" t="str">
        <f aca="false">IF($AQ875=0,"",SUM($AQ$4:$AQ875))</f>
        <v/>
      </c>
      <c r="AS875" s="50" t="str">
        <f aca="false">IFERROR(INDEX(Hoje!$K$10:$K$29,MATCH(ROW(),Hoje!$J$10:$J$29,0)),"")</f>
        <v/>
      </c>
      <c r="AT875" s="50" t="str">
        <f aca="false">IF($Q875&lt;&gt;"",$Q875,$AS875)</f>
        <v/>
      </c>
    </row>
    <row r="876" customFormat="false" ht="16.5" hidden="false" customHeight="true" outlineLevel="0" collapsed="false">
      <c r="A876" s="39" t="str">
        <f aca="false">IF($F876="","",ROW())</f>
        <v/>
      </c>
      <c r="B876" s="40" t="str">
        <f aca="false">IF($F876="",IF($D876="","","Falta a atividade"),IF($R876="Cancelada","Cancelada",IF($AB876=1,IF(N($Z876)&gt;0,"Concluída com atraso","Concluída"),IF($R876="Em programação","Em programação",IF($O876="",IF($M876="","Na carteira","Falta a semana"),IF($AC876=1,"VENCIDA",IF($O876&gt;Hoje!$L$1,"Programada",IF($P876&gt;Hoje!$L$1,"Em execução","Fecha hoje"))))))))</f>
        <v/>
      </c>
      <c r="C876" s="41"/>
      <c r="D876" s="42"/>
      <c r="E876" s="42"/>
      <c r="F876" s="42"/>
      <c r="G876" s="43"/>
      <c r="H876" s="43"/>
      <c r="I876" s="44"/>
      <c r="J876" s="44"/>
      <c r="K876" s="44"/>
      <c r="L876" s="45"/>
      <c r="M876" s="46"/>
      <c r="N876" s="45"/>
      <c r="O876" s="47" t="str">
        <f aca="false">IF(OR($L876="",$M876=""),"",(DATE(Semana!$J$3,1,4)-WEEKDAY(DATE(Semana!$J$3,1,4),3))+($L876-1)*7+MATCH($M876,Listas!$F$5:$F$11,0)-1)</f>
        <v/>
      </c>
      <c r="P876" s="47" t="str">
        <f aca="false">IF(OR($F876="",$O876=""),"",$O876+MAX(0,ROUNDUP($AK876*MAX(1,IF($N876="",1,$N876))/MAX(1,$AL876),0)-1))</f>
        <v/>
      </c>
      <c r="Q876" s="48"/>
      <c r="R876" s="43"/>
      <c r="S876" s="49"/>
      <c r="T876" s="42"/>
      <c r="U876" s="42"/>
      <c r="V876" s="39" t="str">
        <f aca="false">IF($F876="","",IF(ISNUMBER(SEARCH("(externo)",$I876&amp;$J876&amp;$K876)),"Terceirizada","Interna"))</f>
        <v/>
      </c>
      <c r="W876" s="47" t="str">
        <f aca="false">IF($O876="","",IF($S876="",$O876,(DATE(Semana!$J$3,1,4)-WEEKDAY(DATE(Semana!$J$3,1,4),3))+($S876-1)*7+IF($M876="",0,MATCH($M876,Listas!$F$5:$F$11,0)-1)))</f>
        <v/>
      </c>
      <c r="X876" s="39" t="str">
        <f aca="false">IF($F876="","",IF(OR($AT876="",$O876=""),0,IF($AT876&lt;=$O876,1,0)))</f>
        <v/>
      </c>
      <c r="Y876" s="39" t="str">
        <f aca="false">IF($F876="","",IF(OR($AT876="",$W876=""),0,IF($AT876&lt;=$W876,1,0)))</f>
        <v/>
      </c>
      <c r="Z876" s="39" t="str">
        <f aca="false">IF(OR($AT876="",$O876=""),"",MAX(0,$AT876-$O876))</f>
        <v/>
      </c>
      <c r="AA876" s="39" t="str">
        <f aca="false">IF($F876="","",IF(AND($S876&lt;&gt;"",$L876&lt;&gt;"",$S876&lt;&gt;$L876),1,0))</f>
        <v/>
      </c>
      <c r="AB876" s="39" t="str">
        <f aca="false">IF($F876="","",IF($R876="Cancelada",0,IF(OR($AT876&lt;&gt;"",$R876="Concluída"),1,0)))</f>
        <v/>
      </c>
      <c r="AC876" s="39" t="n">
        <f aca="false">IF($P876="",0,IF($P876&lt;Hoje!$L$1,1,IF(AND($P876=Hoje!$L$1,Hoje!$L$2&gt;Semana!$M$3),1,0)))</f>
        <v>0</v>
      </c>
      <c r="AD876" s="39" t="str">
        <f aca="false">IF($F876="","",IF(COUNTA($I876:$K876)=0,0,1/COUNTA($I876:$K876)))</f>
        <v/>
      </c>
      <c r="AE876" s="39" t="str">
        <f aca="false">IF($AH876=0,"",SUM($AH$4:$AH876))</f>
        <v/>
      </c>
      <c r="AF876" s="39" t="str">
        <f aca="false">IF($AI876=0,"",SUM($AI$4:$AI876))</f>
        <v/>
      </c>
      <c r="AG876" s="50" t="str">
        <f aca="false">IF($F876="","",$I876&amp;IF($J876="",""," · "&amp;$J876)&amp;IF($K876="",""," · "&amp;$K876))</f>
        <v/>
      </c>
      <c r="AH876" s="39" t="n">
        <f aca="false">IF(AND($F876&lt;&gt;"",$O876&lt;&gt;"",$O876&lt;=Hoje!$C$3,$P876&gt;=Hoje!$C$3,$R876&lt;&gt;"Cancelada"),1,0)</f>
        <v>0</v>
      </c>
      <c r="AI876" s="39" t="n">
        <f aca="false">IF(AND($F876&lt;&gt;"",$P876&lt;&gt;"",$P876&lt;Hoje!$C$3,$AB876=0,$R876&lt;&gt;"Cancelada"),1,0)</f>
        <v>0</v>
      </c>
      <c r="AJ876" s="50" t="str">
        <f aca="false">IF($F876="","",$D876&amp;"|"&amp;$E876&amp;"|"&amp;$L876)</f>
        <v/>
      </c>
      <c r="AK876" s="39" t="str">
        <f aca="false">IF($AJ876="","",COUNTIF($AJ$4:$AJ876,$AJ876))</f>
        <v/>
      </c>
      <c r="AL876" s="39" t="str">
        <f aca="false">IF($AJ876="","",COUNTIF($AJ$4:$AJ$1004,$AJ876))</f>
        <v/>
      </c>
      <c r="AM876" s="42"/>
      <c r="AN876" s="50" t="str">
        <f aca="false">IF($D876="","",IFERROR(T(VLOOKUP($D876,Listas!$B$5:$H$120,7,0)),""))</f>
        <v/>
      </c>
      <c r="AO876" s="50" t="str">
        <f aca="false">IF(OR($F876="",$L876&lt;&gt;"",$R876="Cancelada",$AT876&lt;&gt;""),"",$AN876&amp;"|"&amp;$D876&amp;"|"&amp;IF($C876="","zzz",$C876)&amp;"|"&amp;TEXT(876,"0000"))</f>
        <v/>
      </c>
      <c r="AP876" s="50" t="str">
        <f aca="false">IF($AO876="","",COUNTIF($AO$5:$AO$1004,"&lt;"&amp;$AO876)-(ROWS($AO$5:$AO$1004)-Hoje!$L$5)+1)</f>
        <v/>
      </c>
      <c r="AQ876" s="50" t="n">
        <f aca="false">IF(AND($F876&lt;&gt;"",$D876=Frota!$C$3),1,0)</f>
        <v>0</v>
      </c>
      <c r="AR876" s="50" t="str">
        <f aca="false">IF($AQ876=0,"",SUM($AQ$4:$AQ876))</f>
        <v/>
      </c>
      <c r="AS876" s="50" t="str">
        <f aca="false">IFERROR(INDEX(Hoje!$K$10:$K$29,MATCH(ROW(),Hoje!$J$10:$J$29,0)),"")</f>
        <v/>
      </c>
      <c r="AT876" s="50" t="str">
        <f aca="false">IF($Q876&lt;&gt;"",$Q876,$AS876)</f>
        <v/>
      </c>
    </row>
    <row r="877" customFormat="false" ht="16.5" hidden="false" customHeight="true" outlineLevel="0" collapsed="false">
      <c r="A877" s="39" t="str">
        <f aca="false">IF($F877="","",ROW())</f>
        <v/>
      </c>
      <c r="B877" s="40" t="str">
        <f aca="false">IF($F877="",IF($D877="","","Falta a atividade"),IF($R877="Cancelada","Cancelada",IF($AB877=1,IF(N($Z877)&gt;0,"Concluída com atraso","Concluída"),IF($R877="Em programação","Em programação",IF($O877="",IF($M877="","Na carteira","Falta a semana"),IF($AC877=1,"VENCIDA",IF($O877&gt;Hoje!$L$1,"Programada",IF($P877&gt;Hoje!$L$1,"Em execução","Fecha hoje"))))))))</f>
        <v/>
      </c>
      <c r="C877" s="41"/>
      <c r="D877" s="42"/>
      <c r="E877" s="42"/>
      <c r="F877" s="42"/>
      <c r="G877" s="43"/>
      <c r="H877" s="43"/>
      <c r="I877" s="44"/>
      <c r="J877" s="44"/>
      <c r="K877" s="44"/>
      <c r="L877" s="45"/>
      <c r="M877" s="46"/>
      <c r="N877" s="45"/>
      <c r="O877" s="47" t="str">
        <f aca="false">IF(OR($L877="",$M877=""),"",(DATE(Semana!$J$3,1,4)-WEEKDAY(DATE(Semana!$J$3,1,4),3))+($L877-1)*7+MATCH($M877,Listas!$F$5:$F$11,0)-1)</f>
        <v/>
      </c>
      <c r="P877" s="47" t="str">
        <f aca="false">IF(OR($F877="",$O877=""),"",$O877+MAX(0,ROUNDUP($AK877*MAX(1,IF($N877="",1,$N877))/MAX(1,$AL877),0)-1))</f>
        <v/>
      </c>
      <c r="Q877" s="48"/>
      <c r="R877" s="43"/>
      <c r="S877" s="49"/>
      <c r="T877" s="42"/>
      <c r="U877" s="42"/>
      <c r="V877" s="39" t="str">
        <f aca="false">IF($F877="","",IF(ISNUMBER(SEARCH("(externo)",$I877&amp;$J877&amp;$K877)),"Terceirizada","Interna"))</f>
        <v/>
      </c>
      <c r="W877" s="47" t="str">
        <f aca="false">IF($O877="","",IF($S877="",$O877,(DATE(Semana!$J$3,1,4)-WEEKDAY(DATE(Semana!$J$3,1,4),3))+($S877-1)*7+IF($M877="",0,MATCH($M877,Listas!$F$5:$F$11,0)-1)))</f>
        <v/>
      </c>
      <c r="X877" s="39" t="str">
        <f aca="false">IF($F877="","",IF(OR($AT877="",$O877=""),0,IF($AT877&lt;=$O877,1,0)))</f>
        <v/>
      </c>
      <c r="Y877" s="39" t="str">
        <f aca="false">IF($F877="","",IF(OR($AT877="",$W877=""),0,IF($AT877&lt;=$W877,1,0)))</f>
        <v/>
      </c>
      <c r="Z877" s="39" t="str">
        <f aca="false">IF(OR($AT877="",$O877=""),"",MAX(0,$AT877-$O877))</f>
        <v/>
      </c>
      <c r="AA877" s="39" t="str">
        <f aca="false">IF($F877="","",IF(AND($S877&lt;&gt;"",$L877&lt;&gt;"",$S877&lt;&gt;$L877),1,0))</f>
        <v/>
      </c>
      <c r="AB877" s="39" t="str">
        <f aca="false">IF($F877="","",IF($R877="Cancelada",0,IF(OR($AT877&lt;&gt;"",$R877="Concluída"),1,0)))</f>
        <v/>
      </c>
      <c r="AC877" s="39" t="n">
        <f aca="false">IF($P877="",0,IF($P877&lt;Hoje!$L$1,1,IF(AND($P877=Hoje!$L$1,Hoje!$L$2&gt;Semana!$M$3),1,0)))</f>
        <v>0</v>
      </c>
      <c r="AD877" s="39" t="str">
        <f aca="false">IF($F877="","",IF(COUNTA($I877:$K877)=0,0,1/COUNTA($I877:$K877)))</f>
        <v/>
      </c>
      <c r="AE877" s="39" t="str">
        <f aca="false">IF($AH877=0,"",SUM($AH$4:$AH877))</f>
        <v/>
      </c>
      <c r="AF877" s="39" t="str">
        <f aca="false">IF($AI877=0,"",SUM($AI$4:$AI877))</f>
        <v/>
      </c>
      <c r="AG877" s="50" t="str">
        <f aca="false">IF($F877="","",$I877&amp;IF($J877="",""," · "&amp;$J877)&amp;IF($K877="",""," · "&amp;$K877))</f>
        <v/>
      </c>
      <c r="AH877" s="39" t="n">
        <f aca="false">IF(AND($F877&lt;&gt;"",$O877&lt;&gt;"",$O877&lt;=Hoje!$C$3,$P877&gt;=Hoje!$C$3,$R877&lt;&gt;"Cancelada"),1,0)</f>
        <v>0</v>
      </c>
      <c r="AI877" s="39" t="n">
        <f aca="false">IF(AND($F877&lt;&gt;"",$P877&lt;&gt;"",$P877&lt;Hoje!$C$3,$AB877=0,$R877&lt;&gt;"Cancelada"),1,0)</f>
        <v>0</v>
      </c>
      <c r="AJ877" s="50" t="str">
        <f aca="false">IF($F877="","",$D877&amp;"|"&amp;$E877&amp;"|"&amp;$L877)</f>
        <v/>
      </c>
      <c r="AK877" s="39" t="str">
        <f aca="false">IF($AJ877="","",COUNTIF($AJ$4:$AJ877,$AJ877))</f>
        <v/>
      </c>
      <c r="AL877" s="39" t="str">
        <f aca="false">IF($AJ877="","",COUNTIF($AJ$4:$AJ$1004,$AJ877))</f>
        <v/>
      </c>
      <c r="AM877" s="42"/>
      <c r="AN877" s="50" t="str">
        <f aca="false">IF($D877="","",IFERROR(T(VLOOKUP($D877,Listas!$B$5:$H$120,7,0)),""))</f>
        <v/>
      </c>
      <c r="AO877" s="50" t="str">
        <f aca="false">IF(OR($F877="",$L877&lt;&gt;"",$R877="Cancelada",$AT877&lt;&gt;""),"",$AN877&amp;"|"&amp;$D877&amp;"|"&amp;IF($C877="","zzz",$C877)&amp;"|"&amp;TEXT(877,"0000"))</f>
        <v/>
      </c>
      <c r="AP877" s="50" t="str">
        <f aca="false">IF($AO877="","",COUNTIF($AO$5:$AO$1004,"&lt;"&amp;$AO877)-(ROWS($AO$5:$AO$1004)-Hoje!$L$5)+1)</f>
        <v/>
      </c>
      <c r="AQ877" s="50" t="n">
        <f aca="false">IF(AND($F877&lt;&gt;"",$D877=Frota!$C$3),1,0)</f>
        <v>0</v>
      </c>
      <c r="AR877" s="50" t="str">
        <f aca="false">IF($AQ877=0,"",SUM($AQ$4:$AQ877))</f>
        <v/>
      </c>
      <c r="AS877" s="50" t="str">
        <f aca="false">IFERROR(INDEX(Hoje!$K$10:$K$29,MATCH(ROW(),Hoje!$J$10:$J$29,0)),"")</f>
        <v/>
      </c>
      <c r="AT877" s="50" t="str">
        <f aca="false">IF($Q877&lt;&gt;"",$Q877,$AS877)</f>
        <v/>
      </c>
    </row>
    <row r="878" customFormat="false" ht="16.5" hidden="false" customHeight="true" outlineLevel="0" collapsed="false">
      <c r="A878" s="39" t="str">
        <f aca="false">IF($F878="","",ROW())</f>
        <v/>
      </c>
      <c r="B878" s="40" t="str">
        <f aca="false">IF($F878="",IF($D878="","","Falta a atividade"),IF($R878="Cancelada","Cancelada",IF($AB878=1,IF(N($Z878)&gt;0,"Concluída com atraso","Concluída"),IF($R878="Em programação","Em programação",IF($O878="",IF($M878="","Na carteira","Falta a semana"),IF($AC878=1,"VENCIDA",IF($O878&gt;Hoje!$L$1,"Programada",IF($P878&gt;Hoje!$L$1,"Em execução","Fecha hoje"))))))))</f>
        <v/>
      </c>
      <c r="C878" s="41"/>
      <c r="D878" s="42"/>
      <c r="E878" s="42"/>
      <c r="F878" s="42"/>
      <c r="G878" s="43"/>
      <c r="H878" s="43"/>
      <c r="I878" s="44"/>
      <c r="J878" s="44"/>
      <c r="K878" s="44"/>
      <c r="L878" s="45"/>
      <c r="M878" s="46"/>
      <c r="N878" s="45"/>
      <c r="O878" s="47" t="str">
        <f aca="false">IF(OR($L878="",$M878=""),"",(DATE(Semana!$J$3,1,4)-WEEKDAY(DATE(Semana!$J$3,1,4),3))+($L878-1)*7+MATCH($M878,Listas!$F$5:$F$11,0)-1)</f>
        <v/>
      </c>
      <c r="P878" s="47" t="str">
        <f aca="false">IF(OR($F878="",$O878=""),"",$O878+MAX(0,ROUNDUP($AK878*MAX(1,IF($N878="",1,$N878))/MAX(1,$AL878),0)-1))</f>
        <v/>
      </c>
      <c r="Q878" s="48"/>
      <c r="R878" s="43"/>
      <c r="S878" s="49"/>
      <c r="T878" s="42"/>
      <c r="U878" s="42"/>
      <c r="V878" s="39" t="str">
        <f aca="false">IF($F878="","",IF(ISNUMBER(SEARCH("(externo)",$I878&amp;$J878&amp;$K878)),"Terceirizada","Interna"))</f>
        <v/>
      </c>
      <c r="W878" s="47" t="str">
        <f aca="false">IF($O878="","",IF($S878="",$O878,(DATE(Semana!$J$3,1,4)-WEEKDAY(DATE(Semana!$J$3,1,4),3))+($S878-1)*7+IF($M878="",0,MATCH($M878,Listas!$F$5:$F$11,0)-1)))</f>
        <v/>
      </c>
      <c r="X878" s="39" t="str">
        <f aca="false">IF($F878="","",IF(OR($AT878="",$O878=""),0,IF($AT878&lt;=$O878,1,0)))</f>
        <v/>
      </c>
      <c r="Y878" s="39" t="str">
        <f aca="false">IF($F878="","",IF(OR($AT878="",$W878=""),0,IF($AT878&lt;=$W878,1,0)))</f>
        <v/>
      </c>
      <c r="Z878" s="39" t="str">
        <f aca="false">IF(OR($AT878="",$O878=""),"",MAX(0,$AT878-$O878))</f>
        <v/>
      </c>
      <c r="AA878" s="39" t="str">
        <f aca="false">IF($F878="","",IF(AND($S878&lt;&gt;"",$L878&lt;&gt;"",$S878&lt;&gt;$L878),1,0))</f>
        <v/>
      </c>
      <c r="AB878" s="39" t="str">
        <f aca="false">IF($F878="","",IF($R878="Cancelada",0,IF(OR($AT878&lt;&gt;"",$R878="Concluída"),1,0)))</f>
        <v/>
      </c>
      <c r="AC878" s="39" t="n">
        <f aca="false">IF($P878="",0,IF($P878&lt;Hoje!$L$1,1,IF(AND($P878=Hoje!$L$1,Hoje!$L$2&gt;Semana!$M$3),1,0)))</f>
        <v>0</v>
      </c>
      <c r="AD878" s="39" t="str">
        <f aca="false">IF($F878="","",IF(COUNTA($I878:$K878)=0,0,1/COUNTA($I878:$K878)))</f>
        <v/>
      </c>
      <c r="AE878" s="39" t="str">
        <f aca="false">IF($AH878=0,"",SUM($AH$4:$AH878))</f>
        <v/>
      </c>
      <c r="AF878" s="39" t="str">
        <f aca="false">IF($AI878=0,"",SUM($AI$4:$AI878))</f>
        <v/>
      </c>
      <c r="AG878" s="50" t="str">
        <f aca="false">IF($F878="","",$I878&amp;IF($J878="",""," · "&amp;$J878)&amp;IF($K878="",""," · "&amp;$K878))</f>
        <v/>
      </c>
      <c r="AH878" s="39" t="n">
        <f aca="false">IF(AND($F878&lt;&gt;"",$O878&lt;&gt;"",$O878&lt;=Hoje!$C$3,$P878&gt;=Hoje!$C$3,$R878&lt;&gt;"Cancelada"),1,0)</f>
        <v>0</v>
      </c>
      <c r="AI878" s="39" t="n">
        <f aca="false">IF(AND($F878&lt;&gt;"",$P878&lt;&gt;"",$P878&lt;Hoje!$C$3,$AB878=0,$R878&lt;&gt;"Cancelada"),1,0)</f>
        <v>0</v>
      </c>
      <c r="AJ878" s="50" t="str">
        <f aca="false">IF($F878="","",$D878&amp;"|"&amp;$E878&amp;"|"&amp;$L878)</f>
        <v/>
      </c>
      <c r="AK878" s="39" t="str">
        <f aca="false">IF($AJ878="","",COUNTIF($AJ$4:$AJ878,$AJ878))</f>
        <v/>
      </c>
      <c r="AL878" s="39" t="str">
        <f aca="false">IF($AJ878="","",COUNTIF($AJ$4:$AJ$1004,$AJ878))</f>
        <v/>
      </c>
      <c r="AM878" s="42"/>
      <c r="AN878" s="50" t="str">
        <f aca="false">IF($D878="","",IFERROR(T(VLOOKUP($D878,Listas!$B$5:$H$120,7,0)),""))</f>
        <v/>
      </c>
      <c r="AO878" s="50" t="str">
        <f aca="false">IF(OR($F878="",$L878&lt;&gt;"",$R878="Cancelada",$AT878&lt;&gt;""),"",$AN878&amp;"|"&amp;$D878&amp;"|"&amp;IF($C878="","zzz",$C878)&amp;"|"&amp;TEXT(878,"0000"))</f>
        <v/>
      </c>
      <c r="AP878" s="50" t="str">
        <f aca="false">IF($AO878="","",COUNTIF($AO$5:$AO$1004,"&lt;"&amp;$AO878)-(ROWS($AO$5:$AO$1004)-Hoje!$L$5)+1)</f>
        <v/>
      </c>
      <c r="AQ878" s="50" t="n">
        <f aca="false">IF(AND($F878&lt;&gt;"",$D878=Frota!$C$3),1,0)</f>
        <v>0</v>
      </c>
      <c r="AR878" s="50" t="str">
        <f aca="false">IF($AQ878=0,"",SUM($AQ$4:$AQ878))</f>
        <v/>
      </c>
      <c r="AS878" s="50" t="str">
        <f aca="false">IFERROR(INDEX(Hoje!$K$10:$K$29,MATCH(ROW(),Hoje!$J$10:$J$29,0)),"")</f>
        <v/>
      </c>
      <c r="AT878" s="50" t="str">
        <f aca="false">IF($Q878&lt;&gt;"",$Q878,$AS878)</f>
        <v/>
      </c>
    </row>
    <row r="879" customFormat="false" ht="16.5" hidden="false" customHeight="true" outlineLevel="0" collapsed="false">
      <c r="A879" s="39" t="str">
        <f aca="false">IF($F879="","",ROW())</f>
        <v/>
      </c>
      <c r="B879" s="40" t="str">
        <f aca="false">IF($F879="",IF($D879="","","Falta a atividade"),IF($R879="Cancelada","Cancelada",IF($AB879=1,IF(N($Z879)&gt;0,"Concluída com atraso","Concluída"),IF($R879="Em programação","Em programação",IF($O879="",IF($M879="","Na carteira","Falta a semana"),IF($AC879=1,"VENCIDA",IF($O879&gt;Hoje!$L$1,"Programada",IF($P879&gt;Hoje!$L$1,"Em execução","Fecha hoje"))))))))</f>
        <v/>
      </c>
      <c r="C879" s="41"/>
      <c r="D879" s="42"/>
      <c r="E879" s="42"/>
      <c r="F879" s="42"/>
      <c r="G879" s="43"/>
      <c r="H879" s="43"/>
      <c r="I879" s="44"/>
      <c r="J879" s="44"/>
      <c r="K879" s="44"/>
      <c r="L879" s="45"/>
      <c r="M879" s="46"/>
      <c r="N879" s="45"/>
      <c r="O879" s="47" t="str">
        <f aca="false">IF(OR($L879="",$M879=""),"",(DATE(Semana!$J$3,1,4)-WEEKDAY(DATE(Semana!$J$3,1,4),3))+($L879-1)*7+MATCH($M879,Listas!$F$5:$F$11,0)-1)</f>
        <v/>
      </c>
      <c r="P879" s="47" t="str">
        <f aca="false">IF(OR($F879="",$O879=""),"",$O879+MAX(0,ROUNDUP($AK879*MAX(1,IF($N879="",1,$N879))/MAX(1,$AL879),0)-1))</f>
        <v/>
      </c>
      <c r="Q879" s="48"/>
      <c r="R879" s="43"/>
      <c r="S879" s="49"/>
      <c r="T879" s="42"/>
      <c r="U879" s="42"/>
      <c r="V879" s="39" t="str">
        <f aca="false">IF($F879="","",IF(ISNUMBER(SEARCH("(externo)",$I879&amp;$J879&amp;$K879)),"Terceirizada","Interna"))</f>
        <v/>
      </c>
      <c r="W879" s="47" t="str">
        <f aca="false">IF($O879="","",IF($S879="",$O879,(DATE(Semana!$J$3,1,4)-WEEKDAY(DATE(Semana!$J$3,1,4),3))+($S879-1)*7+IF($M879="",0,MATCH($M879,Listas!$F$5:$F$11,0)-1)))</f>
        <v/>
      </c>
      <c r="X879" s="39" t="str">
        <f aca="false">IF($F879="","",IF(OR($AT879="",$O879=""),0,IF($AT879&lt;=$O879,1,0)))</f>
        <v/>
      </c>
      <c r="Y879" s="39" t="str">
        <f aca="false">IF($F879="","",IF(OR($AT879="",$W879=""),0,IF($AT879&lt;=$W879,1,0)))</f>
        <v/>
      </c>
      <c r="Z879" s="39" t="str">
        <f aca="false">IF(OR($AT879="",$O879=""),"",MAX(0,$AT879-$O879))</f>
        <v/>
      </c>
      <c r="AA879" s="39" t="str">
        <f aca="false">IF($F879="","",IF(AND($S879&lt;&gt;"",$L879&lt;&gt;"",$S879&lt;&gt;$L879),1,0))</f>
        <v/>
      </c>
      <c r="AB879" s="39" t="str">
        <f aca="false">IF($F879="","",IF($R879="Cancelada",0,IF(OR($AT879&lt;&gt;"",$R879="Concluída"),1,0)))</f>
        <v/>
      </c>
      <c r="AC879" s="39" t="n">
        <f aca="false">IF($P879="",0,IF($P879&lt;Hoje!$L$1,1,IF(AND($P879=Hoje!$L$1,Hoje!$L$2&gt;Semana!$M$3),1,0)))</f>
        <v>0</v>
      </c>
      <c r="AD879" s="39" t="str">
        <f aca="false">IF($F879="","",IF(COUNTA($I879:$K879)=0,0,1/COUNTA($I879:$K879)))</f>
        <v/>
      </c>
      <c r="AE879" s="39" t="str">
        <f aca="false">IF($AH879=0,"",SUM($AH$4:$AH879))</f>
        <v/>
      </c>
      <c r="AF879" s="39" t="str">
        <f aca="false">IF($AI879=0,"",SUM($AI$4:$AI879))</f>
        <v/>
      </c>
      <c r="AG879" s="50" t="str">
        <f aca="false">IF($F879="","",$I879&amp;IF($J879="",""," · "&amp;$J879)&amp;IF($K879="",""," · "&amp;$K879))</f>
        <v/>
      </c>
      <c r="AH879" s="39" t="n">
        <f aca="false">IF(AND($F879&lt;&gt;"",$O879&lt;&gt;"",$O879&lt;=Hoje!$C$3,$P879&gt;=Hoje!$C$3,$R879&lt;&gt;"Cancelada"),1,0)</f>
        <v>0</v>
      </c>
      <c r="AI879" s="39" t="n">
        <f aca="false">IF(AND($F879&lt;&gt;"",$P879&lt;&gt;"",$P879&lt;Hoje!$C$3,$AB879=0,$R879&lt;&gt;"Cancelada"),1,0)</f>
        <v>0</v>
      </c>
      <c r="AJ879" s="50" t="str">
        <f aca="false">IF($F879="","",$D879&amp;"|"&amp;$E879&amp;"|"&amp;$L879)</f>
        <v/>
      </c>
      <c r="AK879" s="39" t="str">
        <f aca="false">IF($AJ879="","",COUNTIF($AJ$4:$AJ879,$AJ879))</f>
        <v/>
      </c>
      <c r="AL879" s="39" t="str">
        <f aca="false">IF($AJ879="","",COUNTIF($AJ$4:$AJ$1004,$AJ879))</f>
        <v/>
      </c>
      <c r="AM879" s="42"/>
      <c r="AN879" s="50" t="str">
        <f aca="false">IF($D879="","",IFERROR(T(VLOOKUP($D879,Listas!$B$5:$H$120,7,0)),""))</f>
        <v/>
      </c>
      <c r="AO879" s="50" t="str">
        <f aca="false">IF(OR($F879="",$L879&lt;&gt;"",$R879="Cancelada",$AT879&lt;&gt;""),"",$AN879&amp;"|"&amp;$D879&amp;"|"&amp;IF($C879="","zzz",$C879)&amp;"|"&amp;TEXT(879,"0000"))</f>
        <v/>
      </c>
      <c r="AP879" s="50" t="str">
        <f aca="false">IF($AO879="","",COUNTIF($AO$5:$AO$1004,"&lt;"&amp;$AO879)-(ROWS($AO$5:$AO$1004)-Hoje!$L$5)+1)</f>
        <v/>
      </c>
      <c r="AQ879" s="50" t="n">
        <f aca="false">IF(AND($F879&lt;&gt;"",$D879=Frota!$C$3),1,0)</f>
        <v>0</v>
      </c>
      <c r="AR879" s="50" t="str">
        <f aca="false">IF($AQ879=0,"",SUM($AQ$4:$AQ879))</f>
        <v/>
      </c>
      <c r="AS879" s="50" t="str">
        <f aca="false">IFERROR(INDEX(Hoje!$K$10:$K$29,MATCH(ROW(),Hoje!$J$10:$J$29,0)),"")</f>
        <v/>
      </c>
      <c r="AT879" s="50" t="str">
        <f aca="false">IF($Q879&lt;&gt;"",$Q879,$AS879)</f>
        <v/>
      </c>
    </row>
    <row r="880" customFormat="false" ht="16.5" hidden="false" customHeight="true" outlineLevel="0" collapsed="false">
      <c r="A880" s="39" t="str">
        <f aca="false">IF($F880="","",ROW())</f>
        <v/>
      </c>
      <c r="B880" s="40" t="str">
        <f aca="false">IF($F880="",IF($D880="","","Falta a atividade"),IF($R880="Cancelada","Cancelada",IF($AB880=1,IF(N($Z880)&gt;0,"Concluída com atraso","Concluída"),IF($R880="Em programação","Em programação",IF($O880="",IF($M880="","Na carteira","Falta a semana"),IF($AC880=1,"VENCIDA",IF($O880&gt;Hoje!$L$1,"Programada",IF($P880&gt;Hoje!$L$1,"Em execução","Fecha hoje"))))))))</f>
        <v/>
      </c>
      <c r="C880" s="41"/>
      <c r="D880" s="42"/>
      <c r="E880" s="42"/>
      <c r="F880" s="42"/>
      <c r="G880" s="43"/>
      <c r="H880" s="43"/>
      <c r="I880" s="44"/>
      <c r="J880" s="44"/>
      <c r="K880" s="44"/>
      <c r="L880" s="45"/>
      <c r="M880" s="46"/>
      <c r="N880" s="45"/>
      <c r="O880" s="47" t="str">
        <f aca="false">IF(OR($L880="",$M880=""),"",(DATE(Semana!$J$3,1,4)-WEEKDAY(DATE(Semana!$J$3,1,4),3))+($L880-1)*7+MATCH($M880,Listas!$F$5:$F$11,0)-1)</f>
        <v/>
      </c>
      <c r="P880" s="47" t="str">
        <f aca="false">IF(OR($F880="",$O880=""),"",$O880+MAX(0,ROUNDUP($AK880*MAX(1,IF($N880="",1,$N880))/MAX(1,$AL880),0)-1))</f>
        <v/>
      </c>
      <c r="Q880" s="48"/>
      <c r="R880" s="43"/>
      <c r="S880" s="49"/>
      <c r="T880" s="42"/>
      <c r="U880" s="42"/>
      <c r="V880" s="39" t="str">
        <f aca="false">IF($F880="","",IF(ISNUMBER(SEARCH("(externo)",$I880&amp;$J880&amp;$K880)),"Terceirizada","Interna"))</f>
        <v/>
      </c>
      <c r="W880" s="47" t="str">
        <f aca="false">IF($O880="","",IF($S880="",$O880,(DATE(Semana!$J$3,1,4)-WEEKDAY(DATE(Semana!$J$3,1,4),3))+($S880-1)*7+IF($M880="",0,MATCH($M880,Listas!$F$5:$F$11,0)-1)))</f>
        <v/>
      </c>
      <c r="X880" s="39" t="str">
        <f aca="false">IF($F880="","",IF(OR($AT880="",$O880=""),0,IF($AT880&lt;=$O880,1,0)))</f>
        <v/>
      </c>
      <c r="Y880" s="39" t="str">
        <f aca="false">IF($F880="","",IF(OR($AT880="",$W880=""),0,IF($AT880&lt;=$W880,1,0)))</f>
        <v/>
      </c>
      <c r="Z880" s="39" t="str">
        <f aca="false">IF(OR($AT880="",$O880=""),"",MAX(0,$AT880-$O880))</f>
        <v/>
      </c>
      <c r="AA880" s="39" t="str">
        <f aca="false">IF($F880="","",IF(AND($S880&lt;&gt;"",$L880&lt;&gt;"",$S880&lt;&gt;$L880),1,0))</f>
        <v/>
      </c>
      <c r="AB880" s="39" t="str">
        <f aca="false">IF($F880="","",IF($R880="Cancelada",0,IF(OR($AT880&lt;&gt;"",$R880="Concluída"),1,0)))</f>
        <v/>
      </c>
      <c r="AC880" s="39" t="n">
        <f aca="false">IF($P880="",0,IF($P880&lt;Hoje!$L$1,1,IF(AND($P880=Hoje!$L$1,Hoje!$L$2&gt;Semana!$M$3),1,0)))</f>
        <v>0</v>
      </c>
      <c r="AD880" s="39" t="str">
        <f aca="false">IF($F880="","",IF(COUNTA($I880:$K880)=0,0,1/COUNTA($I880:$K880)))</f>
        <v/>
      </c>
      <c r="AE880" s="39" t="str">
        <f aca="false">IF($AH880=0,"",SUM($AH$4:$AH880))</f>
        <v/>
      </c>
      <c r="AF880" s="39" t="str">
        <f aca="false">IF($AI880=0,"",SUM($AI$4:$AI880))</f>
        <v/>
      </c>
      <c r="AG880" s="50" t="str">
        <f aca="false">IF($F880="","",$I880&amp;IF($J880="",""," · "&amp;$J880)&amp;IF($K880="",""," · "&amp;$K880))</f>
        <v/>
      </c>
      <c r="AH880" s="39" t="n">
        <f aca="false">IF(AND($F880&lt;&gt;"",$O880&lt;&gt;"",$O880&lt;=Hoje!$C$3,$P880&gt;=Hoje!$C$3,$R880&lt;&gt;"Cancelada"),1,0)</f>
        <v>0</v>
      </c>
      <c r="AI880" s="39" t="n">
        <f aca="false">IF(AND($F880&lt;&gt;"",$P880&lt;&gt;"",$P880&lt;Hoje!$C$3,$AB880=0,$R880&lt;&gt;"Cancelada"),1,0)</f>
        <v>0</v>
      </c>
      <c r="AJ880" s="50" t="str">
        <f aca="false">IF($F880="","",$D880&amp;"|"&amp;$E880&amp;"|"&amp;$L880)</f>
        <v/>
      </c>
      <c r="AK880" s="39" t="str">
        <f aca="false">IF($AJ880="","",COUNTIF($AJ$4:$AJ880,$AJ880))</f>
        <v/>
      </c>
      <c r="AL880" s="39" t="str">
        <f aca="false">IF($AJ880="","",COUNTIF($AJ$4:$AJ$1004,$AJ880))</f>
        <v/>
      </c>
      <c r="AM880" s="42"/>
      <c r="AN880" s="50" t="str">
        <f aca="false">IF($D880="","",IFERROR(T(VLOOKUP($D880,Listas!$B$5:$H$120,7,0)),""))</f>
        <v/>
      </c>
      <c r="AO880" s="50" t="str">
        <f aca="false">IF(OR($F880="",$L880&lt;&gt;"",$R880="Cancelada",$AT880&lt;&gt;""),"",$AN880&amp;"|"&amp;$D880&amp;"|"&amp;IF($C880="","zzz",$C880)&amp;"|"&amp;TEXT(880,"0000"))</f>
        <v/>
      </c>
      <c r="AP880" s="50" t="str">
        <f aca="false">IF($AO880="","",COUNTIF($AO$5:$AO$1004,"&lt;"&amp;$AO880)-(ROWS($AO$5:$AO$1004)-Hoje!$L$5)+1)</f>
        <v/>
      </c>
      <c r="AQ880" s="50" t="n">
        <f aca="false">IF(AND($F880&lt;&gt;"",$D880=Frota!$C$3),1,0)</f>
        <v>0</v>
      </c>
      <c r="AR880" s="50" t="str">
        <f aca="false">IF($AQ880=0,"",SUM($AQ$4:$AQ880))</f>
        <v/>
      </c>
      <c r="AS880" s="50" t="str">
        <f aca="false">IFERROR(INDEX(Hoje!$K$10:$K$29,MATCH(ROW(),Hoje!$J$10:$J$29,0)),"")</f>
        <v/>
      </c>
      <c r="AT880" s="50" t="str">
        <f aca="false">IF($Q880&lt;&gt;"",$Q880,$AS880)</f>
        <v/>
      </c>
    </row>
    <row r="881" customFormat="false" ht="16.5" hidden="false" customHeight="true" outlineLevel="0" collapsed="false">
      <c r="A881" s="39" t="str">
        <f aca="false">IF($F881="","",ROW())</f>
        <v/>
      </c>
      <c r="B881" s="40" t="str">
        <f aca="false">IF($F881="",IF($D881="","","Falta a atividade"),IF($R881="Cancelada","Cancelada",IF($AB881=1,IF(N($Z881)&gt;0,"Concluída com atraso","Concluída"),IF($R881="Em programação","Em programação",IF($O881="",IF($M881="","Na carteira","Falta a semana"),IF($AC881=1,"VENCIDA",IF($O881&gt;Hoje!$L$1,"Programada",IF($P881&gt;Hoje!$L$1,"Em execução","Fecha hoje"))))))))</f>
        <v/>
      </c>
      <c r="C881" s="41"/>
      <c r="D881" s="42"/>
      <c r="E881" s="42"/>
      <c r="F881" s="42"/>
      <c r="G881" s="43"/>
      <c r="H881" s="43"/>
      <c r="I881" s="44"/>
      <c r="J881" s="44"/>
      <c r="K881" s="44"/>
      <c r="L881" s="45"/>
      <c r="M881" s="46"/>
      <c r="N881" s="45"/>
      <c r="O881" s="47" t="str">
        <f aca="false">IF(OR($L881="",$M881=""),"",(DATE(Semana!$J$3,1,4)-WEEKDAY(DATE(Semana!$J$3,1,4),3))+($L881-1)*7+MATCH($M881,Listas!$F$5:$F$11,0)-1)</f>
        <v/>
      </c>
      <c r="P881" s="47" t="str">
        <f aca="false">IF(OR($F881="",$O881=""),"",$O881+MAX(0,ROUNDUP($AK881*MAX(1,IF($N881="",1,$N881))/MAX(1,$AL881),0)-1))</f>
        <v/>
      </c>
      <c r="Q881" s="48"/>
      <c r="R881" s="43"/>
      <c r="S881" s="49"/>
      <c r="T881" s="42"/>
      <c r="U881" s="42"/>
      <c r="V881" s="39" t="str">
        <f aca="false">IF($F881="","",IF(ISNUMBER(SEARCH("(externo)",$I881&amp;$J881&amp;$K881)),"Terceirizada","Interna"))</f>
        <v/>
      </c>
      <c r="W881" s="47" t="str">
        <f aca="false">IF($O881="","",IF($S881="",$O881,(DATE(Semana!$J$3,1,4)-WEEKDAY(DATE(Semana!$J$3,1,4),3))+($S881-1)*7+IF($M881="",0,MATCH($M881,Listas!$F$5:$F$11,0)-1)))</f>
        <v/>
      </c>
      <c r="X881" s="39" t="str">
        <f aca="false">IF($F881="","",IF(OR($AT881="",$O881=""),0,IF($AT881&lt;=$O881,1,0)))</f>
        <v/>
      </c>
      <c r="Y881" s="39" t="str">
        <f aca="false">IF($F881="","",IF(OR($AT881="",$W881=""),0,IF($AT881&lt;=$W881,1,0)))</f>
        <v/>
      </c>
      <c r="Z881" s="39" t="str">
        <f aca="false">IF(OR($AT881="",$O881=""),"",MAX(0,$AT881-$O881))</f>
        <v/>
      </c>
      <c r="AA881" s="39" t="str">
        <f aca="false">IF($F881="","",IF(AND($S881&lt;&gt;"",$L881&lt;&gt;"",$S881&lt;&gt;$L881),1,0))</f>
        <v/>
      </c>
      <c r="AB881" s="39" t="str">
        <f aca="false">IF($F881="","",IF($R881="Cancelada",0,IF(OR($AT881&lt;&gt;"",$R881="Concluída"),1,0)))</f>
        <v/>
      </c>
      <c r="AC881" s="39" t="n">
        <f aca="false">IF($P881="",0,IF($P881&lt;Hoje!$L$1,1,IF(AND($P881=Hoje!$L$1,Hoje!$L$2&gt;Semana!$M$3),1,0)))</f>
        <v>0</v>
      </c>
      <c r="AD881" s="39" t="str">
        <f aca="false">IF($F881="","",IF(COUNTA($I881:$K881)=0,0,1/COUNTA($I881:$K881)))</f>
        <v/>
      </c>
      <c r="AE881" s="39" t="str">
        <f aca="false">IF($AH881=0,"",SUM($AH$4:$AH881))</f>
        <v/>
      </c>
      <c r="AF881" s="39" t="str">
        <f aca="false">IF($AI881=0,"",SUM($AI$4:$AI881))</f>
        <v/>
      </c>
      <c r="AG881" s="50" t="str">
        <f aca="false">IF($F881="","",$I881&amp;IF($J881="",""," · "&amp;$J881)&amp;IF($K881="",""," · "&amp;$K881))</f>
        <v/>
      </c>
      <c r="AH881" s="39" t="n">
        <f aca="false">IF(AND($F881&lt;&gt;"",$O881&lt;&gt;"",$O881&lt;=Hoje!$C$3,$P881&gt;=Hoje!$C$3,$R881&lt;&gt;"Cancelada"),1,0)</f>
        <v>0</v>
      </c>
      <c r="AI881" s="39" t="n">
        <f aca="false">IF(AND($F881&lt;&gt;"",$P881&lt;&gt;"",$P881&lt;Hoje!$C$3,$AB881=0,$R881&lt;&gt;"Cancelada"),1,0)</f>
        <v>0</v>
      </c>
      <c r="AJ881" s="50" t="str">
        <f aca="false">IF($F881="","",$D881&amp;"|"&amp;$E881&amp;"|"&amp;$L881)</f>
        <v/>
      </c>
      <c r="AK881" s="39" t="str">
        <f aca="false">IF($AJ881="","",COUNTIF($AJ$4:$AJ881,$AJ881))</f>
        <v/>
      </c>
      <c r="AL881" s="39" t="str">
        <f aca="false">IF($AJ881="","",COUNTIF($AJ$4:$AJ$1004,$AJ881))</f>
        <v/>
      </c>
      <c r="AM881" s="42"/>
      <c r="AN881" s="50" t="str">
        <f aca="false">IF($D881="","",IFERROR(T(VLOOKUP($D881,Listas!$B$5:$H$120,7,0)),""))</f>
        <v/>
      </c>
      <c r="AO881" s="50" t="str">
        <f aca="false">IF(OR($F881="",$L881&lt;&gt;"",$R881="Cancelada",$AT881&lt;&gt;""),"",$AN881&amp;"|"&amp;$D881&amp;"|"&amp;IF($C881="","zzz",$C881)&amp;"|"&amp;TEXT(881,"0000"))</f>
        <v/>
      </c>
      <c r="AP881" s="50" t="str">
        <f aca="false">IF($AO881="","",COUNTIF($AO$5:$AO$1004,"&lt;"&amp;$AO881)-(ROWS($AO$5:$AO$1004)-Hoje!$L$5)+1)</f>
        <v/>
      </c>
      <c r="AQ881" s="50" t="n">
        <f aca="false">IF(AND($F881&lt;&gt;"",$D881=Frota!$C$3),1,0)</f>
        <v>0</v>
      </c>
      <c r="AR881" s="50" t="str">
        <f aca="false">IF($AQ881=0,"",SUM($AQ$4:$AQ881))</f>
        <v/>
      </c>
      <c r="AS881" s="50" t="str">
        <f aca="false">IFERROR(INDEX(Hoje!$K$10:$K$29,MATCH(ROW(),Hoje!$J$10:$J$29,0)),"")</f>
        <v/>
      </c>
      <c r="AT881" s="50" t="str">
        <f aca="false">IF($Q881&lt;&gt;"",$Q881,$AS881)</f>
        <v/>
      </c>
    </row>
    <row r="882" customFormat="false" ht="16.5" hidden="false" customHeight="true" outlineLevel="0" collapsed="false">
      <c r="A882" s="39" t="str">
        <f aca="false">IF($F882="","",ROW())</f>
        <v/>
      </c>
      <c r="B882" s="40" t="str">
        <f aca="false">IF($F882="",IF($D882="","","Falta a atividade"),IF($R882="Cancelada","Cancelada",IF($AB882=1,IF(N($Z882)&gt;0,"Concluída com atraso","Concluída"),IF($R882="Em programação","Em programação",IF($O882="",IF($M882="","Na carteira","Falta a semana"),IF($AC882=1,"VENCIDA",IF($O882&gt;Hoje!$L$1,"Programada",IF($P882&gt;Hoje!$L$1,"Em execução","Fecha hoje"))))))))</f>
        <v/>
      </c>
      <c r="C882" s="41"/>
      <c r="D882" s="42"/>
      <c r="E882" s="42"/>
      <c r="F882" s="42"/>
      <c r="G882" s="43"/>
      <c r="H882" s="43"/>
      <c r="I882" s="44"/>
      <c r="J882" s="44"/>
      <c r="K882" s="44"/>
      <c r="L882" s="45"/>
      <c r="M882" s="46"/>
      <c r="N882" s="45"/>
      <c r="O882" s="47" t="str">
        <f aca="false">IF(OR($L882="",$M882=""),"",(DATE(Semana!$J$3,1,4)-WEEKDAY(DATE(Semana!$J$3,1,4),3))+($L882-1)*7+MATCH($M882,Listas!$F$5:$F$11,0)-1)</f>
        <v/>
      </c>
      <c r="P882" s="47" t="str">
        <f aca="false">IF(OR($F882="",$O882=""),"",$O882+MAX(0,ROUNDUP($AK882*MAX(1,IF($N882="",1,$N882))/MAX(1,$AL882),0)-1))</f>
        <v/>
      </c>
      <c r="Q882" s="48"/>
      <c r="R882" s="43"/>
      <c r="S882" s="49"/>
      <c r="T882" s="42"/>
      <c r="U882" s="42"/>
      <c r="V882" s="39" t="str">
        <f aca="false">IF($F882="","",IF(ISNUMBER(SEARCH("(externo)",$I882&amp;$J882&amp;$K882)),"Terceirizada","Interna"))</f>
        <v/>
      </c>
      <c r="W882" s="47" t="str">
        <f aca="false">IF($O882="","",IF($S882="",$O882,(DATE(Semana!$J$3,1,4)-WEEKDAY(DATE(Semana!$J$3,1,4),3))+($S882-1)*7+IF($M882="",0,MATCH($M882,Listas!$F$5:$F$11,0)-1)))</f>
        <v/>
      </c>
      <c r="X882" s="39" t="str">
        <f aca="false">IF($F882="","",IF(OR($AT882="",$O882=""),0,IF($AT882&lt;=$O882,1,0)))</f>
        <v/>
      </c>
      <c r="Y882" s="39" t="str">
        <f aca="false">IF($F882="","",IF(OR($AT882="",$W882=""),0,IF($AT882&lt;=$W882,1,0)))</f>
        <v/>
      </c>
      <c r="Z882" s="39" t="str">
        <f aca="false">IF(OR($AT882="",$O882=""),"",MAX(0,$AT882-$O882))</f>
        <v/>
      </c>
      <c r="AA882" s="39" t="str">
        <f aca="false">IF($F882="","",IF(AND($S882&lt;&gt;"",$L882&lt;&gt;"",$S882&lt;&gt;$L882),1,0))</f>
        <v/>
      </c>
      <c r="AB882" s="39" t="str">
        <f aca="false">IF($F882="","",IF($R882="Cancelada",0,IF(OR($AT882&lt;&gt;"",$R882="Concluída"),1,0)))</f>
        <v/>
      </c>
      <c r="AC882" s="39" t="n">
        <f aca="false">IF($P882="",0,IF($P882&lt;Hoje!$L$1,1,IF(AND($P882=Hoje!$L$1,Hoje!$L$2&gt;Semana!$M$3),1,0)))</f>
        <v>0</v>
      </c>
      <c r="AD882" s="39" t="str">
        <f aca="false">IF($F882="","",IF(COUNTA($I882:$K882)=0,0,1/COUNTA($I882:$K882)))</f>
        <v/>
      </c>
      <c r="AE882" s="39" t="str">
        <f aca="false">IF($AH882=0,"",SUM($AH$4:$AH882))</f>
        <v/>
      </c>
      <c r="AF882" s="39" t="str">
        <f aca="false">IF($AI882=0,"",SUM($AI$4:$AI882))</f>
        <v/>
      </c>
      <c r="AG882" s="50" t="str">
        <f aca="false">IF($F882="","",$I882&amp;IF($J882="",""," · "&amp;$J882)&amp;IF($K882="",""," · "&amp;$K882))</f>
        <v/>
      </c>
      <c r="AH882" s="39" t="n">
        <f aca="false">IF(AND($F882&lt;&gt;"",$O882&lt;&gt;"",$O882&lt;=Hoje!$C$3,$P882&gt;=Hoje!$C$3,$R882&lt;&gt;"Cancelada"),1,0)</f>
        <v>0</v>
      </c>
      <c r="AI882" s="39" t="n">
        <f aca="false">IF(AND($F882&lt;&gt;"",$P882&lt;&gt;"",$P882&lt;Hoje!$C$3,$AB882=0,$R882&lt;&gt;"Cancelada"),1,0)</f>
        <v>0</v>
      </c>
      <c r="AJ882" s="50" t="str">
        <f aca="false">IF($F882="","",$D882&amp;"|"&amp;$E882&amp;"|"&amp;$L882)</f>
        <v/>
      </c>
      <c r="AK882" s="39" t="str">
        <f aca="false">IF($AJ882="","",COUNTIF($AJ$4:$AJ882,$AJ882))</f>
        <v/>
      </c>
      <c r="AL882" s="39" t="str">
        <f aca="false">IF($AJ882="","",COUNTIF($AJ$4:$AJ$1004,$AJ882))</f>
        <v/>
      </c>
      <c r="AM882" s="42"/>
      <c r="AN882" s="50" t="str">
        <f aca="false">IF($D882="","",IFERROR(T(VLOOKUP($D882,Listas!$B$5:$H$120,7,0)),""))</f>
        <v/>
      </c>
      <c r="AO882" s="50" t="str">
        <f aca="false">IF(OR($F882="",$L882&lt;&gt;"",$R882="Cancelada",$AT882&lt;&gt;""),"",$AN882&amp;"|"&amp;$D882&amp;"|"&amp;IF($C882="","zzz",$C882)&amp;"|"&amp;TEXT(882,"0000"))</f>
        <v/>
      </c>
      <c r="AP882" s="50" t="str">
        <f aca="false">IF($AO882="","",COUNTIF($AO$5:$AO$1004,"&lt;"&amp;$AO882)-(ROWS($AO$5:$AO$1004)-Hoje!$L$5)+1)</f>
        <v/>
      </c>
      <c r="AQ882" s="50" t="n">
        <f aca="false">IF(AND($F882&lt;&gt;"",$D882=Frota!$C$3),1,0)</f>
        <v>0</v>
      </c>
      <c r="AR882" s="50" t="str">
        <f aca="false">IF($AQ882=0,"",SUM($AQ$4:$AQ882))</f>
        <v/>
      </c>
      <c r="AS882" s="50" t="str">
        <f aca="false">IFERROR(INDEX(Hoje!$K$10:$K$29,MATCH(ROW(),Hoje!$J$10:$J$29,0)),"")</f>
        <v/>
      </c>
      <c r="AT882" s="50" t="str">
        <f aca="false">IF($Q882&lt;&gt;"",$Q882,$AS882)</f>
        <v/>
      </c>
    </row>
    <row r="883" customFormat="false" ht="16.5" hidden="false" customHeight="true" outlineLevel="0" collapsed="false">
      <c r="A883" s="39" t="str">
        <f aca="false">IF($F883="","",ROW())</f>
        <v/>
      </c>
      <c r="B883" s="40" t="str">
        <f aca="false">IF($F883="",IF($D883="","","Falta a atividade"),IF($R883="Cancelada","Cancelada",IF($AB883=1,IF(N($Z883)&gt;0,"Concluída com atraso","Concluída"),IF($R883="Em programação","Em programação",IF($O883="",IF($M883="","Na carteira","Falta a semana"),IF($AC883=1,"VENCIDA",IF($O883&gt;Hoje!$L$1,"Programada",IF($P883&gt;Hoje!$L$1,"Em execução","Fecha hoje"))))))))</f>
        <v/>
      </c>
      <c r="C883" s="41"/>
      <c r="D883" s="42"/>
      <c r="E883" s="42"/>
      <c r="F883" s="42"/>
      <c r="G883" s="43"/>
      <c r="H883" s="43"/>
      <c r="I883" s="44"/>
      <c r="J883" s="44"/>
      <c r="K883" s="44"/>
      <c r="L883" s="45"/>
      <c r="M883" s="46"/>
      <c r="N883" s="45"/>
      <c r="O883" s="47" t="str">
        <f aca="false">IF(OR($L883="",$M883=""),"",(DATE(Semana!$J$3,1,4)-WEEKDAY(DATE(Semana!$J$3,1,4),3))+($L883-1)*7+MATCH($M883,Listas!$F$5:$F$11,0)-1)</f>
        <v/>
      </c>
      <c r="P883" s="47" t="str">
        <f aca="false">IF(OR($F883="",$O883=""),"",$O883+MAX(0,ROUNDUP($AK883*MAX(1,IF($N883="",1,$N883))/MAX(1,$AL883),0)-1))</f>
        <v/>
      </c>
      <c r="Q883" s="48"/>
      <c r="R883" s="43"/>
      <c r="S883" s="49"/>
      <c r="T883" s="42"/>
      <c r="U883" s="42"/>
      <c r="V883" s="39" t="str">
        <f aca="false">IF($F883="","",IF(ISNUMBER(SEARCH("(externo)",$I883&amp;$J883&amp;$K883)),"Terceirizada","Interna"))</f>
        <v/>
      </c>
      <c r="W883" s="47" t="str">
        <f aca="false">IF($O883="","",IF($S883="",$O883,(DATE(Semana!$J$3,1,4)-WEEKDAY(DATE(Semana!$J$3,1,4),3))+($S883-1)*7+IF($M883="",0,MATCH($M883,Listas!$F$5:$F$11,0)-1)))</f>
        <v/>
      </c>
      <c r="X883" s="39" t="str">
        <f aca="false">IF($F883="","",IF(OR($AT883="",$O883=""),0,IF($AT883&lt;=$O883,1,0)))</f>
        <v/>
      </c>
      <c r="Y883" s="39" t="str">
        <f aca="false">IF($F883="","",IF(OR($AT883="",$W883=""),0,IF($AT883&lt;=$W883,1,0)))</f>
        <v/>
      </c>
      <c r="Z883" s="39" t="str">
        <f aca="false">IF(OR($AT883="",$O883=""),"",MAX(0,$AT883-$O883))</f>
        <v/>
      </c>
      <c r="AA883" s="39" t="str">
        <f aca="false">IF($F883="","",IF(AND($S883&lt;&gt;"",$L883&lt;&gt;"",$S883&lt;&gt;$L883),1,0))</f>
        <v/>
      </c>
      <c r="AB883" s="39" t="str">
        <f aca="false">IF($F883="","",IF($R883="Cancelada",0,IF(OR($AT883&lt;&gt;"",$R883="Concluída"),1,0)))</f>
        <v/>
      </c>
      <c r="AC883" s="39" t="n">
        <f aca="false">IF($P883="",0,IF($P883&lt;Hoje!$L$1,1,IF(AND($P883=Hoje!$L$1,Hoje!$L$2&gt;Semana!$M$3),1,0)))</f>
        <v>0</v>
      </c>
      <c r="AD883" s="39" t="str">
        <f aca="false">IF($F883="","",IF(COUNTA($I883:$K883)=0,0,1/COUNTA($I883:$K883)))</f>
        <v/>
      </c>
      <c r="AE883" s="39" t="str">
        <f aca="false">IF($AH883=0,"",SUM($AH$4:$AH883))</f>
        <v/>
      </c>
      <c r="AF883" s="39" t="str">
        <f aca="false">IF($AI883=0,"",SUM($AI$4:$AI883))</f>
        <v/>
      </c>
      <c r="AG883" s="50" t="str">
        <f aca="false">IF($F883="","",$I883&amp;IF($J883="",""," · "&amp;$J883)&amp;IF($K883="",""," · "&amp;$K883))</f>
        <v/>
      </c>
      <c r="AH883" s="39" t="n">
        <f aca="false">IF(AND($F883&lt;&gt;"",$O883&lt;&gt;"",$O883&lt;=Hoje!$C$3,$P883&gt;=Hoje!$C$3,$R883&lt;&gt;"Cancelada"),1,0)</f>
        <v>0</v>
      </c>
      <c r="AI883" s="39" t="n">
        <f aca="false">IF(AND($F883&lt;&gt;"",$P883&lt;&gt;"",$P883&lt;Hoje!$C$3,$AB883=0,$R883&lt;&gt;"Cancelada"),1,0)</f>
        <v>0</v>
      </c>
      <c r="AJ883" s="50" t="str">
        <f aca="false">IF($F883="","",$D883&amp;"|"&amp;$E883&amp;"|"&amp;$L883)</f>
        <v/>
      </c>
      <c r="AK883" s="39" t="str">
        <f aca="false">IF($AJ883="","",COUNTIF($AJ$4:$AJ883,$AJ883))</f>
        <v/>
      </c>
      <c r="AL883" s="39" t="str">
        <f aca="false">IF($AJ883="","",COUNTIF($AJ$4:$AJ$1004,$AJ883))</f>
        <v/>
      </c>
      <c r="AM883" s="42"/>
      <c r="AN883" s="50" t="str">
        <f aca="false">IF($D883="","",IFERROR(T(VLOOKUP($D883,Listas!$B$5:$H$120,7,0)),""))</f>
        <v/>
      </c>
      <c r="AO883" s="50" t="str">
        <f aca="false">IF(OR($F883="",$L883&lt;&gt;"",$R883="Cancelada",$AT883&lt;&gt;""),"",$AN883&amp;"|"&amp;$D883&amp;"|"&amp;IF($C883="","zzz",$C883)&amp;"|"&amp;TEXT(883,"0000"))</f>
        <v/>
      </c>
      <c r="AP883" s="50" t="str">
        <f aca="false">IF($AO883="","",COUNTIF($AO$5:$AO$1004,"&lt;"&amp;$AO883)-(ROWS($AO$5:$AO$1004)-Hoje!$L$5)+1)</f>
        <v/>
      </c>
      <c r="AQ883" s="50" t="n">
        <f aca="false">IF(AND($F883&lt;&gt;"",$D883=Frota!$C$3),1,0)</f>
        <v>0</v>
      </c>
      <c r="AR883" s="50" t="str">
        <f aca="false">IF($AQ883=0,"",SUM($AQ$4:$AQ883))</f>
        <v/>
      </c>
      <c r="AS883" s="50" t="str">
        <f aca="false">IFERROR(INDEX(Hoje!$K$10:$K$29,MATCH(ROW(),Hoje!$J$10:$J$29,0)),"")</f>
        <v/>
      </c>
      <c r="AT883" s="50" t="str">
        <f aca="false">IF($Q883&lt;&gt;"",$Q883,$AS883)</f>
        <v/>
      </c>
    </row>
    <row r="884" customFormat="false" ht="16.5" hidden="false" customHeight="true" outlineLevel="0" collapsed="false">
      <c r="A884" s="39" t="str">
        <f aca="false">IF($F884="","",ROW())</f>
        <v/>
      </c>
      <c r="B884" s="40" t="str">
        <f aca="false">IF($F884="",IF($D884="","","Falta a atividade"),IF($R884="Cancelada","Cancelada",IF($AB884=1,IF(N($Z884)&gt;0,"Concluída com atraso","Concluída"),IF($R884="Em programação","Em programação",IF($O884="",IF($M884="","Na carteira","Falta a semana"),IF($AC884=1,"VENCIDA",IF($O884&gt;Hoje!$L$1,"Programada",IF($P884&gt;Hoje!$L$1,"Em execução","Fecha hoje"))))))))</f>
        <v/>
      </c>
      <c r="C884" s="41"/>
      <c r="D884" s="42"/>
      <c r="E884" s="42"/>
      <c r="F884" s="42"/>
      <c r="G884" s="43"/>
      <c r="H884" s="43"/>
      <c r="I884" s="44"/>
      <c r="J884" s="44"/>
      <c r="K884" s="44"/>
      <c r="L884" s="45"/>
      <c r="M884" s="46"/>
      <c r="N884" s="45"/>
      <c r="O884" s="47" t="str">
        <f aca="false">IF(OR($L884="",$M884=""),"",(DATE(Semana!$J$3,1,4)-WEEKDAY(DATE(Semana!$J$3,1,4),3))+($L884-1)*7+MATCH($M884,Listas!$F$5:$F$11,0)-1)</f>
        <v/>
      </c>
      <c r="P884" s="47" t="str">
        <f aca="false">IF(OR($F884="",$O884=""),"",$O884+MAX(0,ROUNDUP($AK884*MAX(1,IF($N884="",1,$N884))/MAX(1,$AL884),0)-1))</f>
        <v/>
      </c>
      <c r="Q884" s="48"/>
      <c r="R884" s="43"/>
      <c r="S884" s="49"/>
      <c r="T884" s="42"/>
      <c r="U884" s="42"/>
      <c r="V884" s="39" t="str">
        <f aca="false">IF($F884="","",IF(ISNUMBER(SEARCH("(externo)",$I884&amp;$J884&amp;$K884)),"Terceirizada","Interna"))</f>
        <v/>
      </c>
      <c r="W884" s="47" t="str">
        <f aca="false">IF($O884="","",IF($S884="",$O884,(DATE(Semana!$J$3,1,4)-WEEKDAY(DATE(Semana!$J$3,1,4),3))+($S884-1)*7+IF($M884="",0,MATCH($M884,Listas!$F$5:$F$11,0)-1)))</f>
        <v/>
      </c>
      <c r="X884" s="39" t="str">
        <f aca="false">IF($F884="","",IF(OR($AT884="",$O884=""),0,IF($AT884&lt;=$O884,1,0)))</f>
        <v/>
      </c>
      <c r="Y884" s="39" t="str">
        <f aca="false">IF($F884="","",IF(OR($AT884="",$W884=""),0,IF($AT884&lt;=$W884,1,0)))</f>
        <v/>
      </c>
      <c r="Z884" s="39" t="str">
        <f aca="false">IF(OR($AT884="",$O884=""),"",MAX(0,$AT884-$O884))</f>
        <v/>
      </c>
      <c r="AA884" s="39" t="str">
        <f aca="false">IF($F884="","",IF(AND($S884&lt;&gt;"",$L884&lt;&gt;"",$S884&lt;&gt;$L884),1,0))</f>
        <v/>
      </c>
      <c r="AB884" s="39" t="str">
        <f aca="false">IF($F884="","",IF($R884="Cancelada",0,IF(OR($AT884&lt;&gt;"",$R884="Concluída"),1,0)))</f>
        <v/>
      </c>
      <c r="AC884" s="39" t="n">
        <f aca="false">IF($P884="",0,IF($P884&lt;Hoje!$L$1,1,IF(AND($P884=Hoje!$L$1,Hoje!$L$2&gt;Semana!$M$3),1,0)))</f>
        <v>0</v>
      </c>
      <c r="AD884" s="39" t="str">
        <f aca="false">IF($F884="","",IF(COUNTA($I884:$K884)=0,0,1/COUNTA($I884:$K884)))</f>
        <v/>
      </c>
      <c r="AE884" s="39" t="str">
        <f aca="false">IF($AH884=0,"",SUM($AH$4:$AH884))</f>
        <v/>
      </c>
      <c r="AF884" s="39" t="str">
        <f aca="false">IF($AI884=0,"",SUM($AI$4:$AI884))</f>
        <v/>
      </c>
      <c r="AG884" s="50" t="str">
        <f aca="false">IF($F884="","",$I884&amp;IF($J884="",""," · "&amp;$J884)&amp;IF($K884="",""," · "&amp;$K884))</f>
        <v/>
      </c>
      <c r="AH884" s="39" t="n">
        <f aca="false">IF(AND($F884&lt;&gt;"",$O884&lt;&gt;"",$O884&lt;=Hoje!$C$3,$P884&gt;=Hoje!$C$3,$R884&lt;&gt;"Cancelada"),1,0)</f>
        <v>0</v>
      </c>
      <c r="AI884" s="39" t="n">
        <f aca="false">IF(AND($F884&lt;&gt;"",$P884&lt;&gt;"",$P884&lt;Hoje!$C$3,$AB884=0,$R884&lt;&gt;"Cancelada"),1,0)</f>
        <v>0</v>
      </c>
      <c r="AJ884" s="50" t="str">
        <f aca="false">IF($F884="","",$D884&amp;"|"&amp;$E884&amp;"|"&amp;$L884)</f>
        <v/>
      </c>
      <c r="AK884" s="39" t="str">
        <f aca="false">IF($AJ884="","",COUNTIF($AJ$4:$AJ884,$AJ884))</f>
        <v/>
      </c>
      <c r="AL884" s="39" t="str">
        <f aca="false">IF($AJ884="","",COUNTIF($AJ$4:$AJ$1004,$AJ884))</f>
        <v/>
      </c>
      <c r="AM884" s="42"/>
      <c r="AN884" s="50" t="str">
        <f aca="false">IF($D884="","",IFERROR(T(VLOOKUP($D884,Listas!$B$5:$H$120,7,0)),""))</f>
        <v/>
      </c>
      <c r="AO884" s="50" t="str">
        <f aca="false">IF(OR($F884="",$L884&lt;&gt;"",$R884="Cancelada",$AT884&lt;&gt;""),"",$AN884&amp;"|"&amp;$D884&amp;"|"&amp;IF($C884="","zzz",$C884)&amp;"|"&amp;TEXT(884,"0000"))</f>
        <v/>
      </c>
      <c r="AP884" s="50" t="str">
        <f aca="false">IF($AO884="","",COUNTIF($AO$5:$AO$1004,"&lt;"&amp;$AO884)-(ROWS($AO$5:$AO$1004)-Hoje!$L$5)+1)</f>
        <v/>
      </c>
      <c r="AQ884" s="50" t="n">
        <f aca="false">IF(AND($F884&lt;&gt;"",$D884=Frota!$C$3),1,0)</f>
        <v>0</v>
      </c>
      <c r="AR884" s="50" t="str">
        <f aca="false">IF($AQ884=0,"",SUM($AQ$4:$AQ884))</f>
        <v/>
      </c>
      <c r="AS884" s="50" t="str">
        <f aca="false">IFERROR(INDEX(Hoje!$K$10:$K$29,MATCH(ROW(),Hoje!$J$10:$J$29,0)),"")</f>
        <v/>
      </c>
      <c r="AT884" s="50" t="str">
        <f aca="false">IF($Q884&lt;&gt;"",$Q884,$AS884)</f>
        <v/>
      </c>
    </row>
    <row r="885" customFormat="false" ht="16.5" hidden="false" customHeight="true" outlineLevel="0" collapsed="false">
      <c r="A885" s="39" t="str">
        <f aca="false">IF($F885="","",ROW())</f>
        <v/>
      </c>
      <c r="B885" s="40" t="str">
        <f aca="false">IF($F885="",IF($D885="","","Falta a atividade"),IF($R885="Cancelada","Cancelada",IF($AB885=1,IF(N($Z885)&gt;0,"Concluída com atraso","Concluída"),IF($R885="Em programação","Em programação",IF($O885="",IF($M885="","Na carteira","Falta a semana"),IF($AC885=1,"VENCIDA",IF($O885&gt;Hoje!$L$1,"Programada",IF($P885&gt;Hoje!$L$1,"Em execução","Fecha hoje"))))))))</f>
        <v/>
      </c>
      <c r="C885" s="41"/>
      <c r="D885" s="42"/>
      <c r="E885" s="42"/>
      <c r="F885" s="42"/>
      <c r="G885" s="43"/>
      <c r="H885" s="43"/>
      <c r="I885" s="44"/>
      <c r="J885" s="44"/>
      <c r="K885" s="44"/>
      <c r="L885" s="45"/>
      <c r="M885" s="46"/>
      <c r="N885" s="45"/>
      <c r="O885" s="47" t="str">
        <f aca="false">IF(OR($L885="",$M885=""),"",(DATE(Semana!$J$3,1,4)-WEEKDAY(DATE(Semana!$J$3,1,4),3))+($L885-1)*7+MATCH($M885,Listas!$F$5:$F$11,0)-1)</f>
        <v/>
      </c>
      <c r="P885" s="47" t="str">
        <f aca="false">IF(OR($F885="",$O885=""),"",$O885+MAX(0,ROUNDUP($AK885*MAX(1,IF($N885="",1,$N885))/MAX(1,$AL885),0)-1))</f>
        <v/>
      </c>
      <c r="Q885" s="48"/>
      <c r="R885" s="43"/>
      <c r="S885" s="49"/>
      <c r="T885" s="42"/>
      <c r="U885" s="42"/>
      <c r="V885" s="39" t="str">
        <f aca="false">IF($F885="","",IF(ISNUMBER(SEARCH("(externo)",$I885&amp;$J885&amp;$K885)),"Terceirizada","Interna"))</f>
        <v/>
      </c>
      <c r="W885" s="47" t="str">
        <f aca="false">IF($O885="","",IF($S885="",$O885,(DATE(Semana!$J$3,1,4)-WEEKDAY(DATE(Semana!$J$3,1,4),3))+($S885-1)*7+IF($M885="",0,MATCH($M885,Listas!$F$5:$F$11,0)-1)))</f>
        <v/>
      </c>
      <c r="X885" s="39" t="str">
        <f aca="false">IF($F885="","",IF(OR($AT885="",$O885=""),0,IF($AT885&lt;=$O885,1,0)))</f>
        <v/>
      </c>
      <c r="Y885" s="39" t="str">
        <f aca="false">IF($F885="","",IF(OR($AT885="",$W885=""),0,IF($AT885&lt;=$W885,1,0)))</f>
        <v/>
      </c>
      <c r="Z885" s="39" t="str">
        <f aca="false">IF(OR($AT885="",$O885=""),"",MAX(0,$AT885-$O885))</f>
        <v/>
      </c>
      <c r="AA885" s="39" t="str">
        <f aca="false">IF($F885="","",IF(AND($S885&lt;&gt;"",$L885&lt;&gt;"",$S885&lt;&gt;$L885),1,0))</f>
        <v/>
      </c>
      <c r="AB885" s="39" t="str">
        <f aca="false">IF($F885="","",IF($R885="Cancelada",0,IF(OR($AT885&lt;&gt;"",$R885="Concluída"),1,0)))</f>
        <v/>
      </c>
      <c r="AC885" s="39" t="n">
        <f aca="false">IF($P885="",0,IF($P885&lt;Hoje!$L$1,1,IF(AND($P885=Hoje!$L$1,Hoje!$L$2&gt;Semana!$M$3),1,0)))</f>
        <v>0</v>
      </c>
      <c r="AD885" s="39" t="str">
        <f aca="false">IF($F885="","",IF(COUNTA($I885:$K885)=0,0,1/COUNTA($I885:$K885)))</f>
        <v/>
      </c>
      <c r="AE885" s="39" t="str">
        <f aca="false">IF($AH885=0,"",SUM($AH$4:$AH885))</f>
        <v/>
      </c>
      <c r="AF885" s="39" t="str">
        <f aca="false">IF($AI885=0,"",SUM($AI$4:$AI885))</f>
        <v/>
      </c>
      <c r="AG885" s="50" t="str">
        <f aca="false">IF($F885="","",$I885&amp;IF($J885="",""," · "&amp;$J885)&amp;IF($K885="",""," · "&amp;$K885))</f>
        <v/>
      </c>
      <c r="AH885" s="39" t="n">
        <f aca="false">IF(AND($F885&lt;&gt;"",$O885&lt;&gt;"",$O885&lt;=Hoje!$C$3,$P885&gt;=Hoje!$C$3,$R885&lt;&gt;"Cancelada"),1,0)</f>
        <v>0</v>
      </c>
      <c r="AI885" s="39" t="n">
        <f aca="false">IF(AND($F885&lt;&gt;"",$P885&lt;&gt;"",$P885&lt;Hoje!$C$3,$AB885=0,$R885&lt;&gt;"Cancelada"),1,0)</f>
        <v>0</v>
      </c>
      <c r="AJ885" s="50" t="str">
        <f aca="false">IF($F885="","",$D885&amp;"|"&amp;$E885&amp;"|"&amp;$L885)</f>
        <v/>
      </c>
      <c r="AK885" s="39" t="str">
        <f aca="false">IF($AJ885="","",COUNTIF($AJ$4:$AJ885,$AJ885))</f>
        <v/>
      </c>
      <c r="AL885" s="39" t="str">
        <f aca="false">IF($AJ885="","",COUNTIF($AJ$4:$AJ$1004,$AJ885))</f>
        <v/>
      </c>
      <c r="AM885" s="42"/>
      <c r="AN885" s="50" t="str">
        <f aca="false">IF($D885="","",IFERROR(T(VLOOKUP($D885,Listas!$B$5:$H$120,7,0)),""))</f>
        <v/>
      </c>
      <c r="AO885" s="50" t="str">
        <f aca="false">IF(OR($F885="",$L885&lt;&gt;"",$R885="Cancelada",$AT885&lt;&gt;""),"",$AN885&amp;"|"&amp;$D885&amp;"|"&amp;IF($C885="","zzz",$C885)&amp;"|"&amp;TEXT(885,"0000"))</f>
        <v/>
      </c>
      <c r="AP885" s="50" t="str">
        <f aca="false">IF($AO885="","",COUNTIF($AO$5:$AO$1004,"&lt;"&amp;$AO885)-(ROWS($AO$5:$AO$1004)-Hoje!$L$5)+1)</f>
        <v/>
      </c>
      <c r="AQ885" s="50" t="n">
        <f aca="false">IF(AND($F885&lt;&gt;"",$D885=Frota!$C$3),1,0)</f>
        <v>0</v>
      </c>
      <c r="AR885" s="50" t="str">
        <f aca="false">IF($AQ885=0,"",SUM($AQ$4:$AQ885))</f>
        <v/>
      </c>
      <c r="AS885" s="50" t="str">
        <f aca="false">IFERROR(INDEX(Hoje!$K$10:$K$29,MATCH(ROW(),Hoje!$J$10:$J$29,0)),"")</f>
        <v/>
      </c>
      <c r="AT885" s="50" t="str">
        <f aca="false">IF($Q885&lt;&gt;"",$Q885,$AS885)</f>
        <v/>
      </c>
    </row>
    <row r="886" customFormat="false" ht="16.5" hidden="false" customHeight="true" outlineLevel="0" collapsed="false">
      <c r="A886" s="39" t="str">
        <f aca="false">IF($F886="","",ROW())</f>
        <v/>
      </c>
      <c r="B886" s="40" t="str">
        <f aca="false">IF($F886="",IF($D886="","","Falta a atividade"),IF($R886="Cancelada","Cancelada",IF($AB886=1,IF(N($Z886)&gt;0,"Concluída com atraso","Concluída"),IF($R886="Em programação","Em programação",IF($O886="",IF($M886="","Na carteira","Falta a semana"),IF($AC886=1,"VENCIDA",IF($O886&gt;Hoje!$L$1,"Programada",IF($P886&gt;Hoje!$L$1,"Em execução","Fecha hoje"))))))))</f>
        <v/>
      </c>
      <c r="C886" s="41"/>
      <c r="D886" s="42"/>
      <c r="E886" s="42"/>
      <c r="F886" s="42"/>
      <c r="G886" s="43"/>
      <c r="H886" s="43"/>
      <c r="I886" s="44"/>
      <c r="J886" s="44"/>
      <c r="K886" s="44"/>
      <c r="L886" s="45"/>
      <c r="M886" s="46"/>
      <c r="N886" s="45"/>
      <c r="O886" s="47" t="str">
        <f aca="false">IF(OR($L886="",$M886=""),"",(DATE(Semana!$J$3,1,4)-WEEKDAY(DATE(Semana!$J$3,1,4),3))+($L886-1)*7+MATCH($M886,Listas!$F$5:$F$11,0)-1)</f>
        <v/>
      </c>
      <c r="P886" s="47" t="str">
        <f aca="false">IF(OR($F886="",$O886=""),"",$O886+MAX(0,ROUNDUP($AK886*MAX(1,IF($N886="",1,$N886))/MAX(1,$AL886),0)-1))</f>
        <v/>
      </c>
      <c r="Q886" s="48"/>
      <c r="R886" s="43"/>
      <c r="S886" s="49"/>
      <c r="T886" s="42"/>
      <c r="U886" s="42"/>
      <c r="V886" s="39" t="str">
        <f aca="false">IF($F886="","",IF(ISNUMBER(SEARCH("(externo)",$I886&amp;$J886&amp;$K886)),"Terceirizada","Interna"))</f>
        <v/>
      </c>
      <c r="W886" s="47" t="str">
        <f aca="false">IF($O886="","",IF($S886="",$O886,(DATE(Semana!$J$3,1,4)-WEEKDAY(DATE(Semana!$J$3,1,4),3))+($S886-1)*7+IF($M886="",0,MATCH($M886,Listas!$F$5:$F$11,0)-1)))</f>
        <v/>
      </c>
      <c r="X886" s="39" t="str">
        <f aca="false">IF($F886="","",IF(OR($AT886="",$O886=""),0,IF($AT886&lt;=$O886,1,0)))</f>
        <v/>
      </c>
      <c r="Y886" s="39" t="str">
        <f aca="false">IF($F886="","",IF(OR($AT886="",$W886=""),0,IF($AT886&lt;=$W886,1,0)))</f>
        <v/>
      </c>
      <c r="Z886" s="39" t="str">
        <f aca="false">IF(OR($AT886="",$O886=""),"",MAX(0,$AT886-$O886))</f>
        <v/>
      </c>
      <c r="AA886" s="39" t="str">
        <f aca="false">IF($F886="","",IF(AND($S886&lt;&gt;"",$L886&lt;&gt;"",$S886&lt;&gt;$L886),1,0))</f>
        <v/>
      </c>
      <c r="AB886" s="39" t="str">
        <f aca="false">IF($F886="","",IF($R886="Cancelada",0,IF(OR($AT886&lt;&gt;"",$R886="Concluída"),1,0)))</f>
        <v/>
      </c>
      <c r="AC886" s="39" t="n">
        <f aca="false">IF($P886="",0,IF($P886&lt;Hoje!$L$1,1,IF(AND($P886=Hoje!$L$1,Hoje!$L$2&gt;Semana!$M$3),1,0)))</f>
        <v>0</v>
      </c>
      <c r="AD886" s="39" t="str">
        <f aca="false">IF($F886="","",IF(COUNTA($I886:$K886)=0,0,1/COUNTA($I886:$K886)))</f>
        <v/>
      </c>
      <c r="AE886" s="39" t="str">
        <f aca="false">IF($AH886=0,"",SUM($AH$4:$AH886))</f>
        <v/>
      </c>
      <c r="AF886" s="39" t="str">
        <f aca="false">IF($AI886=0,"",SUM($AI$4:$AI886))</f>
        <v/>
      </c>
      <c r="AG886" s="50" t="str">
        <f aca="false">IF($F886="","",$I886&amp;IF($J886="",""," · "&amp;$J886)&amp;IF($K886="",""," · "&amp;$K886))</f>
        <v/>
      </c>
      <c r="AH886" s="39" t="n">
        <f aca="false">IF(AND($F886&lt;&gt;"",$O886&lt;&gt;"",$O886&lt;=Hoje!$C$3,$P886&gt;=Hoje!$C$3,$R886&lt;&gt;"Cancelada"),1,0)</f>
        <v>0</v>
      </c>
      <c r="AI886" s="39" t="n">
        <f aca="false">IF(AND($F886&lt;&gt;"",$P886&lt;&gt;"",$P886&lt;Hoje!$C$3,$AB886=0,$R886&lt;&gt;"Cancelada"),1,0)</f>
        <v>0</v>
      </c>
      <c r="AJ886" s="50" t="str">
        <f aca="false">IF($F886="","",$D886&amp;"|"&amp;$E886&amp;"|"&amp;$L886)</f>
        <v/>
      </c>
      <c r="AK886" s="39" t="str">
        <f aca="false">IF($AJ886="","",COUNTIF($AJ$4:$AJ886,$AJ886))</f>
        <v/>
      </c>
      <c r="AL886" s="39" t="str">
        <f aca="false">IF($AJ886="","",COUNTIF($AJ$4:$AJ$1004,$AJ886))</f>
        <v/>
      </c>
      <c r="AM886" s="42"/>
      <c r="AN886" s="50" t="str">
        <f aca="false">IF($D886="","",IFERROR(T(VLOOKUP($D886,Listas!$B$5:$H$120,7,0)),""))</f>
        <v/>
      </c>
      <c r="AO886" s="50" t="str">
        <f aca="false">IF(OR($F886="",$L886&lt;&gt;"",$R886="Cancelada",$AT886&lt;&gt;""),"",$AN886&amp;"|"&amp;$D886&amp;"|"&amp;IF($C886="","zzz",$C886)&amp;"|"&amp;TEXT(886,"0000"))</f>
        <v/>
      </c>
      <c r="AP886" s="50" t="str">
        <f aca="false">IF($AO886="","",COUNTIF($AO$5:$AO$1004,"&lt;"&amp;$AO886)-(ROWS($AO$5:$AO$1004)-Hoje!$L$5)+1)</f>
        <v/>
      </c>
      <c r="AQ886" s="50" t="n">
        <f aca="false">IF(AND($F886&lt;&gt;"",$D886=Frota!$C$3),1,0)</f>
        <v>0</v>
      </c>
      <c r="AR886" s="50" t="str">
        <f aca="false">IF($AQ886=0,"",SUM($AQ$4:$AQ886))</f>
        <v/>
      </c>
      <c r="AS886" s="50" t="str">
        <f aca="false">IFERROR(INDEX(Hoje!$K$10:$K$29,MATCH(ROW(),Hoje!$J$10:$J$29,0)),"")</f>
        <v/>
      </c>
      <c r="AT886" s="50" t="str">
        <f aca="false">IF($Q886&lt;&gt;"",$Q886,$AS886)</f>
        <v/>
      </c>
    </row>
    <row r="887" customFormat="false" ht="16.5" hidden="false" customHeight="true" outlineLevel="0" collapsed="false">
      <c r="A887" s="39" t="str">
        <f aca="false">IF($F887="","",ROW())</f>
        <v/>
      </c>
      <c r="B887" s="40" t="str">
        <f aca="false">IF($F887="",IF($D887="","","Falta a atividade"),IF($R887="Cancelada","Cancelada",IF($AB887=1,IF(N($Z887)&gt;0,"Concluída com atraso","Concluída"),IF($R887="Em programação","Em programação",IF($O887="",IF($M887="","Na carteira","Falta a semana"),IF($AC887=1,"VENCIDA",IF($O887&gt;Hoje!$L$1,"Programada",IF($P887&gt;Hoje!$L$1,"Em execução","Fecha hoje"))))))))</f>
        <v/>
      </c>
      <c r="C887" s="41"/>
      <c r="D887" s="42"/>
      <c r="E887" s="42"/>
      <c r="F887" s="42"/>
      <c r="G887" s="43"/>
      <c r="H887" s="43"/>
      <c r="I887" s="44"/>
      <c r="J887" s="44"/>
      <c r="K887" s="44"/>
      <c r="L887" s="45"/>
      <c r="M887" s="46"/>
      <c r="N887" s="45"/>
      <c r="O887" s="47" t="str">
        <f aca="false">IF(OR($L887="",$M887=""),"",(DATE(Semana!$J$3,1,4)-WEEKDAY(DATE(Semana!$J$3,1,4),3))+($L887-1)*7+MATCH($M887,Listas!$F$5:$F$11,0)-1)</f>
        <v/>
      </c>
      <c r="P887" s="47" t="str">
        <f aca="false">IF(OR($F887="",$O887=""),"",$O887+MAX(0,ROUNDUP($AK887*MAX(1,IF($N887="",1,$N887))/MAX(1,$AL887),0)-1))</f>
        <v/>
      </c>
      <c r="Q887" s="48"/>
      <c r="R887" s="43"/>
      <c r="S887" s="49"/>
      <c r="T887" s="42"/>
      <c r="U887" s="42"/>
      <c r="V887" s="39" t="str">
        <f aca="false">IF($F887="","",IF(ISNUMBER(SEARCH("(externo)",$I887&amp;$J887&amp;$K887)),"Terceirizada","Interna"))</f>
        <v/>
      </c>
      <c r="W887" s="47" t="str">
        <f aca="false">IF($O887="","",IF($S887="",$O887,(DATE(Semana!$J$3,1,4)-WEEKDAY(DATE(Semana!$J$3,1,4),3))+($S887-1)*7+IF($M887="",0,MATCH($M887,Listas!$F$5:$F$11,0)-1)))</f>
        <v/>
      </c>
      <c r="X887" s="39" t="str">
        <f aca="false">IF($F887="","",IF(OR($AT887="",$O887=""),0,IF($AT887&lt;=$O887,1,0)))</f>
        <v/>
      </c>
      <c r="Y887" s="39" t="str">
        <f aca="false">IF($F887="","",IF(OR($AT887="",$W887=""),0,IF($AT887&lt;=$W887,1,0)))</f>
        <v/>
      </c>
      <c r="Z887" s="39" t="str">
        <f aca="false">IF(OR($AT887="",$O887=""),"",MAX(0,$AT887-$O887))</f>
        <v/>
      </c>
      <c r="AA887" s="39" t="str">
        <f aca="false">IF($F887="","",IF(AND($S887&lt;&gt;"",$L887&lt;&gt;"",$S887&lt;&gt;$L887),1,0))</f>
        <v/>
      </c>
      <c r="AB887" s="39" t="str">
        <f aca="false">IF($F887="","",IF($R887="Cancelada",0,IF(OR($AT887&lt;&gt;"",$R887="Concluída"),1,0)))</f>
        <v/>
      </c>
      <c r="AC887" s="39" t="n">
        <f aca="false">IF($P887="",0,IF($P887&lt;Hoje!$L$1,1,IF(AND($P887=Hoje!$L$1,Hoje!$L$2&gt;Semana!$M$3),1,0)))</f>
        <v>0</v>
      </c>
      <c r="AD887" s="39" t="str">
        <f aca="false">IF($F887="","",IF(COUNTA($I887:$K887)=0,0,1/COUNTA($I887:$K887)))</f>
        <v/>
      </c>
      <c r="AE887" s="39" t="str">
        <f aca="false">IF($AH887=0,"",SUM($AH$4:$AH887))</f>
        <v/>
      </c>
      <c r="AF887" s="39" t="str">
        <f aca="false">IF($AI887=0,"",SUM($AI$4:$AI887))</f>
        <v/>
      </c>
      <c r="AG887" s="50" t="str">
        <f aca="false">IF($F887="","",$I887&amp;IF($J887="",""," · "&amp;$J887)&amp;IF($K887="",""," · "&amp;$K887))</f>
        <v/>
      </c>
      <c r="AH887" s="39" t="n">
        <f aca="false">IF(AND($F887&lt;&gt;"",$O887&lt;&gt;"",$O887&lt;=Hoje!$C$3,$P887&gt;=Hoje!$C$3,$R887&lt;&gt;"Cancelada"),1,0)</f>
        <v>0</v>
      </c>
      <c r="AI887" s="39" t="n">
        <f aca="false">IF(AND($F887&lt;&gt;"",$P887&lt;&gt;"",$P887&lt;Hoje!$C$3,$AB887=0,$R887&lt;&gt;"Cancelada"),1,0)</f>
        <v>0</v>
      </c>
      <c r="AJ887" s="50" t="str">
        <f aca="false">IF($F887="","",$D887&amp;"|"&amp;$E887&amp;"|"&amp;$L887)</f>
        <v/>
      </c>
      <c r="AK887" s="39" t="str">
        <f aca="false">IF($AJ887="","",COUNTIF($AJ$4:$AJ887,$AJ887))</f>
        <v/>
      </c>
      <c r="AL887" s="39" t="str">
        <f aca="false">IF($AJ887="","",COUNTIF($AJ$4:$AJ$1004,$AJ887))</f>
        <v/>
      </c>
      <c r="AM887" s="42"/>
      <c r="AN887" s="50" t="str">
        <f aca="false">IF($D887="","",IFERROR(T(VLOOKUP($D887,Listas!$B$5:$H$120,7,0)),""))</f>
        <v/>
      </c>
      <c r="AO887" s="50" t="str">
        <f aca="false">IF(OR($F887="",$L887&lt;&gt;"",$R887="Cancelada",$AT887&lt;&gt;""),"",$AN887&amp;"|"&amp;$D887&amp;"|"&amp;IF($C887="","zzz",$C887)&amp;"|"&amp;TEXT(887,"0000"))</f>
        <v/>
      </c>
      <c r="AP887" s="50" t="str">
        <f aca="false">IF($AO887="","",COUNTIF($AO$5:$AO$1004,"&lt;"&amp;$AO887)-(ROWS($AO$5:$AO$1004)-Hoje!$L$5)+1)</f>
        <v/>
      </c>
      <c r="AQ887" s="50" t="n">
        <f aca="false">IF(AND($F887&lt;&gt;"",$D887=Frota!$C$3),1,0)</f>
        <v>0</v>
      </c>
      <c r="AR887" s="50" t="str">
        <f aca="false">IF($AQ887=0,"",SUM($AQ$4:$AQ887))</f>
        <v/>
      </c>
      <c r="AS887" s="50" t="str">
        <f aca="false">IFERROR(INDEX(Hoje!$K$10:$K$29,MATCH(ROW(),Hoje!$J$10:$J$29,0)),"")</f>
        <v/>
      </c>
      <c r="AT887" s="50" t="str">
        <f aca="false">IF($Q887&lt;&gt;"",$Q887,$AS887)</f>
        <v/>
      </c>
    </row>
    <row r="888" customFormat="false" ht="16.5" hidden="false" customHeight="true" outlineLevel="0" collapsed="false">
      <c r="A888" s="39" t="str">
        <f aca="false">IF($F888="","",ROW())</f>
        <v/>
      </c>
      <c r="B888" s="40" t="str">
        <f aca="false">IF($F888="",IF($D888="","","Falta a atividade"),IF($R888="Cancelada","Cancelada",IF($AB888=1,IF(N($Z888)&gt;0,"Concluída com atraso","Concluída"),IF($R888="Em programação","Em programação",IF($O888="",IF($M888="","Na carteira","Falta a semana"),IF($AC888=1,"VENCIDA",IF($O888&gt;Hoje!$L$1,"Programada",IF($P888&gt;Hoje!$L$1,"Em execução","Fecha hoje"))))))))</f>
        <v/>
      </c>
      <c r="C888" s="41"/>
      <c r="D888" s="42"/>
      <c r="E888" s="42"/>
      <c r="F888" s="42"/>
      <c r="G888" s="43"/>
      <c r="H888" s="43"/>
      <c r="I888" s="44"/>
      <c r="J888" s="44"/>
      <c r="K888" s="44"/>
      <c r="L888" s="45"/>
      <c r="M888" s="46"/>
      <c r="N888" s="45"/>
      <c r="O888" s="47" t="str">
        <f aca="false">IF(OR($L888="",$M888=""),"",(DATE(Semana!$J$3,1,4)-WEEKDAY(DATE(Semana!$J$3,1,4),3))+($L888-1)*7+MATCH($M888,Listas!$F$5:$F$11,0)-1)</f>
        <v/>
      </c>
      <c r="P888" s="47" t="str">
        <f aca="false">IF(OR($F888="",$O888=""),"",$O888+MAX(0,ROUNDUP($AK888*MAX(1,IF($N888="",1,$N888))/MAX(1,$AL888),0)-1))</f>
        <v/>
      </c>
      <c r="Q888" s="48"/>
      <c r="R888" s="43"/>
      <c r="S888" s="49"/>
      <c r="T888" s="42"/>
      <c r="U888" s="42"/>
      <c r="V888" s="39" t="str">
        <f aca="false">IF($F888="","",IF(ISNUMBER(SEARCH("(externo)",$I888&amp;$J888&amp;$K888)),"Terceirizada","Interna"))</f>
        <v/>
      </c>
      <c r="W888" s="47" t="str">
        <f aca="false">IF($O888="","",IF($S888="",$O888,(DATE(Semana!$J$3,1,4)-WEEKDAY(DATE(Semana!$J$3,1,4),3))+($S888-1)*7+IF($M888="",0,MATCH($M888,Listas!$F$5:$F$11,0)-1)))</f>
        <v/>
      </c>
      <c r="X888" s="39" t="str">
        <f aca="false">IF($F888="","",IF(OR($AT888="",$O888=""),0,IF($AT888&lt;=$O888,1,0)))</f>
        <v/>
      </c>
      <c r="Y888" s="39" t="str">
        <f aca="false">IF($F888="","",IF(OR($AT888="",$W888=""),0,IF($AT888&lt;=$W888,1,0)))</f>
        <v/>
      </c>
      <c r="Z888" s="39" t="str">
        <f aca="false">IF(OR($AT888="",$O888=""),"",MAX(0,$AT888-$O888))</f>
        <v/>
      </c>
      <c r="AA888" s="39" t="str">
        <f aca="false">IF($F888="","",IF(AND($S888&lt;&gt;"",$L888&lt;&gt;"",$S888&lt;&gt;$L888),1,0))</f>
        <v/>
      </c>
      <c r="AB888" s="39" t="str">
        <f aca="false">IF($F888="","",IF($R888="Cancelada",0,IF(OR($AT888&lt;&gt;"",$R888="Concluída"),1,0)))</f>
        <v/>
      </c>
      <c r="AC888" s="39" t="n">
        <f aca="false">IF($P888="",0,IF($P888&lt;Hoje!$L$1,1,IF(AND($P888=Hoje!$L$1,Hoje!$L$2&gt;Semana!$M$3),1,0)))</f>
        <v>0</v>
      </c>
      <c r="AD888" s="39" t="str">
        <f aca="false">IF($F888="","",IF(COUNTA($I888:$K888)=0,0,1/COUNTA($I888:$K888)))</f>
        <v/>
      </c>
      <c r="AE888" s="39" t="str">
        <f aca="false">IF($AH888=0,"",SUM($AH$4:$AH888))</f>
        <v/>
      </c>
      <c r="AF888" s="39" t="str">
        <f aca="false">IF($AI888=0,"",SUM($AI$4:$AI888))</f>
        <v/>
      </c>
      <c r="AG888" s="50" t="str">
        <f aca="false">IF($F888="","",$I888&amp;IF($J888="",""," · "&amp;$J888)&amp;IF($K888="",""," · "&amp;$K888))</f>
        <v/>
      </c>
      <c r="AH888" s="39" t="n">
        <f aca="false">IF(AND($F888&lt;&gt;"",$O888&lt;&gt;"",$O888&lt;=Hoje!$C$3,$P888&gt;=Hoje!$C$3,$R888&lt;&gt;"Cancelada"),1,0)</f>
        <v>0</v>
      </c>
      <c r="AI888" s="39" t="n">
        <f aca="false">IF(AND($F888&lt;&gt;"",$P888&lt;&gt;"",$P888&lt;Hoje!$C$3,$AB888=0,$R888&lt;&gt;"Cancelada"),1,0)</f>
        <v>0</v>
      </c>
      <c r="AJ888" s="50" t="str">
        <f aca="false">IF($F888="","",$D888&amp;"|"&amp;$E888&amp;"|"&amp;$L888)</f>
        <v/>
      </c>
      <c r="AK888" s="39" t="str">
        <f aca="false">IF($AJ888="","",COUNTIF($AJ$4:$AJ888,$AJ888))</f>
        <v/>
      </c>
      <c r="AL888" s="39" t="str">
        <f aca="false">IF($AJ888="","",COUNTIF($AJ$4:$AJ$1004,$AJ888))</f>
        <v/>
      </c>
      <c r="AM888" s="42"/>
      <c r="AN888" s="50" t="str">
        <f aca="false">IF($D888="","",IFERROR(T(VLOOKUP($D888,Listas!$B$5:$H$120,7,0)),""))</f>
        <v/>
      </c>
      <c r="AO888" s="50" t="str">
        <f aca="false">IF(OR($F888="",$L888&lt;&gt;"",$R888="Cancelada",$AT888&lt;&gt;""),"",$AN888&amp;"|"&amp;$D888&amp;"|"&amp;IF($C888="","zzz",$C888)&amp;"|"&amp;TEXT(888,"0000"))</f>
        <v/>
      </c>
      <c r="AP888" s="50" t="str">
        <f aca="false">IF($AO888="","",COUNTIF($AO$5:$AO$1004,"&lt;"&amp;$AO888)-(ROWS($AO$5:$AO$1004)-Hoje!$L$5)+1)</f>
        <v/>
      </c>
      <c r="AQ888" s="50" t="n">
        <f aca="false">IF(AND($F888&lt;&gt;"",$D888=Frota!$C$3),1,0)</f>
        <v>0</v>
      </c>
      <c r="AR888" s="50" t="str">
        <f aca="false">IF($AQ888=0,"",SUM($AQ$4:$AQ888))</f>
        <v/>
      </c>
      <c r="AS888" s="50" t="str">
        <f aca="false">IFERROR(INDEX(Hoje!$K$10:$K$29,MATCH(ROW(),Hoje!$J$10:$J$29,0)),"")</f>
        <v/>
      </c>
      <c r="AT888" s="50" t="str">
        <f aca="false">IF($Q888&lt;&gt;"",$Q888,$AS888)</f>
        <v/>
      </c>
    </row>
    <row r="889" customFormat="false" ht="16.5" hidden="false" customHeight="true" outlineLevel="0" collapsed="false">
      <c r="A889" s="39" t="str">
        <f aca="false">IF($F889="","",ROW())</f>
        <v/>
      </c>
      <c r="B889" s="40" t="str">
        <f aca="false">IF($F889="",IF($D889="","","Falta a atividade"),IF($R889="Cancelada","Cancelada",IF($AB889=1,IF(N($Z889)&gt;0,"Concluída com atraso","Concluída"),IF($R889="Em programação","Em programação",IF($O889="",IF($M889="","Na carteira","Falta a semana"),IF($AC889=1,"VENCIDA",IF($O889&gt;Hoje!$L$1,"Programada",IF($P889&gt;Hoje!$L$1,"Em execução","Fecha hoje"))))))))</f>
        <v/>
      </c>
      <c r="C889" s="41"/>
      <c r="D889" s="42"/>
      <c r="E889" s="42"/>
      <c r="F889" s="42"/>
      <c r="G889" s="43"/>
      <c r="H889" s="43"/>
      <c r="I889" s="44"/>
      <c r="J889" s="44"/>
      <c r="K889" s="44"/>
      <c r="L889" s="45"/>
      <c r="M889" s="46"/>
      <c r="N889" s="45"/>
      <c r="O889" s="47" t="str">
        <f aca="false">IF(OR($L889="",$M889=""),"",(DATE(Semana!$J$3,1,4)-WEEKDAY(DATE(Semana!$J$3,1,4),3))+($L889-1)*7+MATCH($M889,Listas!$F$5:$F$11,0)-1)</f>
        <v/>
      </c>
      <c r="P889" s="47" t="str">
        <f aca="false">IF(OR($F889="",$O889=""),"",$O889+MAX(0,ROUNDUP($AK889*MAX(1,IF($N889="",1,$N889))/MAX(1,$AL889),0)-1))</f>
        <v/>
      </c>
      <c r="Q889" s="48"/>
      <c r="R889" s="43"/>
      <c r="S889" s="49"/>
      <c r="T889" s="42"/>
      <c r="U889" s="42"/>
      <c r="V889" s="39" t="str">
        <f aca="false">IF($F889="","",IF(ISNUMBER(SEARCH("(externo)",$I889&amp;$J889&amp;$K889)),"Terceirizada","Interna"))</f>
        <v/>
      </c>
      <c r="W889" s="47" t="str">
        <f aca="false">IF($O889="","",IF($S889="",$O889,(DATE(Semana!$J$3,1,4)-WEEKDAY(DATE(Semana!$J$3,1,4),3))+($S889-1)*7+IF($M889="",0,MATCH($M889,Listas!$F$5:$F$11,0)-1)))</f>
        <v/>
      </c>
      <c r="X889" s="39" t="str">
        <f aca="false">IF($F889="","",IF(OR($AT889="",$O889=""),0,IF($AT889&lt;=$O889,1,0)))</f>
        <v/>
      </c>
      <c r="Y889" s="39" t="str">
        <f aca="false">IF($F889="","",IF(OR($AT889="",$W889=""),0,IF($AT889&lt;=$W889,1,0)))</f>
        <v/>
      </c>
      <c r="Z889" s="39" t="str">
        <f aca="false">IF(OR($AT889="",$O889=""),"",MAX(0,$AT889-$O889))</f>
        <v/>
      </c>
      <c r="AA889" s="39" t="str">
        <f aca="false">IF($F889="","",IF(AND($S889&lt;&gt;"",$L889&lt;&gt;"",$S889&lt;&gt;$L889),1,0))</f>
        <v/>
      </c>
      <c r="AB889" s="39" t="str">
        <f aca="false">IF($F889="","",IF($R889="Cancelada",0,IF(OR($AT889&lt;&gt;"",$R889="Concluída"),1,0)))</f>
        <v/>
      </c>
      <c r="AC889" s="39" t="n">
        <f aca="false">IF($P889="",0,IF($P889&lt;Hoje!$L$1,1,IF(AND($P889=Hoje!$L$1,Hoje!$L$2&gt;Semana!$M$3),1,0)))</f>
        <v>0</v>
      </c>
      <c r="AD889" s="39" t="str">
        <f aca="false">IF($F889="","",IF(COUNTA($I889:$K889)=0,0,1/COUNTA($I889:$K889)))</f>
        <v/>
      </c>
      <c r="AE889" s="39" t="str">
        <f aca="false">IF($AH889=0,"",SUM($AH$4:$AH889))</f>
        <v/>
      </c>
      <c r="AF889" s="39" t="str">
        <f aca="false">IF($AI889=0,"",SUM($AI$4:$AI889))</f>
        <v/>
      </c>
      <c r="AG889" s="50" t="str">
        <f aca="false">IF($F889="","",$I889&amp;IF($J889="",""," · "&amp;$J889)&amp;IF($K889="",""," · "&amp;$K889))</f>
        <v/>
      </c>
      <c r="AH889" s="39" t="n">
        <f aca="false">IF(AND($F889&lt;&gt;"",$O889&lt;&gt;"",$O889&lt;=Hoje!$C$3,$P889&gt;=Hoje!$C$3,$R889&lt;&gt;"Cancelada"),1,0)</f>
        <v>0</v>
      </c>
      <c r="AI889" s="39" t="n">
        <f aca="false">IF(AND($F889&lt;&gt;"",$P889&lt;&gt;"",$P889&lt;Hoje!$C$3,$AB889=0,$R889&lt;&gt;"Cancelada"),1,0)</f>
        <v>0</v>
      </c>
      <c r="AJ889" s="50" t="str">
        <f aca="false">IF($F889="","",$D889&amp;"|"&amp;$E889&amp;"|"&amp;$L889)</f>
        <v/>
      </c>
      <c r="AK889" s="39" t="str">
        <f aca="false">IF($AJ889="","",COUNTIF($AJ$4:$AJ889,$AJ889))</f>
        <v/>
      </c>
      <c r="AL889" s="39" t="str">
        <f aca="false">IF($AJ889="","",COUNTIF($AJ$4:$AJ$1004,$AJ889))</f>
        <v/>
      </c>
      <c r="AM889" s="42"/>
      <c r="AN889" s="50" t="str">
        <f aca="false">IF($D889="","",IFERROR(T(VLOOKUP($D889,Listas!$B$5:$H$120,7,0)),""))</f>
        <v/>
      </c>
      <c r="AO889" s="50" t="str">
        <f aca="false">IF(OR($F889="",$L889&lt;&gt;"",$R889="Cancelada",$AT889&lt;&gt;""),"",$AN889&amp;"|"&amp;$D889&amp;"|"&amp;IF($C889="","zzz",$C889)&amp;"|"&amp;TEXT(889,"0000"))</f>
        <v/>
      </c>
      <c r="AP889" s="50" t="str">
        <f aca="false">IF($AO889="","",COUNTIF($AO$5:$AO$1004,"&lt;"&amp;$AO889)-(ROWS($AO$5:$AO$1004)-Hoje!$L$5)+1)</f>
        <v/>
      </c>
      <c r="AQ889" s="50" t="n">
        <f aca="false">IF(AND($F889&lt;&gt;"",$D889=Frota!$C$3),1,0)</f>
        <v>0</v>
      </c>
      <c r="AR889" s="50" t="str">
        <f aca="false">IF($AQ889=0,"",SUM($AQ$4:$AQ889))</f>
        <v/>
      </c>
      <c r="AS889" s="50" t="str">
        <f aca="false">IFERROR(INDEX(Hoje!$K$10:$K$29,MATCH(ROW(),Hoje!$J$10:$J$29,0)),"")</f>
        <v/>
      </c>
      <c r="AT889" s="50" t="str">
        <f aca="false">IF($Q889&lt;&gt;"",$Q889,$AS889)</f>
        <v/>
      </c>
    </row>
    <row r="890" customFormat="false" ht="16.5" hidden="false" customHeight="true" outlineLevel="0" collapsed="false">
      <c r="A890" s="39" t="str">
        <f aca="false">IF($F890="","",ROW())</f>
        <v/>
      </c>
      <c r="B890" s="40" t="str">
        <f aca="false">IF($F890="",IF($D890="","","Falta a atividade"),IF($R890="Cancelada","Cancelada",IF($AB890=1,IF(N($Z890)&gt;0,"Concluída com atraso","Concluída"),IF($R890="Em programação","Em programação",IF($O890="",IF($M890="","Na carteira","Falta a semana"),IF($AC890=1,"VENCIDA",IF($O890&gt;Hoje!$L$1,"Programada",IF($P890&gt;Hoje!$L$1,"Em execução","Fecha hoje"))))))))</f>
        <v/>
      </c>
      <c r="C890" s="41"/>
      <c r="D890" s="42"/>
      <c r="E890" s="42"/>
      <c r="F890" s="42"/>
      <c r="G890" s="43"/>
      <c r="H890" s="43"/>
      <c r="I890" s="44"/>
      <c r="J890" s="44"/>
      <c r="K890" s="44"/>
      <c r="L890" s="45"/>
      <c r="M890" s="46"/>
      <c r="N890" s="45"/>
      <c r="O890" s="47" t="str">
        <f aca="false">IF(OR($L890="",$M890=""),"",(DATE(Semana!$J$3,1,4)-WEEKDAY(DATE(Semana!$J$3,1,4),3))+($L890-1)*7+MATCH($M890,Listas!$F$5:$F$11,0)-1)</f>
        <v/>
      </c>
      <c r="P890" s="47" t="str">
        <f aca="false">IF(OR($F890="",$O890=""),"",$O890+MAX(0,ROUNDUP($AK890*MAX(1,IF($N890="",1,$N890))/MAX(1,$AL890),0)-1))</f>
        <v/>
      </c>
      <c r="Q890" s="48"/>
      <c r="R890" s="43"/>
      <c r="S890" s="49"/>
      <c r="T890" s="42"/>
      <c r="U890" s="42"/>
      <c r="V890" s="39" t="str">
        <f aca="false">IF($F890="","",IF(ISNUMBER(SEARCH("(externo)",$I890&amp;$J890&amp;$K890)),"Terceirizada","Interna"))</f>
        <v/>
      </c>
      <c r="W890" s="47" t="str">
        <f aca="false">IF($O890="","",IF($S890="",$O890,(DATE(Semana!$J$3,1,4)-WEEKDAY(DATE(Semana!$J$3,1,4),3))+($S890-1)*7+IF($M890="",0,MATCH($M890,Listas!$F$5:$F$11,0)-1)))</f>
        <v/>
      </c>
      <c r="X890" s="39" t="str">
        <f aca="false">IF($F890="","",IF(OR($AT890="",$O890=""),0,IF($AT890&lt;=$O890,1,0)))</f>
        <v/>
      </c>
      <c r="Y890" s="39" t="str">
        <f aca="false">IF($F890="","",IF(OR($AT890="",$W890=""),0,IF($AT890&lt;=$W890,1,0)))</f>
        <v/>
      </c>
      <c r="Z890" s="39" t="str">
        <f aca="false">IF(OR($AT890="",$O890=""),"",MAX(0,$AT890-$O890))</f>
        <v/>
      </c>
      <c r="AA890" s="39" t="str">
        <f aca="false">IF($F890="","",IF(AND($S890&lt;&gt;"",$L890&lt;&gt;"",$S890&lt;&gt;$L890),1,0))</f>
        <v/>
      </c>
      <c r="AB890" s="39" t="str">
        <f aca="false">IF($F890="","",IF($R890="Cancelada",0,IF(OR($AT890&lt;&gt;"",$R890="Concluída"),1,0)))</f>
        <v/>
      </c>
      <c r="AC890" s="39" t="n">
        <f aca="false">IF($P890="",0,IF($P890&lt;Hoje!$L$1,1,IF(AND($P890=Hoje!$L$1,Hoje!$L$2&gt;Semana!$M$3),1,0)))</f>
        <v>0</v>
      </c>
      <c r="AD890" s="39" t="str">
        <f aca="false">IF($F890="","",IF(COUNTA($I890:$K890)=0,0,1/COUNTA($I890:$K890)))</f>
        <v/>
      </c>
      <c r="AE890" s="39" t="str">
        <f aca="false">IF($AH890=0,"",SUM($AH$4:$AH890))</f>
        <v/>
      </c>
      <c r="AF890" s="39" t="str">
        <f aca="false">IF($AI890=0,"",SUM($AI$4:$AI890))</f>
        <v/>
      </c>
      <c r="AG890" s="50" t="str">
        <f aca="false">IF($F890="","",$I890&amp;IF($J890="",""," · "&amp;$J890)&amp;IF($K890="",""," · "&amp;$K890))</f>
        <v/>
      </c>
      <c r="AH890" s="39" t="n">
        <f aca="false">IF(AND($F890&lt;&gt;"",$O890&lt;&gt;"",$O890&lt;=Hoje!$C$3,$P890&gt;=Hoje!$C$3,$R890&lt;&gt;"Cancelada"),1,0)</f>
        <v>0</v>
      </c>
      <c r="AI890" s="39" t="n">
        <f aca="false">IF(AND($F890&lt;&gt;"",$P890&lt;&gt;"",$P890&lt;Hoje!$C$3,$AB890=0,$R890&lt;&gt;"Cancelada"),1,0)</f>
        <v>0</v>
      </c>
      <c r="AJ890" s="50" t="str">
        <f aca="false">IF($F890="","",$D890&amp;"|"&amp;$E890&amp;"|"&amp;$L890)</f>
        <v/>
      </c>
      <c r="AK890" s="39" t="str">
        <f aca="false">IF($AJ890="","",COUNTIF($AJ$4:$AJ890,$AJ890))</f>
        <v/>
      </c>
      <c r="AL890" s="39" t="str">
        <f aca="false">IF($AJ890="","",COUNTIF($AJ$4:$AJ$1004,$AJ890))</f>
        <v/>
      </c>
      <c r="AM890" s="42"/>
      <c r="AN890" s="50" t="str">
        <f aca="false">IF($D890="","",IFERROR(T(VLOOKUP($D890,Listas!$B$5:$H$120,7,0)),""))</f>
        <v/>
      </c>
      <c r="AO890" s="50" t="str">
        <f aca="false">IF(OR($F890="",$L890&lt;&gt;"",$R890="Cancelada",$AT890&lt;&gt;""),"",$AN890&amp;"|"&amp;$D890&amp;"|"&amp;IF($C890="","zzz",$C890)&amp;"|"&amp;TEXT(890,"0000"))</f>
        <v/>
      </c>
      <c r="AP890" s="50" t="str">
        <f aca="false">IF($AO890="","",COUNTIF($AO$5:$AO$1004,"&lt;"&amp;$AO890)-(ROWS($AO$5:$AO$1004)-Hoje!$L$5)+1)</f>
        <v/>
      </c>
      <c r="AQ890" s="50" t="n">
        <f aca="false">IF(AND($F890&lt;&gt;"",$D890=Frota!$C$3),1,0)</f>
        <v>0</v>
      </c>
      <c r="AR890" s="50" t="str">
        <f aca="false">IF($AQ890=0,"",SUM($AQ$4:$AQ890))</f>
        <v/>
      </c>
      <c r="AS890" s="50" t="str">
        <f aca="false">IFERROR(INDEX(Hoje!$K$10:$K$29,MATCH(ROW(),Hoje!$J$10:$J$29,0)),"")</f>
        <v/>
      </c>
      <c r="AT890" s="50" t="str">
        <f aca="false">IF($Q890&lt;&gt;"",$Q890,$AS890)</f>
        <v/>
      </c>
    </row>
    <row r="891" customFormat="false" ht="16.5" hidden="false" customHeight="true" outlineLevel="0" collapsed="false">
      <c r="A891" s="39" t="str">
        <f aca="false">IF($F891="","",ROW())</f>
        <v/>
      </c>
      <c r="B891" s="40" t="str">
        <f aca="false">IF($F891="",IF($D891="","","Falta a atividade"),IF($R891="Cancelada","Cancelada",IF($AB891=1,IF(N($Z891)&gt;0,"Concluída com atraso","Concluída"),IF($R891="Em programação","Em programação",IF($O891="",IF($M891="","Na carteira","Falta a semana"),IF($AC891=1,"VENCIDA",IF($O891&gt;Hoje!$L$1,"Programada",IF($P891&gt;Hoje!$L$1,"Em execução","Fecha hoje"))))))))</f>
        <v/>
      </c>
      <c r="C891" s="41"/>
      <c r="D891" s="42"/>
      <c r="E891" s="42"/>
      <c r="F891" s="42"/>
      <c r="G891" s="43"/>
      <c r="H891" s="43"/>
      <c r="I891" s="44"/>
      <c r="J891" s="44"/>
      <c r="K891" s="44"/>
      <c r="L891" s="45"/>
      <c r="M891" s="46"/>
      <c r="N891" s="45"/>
      <c r="O891" s="47" t="str">
        <f aca="false">IF(OR($L891="",$M891=""),"",(DATE(Semana!$J$3,1,4)-WEEKDAY(DATE(Semana!$J$3,1,4),3))+($L891-1)*7+MATCH($M891,Listas!$F$5:$F$11,0)-1)</f>
        <v/>
      </c>
      <c r="P891" s="47" t="str">
        <f aca="false">IF(OR($F891="",$O891=""),"",$O891+MAX(0,ROUNDUP($AK891*MAX(1,IF($N891="",1,$N891))/MAX(1,$AL891),0)-1))</f>
        <v/>
      </c>
      <c r="Q891" s="48"/>
      <c r="R891" s="43"/>
      <c r="S891" s="49"/>
      <c r="T891" s="42"/>
      <c r="U891" s="42"/>
      <c r="V891" s="39" t="str">
        <f aca="false">IF($F891="","",IF(ISNUMBER(SEARCH("(externo)",$I891&amp;$J891&amp;$K891)),"Terceirizada","Interna"))</f>
        <v/>
      </c>
      <c r="W891" s="47" t="str">
        <f aca="false">IF($O891="","",IF($S891="",$O891,(DATE(Semana!$J$3,1,4)-WEEKDAY(DATE(Semana!$J$3,1,4),3))+($S891-1)*7+IF($M891="",0,MATCH($M891,Listas!$F$5:$F$11,0)-1)))</f>
        <v/>
      </c>
      <c r="X891" s="39" t="str">
        <f aca="false">IF($F891="","",IF(OR($AT891="",$O891=""),0,IF($AT891&lt;=$O891,1,0)))</f>
        <v/>
      </c>
      <c r="Y891" s="39" t="str">
        <f aca="false">IF($F891="","",IF(OR($AT891="",$W891=""),0,IF($AT891&lt;=$W891,1,0)))</f>
        <v/>
      </c>
      <c r="Z891" s="39" t="str">
        <f aca="false">IF(OR($AT891="",$O891=""),"",MAX(0,$AT891-$O891))</f>
        <v/>
      </c>
      <c r="AA891" s="39" t="str">
        <f aca="false">IF($F891="","",IF(AND($S891&lt;&gt;"",$L891&lt;&gt;"",$S891&lt;&gt;$L891),1,0))</f>
        <v/>
      </c>
      <c r="AB891" s="39" t="str">
        <f aca="false">IF($F891="","",IF($R891="Cancelada",0,IF(OR($AT891&lt;&gt;"",$R891="Concluída"),1,0)))</f>
        <v/>
      </c>
      <c r="AC891" s="39" t="n">
        <f aca="false">IF($P891="",0,IF($P891&lt;Hoje!$L$1,1,IF(AND($P891=Hoje!$L$1,Hoje!$L$2&gt;Semana!$M$3),1,0)))</f>
        <v>0</v>
      </c>
      <c r="AD891" s="39" t="str">
        <f aca="false">IF($F891="","",IF(COUNTA($I891:$K891)=0,0,1/COUNTA($I891:$K891)))</f>
        <v/>
      </c>
      <c r="AE891" s="39" t="str">
        <f aca="false">IF($AH891=0,"",SUM($AH$4:$AH891))</f>
        <v/>
      </c>
      <c r="AF891" s="39" t="str">
        <f aca="false">IF($AI891=0,"",SUM($AI$4:$AI891))</f>
        <v/>
      </c>
      <c r="AG891" s="50" t="str">
        <f aca="false">IF($F891="","",$I891&amp;IF($J891="",""," · "&amp;$J891)&amp;IF($K891="",""," · "&amp;$K891))</f>
        <v/>
      </c>
      <c r="AH891" s="39" t="n">
        <f aca="false">IF(AND($F891&lt;&gt;"",$O891&lt;&gt;"",$O891&lt;=Hoje!$C$3,$P891&gt;=Hoje!$C$3,$R891&lt;&gt;"Cancelada"),1,0)</f>
        <v>0</v>
      </c>
      <c r="AI891" s="39" t="n">
        <f aca="false">IF(AND($F891&lt;&gt;"",$P891&lt;&gt;"",$P891&lt;Hoje!$C$3,$AB891=0,$R891&lt;&gt;"Cancelada"),1,0)</f>
        <v>0</v>
      </c>
      <c r="AJ891" s="50" t="str">
        <f aca="false">IF($F891="","",$D891&amp;"|"&amp;$E891&amp;"|"&amp;$L891)</f>
        <v/>
      </c>
      <c r="AK891" s="39" t="str">
        <f aca="false">IF($AJ891="","",COUNTIF($AJ$4:$AJ891,$AJ891))</f>
        <v/>
      </c>
      <c r="AL891" s="39" t="str">
        <f aca="false">IF($AJ891="","",COUNTIF($AJ$4:$AJ$1004,$AJ891))</f>
        <v/>
      </c>
      <c r="AM891" s="42"/>
      <c r="AN891" s="50" t="str">
        <f aca="false">IF($D891="","",IFERROR(T(VLOOKUP($D891,Listas!$B$5:$H$120,7,0)),""))</f>
        <v/>
      </c>
      <c r="AO891" s="50" t="str">
        <f aca="false">IF(OR($F891="",$L891&lt;&gt;"",$R891="Cancelada",$AT891&lt;&gt;""),"",$AN891&amp;"|"&amp;$D891&amp;"|"&amp;IF($C891="","zzz",$C891)&amp;"|"&amp;TEXT(891,"0000"))</f>
        <v/>
      </c>
      <c r="AP891" s="50" t="str">
        <f aca="false">IF($AO891="","",COUNTIF($AO$5:$AO$1004,"&lt;"&amp;$AO891)-(ROWS($AO$5:$AO$1004)-Hoje!$L$5)+1)</f>
        <v/>
      </c>
      <c r="AQ891" s="50" t="n">
        <f aca="false">IF(AND($F891&lt;&gt;"",$D891=Frota!$C$3),1,0)</f>
        <v>0</v>
      </c>
      <c r="AR891" s="50" t="str">
        <f aca="false">IF($AQ891=0,"",SUM($AQ$4:$AQ891))</f>
        <v/>
      </c>
      <c r="AS891" s="50" t="str">
        <f aca="false">IFERROR(INDEX(Hoje!$K$10:$K$29,MATCH(ROW(),Hoje!$J$10:$J$29,0)),"")</f>
        <v/>
      </c>
      <c r="AT891" s="50" t="str">
        <f aca="false">IF($Q891&lt;&gt;"",$Q891,$AS891)</f>
        <v/>
      </c>
    </row>
    <row r="892" customFormat="false" ht="16.5" hidden="false" customHeight="true" outlineLevel="0" collapsed="false">
      <c r="A892" s="39" t="str">
        <f aca="false">IF($F892="","",ROW())</f>
        <v/>
      </c>
      <c r="B892" s="40" t="str">
        <f aca="false">IF($F892="",IF($D892="","","Falta a atividade"),IF($R892="Cancelada","Cancelada",IF($AB892=1,IF(N($Z892)&gt;0,"Concluída com atraso","Concluída"),IF($R892="Em programação","Em programação",IF($O892="",IF($M892="","Na carteira","Falta a semana"),IF($AC892=1,"VENCIDA",IF($O892&gt;Hoje!$L$1,"Programada",IF($P892&gt;Hoje!$L$1,"Em execução","Fecha hoje"))))))))</f>
        <v/>
      </c>
      <c r="C892" s="41"/>
      <c r="D892" s="42"/>
      <c r="E892" s="42"/>
      <c r="F892" s="42"/>
      <c r="G892" s="43"/>
      <c r="H892" s="43"/>
      <c r="I892" s="44"/>
      <c r="J892" s="44"/>
      <c r="K892" s="44"/>
      <c r="L892" s="45"/>
      <c r="M892" s="46"/>
      <c r="N892" s="45"/>
      <c r="O892" s="47" t="str">
        <f aca="false">IF(OR($L892="",$M892=""),"",(DATE(Semana!$J$3,1,4)-WEEKDAY(DATE(Semana!$J$3,1,4),3))+($L892-1)*7+MATCH($M892,Listas!$F$5:$F$11,0)-1)</f>
        <v/>
      </c>
      <c r="P892" s="47" t="str">
        <f aca="false">IF(OR($F892="",$O892=""),"",$O892+MAX(0,ROUNDUP($AK892*MAX(1,IF($N892="",1,$N892))/MAX(1,$AL892),0)-1))</f>
        <v/>
      </c>
      <c r="Q892" s="48"/>
      <c r="R892" s="43"/>
      <c r="S892" s="49"/>
      <c r="T892" s="42"/>
      <c r="U892" s="42"/>
      <c r="V892" s="39" t="str">
        <f aca="false">IF($F892="","",IF(ISNUMBER(SEARCH("(externo)",$I892&amp;$J892&amp;$K892)),"Terceirizada","Interna"))</f>
        <v/>
      </c>
      <c r="W892" s="47" t="str">
        <f aca="false">IF($O892="","",IF($S892="",$O892,(DATE(Semana!$J$3,1,4)-WEEKDAY(DATE(Semana!$J$3,1,4),3))+($S892-1)*7+IF($M892="",0,MATCH($M892,Listas!$F$5:$F$11,0)-1)))</f>
        <v/>
      </c>
      <c r="X892" s="39" t="str">
        <f aca="false">IF($F892="","",IF(OR($AT892="",$O892=""),0,IF($AT892&lt;=$O892,1,0)))</f>
        <v/>
      </c>
      <c r="Y892" s="39" t="str">
        <f aca="false">IF($F892="","",IF(OR($AT892="",$W892=""),0,IF($AT892&lt;=$W892,1,0)))</f>
        <v/>
      </c>
      <c r="Z892" s="39" t="str">
        <f aca="false">IF(OR($AT892="",$O892=""),"",MAX(0,$AT892-$O892))</f>
        <v/>
      </c>
      <c r="AA892" s="39" t="str">
        <f aca="false">IF($F892="","",IF(AND($S892&lt;&gt;"",$L892&lt;&gt;"",$S892&lt;&gt;$L892),1,0))</f>
        <v/>
      </c>
      <c r="AB892" s="39" t="str">
        <f aca="false">IF($F892="","",IF($R892="Cancelada",0,IF(OR($AT892&lt;&gt;"",$R892="Concluída"),1,0)))</f>
        <v/>
      </c>
      <c r="AC892" s="39" t="n">
        <f aca="false">IF($P892="",0,IF($P892&lt;Hoje!$L$1,1,IF(AND($P892=Hoje!$L$1,Hoje!$L$2&gt;Semana!$M$3),1,0)))</f>
        <v>0</v>
      </c>
      <c r="AD892" s="39" t="str">
        <f aca="false">IF($F892="","",IF(COUNTA($I892:$K892)=0,0,1/COUNTA($I892:$K892)))</f>
        <v/>
      </c>
      <c r="AE892" s="39" t="str">
        <f aca="false">IF($AH892=0,"",SUM($AH$4:$AH892))</f>
        <v/>
      </c>
      <c r="AF892" s="39" t="str">
        <f aca="false">IF($AI892=0,"",SUM($AI$4:$AI892))</f>
        <v/>
      </c>
      <c r="AG892" s="50" t="str">
        <f aca="false">IF($F892="","",$I892&amp;IF($J892="",""," · "&amp;$J892)&amp;IF($K892="",""," · "&amp;$K892))</f>
        <v/>
      </c>
      <c r="AH892" s="39" t="n">
        <f aca="false">IF(AND($F892&lt;&gt;"",$O892&lt;&gt;"",$O892&lt;=Hoje!$C$3,$P892&gt;=Hoje!$C$3,$R892&lt;&gt;"Cancelada"),1,0)</f>
        <v>0</v>
      </c>
      <c r="AI892" s="39" t="n">
        <f aca="false">IF(AND($F892&lt;&gt;"",$P892&lt;&gt;"",$P892&lt;Hoje!$C$3,$AB892=0,$R892&lt;&gt;"Cancelada"),1,0)</f>
        <v>0</v>
      </c>
      <c r="AJ892" s="50" t="str">
        <f aca="false">IF($F892="","",$D892&amp;"|"&amp;$E892&amp;"|"&amp;$L892)</f>
        <v/>
      </c>
      <c r="AK892" s="39" t="str">
        <f aca="false">IF($AJ892="","",COUNTIF($AJ$4:$AJ892,$AJ892))</f>
        <v/>
      </c>
      <c r="AL892" s="39" t="str">
        <f aca="false">IF($AJ892="","",COUNTIF($AJ$4:$AJ$1004,$AJ892))</f>
        <v/>
      </c>
      <c r="AM892" s="42"/>
      <c r="AN892" s="50" t="str">
        <f aca="false">IF($D892="","",IFERROR(T(VLOOKUP($D892,Listas!$B$5:$H$120,7,0)),""))</f>
        <v/>
      </c>
      <c r="AO892" s="50" t="str">
        <f aca="false">IF(OR($F892="",$L892&lt;&gt;"",$R892="Cancelada",$AT892&lt;&gt;""),"",$AN892&amp;"|"&amp;$D892&amp;"|"&amp;IF($C892="","zzz",$C892)&amp;"|"&amp;TEXT(892,"0000"))</f>
        <v/>
      </c>
      <c r="AP892" s="50" t="str">
        <f aca="false">IF($AO892="","",COUNTIF($AO$5:$AO$1004,"&lt;"&amp;$AO892)-(ROWS($AO$5:$AO$1004)-Hoje!$L$5)+1)</f>
        <v/>
      </c>
      <c r="AQ892" s="50" t="n">
        <f aca="false">IF(AND($F892&lt;&gt;"",$D892=Frota!$C$3),1,0)</f>
        <v>0</v>
      </c>
      <c r="AR892" s="50" t="str">
        <f aca="false">IF($AQ892=0,"",SUM($AQ$4:$AQ892))</f>
        <v/>
      </c>
      <c r="AS892" s="50" t="str">
        <f aca="false">IFERROR(INDEX(Hoje!$K$10:$K$29,MATCH(ROW(),Hoje!$J$10:$J$29,0)),"")</f>
        <v/>
      </c>
      <c r="AT892" s="50" t="str">
        <f aca="false">IF($Q892&lt;&gt;"",$Q892,$AS892)</f>
        <v/>
      </c>
    </row>
    <row r="893" customFormat="false" ht="16.5" hidden="false" customHeight="true" outlineLevel="0" collapsed="false">
      <c r="A893" s="39" t="str">
        <f aca="false">IF($F893="","",ROW())</f>
        <v/>
      </c>
      <c r="B893" s="40" t="str">
        <f aca="false">IF($F893="",IF($D893="","","Falta a atividade"),IF($R893="Cancelada","Cancelada",IF($AB893=1,IF(N($Z893)&gt;0,"Concluída com atraso","Concluída"),IF($R893="Em programação","Em programação",IF($O893="",IF($M893="","Na carteira","Falta a semana"),IF($AC893=1,"VENCIDA",IF($O893&gt;Hoje!$L$1,"Programada",IF($P893&gt;Hoje!$L$1,"Em execução","Fecha hoje"))))))))</f>
        <v/>
      </c>
      <c r="C893" s="41"/>
      <c r="D893" s="42"/>
      <c r="E893" s="42"/>
      <c r="F893" s="42"/>
      <c r="G893" s="43"/>
      <c r="H893" s="43"/>
      <c r="I893" s="44"/>
      <c r="J893" s="44"/>
      <c r="K893" s="44"/>
      <c r="L893" s="45"/>
      <c r="M893" s="46"/>
      <c r="N893" s="45"/>
      <c r="O893" s="47" t="str">
        <f aca="false">IF(OR($L893="",$M893=""),"",(DATE(Semana!$J$3,1,4)-WEEKDAY(DATE(Semana!$J$3,1,4),3))+($L893-1)*7+MATCH($M893,Listas!$F$5:$F$11,0)-1)</f>
        <v/>
      </c>
      <c r="P893" s="47" t="str">
        <f aca="false">IF(OR($F893="",$O893=""),"",$O893+MAX(0,ROUNDUP($AK893*MAX(1,IF($N893="",1,$N893))/MAX(1,$AL893),0)-1))</f>
        <v/>
      </c>
      <c r="Q893" s="48"/>
      <c r="R893" s="43"/>
      <c r="S893" s="49"/>
      <c r="T893" s="42"/>
      <c r="U893" s="42"/>
      <c r="V893" s="39" t="str">
        <f aca="false">IF($F893="","",IF(ISNUMBER(SEARCH("(externo)",$I893&amp;$J893&amp;$K893)),"Terceirizada","Interna"))</f>
        <v/>
      </c>
      <c r="W893" s="47" t="str">
        <f aca="false">IF($O893="","",IF($S893="",$O893,(DATE(Semana!$J$3,1,4)-WEEKDAY(DATE(Semana!$J$3,1,4),3))+($S893-1)*7+IF($M893="",0,MATCH($M893,Listas!$F$5:$F$11,0)-1)))</f>
        <v/>
      </c>
      <c r="X893" s="39" t="str">
        <f aca="false">IF($F893="","",IF(OR($AT893="",$O893=""),0,IF($AT893&lt;=$O893,1,0)))</f>
        <v/>
      </c>
      <c r="Y893" s="39" t="str">
        <f aca="false">IF($F893="","",IF(OR($AT893="",$W893=""),0,IF($AT893&lt;=$W893,1,0)))</f>
        <v/>
      </c>
      <c r="Z893" s="39" t="str">
        <f aca="false">IF(OR($AT893="",$O893=""),"",MAX(0,$AT893-$O893))</f>
        <v/>
      </c>
      <c r="AA893" s="39" t="str">
        <f aca="false">IF($F893="","",IF(AND($S893&lt;&gt;"",$L893&lt;&gt;"",$S893&lt;&gt;$L893),1,0))</f>
        <v/>
      </c>
      <c r="AB893" s="39" t="str">
        <f aca="false">IF($F893="","",IF($R893="Cancelada",0,IF(OR($AT893&lt;&gt;"",$R893="Concluída"),1,0)))</f>
        <v/>
      </c>
      <c r="AC893" s="39" t="n">
        <f aca="false">IF($P893="",0,IF($P893&lt;Hoje!$L$1,1,IF(AND($P893=Hoje!$L$1,Hoje!$L$2&gt;Semana!$M$3),1,0)))</f>
        <v>0</v>
      </c>
      <c r="AD893" s="39" t="str">
        <f aca="false">IF($F893="","",IF(COUNTA($I893:$K893)=0,0,1/COUNTA($I893:$K893)))</f>
        <v/>
      </c>
      <c r="AE893" s="39" t="str">
        <f aca="false">IF($AH893=0,"",SUM($AH$4:$AH893))</f>
        <v/>
      </c>
      <c r="AF893" s="39" t="str">
        <f aca="false">IF($AI893=0,"",SUM($AI$4:$AI893))</f>
        <v/>
      </c>
      <c r="AG893" s="50" t="str">
        <f aca="false">IF($F893="","",$I893&amp;IF($J893="",""," · "&amp;$J893)&amp;IF($K893="",""," · "&amp;$K893))</f>
        <v/>
      </c>
      <c r="AH893" s="39" t="n">
        <f aca="false">IF(AND($F893&lt;&gt;"",$O893&lt;&gt;"",$O893&lt;=Hoje!$C$3,$P893&gt;=Hoje!$C$3,$R893&lt;&gt;"Cancelada"),1,0)</f>
        <v>0</v>
      </c>
      <c r="AI893" s="39" t="n">
        <f aca="false">IF(AND($F893&lt;&gt;"",$P893&lt;&gt;"",$P893&lt;Hoje!$C$3,$AB893=0,$R893&lt;&gt;"Cancelada"),1,0)</f>
        <v>0</v>
      </c>
      <c r="AJ893" s="50" t="str">
        <f aca="false">IF($F893="","",$D893&amp;"|"&amp;$E893&amp;"|"&amp;$L893)</f>
        <v/>
      </c>
      <c r="AK893" s="39" t="str">
        <f aca="false">IF($AJ893="","",COUNTIF($AJ$4:$AJ893,$AJ893))</f>
        <v/>
      </c>
      <c r="AL893" s="39" t="str">
        <f aca="false">IF($AJ893="","",COUNTIF($AJ$4:$AJ$1004,$AJ893))</f>
        <v/>
      </c>
      <c r="AM893" s="42"/>
      <c r="AN893" s="50" t="str">
        <f aca="false">IF($D893="","",IFERROR(T(VLOOKUP($D893,Listas!$B$5:$H$120,7,0)),""))</f>
        <v/>
      </c>
      <c r="AO893" s="50" t="str">
        <f aca="false">IF(OR($F893="",$L893&lt;&gt;"",$R893="Cancelada",$AT893&lt;&gt;""),"",$AN893&amp;"|"&amp;$D893&amp;"|"&amp;IF($C893="","zzz",$C893)&amp;"|"&amp;TEXT(893,"0000"))</f>
        <v/>
      </c>
      <c r="AP893" s="50" t="str">
        <f aca="false">IF($AO893="","",COUNTIF($AO$5:$AO$1004,"&lt;"&amp;$AO893)-(ROWS($AO$5:$AO$1004)-Hoje!$L$5)+1)</f>
        <v/>
      </c>
      <c r="AQ893" s="50" t="n">
        <f aca="false">IF(AND($F893&lt;&gt;"",$D893=Frota!$C$3),1,0)</f>
        <v>0</v>
      </c>
      <c r="AR893" s="50" t="str">
        <f aca="false">IF($AQ893=0,"",SUM($AQ$4:$AQ893))</f>
        <v/>
      </c>
      <c r="AS893" s="50" t="str">
        <f aca="false">IFERROR(INDEX(Hoje!$K$10:$K$29,MATCH(ROW(),Hoje!$J$10:$J$29,0)),"")</f>
        <v/>
      </c>
      <c r="AT893" s="50" t="str">
        <f aca="false">IF($Q893&lt;&gt;"",$Q893,$AS893)</f>
        <v/>
      </c>
    </row>
    <row r="894" customFormat="false" ht="16.5" hidden="false" customHeight="true" outlineLevel="0" collapsed="false">
      <c r="A894" s="39" t="str">
        <f aca="false">IF($F894="","",ROW())</f>
        <v/>
      </c>
      <c r="B894" s="40" t="str">
        <f aca="false">IF($F894="",IF($D894="","","Falta a atividade"),IF($R894="Cancelada","Cancelada",IF($AB894=1,IF(N($Z894)&gt;0,"Concluída com atraso","Concluída"),IF($R894="Em programação","Em programação",IF($O894="",IF($M894="","Na carteira","Falta a semana"),IF($AC894=1,"VENCIDA",IF($O894&gt;Hoje!$L$1,"Programada",IF($P894&gt;Hoje!$L$1,"Em execução","Fecha hoje"))))))))</f>
        <v/>
      </c>
      <c r="C894" s="41"/>
      <c r="D894" s="42"/>
      <c r="E894" s="42"/>
      <c r="F894" s="42"/>
      <c r="G894" s="43"/>
      <c r="H894" s="43"/>
      <c r="I894" s="44"/>
      <c r="J894" s="44"/>
      <c r="K894" s="44"/>
      <c r="L894" s="45"/>
      <c r="M894" s="46"/>
      <c r="N894" s="45"/>
      <c r="O894" s="47" t="str">
        <f aca="false">IF(OR($L894="",$M894=""),"",(DATE(Semana!$J$3,1,4)-WEEKDAY(DATE(Semana!$J$3,1,4),3))+($L894-1)*7+MATCH($M894,Listas!$F$5:$F$11,0)-1)</f>
        <v/>
      </c>
      <c r="P894" s="47" t="str">
        <f aca="false">IF(OR($F894="",$O894=""),"",$O894+MAX(0,ROUNDUP($AK894*MAX(1,IF($N894="",1,$N894))/MAX(1,$AL894),0)-1))</f>
        <v/>
      </c>
      <c r="Q894" s="48"/>
      <c r="R894" s="43"/>
      <c r="S894" s="49"/>
      <c r="T894" s="42"/>
      <c r="U894" s="42"/>
      <c r="V894" s="39" t="str">
        <f aca="false">IF($F894="","",IF(ISNUMBER(SEARCH("(externo)",$I894&amp;$J894&amp;$K894)),"Terceirizada","Interna"))</f>
        <v/>
      </c>
      <c r="W894" s="47" t="str">
        <f aca="false">IF($O894="","",IF($S894="",$O894,(DATE(Semana!$J$3,1,4)-WEEKDAY(DATE(Semana!$J$3,1,4),3))+($S894-1)*7+IF($M894="",0,MATCH($M894,Listas!$F$5:$F$11,0)-1)))</f>
        <v/>
      </c>
      <c r="X894" s="39" t="str">
        <f aca="false">IF($F894="","",IF(OR($AT894="",$O894=""),0,IF($AT894&lt;=$O894,1,0)))</f>
        <v/>
      </c>
      <c r="Y894" s="39" t="str">
        <f aca="false">IF($F894="","",IF(OR($AT894="",$W894=""),0,IF($AT894&lt;=$W894,1,0)))</f>
        <v/>
      </c>
      <c r="Z894" s="39" t="str">
        <f aca="false">IF(OR($AT894="",$O894=""),"",MAX(0,$AT894-$O894))</f>
        <v/>
      </c>
      <c r="AA894" s="39" t="str">
        <f aca="false">IF($F894="","",IF(AND($S894&lt;&gt;"",$L894&lt;&gt;"",$S894&lt;&gt;$L894),1,0))</f>
        <v/>
      </c>
      <c r="AB894" s="39" t="str">
        <f aca="false">IF($F894="","",IF($R894="Cancelada",0,IF(OR($AT894&lt;&gt;"",$R894="Concluída"),1,0)))</f>
        <v/>
      </c>
      <c r="AC894" s="39" t="n">
        <f aca="false">IF($P894="",0,IF($P894&lt;Hoje!$L$1,1,IF(AND($P894=Hoje!$L$1,Hoje!$L$2&gt;Semana!$M$3),1,0)))</f>
        <v>0</v>
      </c>
      <c r="AD894" s="39" t="str">
        <f aca="false">IF($F894="","",IF(COUNTA($I894:$K894)=0,0,1/COUNTA($I894:$K894)))</f>
        <v/>
      </c>
      <c r="AE894" s="39" t="str">
        <f aca="false">IF($AH894=0,"",SUM($AH$4:$AH894))</f>
        <v/>
      </c>
      <c r="AF894" s="39" t="str">
        <f aca="false">IF($AI894=0,"",SUM($AI$4:$AI894))</f>
        <v/>
      </c>
      <c r="AG894" s="50" t="str">
        <f aca="false">IF($F894="","",$I894&amp;IF($J894="",""," · "&amp;$J894)&amp;IF($K894="",""," · "&amp;$K894))</f>
        <v/>
      </c>
      <c r="AH894" s="39" t="n">
        <f aca="false">IF(AND($F894&lt;&gt;"",$O894&lt;&gt;"",$O894&lt;=Hoje!$C$3,$P894&gt;=Hoje!$C$3,$R894&lt;&gt;"Cancelada"),1,0)</f>
        <v>0</v>
      </c>
      <c r="AI894" s="39" t="n">
        <f aca="false">IF(AND($F894&lt;&gt;"",$P894&lt;&gt;"",$P894&lt;Hoje!$C$3,$AB894=0,$R894&lt;&gt;"Cancelada"),1,0)</f>
        <v>0</v>
      </c>
      <c r="AJ894" s="50" t="str">
        <f aca="false">IF($F894="","",$D894&amp;"|"&amp;$E894&amp;"|"&amp;$L894)</f>
        <v/>
      </c>
      <c r="AK894" s="39" t="str">
        <f aca="false">IF($AJ894="","",COUNTIF($AJ$4:$AJ894,$AJ894))</f>
        <v/>
      </c>
      <c r="AL894" s="39" t="str">
        <f aca="false">IF($AJ894="","",COUNTIF($AJ$4:$AJ$1004,$AJ894))</f>
        <v/>
      </c>
      <c r="AM894" s="42"/>
      <c r="AN894" s="50" t="str">
        <f aca="false">IF($D894="","",IFERROR(T(VLOOKUP($D894,Listas!$B$5:$H$120,7,0)),""))</f>
        <v/>
      </c>
      <c r="AO894" s="50" t="str">
        <f aca="false">IF(OR($F894="",$L894&lt;&gt;"",$R894="Cancelada",$AT894&lt;&gt;""),"",$AN894&amp;"|"&amp;$D894&amp;"|"&amp;IF($C894="","zzz",$C894)&amp;"|"&amp;TEXT(894,"0000"))</f>
        <v/>
      </c>
      <c r="AP894" s="50" t="str">
        <f aca="false">IF($AO894="","",COUNTIF($AO$5:$AO$1004,"&lt;"&amp;$AO894)-(ROWS($AO$5:$AO$1004)-Hoje!$L$5)+1)</f>
        <v/>
      </c>
      <c r="AQ894" s="50" t="n">
        <f aca="false">IF(AND($F894&lt;&gt;"",$D894=Frota!$C$3),1,0)</f>
        <v>0</v>
      </c>
      <c r="AR894" s="50" t="str">
        <f aca="false">IF($AQ894=0,"",SUM($AQ$4:$AQ894))</f>
        <v/>
      </c>
      <c r="AS894" s="50" t="str">
        <f aca="false">IFERROR(INDEX(Hoje!$K$10:$K$29,MATCH(ROW(),Hoje!$J$10:$J$29,0)),"")</f>
        <v/>
      </c>
      <c r="AT894" s="50" t="str">
        <f aca="false">IF($Q894&lt;&gt;"",$Q894,$AS894)</f>
        <v/>
      </c>
    </row>
    <row r="895" customFormat="false" ht="16.5" hidden="false" customHeight="true" outlineLevel="0" collapsed="false">
      <c r="A895" s="39" t="str">
        <f aca="false">IF($F895="","",ROW())</f>
        <v/>
      </c>
      <c r="B895" s="40" t="str">
        <f aca="false">IF($F895="",IF($D895="","","Falta a atividade"),IF($R895="Cancelada","Cancelada",IF($AB895=1,IF(N($Z895)&gt;0,"Concluída com atraso","Concluída"),IF($R895="Em programação","Em programação",IF($O895="",IF($M895="","Na carteira","Falta a semana"),IF($AC895=1,"VENCIDA",IF($O895&gt;Hoje!$L$1,"Programada",IF($P895&gt;Hoje!$L$1,"Em execução","Fecha hoje"))))))))</f>
        <v/>
      </c>
      <c r="C895" s="41"/>
      <c r="D895" s="42"/>
      <c r="E895" s="42"/>
      <c r="F895" s="42"/>
      <c r="G895" s="43"/>
      <c r="H895" s="43"/>
      <c r="I895" s="44"/>
      <c r="J895" s="44"/>
      <c r="K895" s="44"/>
      <c r="L895" s="45"/>
      <c r="M895" s="46"/>
      <c r="N895" s="45"/>
      <c r="O895" s="47" t="str">
        <f aca="false">IF(OR($L895="",$M895=""),"",(DATE(Semana!$J$3,1,4)-WEEKDAY(DATE(Semana!$J$3,1,4),3))+($L895-1)*7+MATCH($M895,Listas!$F$5:$F$11,0)-1)</f>
        <v/>
      </c>
      <c r="P895" s="47" t="str">
        <f aca="false">IF(OR($F895="",$O895=""),"",$O895+MAX(0,ROUNDUP($AK895*MAX(1,IF($N895="",1,$N895))/MAX(1,$AL895),0)-1))</f>
        <v/>
      </c>
      <c r="Q895" s="48"/>
      <c r="R895" s="43"/>
      <c r="S895" s="49"/>
      <c r="T895" s="42"/>
      <c r="U895" s="42"/>
      <c r="V895" s="39" t="str">
        <f aca="false">IF($F895="","",IF(ISNUMBER(SEARCH("(externo)",$I895&amp;$J895&amp;$K895)),"Terceirizada","Interna"))</f>
        <v/>
      </c>
      <c r="W895" s="47" t="str">
        <f aca="false">IF($O895="","",IF($S895="",$O895,(DATE(Semana!$J$3,1,4)-WEEKDAY(DATE(Semana!$J$3,1,4),3))+($S895-1)*7+IF($M895="",0,MATCH($M895,Listas!$F$5:$F$11,0)-1)))</f>
        <v/>
      </c>
      <c r="X895" s="39" t="str">
        <f aca="false">IF($F895="","",IF(OR($AT895="",$O895=""),0,IF($AT895&lt;=$O895,1,0)))</f>
        <v/>
      </c>
      <c r="Y895" s="39" t="str">
        <f aca="false">IF($F895="","",IF(OR($AT895="",$W895=""),0,IF($AT895&lt;=$W895,1,0)))</f>
        <v/>
      </c>
      <c r="Z895" s="39" t="str">
        <f aca="false">IF(OR($AT895="",$O895=""),"",MAX(0,$AT895-$O895))</f>
        <v/>
      </c>
      <c r="AA895" s="39" t="str">
        <f aca="false">IF($F895="","",IF(AND($S895&lt;&gt;"",$L895&lt;&gt;"",$S895&lt;&gt;$L895),1,0))</f>
        <v/>
      </c>
      <c r="AB895" s="39" t="str">
        <f aca="false">IF($F895="","",IF($R895="Cancelada",0,IF(OR($AT895&lt;&gt;"",$R895="Concluída"),1,0)))</f>
        <v/>
      </c>
      <c r="AC895" s="39" t="n">
        <f aca="false">IF($P895="",0,IF($P895&lt;Hoje!$L$1,1,IF(AND($P895=Hoje!$L$1,Hoje!$L$2&gt;Semana!$M$3),1,0)))</f>
        <v>0</v>
      </c>
      <c r="AD895" s="39" t="str">
        <f aca="false">IF($F895="","",IF(COUNTA($I895:$K895)=0,0,1/COUNTA($I895:$K895)))</f>
        <v/>
      </c>
      <c r="AE895" s="39" t="str">
        <f aca="false">IF($AH895=0,"",SUM($AH$4:$AH895))</f>
        <v/>
      </c>
      <c r="AF895" s="39" t="str">
        <f aca="false">IF($AI895=0,"",SUM($AI$4:$AI895))</f>
        <v/>
      </c>
      <c r="AG895" s="50" t="str">
        <f aca="false">IF($F895="","",$I895&amp;IF($J895="",""," · "&amp;$J895)&amp;IF($K895="",""," · "&amp;$K895))</f>
        <v/>
      </c>
      <c r="AH895" s="39" t="n">
        <f aca="false">IF(AND($F895&lt;&gt;"",$O895&lt;&gt;"",$O895&lt;=Hoje!$C$3,$P895&gt;=Hoje!$C$3,$R895&lt;&gt;"Cancelada"),1,0)</f>
        <v>0</v>
      </c>
      <c r="AI895" s="39" t="n">
        <f aca="false">IF(AND($F895&lt;&gt;"",$P895&lt;&gt;"",$P895&lt;Hoje!$C$3,$AB895=0,$R895&lt;&gt;"Cancelada"),1,0)</f>
        <v>0</v>
      </c>
      <c r="AJ895" s="50" t="str">
        <f aca="false">IF($F895="","",$D895&amp;"|"&amp;$E895&amp;"|"&amp;$L895)</f>
        <v/>
      </c>
      <c r="AK895" s="39" t="str">
        <f aca="false">IF($AJ895="","",COUNTIF($AJ$4:$AJ895,$AJ895))</f>
        <v/>
      </c>
      <c r="AL895" s="39" t="str">
        <f aca="false">IF($AJ895="","",COUNTIF($AJ$4:$AJ$1004,$AJ895))</f>
        <v/>
      </c>
      <c r="AM895" s="42"/>
      <c r="AN895" s="50" t="str">
        <f aca="false">IF($D895="","",IFERROR(T(VLOOKUP($D895,Listas!$B$5:$H$120,7,0)),""))</f>
        <v/>
      </c>
      <c r="AO895" s="50" t="str">
        <f aca="false">IF(OR($F895="",$L895&lt;&gt;"",$R895="Cancelada",$AT895&lt;&gt;""),"",$AN895&amp;"|"&amp;$D895&amp;"|"&amp;IF($C895="","zzz",$C895)&amp;"|"&amp;TEXT(895,"0000"))</f>
        <v/>
      </c>
      <c r="AP895" s="50" t="str">
        <f aca="false">IF($AO895="","",COUNTIF($AO$5:$AO$1004,"&lt;"&amp;$AO895)-(ROWS($AO$5:$AO$1004)-Hoje!$L$5)+1)</f>
        <v/>
      </c>
      <c r="AQ895" s="50" t="n">
        <f aca="false">IF(AND($F895&lt;&gt;"",$D895=Frota!$C$3),1,0)</f>
        <v>0</v>
      </c>
      <c r="AR895" s="50" t="str">
        <f aca="false">IF($AQ895=0,"",SUM($AQ$4:$AQ895))</f>
        <v/>
      </c>
      <c r="AS895" s="50" t="str">
        <f aca="false">IFERROR(INDEX(Hoje!$K$10:$K$29,MATCH(ROW(),Hoje!$J$10:$J$29,0)),"")</f>
        <v/>
      </c>
      <c r="AT895" s="50" t="str">
        <f aca="false">IF($Q895&lt;&gt;"",$Q895,$AS895)</f>
        <v/>
      </c>
    </row>
    <row r="896" customFormat="false" ht="16.5" hidden="false" customHeight="true" outlineLevel="0" collapsed="false">
      <c r="A896" s="39" t="str">
        <f aca="false">IF($F896="","",ROW())</f>
        <v/>
      </c>
      <c r="B896" s="40" t="str">
        <f aca="false">IF($F896="",IF($D896="","","Falta a atividade"),IF($R896="Cancelada","Cancelada",IF($AB896=1,IF(N($Z896)&gt;0,"Concluída com atraso","Concluída"),IF($R896="Em programação","Em programação",IF($O896="",IF($M896="","Na carteira","Falta a semana"),IF($AC896=1,"VENCIDA",IF($O896&gt;Hoje!$L$1,"Programada",IF($P896&gt;Hoje!$L$1,"Em execução","Fecha hoje"))))))))</f>
        <v/>
      </c>
      <c r="C896" s="41"/>
      <c r="D896" s="42"/>
      <c r="E896" s="42"/>
      <c r="F896" s="42"/>
      <c r="G896" s="43"/>
      <c r="H896" s="43"/>
      <c r="I896" s="44"/>
      <c r="J896" s="44"/>
      <c r="K896" s="44"/>
      <c r="L896" s="45"/>
      <c r="M896" s="46"/>
      <c r="N896" s="45"/>
      <c r="O896" s="47" t="str">
        <f aca="false">IF(OR($L896="",$M896=""),"",(DATE(Semana!$J$3,1,4)-WEEKDAY(DATE(Semana!$J$3,1,4),3))+($L896-1)*7+MATCH($M896,Listas!$F$5:$F$11,0)-1)</f>
        <v/>
      </c>
      <c r="P896" s="47" t="str">
        <f aca="false">IF(OR($F896="",$O896=""),"",$O896+MAX(0,ROUNDUP($AK896*MAX(1,IF($N896="",1,$N896))/MAX(1,$AL896),0)-1))</f>
        <v/>
      </c>
      <c r="Q896" s="48"/>
      <c r="R896" s="43"/>
      <c r="S896" s="49"/>
      <c r="T896" s="42"/>
      <c r="U896" s="42"/>
      <c r="V896" s="39" t="str">
        <f aca="false">IF($F896="","",IF(ISNUMBER(SEARCH("(externo)",$I896&amp;$J896&amp;$K896)),"Terceirizada","Interna"))</f>
        <v/>
      </c>
      <c r="W896" s="47" t="str">
        <f aca="false">IF($O896="","",IF($S896="",$O896,(DATE(Semana!$J$3,1,4)-WEEKDAY(DATE(Semana!$J$3,1,4),3))+($S896-1)*7+IF($M896="",0,MATCH($M896,Listas!$F$5:$F$11,0)-1)))</f>
        <v/>
      </c>
      <c r="X896" s="39" t="str">
        <f aca="false">IF($F896="","",IF(OR($AT896="",$O896=""),0,IF($AT896&lt;=$O896,1,0)))</f>
        <v/>
      </c>
      <c r="Y896" s="39" t="str">
        <f aca="false">IF($F896="","",IF(OR($AT896="",$W896=""),0,IF($AT896&lt;=$W896,1,0)))</f>
        <v/>
      </c>
      <c r="Z896" s="39" t="str">
        <f aca="false">IF(OR($AT896="",$O896=""),"",MAX(0,$AT896-$O896))</f>
        <v/>
      </c>
      <c r="AA896" s="39" t="str">
        <f aca="false">IF($F896="","",IF(AND($S896&lt;&gt;"",$L896&lt;&gt;"",$S896&lt;&gt;$L896),1,0))</f>
        <v/>
      </c>
      <c r="AB896" s="39" t="str">
        <f aca="false">IF($F896="","",IF($R896="Cancelada",0,IF(OR($AT896&lt;&gt;"",$R896="Concluída"),1,0)))</f>
        <v/>
      </c>
      <c r="AC896" s="39" t="n">
        <f aca="false">IF($P896="",0,IF($P896&lt;Hoje!$L$1,1,IF(AND($P896=Hoje!$L$1,Hoje!$L$2&gt;Semana!$M$3),1,0)))</f>
        <v>0</v>
      </c>
      <c r="AD896" s="39" t="str">
        <f aca="false">IF($F896="","",IF(COUNTA($I896:$K896)=0,0,1/COUNTA($I896:$K896)))</f>
        <v/>
      </c>
      <c r="AE896" s="39" t="str">
        <f aca="false">IF($AH896=0,"",SUM($AH$4:$AH896))</f>
        <v/>
      </c>
      <c r="AF896" s="39" t="str">
        <f aca="false">IF($AI896=0,"",SUM($AI$4:$AI896))</f>
        <v/>
      </c>
      <c r="AG896" s="50" t="str">
        <f aca="false">IF($F896="","",$I896&amp;IF($J896="",""," · "&amp;$J896)&amp;IF($K896="",""," · "&amp;$K896))</f>
        <v/>
      </c>
      <c r="AH896" s="39" t="n">
        <f aca="false">IF(AND($F896&lt;&gt;"",$O896&lt;&gt;"",$O896&lt;=Hoje!$C$3,$P896&gt;=Hoje!$C$3,$R896&lt;&gt;"Cancelada"),1,0)</f>
        <v>0</v>
      </c>
      <c r="AI896" s="39" t="n">
        <f aca="false">IF(AND($F896&lt;&gt;"",$P896&lt;&gt;"",$P896&lt;Hoje!$C$3,$AB896=0,$R896&lt;&gt;"Cancelada"),1,0)</f>
        <v>0</v>
      </c>
      <c r="AJ896" s="50" t="str">
        <f aca="false">IF($F896="","",$D896&amp;"|"&amp;$E896&amp;"|"&amp;$L896)</f>
        <v/>
      </c>
      <c r="AK896" s="39" t="str">
        <f aca="false">IF($AJ896="","",COUNTIF($AJ$4:$AJ896,$AJ896))</f>
        <v/>
      </c>
      <c r="AL896" s="39" t="str">
        <f aca="false">IF($AJ896="","",COUNTIF($AJ$4:$AJ$1004,$AJ896))</f>
        <v/>
      </c>
      <c r="AM896" s="42"/>
      <c r="AN896" s="50" t="str">
        <f aca="false">IF($D896="","",IFERROR(T(VLOOKUP($D896,Listas!$B$5:$H$120,7,0)),""))</f>
        <v/>
      </c>
      <c r="AO896" s="50" t="str">
        <f aca="false">IF(OR($F896="",$L896&lt;&gt;"",$R896="Cancelada",$AT896&lt;&gt;""),"",$AN896&amp;"|"&amp;$D896&amp;"|"&amp;IF($C896="","zzz",$C896)&amp;"|"&amp;TEXT(896,"0000"))</f>
        <v/>
      </c>
      <c r="AP896" s="50" t="str">
        <f aca="false">IF($AO896="","",COUNTIF($AO$5:$AO$1004,"&lt;"&amp;$AO896)-(ROWS($AO$5:$AO$1004)-Hoje!$L$5)+1)</f>
        <v/>
      </c>
      <c r="AQ896" s="50" t="n">
        <f aca="false">IF(AND($F896&lt;&gt;"",$D896=Frota!$C$3),1,0)</f>
        <v>0</v>
      </c>
      <c r="AR896" s="50" t="str">
        <f aca="false">IF($AQ896=0,"",SUM($AQ$4:$AQ896))</f>
        <v/>
      </c>
      <c r="AS896" s="50" t="str">
        <f aca="false">IFERROR(INDEX(Hoje!$K$10:$K$29,MATCH(ROW(),Hoje!$J$10:$J$29,0)),"")</f>
        <v/>
      </c>
      <c r="AT896" s="50" t="str">
        <f aca="false">IF($Q896&lt;&gt;"",$Q896,$AS896)</f>
        <v/>
      </c>
    </row>
    <row r="897" customFormat="false" ht="16.5" hidden="false" customHeight="true" outlineLevel="0" collapsed="false">
      <c r="A897" s="39" t="str">
        <f aca="false">IF($F897="","",ROW())</f>
        <v/>
      </c>
      <c r="B897" s="40" t="str">
        <f aca="false">IF($F897="",IF($D897="","","Falta a atividade"),IF($R897="Cancelada","Cancelada",IF($AB897=1,IF(N($Z897)&gt;0,"Concluída com atraso","Concluída"),IF($R897="Em programação","Em programação",IF($O897="",IF($M897="","Na carteira","Falta a semana"),IF($AC897=1,"VENCIDA",IF($O897&gt;Hoje!$L$1,"Programada",IF($P897&gt;Hoje!$L$1,"Em execução","Fecha hoje"))))))))</f>
        <v/>
      </c>
      <c r="C897" s="41"/>
      <c r="D897" s="42"/>
      <c r="E897" s="42"/>
      <c r="F897" s="42"/>
      <c r="G897" s="43"/>
      <c r="H897" s="43"/>
      <c r="I897" s="44"/>
      <c r="J897" s="44"/>
      <c r="K897" s="44"/>
      <c r="L897" s="45"/>
      <c r="M897" s="46"/>
      <c r="N897" s="45"/>
      <c r="O897" s="47" t="str">
        <f aca="false">IF(OR($L897="",$M897=""),"",(DATE(Semana!$J$3,1,4)-WEEKDAY(DATE(Semana!$J$3,1,4),3))+($L897-1)*7+MATCH($M897,Listas!$F$5:$F$11,0)-1)</f>
        <v/>
      </c>
      <c r="P897" s="47" t="str">
        <f aca="false">IF(OR($F897="",$O897=""),"",$O897+MAX(0,ROUNDUP($AK897*MAX(1,IF($N897="",1,$N897))/MAX(1,$AL897),0)-1))</f>
        <v/>
      </c>
      <c r="Q897" s="48"/>
      <c r="R897" s="43"/>
      <c r="S897" s="49"/>
      <c r="T897" s="42"/>
      <c r="U897" s="42"/>
      <c r="V897" s="39" t="str">
        <f aca="false">IF($F897="","",IF(ISNUMBER(SEARCH("(externo)",$I897&amp;$J897&amp;$K897)),"Terceirizada","Interna"))</f>
        <v/>
      </c>
      <c r="W897" s="47" t="str">
        <f aca="false">IF($O897="","",IF($S897="",$O897,(DATE(Semana!$J$3,1,4)-WEEKDAY(DATE(Semana!$J$3,1,4),3))+($S897-1)*7+IF($M897="",0,MATCH($M897,Listas!$F$5:$F$11,0)-1)))</f>
        <v/>
      </c>
      <c r="X897" s="39" t="str">
        <f aca="false">IF($F897="","",IF(OR($AT897="",$O897=""),0,IF($AT897&lt;=$O897,1,0)))</f>
        <v/>
      </c>
      <c r="Y897" s="39" t="str">
        <f aca="false">IF($F897="","",IF(OR($AT897="",$W897=""),0,IF($AT897&lt;=$W897,1,0)))</f>
        <v/>
      </c>
      <c r="Z897" s="39" t="str">
        <f aca="false">IF(OR($AT897="",$O897=""),"",MAX(0,$AT897-$O897))</f>
        <v/>
      </c>
      <c r="AA897" s="39" t="str">
        <f aca="false">IF($F897="","",IF(AND($S897&lt;&gt;"",$L897&lt;&gt;"",$S897&lt;&gt;$L897),1,0))</f>
        <v/>
      </c>
      <c r="AB897" s="39" t="str">
        <f aca="false">IF($F897="","",IF($R897="Cancelada",0,IF(OR($AT897&lt;&gt;"",$R897="Concluída"),1,0)))</f>
        <v/>
      </c>
      <c r="AC897" s="39" t="n">
        <f aca="false">IF($P897="",0,IF($P897&lt;Hoje!$L$1,1,IF(AND($P897=Hoje!$L$1,Hoje!$L$2&gt;Semana!$M$3),1,0)))</f>
        <v>0</v>
      </c>
      <c r="AD897" s="39" t="str">
        <f aca="false">IF($F897="","",IF(COUNTA($I897:$K897)=0,0,1/COUNTA($I897:$K897)))</f>
        <v/>
      </c>
      <c r="AE897" s="39" t="str">
        <f aca="false">IF($AH897=0,"",SUM($AH$4:$AH897))</f>
        <v/>
      </c>
      <c r="AF897" s="39" t="str">
        <f aca="false">IF($AI897=0,"",SUM($AI$4:$AI897))</f>
        <v/>
      </c>
      <c r="AG897" s="50" t="str">
        <f aca="false">IF($F897="","",$I897&amp;IF($J897="",""," · "&amp;$J897)&amp;IF($K897="",""," · "&amp;$K897))</f>
        <v/>
      </c>
      <c r="AH897" s="39" t="n">
        <f aca="false">IF(AND($F897&lt;&gt;"",$O897&lt;&gt;"",$O897&lt;=Hoje!$C$3,$P897&gt;=Hoje!$C$3,$R897&lt;&gt;"Cancelada"),1,0)</f>
        <v>0</v>
      </c>
      <c r="AI897" s="39" t="n">
        <f aca="false">IF(AND($F897&lt;&gt;"",$P897&lt;&gt;"",$P897&lt;Hoje!$C$3,$AB897=0,$R897&lt;&gt;"Cancelada"),1,0)</f>
        <v>0</v>
      </c>
      <c r="AJ897" s="50" t="str">
        <f aca="false">IF($F897="","",$D897&amp;"|"&amp;$E897&amp;"|"&amp;$L897)</f>
        <v/>
      </c>
      <c r="AK897" s="39" t="str">
        <f aca="false">IF($AJ897="","",COUNTIF($AJ$4:$AJ897,$AJ897))</f>
        <v/>
      </c>
      <c r="AL897" s="39" t="str">
        <f aca="false">IF($AJ897="","",COUNTIF($AJ$4:$AJ$1004,$AJ897))</f>
        <v/>
      </c>
      <c r="AM897" s="42"/>
      <c r="AN897" s="50" t="str">
        <f aca="false">IF($D897="","",IFERROR(T(VLOOKUP($D897,Listas!$B$5:$H$120,7,0)),""))</f>
        <v/>
      </c>
      <c r="AO897" s="50" t="str">
        <f aca="false">IF(OR($F897="",$L897&lt;&gt;"",$R897="Cancelada",$AT897&lt;&gt;""),"",$AN897&amp;"|"&amp;$D897&amp;"|"&amp;IF($C897="","zzz",$C897)&amp;"|"&amp;TEXT(897,"0000"))</f>
        <v/>
      </c>
      <c r="AP897" s="50" t="str">
        <f aca="false">IF($AO897="","",COUNTIF($AO$5:$AO$1004,"&lt;"&amp;$AO897)-(ROWS($AO$5:$AO$1004)-Hoje!$L$5)+1)</f>
        <v/>
      </c>
      <c r="AQ897" s="50" t="n">
        <f aca="false">IF(AND($F897&lt;&gt;"",$D897=Frota!$C$3),1,0)</f>
        <v>0</v>
      </c>
      <c r="AR897" s="50" t="str">
        <f aca="false">IF($AQ897=0,"",SUM($AQ$4:$AQ897))</f>
        <v/>
      </c>
      <c r="AS897" s="50" t="str">
        <f aca="false">IFERROR(INDEX(Hoje!$K$10:$K$29,MATCH(ROW(),Hoje!$J$10:$J$29,0)),"")</f>
        <v/>
      </c>
      <c r="AT897" s="50" t="str">
        <f aca="false">IF($Q897&lt;&gt;"",$Q897,$AS897)</f>
        <v/>
      </c>
    </row>
    <row r="898" customFormat="false" ht="16.5" hidden="false" customHeight="true" outlineLevel="0" collapsed="false">
      <c r="A898" s="39" t="str">
        <f aca="false">IF($F898="","",ROW())</f>
        <v/>
      </c>
      <c r="B898" s="40" t="str">
        <f aca="false">IF($F898="",IF($D898="","","Falta a atividade"),IF($R898="Cancelada","Cancelada",IF($AB898=1,IF(N($Z898)&gt;0,"Concluída com atraso","Concluída"),IF($R898="Em programação","Em programação",IF($O898="",IF($M898="","Na carteira","Falta a semana"),IF($AC898=1,"VENCIDA",IF($O898&gt;Hoje!$L$1,"Programada",IF($P898&gt;Hoje!$L$1,"Em execução","Fecha hoje"))))))))</f>
        <v/>
      </c>
      <c r="C898" s="41"/>
      <c r="D898" s="42"/>
      <c r="E898" s="42"/>
      <c r="F898" s="42"/>
      <c r="G898" s="43"/>
      <c r="H898" s="43"/>
      <c r="I898" s="44"/>
      <c r="J898" s="44"/>
      <c r="K898" s="44"/>
      <c r="L898" s="45"/>
      <c r="M898" s="46"/>
      <c r="N898" s="45"/>
      <c r="O898" s="47" t="str">
        <f aca="false">IF(OR($L898="",$M898=""),"",(DATE(Semana!$J$3,1,4)-WEEKDAY(DATE(Semana!$J$3,1,4),3))+($L898-1)*7+MATCH($M898,Listas!$F$5:$F$11,0)-1)</f>
        <v/>
      </c>
      <c r="P898" s="47" t="str">
        <f aca="false">IF(OR($F898="",$O898=""),"",$O898+MAX(0,ROUNDUP($AK898*MAX(1,IF($N898="",1,$N898))/MAX(1,$AL898),0)-1))</f>
        <v/>
      </c>
      <c r="Q898" s="48"/>
      <c r="R898" s="43"/>
      <c r="S898" s="49"/>
      <c r="T898" s="42"/>
      <c r="U898" s="42"/>
      <c r="V898" s="39" t="str">
        <f aca="false">IF($F898="","",IF(ISNUMBER(SEARCH("(externo)",$I898&amp;$J898&amp;$K898)),"Terceirizada","Interna"))</f>
        <v/>
      </c>
      <c r="W898" s="47" t="str">
        <f aca="false">IF($O898="","",IF($S898="",$O898,(DATE(Semana!$J$3,1,4)-WEEKDAY(DATE(Semana!$J$3,1,4),3))+($S898-1)*7+IF($M898="",0,MATCH($M898,Listas!$F$5:$F$11,0)-1)))</f>
        <v/>
      </c>
      <c r="X898" s="39" t="str">
        <f aca="false">IF($F898="","",IF(OR($AT898="",$O898=""),0,IF($AT898&lt;=$O898,1,0)))</f>
        <v/>
      </c>
      <c r="Y898" s="39" t="str">
        <f aca="false">IF($F898="","",IF(OR($AT898="",$W898=""),0,IF($AT898&lt;=$W898,1,0)))</f>
        <v/>
      </c>
      <c r="Z898" s="39" t="str">
        <f aca="false">IF(OR($AT898="",$O898=""),"",MAX(0,$AT898-$O898))</f>
        <v/>
      </c>
      <c r="AA898" s="39" t="str">
        <f aca="false">IF($F898="","",IF(AND($S898&lt;&gt;"",$L898&lt;&gt;"",$S898&lt;&gt;$L898),1,0))</f>
        <v/>
      </c>
      <c r="AB898" s="39" t="str">
        <f aca="false">IF($F898="","",IF($R898="Cancelada",0,IF(OR($AT898&lt;&gt;"",$R898="Concluída"),1,0)))</f>
        <v/>
      </c>
      <c r="AC898" s="39" t="n">
        <f aca="false">IF($P898="",0,IF($P898&lt;Hoje!$L$1,1,IF(AND($P898=Hoje!$L$1,Hoje!$L$2&gt;Semana!$M$3),1,0)))</f>
        <v>0</v>
      </c>
      <c r="AD898" s="39" t="str">
        <f aca="false">IF($F898="","",IF(COUNTA($I898:$K898)=0,0,1/COUNTA($I898:$K898)))</f>
        <v/>
      </c>
      <c r="AE898" s="39" t="str">
        <f aca="false">IF($AH898=0,"",SUM($AH$4:$AH898))</f>
        <v/>
      </c>
      <c r="AF898" s="39" t="str">
        <f aca="false">IF($AI898=0,"",SUM($AI$4:$AI898))</f>
        <v/>
      </c>
      <c r="AG898" s="50" t="str">
        <f aca="false">IF($F898="","",$I898&amp;IF($J898="",""," · "&amp;$J898)&amp;IF($K898="",""," · "&amp;$K898))</f>
        <v/>
      </c>
      <c r="AH898" s="39" t="n">
        <f aca="false">IF(AND($F898&lt;&gt;"",$O898&lt;&gt;"",$O898&lt;=Hoje!$C$3,$P898&gt;=Hoje!$C$3,$R898&lt;&gt;"Cancelada"),1,0)</f>
        <v>0</v>
      </c>
      <c r="AI898" s="39" t="n">
        <f aca="false">IF(AND($F898&lt;&gt;"",$P898&lt;&gt;"",$P898&lt;Hoje!$C$3,$AB898=0,$R898&lt;&gt;"Cancelada"),1,0)</f>
        <v>0</v>
      </c>
      <c r="AJ898" s="50" t="str">
        <f aca="false">IF($F898="","",$D898&amp;"|"&amp;$E898&amp;"|"&amp;$L898)</f>
        <v/>
      </c>
      <c r="AK898" s="39" t="str">
        <f aca="false">IF($AJ898="","",COUNTIF($AJ$4:$AJ898,$AJ898))</f>
        <v/>
      </c>
      <c r="AL898" s="39" t="str">
        <f aca="false">IF($AJ898="","",COUNTIF($AJ$4:$AJ$1004,$AJ898))</f>
        <v/>
      </c>
      <c r="AM898" s="42"/>
      <c r="AN898" s="50" t="str">
        <f aca="false">IF($D898="","",IFERROR(T(VLOOKUP($D898,Listas!$B$5:$H$120,7,0)),""))</f>
        <v/>
      </c>
      <c r="AO898" s="50" t="str">
        <f aca="false">IF(OR($F898="",$L898&lt;&gt;"",$R898="Cancelada",$AT898&lt;&gt;""),"",$AN898&amp;"|"&amp;$D898&amp;"|"&amp;IF($C898="","zzz",$C898)&amp;"|"&amp;TEXT(898,"0000"))</f>
        <v/>
      </c>
      <c r="AP898" s="50" t="str">
        <f aca="false">IF($AO898="","",COUNTIF($AO$5:$AO$1004,"&lt;"&amp;$AO898)-(ROWS($AO$5:$AO$1004)-Hoje!$L$5)+1)</f>
        <v/>
      </c>
      <c r="AQ898" s="50" t="n">
        <f aca="false">IF(AND($F898&lt;&gt;"",$D898=Frota!$C$3),1,0)</f>
        <v>0</v>
      </c>
      <c r="AR898" s="50" t="str">
        <f aca="false">IF($AQ898=0,"",SUM($AQ$4:$AQ898))</f>
        <v/>
      </c>
      <c r="AS898" s="50" t="str">
        <f aca="false">IFERROR(INDEX(Hoje!$K$10:$K$29,MATCH(ROW(),Hoje!$J$10:$J$29,0)),"")</f>
        <v/>
      </c>
      <c r="AT898" s="50" t="str">
        <f aca="false">IF($Q898&lt;&gt;"",$Q898,$AS898)</f>
        <v/>
      </c>
    </row>
    <row r="899" customFormat="false" ht="16.5" hidden="false" customHeight="true" outlineLevel="0" collapsed="false">
      <c r="A899" s="39" t="str">
        <f aca="false">IF($F899="","",ROW())</f>
        <v/>
      </c>
      <c r="B899" s="40" t="str">
        <f aca="false">IF($F899="",IF($D899="","","Falta a atividade"),IF($R899="Cancelada","Cancelada",IF($AB899=1,IF(N($Z899)&gt;0,"Concluída com atraso","Concluída"),IF($R899="Em programação","Em programação",IF($O899="",IF($M899="","Na carteira","Falta a semana"),IF($AC899=1,"VENCIDA",IF($O899&gt;Hoje!$L$1,"Programada",IF($P899&gt;Hoje!$L$1,"Em execução","Fecha hoje"))))))))</f>
        <v/>
      </c>
      <c r="C899" s="41"/>
      <c r="D899" s="42"/>
      <c r="E899" s="42"/>
      <c r="F899" s="42"/>
      <c r="G899" s="43"/>
      <c r="H899" s="43"/>
      <c r="I899" s="44"/>
      <c r="J899" s="44"/>
      <c r="K899" s="44"/>
      <c r="L899" s="45"/>
      <c r="M899" s="46"/>
      <c r="N899" s="45"/>
      <c r="O899" s="47" t="str">
        <f aca="false">IF(OR($L899="",$M899=""),"",(DATE(Semana!$J$3,1,4)-WEEKDAY(DATE(Semana!$J$3,1,4),3))+($L899-1)*7+MATCH($M899,Listas!$F$5:$F$11,0)-1)</f>
        <v/>
      </c>
      <c r="P899" s="47" t="str">
        <f aca="false">IF(OR($F899="",$O899=""),"",$O899+MAX(0,ROUNDUP($AK899*MAX(1,IF($N899="",1,$N899))/MAX(1,$AL899),0)-1))</f>
        <v/>
      </c>
      <c r="Q899" s="48"/>
      <c r="R899" s="43"/>
      <c r="S899" s="49"/>
      <c r="T899" s="42"/>
      <c r="U899" s="42"/>
      <c r="V899" s="39" t="str">
        <f aca="false">IF($F899="","",IF(ISNUMBER(SEARCH("(externo)",$I899&amp;$J899&amp;$K899)),"Terceirizada","Interna"))</f>
        <v/>
      </c>
      <c r="W899" s="47" t="str">
        <f aca="false">IF($O899="","",IF($S899="",$O899,(DATE(Semana!$J$3,1,4)-WEEKDAY(DATE(Semana!$J$3,1,4),3))+($S899-1)*7+IF($M899="",0,MATCH($M899,Listas!$F$5:$F$11,0)-1)))</f>
        <v/>
      </c>
      <c r="X899" s="39" t="str">
        <f aca="false">IF($F899="","",IF(OR($AT899="",$O899=""),0,IF($AT899&lt;=$O899,1,0)))</f>
        <v/>
      </c>
      <c r="Y899" s="39" t="str">
        <f aca="false">IF($F899="","",IF(OR($AT899="",$W899=""),0,IF($AT899&lt;=$W899,1,0)))</f>
        <v/>
      </c>
      <c r="Z899" s="39" t="str">
        <f aca="false">IF(OR($AT899="",$O899=""),"",MAX(0,$AT899-$O899))</f>
        <v/>
      </c>
      <c r="AA899" s="39" t="str">
        <f aca="false">IF($F899="","",IF(AND($S899&lt;&gt;"",$L899&lt;&gt;"",$S899&lt;&gt;$L899),1,0))</f>
        <v/>
      </c>
      <c r="AB899" s="39" t="str">
        <f aca="false">IF($F899="","",IF($R899="Cancelada",0,IF(OR($AT899&lt;&gt;"",$R899="Concluída"),1,0)))</f>
        <v/>
      </c>
      <c r="AC899" s="39" t="n">
        <f aca="false">IF($P899="",0,IF($P899&lt;Hoje!$L$1,1,IF(AND($P899=Hoje!$L$1,Hoje!$L$2&gt;Semana!$M$3),1,0)))</f>
        <v>0</v>
      </c>
      <c r="AD899" s="39" t="str">
        <f aca="false">IF($F899="","",IF(COUNTA($I899:$K899)=0,0,1/COUNTA($I899:$K899)))</f>
        <v/>
      </c>
      <c r="AE899" s="39" t="str">
        <f aca="false">IF($AH899=0,"",SUM($AH$4:$AH899))</f>
        <v/>
      </c>
      <c r="AF899" s="39" t="str">
        <f aca="false">IF($AI899=0,"",SUM($AI$4:$AI899))</f>
        <v/>
      </c>
      <c r="AG899" s="50" t="str">
        <f aca="false">IF($F899="","",$I899&amp;IF($J899="",""," · "&amp;$J899)&amp;IF($K899="",""," · "&amp;$K899))</f>
        <v/>
      </c>
      <c r="AH899" s="39" t="n">
        <f aca="false">IF(AND($F899&lt;&gt;"",$O899&lt;&gt;"",$O899&lt;=Hoje!$C$3,$P899&gt;=Hoje!$C$3,$R899&lt;&gt;"Cancelada"),1,0)</f>
        <v>0</v>
      </c>
      <c r="AI899" s="39" t="n">
        <f aca="false">IF(AND($F899&lt;&gt;"",$P899&lt;&gt;"",$P899&lt;Hoje!$C$3,$AB899=0,$R899&lt;&gt;"Cancelada"),1,0)</f>
        <v>0</v>
      </c>
      <c r="AJ899" s="50" t="str">
        <f aca="false">IF($F899="","",$D899&amp;"|"&amp;$E899&amp;"|"&amp;$L899)</f>
        <v/>
      </c>
      <c r="AK899" s="39" t="str">
        <f aca="false">IF($AJ899="","",COUNTIF($AJ$4:$AJ899,$AJ899))</f>
        <v/>
      </c>
      <c r="AL899" s="39" t="str">
        <f aca="false">IF($AJ899="","",COUNTIF($AJ$4:$AJ$1004,$AJ899))</f>
        <v/>
      </c>
      <c r="AM899" s="42"/>
      <c r="AN899" s="50" t="str">
        <f aca="false">IF($D899="","",IFERROR(T(VLOOKUP($D899,Listas!$B$5:$H$120,7,0)),""))</f>
        <v/>
      </c>
      <c r="AO899" s="50" t="str">
        <f aca="false">IF(OR($F899="",$L899&lt;&gt;"",$R899="Cancelada",$AT899&lt;&gt;""),"",$AN899&amp;"|"&amp;$D899&amp;"|"&amp;IF($C899="","zzz",$C899)&amp;"|"&amp;TEXT(899,"0000"))</f>
        <v/>
      </c>
      <c r="AP899" s="50" t="str">
        <f aca="false">IF($AO899="","",COUNTIF($AO$5:$AO$1004,"&lt;"&amp;$AO899)-(ROWS($AO$5:$AO$1004)-Hoje!$L$5)+1)</f>
        <v/>
      </c>
      <c r="AQ899" s="50" t="n">
        <f aca="false">IF(AND($F899&lt;&gt;"",$D899=Frota!$C$3),1,0)</f>
        <v>0</v>
      </c>
      <c r="AR899" s="50" t="str">
        <f aca="false">IF($AQ899=0,"",SUM($AQ$4:$AQ899))</f>
        <v/>
      </c>
      <c r="AS899" s="50" t="str">
        <f aca="false">IFERROR(INDEX(Hoje!$K$10:$K$29,MATCH(ROW(),Hoje!$J$10:$J$29,0)),"")</f>
        <v/>
      </c>
      <c r="AT899" s="50" t="str">
        <f aca="false">IF($Q899&lt;&gt;"",$Q899,$AS899)</f>
        <v/>
      </c>
    </row>
    <row r="900" customFormat="false" ht="16.5" hidden="false" customHeight="true" outlineLevel="0" collapsed="false">
      <c r="A900" s="39" t="str">
        <f aca="false">IF($F900="","",ROW())</f>
        <v/>
      </c>
      <c r="B900" s="40" t="str">
        <f aca="false">IF($F900="",IF($D900="","","Falta a atividade"),IF($R900="Cancelada","Cancelada",IF($AB900=1,IF(N($Z900)&gt;0,"Concluída com atraso","Concluída"),IF($R900="Em programação","Em programação",IF($O900="",IF($M900="","Na carteira","Falta a semana"),IF($AC900=1,"VENCIDA",IF($O900&gt;Hoje!$L$1,"Programada",IF($P900&gt;Hoje!$L$1,"Em execução","Fecha hoje"))))))))</f>
        <v/>
      </c>
      <c r="C900" s="41"/>
      <c r="D900" s="42"/>
      <c r="E900" s="42"/>
      <c r="F900" s="42"/>
      <c r="G900" s="43"/>
      <c r="H900" s="43"/>
      <c r="I900" s="44"/>
      <c r="J900" s="44"/>
      <c r="K900" s="44"/>
      <c r="L900" s="45"/>
      <c r="M900" s="46"/>
      <c r="N900" s="45"/>
      <c r="O900" s="47" t="str">
        <f aca="false">IF(OR($L900="",$M900=""),"",(DATE(Semana!$J$3,1,4)-WEEKDAY(DATE(Semana!$J$3,1,4),3))+($L900-1)*7+MATCH($M900,Listas!$F$5:$F$11,0)-1)</f>
        <v/>
      </c>
      <c r="P900" s="47" t="str">
        <f aca="false">IF(OR($F900="",$O900=""),"",$O900+MAX(0,ROUNDUP($AK900*MAX(1,IF($N900="",1,$N900))/MAX(1,$AL900),0)-1))</f>
        <v/>
      </c>
      <c r="Q900" s="48"/>
      <c r="R900" s="43"/>
      <c r="S900" s="49"/>
      <c r="T900" s="42"/>
      <c r="U900" s="42"/>
      <c r="V900" s="39" t="str">
        <f aca="false">IF($F900="","",IF(ISNUMBER(SEARCH("(externo)",$I900&amp;$J900&amp;$K900)),"Terceirizada","Interna"))</f>
        <v/>
      </c>
      <c r="W900" s="47" t="str">
        <f aca="false">IF($O900="","",IF($S900="",$O900,(DATE(Semana!$J$3,1,4)-WEEKDAY(DATE(Semana!$J$3,1,4),3))+($S900-1)*7+IF($M900="",0,MATCH($M900,Listas!$F$5:$F$11,0)-1)))</f>
        <v/>
      </c>
      <c r="X900" s="39" t="str">
        <f aca="false">IF($F900="","",IF(OR($AT900="",$O900=""),0,IF($AT900&lt;=$O900,1,0)))</f>
        <v/>
      </c>
      <c r="Y900" s="39" t="str">
        <f aca="false">IF($F900="","",IF(OR($AT900="",$W900=""),0,IF($AT900&lt;=$W900,1,0)))</f>
        <v/>
      </c>
      <c r="Z900" s="39" t="str">
        <f aca="false">IF(OR($AT900="",$O900=""),"",MAX(0,$AT900-$O900))</f>
        <v/>
      </c>
      <c r="AA900" s="39" t="str">
        <f aca="false">IF($F900="","",IF(AND($S900&lt;&gt;"",$L900&lt;&gt;"",$S900&lt;&gt;$L900),1,0))</f>
        <v/>
      </c>
      <c r="AB900" s="39" t="str">
        <f aca="false">IF($F900="","",IF($R900="Cancelada",0,IF(OR($AT900&lt;&gt;"",$R900="Concluída"),1,0)))</f>
        <v/>
      </c>
      <c r="AC900" s="39" t="n">
        <f aca="false">IF($P900="",0,IF($P900&lt;Hoje!$L$1,1,IF(AND($P900=Hoje!$L$1,Hoje!$L$2&gt;Semana!$M$3),1,0)))</f>
        <v>0</v>
      </c>
      <c r="AD900" s="39" t="str">
        <f aca="false">IF($F900="","",IF(COUNTA($I900:$K900)=0,0,1/COUNTA($I900:$K900)))</f>
        <v/>
      </c>
      <c r="AE900" s="39" t="str">
        <f aca="false">IF($AH900=0,"",SUM($AH$4:$AH900))</f>
        <v/>
      </c>
      <c r="AF900" s="39" t="str">
        <f aca="false">IF($AI900=0,"",SUM($AI$4:$AI900))</f>
        <v/>
      </c>
      <c r="AG900" s="50" t="str">
        <f aca="false">IF($F900="","",$I900&amp;IF($J900="",""," · "&amp;$J900)&amp;IF($K900="",""," · "&amp;$K900))</f>
        <v/>
      </c>
      <c r="AH900" s="39" t="n">
        <f aca="false">IF(AND($F900&lt;&gt;"",$O900&lt;&gt;"",$O900&lt;=Hoje!$C$3,$P900&gt;=Hoje!$C$3,$R900&lt;&gt;"Cancelada"),1,0)</f>
        <v>0</v>
      </c>
      <c r="AI900" s="39" t="n">
        <f aca="false">IF(AND($F900&lt;&gt;"",$P900&lt;&gt;"",$P900&lt;Hoje!$C$3,$AB900=0,$R900&lt;&gt;"Cancelada"),1,0)</f>
        <v>0</v>
      </c>
      <c r="AJ900" s="50" t="str">
        <f aca="false">IF($F900="","",$D900&amp;"|"&amp;$E900&amp;"|"&amp;$L900)</f>
        <v/>
      </c>
      <c r="AK900" s="39" t="str">
        <f aca="false">IF($AJ900="","",COUNTIF($AJ$4:$AJ900,$AJ900))</f>
        <v/>
      </c>
      <c r="AL900" s="39" t="str">
        <f aca="false">IF($AJ900="","",COUNTIF($AJ$4:$AJ$1004,$AJ900))</f>
        <v/>
      </c>
      <c r="AM900" s="42"/>
      <c r="AN900" s="50" t="str">
        <f aca="false">IF($D900="","",IFERROR(T(VLOOKUP($D900,Listas!$B$5:$H$120,7,0)),""))</f>
        <v/>
      </c>
      <c r="AO900" s="50" t="str">
        <f aca="false">IF(OR($F900="",$L900&lt;&gt;"",$R900="Cancelada",$AT900&lt;&gt;""),"",$AN900&amp;"|"&amp;$D900&amp;"|"&amp;IF($C900="","zzz",$C900)&amp;"|"&amp;TEXT(900,"0000"))</f>
        <v/>
      </c>
      <c r="AP900" s="50" t="str">
        <f aca="false">IF($AO900="","",COUNTIF($AO$5:$AO$1004,"&lt;"&amp;$AO900)-(ROWS($AO$5:$AO$1004)-Hoje!$L$5)+1)</f>
        <v/>
      </c>
      <c r="AQ900" s="50" t="n">
        <f aca="false">IF(AND($F900&lt;&gt;"",$D900=Frota!$C$3),1,0)</f>
        <v>0</v>
      </c>
      <c r="AR900" s="50" t="str">
        <f aca="false">IF($AQ900=0,"",SUM($AQ$4:$AQ900))</f>
        <v/>
      </c>
      <c r="AS900" s="50" t="str">
        <f aca="false">IFERROR(INDEX(Hoje!$K$10:$K$29,MATCH(ROW(),Hoje!$J$10:$J$29,0)),"")</f>
        <v/>
      </c>
      <c r="AT900" s="50" t="str">
        <f aca="false">IF($Q900&lt;&gt;"",$Q900,$AS900)</f>
        <v/>
      </c>
    </row>
    <row r="901" customFormat="false" ht="16.5" hidden="false" customHeight="true" outlineLevel="0" collapsed="false">
      <c r="A901" s="39" t="str">
        <f aca="false">IF($F901="","",ROW())</f>
        <v/>
      </c>
      <c r="B901" s="40" t="str">
        <f aca="false">IF($F901="",IF($D901="","","Falta a atividade"),IF($R901="Cancelada","Cancelada",IF($AB901=1,IF(N($Z901)&gt;0,"Concluída com atraso","Concluída"),IF($R901="Em programação","Em programação",IF($O901="",IF($M901="","Na carteira","Falta a semana"),IF($AC901=1,"VENCIDA",IF($O901&gt;Hoje!$L$1,"Programada",IF($P901&gt;Hoje!$L$1,"Em execução","Fecha hoje"))))))))</f>
        <v/>
      </c>
      <c r="C901" s="41"/>
      <c r="D901" s="42"/>
      <c r="E901" s="42"/>
      <c r="F901" s="42"/>
      <c r="G901" s="43"/>
      <c r="H901" s="43"/>
      <c r="I901" s="44"/>
      <c r="J901" s="44"/>
      <c r="K901" s="44"/>
      <c r="L901" s="45"/>
      <c r="M901" s="46"/>
      <c r="N901" s="45"/>
      <c r="O901" s="47" t="str">
        <f aca="false">IF(OR($L901="",$M901=""),"",(DATE(Semana!$J$3,1,4)-WEEKDAY(DATE(Semana!$J$3,1,4),3))+($L901-1)*7+MATCH($M901,Listas!$F$5:$F$11,0)-1)</f>
        <v/>
      </c>
      <c r="P901" s="47" t="str">
        <f aca="false">IF(OR($F901="",$O901=""),"",$O901+MAX(0,ROUNDUP($AK901*MAX(1,IF($N901="",1,$N901))/MAX(1,$AL901),0)-1))</f>
        <v/>
      </c>
      <c r="Q901" s="48"/>
      <c r="R901" s="43"/>
      <c r="S901" s="49"/>
      <c r="T901" s="42"/>
      <c r="U901" s="42"/>
      <c r="V901" s="39" t="str">
        <f aca="false">IF($F901="","",IF(ISNUMBER(SEARCH("(externo)",$I901&amp;$J901&amp;$K901)),"Terceirizada","Interna"))</f>
        <v/>
      </c>
      <c r="W901" s="47" t="str">
        <f aca="false">IF($O901="","",IF($S901="",$O901,(DATE(Semana!$J$3,1,4)-WEEKDAY(DATE(Semana!$J$3,1,4),3))+($S901-1)*7+IF($M901="",0,MATCH($M901,Listas!$F$5:$F$11,0)-1)))</f>
        <v/>
      </c>
      <c r="X901" s="39" t="str">
        <f aca="false">IF($F901="","",IF(OR($AT901="",$O901=""),0,IF($AT901&lt;=$O901,1,0)))</f>
        <v/>
      </c>
      <c r="Y901" s="39" t="str">
        <f aca="false">IF($F901="","",IF(OR($AT901="",$W901=""),0,IF($AT901&lt;=$W901,1,0)))</f>
        <v/>
      </c>
      <c r="Z901" s="39" t="str">
        <f aca="false">IF(OR($AT901="",$O901=""),"",MAX(0,$AT901-$O901))</f>
        <v/>
      </c>
      <c r="AA901" s="39" t="str">
        <f aca="false">IF($F901="","",IF(AND($S901&lt;&gt;"",$L901&lt;&gt;"",$S901&lt;&gt;$L901),1,0))</f>
        <v/>
      </c>
      <c r="AB901" s="39" t="str">
        <f aca="false">IF($F901="","",IF($R901="Cancelada",0,IF(OR($AT901&lt;&gt;"",$R901="Concluída"),1,0)))</f>
        <v/>
      </c>
      <c r="AC901" s="39" t="n">
        <f aca="false">IF($P901="",0,IF($P901&lt;Hoje!$L$1,1,IF(AND($P901=Hoje!$L$1,Hoje!$L$2&gt;Semana!$M$3),1,0)))</f>
        <v>0</v>
      </c>
      <c r="AD901" s="39" t="str">
        <f aca="false">IF($F901="","",IF(COUNTA($I901:$K901)=0,0,1/COUNTA($I901:$K901)))</f>
        <v/>
      </c>
      <c r="AE901" s="39" t="str">
        <f aca="false">IF($AH901=0,"",SUM($AH$4:$AH901))</f>
        <v/>
      </c>
      <c r="AF901" s="39" t="str">
        <f aca="false">IF($AI901=0,"",SUM($AI$4:$AI901))</f>
        <v/>
      </c>
      <c r="AG901" s="50" t="str">
        <f aca="false">IF($F901="","",$I901&amp;IF($J901="",""," · "&amp;$J901)&amp;IF($K901="",""," · "&amp;$K901))</f>
        <v/>
      </c>
      <c r="AH901" s="39" t="n">
        <f aca="false">IF(AND($F901&lt;&gt;"",$O901&lt;&gt;"",$O901&lt;=Hoje!$C$3,$P901&gt;=Hoje!$C$3,$R901&lt;&gt;"Cancelada"),1,0)</f>
        <v>0</v>
      </c>
      <c r="AI901" s="39" t="n">
        <f aca="false">IF(AND($F901&lt;&gt;"",$P901&lt;&gt;"",$P901&lt;Hoje!$C$3,$AB901=0,$R901&lt;&gt;"Cancelada"),1,0)</f>
        <v>0</v>
      </c>
      <c r="AJ901" s="50" t="str">
        <f aca="false">IF($F901="","",$D901&amp;"|"&amp;$E901&amp;"|"&amp;$L901)</f>
        <v/>
      </c>
      <c r="AK901" s="39" t="str">
        <f aca="false">IF($AJ901="","",COUNTIF($AJ$4:$AJ901,$AJ901))</f>
        <v/>
      </c>
      <c r="AL901" s="39" t="str">
        <f aca="false">IF($AJ901="","",COUNTIF($AJ$4:$AJ$1004,$AJ901))</f>
        <v/>
      </c>
      <c r="AM901" s="42"/>
      <c r="AN901" s="50" t="str">
        <f aca="false">IF($D901="","",IFERROR(T(VLOOKUP($D901,Listas!$B$5:$H$120,7,0)),""))</f>
        <v/>
      </c>
      <c r="AO901" s="50" t="str">
        <f aca="false">IF(OR($F901="",$L901&lt;&gt;"",$R901="Cancelada",$AT901&lt;&gt;""),"",$AN901&amp;"|"&amp;$D901&amp;"|"&amp;IF($C901="","zzz",$C901)&amp;"|"&amp;TEXT(901,"0000"))</f>
        <v/>
      </c>
      <c r="AP901" s="50" t="str">
        <f aca="false">IF($AO901="","",COUNTIF($AO$5:$AO$1004,"&lt;"&amp;$AO901)-(ROWS($AO$5:$AO$1004)-Hoje!$L$5)+1)</f>
        <v/>
      </c>
      <c r="AQ901" s="50" t="n">
        <f aca="false">IF(AND($F901&lt;&gt;"",$D901=Frota!$C$3),1,0)</f>
        <v>0</v>
      </c>
      <c r="AR901" s="50" t="str">
        <f aca="false">IF($AQ901=0,"",SUM($AQ$4:$AQ901))</f>
        <v/>
      </c>
      <c r="AS901" s="50" t="str">
        <f aca="false">IFERROR(INDEX(Hoje!$K$10:$K$29,MATCH(ROW(),Hoje!$J$10:$J$29,0)),"")</f>
        <v/>
      </c>
      <c r="AT901" s="50" t="str">
        <f aca="false">IF($Q901&lt;&gt;"",$Q901,$AS901)</f>
        <v/>
      </c>
    </row>
    <row r="902" customFormat="false" ht="16.5" hidden="false" customHeight="true" outlineLevel="0" collapsed="false">
      <c r="A902" s="39" t="str">
        <f aca="false">IF($F902="","",ROW())</f>
        <v/>
      </c>
      <c r="B902" s="40" t="str">
        <f aca="false">IF($F902="",IF($D902="","","Falta a atividade"),IF($R902="Cancelada","Cancelada",IF($AB902=1,IF(N($Z902)&gt;0,"Concluída com atraso","Concluída"),IF($R902="Em programação","Em programação",IF($O902="",IF($M902="","Na carteira","Falta a semana"),IF($AC902=1,"VENCIDA",IF($O902&gt;Hoje!$L$1,"Programada",IF($P902&gt;Hoje!$L$1,"Em execução","Fecha hoje"))))))))</f>
        <v/>
      </c>
      <c r="C902" s="41"/>
      <c r="D902" s="42"/>
      <c r="E902" s="42"/>
      <c r="F902" s="42"/>
      <c r="G902" s="43"/>
      <c r="H902" s="43"/>
      <c r="I902" s="44"/>
      <c r="J902" s="44"/>
      <c r="K902" s="44"/>
      <c r="L902" s="45"/>
      <c r="M902" s="46"/>
      <c r="N902" s="45"/>
      <c r="O902" s="47" t="str">
        <f aca="false">IF(OR($L902="",$M902=""),"",(DATE(Semana!$J$3,1,4)-WEEKDAY(DATE(Semana!$J$3,1,4),3))+($L902-1)*7+MATCH($M902,Listas!$F$5:$F$11,0)-1)</f>
        <v/>
      </c>
      <c r="P902" s="47" t="str">
        <f aca="false">IF(OR($F902="",$O902=""),"",$O902+MAX(0,ROUNDUP($AK902*MAX(1,IF($N902="",1,$N902))/MAX(1,$AL902),0)-1))</f>
        <v/>
      </c>
      <c r="Q902" s="48"/>
      <c r="R902" s="43"/>
      <c r="S902" s="49"/>
      <c r="T902" s="42"/>
      <c r="U902" s="42"/>
      <c r="V902" s="39" t="str">
        <f aca="false">IF($F902="","",IF(ISNUMBER(SEARCH("(externo)",$I902&amp;$J902&amp;$K902)),"Terceirizada","Interna"))</f>
        <v/>
      </c>
      <c r="W902" s="47" t="str">
        <f aca="false">IF($O902="","",IF($S902="",$O902,(DATE(Semana!$J$3,1,4)-WEEKDAY(DATE(Semana!$J$3,1,4),3))+($S902-1)*7+IF($M902="",0,MATCH($M902,Listas!$F$5:$F$11,0)-1)))</f>
        <v/>
      </c>
      <c r="X902" s="39" t="str">
        <f aca="false">IF($F902="","",IF(OR($AT902="",$O902=""),0,IF($AT902&lt;=$O902,1,0)))</f>
        <v/>
      </c>
      <c r="Y902" s="39" t="str">
        <f aca="false">IF($F902="","",IF(OR($AT902="",$W902=""),0,IF($AT902&lt;=$W902,1,0)))</f>
        <v/>
      </c>
      <c r="Z902" s="39" t="str">
        <f aca="false">IF(OR($AT902="",$O902=""),"",MAX(0,$AT902-$O902))</f>
        <v/>
      </c>
      <c r="AA902" s="39" t="str">
        <f aca="false">IF($F902="","",IF(AND($S902&lt;&gt;"",$L902&lt;&gt;"",$S902&lt;&gt;$L902),1,0))</f>
        <v/>
      </c>
      <c r="AB902" s="39" t="str">
        <f aca="false">IF($F902="","",IF($R902="Cancelada",0,IF(OR($AT902&lt;&gt;"",$R902="Concluída"),1,0)))</f>
        <v/>
      </c>
      <c r="AC902" s="39" t="n">
        <f aca="false">IF($P902="",0,IF($P902&lt;Hoje!$L$1,1,IF(AND($P902=Hoje!$L$1,Hoje!$L$2&gt;Semana!$M$3),1,0)))</f>
        <v>0</v>
      </c>
      <c r="AD902" s="39" t="str">
        <f aca="false">IF($F902="","",IF(COUNTA($I902:$K902)=0,0,1/COUNTA($I902:$K902)))</f>
        <v/>
      </c>
      <c r="AE902" s="39" t="str">
        <f aca="false">IF($AH902=0,"",SUM($AH$4:$AH902))</f>
        <v/>
      </c>
      <c r="AF902" s="39" t="str">
        <f aca="false">IF($AI902=0,"",SUM($AI$4:$AI902))</f>
        <v/>
      </c>
      <c r="AG902" s="50" t="str">
        <f aca="false">IF($F902="","",$I902&amp;IF($J902="",""," · "&amp;$J902)&amp;IF($K902="",""," · "&amp;$K902))</f>
        <v/>
      </c>
      <c r="AH902" s="39" t="n">
        <f aca="false">IF(AND($F902&lt;&gt;"",$O902&lt;&gt;"",$O902&lt;=Hoje!$C$3,$P902&gt;=Hoje!$C$3,$R902&lt;&gt;"Cancelada"),1,0)</f>
        <v>0</v>
      </c>
      <c r="AI902" s="39" t="n">
        <f aca="false">IF(AND($F902&lt;&gt;"",$P902&lt;&gt;"",$P902&lt;Hoje!$C$3,$AB902=0,$R902&lt;&gt;"Cancelada"),1,0)</f>
        <v>0</v>
      </c>
      <c r="AJ902" s="50" t="str">
        <f aca="false">IF($F902="","",$D902&amp;"|"&amp;$E902&amp;"|"&amp;$L902)</f>
        <v/>
      </c>
      <c r="AK902" s="39" t="str">
        <f aca="false">IF($AJ902="","",COUNTIF($AJ$4:$AJ902,$AJ902))</f>
        <v/>
      </c>
      <c r="AL902" s="39" t="str">
        <f aca="false">IF($AJ902="","",COUNTIF($AJ$4:$AJ$1004,$AJ902))</f>
        <v/>
      </c>
      <c r="AM902" s="42"/>
      <c r="AN902" s="50" t="str">
        <f aca="false">IF($D902="","",IFERROR(T(VLOOKUP($D902,Listas!$B$5:$H$120,7,0)),""))</f>
        <v/>
      </c>
      <c r="AO902" s="50" t="str">
        <f aca="false">IF(OR($F902="",$L902&lt;&gt;"",$R902="Cancelada",$AT902&lt;&gt;""),"",$AN902&amp;"|"&amp;$D902&amp;"|"&amp;IF($C902="","zzz",$C902)&amp;"|"&amp;TEXT(902,"0000"))</f>
        <v/>
      </c>
      <c r="AP902" s="50" t="str">
        <f aca="false">IF($AO902="","",COUNTIF($AO$5:$AO$1004,"&lt;"&amp;$AO902)-(ROWS($AO$5:$AO$1004)-Hoje!$L$5)+1)</f>
        <v/>
      </c>
      <c r="AQ902" s="50" t="n">
        <f aca="false">IF(AND($F902&lt;&gt;"",$D902=Frota!$C$3),1,0)</f>
        <v>0</v>
      </c>
      <c r="AR902" s="50" t="str">
        <f aca="false">IF($AQ902=0,"",SUM($AQ$4:$AQ902))</f>
        <v/>
      </c>
      <c r="AS902" s="50" t="str">
        <f aca="false">IFERROR(INDEX(Hoje!$K$10:$K$29,MATCH(ROW(),Hoje!$J$10:$J$29,0)),"")</f>
        <v/>
      </c>
      <c r="AT902" s="50" t="str">
        <f aca="false">IF($Q902&lt;&gt;"",$Q902,$AS902)</f>
        <v/>
      </c>
    </row>
    <row r="903" customFormat="false" ht="16.5" hidden="false" customHeight="true" outlineLevel="0" collapsed="false">
      <c r="A903" s="39" t="str">
        <f aca="false">IF($F903="","",ROW())</f>
        <v/>
      </c>
      <c r="B903" s="40" t="str">
        <f aca="false">IF($F903="",IF($D903="","","Falta a atividade"),IF($R903="Cancelada","Cancelada",IF($AB903=1,IF(N($Z903)&gt;0,"Concluída com atraso","Concluída"),IF($R903="Em programação","Em programação",IF($O903="",IF($M903="","Na carteira","Falta a semana"),IF($AC903=1,"VENCIDA",IF($O903&gt;Hoje!$L$1,"Programada",IF($P903&gt;Hoje!$L$1,"Em execução","Fecha hoje"))))))))</f>
        <v/>
      </c>
      <c r="C903" s="41"/>
      <c r="D903" s="42"/>
      <c r="E903" s="42"/>
      <c r="F903" s="42"/>
      <c r="G903" s="43"/>
      <c r="H903" s="43"/>
      <c r="I903" s="44"/>
      <c r="J903" s="44"/>
      <c r="K903" s="44"/>
      <c r="L903" s="45"/>
      <c r="M903" s="46"/>
      <c r="N903" s="45"/>
      <c r="O903" s="47" t="str">
        <f aca="false">IF(OR($L903="",$M903=""),"",(DATE(Semana!$J$3,1,4)-WEEKDAY(DATE(Semana!$J$3,1,4),3))+($L903-1)*7+MATCH($M903,Listas!$F$5:$F$11,0)-1)</f>
        <v/>
      </c>
      <c r="P903" s="47" t="str">
        <f aca="false">IF(OR($F903="",$O903=""),"",$O903+MAX(0,ROUNDUP($AK903*MAX(1,IF($N903="",1,$N903))/MAX(1,$AL903),0)-1))</f>
        <v/>
      </c>
      <c r="Q903" s="48"/>
      <c r="R903" s="43"/>
      <c r="S903" s="49"/>
      <c r="T903" s="42"/>
      <c r="U903" s="42"/>
      <c r="V903" s="39" t="str">
        <f aca="false">IF($F903="","",IF(ISNUMBER(SEARCH("(externo)",$I903&amp;$J903&amp;$K903)),"Terceirizada","Interna"))</f>
        <v/>
      </c>
      <c r="W903" s="47" t="str">
        <f aca="false">IF($O903="","",IF($S903="",$O903,(DATE(Semana!$J$3,1,4)-WEEKDAY(DATE(Semana!$J$3,1,4),3))+($S903-1)*7+IF($M903="",0,MATCH($M903,Listas!$F$5:$F$11,0)-1)))</f>
        <v/>
      </c>
      <c r="X903" s="39" t="str">
        <f aca="false">IF($F903="","",IF(OR($AT903="",$O903=""),0,IF($AT903&lt;=$O903,1,0)))</f>
        <v/>
      </c>
      <c r="Y903" s="39" t="str">
        <f aca="false">IF($F903="","",IF(OR($AT903="",$W903=""),0,IF($AT903&lt;=$W903,1,0)))</f>
        <v/>
      </c>
      <c r="Z903" s="39" t="str">
        <f aca="false">IF(OR($AT903="",$O903=""),"",MAX(0,$AT903-$O903))</f>
        <v/>
      </c>
      <c r="AA903" s="39" t="str">
        <f aca="false">IF($F903="","",IF(AND($S903&lt;&gt;"",$L903&lt;&gt;"",$S903&lt;&gt;$L903),1,0))</f>
        <v/>
      </c>
      <c r="AB903" s="39" t="str">
        <f aca="false">IF($F903="","",IF($R903="Cancelada",0,IF(OR($AT903&lt;&gt;"",$R903="Concluída"),1,0)))</f>
        <v/>
      </c>
      <c r="AC903" s="39" t="n">
        <f aca="false">IF($P903="",0,IF($P903&lt;Hoje!$L$1,1,IF(AND($P903=Hoje!$L$1,Hoje!$L$2&gt;Semana!$M$3),1,0)))</f>
        <v>0</v>
      </c>
      <c r="AD903" s="39" t="str">
        <f aca="false">IF($F903="","",IF(COUNTA($I903:$K903)=0,0,1/COUNTA($I903:$K903)))</f>
        <v/>
      </c>
      <c r="AE903" s="39" t="str">
        <f aca="false">IF($AH903=0,"",SUM($AH$4:$AH903))</f>
        <v/>
      </c>
      <c r="AF903" s="39" t="str">
        <f aca="false">IF($AI903=0,"",SUM($AI$4:$AI903))</f>
        <v/>
      </c>
      <c r="AG903" s="50" t="str">
        <f aca="false">IF($F903="","",$I903&amp;IF($J903="",""," · "&amp;$J903)&amp;IF($K903="",""," · "&amp;$K903))</f>
        <v/>
      </c>
      <c r="AH903" s="39" t="n">
        <f aca="false">IF(AND($F903&lt;&gt;"",$O903&lt;&gt;"",$O903&lt;=Hoje!$C$3,$P903&gt;=Hoje!$C$3,$R903&lt;&gt;"Cancelada"),1,0)</f>
        <v>0</v>
      </c>
      <c r="AI903" s="39" t="n">
        <f aca="false">IF(AND($F903&lt;&gt;"",$P903&lt;&gt;"",$P903&lt;Hoje!$C$3,$AB903=0,$R903&lt;&gt;"Cancelada"),1,0)</f>
        <v>0</v>
      </c>
      <c r="AJ903" s="50" t="str">
        <f aca="false">IF($F903="","",$D903&amp;"|"&amp;$E903&amp;"|"&amp;$L903)</f>
        <v/>
      </c>
      <c r="AK903" s="39" t="str">
        <f aca="false">IF($AJ903="","",COUNTIF($AJ$4:$AJ903,$AJ903))</f>
        <v/>
      </c>
      <c r="AL903" s="39" t="str">
        <f aca="false">IF($AJ903="","",COUNTIF($AJ$4:$AJ$1004,$AJ903))</f>
        <v/>
      </c>
      <c r="AM903" s="42"/>
      <c r="AN903" s="50" t="str">
        <f aca="false">IF($D903="","",IFERROR(T(VLOOKUP($D903,Listas!$B$5:$H$120,7,0)),""))</f>
        <v/>
      </c>
      <c r="AO903" s="50" t="str">
        <f aca="false">IF(OR($F903="",$L903&lt;&gt;"",$R903="Cancelada",$AT903&lt;&gt;""),"",$AN903&amp;"|"&amp;$D903&amp;"|"&amp;IF($C903="","zzz",$C903)&amp;"|"&amp;TEXT(903,"0000"))</f>
        <v/>
      </c>
      <c r="AP903" s="50" t="str">
        <f aca="false">IF($AO903="","",COUNTIF($AO$5:$AO$1004,"&lt;"&amp;$AO903)-(ROWS($AO$5:$AO$1004)-Hoje!$L$5)+1)</f>
        <v/>
      </c>
      <c r="AQ903" s="50" t="n">
        <f aca="false">IF(AND($F903&lt;&gt;"",$D903=Frota!$C$3),1,0)</f>
        <v>0</v>
      </c>
      <c r="AR903" s="50" t="str">
        <f aca="false">IF($AQ903=0,"",SUM($AQ$4:$AQ903))</f>
        <v/>
      </c>
      <c r="AS903" s="50" t="str">
        <f aca="false">IFERROR(INDEX(Hoje!$K$10:$K$29,MATCH(ROW(),Hoje!$J$10:$J$29,0)),"")</f>
        <v/>
      </c>
      <c r="AT903" s="50" t="str">
        <f aca="false">IF($Q903&lt;&gt;"",$Q903,$AS903)</f>
        <v/>
      </c>
    </row>
    <row r="904" customFormat="false" ht="16.5" hidden="false" customHeight="true" outlineLevel="0" collapsed="false">
      <c r="A904" s="39" t="str">
        <f aca="false">IF($F904="","",ROW())</f>
        <v/>
      </c>
      <c r="B904" s="40" t="str">
        <f aca="false">IF($F904="",IF($D904="","","Falta a atividade"),IF($R904="Cancelada","Cancelada",IF($AB904=1,IF(N($Z904)&gt;0,"Concluída com atraso","Concluída"),IF($R904="Em programação","Em programação",IF($O904="",IF($M904="","Na carteira","Falta a semana"),IF($AC904=1,"VENCIDA",IF($O904&gt;Hoje!$L$1,"Programada",IF($P904&gt;Hoje!$L$1,"Em execução","Fecha hoje"))))))))</f>
        <v/>
      </c>
      <c r="C904" s="41"/>
      <c r="D904" s="42"/>
      <c r="E904" s="42"/>
      <c r="F904" s="42"/>
      <c r="G904" s="43"/>
      <c r="H904" s="43"/>
      <c r="I904" s="44"/>
      <c r="J904" s="44"/>
      <c r="K904" s="44"/>
      <c r="L904" s="45"/>
      <c r="M904" s="46"/>
      <c r="N904" s="45"/>
      <c r="O904" s="47" t="str">
        <f aca="false">IF(OR($L904="",$M904=""),"",(DATE(Semana!$J$3,1,4)-WEEKDAY(DATE(Semana!$J$3,1,4),3))+($L904-1)*7+MATCH($M904,Listas!$F$5:$F$11,0)-1)</f>
        <v/>
      </c>
      <c r="P904" s="47" t="str">
        <f aca="false">IF(OR($F904="",$O904=""),"",$O904+MAX(0,ROUNDUP($AK904*MAX(1,IF($N904="",1,$N904))/MAX(1,$AL904),0)-1))</f>
        <v/>
      </c>
      <c r="Q904" s="48"/>
      <c r="R904" s="43"/>
      <c r="S904" s="49"/>
      <c r="T904" s="42"/>
      <c r="U904" s="42"/>
      <c r="V904" s="39" t="str">
        <f aca="false">IF($F904="","",IF(ISNUMBER(SEARCH("(externo)",$I904&amp;$J904&amp;$K904)),"Terceirizada","Interna"))</f>
        <v/>
      </c>
      <c r="W904" s="47" t="str">
        <f aca="false">IF($O904="","",IF($S904="",$O904,(DATE(Semana!$J$3,1,4)-WEEKDAY(DATE(Semana!$J$3,1,4),3))+($S904-1)*7+IF($M904="",0,MATCH($M904,Listas!$F$5:$F$11,0)-1)))</f>
        <v/>
      </c>
      <c r="X904" s="39" t="str">
        <f aca="false">IF($F904="","",IF(OR($AT904="",$O904=""),0,IF($AT904&lt;=$O904,1,0)))</f>
        <v/>
      </c>
      <c r="Y904" s="39" t="str">
        <f aca="false">IF($F904="","",IF(OR($AT904="",$W904=""),0,IF($AT904&lt;=$W904,1,0)))</f>
        <v/>
      </c>
      <c r="Z904" s="39" t="str">
        <f aca="false">IF(OR($AT904="",$O904=""),"",MAX(0,$AT904-$O904))</f>
        <v/>
      </c>
      <c r="AA904" s="39" t="str">
        <f aca="false">IF($F904="","",IF(AND($S904&lt;&gt;"",$L904&lt;&gt;"",$S904&lt;&gt;$L904),1,0))</f>
        <v/>
      </c>
      <c r="AB904" s="39" t="str">
        <f aca="false">IF($F904="","",IF($R904="Cancelada",0,IF(OR($AT904&lt;&gt;"",$R904="Concluída"),1,0)))</f>
        <v/>
      </c>
      <c r="AC904" s="39" t="n">
        <f aca="false">IF($P904="",0,IF($P904&lt;Hoje!$L$1,1,IF(AND($P904=Hoje!$L$1,Hoje!$L$2&gt;Semana!$M$3),1,0)))</f>
        <v>0</v>
      </c>
      <c r="AD904" s="39" t="str">
        <f aca="false">IF($F904="","",IF(COUNTA($I904:$K904)=0,0,1/COUNTA($I904:$K904)))</f>
        <v/>
      </c>
      <c r="AE904" s="39" t="str">
        <f aca="false">IF($AH904=0,"",SUM($AH$4:$AH904))</f>
        <v/>
      </c>
      <c r="AF904" s="39" t="str">
        <f aca="false">IF($AI904=0,"",SUM($AI$4:$AI904))</f>
        <v/>
      </c>
      <c r="AG904" s="50" t="str">
        <f aca="false">IF($F904="","",$I904&amp;IF($J904="",""," · "&amp;$J904)&amp;IF($K904="",""," · "&amp;$K904))</f>
        <v/>
      </c>
      <c r="AH904" s="39" t="n">
        <f aca="false">IF(AND($F904&lt;&gt;"",$O904&lt;&gt;"",$O904&lt;=Hoje!$C$3,$P904&gt;=Hoje!$C$3,$R904&lt;&gt;"Cancelada"),1,0)</f>
        <v>0</v>
      </c>
      <c r="AI904" s="39" t="n">
        <f aca="false">IF(AND($F904&lt;&gt;"",$P904&lt;&gt;"",$P904&lt;Hoje!$C$3,$AB904=0,$R904&lt;&gt;"Cancelada"),1,0)</f>
        <v>0</v>
      </c>
      <c r="AJ904" s="50" t="str">
        <f aca="false">IF($F904="","",$D904&amp;"|"&amp;$E904&amp;"|"&amp;$L904)</f>
        <v/>
      </c>
      <c r="AK904" s="39" t="str">
        <f aca="false">IF($AJ904="","",COUNTIF($AJ$4:$AJ904,$AJ904))</f>
        <v/>
      </c>
      <c r="AL904" s="39" t="str">
        <f aca="false">IF($AJ904="","",COUNTIF($AJ$4:$AJ$1004,$AJ904))</f>
        <v/>
      </c>
      <c r="AM904" s="42"/>
      <c r="AN904" s="50" t="str">
        <f aca="false">IF($D904="","",IFERROR(T(VLOOKUP($D904,Listas!$B$5:$H$120,7,0)),""))</f>
        <v/>
      </c>
      <c r="AO904" s="50" t="str">
        <f aca="false">IF(OR($F904="",$L904&lt;&gt;"",$R904="Cancelada",$AT904&lt;&gt;""),"",$AN904&amp;"|"&amp;$D904&amp;"|"&amp;IF($C904="","zzz",$C904)&amp;"|"&amp;TEXT(904,"0000"))</f>
        <v/>
      </c>
      <c r="AP904" s="50" t="str">
        <f aca="false">IF($AO904="","",COUNTIF($AO$5:$AO$1004,"&lt;"&amp;$AO904)-(ROWS($AO$5:$AO$1004)-Hoje!$L$5)+1)</f>
        <v/>
      </c>
      <c r="AQ904" s="50" t="n">
        <f aca="false">IF(AND($F904&lt;&gt;"",$D904=Frota!$C$3),1,0)</f>
        <v>0</v>
      </c>
      <c r="AR904" s="50" t="str">
        <f aca="false">IF($AQ904=0,"",SUM($AQ$4:$AQ904))</f>
        <v/>
      </c>
      <c r="AS904" s="50" t="str">
        <f aca="false">IFERROR(INDEX(Hoje!$K$10:$K$29,MATCH(ROW(),Hoje!$J$10:$J$29,0)),"")</f>
        <v/>
      </c>
      <c r="AT904" s="50" t="str">
        <f aca="false">IF($Q904&lt;&gt;"",$Q904,$AS904)</f>
        <v/>
      </c>
    </row>
    <row r="905" customFormat="false" ht="16.5" hidden="false" customHeight="true" outlineLevel="0" collapsed="false">
      <c r="A905" s="39" t="str">
        <f aca="false">IF($F905="","",ROW())</f>
        <v/>
      </c>
      <c r="B905" s="40" t="str">
        <f aca="false">IF($F905="",IF($D905="","","Falta a atividade"),IF($R905="Cancelada","Cancelada",IF($AB905=1,IF(N($Z905)&gt;0,"Concluída com atraso","Concluída"),IF($R905="Em programação","Em programação",IF($O905="",IF($M905="","Na carteira","Falta a semana"),IF($AC905=1,"VENCIDA",IF($O905&gt;Hoje!$L$1,"Programada",IF($P905&gt;Hoje!$L$1,"Em execução","Fecha hoje"))))))))</f>
        <v/>
      </c>
      <c r="C905" s="41"/>
      <c r="D905" s="42"/>
      <c r="E905" s="42"/>
      <c r="F905" s="42"/>
      <c r="G905" s="43"/>
      <c r="H905" s="43"/>
      <c r="I905" s="44"/>
      <c r="J905" s="44"/>
      <c r="K905" s="44"/>
      <c r="L905" s="45"/>
      <c r="M905" s="46"/>
      <c r="N905" s="45"/>
      <c r="O905" s="47" t="str">
        <f aca="false">IF(OR($L905="",$M905=""),"",(DATE(Semana!$J$3,1,4)-WEEKDAY(DATE(Semana!$J$3,1,4),3))+($L905-1)*7+MATCH($M905,Listas!$F$5:$F$11,0)-1)</f>
        <v/>
      </c>
      <c r="P905" s="47" t="str">
        <f aca="false">IF(OR($F905="",$O905=""),"",$O905+MAX(0,ROUNDUP($AK905*MAX(1,IF($N905="",1,$N905))/MAX(1,$AL905),0)-1))</f>
        <v/>
      </c>
      <c r="Q905" s="48"/>
      <c r="R905" s="43"/>
      <c r="S905" s="49"/>
      <c r="T905" s="42"/>
      <c r="U905" s="42"/>
      <c r="V905" s="39" t="str">
        <f aca="false">IF($F905="","",IF(ISNUMBER(SEARCH("(externo)",$I905&amp;$J905&amp;$K905)),"Terceirizada","Interna"))</f>
        <v/>
      </c>
      <c r="W905" s="47" t="str">
        <f aca="false">IF($O905="","",IF($S905="",$O905,(DATE(Semana!$J$3,1,4)-WEEKDAY(DATE(Semana!$J$3,1,4),3))+($S905-1)*7+IF($M905="",0,MATCH($M905,Listas!$F$5:$F$11,0)-1)))</f>
        <v/>
      </c>
      <c r="X905" s="39" t="str">
        <f aca="false">IF($F905="","",IF(OR($AT905="",$O905=""),0,IF($AT905&lt;=$O905,1,0)))</f>
        <v/>
      </c>
      <c r="Y905" s="39" t="str">
        <f aca="false">IF($F905="","",IF(OR($AT905="",$W905=""),0,IF($AT905&lt;=$W905,1,0)))</f>
        <v/>
      </c>
      <c r="Z905" s="39" t="str">
        <f aca="false">IF(OR($AT905="",$O905=""),"",MAX(0,$AT905-$O905))</f>
        <v/>
      </c>
      <c r="AA905" s="39" t="str">
        <f aca="false">IF($F905="","",IF(AND($S905&lt;&gt;"",$L905&lt;&gt;"",$S905&lt;&gt;$L905),1,0))</f>
        <v/>
      </c>
      <c r="AB905" s="39" t="str">
        <f aca="false">IF($F905="","",IF($R905="Cancelada",0,IF(OR($AT905&lt;&gt;"",$R905="Concluída"),1,0)))</f>
        <v/>
      </c>
      <c r="AC905" s="39" t="n">
        <f aca="false">IF($P905="",0,IF($P905&lt;Hoje!$L$1,1,IF(AND($P905=Hoje!$L$1,Hoje!$L$2&gt;Semana!$M$3),1,0)))</f>
        <v>0</v>
      </c>
      <c r="AD905" s="39" t="str">
        <f aca="false">IF($F905="","",IF(COUNTA($I905:$K905)=0,0,1/COUNTA($I905:$K905)))</f>
        <v/>
      </c>
      <c r="AE905" s="39" t="str">
        <f aca="false">IF($AH905=0,"",SUM($AH$4:$AH905))</f>
        <v/>
      </c>
      <c r="AF905" s="39" t="str">
        <f aca="false">IF($AI905=0,"",SUM($AI$4:$AI905))</f>
        <v/>
      </c>
      <c r="AG905" s="50" t="str">
        <f aca="false">IF($F905="","",$I905&amp;IF($J905="",""," · "&amp;$J905)&amp;IF($K905="",""," · "&amp;$K905))</f>
        <v/>
      </c>
      <c r="AH905" s="39" t="n">
        <f aca="false">IF(AND($F905&lt;&gt;"",$O905&lt;&gt;"",$O905&lt;=Hoje!$C$3,$P905&gt;=Hoje!$C$3,$R905&lt;&gt;"Cancelada"),1,0)</f>
        <v>0</v>
      </c>
      <c r="AI905" s="39" t="n">
        <f aca="false">IF(AND($F905&lt;&gt;"",$P905&lt;&gt;"",$P905&lt;Hoje!$C$3,$AB905=0,$R905&lt;&gt;"Cancelada"),1,0)</f>
        <v>0</v>
      </c>
      <c r="AJ905" s="50" t="str">
        <f aca="false">IF($F905="","",$D905&amp;"|"&amp;$E905&amp;"|"&amp;$L905)</f>
        <v/>
      </c>
      <c r="AK905" s="39" t="str">
        <f aca="false">IF($AJ905="","",COUNTIF($AJ$4:$AJ905,$AJ905))</f>
        <v/>
      </c>
      <c r="AL905" s="39" t="str">
        <f aca="false">IF($AJ905="","",COUNTIF($AJ$4:$AJ$1004,$AJ905))</f>
        <v/>
      </c>
      <c r="AM905" s="42"/>
      <c r="AN905" s="50" t="str">
        <f aca="false">IF($D905="","",IFERROR(T(VLOOKUP($D905,Listas!$B$5:$H$120,7,0)),""))</f>
        <v/>
      </c>
      <c r="AO905" s="50" t="str">
        <f aca="false">IF(OR($F905="",$L905&lt;&gt;"",$R905="Cancelada",$AT905&lt;&gt;""),"",$AN905&amp;"|"&amp;$D905&amp;"|"&amp;IF($C905="","zzz",$C905)&amp;"|"&amp;TEXT(905,"0000"))</f>
        <v/>
      </c>
      <c r="AP905" s="50" t="str">
        <f aca="false">IF($AO905="","",COUNTIF($AO$5:$AO$1004,"&lt;"&amp;$AO905)-(ROWS($AO$5:$AO$1004)-Hoje!$L$5)+1)</f>
        <v/>
      </c>
      <c r="AQ905" s="50" t="n">
        <f aca="false">IF(AND($F905&lt;&gt;"",$D905=Frota!$C$3),1,0)</f>
        <v>0</v>
      </c>
      <c r="AR905" s="50" t="str">
        <f aca="false">IF($AQ905=0,"",SUM($AQ$4:$AQ905))</f>
        <v/>
      </c>
      <c r="AS905" s="50" t="str">
        <f aca="false">IFERROR(INDEX(Hoje!$K$10:$K$29,MATCH(ROW(),Hoje!$J$10:$J$29,0)),"")</f>
        <v/>
      </c>
      <c r="AT905" s="50" t="str">
        <f aca="false">IF($Q905&lt;&gt;"",$Q905,$AS905)</f>
        <v/>
      </c>
    </row>
    <row r="906" customFormat="false" ht="16.5" hidden="false" customHeight="true" outlineLevel="0" collapsed="false">
      <c r="A906" s="39" t="str">
        <f aca="false">IF($F906="","",ROW())</f>
        <v/>
      </c>
      <c r="B906" s="40" t="str">
        <f aca="false">IF($F906="",IF($D906="","","Falta a atividade"),IF($R906="Cancelada","Cancelada",IF($AB906=1,IF(N($Z906)&gt;0,"Concluída com atraso","Concluída"),IF($R906="Em programação","Em programação",IF($O906="",IF($M906="","Na carteira","Falta a semana"),IF($AC906=1,"VENCIDA",IF($O906&gt;Hoje!$L$1,"Programada",IF($P906&gt;Hoje!$L$1,"Em execução","Fecha hoje"))))))))</f>
        <v/>
      </c>
      <c r="C906" s="41"/>
      <c r="D906" s="42"/>
      <c r="E906" s="42"/>
      <c r="F906" s="42"/>
      <c r="G906" s="43"/>
      <c r="H906" s="43"/>
      <c r="I906" s="44"/>
      <c r="J906" s="44"/>
      <c r="K906" s="44"/>
      <c r="L906" s="45"/>
      <c r="M906" s="46"/>
      <c r="N906" s="45"/>
      <c r="O906" s="47" t="str">
        <f aca="false">IF(OR($L906="",$M906=""),"",(DATE(Semana!$J$3,1,4)-WEEKDAY(DATE(Semana!$J$3,1,4),3))+($L906-1)*7+MATCH($M906,Listas!$F$5:$F$11,0)-1)</f>
        <v/>
      </c>
      <c r="P906" s="47" t="str">
        <f aca="false">IF(OR($F906="",$O906=""),"",$O906+MAX(0,ROUNDUP($AK906*MAX(1,IF($N906="",1,$N906))/MAX(1,$AL906),0)-1))</f>
        <v/>
      </c>
      <c r="Q906" s="48"/>
      <c r="R906" s="43"/>
      <c r="S906" s="49"/>
      <c r="T906" s="42"/>
      <c r="U906" s="42"/>
      <c r="V906" s="39" t="str">
        <f aca="false">IF($F906="","",IF(ISNUMBER(SEARCH("(externo)",$I906&amp;$J906&amp;$K906)),"Terceirizada","Interna"))</f>
        <v/>
      </c>
      <c r="W906" s="47" t="str">
        <f aca="false">IF($O906="","",IF($S906="",$O906,(DATE(Semana!$J$3,1,4)-WEEKDAY(DATE(Semana!$J$3,1,4),3))+($S906-1)*7+IF($M906="",0,MATCH($M906,Listas!$F$5:$F$11,0)-1)))</f>
        <v/>
      </c>
      <c r="X906" s="39" t="str">
        <f aca="false">IF($F906="","",IF(OR($AT906="",$O906=""),0,IF($AT906&lt;=$O906,1,0)))</f>
        <v/>
      </c>
      <c r="Y906" s="39" t="str">
        <f aca="false">IF($F906="","",IF(OR($AT906="",$W906=""),0,IF($AT906&lt;=$W906,1,0)))</f>
        <v/>
      </c>
      <c r="Z906" s="39" t="str">
        <f aca="false">IF(OR($AT906="",$O906=""),"",MAX(0,$AT906-$O906))</f>
        <v/>
      </c>
      <c r="AA906" s="39" t="str">
        <f aca="false">IF($F906="","",IF(AND($S906&lt;&gt;"",$L906&lt;&gt;"",$S906&lt;&gt;$L906),1,0))</f>
        <v/>
      </c>
      <c r="AB906" s="39" t="str">
        <f aca="false">IF($F906="","",IF($R906="Cancelada",0,IF(OR($AT906&lt;&gt;"",$R906="Concluída"),1,0)))</f>
        <v/>
      </c>
      <c r="AC906" s="39" t="n">
        <f aca="false">IF($P906="",0,IF($P906&lt;Hoje!$L$1,1,IF(AND($P906=Hoje!$L$1,Hoje!$L$2&gt;Semana!$M$3),1,0)))</f>
        <v>0</v>
      </c>
      <c r="AD906" s="39" t="str">
        <f aca="false">IF($F906="","",IF(COUNTA($I906:$K906)=0,0,1/COUNTA($I906:$K906)))</f>
        <v/>
      </c>
      <c r="AE906" s="39" t="str">
        <f aca="false">IF($AH906=0,"",SUM($AH$4:$AH906))</f>
        <v/>
      </c>
      <c r="AF906" s="39" t="str">
        <f aca="false">IF($AI906=0,"",SUM($AI$4:$AI906))</f>
        <v/>
      </c>
      <c r="AG906" s="50" t="str">
        <f aca="false">IF($F906="","",$I906&amp;IF($J906="",""," · "&amp;$J906)&amp;IF($K906="",""," · "&amp;$K906))</f>
        <v/>
      </c>
      <c r="AH906" s="39" t="n">
        <f aca="false">IF(AND($F906&lt;&gt;"",$O906&lt;&gt;"",$O906&lt;=Hoje!$C$3,$P906&gt;=Hoje!$C$3,$R906&lt;&gt;"Cancelada"),1,0)</f>
        <v>0</v>
      </c>
      <c r="AI906" s="39" t="n">
        <f aca="false">IF(AND($F906&lt;&gt;"",$P906&lt;&gt;"",$P906&lt;Hoje!$C$3,$AB906=0,$R906&lt;&gt;"Cancelada"),1,0)</f>
        <v>0</v>
      </c>
      <c r="AJ906" s="50" t="str">
        <f aca="false">IF($F906="","",$D906&amp;"|"&amp;$E906&amp;"|"&amp;$L906)</f>
        <v/>
      </c>
      <c r="AK906" s="39" t="str">
        <f aca="false">IF($AJ906="","",COUNTIF($AJ$4:$AJ906,$AJ906))</f>
        <v/>
      </c>
      <c r="AL906" s="39" t="str">
        <f aca="false">IF($AJ906="","",COUNTIF($AJ$4:$AJ$1004,$AJ906))</f>
        <v/>
      </c>
      <c r="AM906" s="42"/>
      <c r="AN906" s="50" t="str">
        <f aca="false">IF($D906="","",IFERROR(T(VLOOKUP($D906,Listas!$B$5:$H$120,7,0)),""))</f>
        <v/>
      </c>
      <c r="AO906" s="50" t="str">
        <f aca="false">IF(OR($F906="",$L906&lt;&gt;"",$R906="Cancelada",$AT906&lt;&gt;""),"",$AN906&amp;"|"&amp;$D906&amp;"|"&amp;IF($C906="","zzz",$C906)&amp;"|"&amp;TEXT(906,"0000"))</f>
        <v/>
      </c>
      <c r="AP906" s="50" t="str">
        <f aca="false">IF($AO906="","",COUNTIF($AO$5:$AO$1004,"&lt;"&amp;$AO906)-(ROWS($AO$5:$AO$1004)-Hoje!$L$5)+1)</f>
        <v/>
      </c>
      <c r="AQ906" s="50" t="n">
        <f aca="false">IF(AND($F906&lt;&gt;"",$D906=Frota!$C$3),1,0)</f>
        <v>0</v>
      </c>
      <c r="AR906" s="50" t="str">
        <f aca="false">IF($AQ906=0,"",SUM($AQ$4:$AQ906))</f>
        <v/>
      </c>
      <c r="AS906" s="50" t="str">
        <f aca="false">IFERROR(INDEX(Hoje!$K$10:$K$29,MATCH(ROW(),Hoje!$J$10:$J$29,0)),"")</f>
        <v/>
      </c>
      <c r="AT906" s="50" t="str">
        <f aca="false">IF($Q906&lt;&gt;"",$Q906,$AS906)</f>
        <v/>
      </c>
    </row>
    <row r="907" customFormat="false" ht="16.5" hidden="false" customHeight="true" outlineLevel="0" collapsed="false">
      <c r="A907" s="39" t="str">
        <f aca="false">IF($F907="","",ROW())</f>
        <v/>
      </c>
      <c r="B907" s="40" t="str">
        <f aca="false">IF($F907="",IF($D907="","","Falta a atividade"),IF($R907="Cancelada","Cancelada",IF($AB907=1,IF(N($Z907)&gt;0,"Concluída com atraso","Concluída"),IF($R907="Em programação","Em programação",IF($O907="",IF($M907="","Na carteira","Falta a semana"),IF($AC907=1,"VENCIDA",IF($O907&gt;Hoje!$L$1,"Programada",IF($P907&gt;Hoje!$L$1,"Em execução","Fecha hoje"))))))))</f>
        <v/>
      </c>
      <c r="C907" s="41"/>
      <c r="D907" s="42"/>
      <c r="E907" s="42"/>
      <c r="F907" s="42"/>
      <c r="G907" s="43"/>
      <c r="H907" s="43"/>
      <c r="I907" s="44"/>
      <c r="J907" s="44"/>
      <c r="K907" s="44"/>
      <c r="L907" s="45"/>
      <c r="M907" s="46"/>
      <c r="N907" s="45"/>
      <c r="O907" s="47" t="str">
        <f aca="false">IF(OR($L907="",$M907=""),"",(DATE(Semana!$J$3,1,4)-WEEKDAY(DATE(Semana!$J$3,1,4),3))+($L907-1)*7+MATCH($M907,Listas!$F$5:$F$11,0)-1)</f>
        <v/>
      </c>
      <c r="P907" s="47" t="str">
        <f aca="false">IF(OR($F907="",$O907=""),"",$O907+MAX(0,ROUNDUP($AK907*MAX(1,IF($N907="",1,$N907))/MAX(1,$AL907),0)-1))</f>
        <v/>
      </c>
      <c r="Q907" s="48"/>
      <c r="R907" s="43"/>
      <c r="S907" s="49"/>
      <c r="T907" s="42"/>
      <c r="U907" s="42"/>
      <c r="V907" s="39" t="str">
        <f aca="false">IF($F907="","",IF(ISNUMBER(SEARCH("(externo)",$I907&amp;$J907&amp;$K907)),"Terceirizada","Interna"))</f>
        <v/>
      </c>
      <c r="W907" s="47" t="str">
        <f aca="false">IF($O907="","",IF($S907="",$O907,(DATE(Semana!$J$3,1,4)-WEEKDAY(DATE(Semana!$J$3,1,4),3))+($S907-1)*7+IF($M907="",0,MATCH($M907,Listas!$F$5:$F$11,0)-1)))</f>
        <v/>
      </c>
      <c r="X907" s="39" t="str">
        <f aca="false">IF($F907="","",IF(OR($AT907="",$O907=""),0,IF($AT907&lt;=$O907,1,0)))</f>
        <v/>
      </c>
      <c r="Y907" s="39" t="str">
        <f aca="false">IF($F907="","",IF(OR($AT907="",$W907=""),0,IF($AT907&lt;=$W907,1,0)))</f>
        <v/>
      </c>
      <c r="Z907" s="39" t="str">
        <f aca="false">IF(OR($AT907="",$O907=""),"",MAX(0,$AT907-$O907))</f>
        <v/>
      </c>
      <c r="AA907" s="39" t="str">
        <f aca="false">IF($F907="","",IF(AND($S907&lt;&gt;"",$L907&lt;&gt;"",$S907&lt;&gt;$L907),1,0))</f>
        <v/>
      </c>
      <c r="AB907" s="39" t="str">
        <f aca="false">IF($F907="","",IF($R907="Cancelada",0,IF(OR($AT907&lt;&gt;"",$R907="Concluída"),1,0)))</f>
        <v/>
      </c>
      <c r="AC907" s="39" t="n">
        <f aca="false">IF($P907="",0,IF($P907&lt;Hoje!$L$1,1,IF(AND($P907=Hoje!$L$1,Hoje!$L$2&gt;Semana!$M$3),1,0)))</f>
        <v>0</v>
      </c>
      <c r="AD907" s="39" t="str">
        <f aca="false">IF($F907="","",IF(COUNTA($I907:$K907)=0,0,1/COUNTA($I907:$K907)))</f>
        <v/>
      </c>
      <c r="AE907" s="39" t="str">
        <f aca="false">IF($AH907=0,"",SUM($AH$4:$AH907))</f>
        <v/>
      </c>
      <c r="AF907" s="39" t="str">
        <f aca="false">IF($AI907=0,"",SUM($AI$4:$AI907))</f>
        <v/>
      </c>
      <c r="AG907" s="50" t="str">
        <f aca="false">IF($F907="","",$I907&amp;IF($J907="",""," · "&amp;$J907)&amp;IF($K907="",""," · "&amp;$K907))</f>
        <v/>
      </c>
      <c r="AH907" s="39" t="n">
        <f aca="false">IF(AND($F907&lt;&gt;"",$O907&lt;&gt;"",$O907&lt;=Hoje!$C$3,$P907&gt;=Hoje!$C$3,$R907&lt;&gt;"Cancelada"),1,0)</f>
        <v>0</v>
      </c>
      <c r="AI907" s="39" t="n">
        <f aca="false">IF(AND($F907&lt;&gt;"",$P907&lt;&gt;"",$P907&lt;Hoje!$C$3,$AB907=0,$R907&lt;&gt;"Cancelada"),1,0)</f>
        <v>0</v>
      </c>
      <c r="AJ907" s="50" t="str">
        <f aca="false">IF($F907="","",$D907&amp;"|"&amp;$E907&amp;"|"&amp;$L907)</f>
        <v/>
      </c>
      <c r="AK907" s="39" t="str">
        <f aca="false">IF($AJ907="","",COUNTIF($AJ$4:$AJ907,$AJ907))</f>
        <v/>
      </c>
      <c r="AL907" s="39" t="str">
        <f aca="false">IF($AJ907="","",COUNTIF($AJ$4:$AJ$1004,$AJ907))</f>
        <v/>
      </c>
      <c r="AM907" s="42"/>
      <c r="AN907" s="50" t="str">
        <f aca="false">IF($D907="","",IFERROR(T(VLOOKUP($D907,Listas!$B$5:$H$120,7,0)),""))</f>
        <v/>
      </c>
      <c r="AO907" s="50" t="str">
        <f aca="false">IF(OR($F907="",$L907&lt;&gt;"",$R907="Cancelada",$AT907&lt;&gt;""),"",$AN907&amp;"|"&amp;$D907&amp;"|"&amp;IF($C907="","zzz",$C907)&amp;"|"&amp;TEXT(907,"0000"))</f>
        <v/>
      </c>
      <c r="AP907" s="50" t="str">
        <f aca="false">IF($AO907="","",COUNTIF($AO$5:$AO$1004,"&lt;"&amp;$AO907)-(ROWS($AO$5:$AO$1004)-Hoje!$L$5)+1)</f>
        <v/>
      </c>
      <c r="AQ907" s="50" t="n">
        <f aca="false">IF(AND($F907&lt;&gt;"",$D907=Frota!$C$3),1,0)</f>
        <v>0</v>
      </c>
      <c r="AR907" s="50" t="str">
        <f aca="false">IF($AQ907=0,"",SUM($AQ$4:$AQ907))</f>
        <v/>
      </c>
      <c r="AS907" s="50" t="str">
        <f aca="false">IFERROR(INDEX(Hoje!$K$10:$K$29,MATCH(ROW(),Hoje!$J$10:$J$29,0)),"")</f>
        <v/>
      </c>
      <c r="AT907" s="50" t="str">
        <f aca="false">IF($Q907&lt;&gt;"",$Q907,$AS907)</f>
        <v/>
      </c>
    </row>
    <row r="908" customFormat="false" ht="16.5" hidden="false" customHeight="true" outlineLevel="0" collapsed="false">
      <c r="A908" s="39" t="str">
        <f aca="false">IF($F908="","",ROW())</f>
        <v/>
      </c>
      <c r="B908" s="40" t="str">
        <f aca="false">IF($F908="",IF($D908="","","Falta a atividade"),IF($R908="Cancelada","Cancelada",IF($AB908=1,IF(N($Z908)&gt;0,"Concluída com atraso","Concluída"),IF($R908="Em programação","Em programação",IF($O908="",IF($M908="","Na carteira","Falta a semana"),IF($AC908=1,"VENCIDA",IF($O908&gt;Hoje!$L$1,"Programada",IF($P908&gt;Hoje!$L$1,"Em execução","Fecha hoje"))))))))</f>
        <v/>
      </c>
      <c r="C908" s="41"/>
      <c r="D908" s="42"/>
      <c r="E908" s="42"/>
      <c r="F908" s="42"/>
      <c r="G908" s="43"/>
      <c r="H908" s="43"/>
      <c r="I908" s="44"/>
      <c r="J908" s="44"/>
      <c r="K908" s="44"/>
      <c r="L908" s="45"/>
      <c r="M908" s="46"/>
      <c r="N908" s="45"/>
      <c r="O908" s="47" t="str">
        <f aca="false">IF(OR($L908="",$M908=""),"",(DATE(Semana!$J$3,1,4)-WEEKDAY(DATE(Semana!$J$3,1,4),3))+($L908-1)*7+MATCH($M908,Listas!$F$5:$F$11,0)-1)</f>
        <v/>
      </c>
      <c r="P908" s="47" t="str">
        <f aca="false">IF(OR($F908="",$O908=""),"",$O908+MAX(0,ROUNDUP($AK908*MAX(1,IF($N908="",1,$N908))/MAX(1,$AL908),0)-1))</f>
        <v/>
      </c>
      <c r="Q908" s="48"/>
      <c r="R908" s="43"/>
      <c r="S908" s="49"/>
      <c r="T908" s="42"/>
      <c r="U908" s="42"/>
      <c r="V908" s="39" t="str">
        <f aca="false">IF($F908="","",IF(ISNUMBER(SEARCH("(externo)",$I908&amp;$J908&amp;$K908)),"Terceirizada","Interna"))</f>
        <v/>
      </c>
      <c r="W908" s="47" t="str">
        <f aca="false">IF($O908="","",IF($S908="",$O908,(DATE(Semana!$J$3,1,4)-WEEKDAY(DATE(Semana!$J$3,1,4),3))+($S908-1)*7+IF($M908="",0,MATCH($M908,Listas!$F$5:$F$11,0)-1)))</f>
        <v/>
      </c>
      <c r="X908" s="39" t="str">
        <f aca="false">IF($F908="","",IF(OR($AT908="",$O908=""),0,IF($AT908&lt;=$O908,1,0)))</f>
        <v/>
      </c>
      <c r="Y908" s="39" t="str">
        <f aca="false">IF($F908="","",IF(OR($AT908="",$W908=""),0,IF($AT908&lt;=$W908,1,0)))</f>
        <v/>
      </c>
      <c r="Z908" s="39" t="str">
        <f aca="false">IF(OR($AT908="",$O908=""),"",MAX(0,$AT908-$O908))</f>
        <v/>
      </c>
      <c r="AA908" s="39" t="str">
        <f aca="false">IF($F908="","",IF(AND($S908&lt;&gt;"",$L908&lt;&gt;"",$S908&lt;&gt;$L908),1,0))</f>
        <v/>
      </c>
      <c r="AB908" s="39" t="str">
        <f aca="false">IF($F908="","",IF($R908="Cancelada",0,IF(OR($AT908&lt;&gt;"",$R908="Concluída"),1,0)))</f>
        <v/>
      </c>
      <c r="AC908" s="39" t="n">
        <f aca="false">IF($P908="",0,IF($P908&lt;Hoje!$L$1,1,IF(AND($P908=Hoje!$L$1,Hoje!$L$2&gt;Semana!$M$3),1,0)))</f>
        <v>0</v>
      </c>
      <c r="AD908" s="39" t="str">
        <f aca="false">IF($F908="","",IF(COUNTA($I908:$K908)=0,0,1/COUNTA($I908:$K908)))</f>
        <v/>
      </c>
      <c r="AE908" s="39" t="str">
        <f aca="false">IF($AH908=0,"",SUM($AH$4:$AH908))</f>
        <v/>
      </c>
      <c r="AF908" s="39" t="str">
        <f aca="false">IF($AI908=0,"",SUM($AI$4:$AI908))</f>
        <v/>
      </c>
      <c r="AG908" s="50" t="str">
        <f aca="false">IF($F908="","",$I908&amp;IF($J908="",""," · "&amp;$J908)&amp;IF($K908="",""," · "&amp;$K908))</f>
        <v/>
      </c>
      <c r="AH908" s="39" t="n">
        <f aca="false">IF(AND($F908&lt;&gt;"",$O908&lt;&gt;"",$O908&lt;=Hoje!$C$3,$P908&gt;=Hoje!$C$3,$R908&lt;&gt;"Cancelada"),1,0)</f>
        <v>0</v>
      </c>
      <c r="AI908" s="39" t="n">
        <f aca="false">IF(AND($F908&lt;&gt;"",$P908&lt;&gt;"",$P908&lt;Hoje!$C$3,$AB908=0,$R908&lt;&gt;"Cancelada"),1,0)</f>
        <v>0</v>
      </c>
      <c r="AJ908" s="50" t="str">
        <f aca="false">IF($F908="","",$D908&amp;"|"&amp;$E908&amp;"|"&amp;$L908)</f>
        <v/>
      </c>
      <c r="AK908" s="39" t="str">
        <f aca="false">IF($AJ908="","",COUNTIF($AJ$4:$AJ908,$AJ908))</f>
        <v/>
      </c>
      <c r="AL908" s="39" t="str">
        <f aca="false">IF($AJ908="","",COUNTIF($AJ$4:$AJ$1004,$AJ908))</f>
        <v/>
      </c>
      <c r="AM908" s="42"/>
      <c r="AN908" s="50" t="str">
        <f aca="false">IF($D908="","",IFERROR(T(VLOOKUP($D908,Listas!$B$5:$H$120,7,0)),""))</f>
        <v/>
      </c>
      <c r="AO908" s="50" t="str">
        <f aca="false">IF(OR($F908="",$L908&lt;&gt;"",$R908="Cancelada",$AT908&lt;&gt;""),"",$AN908&amp;"|"&amp;$D908&amp;"|"&amp;IF($C908="","zzz",$C908)&amp;"|"&amp;TEXT(908,"0000"))</f>
        <v/>
      </c>
      <c r="AP908" s="50" t="str">
        <f aca="false">IF($AO908="","",COUNTIF($AO$5:$AO$1004,"&lt;"&amp;$AO908)-(ROWS($AO$5:$AO$1004)-Hoje!$L$5)+1)</f>
        <v/>
      </c>
      <c r="AQ908" s="50" t="n">
        <f aca="false">IF(AND($F908&lt;&gt;"",$D908=Frota!$C$3),1,0)</f>
        <v>0</v>
      </c>
      <c r="AR908" s="50" t="str">
        <f aca="false">IF($AQ908=0,"",SUM($AQ$4:$AQ908))</f>
        <v/>
      </c>
      <c r="AS908" s="50" t="str">
        <f aca="false">IFERROR(INDEX(Hoje!$K$10:$K$29,MATCH(ROW(),Hoje!$J$10:$J$29,0)),"")</f>
        <v/>
      </c>
      <c r="AT908" s="50" t="str">
        <f aca="false">IF($Q908&lt;&gt;"",$Q908,$AS908)</f>
        <v/>
      </c>
    </row>
    <row r="909" customFormat="false" ht="16.5" hidden="false" customHeight="true" outlineLevel="0" collapsed="false">
      <c r="A909" s="39" t="str">
        <f aca="false">IF($F909="","",ROW())</f>
        <v/>
      </c>
      <c r="B909" s="40" t="str">
        <f aca="false">IF($F909="",IF($D909="","","Falta a atividade"),IF($R909="Cancelada","Cancelada",IF($AB909=1,IF(N($Z909)&gt;0,"Concluída com atraso","Concluída"),IF($R909="Em programação","Em programação",IF($O909="",IF($M909="","Na carteira","Falta a semana"),IF($AC909=1,"VENCIDA",IF($O909&gt;Hoje!$L$1,"Programada",IF($P909&gt;Hoje!$L$1,"Em execução","Fecha hoje"))))))))</f>
        <v/>
      </c>
      <c r="C909" s="41"/>
      <c r="D909" s="42"/>
      <c r="E909" s="42"/>
      <c r="F909" s="42"/>
      <c r="G909" s="43"/>
      <c r="H909" s="43"/>
      <c r="I909" s="44"/>
      <c r="J909" s="44"/>
      <c r="K909" s="44"/>
      <c r="L909" s="45"/>
      <c r="M909" s="46"/>
      <c r="N909" s="45"/>
      <c r="O909" s="47" t="str">
        <f aca="false">IF(OR($L909="",$M909=""),"",(DATE(Semana!$J$3,1,4)-WEEKDAY(DATE(Semana!$J$3,1,4),3))+($L909-1)*7+MATCH($M909,Listas!$F$5:$F$11,0)-1)</f>
        <v/>
      </c>
      <c r="P909" s="47" t="str">
        <f aca="false">IF(OR($F909="",$O909=""),"",$O909+MAX(0,ROUNDUP($AK909*MAX(1,IF($N909="",1,$N909))/MAX(1,$AL909),0)-1))</f>
        <v/>
      </c>
      <c r="Q909" s="48"/>
      <c r="R909" s="43"/>
      <c r="S909" s="49"/>
      <c r="T909" s="42"/>
      <c r="U909" s="42"/>
      <c r="V909" s="39" t="str">
        <f aca="false">IF($F909="","",IF(ISNUMBER(SEARCH("(externo)",$I909&amp;$J909&amp;$K909)),"Terceirizada","Interna"))</f>
        <v/>
      </c>
      <c r="W909" s="47" t="str">
        <f aca="false">IF($O909="","",IF($S909="",$O909,(DATE(Semana!$J$3,1,4)-WEEKDAY(DATE(Semana!$J$3,1,4),3))+($S909-1)*7+IF($M909="",0,MATCH($M909,Listas!$F$5:$F$11,0)-1)))</f>
        <v/>
      </c>
      <c r="X909" s="39" t="str">
        <f aca="false">IF($F909="","",IF(OR($AT909="",$O909=""),0,IF($AT909&lt;=$O909,1,0)))</f>
        <v/>
      </c>
      <c r="Y909" s="39" t="str">
        <f aca="false">IF($F909="","",IF(OR($AT909="",$W909=""),0,IF($AT909&lt;=$W909,1,0)))</f>
        <v/>
      </c>
      <c r="Z909" s="39" t="str">
        <f aca="false">IF(OR($AT909="",$O909=""),"",MAX(0,$AT909-$O909))</f>
        <v/>
      </c>
      <c r="AA909" s="39" t="str">
        <f aca="false">IF($F909="","",IF(AND($S909&lt;&gt;"",$L909&lt;&gt;"",$S909&lt;&gt;$L909),1,0))</f>
        <v/>
      </c>
      <c r="AB909" s="39" t="str">
        <f aca="false">IF($F909="","",IF($R909="Cancelada",0,IF(OR($AT909&lt;&gt;"",$R909="Concluída"),1,0)))</f>
        <v/>
      </c>
      <c r="AC909" s="39" t="n">
        <f aca="false">IF($P909="",0,IF($P909&lt;Hoje!$L$1,1,IF(AND($P909=Hoje!$L$1,Hoje!$L$2&gt;Semana!$M$3),1,0)))</f>
        <v>0</v>
      </c>
      <c r="AD909" s="39" t="str">
        <f aca="false">IF($F909="","",IF(COUNTA($I909:$K909)=0,0,1/COUNTA($I909:$K909)))</f>
        <v/>
      </c>
      <c r="AE909" s="39" t="str">
        <f aca="false">IF($AH909=0,"",SUM($AH$4:$AH909))</f>
        <v/>
      </c>
      <c r="AF909" s="39" t="str">
        <f aca="false">IF($AI909=0,"",SUM($AI$4:$AI909))</f>
        <v/>
      </c>
      <c r="AG909" s="50" t="str">
        <f aca="false">IF($F909="","",$I909&amp;IF($J909="",""," · "&amp;$J909)&amp;IF($K909="",""," · "&amp;$K909))</f>
        <v/>
      </c>
      <c r="AH909" s="39" t="n">
        <f aca="false">IF(AND($F909&lt;&gt;"",$O909&lt;&gt;"",$O909&lt;=Hoje!$C$3,$P909&gt;=Hoje!$C$3,$R909&lt;&gt;"Cancelada"),1,0)</f>
        <v>0</v>
      </c>
      <c r="AI909" s="39" t="n">
        <f aca="false">IF(AND($F909&lt;&gt;"",$P909&lt;&gt;"",$P909&lt;Hoje!$C$3,$AB909=0,$R909&lt;&gt;"Cancelada"),1,0)</f>
        <v>0</v>
      </c>
      <c r="AJ909" s="50" t="str">
        <f aca="false">IF($F909="","",$D909&amp;"|"&amp;$E909&amp;"|"&amp;$L909)</f>
        <v/>
      </c>
      <c r="AK909" s="39" t="str">
        <f aca="false">IF($AJ909="","",COUNTIF($AJ$4:$AJ909,$AJ909))</f>
        <v/>
      </c>
      <c r="AL909" s="39" t="str">
        <f aca="false">IF($AJ909="","",COUNTIF($AJ$4:$AJ$1004,$AJ909))</f>
        <v/>
      </c>
      <c r="AM909" s="42"/>
      <c r="AN909" s="50" t="str">
        <f aca="false">IF($D909="","",IFERROR(T(VLOOKUP($D909,Listas!$B$5:$H$120,7,0)),""))</f>
        <v/>
      </c>
      <c r="AO909" s="50" t="str">
        <f aca="false">IF(OR($F909="",$L909&lt;&gt;"",$R909="Cancelada",$AT909&lt;&gt;""),"",$AN909&amp;"|"&amp;$D909&amp;"|"&amp;IF($C909="","zzz",$C909)&amp;"|"&amp;TEXT(909,"0000"))</f>
        <v/>
      </c>
      <c r="AP909" s="50" t="str">
        <f aca="false">IF($AO909="","",COUNTIF($AO$5:$AO$1004,"&lt;"&amp;$AO909)-(ROWS($AO$5:$AO$1004)-Hoje!$L$5)+1)</f>
        <v/>
      </c>
      <c r="AQ909" s="50" t="n">
        <f aca="false">IF(AND($F909&lt;&gt;"",$D909=Frota!$C$3),1,0)</f>
        <v>0</v>
      </c>
      <c r="AR909" s="50" t="str">
        <f aca="false">IF($AQ909=0,"",SUM($AQ$4:$AQ909))</f>
        <v/>
      </c>
      <c r="AS909" s="50" t="str">
        <f aca="false">IFERROR(INDEX(Hoje!$K$10:$K$29,MATCH(ROW(),Hoje!$J$10:$J$29,0)),"")</f>
        <v/>
      </c>
      <c r="AT909" s="50" t="str">
        <f aca="false">IF($Q909&lt;&gt;"",$Q909,$AS909)</f>
        <v/>
      </c>
    </row>
    <row r="910" customFormat="false" ht="16.5" hidden="false" customHeight="true" outlineLevel="0" collapsed="false">
      <c r="A910" s="39" t="str">
        <f aca="false">IF($F910="","",ROW())</f>
        <v/>
      </c>
      <c r="B910" s="40" t="str">
        <f aca="false">IF($F910="",IF($D910="","","Falta a atividade"),IF($R910="Cancelada","Cancelada",IF($AB910=1,IF(N($Z910)&gt;0,"Concluída com atraso","Concluída"),IF($R910="Em programação","Em programação",IF($O910="",IF($M910="","Na carteira","Falta a semana"),IF($AC910=1,"VENCIDA",IF($O910&gt;Hoje!$L$1,"Programada",IF($P910&gt;Hoje!$L$1,"Em execução","Fecha hoje"))))))))</f>
        <v/>
      </c>
      <c r="C910" s="41"/>
      <c r="D910" s="42"/>
      <c r="E910" s="42"/>
      <c r="F910" s="42"/>
      <c r="G910" s="43"/>
      <c r="H910" s="43"/>
      <c r="I910" s="44"/>
      <c r="J910" s="44"/>
      <c r="K910" s="44"/>
      <c r="L910" s="45"/>
      <c r="M910" s="46"/>
      <c r="N910" s="45"/>
      <c r="O910" s="47" t="str">
        <f aca="false">IF(OR($L910="",$M910=""),"",(DATE(Semana!$J$3,1,4)-WEEKDAY(DATE(Semana!$J$3,1,4),3))+($L910-1)*7+MATCH($M910,Listas!$F$5:$F$11,0)-1)</f>
        <v/>
      </c>
      <c r="P910" s="47" t="str">
        <f aca="false">IF(OR($F910="",$O910=""),"",$O910+MAX(0,ROUNDUP($AK910*MAX(1,IF($N910="",1,$N910))/MAX(1,$AL910),0)-1))</f>
        <v/>
      </c>
      <c r="Q910" s="48"/>
      <c r="R910" s="43"/>
      <c r="S910" s="49"/>
      <c r="T910" s="42"/>
      <c r="U910" s="42"/>
      <c r="V910" s="39" t="str">
        <f aca="false">IF($F910="","",IF(ISNUMBER(SEARCH("(externo)",$I910&amp;$J910&amp;$K910)),"Terceirizada","Interna"))</f>
        <v/>
      </c>
      <c r="W910" s="47" t="str">
        <f aca="false">IF($O910="","",IF($S910="",$O910,(DATE(Semana!$J$3,1,4)-WEEKDAY(DATE(Semana!$J$3,1,4),3))+($S910-1)*7+IF($M910="",0,MATCH($M910,Listas!$F$5:$F$11,0)-1)))</f>
        <v/>
      </c>
      <c r="X910" s="39" t="str">
        <f aca="false">IF($F910="","",IF(OR($AT910="",$O910=""),0,IF($AT910&lt;=$O910,1,0)))</f>
        <v/>
      </c>
      <c r="Y910" s="39" t="str">
        <f aca="false">IF($F910="","",IF(OR($AT910="",$W910=""),0,IF($AT910&lt;=$W910,1,0)))</f>
        <v/>
      </c>
      <c r="Z910" s="39" t="str">
        <f aca="false">IF(OR($AT910="",$O910=""),"",MAX(0,$AT910-$O910))</f>
        <v/>
      </c>
      <c r="AA910" s="39" t="str">
        <f aca="false">IF($F910="","",IF(AND($S910&lt;&gt;"",$L910&lt;&gt;"",$S910&lt;&gt;$L910),1,0))</f>
        <v/>
      </c>
      <c r="AB910" s="39" t="str">
        <f aca="false">IF($F910="","",IF($R910="Cancelada",0,IF(OR($AT910&lt;&gt;"",$R910="Concluída"),1,0)))</f>
        <v/>
      </c>
      <c r="AC910" s="39" t="n">
        <f aca="false">IF($P910="",0,IF($P910&lt;Hoje!$L$1,1,IF(AND($P910=Hoje!$L$1,Hoje!$L$2&gt;Semana!$M$3),1,0)))</f>
        <v>0</v>
      </c>
      <c r="AD910" s="39" t="str">
        <f aca="false">IF($F910="","",IF(COUNTA($I910:$K910)=0,0,1/COUNTA($I910:$K910)))</f>
        <v/>
      </c>
      <c r="AE910" s="39" t="str">
        <f aca="false">IF($AH910=0,"",SUM($AH$4:$AH910))</f>
        <v/>
      </c>
      <c r="AF910" s="39" t="str">
        <f aca="false">IF($AI910=0,"",SUM($AI$4:$AI910))</f>
        <v/>
      </c>
      <c r="AG910" s="50" t="str">
        <f aca="false">IF($F910="","",$I910&amp;IF($J910="",""," · "&amp;$J910)&amp;IF($K910="",""," · "&amp;$K910))</f>
        <v/>
      </c>
      <c r="AH910" s="39" t="n">
        <f aca="false">IF(AND($F910&lt;&gt;"",$O910&lt;&gt;"",$O910&lt;=Hoje!$C$3,$P910&gt;=Hoje!$C$3,$R910&lt;&gt;"Cancelada"),1,0)</f>
        <v>0</v>
      </c>
      <c r="AI910" s="39" t="n">
        <f aca="false">IF(AND($F910&lt;&gt;"",$P910&lt;&gt;"",$P910&lt;Hoje!$C$3,$AB910=0,$R910&lt;&gt;"Cancelada"),1,0)</f>
        <v>0</v>
      </c>
      <c r="AJ910" s="50" t="str">
        <f aca="false">IF($F910="","",$D910&amp;"|"&amp;$E910&amp;"|"&amp;$L910)</f>
        <v/>
      </c>
      <c r="AK910" s="39" t="str">
        <f aca="false">IF($AJ910="","",COUNTIF($AJ$4:$AJ910,$AJ910))</f>
        <v/>
      </c>
      <c r="AL910" s="39" t="str">
        <f aca="false">IF($AJ910="","",COUNTIF($AJ$4:$AJ$1004,$AJ910))</f>
        <v/>
      </c>
      <c r="AM910" s="42"/>
      <c r="AN910" s="50" t="str">
        <f aca="false">IF($D910="","",IFERROR(T(VLOOKUP($D910,Listas!$B$5:$H$120,7,0)),""))</f>
        <v/>
      </c>
      <c r="AO910" s="50" t="str">
        <f aca="false">IF(OR($F910="",$L910&lt;&gt;"",$R910="Cancelada",$AT910&lt;&gt;""),"",$AN910&amp;"|"&amp;$D910&amp;"|"&amp;IF($C910="","zzz",$C910)&amp;"|"&amp;TEXT(910,"0000"))</f>
        <v/>
      </c>
      <c r="AP910" s="50" t="str">
        <f aca="false">IF($AO910="","",COUNTIF($AO$5:$AO$1004,"&lt;"&amp;$AO910)-(ROWS($AO$5:$AO$1004)-Hoje!$L$5)+1)</f>
        <v/>
      </c>
      <c r="AQ910" s="50" t="n">
        <f aca="false">IF(AND($F910&lt;&gt;"",$D910=Frota!$C$3),1,0)</f>
        <v>0</v>
      </c>
      <c r="AR910" s="50" t="str">
        <f aca="false">IF($AQ910=0,"",SUM($AQ$4:$AQ910))</f>
        <v/>
      </c>
      <c r="AS910" s="50" t="str">
        <f aca="false">IFERROR(INDEX(Hoje!$K$10:$K$29,MATCH(ROW(),Hoje!$J$10:$J$29,0)),"")</f>
        <v/>
      </c>
      <c r="AT910" s="50" t="str">
        <f aca="false">IF($Q910&lt;&gt;"",$Q910,$AS910)</f>
        <v/>
      </c>
    </row>
    <row r="911" customFormat="false" ht="16.5" hidden="false" customHeight="true" outlineLevel="0" collapsed="false">
      <c r="A911" s="39" t="str">
        <f aca="false">IF($F911="","",ROW())</f>
        <v/>
      </c>
      <c r="B911" s="40" t="str">
        <f aca="false">IF($F911="",IF($D911="","","Falta a atividade"),IF($R911="Cancelada","Cancelada",IF($AB911=1,IF(N($Z911)&gt;0,"Concluída com atraso","Concluída"),IF($R911="Em programação","Em programação",IF($O911="",IF($M911="","Na carteira","Falta a semana"),IF($AC911=1,"VENCIDA",IF($O911&gt;Hoje!$L$1,"Programada",IF($P911&gt;Hoje!$L$1,"Em execução","Fecha hoje"))))))))</f>
        <v/>
      </c>
      <c r="C911" s="41"/>
      <c r="D911" s="42"/>
      <c r="E911" s="42"/>
      <c r="F911" s="42"/>
      <c r="G911" s="43"/>
      <c r="H911" s="43"/>
      <c r="I911" s="44"/>
      <c r="J911" s="44"/>
      <c r="K911" s="44"/>
      <c r="L911" s="45"/>
      <c r="M911" s="46"/>
      <c r="N911" s="45"/>
      <c r="O911" s="47" t="str">
        <f aca="false">IF(OR($L911="",$M911=""),"",(DATE(Semana!$J$3,1,4)-WEEKDAY(DATE(Semana!$J$3,1,4),3))+($L911-1)*7+MATCH($M911,Listas!$F$5:$F$11,0)-1)</f>
        <v/>
      </c>
      <c r="P911" s="47" t="str">
        <f aca="false">IF(OR($F911="",$O911=""),"",$O911+MAX(0,ROUNDUP($AK911*MAX(1,IF($N911="",1,$N911))/MAX(1,$AL911),0)-1))</f>
        <v/>
      </c>
      <c r="Q911" s="48"/>
      <c r="R911" s="43"/>
      <c r="S911" s="49"/>
      <c r="T911" s="42"/>
      <c r="U911" s="42"/>
      <c r="V911" s="39" t="str">
        <f aca="false">IF($F911="","",IF(ISNUMBER(SEARCH("(externo)",$I911&amp;$J911&amp;$K911)),"Terceirizada","Interna"))</f>
        <v/>
      </c>
      <c r="W911" s="47" t="str">
        <f aca="false">IF($O911="","",IF($S911="",$O911,(DATE(Semana!$J$3,1,4)-WEEKDAY(DATE(Semana!$J$3,1,4),3))+($S911-1)*7+IF($M911="",0,MATCH($M911,Listas!$F$5:$F$11,0)-1)))</f>
        <v/>
      </c>
      <c r="X911" s="39" t="str">
        <f aca="false">IF($F911="","",IF(OR($AT911="",$O911=""),0,IF($AT911&lt;=$O911,1,0)))</f>
        <v/>
      </c>
      <c r="Y911" s="39" t="str">
        <f aca="false">IF($F911="","",IF(OR($AT911="",$W911=""),0,IF($AT911&lt;=$W911,1,0)))</f>
        <v/>
      </c>
      <c r="Z911" s="39" t="str">
        <f aca="false">IF(OR($AT911="",$O911=""),"",MAX(0,$AT911-$O911))</f>
        <v/>
      </c>
      <c r="AA911" s="39" t="str">
        <f aca="false">IF($F911="","",IF(AND($S911&lt;&gt;"",$L911&lt;&gt;"",$S911&lt;&gt;$L911),1,0))</f>
        <v/>
      </c>
      <c r="AB911" s="39" t="str">
        <f aca="false">IF($F911="","",IF($R911="Cancelada",0,IF(OR($AT911&lt;&gt;"",$R911="Concluída"),1,0)))</f>
        <v/>
      </c>
      <c r="AC911" s="39" t="n">
        <f aca="false">IF($P911="",0,IF($P911&lt;Hoje!$L$1,1,IF(AND($P911=Hoje!$L$1,Hoje!$L$2&gt;Semana!$M$3),1,0)))</f>
        <v>0</v>
      </c>
      <c r="AD911" s="39" t="str">
        <f aca="false">IF($F911="","",IF(COUNTA($I911:$K911)=0,0,1/COUNTA($I911:$K911)))</f>
        <v/>
      </c>
      <c r="AE911" s="39" t="str">
        <f aca="false">IF($AH911=0,"",SUM($AH$4:$AH911))</f>
        <v/>
      </c>
      <c r="AF911" s="39" t="str">
        <f aca="false">IF($AI911=0,"",SUM($AI$4:$AI911))</f>
        <v/>
      </c>
      <c r="AG911" s="50" t="str">
        <f aca="false">IF($F911="","",$I911&amp;IF($J911="",""," · "&amp;$J911)&amp;IF($K911="",""," · "&amp;$K911))</f>
        <v/>
      </c>
      <c r="AH911" s="39" t="n">
        <f aca="false">IF(AND($F911&lt;&gt;"",$O911&lt;&gt;"",$O911&lt;=Hoje!$C$3,$P911&gt;=Hoje!$C$3,$R911&lt;&gt;"Cancelada"),1,0)</f>
        <v>0</v>
      </c>
      <c r="AI911" s="39" t="n">
        <f aca="false">IF(AND($F911&lt;&gt;"",$P911&lt;&gt;"",$P911&lt;Hoje!$C$3,$AB911=0,$R911&lt;&gt;"Cancelada"),1,0)</f>
        <v>0</v>
      </c>
      <c r="AJ911" s="50" t="str">
        <f aca="false">IF($F911="","",$D911&amp;"|"&amp;$E911&amp;"|"&amp;$L911)</f>
        <v/>
      </c>
      <c r="AK911" s="39" t="str">
        <f aca="false">IF($AJ911="","",COUNTIF($AJ$4:$AJ911,$AJ911))</f>
        <v/>
      </c>
      <c r="AL911" s="39" t="str">
        <f aca="false">IF($AJ911="","",COUNTIF($AJ$4:$AJ$1004,$AJ911))</f>
        <v/>
      </c>
      <c r="AM911" s="42"/>
      <c r="AN911" s="50" t="str">
        <f aca="false">IF($D911="","",IFERROR(T(VLOOKUP($D911,Listas!$B$5:$H$120,7,0)),""))</f>
        <v/>
      </c>
      <c r="AO911" s="50" t="str">
        <f aca="false">IF(OR($F911="",$L911&lt;&gt;"",$R911="Cancelada",$AT911&lt;&gt;""),"",$AN911&amp;"|"&amp;$D911&amp;"|"&amp;IF($C911="","zzz",$C911)&amp;"|"&amp;TEXT(911,"0000"))</f>
        <v/>
      </c>
      <c r="AP911" s="50" t="str">
        <f aca="false">IF($AO911="","",COUNTIF($AO$5:$AO$1004,"&lt;"&amp;$AO911)-(ROWS($AO$5:$AO$1004)-Hoje!$L$5)+1)</f>
        <v/>
      </c>
      <c r="AQ911" s="50" t="n">
        <f aca="false">IF(AND($F911&lt;&gt;"",$D911=Frota!$C$3),1,0)</f>
        <v>0</v>
      </c>
      <c r="AR911" s="50" t="str">
        <f aca="false">IF($AQ911=0,"",SUM($AQ$4:$AQ911))</f>
        <v/>
      </c>
      <c r="AS911" s="50" t="str">
        <f aca="false">IFERROR(INDEX(Hoje!$K$10:$K$29,MATCH(ROW(),Hoje!$J$10:$J$29,0)),"")</f>
        <v/>
      </c>
      <c r="AT911" s="50" t="str">
        <f aca="false">IF($Q911&lt;&gt;"",$Q911,$AS911)</f>
        <v/>
      </c>
    </row>
    <row r="912" customFormat="false" ht="16.5" hidden="false" customHeight="true" outlineLevel="0" collapsed="false">
      <c r="A912" s="39" t="str">
        <f aca="false">IF($F912="","",ROW())</f>
        <v/>
      </c>
      <c r="B912" s="40" t="str">
        <f aca="false">IF($F912="",IF($D912="","","Falta a atividade"),IF($R912="Cancelada","Cancelada",IF($AB912=1,IF(N($Z912)&gt;0,"Concluída com atraso","Concluída"),IF($R912="Em programação","Em programação",IF($O912="",IF($M912="","Na carteira","Falta a semana"),IF($AC912=1,"VENCIDA",IF($O912&gt;Hoje!$L$1,"Programada",IF($P912&gt;Hoje!$L$1,"Em execução","Fecha hoje"))))))))</f>
        <v/>
      </c>
      <c r="C912" s="41"/>
      <c r="D912" s="42"/>
      <c r="E912" s="42"/>
      <c r="F912" s="42"/>
      <c r="G912" s="43"/>
      <c r="H912" s="43"/>
      <c r="I912" s="44"/>
      <c r="J912" s="44"/>
      <c r="K912" s="44"/>
      <c r="L912" s="45"/>
      <c r="M912" s="46"/>
      <c r="N912" s="45"/>
      <c r="O912" s="47" t="str">
        <f aca="false">IF(OR($L912="",$M912=""),"",(DATE(Semana!$J$3,1,4)-WEEKDAY(DATE(Semana!$J$3,1,4),3))+($L912-1)*7+MATCH($M912,Listas!$F$5:$F$11,0)-1)</f>
        <v/>
      </c>
      <c r="P912" s="47" t="str">
        <f aca="false">IF(OR($F912="",$O912=""),"",$O912+MAX(0,ROUNDUP($AK912*MAX(1,IF($N912="",1,$N912))/MAX(1,$AL912),0)-1))</f>
        <v/>
      </c>
      <c r="Q912" s="48"/>
      <c r="R912" s="43"/>
      <c r="S912" s="49"/>
      <c r="T912" s="42"/>
      <c r="U912" s="42"/>
      <c r="V912" s="39" t="str">
        <f aca="false">IF($F912="","",IF(ISNUMBER(SEARCH("(externo)",$I912&amp;$J912&amp;$K912)),"Terceirizada","Interna"))</f>
        <v/>
      </c>
      <c r="W912" s="47" t="str">
        <f aca="false">IF($O912="","",IF($S912="",$O912,(DATE(Semana!$J$3,1,4)-WEEKDAY(DATE(Semana!$J$3,1,4),3))+($S912-1)*7+IF($M912="",0,MATCH($M912,Listas!$F$5:$F$11,0)-1)))</f>
        <v/>
      </c>
      <c r="X912" s="39" t="str">
        <f aca="false">IF($F912="","",IF(OR($AT912="",$O912=""),0,IF($AT912&lt;=$O912,1,0)))</f>
        <v/>
      </c>
      <c r="Y912" s="39" t="str">
        <f aca="false">IF($F912="","",IF(OR($AT912="",$W912=""),0,IF($AT912&lt;=$W912,1,0)))</f>
        <v/>
      </c>
      <c r="Z912" s="39" t="str">
        <f aca="false">IF(OR($AT912="",$O912=""),"",MAX(0,$AT912-$O912))</f>
        <v/>
      </c>
      <c r="AA912" s="39" t="str">
        <f aca="false">IF($F912="","",IF(AND($S912&lt;&gt;"",$L912&lt;&gt;"",$S912&lt;&gt;$L912),1,0))</f>
        <v/>
      </c>
      <c r="AB912" s="39" t="str">
        <f aca="false">IF($F912="","",IF($R912="Cancelada",0,IF(OR($AT912&lt;&gt;"",$R912="Concluída"),1,0)))</f>
        <v/>
      </c>
      <c r="AC912" s="39" t="n">
        <f aca="false">IF($P912="",0,IF($P912&lt;Hoje!$L$1,1,IF(AND($P912=Hoje!$L$1,Hoje!$L$2&gt;Semana!$M$3),1,0)))</f>
        <v>0</v>
      </c>
      <c r="AD912" s="39" t="str">
        <f aca="false">IF($F912="","",IF(COUNTA($I912:$K912)=0,0,1/COUNTA($I912:$K912)))</f>
        <v/>
      </c>
      <c r="AE912" s="39" t="str">
        <f aca="false">IF($AH912=0,"",SUM($AH$4:$AH912))</f>
        <v/>
      </c>
      <c r="AF912" s="39" t="str">
        <f aca="false">IF($AI912=0,"",SUM($AI$4:$AI912))</f>
        <v/>
      </c>
      <c r="AG912" s="50" t="str">
        <f aca="false">IF($F912="","",$I912&amp;IF($J912="",""," · "&amp;$J912)&amp;IF($K912="",""," · "&amp;$K912))</f>
        <v/>
      </c>
      <c r="AH912" s="39" t="n">
        <f aca="false">IF(AND($F912&lt;&gt;"",$O912&lt;&gt;"",$O912&lt;=Hoje!$C$3,$P912&gt;=Hoje!$C$3,$R912&lt;&gt;"Cancelada"),1,0)</f>
        <v>0</v>
      </c>
      <c r="AI912" s="39" t="n">
        <f aca="false">IF(AND($F912&lt;&gt;"",$P912&lt;&gt;"",$P912&lt;Hoje!$C$3,$AB912=0,$R912&lt;&gt;"Cancelada"),1,0)</f>
        <v>0</v>
      </c>
      <c r="AJ912" s="50" t="str">
        <f aca="false">IF($F912="","",$D912&amp;"|"&amp;$E912&amp;"|"&amp;$L912)</f>
        <v/>
      </c>
      <c r="AK912" s="39" t="str">
        <f aca="false">IF($AJ912="","",COUNTIF($AJ$4:$AJ912,$AJ912))</f>
        <v/>
      </c>
      <c r="AL912" s="39" t="str">
        <f aca="false">IF($AJ912="","",COUNTIF($AJ$4:$AJ$1004,$AJ912))</f>
        <v/>
      </c>
      <c r="AM912" s="42"/>
      <c r="AN912" s="50" t="str">
        <f aca="false">IF($D912="","",IFERROR(T(VLOOKUP($D912,Listas!$B$5:$H$120,7,0)),""))</f>
        <v/>
      </c>
      <c r="AO912" s="50" t="str">
        <f aca="false">IF(OR($F912="",$L912&lt;&gt;"",$R912="Cancelada",$AT912&lt;&gt;""),"",$AN912&amp;"|"&amp;$D912&amp;"|"&amp;IF($C912="","zzz",$C912)&amp;"|"&amp;TEXT(912,"0000"))</f>
        <v/>
      </c>
      <c r="AP912" s="50" t="str">
        <f aca="false">IF($AO912="","",COUNTIF($AO$5:$AO$1004,"&lt;"&amp;$AO912)-(ROWS($AO$5:$AO$1004)-Hoje!$L$5)+1)</f>
        <v/>
      </c>
      <c r="AQ912" s="50" t="n">
        <f aca="false">IF(AND($F912&lt;&gt;"",$D912=Frota!$C$3),1,0)</f>
        <v>0</v>
      </c>
      <c r="AR912" s="50" t="str">
        <f aca="false">IF($AQ912=0,"",SUM($AQ$4:$AQ912))</f>
        <v/>
      </c>
      <c r="AS912" s="50" t="str">
        <f aca="false">IFERROR(INDEX(Hoje!$K$10:$K$29,MATCH(ROW(),Hoje!$J$10:$J$29,0)),"")</f>
        <v/>
      </c>
      <c r="AT912" s="50" t="str">
        <f aca="false">IF($Q912&lt;&gt;"",$Q912,$AS912)</f>
        <v/>
      </c>
    </row>
    <row r="913" customFormat="false" ht="16.5" hidden="false" customHeight="true" outlineLevel="0" collapsed="false">
      <c r="A913" s="39" t="str">
        <f aca="false">IF($F913="","",ROW())</f>
        <v/>
      </c>
      <c r="B913" s="40" t="str">
        <f aca="false">IF($F913="",IF($D913="","","Falta a atividade"),IF($R913="Cancelada","Cancelada",IF($AB913=1,IF(N($Z913)&gt;0,"Concluída com atraso","Concluída"),IF($R913="Em programação","Em programação",IF($O913="",IF($M913="","Na carteira","Falta a semana"),IF($AC913=1,"VENCIDA",IF($O913&gt;Hoje!$L$1,"Programada",IF($P913&gt;Hoje!$L$1,"Em execução","Fecha hoje"))))))))</f>
        <v/>
      </c>
      <c r="C913" s="41"/>
      <c r="D913" s="42"/>
      <c r="E913" s="42"/>
      <c r="F913" s="42"/>
      <c r="G913" s="43"/>
      <c r="H913" s="43"/>
      <c r="I913" s="44"/>
      <c r="J913" s="44"/>
      <c r="K913" s="44"/>
      <c r="L913" s="45"/>
      <c r="M913" s="46"/>
      <c r="N913" s="45"/>
      <c r="O913" s="47" t="str">
        <f aca="false">IF(OR($L913="",$M913=""),"",(DATE(Semana!$J$3,1,4)-WEEKDAY(DATE(Semana!$J$3,1,4),3))+($L913-1)*7+MATCH($M913,Listas!$F$5:$F$11,0)-1)</f>
        <v/>
      </c>
      <c r="P913" s="47" t="str">
        <f aca="false">IF(OR($F913="",$O913=""),"",$O913+MAX(0,ROUNDUP($AK913*MAX(1,IF($N913="",1,$N913))/MAX(1,$AL913),0)-1))</f>
        <v/>
      </c>
      <c r="Q913" s="48"/>
      <c r="R913" s="43"/>
      <c r="S913" s="49"/>
      <c r="T913" s="42"/>
      <c r="U913" s="42"/>
      <c r="V913" s="39" t="str">
        <f aca="false">IF($F913="","",IF(ISNUMBER(SEARCH("(externo)",$I913&amp;$J913&amp;$K913)),"Terceirizada","Interna"))</f>
        <v/>
      </c>
      <c r="W913" s="47" t="str">
        <f aca="false">IF($O913="","",IF($S913="",$O913,(DATE(Semana!$J$3,1,4)-WEEKDAY(DATE(Semana!$J$3,1,4),3))+($S913-1)*7+IF($M913="",0,MATCH($M913,Listas!$F$5:$F$11,0)-1)))</f>
        <v/>
      </c>
      <c r="X913" s="39" t="str">
        <f aca="false">IF($F913="","",IF(OR($AT913="",$O913=""),0,IF($AT913&lt;=$O913,1,0)))</f>
        <v/>
      </c>
      <c r="Y913" s="39" t="str">
        <f aca="false">IF($F913="","",IF(OR($AT913="",$W913=""),0,IF($AT913&lt;=$W913,1,0)))</f>
        <v/>
      </c>
      <c r="Z913" s="39" t="str">
        <f aca="false">IF(OR($AT913="",$O913=""),"",MAX(0,$AT913-$O913))</f>
        <v/>
      </c>
      <c r="AA913" s="39" t="str">
        <f aca="false">IF($F913="","",IF(AND($S913&lt;&gt;"",$L913&lt;&gt;"",$S913&lt;&gt;$L913),1,0))</f>
        <v/>
      </c>
      <c r="AB913" s="39" t="str">
        <f aca="false">IF($F913="","",IF($R913="Cancelada",0,IF(OR($AT913&lt;&gt;"",$R913="Concluída"),1,0)))</f>
        <v/>
      </c>
      <c r="AC913" s="39" t="n">
        <f aca="false">IF($P913="",0,IF($P913&lt;Hoje!$L$1,1,IF(AND($P913=Hoje!$L$1,Hoje!$L$2&gt;Semana!$M$3),1,0)))</f>
        <v>0</v>
      </c>
      <c r="AD913" s="39" t="str">
        <f aca="false">IF($F913="","",IF(COUNTA($I913:$K913)=0,0,1/COUNTA($I913:$K913)))</f>
        <v/>
      </c>
      <c r="AE913" s="39" t="str">
        <f aca="false">IF($AH913=0,"",SUM($AH$4:$AH913))</f>
        <v/>
      </c>
      <c r="AF913" s="39" t="str">
        <f aca="false">IF($AI913=0,"",SUM($AI$4:$AI913))</f>
        <v/>
      </c>
      <c r="AG913" s="50" t="str">
        <f aca="false">IF($F913="","",$I913&amp;IF($J913="",""," · "&amp;$J913)&amp;IF($K913="",""," · "&amp;$K913))</f>
        <v/>
      </c>
      <c r="AH913" s="39" t="n">
        <f aca="false">IF(AND($F913&lt;&gt;"",$O913&lt;&gt;"",$O913&lt;=Hoje!$C$3,$P913&gt;=Hoje!$C$3,$R913&lt;&gt;"Cancelada"),1,0)</f>
        <v>0</v>
      </c>
      <c r="AI913" s="39" t="n">
        <f aca="false">IF(AND($F913&lt;&gt;"",$P913&lt;&gt;"",$P913&lt;Hoje!$C$3,$AB913=0,$R913&lt;&gt;"Cancelada"),1,0)</f>
        <v>0</v>
      </c>
      <c r="AJ913" s="50" t="str">
        <f aca="false">IF($F913="","",$D913&amp;"|"&amp;$E913&amp;"|"&amp;$L913)</f>
        <v/>
      </c>
      <c r="AK913" s="39" t="str">
        <f aca="false">IF($AJ913="","",COUNTIF($AJ$4:$AJ913,$AJ913))</f>
        <v/>
      </c>
      <c r="AL913" s="39" t="str">
        <f aca="false">IF($AJ913="","",COUNTIF($AJ$4:$AJ$1004,$AJ913))</f>
        <v/>
      </c>
      <c r="AM913" s="42"/>
      <c r="AN913" s="50" t="str">
        <f aca="false">IF($D913="","",IFERROR(T(VLOOKUP($D913,Listas!$B$5:$H$120,7,0)),""))</f>
        <v/>
      </c>
      <c r="AO913" s="50" t="str">
        <f aca="false">IF(OR($F913="",$L913&lt;&gt;"",$R913="Cancelada",$AT913&lt;&gt;""),"",$AN913&amp;"|"&amp;$D913&amp;"|"&amp;IF($C913="","zzz",$C913)&amp;"|"&amp;TEXT(913,"0000"))</f>
        <v/>
      </c>
      <c r="AP913" s="50" t="str">
        <f aca="false">IF($AO913="","",COUNTIF($AO$5:$AO$1004,"&lt;"&amp;$AO913)-(ROWS($AO$5:$AO$1004)-Hoje!$L$5)+1)</f>
        <v/>
      </c>
      <c r="AQ913" s="50" t="n">
        <f aca="false">IF(AND($F913&lt;&gt;"",$D913=Frota!$C$3),1,0)</f>
        <v>0</v>
      </c>
      <c r="AR913" s="50" t="str">
        <f aca="false">IF($AQ913=0,"",SUM($AQ$4:$AQ913))</f>
        <v/>
      </c>
      <c r="AS913" s="50" t="str">
        <f aca="false">IFERROR(INDEX(Hoje!$K$10:$K$29,MATCH(ROW(),Hoje!$J$10:$J$29,0)),"")</f>
        <v/>
      </c>
      <c r="AT913" s="50" t="str">
        <f aca="false">IF($Q913&lt;&gt;"",$Q913,$AS913)</f>
        <v/>
      </c>
    </row>
    <row r="914" customFormat="false" ht="16.5" hidden="false" customHeight="true" outlineLevel="0" collapsed="false">
      <c r="A914" s="39" t="str">
        <f aca="false">IF($F914="","",ROW())</f>
        <v/>
      </c>
      <c r="B914" s="40" t="str">
        <f aca="false">IF($F914="",IF($D914="","","Falta a atividade"),IF($R914="Cancelada","Cancelada",IF($AB914=1,IF(N($Z914)&gt;0,"Concluída com atraso","Concluída"),IF($R914="Em programação","Em programação",IF($O914="",IF($M914="","Na carteira","Falta a semana"),IF($AC914=1,"VENCIDA",IF($O914&gt;Hoje!$L$1,"Programada",IF($P914&gt;Hoje!$L$1,"Em execução","Fecha hoje"))))))))</f>
        <v/>
      </c>
      <c r="C914" s="41"/>
      <c r="D914" s="42"/>
      <c r="E914" s="42"/>
      <c r="F914" s="42"/>
      <c r="G914" s="43"/>
      <c r="H914" s="43"/>
      <c r="I914" s="44"/>
      <c r="J914" s="44"/>
      <c r="K914" s="44"/>
      <c r="L914" s="45"/>
      <c r="M914" s="46"/>
      <c r="N914" s="45"/>
      <c r="O914" s="47" t="str">
        <f aca="false">IF(OR($L914="",$M914=""),"",(DATE(Semana!$J$3,1,4)-WEEKDAY(DATE(Semana!$J$3,1,4),3))+($L914-1)*7+MATCH($M914,Listas!$F$5:$F$11,0)-1)</f>
        <v/>
      </c>
      <c r="P914" s="47" t="str">
        <f aca="false">IF(OR($F914="",$O914=""),"",$O914+MAX(0,ROUNDUP($AK914*MAX(1,IF($N914="",1,$N914))/MAX(1,$AL914),0)-1))</f>
        <v/>
      </c>
      <c r="Q914" s="48"/>
      <c r="R914" s="43"/>
      <c r="S914" s="49"/>
      <c r="T914" s="42"/>
      <c r="U914" s="42"/>
      <c r="V914" s="39" t="str">
        <f aca="false">IF($F914="","",IF(ISNUMBER(SEARCH("(externo)",$I914&amp;$J914&amp;$K914)),"Terceirizada","Interna"))</f>
        <v/>
      </c>
      <c r="W914" s="47" t="str">
        <f aca="false">IF($O914="","",IF($S914="",$O914,(DATE(Semana!$J$3,1,4)-WEEKDAY(DATE(Semana!$J$3,1,4),3))+($S914-1)*7+IF($M914="",0,MATCH($M914,Listas!$F$5:$F$11,0)-1)))</f>
        <v/>
      </c>
      <c r="X914" s="39" t="str">
        <f aca="false">IF($F914="","",IF(OR($AT914="",$O914=""),0,IF($AT914&lt;=$O914,1,0)))</f>
        <v/>
      </c>
      <c r="Y914" s="39" t="str">
        <f aca="false">IF($F914="","",IF(OR($AT914="",$W914=""),0,IF($AT914&lt;=$W914,1,0)))</f>
        <v/>
      </c>
      <c r="Z914" s="39" t="str">
        <f aca="false">IF(OR($AT914="",$O914=""),"",MAX(0,$AT914-$O914))</f>
        <v/>
      </c>
      <c r="AA914" s="39" t="str">
        <f aca="false">IF($F914="","",IF(AND($S914&lt;&gt;"",$L914&lt;&gt;"",$S914&lt;&gt;$L914),1,0))</f>
        <v/>
      </c>
      <c r="AB914" s="39" t="str">
        <f aca="false">IF($F914="","",IF($R914="Cancelada",0,IF(OR($AT914&lt;&gt;"",$R914="Concluída"),1,0)))</f>
        <v/>
      </c>
      <c r="AC914" s="39" t="n">
        <f aca="false">IF($P914="",0,IF($P914&lt;Hoje!$L$1,1,IF(AND($P914=Hoje!$L$1,Hoje!$L$2&gt;Semana!$M$3),1,0)))</f>
        <v>0</v>
      </c>
      <c r="AD914" s="39" t="str">
        <f aca="false">IF($F914="","",IF(COUNTA($I914:$K914)=0,0,1/COUNTA($I914:$K914)))</f>
        <v/>
      </c>
      <c r="AE914" s="39" t="str">
        <f aca="false">IF($AH914=0,"",SUM($AH$4:$AH914))</f>
        <v/>
      </c>
      <c r="AF914" s="39" t="str">
        <f aca="false">IF($AI914=0,"",SUM($AI$4:$AI914))</f>
        <v/>
      </c>
      <c r="AG914" s="50" t="str">
        <f aca="false">IF($F914="","",$I914&amp;IF($J914="",""," · "&amp;$J914)&amp;IF($K914="",""," · "&amp;$K914))</f>
        <v/>
      </c>
      <c r="AH914" s="39" t="n">
        <f aca="false">IF(AND($F914&lt;&gt;"",$O914&lt;&gt;"",$O914&lt;=Hoje!$C$3,$P914&gt;=Hoje!$C$3,$R914&lt;&gt;"Cancelada"),1,0)</f>
        <v>0</v>
      </c>
      <c r="AI914" s="39" t="n">
        <f aca="false">IF(AND($F914&lt;&gt;"",$P914&lt;&gt;"",$P914&lt;Hoje!$C$3,$AB914=0,$R914&lt;&gt;"Cancelada"),1,0)</f>
        <v>0</v>
      </c>
      <c r="AJ914" s="50" t="str">
        <f aca="false">IF($F914="","",$D914&amp;"|"&amp;$E914&amp;"|"&amp;$L914)</f>
        <v/>
      </c>
      <c r="AK914" s="39" t="str">
        <f aca="false">IF($AJ914="","",COUNTIF($AJ$4:$AJ914,$AJ914))</f>
        <v/>
      </c>
      <c r="AL914" s="39" t="str">
        <f aca="false">IF($AJ914="","",COUNTIF($AJ$4:$AJ$1004,$AJ914))</f>
        <v/>
      </c>
      <c r="AM914" s="42"/>
      <c r="AN914" s="50" t="str">
        <f aca="false">IF($D914="","",IFERROR(T(VLOOKUP($D914,Listas!$B$5:$H$120,7,0)),""))</f>
        <v/>
      </c>
      <c r="AO914" s="50" t="str">
        <f aca="false">IF(OR($F914="",$L914&lt;&gt;"",$R914="Cancelada",$AT914&lt;&gt;""),"",$AN914&amp;"|"&amp;$D914&amp;"|"&amp;IF($C914="","zzz",$C914)&amp;"|"&amp;TEXT(914,"0000"))</f>
        <v/>
      </c>
      <c r="AP914" s="50" t="str">
        <f aca="false">IF($AO914="","",COUNTIF($AO$5:$AO$1004,"&lt;"&amp;$AO914)-(ROWS($AO$5:$AO$1004)-Hoje!$L$5)+1)</f>
        <v/>
      </c>
      <c r="AQ914" s="50" t="n">
        <f aca="false">IF(AND($F914&lt;&gt;"",$D914=Frota!$C$3),1,0)</f>
        <v>0</v>
      </c>
      <c r="AR914" s="50" t="str">
        <f aca="false">IF($AQ914=0,"",SUM($AQ$4:$AQ914))</f>
        <v/>
      </c>
      <c r="AS914" s="50" t="str">
        <f aca="false">IFERROR(INDEX(Hoje!$K$10:$K$29,MATCH(ROW(),Hoje!$J$10:$J$29,0)),"")</f>
        <v/>
      </c>
      <c r="AT914" s="50" t="str">
        <f aca="false">IF($Q914&lt;&gt;"",$Q914,$AS914)</f>
        <v/>
      </c>
    </row>
    <row r="915" customFormat="false" ht="16.5" hidden="false" customHeight="true" outlineLevel="0" collapsed="false">
      <c r="A915" s="39" t="str">
        <f aca="false">IF($F915="","",ROW())</f>
        <v/>
      </c>
      <c r="B915" s="40" t="str">
        <f aca="false">IF($F915="",IF($D915="","","Falta a atividade"),IF($R915="Cancelada","Cancelada",IF($AB915=1,IF(N($Z915)&gt;0,"Concluída com atraso","Concluída"),IF($R915="Em programação","Em programação",IF($O915="",IF($M915="","Na carteira","Falta a semana"),IF($AC915=1,"VENCIDA",IF($O915&gt;Hoje!$L$1,"Programada",IF($P915&gt;Hoje!$L$1,"Em execução","Fecha hoje"))))))))</f>
        <v/>
      </c>
      <c r="C915" s="41"/>
      <c r="D915" s="42"/>
      <c r="E915" s="42"/>
      <c r="F915" s="42"/>
      <c r="G915" s="43"/>
      <c r="H915" s="43"/>
      <c r="I915" s="44"/>
      <c r="J915" s="44"/>
      <c r="K915" s="44"/>
      <c r="L915" s="45"/>
      <c r="M915" s="46"/>
      <c r="N915" s="45"/>
      <c r="O915" s="47" t="str">
        <f aca="false">IF(OR($L915="",$M915=""),"",(DATE(Semana!$J$3,1,4)-WEEKDAY(DATE(Semana!$J$3,1,4),3))+($L915-1)*7+MATCH($M915,Listas!$F$5:$F$11,0)-1)</f>
        <v/>
      </c>
      <c r="P915" s="47" t="str">
        <f aca="false">IF(OR($F915="",$O915=""),"",$O915+MAX(0,ROUNDUP($AK915*MAX(1,IF($N915="",1,$N915))/MAX(1,$AL915),0)-1))</f>
        <v/>
      </c>
      <c r="Q915" s="48"/>
      <c r="R915" s="43"/>
      <c r="S915" s="49"/>
      <c r="T915" s="42"/>
      <c r="U915" s="42"/>
      <c r="V915" s="39" t="str">
        <f aca="false">IF($F915="","",IF(ISNUMBER(SEARCH("(externo)",$I915&amp;$J915&amp;$K915)),"Terceirizada","Interna"))</f>
        <v/>
      </c>
      <c r="W915" s="47" t="str">
        <f aca="false">IF($O915="","",IF($S915="",$O915,(DATE(Semana!$J$3,1,4)-WEEKDAY(DATE(Semana!$J$3,1,4),3))+($S915-1)*7+IF($M915="",0,MATCH($M915,Listas!$F$5:$F$11,0)-1)))</f>
        <v/>
      </c>
      <c r="X915" s="39" t="str">
        <f aca="false">IF($F915="","",IF(OR($AT915="",$O915=""),0,IF($AT915&lt;=$O915,1,0)))</f>
        <v/>
      </c>
      <c r="Y915" s="39" t="str">
        <f aca="false">IF($F915="","",IF(OR($AT915="",$W915=""),0,IF($AT915&lt;=$W915,1,0)))</f>
        <v/>
      </c>
      <c r="Z915" s="39" t="str">
        <f aca="false">IF(OR($AT915="",$O915=""),"",MAX(0,$AT915-$O915))</f>
        <v/>
      </c>
      <c r="AA915" s="39" t="str">
        <f aca="false">IF($F915="","",IF(AND($S915&lt;&gt;"",$L915&lt;&gt;"",$S915&lt;&gt;$L915),1,0))</f>
        <v/>
      </c>
      <c r="AB915" s="39" t="str">
        <f aca="false">IF($F915="","",IF($R915="Cancelada",0,IF(OR($AT915&lt;&gt;"",$R915="Concluída"),1,0)))</f>
        <v/>
      </c>
      <c r="AC915" s="39" t="n">
        <f aca="false">IF($P915="",0,IF($P915&lt;Hoje!$L$1,1,IF(AND($P915=Hoje!$L$1,Hoje!$L$2&gt;Semana!$M$3),1,0)))</f>
        <v>0</v>
      </c>
      <c r="AD915" s="39" t="str">
        <f aca="false">IF($F915="","",IF(COUNTA($I915:$K915)=0,0,1/COUNTA($I915:$K915)))</f>
        <v/>
      </c>
      <c r="AE915" s="39" t="str">
        <f aca="false">IF($AH915=0,"",SUM($AH$4:$AH915))</f>
        <v/>
      </c>
      <c r="AF915" s="39" t="str">
        <f aca="false">IF($AI915=0,"",SUM($AI$4:$AI915))</f>
        <v/>
      </c>
      <c r="AG915" s="50" t="str">
        <f aca="false">IF($F915="","",$I915&amp;IF($J915="",""," · "&amp;$J915)&amp;IF($K915="",""," · "&amp;$K915))</f>
        <v/>
      </c>
      <c r="AH915" s="39" t="n">
        <f aca="false">IF(AND($F915&lt;&gt;"",$O915&lt;&gt;"",$O915&lt;=Hoje!$C$3,$P915&gt;=Hoje!$C$3,$R915&lt;&gt;"Cancelada"),1,0)</f>
        <v>0</v>
      </c>
      <c r="AI915" s="39" t="n">
        <f aca="false">IF(AND($F915&lt;&gt;"",$P915&lt;&gt;"",$P915&lt;Hoje!$C$3,$AB915=0,$R915&lt;&gt;"Cancelada"),1,0)</f>
        <v>0</v>
      </c>
      <c r="AJ915" s="50" t="str">
        <f aca="false">IF($F915="","",$D915&amp;"|"&amp;$E915&amp;"|"&amp;$L915)</f>
        <v/>
      </c>
      <c r="AK915" s="39" t="str">
        <f aca="false">IF($AJ915="","",COUNTIF($AJ$4:$AJ915,$AJ915))</f>
        <v/>
      </c>
      <c r="AL915" s="39" t="str">
        <f aca="false">IF($AJ915="","",COUNTIF($AJ$4:$AJ$1004,$AJ915))</f>
        <v/>
      </c>
      <c r="AM915" s="42"/>
      <c r="AN915" s="50" t="str">
        <f aca="false">IF($D915="","",IFERROR(T(VLOOKUP($D915,Listas!$B$5:$H$120,7,0)),""))</f>
        <v/>
      </c>
      <c r="AO915" s="50" t="str">
        <f aca="false">IF(OR($F915="",$L915&lt;&gt;"",$R915="Cancelada",$AT915&lt;&gt;""),"",$AN915&amp;"|"&amp;$D915&amp;"|"&amp;IF($C915="","zzz",$C915)&amp;"|"&amp;TEXT(915,"0000"))</f>
        <v/>
      </c>
      <c r="AP915" s="50" t="str">
        <f aca="false">IF($AO915="","",COUNTIF($AO$5:$AO$1004,"&lt;"&amp;$AO915)-(ROWS($AO$5:$AO$1004)-Hoje!$L$5)+1)</f>
        <v/>
      </c>
      <c r="AQ915" s="50" t="n">
        <f aca="false">IF(AND($F915&lt;&gt;"",$D915=Frota!$C$3),1,0)</f>
        <v>0</v>
      </c>
      <c r="AR915" s="50" t="str">
        <f aca="false">IF($AQ915=0,"",SUM($AQ$4:$AQ915))</f>
        <v/>
      </c>
      <c r="AS915" s="50" t="str">
        <f aca="false">IFERROR(INDEX(Hoje!$K$10:$K$29,MATCH(ROW(),Hoje!$J$10:$J$29,0)),"")</f>
        <v/>
      </c>
      <c r="AT915" s="50" t="str">
        <f aca="false">IF($Q915&lt;&gt;"",$Q915,$AS915)</f>
        <v/>
      </c>
    </row>
    <row r="916" customFormat="false" ht="16.5" hidden="false" customHeight="true" outlineLevel="0" collapsed="false">
      <c r="A916" s="39" t="str">
        <f aca="false">IF($F916="","",ROW())</f>
        <v/>
      </c>
      <c r="B916" s="40" t="str">
        <f aca="false">IF($F916="",IF($D916="","","Falta a atividade"),IF($R916="Cancelada","Cancelada",IF($AB916=1,IF(N($Z916)&gt;0,"Concluída com atraso","Concluída"),IF($R916="Em programação","Em programação",IF($O916="",IF($M916="","Na carteira","Falta a semana"),IF($AC916=1,"VENCIDA",IF($O916&gt;Hoje!$L$1,"Programada",IF($P916&gt;Hoje!$L$1,"Em execução","Fecha hoje"))))))))</f>
        <v/>
      </c>
      <c r="C916" s="41"/>
      <c r="D916" s="42"/>
      <c r="E916" s="42"/>
      <c r="F916" s="42"/>
      <c r="G916" s="43"/>
      <c r="H916" s="43"/>
      <c r="I916" s="44"/>
      <c r="J916" s="44"/>
      <c r="K916" s="44"/>
      <c r="L916" s="45"/>
      <c r="M916" s="46"/>
      <c r="N916" s="45"/>
      <c r="O916" s="47" t="str">
        <f aca="false">IF(OR($L916="",$M916=""),"",(DATE(Semana!$J$3,1,4)-WEEKDAY(DATE(Semana!$J$3,1,4),3))+($L916-1)*7+MATCH($M916,Listas!$F$5:$F$11,0)-1)</f>
        <v/>
      </c>
      <c r="P916" s="47" t="str">
        <f aca="false">IF(OR($F916="",$O916=""),"",$O916+MAX(0,ROUNDUP($AK916*MAX(1,IF($N916="",1,$N916))/MAX(1,$AL916),0)-1))</f>
        <v/>
      </c>
      <c r="Q916" s="48"/>
      <c r="R916" s="43"/>
      <c r="S916" s="49"/>
      <c r="T916" s="42"/>
      <c r="U916" s="42"/>
      <c r="V916" s="39" t="str">
        <f aca="false">IF($F916="","",IF(ISNUMBER(SEARCH("(externo)",$I916&amp;$J916&amp;$K916)),"Terceirizada","Interna"))</f>
        <v/>
      </c>
      <c r="W916" s="47" t="str">
        <f aca="false">IF($O916="","",IF($S916="",$O916,(DATE(Semana!$J$3,1,4)-WEEKDAY(DATE(Semana!$J$3,1,4),3))+($S916-1)*7+IF($M916="",0,MATCH($M916,Listas!$F$5:$F$11,0)-1)))</f>
        <v/>
      </c>
      <c r="X916" s="39" t="str">
        <f aca="false">IF($F916="","",IF(OR($AT916="",$O916=""),0,IF($AT916&lt;=$O916,1,0)))</f>
        <v/>
      </c>
      <c r="Y916" s="39" t="str">
        <f aca="false">IF($F916="","",IF(OR($AT916="",$W916=""),0,IF($AT916&lt;=$W916,1,0)))</f>
        <v/>
      </c>
      <c r="Z916" s="39" t="str">
        <f aca="false">IF(OR($AT916="",$O916=""),"",MAX(0,$AT916-$O916))</f>
        <v/>
      </c>
      <c r="AA916" s="39" t="str">
        <f aca="false">IF($F916="","",IF(AND($S916&lt;&gt;"",$L916&lt;&gt;"",$S916&lt;&gt;$L916),1,0))</f>
        <v/>
      </c>
      <c r="AB916" s="39" t="str">
        <f aca="false">IF($F916="","",IF($R916="Cancelada",0,IF(OR($AT916&lt;&gt;"",$R916="Concluída"),1,0)))</f>
        <v/>
      </c>
      <c r="AC916" s="39" t="n">
        <f aca="false">IF($P916="",0,IF($P916&lt;Hoje!$L$1,1,IF(AND($P916=Hoje!$L$1,Hoje!$L$2&gt;Semana!$M$3),1,0)))</f>
        <v>0</v>
      </c>
      <c r="AD916" s="39" t="str">
        <f aca="false">IF($F916="","",IF(COUNTA($I916:$K916)=0,0,1/COUNTA($I916:$K916)))</f>
        <v/>
      </c>
      <c r="AE916" s="39" t="str">
        <f aca="false">IF($AH916=0,"",SUM($AH$4:$AH916))</f>
        <v/>
      </c>
      <c r="AF916" s="39" t="str">
        <f aca="false">IF($AI916=0,"",SUM($AI$4:$AI916))</f>
        <v/>
      </c>
      <c r="AG916" s="50" t="str">
        <f aca="false">IF($F916="","",$I916&amp;IF($J916="",""," · "&amp;$J916)&amp;IF($K916="",""," · "&amp;$K916))</f>
        <v/>
      </c>
      <c r="AH916" s="39" t="n">
        <f aca="false">IF(AND($F916&lt;&gt;"",$O916&lt;&gt;"",$O916&lt;=Hoje!$C$3,$P916&gt;=Hoje!$C$3,$R916&lt;&gt;"Cancelada"),1,0)</f>
        <v>0</v>
      </c>
      <c r="AI916" s="39" t="n">
        <f aca="false">IF(AND($F916&lt;&gt;"",$P916&lt;&gt;"",$P916&lt;Hoje!$C$3,$AB916=0,$R916&lt;&gt;"Cancelada"),1,0)</f>
        <v>0</v>
      </c>
      <c r="AJ916" s="50" t="str">
        <f aca="false">IF($F916="","",$D916&amp;"|"&amp;$E916&amp;"|"&amp;$L916)</f>
        <v/>
      </c>
      <c r="AK916" s="39" t="str">
        <f aca="false">IF($AJ916="","",COUNTIF($AJ$4:$AJ916,$AJ916))</f>
        <v/>
      </c>
      <c r="AL916" s="39" t="str">
        <f aca="false">IF($AJ916="","",COUNTIF($AJ$4:$AJ$1004,$AJ916))</f>
        <v/>
      </c>
      <c r="AM916" s="42"/>
      <c r="AN916" s="50" t="str">
        <f aca="false">IF($D916="","",IFERROR(T(VLOOKUP($D916,Listas!$B$5:$H$120,7,0)),""))</f>
        <v/>
      </c>
      <c r="AO916" s="50" t="str">
        <f aca="false">IF(OR($F916="",$L916&lt;&gt;"",$R916="Cancelada",$AT916&lt;&gt;""),"",$AN916&amp;"|"&amp;$D916&amp;"|"&amp;IF($C916="","zzz",$C916)&amp;"|"&amp;TEXT(916,"0000"))</f>
        <v/>
      </c>
      <c r="AP916" s="50" t="str">
        <f aca="false">IF($AO916="","",COUNTIF($AO$5:$AO$1004,"&lt;"&amp;$AO916)-(ROWS($AO$5:$AO$1004)-Hoje!$L$5)+1)</f>
        <v/>
      </c>
      <c r="AQ916" s="50" t="n">
        <f aca="false">IF(AND($F916&lt;&gt;"",$D916=Frota!$C$3),1,0)</f>
        <v>0</v>
      </c>
      <c r="AR916" s="50" t="str">
        <f aca="false">IF($AQ916=0,"",SUM($AQ$4:$AQ916))</f>
        <v/>
      </c>
      <c r="AS916" s="50" t="str">
        <f aca="false">IFERROR(INDEX(Hoje!$K$10:$K$29,MATCH(ROW(),Hoje!$J$10:$J$29,0)),"")</f>
        <v/>
      </c>
      <c r="AT916" s="50" t="str">
        <f aca="false">IF($Q916&lt;&gt;"",$Q916,$AS916)</f>
        <v/>
      </c>
    </row>
    <row r="917" customFormat="false" ht="16.5" hidden="false" customHeight="true" outlineLevel="0" collapsed="false">
      <c r="A917" s="39" t="str">
        <f aca="false">IF($F917="","",ROW())</f>
        <v/>
      </c>
      <c r="B917" s="40" t="str">
        <f aca="false">IF($F917="",IF($D917="","","Falta a atividade"),IF($R917="Cancelada","Cancelada",IF($AB917=1,IF(N($Z917)&gt;0,"Concluída com atraso","Concluída"),IF($R917="Em programação","Em programação",IF($O917="",IF($M917="","Na carteira","Falta a semana"),IF($AC917=1,"VENCIDA",IF($O917&gt;Hoje!$L$1,"Programada",IF($P917&gt;Hoje!$L$1,"Em execução","Fecha hoje"))))))))</f>
        <v/>
      </c>
      <c r="C917" s="41"/>
      <c r="D917" s="42"/>
      <c r="E917" s="42"/>
      <c r="F917" s="42"/>
      <c r="G917" s="43"/>
      <c r="H917" s="43"/>
      <c r="I917" s="44"/>
      <c r="J917" s="44"/>
      <c r="K917" s="44"/>
      <c r="L917" s="45"/>
      <c r="M917" s="46"/>
      <c r="N917" s="45"/>
      <c r="O917" s="47" t="str">
        <f aca="false">IF(OR($L917="",$M917=""),"",(DATE(Semana!$J$3,1,4)-WEEKDAY(DATE(Semana!$J$3,1,4),3))+($L917-1)*7+MATCH($M917,Listas!$F$5:$F$11,0)-1)</f>
        <v/>
      </c>
      <c r="P917" s="47" t="str">
        <f aca="false">IF(OR($F917="",$O917=""),"",$O917+MAX(0,ROUNDUP($AK917*MAX(1,IF($N917="",1,$N917))/MAX(1,$AL917),0)-1))</f>
        <v/>
      </c>
      <c r="Q917" s="48"/>
      <c r="R917" s="43"/>
      <c r="S917" s="49"/>
      <c r="T917" s="42"/>
      <c r="U917" s="42"/>
      <c r="V917" s="39" t="str">
        <f aca="false">IF($F917="","",IF(ISNUMBER(SEARCH("(externo)",$I917&amp;$J917&amp;$K917)),"Terceirizada","Interna"))</f>
        <v/>
      </c>
      <c r="W917" s="47" t="str">
        <f aca="false">IF($O917="","",IF($S917="",$O917,(DATE(Semana!$J$3,1,4)-WEEKDAY(DATE(Semana!$J$3,1,4),3))+($S917-1)*7+IF($M917="",0,MATCH($M917,Listas!$F$5:$F$11,0)-1)))</f>
        <v/>
      </c>
      <c r="X917" s="39" t="str">
        <f aca="false">IF($F917="","",IF(OR($AT917="",$O917=""),0,IF($AT917&lt;=$O917,1,0)))</f>
        <v/>
      </c>
      <c r="Y917" s="39" t="str">
        <f aca="false">IF($F917="","",IF(OR($AT917="",$W917=""),0,IF($AT917&lt;=$W917,1,0)))</f>
        <v/>
      </c>
      <c r="Z917" s="39" t="str">
        <f aca="false">IF(OR($AT917="",$O917=""),"",MAX(0,$AT917-$O917))</f>
        <v/>
      </c>
      <c r="AA917" s="39" t="str">
        <f aca="false">IF($F917="","",IF(AND($S917&lt;&gt;"",$L917&lt;&gt;"",$S917&lt;&gt;$L917),1,0))</f>
        <v/>
      </c>
      <c r="AB917" s="39" t="str">
        <f aca="false">IF($F917="","",IF($R917="Cancelada",0,IF(OR($AT917&lt;&gt;"",$R917="Concluída"),1,0)))</f>
        <v/>
      </c>
      <c r="AC917" s="39" t="n">
        <f aca="false">IF($P917="",0,IF($P917&lt;Hoje!$L$1,1,IF(AND($P917=Hoje!$L$1,Hoje!$L$2&gt;Semana!$M$3),1,0)))</f>
        <v>0</v>
      </c>
      <c r="AD917" s="39" t="str">
        <f aca="false">IF($F917="","",IF(COUNTA($I917:$K917)=0,0,1/COUNTA($I917:$K917)))</f>
        <v/>
      </c>
      <c r="AE917" s="39" t="str">
        <f aca="false">IF($AH917=0,"",SUM($AH$4:$AH917))</f>
        <v/>
      </c>
      <c r="AF917" s="39" t="str">
        <f aca="false">IF($AI917=0,"",SUM($AI$4:$AI917))</f>
        <v/>
      </c>
      <c r="AG917" s="50" t="str">
        <f aca="false">IF($F917="","",$I917&amp;IF($J917="",""," · "&amp;$J917)&amp;IF($K917="",""," · "&amp;$K917))</f>
        <v/>
      </c>
      <c r="AH917" s="39" t="n">
        <f aca="false">IF(AND($F917&lt;&gt;"",$O917&lt;&gt;"",$O917&lt;=Hoje!$C$3,$P917&gt;=Hoje!$C$3,$R917&lt;&gt;"Cancelada"),1,0)</f>
        <v>0</v>
      </c>
      <c r="AI917" s="39" t="n">
        <f aca="false">IF(AND($F917&lt;&gt;"",$P917&lt;&gt;"",$P917&lt;Hoje!$C$3,$AB917=0,$R917&lt;&gt;"Cancelada"),1,0)</f>
        <v>0</v>
      </c>
      <c r="AJ917" s="50" t="str">
        <f aca="false">IF($F917="","",$D917&amp;"|"&amp;$E917&amp;"|"&amp;$L917)</f>
        <v/>
      </c>
      <c r="AK917" s="39" t="str">
        <f aca="false">IF($AJ917="","",COUNTIF($AJ$4:$AJ917,$AJ917))</f>
        <v/>
      </c>
      <c r="AL917" s="39" t="str">
        <f aca="false">IF($AJ917="","",COUNTIF($AJ$4:$AJ$1004,$AJ917))</f>
        <v/>
      </c>
      <c r="AM917" s="42"/>
      <c r="AN917" s="50" t="str">
        <f aca="false">IF($D917="","",IFERROR(T(VLOOKUP($D917,Listas!$B$5:$H$120,7,0)),""))</f>
        <v/>
      </c>
      <c r="AO917" s="50" t="str">
        <f aca="false">IF(OR($F917="",$L917&lt;&gt;"",$R917="Cancelada",$AT917&lt;&gt;""),"",$AN917&amp;"|"&amp;$D917&amp;"|"&amp;IF($C917="","zzz",$C917)&amp;"|"&amp;TEXT(917,"0000"))</f>
        <v/>
      </c>
      <c r="AP917" s="50" t="str">
        <f aca="false">IF($AO917="","",COUNTIF($AO$5:$AO$1004,"&lt;"&amp;$AO917)-(ROWS($AO$5:$AO$1004)-Hoje!$L$5)+1)</f>
        <v/>
      </c>
      <c r="AQ917" s="50" t="n">
        <f aca="false">IF(AND($F917&lt;&gt;"",$D917=Frota!$C$3),1,0)</f>
        <v>0</v>
      </c>
      <c r="AR917" s="50" t="str">
        <f aca="false">IF($AQ917=0,"",SUM($AQ$4:$AQ917))</f>
        <v/>
      </c>
      <c r="AS917" s="50" t="str">
        <f aca="false">IFERROR(INDEX(Hoje!$K$10:$K$29,MATCH(ROW(),Hoje!$J$10:$J$29,0)),"")</f>
        <v/>
      </c>
      <c r="AT917" s="50" t="str">
        <f aca="false">IF($Q917&lt;&gt;"",$Q917,$AS917)</f>
        <v/>
      </c>
    </row>
    <row r="918" customFormat="false" ht="16.5" hidden="false" customHeight="true" outlineLevel="0" collapsed="false">
      <c r="A918" s="39" t="str">
        <f aca="false">IF($F918="","",ROW())</f>
        <v/>
      </c>
      <c r="B918" s="40" t="str">
        <f aca="false">IF($F918="",IF($D918="","","Falta a atividade"),IF($R918="Cancelada","Cancelada",IF($AB918=1,IF(N($Z918)&gt;0,"Concluída com atraso","Concluída"),IF($R918="Em programação","Em programação",IF($O918="",IF($M918="","Na carteira","Falta a semana"),IF($AC918=1,"VENCIDA",IF($O918&gt;Hoje!$L$1,"Programada",IF($P918&gt;Hoje!$L$1,"Em execução","Fecha hoje"))))))))</f>
        <v/>
      </c>
      <c r="C918" s="41"/>
      <c r="D918" s="42"/>
      <c r="E918" s="42"/>
      <c r="F918" s="42"/>
      <c r="G918" s="43"/>
      <c r="H918" s="43"/>
      <c r="I918" s="44"/>
      <c r="J918" s="44"/>
      <c r="K918" s="44"/>
      <c r="L918" s="45"/>
      <c r="M918" s="46"/>
      <c r="N918" s="45"/>
      <c r="O918" s="47" t="str">
        <f aca="false">IF(OR($L918="",$M918=""),"",(DATE(Semana!$J$3,1,4)-WEEKDAY(DATE(Semana!$J$3,1,4),3))+($L918-1)*7+MATCH($M918,Listas!$F$5:$F$11,0)-1)</f>
        <v/>
      </c>
      <c r="P918" s="47" t="str">
        <f aca="false">IF(OR($F918="",$O918=""),"",$O918+MAX(0,ROUNDUP($AK918*MAX(1,IF($N918="",1,$N918))/MAX(1,$AL918),0)-1))</f>
        <v/>
      </c>
      <c r="Q918" s="48"/>
      <c r="R918" s="43"/>
      <c r="S918" s="49"/>
      <c r="T918" s="42"/>
      <c r="U918" s="42"/>
      <c r="V918" s="39" t="str">
        <f aca="false">IF($F918="","",IF(ISNUMBER(SEARCH("(externo)",$I918&amp;$J918&amp;$K918)),"Terceirizada","Interna"))</f>
        <v/>
      </c>
      <c r="W918" s="47" t="str">
        <f aca="false">IF($O918="","",IF($S918="",$O918,(DATE(Semana!$J$3,1,4)-WEEKDAY(DATE(Semana!$J$3,1,4),3))+($S918-1)*7+IF($M918="",0,MATCH($M918,Listas!$F$5:$F$11,0)-1)))</f>
        <v/>
      </c>
      <c r="X918" s="39" t="str">
        <f aca="false">IF($F918="","",IF(OR($AT918="",$O918=""),0,IF($AT918&lt;=$O918,1,0)))</f>
        <v/>
      </c>
      <c r="Y918" s="39" t="str">
        <f aca="false">IF($F918="","",IF(OR($AT918="",$W918=""),0,IF($AT918&lt;=$W918,1,0)))</f>
        <v/>
      </c>
      <c r="Z918" s="39" t="str">
        <f aca="false">IF(OR($AT918="",$O918=""),"",MAX(0,$AT918-$O918))</f>
        <v/>
      </c>
      <c r="AA918" s="39" t="str">
        <f aca="false">IF($F918="","",IF(AND($S918&lt;&gt;"",$L918&lt;&gt;"",$S918&lt;&gt;$L918),1,0))</f>
        <v/>
      </c>
      <c r="AB918" s="39" t="str">
        <f aca="false">IF($F918="","",IF($R918="Cancelada",0,IF(OR($AT918&lt;&gt;"",$R918="Concluída"),1,0)))</f>
        <v/>
      </c>
      <c r="AC918" s="39" t="n">
        <f aca="false">IF($P918="",0,IF($P918&lt;Hoje!$L$1,1,IF(AND($P918=Hoje!$L$1,Hoje!$L$2&gt;Semana!$M$3),1,0)))</f>
        <v>0</v>
      </c>
      <c r="AD918" s="39" t="str">
        <f aca="false">IF($F918="","",IF(COUNTA($I918:$K918)=0,0,1/COUNTA($I918:$K918)))</f>
        <v/>
      </c>
      <c r="AE918" s="39" t="str">
        <f aca="false">IF($AH918=0,"",SUM($AH$4:$AH918))</f>
        <v/>
      </c>
      <c r="AF918" s="39" t="str">
        <f aca="false">IF($AI918=0,"",SUM($AI$4:$AI918))</f>
        <v/>
      </c>
      <c r="AG918" s="50" t="str">
        <f aca="false">IF($F918="","",$I918&amp;IF($J918="",""," · "&amp;$J918)&amp;IF($K918="",""," · "&amp;$K918))</f>
        <v/>
      </c>
      <c r="AH918" s="39" t="n">
        <f aca="false">IF(AND($F918&lt;&gt;"",$O918&lt;&gt;"",$O918&lt;=Hoje!$C$3,$P918&gt;=Hoje!$C$3,$R918&lt;&gt;"Cancelada"),1,0)</f>
        <v>0</v>
      </c>
      <c r="AI918" s="39" t="n">
        <f aca="false">IF(AND($F918&lt;&gt;"",$P918&lt;&gt;"",$P918&lt;Hoje!$C$3,$AB918=0,$R918&lt;&gt;"Cancelada"),1,0)</f>
        <v>0</v>
      </c>
      <c r="AJ918" s="50" t="str">
        <f aca="false">IF($F918="","",$D918&amp;"|"&amp;$E918&amp;"|"&amp;$L918)</f>
        <v/>
      </c>
      <c r="AK918" s="39" t="str">
        <f aca="false">IF($AJ918="","",COUNTIF($AJ$4:$AJ918,$AJ918))</f>
        <v/>
      </c>
      <c r="AL918" s="39" t="str">
        <f aca="false">IF($AJ918="","",COUNTIF($AJ$4:$AJ$1004,$AJ918))</f>
        <v/>
      </c>
      <c r="AM918" s="42"/>
      <c r="AN918" s="50" t="str">
        <f aca="false">IF($D918="","",IFERROR(T(VLOOKUP($D918,Listas!$B$5:$H$120,7,0)),""))</f>
        <v/>
      </c>
      <c r="AO918" s="50" t="str">
        <f aca="false">IF(OR($F918="",$L918&lt;&gt;"",$R918="Cancelada",$AT918&lt;&gt;""),"",$AN918&amp;"|"&amp;$D918&amp;"|"&amp;IF($C918="","zzz",$C918)&amp;"|"&amp;TEXT(918,"0000"))</f>
        <v/>
      </c>
      <c r="AP918" s="50" t="str">
        <f aca="false">IF($AO918="","",COUNTIF($AO$5:$AO$1004,"&lt;"&amp;$AO918)-(ROWS($AO$5:$AO$1004)-Hoje!$L$5)+1)</f>
        <v/>
      </c>
      <c r="AQ918" s="50" t="n">
        <f aca="false">IF(AND($F918&lt;&gt;"",$D918=Frota!$C$3),1,0)</f>
        <v>0</v>
      </c>
      <c r="AR918" s="50" t="str">
        <f aca="false">IF($AQ918=0,"",SUM($AQ$4:$AQ918))</f>
        <v/>
      </c>
      <c r="AS918" s="50" t="str">
        <f aca="false">IFERROR(INDEX(Hoje!$K$10:$K$29,MATCH(ROW(),Hoje!$J$10:$J$29,0)),"")</f>
        <v/>
      </c>
      <c r="AT918" s="50" t="str">
        <f aca="false">IF($Q918&lt;&gt;"",$Q918,$AS918)</f>
        <v/>
      </c>
    </row>
    <row r="919" customFormat="false" ht="16.5" hidden="false" customHeight="true" outlineLevel="0" collapsed="false">
      <c r="A919" s="39" t="str">
        <f aca="false">IF($F919="","",ROW())</f>
        <v/>
      </c>
      <c r="B919" s="40" t="str">
        <f aca="false">IF($F919="",IF($D919="","","Falta a atividade"),IF($R919="Cancelada","Cancelada",IF($AB919=1,IF(N($Z919)&gt;0,"Concluída com atraso","Concluída"),IF($R919="Em programação","Em programação",IF($O919="",IF($M919="","Na carteira","Falta a semana"),IF($AC919=1,"VENCIDA",IF($O919&gt;Hoje!$L$1,"Programada",IF($P919&gt;Hoje!$L$1,"Em execução","Fecha hoje"))))))))</f>
        <v/>
      </c>
      <c r="C919" s="41"/>
      <c r="D919" s="42"/>
      <c r="E919" s="42"/>
      <c r="F919" s="42"/>
      <c r="G919" s="43"/>
      <c r="H919" s="43"/>
      <c r="I919" s="44"/>
      <c r="J919" s="44"/>
      <c r="K919" s="44"/>
      <c r="L919" s="45"/>
      <c r="M919" s="46"/>
      <c r="N919" s="45"/>
      <c r="O919" s="47" t="str">
        <f aca="false">IF(OR($L919="",$M919=""),"",(DATE(Semana!$J$3,1,4)-WEEKDAY(DATE(Semana!$J$3,1,4),3))+($L919-1)*7+MATCH($M919,Listas!$F$5:$F$11,0)-1)</f>
        <v/>
      </c>
      <c r="P919" s="47" t="str">
        <f aca="false">IF(OR($F919="",$O919=""),"",$O919+MAX(0,ROUNDUP($AK919*MAX(1,IF($N919="",1,$N919))/MAX(1,$AL919),0)-1))</f>
        <v/>
      </c>
      <c r="Q919" s="48"/>
      <c r="R919" s="43"/>
      <c r="S919" s="49"/>
      <c r="T919" s="42"/>
      <c r="U919" s="42"/>
      <c r="V919" s="39" t="str">
        <f aca="false">IF($F919="","",IF(ISNUMBER(SEARCH("(externo)",$I919&amp;$J919&amp;$K919)),"Terceirizada","Interna"))</f>
        <v/>
      </c>
      <c r="W919" s="47" t="str">
        <f aca="false">IF($O919="","",IF($S919="",$O919,(DATE(Semana!$J$3,1,4)-WEEKDAY(DATE(Semana!$J$3,1,4),3))+($S919-1)*7+IF($M919="",0,MATCH($M919,Listas!$F$5:$F$11,0)-1)))</f>
        <v/>
      </c>
      <c r="X919" s="39" t="str">
        <f aca="false">IF($F919="","",IF(OR($AT919="",$O919=""),0,IF($AT919&lt;=$O919,1,0)))</f>
        <v/>
      </c>
      <c r="Y919" s="39" t="str">
        <f aca="false">IF($F919="","",IF(OR($AT919="",$W919=""),0,IF($AT919&lt;=$W919,1,0)))</f>
        <v/>
      </c>
      <c r="Z919" s="39" t="str">
        <f aca="false">IF(OR($AT919="",$O919=""),"",MAX(0,$AT919-$O919))</f>
        <v/>
      </c>
      <c r="AA919" s="39" t="str">
        <f aca="false">IF($F919="","",IF(AND($S919&lt;&gt;"",$L919&lt;&gt;"",$S919&lt;&gt;$L919),1,0))</f>
        <v/>
      </c>
      <c r="AB919" s="39" t="str">
        <f aca="false">IF($F919="","",IF($R919="Cancelada",0,IF(OR($AT919&lt;&gt;"",$R919="Concluída"),1,0)))</f>
        <v/>
      </c>
      <c r="AC919" s="39" t="n">
        <f aca="false">IF($P919="",0,IF($P919&lt;Hoje!$L$1,1,IF(AND($P919=Hoje!$L$1,Hoje!$L$2&gt;Semana!$M$3),1,0)))</f>
        <v>0</v>
      </c>
      <c r="AD919" s="39" t="str">
        <f aca="false">IF($F919="","",IF(COUNTA($I919:$K919)=0,0,1/COUNTA($I919:$K919)))</f>
        <v/>
      </c>
      <c r="AE919" s="39" t="str">
        <f aca="false">IF($AH919=0,"",SUM($AH$4:$AH919))</f>
        <v/>
      </c>
      <c r="AF919" s="39" t="str">
        <f aca="false">IF($AI919=0,"",SUM($AI$4:$AI919))</f>
        <v/>
      </c>
      <c r="AG919" s="50" t="str">
        <f aca="false">IF($F919="","",$I919&amp;IF($J919="",""," · "&amp;$J919)&amp;IF($K919="",""," · "&amp;$K919))</f>
        <v/>
      </c>
      <c r="AH919" s="39" t="n">
        <f aca="false">IF(AND($F919&lt;&gt;"",$O919&lt;&gt;"",$O919&lt;=Hoje!$C$3,$P919&gt;=Hoje!$C$3,$R919&lt;&gt;"Cancelada"),1,0)</f>
        <v>0</v>
      </c>
      <c r="AI919" s="39" t="n">
        <f aca="false">IF(AND($F919&lt;&gt;"",$P919&lt;&gt;"",$P919&lt;Hoje!$C$3,$AB919=0,$R919&lt;&gt;"Cancelada"),1,0)</f>
        <v>0</v>
      </c>
      <c r="AJ919" s="50" t="str">
        <f aca="false">IF($F919="","",$D919&amp;"|"&amp;$E919&amp;"|"&amp;$L919)</f>
        <v/>
      </c>
      <c r="AK919" s="39" t="str">
        <f aca="false">IF($AJ919="","",COUNTIF($AJ$4:$AJ919,$AJ919))</f>
        <v/>
      </c>
      <c r="AL919" s="39" t="str">
        <f aca="false">IF($AJ919="","",COUNTIF($AJ$4:$AJ$1004,$AJ919))</f>
        <v/>
      </c>
      <c r="AM919" s="42"/>
      <c r="AN919" s="50" t="str">
        <f aca="false">IF($D919="","",IFERROR(T(VLOOKUP($D919,Listas!$B$5:$H$120,7,0)),""))</f>
        <v/>
      </c>
      <c r="AO919" s="50" t="str">
        <f aca="false">IF(OR($F919="",$L919&lt;&gt;"",$R919="Cancelada",$AT919&lt;&gt;""),"",$AN919&amp;"|"&amp;$D919&amp;"|"&amp;IF($C919="","zzz",$C919)&amp;"|"&amp;TEXT(919,"0000"))</f>
        <v/>
      </c>
      <c r="AP919" s="50" t="str">
        <f aca="false">IF($AO919="","",COUNTIF($AO$5:$AO$1004,"&lt;"&amp;$AO919)-(ROWS($AO$5:$AO$1004)-Hoje!$L$5)+1)</f>
        <v/>
      </c>
      <c r="AQ919" s="50" t="n">
        <f aca="false">IF(AND($F919&lt;&gt;"",$D919=Frota!$C$3),1,0)</f>
        <v>0</v>
      </c>
      <c r="AR919" s="50" t="str">
        <f aca="false">IF($AQ919=0,"",SUM($AQ$4:$AQ919))</f>
        <v/>
      </c>
      <c r="AS919" s="50" t="str">
        <f aca="false">IFERROR(INDEX(Hoje!$K$10:$K$29,MATCH(ROW(),Hoje!$J$10:$J$29,0)),"")</f>
        <v/>
      </c>
      <c r="AT919" s="50" t="str">
        <f aca="false">IF($Q919&lt;&gt;"",$Q919,$AS919)</f>
        <v/>
      </c>
    </row>
    <row r="920" customFormat="false" ht="16.5" hidden="false" customHeight="true" outlineLevel="0" collapsed="false">
      <c r="A920" s="39" t="str">
        <f aca="false">IF($F920="","",ROW())</f>
        <v/>
      </c>
      <c r="B920" s="40" t="str">
        <f aca="false">IF($F920="",IF($D920="","","Falta a atividade"),IF($R920="Cancelada","Cancelada",IF($AB920=1,IF(N($Z920)&gt;0,"Concluída com atraso","Concluída"),IF($R920="Em programação","Em programação",IF($O920="",IF($M920="","Na carteira","Falta a semana"),IF($AC920=1,"VENCIDA",IF($O920&gt;Hoje!$L$1,"Programada",IF($P920&gt;Hoje!$L$1,"Em execução","Fecha hoje"))))))))</f>
        <v/>
      </c>
      <c r="C920" s="41"/>
      <c r="D920" s="42"/>
      <c r="E920" s="42"/>
      <c r="F920" s="42"/>
      <c r="G920" s="43"/>
      <c r="H920" s="43"/>
      <c r="I920" s="44"/>
      <c r="J920" s="44"/>
      <c r="K920" s="44"/>
      <c r="L920" s="45"/>
      <c r="M920" s="46"/>
      <c r="N920" s="45"/>
      <c r="O920" s="47" t="str">
        <f aca="false">IF(OR($L920="",$M920=""),"",(DATE(Semana!$J$3,1,4)-WEEKDAY(DATE(Semana!$J$3,1,4),3))+($L920-1)*7+MATCH($M920,Listas!$F$5:$F$11,0)-1)</f>
        <v/>
      </c>
      <c r="P920" s="47" t="str">
        <f aca="false">IF(OR($F920="",$O920=""),"",$O920+MAX(0,ROUNDUP($AK920*MAX(1,IF($N920="",1,$N920))/MAX(1,$AL920),0)-1))</f>
        <v/>
      </c>
      <c r="Q920" s="48"/>
      <c r="R920" s="43"/>
      <c r="S920" s="49"/>
      <c r="T920" s="42"/>
      <c r="U920" s="42"/>
      <c r="V920" s="39" t="str">
        <f aca="false">IF($F920="","",IF(ISNUMBER(SEARCH("(externo)",$I920&amp;$J920&amp;$K920)),"Terceirizada","Interna"))</f>
        <v/>
      </c>
      <c r="W920" s="47" t="str">
        <f aca="false">IF($O920="","",IF($S920="",$O920,(DATE(Semana!$J$3,1,4)-WEEKDAY(DATE(Semana!$J$3,1,4),3))+($S920-1)*7+IF($M920="",0,MATCH($M920,Listas!$F$5:$F$11,0)-1)))</f>
        <v/>
      </c>
      <c r="X920" s="39" t="str">
        <f aca="false">IF($F920="","",IF(OR($AT920="",$O920=""),0,IF($AT920&lt;=$O920,1,0)))</f>
        <v/>
      </c>
      <c r="Y920" s="39" t="str">
        <f aca="false">IF($F920="","",IF(OR($AT920="",$W920=""),0,IF($AT920&lt;=$W920,1,0)))</f>
        <v/>
      </c>
      <c r="Z920" s="39" t="str">
        <f aca="false">IF(OR($AT920="",$O920=""),"",MAX(0,$AT920-$O920))</f>
        <v/>
      </c>
      <c r="AA920" s="39" t="str">
        <f aca="false">IF($F920="","",IF(AND($S920&lt;&gt;"",$L920&lt;&gt;"",$S920&lt;&gt;$L920),1,0))</f>
        <v/>
      </c>
      <c r="AB920" s="39" t="str">
        <f aca="false">IF($F920="","",IF($R920="Cancelada",0,IF(OR($AT920&lt;&gt;"",$R920="Concluída"),1,0)))</f>
        <v/>
      </c>
      <c r="AC920" s="39" t="n">
        <f aca="false">IF($P920="",0,IF($P920&lt;Hoje!$L$1,1,IF(AND($P920=Hoje!$L$1,Hoje!$L$2&gt;Semana!$M$3),1,0)))</f>
        <v>0</v>
      </c>
      <c r="AD920" s="39" t="str">
        <f aca="false">IF($F920="","",IF(COUNTA($I920:$K920)=0,0,1/COUNTA($I920:$K920)))</f>
        <v/>
      </c>
      <c r="AE920" s="39" t="str">
        <f aca="false">IF($AH920=0,"",SUM($AH$4:$AH920))</f>
        <v/>
      </c>
      <c r="AF920" s="39" t="str">
        <f aca="false">IF($AI920=0,"",SUM($AI$4:$AI920))</f>
        <v/>
      </c>
      <c r="AG920" s="50" t="str">
        <f aca="false">IF($F920="","",$I920&amp;IF($J920="",""," · "&amp;$J920)&amp;IF($K920="",""," · "&amp;$K920))</f>
        <v/>
      </c>
      <c r="AH920" s="39" t="n">
        <f aca="false">IF(AND($F920&lt;&gt;"",$O920&lt;&gt;"",$O920&lt;=Hoje!$C$3,$P920&gt;=Hoje!$C$3,$R920&lt;&gt;"Cancelada"),1,0)</f>
        <v>0</v>
      </c>
      <c r="AI920" s="39" t="n">
        <f aca="false">IF(AND($F920&lt;&gt;"",$P920&lt;&gt;"",$P920&lt;Hoje!$C$3,$AB920=0,$R920&lt;&gt;"Cancelada"),1,0)</f>
        <v>0</v>
      </c>
      <c r="AJ920" s="50" t="str">
        <f aca="false">IF($F920="","",$D920&amp;"|"&amp;$E920&amp;"|"&amp;$L920)</f>
        <v/>
      </c>
      <c r="AK920" s="39" t="str">
        <f aca="false">IF($AJ920="","",COUNTIF($AJ$4:$AJ920,$AJ920))</f>
        <v/>
      </c>
      <c r="AL920" s="39" t="str">
        <f aca="false">IF($AJ920="","",COUNTIF($AJ$4:$AJ$1004,$AJ920))</f>
        <v/>
      </c>
      <c r="AM920" s="42"/>
      <c r="AN920" s="50" t="str">
        <f aca="false">IF($D920="","",IFERROR(T(VLOOKUP($D920,Listas!$B$5:$H$120,7,0)),""))</f>
        <v/>
      </c>
      <c r="AO920" s="50" t="str">
        <f aca="false">IF(OR($F920="",$L920&lt;&gt;"",$R920="Cancelada",$AT920&lt;&gt;""),"",$AN920&amp;"|"&amp;$D920&amp;"|"&amp;IF($C920="","zzz",$C920)&amp;"|"&amp;TEXT(920,"0000"))</f>
        <v/>
      </c>
      <c r="AP920" s="50" t="str">
        <f aca="false">IF($AO920="","",COUNTIF($AO$5:$AO$1004,"&lt;"&amp;$AO920)-(ROWS($AO$5:$AO$1004)-Hoje!$L$5)+1)</f>
        <v/>
      </c>
      <c r="AQ920" s="50" t="n">
        <f aca="false">IF(AND($F920&lt;&gt;"",$D920=Frota!$C$3),1,0)</f>
        <v>0</v>
      </c>
      <c r="AR920" s="50" t="str">
        <f aca="false">IF($AQ920=0,"",SUM($AQ$4:$AQ920))</f>
        <v/>
      </c>
      <c r="AS920" s="50" t="str">
        <f aca="false">IFERROR(INDEX(Hoje!$K$10:$K$29,MATCH(ROW(),Hoje!$J$10:$J$29,0)),"")</f>
        <v/>
      </c>
      <c r="AT920" s="50" t="str">
        <f aca="false">IF($Q920&lt;&gt;"",$Q920,$AS920)</f>
        <v/>
      </c>
    </row>
    <row r="921" customFormat="false" ht="16.5" hidden="false" customHeight="true" outlineLevel="0" collapsed="false">
      <c r="A921" s="39" t="str">
        <f aca="false">IF($F921="","",ROW())</f>
        <v/>
      </c>
      <c r="B921" s="40" t="str">
        <f aca="false">IF($F921="",IF($D921="","","Falta a atividade"),IF($R921="Cancelada","Cancelada",IF($AB921=1,IF(N($Z921)&gt;0,"Concluída com atraso","Concluída"),IF($R921="Em programação","Em programação",IF($O921="",IF($M921="","Na carteira","Falta a semana"),IF($AC921=1,"VENCIDA",IF($O921&gt;Hoje!$L$1,"Programada",IF($P921&gt;Hoje!$L$1,"Em execução","Fecha hoje"))))))))</f>
        <v/>
      </c>
      <c r="C921" s="41"/>
      <c r="D921" s="42"/>
      <c r="E921" s="42"/>
      <c r="F921" s="42"/>
      <c r="G921" s="43"/>
      <c r="H921" s="43"/>
      <c r="I921" s="44"/>
      <c r="J921" s="44"/>
      <c r="K921" s="44"/>
      <c r="L921" s="45"/>
      <c r="M921" s="46"/>
      <c r="N921" s="45"/>
      <c r="O921" s="47" t="str">
        <f aca="false">IF(OR($L921="",$M921=""),"",(DATE(Semana!$J$3,1,4)-WEEKDAY(DATE(Semana!$J$3,1,4),3))+($L921-1)*7+MATCH($M921,Listas!$F$5:$F$11,0)-1)</f>
        <v/>
      </c>
      <c r="P921" s="47" t="str">
        <f aca="false">IF(OR($F921="",$O921=""),"",$O921+MAX(0,ROUNDUP($AK921*MAX(1,IF($N921="",1,$N921))/MAX(1,$AL921),0)-1))</f>
        <v/>
      </c>
      <c r="Q921" s="48"/>
      <c r="R921" s="43"/>
      <c r="S921" s="49"/>
      <c r="T921" s="42"/>
      <c r="U921" s="42"/>
      <c r="V921" s="39" t="str">
        <f aca="false">IF($F921="","",IF(ISNUMBER(SEARCH("(externo)",$I921&amp;$J921&amp;$K921)),"Terceirizada","Interna"))</f>
        <v/>
      </c>
      <c r="W921" s="47" t="str">
        <f aca="false">IF($O921="","",IF($S921="",$O921,(DATE(Semana!$J$3,1,4)-WEEKDAY(DATE(Semana!$J$3,1,4),3))+($S921-1)*7+IF($M921="",0,MATCH($M921,Listas!$F$5:$F$11,0)-1)))</f>
        <v/>
      </c>
      <c r="X921" s="39" t="str">
        <f aca="false">IF($F921="","",IF(OR($AT921="",$O921=""),0,IF($AT921&lt;=$O921,1,0)))</f>
        <v/>
      </c>
      <c r="Y921" s="39" t="str">
        <f aca="false">IF($F921="","",IF(OR($AT921="",$W921=""),0,IF($AT921&lt;=$W921,1,0)))</f>
        <v/>
      </c>
      <c r="Z921" s="39" t="str">
        <f aca="false">IF(OR($AT921="",$O921=""),"",MAX(0,$AT921-$O921))</f>
        <v/>
      </c>
      <c r="AA921" s="39" t="str">
        <f aca="false">IF($F921="","",IF(AND($S921&lt;&gt;"",$L921&lt;&gt;"",$S921&lt;&gt;$L921),1,0))</f>
        <v/>
      </c>
      <c r="AB921" s="39" t="str">
        <f aca="false">IF($F921="","",IF($R921="Cancelada",0,IF(OR($AT921&lt;&gt;"",$R921="Concluída"),1,0)))</f>
        <v/>
      </c>
      <c r="AC921" s="39" t="n">
        <f aca="false">IF($P921="",0,IF($P921&lt;Hoje!$L$1,1,IF(AND($P921=Hoje!$L$1,Hoje!$L$2&gt;Semana!$M$3),1,0)))</f>
        <v>0</v>
      </c>
      <c r="AD921" s="39" t="str">
        <f aca="false">IF($F921="","",IF(COUNTA($I921:$K921)=0,0,1/COUNTA($I921:$K921)))</f>
        <v/>
      </c>
      <c r="AE921" s="39" t="str">
        <f aca="false">IF($AH921=0,"",SUM($AH$4:$AH921))</f>
        <v/>
      </c>
      <c r="AF921" s="39" t="str">
        <f aca="false">IF($AI921=0,"",SUM($AI$4:$AI921))</f>
        <v/>
      </c>
      <c r="AG921" s="50" t="str">
        <f aca="false">IF($F921="","",$I921&amp;IF($J921="",""," · "&amp;$J921)&amp;IF($K921="",""," · "&amp;$K921))</f>
        <v/>
      </c>
      <c r="AH921" s="39" t="n">
        <f aca="false">IF(AND($F921&lt;&gt;"",$O921&lt;&gt;"",$O921&lt;=Hoje!$C$3,$P921&gt;=Hoje!$C$3,$R921&lt;&gt;"Cancelada"),1,0)</f>
        <v>0</v>
      </c>
      <c r="AI921" s="39" t="n">
        <f aca="false">IF(AND($F921&lt;&gt;"",$P921&lt;&gt;"",$P921&lt;Hoje!$C$3,$AB921=0,$R921&lt;&gt;"Cancelada"),1,0)</f>
        <v>0</v>
      </c>
      <c r="AJ921" s="50" t="str">
        <f aca="false">IF($F921="","",$D921&amp;"|"&amp;$E921&amp;"|"&amp;$L921)</f>
        <v/>
      </c>
      <c r="AK921" s="39" t="str">
        <f aca="false">IF($AJ921="","",COUNTIF($AJ$4:$AJ921,$AJ921))</f>
        <v/>
      </c>
      <c r="AL921" s="39" t="str">
        <f aca="false">IF($AJ921="","",COUNTIF($AJ$4:$AJ$1004,$AJ921))</f>
        <v/>
      </c>
      <c r="AM921" s="42"/>
      <c r="AN921" s="50" t="str">
        <f aca="false">IF($D921="","",IFERROR(T(VLOOKUP($D921,Listas!$B$5:$H$120,7,0)),""))</f>
        <v/>
      </c>
      <c r="AO921" s="50" t="str">
        <f aca="false">IF(OR($F921="",$L921&lt;&gt;"",$R921="Cancelada",$AT921&lt;&gt;""),"",$AN921&amp;"|"&amp;$D921&amp;"|"&amp;IF($C921="","zzz",$C921)&amp;"|"&amp;TEXT(921,"0000"))</f>
        <v/>
      </c>
      <c r="AP921" s="50" t="str">
        <f aca="false">IF($AO921="","",COUNTIF($AO$5:$AO$1004,"&lt;"&amp;$AO921)-(ROWS($AO$5:$AO$1004)-Hoje!$L$5)+1)</f>
        <v/>
      </c>
      <c r="AQ921" s="50" t="n">
        <f aca="false">IF(AND($F921&lt;&gt;"",$D921=Frota!$C$3),1,0)</f>
        <v>0</v>
      </c>
      <c r="AR921" s="50" t="str">
        <f aca="false">IF($AQ921=0,"",SUM($AQ$4:$AQ921))</f>
        <v/>
      </c>
      <c r="AS921" s="50" t="str">
        <f aca="false">IFERROR(INDEX(Hoje!$K$10:$K$29,MATCH(ROW(),Hoje!$J$10:$J$29,0)),"")</f>
        <v/>
      </c>
      <c r="AT921" s="50" t="str">
        <f aca="false">IF($Q921&lt;&gt;"",$Q921,$AS921)</f>
        <v/>
      </c>
    </row>
    <row r="922" customFormat="false" ht="16.5" hidden="false" customHeight="true" outlineLevel="0" collapsed="false">
      <c r="A922" s="39" t="str">
        <f aca="false">IF($F922="","",ROW())</f>
        <v/>
      </c>
      <c r="B922" s="40" t="str">
        <f aca="false">IF($F922="",IF($D922="","","Falta a atividade"),IF($R922="Cancelada","Cancelada",IF($AB922=1,IF(N($Z922)&gt;0,"Concluída com atraso","Concluída"),IF($R922="Em programação","Em programação",IF($O922="",IF($M922="","Na carteira","Falta a semana"),IF($AC922=1,"VENCIDA",IF($O922&gt;Hoje!$L$1,"Programada",IF($P922&gt;Hoje!$L$1,"Em execução","Fecha hoje"))))))))</f>
        <v/>
      </c>
      <c r="C922" s="41"/>
      <c r="D922" s="42"/>
      <c r="E922" s="42"/>
      <c r="F922" s="42"/>
      <c r="G922" s="43"/>
      <c r="H922" s="43"/>
      <c r="I922" s="44"/>
      <c r="J922" s="44"/>
      <c r="K922" s="44"/>
      <c r="L922" s="45"/>
      <c r="M922" s="46"/>
      <c r="N922" s="45"/>
      <c r="O922" s="47" t="str">
        <f aca="false">IF(OR($L922="",$M922=""),"",(DATE(Semana!$J$3,1,4)-WEEKDAY(DATE(Semana!$J$3,1,4),3))+($L922-1)*7+MATCH($M922,Listas!$F$5:$F$11,0)-1)</f>
        <v/>
      </c>
      <c r="P922" s="47" t="str">
        <f aca="false">IF(OR($F922="",$O922=""),"",$O922+MAX(0,ROUNDUP($AK922*MAX(1,IF($N922="",1,$N922))/MAX(1,$AL922),0)-1))</f>
        <v/>
      </c>
      <c r="Q922" s="48"/>
      <c r="R922" s="43"/>
      <c r="S922" s="49"/>
      <c r="T922" s="42"/>
      <c r="U922" s="42"/>
      <c r="V922" s="39" t="str">
        <f aca="false">IF($F922="","",IF(ISNUMBER(SEARCH("(externo)",$I922&amp;$J922&amp;$K922)),"Terceirizada","Interna"))</f>
        <v/>
      </c>
      <c r="W922" s="47" t="str">
        <f aca="false">IF($O922="","",IF($S922="",$O922,(DATE(Semana!$J$3,1,4)-WEEKDAY(DATE(Semana!$J$3,1,4),3))+($S922-1)*7+IF($M922="",0,MATCH($M922,Listas!$F$5:$F$11,0)-1)))</f>
        <v/>
      </c>
      <c r="X922" s="39" t="str">
        <f aca="false">IF($F922="","",IF(OR($AT922="",$O922=""),0,IF($AT922&lt;=$O922,1,0)))</f>
        <v/>
      </c>
      <c r="Y922" s="39" t="str">
        <f aca="false">IF($F922="","",IF(OR($AT922="",$W922=""),0,IF($AT922&lt;=$W922,1,0)))</f>
        <v/>
      </c>
      <c r="Z922" s="39" t="str">
        <f aca="false">IF(OR($AT922="",$O922=""),"",MAX(0,$AT922-$O922))</f>
        <v/>
      </c>
      <c r="AA922" s="39" t="str">
        <f aca="false">IF($F922="","",IF(AND($S922&lt;&gt;"",$L922&lt;&gt;"",$S922&lt;&gt;$L922),1,0))</f>
        <v/>
      </c>
      <c r="AB922" s="39" t="str">
        <f aca="false">IF($F922="","",IF($R922="Cancelada",0,IF(OR($AT922&lt;&gt;"",$R922="Concluída"),1,0)))</f>
        <v/>
      </c>
      <c r="AC922" s="39" t="n">
        <f aca="false">IF($P922="",0,IF($P922&lt;Hoje!$L$1,1,IF(AND($P922=Hoje!$L$1,Hoje!$L$2&gt;Semana!$M$3),1,0)))</f>
        <v>0</v>
      </c>
      <c r="AD922" s="39" t="str">
        <f aca="false">IF($F922="","",IF(COUNTA($I922:$K922)=0,0,1/COUNTA($I922:$K922)))</f>
        <v/>
      </c>
      <c r="AE922" s="39" t="str">
        <f aca="false">IF($AH922=0,"",SUM($AH$4:$AH922))</f>
        <v/>
      </c>
      <c r="AF922" s="39" t="str">
        <f aca="false">IF($AI922=0,"",SUM($AI$4:$AI922))</f>
        <v/>
      </c>
      <c r="AG922" s="50" t="str">
        <f aca="false">IF($F922="","",$I922&amp;IF($J922="",""," · "&amp;$J922)&amp;IF($K922="",""," · "&amp;$K922))</f>
        <v/>
      </c>
      <c r="AH922" s="39" t="n">
        <f aca="false">IF(AND($F922&lt;&gt;"",$O922&lt;&gt;"",$O922&lt;=Hoje!$C$3,$P922&gt;=Hoje!$C$3,$R922&lt;&gt;"Cancelada"),1,0)</f>
        <v>0</v>
      </c>
      <c r="AI922" s="39" t="n">
        <f aca="false">IF(AND($F922&lt;&gt;"",$P922&lt;&gt;"",$P922&lt;Hoje!$C$3,$AB922=0,$R922&lt;&gt;"Cancelada"),1,0)</f>
        <v>0</v>
      </c>
      <c r="AJ922" s="50" t="str">
        <f aca="false">IF($F922="","",$D922&amp;"|"&amp;$E922&amp;"|"&amp;$L922)</f>
        <v/>
      </c>
      <c r="AK922" s="39" t="str">
        <f aca="false">IF($AJ922="","",COUNTIF($AJ$4:$AJ922,$AJ922))</f>
        <v/>
      </c>
      <c r="AL922" s="39" t="str">
        <f aca="false">IF($AJ922="","",COUNTIF($AJ$4:$AJ$1004,$AJ922))</f>
        <v/>
      </c>
      <c r="AM922" s="42"/>
      <c r="AN922" s="50" t="str">
        <f aca="false">IF($D922="","",IFERROR(T(VLOOKUP($D922,Listas!$B$5:$H$120,7,0)),""))</f>
        <v/>
      </c>
      <c r="AO922" s="50" t="str">
        <f aca="false">IF(OR($F922="",$L922&lt;&gt;"",$R922="Cancelada",$AT922&lt;&gt;""),"",$AN922&amp;"|"&amp;$D922&amp;"|"&amp;IF($C922="","zzz",$C922)&amp;"|"&amp;TEXT(922,"0000"))</f>
        <v/>
      </c>
      <c r="AP922" s="50" t="str">
        <f aca="false">IF($AO922="","",COUNTIF($AO$5:$AO$1004,"&lt;"&amp;$AO922)-(ROWS($AO$5:$AO$1004)-Hoje!$L$5)+1)</f>
        <v/>
      </c>
      <c r="AQ922" s="50" t="n">
        <f aca="false">IF(AND($F922&lt;&gt;"",$D922=Frota!$C$3),1,0)</f>
        <v>0</v>
      </c>
      <c r="AR922" s="50" t="str">
        <f aca="false">IF($AQ922=0,"",SUM($AQ$4:$AQ922))</f>
        <v/>
      </c>
      <c r="AS922" s="50" t="str">
        <f aca="false">IFERROR(INDEX(Hoje!$K$10:$K$29,MATCH(ROW(),Hoje!$J$10:$J$29,0)),"")</f>
        <v/>
      </c>
      <c r="AT922" s="50" t="str">
        <f aca="false">IF($Q922&lt;&gt;"",$Q922,$AS922)</f>
        <v/>
      </c>
    </row>
    <row r="923" customFormat="false" ht="16.5" hidden="false" customHeight="true" outlineLevel="0" collapsed="false">
      <c r="A923" s="39" t="str">
        <f aca="false">IF($F923="","",ROW())</f>
        <v/>
      </c>
      <c r="B923" s="40" t="str">
        <f aca="false">IF($F923="",IF($D923="","","Falta a atividade"),IF($R923="Cancelada","Cancelada",IF($AB923=1,IF(N($Z923)&gt;0,"Concluída com atraso","Concluída"),IF($R923="Em programação","Em programação",IF($O923="",IF($M923="","Na carteira","Falta a semana"),IF($AC923=1,"VENCIDA",IF($O923&gt;Hoje!$L$1,"Programada",IF($P923&gt;Hoje!$L$1,"Em execução","Fecha hoje"))))))))</f>
        <v/>
      </c>
      <c r="C923" s="41"/>
      <c r="D923" s="42"/>
      <c r="E923" s="42"/>
      <c r="F923" s="42"/>
      <c r="G923" s="43"/>
      <c r="H923" s="43"/>
      <c r="I923" s="44"/>
      <c r="J923" s="44"/>
      <c r="K923" s="44"/>
      <c r="L923" s="45"/>
      <c r="M923" s="46"/>
      <c r="N923" s="45"/>
      <c r="O923" s="47" t="str">
        <f aca="false">IF(OR($L923="",$M923=""),"",(DATE(Semana!$J$3,1,4)-WEEKDAY(DATE(Semana!$J$3,1,4),3))+($L923-1)*7+MATCH($M923,Listas!$F$5:$F$11,0)-1)</f>
        <v/>
      </c>
      <c r="P923" s="47" t="str">
        <f aca="false">IF(OR($F923="",$O923=""),"",$O923+MAX(0,ROUNDUP($AK923*MAX(1,IF($N923="",1,$N923))/MAX(1,$AL923),0)-1))</f>
        <v/>
      </c>
      <c r="Q923" s="48"/>
      <c r="R923" s="43"/>
      <c r="S923" s="49"/>
      <c r="T923" s="42"/>
      <c r="U923" s="42"/>
      <c r="V923" s="39" t="str">
        <f aca="false">IF($F923="","",IF(ISNUMBER(SEARCH("(externo)",$I923&amp;$J923&amp;$K923)),"Terceirizada","Interna"))</f>
        <v/>
      </c>
      <c r="W923" s="47" t="str">
        <f aca="false">IF($O923="","",IF($S923="",$O923,(DATE(Semana!$J$3,1,4)-WEEKDAY(DATE(Semana!$J$3,1,4),3))+($S923-1)*7+IF($M923="",0,MATCH($M923,Listas!$F$5:$F$11,0)-1)))</f>
        <v/>
      </c>
      <c r="X923" s="39" t="str">
        <f aca="false">IF($F923="","",IF(OR($AT923="",$O923=""),0,IF($AT923&lt;=$O923,1,0)))</f>
        <v/>
      </c>
      <c r="Y923" s="39" t="str">
        <f aca="false">IF($F923="","",IF(OR($AT923="",$W923=""),0,IF($AT923&lt;=$W923,1,0)))</f>
        <v/>
      </c>
      <c r="Z923" s="39" t="str">
        <f aca="false">IF(OR($AT923="",$O923=""),"",MAX(0,$AT923-$O923))</f>
        <v/>
      </c>
      <c r="AA923" s="39" t="str">
        <f aca="false">IF($F923="","",IF(AND($S923&lt;&gt;"",$L923&lt;&gt;"",$S923&lt;&gt;$L923),1,0))</f>
        <v/>
      </c>
      <c r="AB923" s="39" t="str">
        <f aca="false">IF($F923="","",IF($R923="Cancelada",0,IF(OR($AT923&lt;&gt;"",$R923="Concluída"),1,0)))</f>
        <v/>
      </c>
      <c r="AC923" s="39" t="n">
        <f aca="false">IF($P923="",0,IF($P923&lt;Hoje!$L$1,1,IF(AND($P923=Hoje!$L$1,Hoje!$L$2&gt;Semana!$M$3),1,0)))</f>
        <v>0</v>
      </c>
      <c r="AD923" s="39" t="str">
        <f aca="false">IF($F923="","",IF(COUNTA($I923:$K923)=0,0,1/COUNTA($I923:$K923)))</f>
        <v/>
      </c>
      <c r="AE923" s="39" t="str">
        <f aca="false">IF($AH923=0,"",SUM($AH$4:$AH923))</f>
        <v/>
      </c>
      <c r="AF923" s="39" t="str">
        <f aca="false">IF($AI923=0,"",SUM($AI$4:$AI923))</f>
        <v/>
      </c>
      <c r="AG923" s="50" t="str">
        <f aca="false">IF($F923="","",$I923&amp;IF($J923="",""," · "&amp;$J923)&amp;IF($K923="",""," · "&amp;$K923))</f>
        <v/>
      </c>
      <c r="AH923" s="39" t="n">
        <f aca="false">IF(AND($F923&lt;&gt;"",$O923&lt;&gt;"",$O923&lt;=Hoje!$C$3,$P923&gt;=Hoje!$C$3,$R923&lt;&gt;"Cancelada"),1,0)</f>
        <v>0</v>
      </c>
      <c r="AI923" s="39" t="n">
        <f aca="false">IF(AND($F923&lt;&gt;"",$P923&lt;&gt;"",$P923&lt;Hoje!$C$3,$AB923=0,$R923&lt;&gt;"Cancelada"),1,0)</f>
        <v>0</v>
      </c>
      <c r="AJ923" s="50" t="str">
        <f aca="false">IF($F923="","",$D923&amp;"|"&amp;$E923&amp;"|"&amp;$L923)</f>
        <v/>
      </c>
      <c r="AK923" s="39" t="str">
        <f aca="false">IF($AJ923="","",COUNTIF($AJ$4:$AJ923,$AJ923))</f>
        <v/>
      </c>
      <c r="AL923" s="39" t="str">
        <f aca="false">IF($AJ923="","",COUNTIF($AJ$4:$AJ$1004,$AJ923))</f>
        <v/>
      </c>
      <c r="AM923" s="42"/>
      <c r="AN923" s="50" t="str">
        <f aca="false">IF($D923="","",IFERROR(T(VLOOKUP($D923,Listas!$B$5:$H$120,7,0)),""))</f>
        <v/>
      </c>
      <c r="AO923" s="50" t="str">
        <f aca="false">IF(OR($F923="",$L923&lt;&gt;"",$R923="Cancelada",$AT923&lt;&gt;""),"",$AN923&amp;"|"&amp;$D923&amp;"|"&amp;IF($C923="","zzz",$C923)&amp;"|"&amp;TEXT(923,"0000"))</f>
        <v/>
      </c>
      <c r="AP923" s="50" t="str">
        <f aca="false">IF($AO923="","",COUNTIF($AO$5:$AO$1004,"&lt;"&amp;$AO923)-(ROWS($AO$5:$AO$1004)-Hoje!$L$5)+1)</f>
        <v/>
      </c>
      <c r="AQ923" s="50" t="n">
        <f aca="false">IF(AND($F923&lt;&gt;"",$D923=Frota!$C$3),1,0)</f>
        <v>0</v>
      </c>
      <c r="AR923" s="50" t="str">
        <f aca="false">IF($AQ923=0,"",SUM($AQ$4:$AQ923))</f>
        <v/>
      </c>
      <c r="AS923" s="50" t="str">
        <f aca="false">IFERROR(INDEX(Hoje!$K$10:$K$29,MATCH(ROW(),Hoje!$J$10:$J$29,0)),"")</f>
        <v/>
      </c>
      <c r="AT923" s="50" t="str">
        <f aca="false">IF($Q923&lt;&gt;"",$Q923,$AS923)</f>
        <v/>
      </c>
    </row>
    <row r="924" customFormat="false" ht="16.5" hidden="false" customHeight="true" outlineLevel="0" collapsed="false">
      <c r="A924" s="39" t="str">
        <f aca="false">IF($F924="","",ROW())</f>
        <v/>
      </c>
      <c r="B924" s="40" t="str">
        <f aca="false">IF($F924="",IF($D924="","","Falta a atividade"),IF($R924="Cancelada","Cancelada",IF($AB924=1,IF(N($Z924)&gt;0,"Concluída com atraso","Concluída"),IF($R924="Em programação","Em programação",IF($O924="",IF($M924="","Na carteira","Falta a semana"),IF($AC924=1,"VENCIDA",IF($O924&gt;Hoje!$L$1,"Programada",IF($P924&gt;Hoje!$L$1,"Em execução","Fecha hoje"))))))))</f>
        <v/>
      </c>
      <c r="C924" s="41"/>
      <c r="D924" s="42"/>
      <c r="E924" s="42"/>
      <c r="F924" s="42"/>
      <c r="G924" s="43"/>
      <c r="H924" s="43"/>
      <c r="I924" s="44"/>
      <c r="J924" s="44"/>
      <c r="K924" s="44"/>
      <c r="L924" s="45"/>
      <c r="M924" s="46"/>
      <c r="N924" s="45"/>
      <c r="O924" s="47" t="str">
        <f aca="false">IF(OR($L924="",$M924=""),"",(DATE(Semana!$J$3,1,4)-WEEKDAY(DATE(Semana!$J$3,1,4),3))+($L924-1)*7+MATCH($M924,Listas!$F$5:$F$11,0)-1)</f>
        <v/>
      </c>
      <c r="P924" s="47" t="str">
        <f aca="false">IF(OR($F924="",$O924=""),"",$O924+MAX(0,ROUNDUP($AK924*MAX(1,IF($N924="",1,$N924))/MAX(1,$AL924),0)-1))</f>
        <v/>
      </c>
      <c r="Q924" s="48"/>
      <c r="R924" s="43"/>
      <c r="S924" s="49"/>
      <c r="T924" s="42"/>
      <c r="U924" s="42"/>
      <c r="V924" s="39" t="str">
        <f aca="false">IF($F924="","",IF(ISNUMBER(SEARCH("(externo)",$I924&amp;$J924&amp;$K924)),"Terceirizada","Interna"))</f>
        <v/>
      </c>
      <c r="W924" s="47" t="str">
        <f aca="false">IF($O924="","",IF($S924="",$O924,(DATE(Semana!$J$3,1,4)-WEEKDAY(DATE(Semana!$J$3,1,4),3))+($S924-1)*7+IF($M924="",0,MATCH($M924,Listas!$F$5:$F$11,0)-1)))</f>
        <v/>
      </c>
      <c r="X924" s="39" t="str">
        <f aca="false">IF($F924="","",IF(OR($AT924="",$O924=""),0,IF($AT924&lt;=$O924,1,0)))</f>
        <v/>
      </c>
      <c r="Y924" s="39" t="str">
        <f aca="false">IF($F924="","",IF(OR($AT924="",$W924=""),0,IF($AT924&lt;=$W924,1,0)))</f>
        <v/>
      </c>
      <c r="Z924" s="39" t="str">
        <f aca="false">IF(OR($AT924="",$O924=""),"",MAX(0,$AT924-$O924))</f>
        <v/>
      </c>
      <c r="AA924" s="39" t="str">
        <f aca="false">IF($F924="","",IF(AND($S924&lt;&gt;"",$L924&lt;&gt;"",$S924&lt;&gt;$L924),1,0))</f>
        <v/>
      </c>
      <c r="AB924" s="39" t="str">
        <f aca="false">IF($F924="","",IF($R924="Cancelada",0,IF(OR($AT924&lt;&gt;"",$R924="Concluída"),1,0)))</f>
        <v/>
      </c>
      <c r="AC924" s="39" t="n">
        <f aca="false">IF($P924="",0,IF($P924&lt;Hoje!$L$1,1,IF(AND($P924=Hoje!$L$1,Hoje!$L$2&gt;Semana!$M$3),1,0)))</f>
        <v>0</v>
      </c>
      <c r="AD924" s="39" t="str">
        <f aca="false">IF($F924="","",IF(COUNTA($I924:$K924)=0,0,1/COUNTA($I924:$K924)))</f>
        <v/>
      </c>
      <c r="AE924" s="39" t="str">
        <f aca="false">IF($AH924=0,"",SUM($AH$4:$AH924))</f>
        <v/>
      </c>
      <c r="AF924" s="39" t="str">
        <f aca="false">IF($AI924=0,"",SUM($AI$4:$AI924))</f>
        <v/>
      </c>
      <c r="AG924" s="50" t="str">
        <f aca="false">IF($F924="","",$I924&amp;IF($J924="",""," · "&amp;$J924)&amp;IF($K924="",""," · "&amp;$K924))</f>
        <v/>
      </c>
      <c r="AH924" s="39" t="n">
        <f aca="false">IF(AND($F924&lt;&gt;"",$O924&lt;&gt;"",$O924&lt;=Hoje!$C$3,$P924&gt;=Hoje!$C$3,$R924&lt;&gt;"Cancelada"),1,0)</f>
        <v>0</v>
      </c>
      <c r="AI924" s="39" t="n">
        <f aca="false">IF(AND($F924&lt;&gt;"",$P924&lt;&gt;"",$P924&lt;Hoje!$C$3,$AB924=0,$R924&lt;&gt;"Cancelada"),1,0)</f>
        <v>0</v>
      </c>
      <c r="AJ924" s="50" t="str">
        <f aca="false">IF($F924="","",$D924&amp;"|"&amp;$E924&amp;"|"&amp;$L924)</f>
        <v/>
      </c>
      <c r="AK924" s="39" t="str">
        <f aca="false">IF($AJ924="","",COUNTIF($AJ$4:$AJ924,$AJ924))</f>
        <v/>
      </c>
      <c r="AL924" s="39" t="str">
        <f aca="false">IF($AJ924="","",COUNTIF($AJ$4:$AJ$1004,$AJ924))</f>
        <v/>
      </c>
      <c r="AM924" s="42"/>
      <c r="AN924" s="50" t="str">
        <f aca="false">IF($D924="","",IFERROR(T(VLOOKUP($D924,Listas!$B$5:$H$120,7,0)),""))</f>
        <v/>
      </c>
      <c r="AO924" s="50" t="str">
        <f aca="false">IF(OR($F924="",$L924&lt;&gt;"",$R924="Cancelada",$AT924&lt;&gt;""),"",$AN924&amp;"|"&amp;$D924&amp;"|"&amp;IF($C924="","zzz",$C924)&amp;"|"&amp;TEXT(924,"0000"))</f>
        <v/>
      </c>
      <c r="AP924" s="50" t="str">
        <f aca="false">IF($AO924="","",COUNTIF($AO$5:$AO$1004,"&lt;"&amp;$AO924)-(ROWS($AO$5:$AO$1004)-Hoje!$L$5)+1)</f>
        <v/>
      </c>
      <c r="AQ924" s="50" t="n">
        <f aca="false">IF(AND($F924&lt;&gt;"",$D924=Frota!$C$3),1,0)</f>
        <v>0</v>
      </c>
      <c r="AR924" s="50" t="str">
        <f aca="false">IF($AQ924=0,"",SUM($AQ$4:$AQ924))</f>
        <v/>
      </c>
      <c r="AS924" s="50" t="str">
        <f aca="false">IFERROR(INDEX(Hoje!$K$10:$K$29,MATCH(ROW(),Hoje!$J$10:$J$29,0)),"")</f>
        <v/>
      </c>
      <c r="AT924" s="50" t="str">
        <f aca="false">IF($Q924&lt;&gt;"",$Q924,$AS924)</f>
        <v/>
      </c>
    </row>
    <row r="925" customFormat="false" ht="16.5" hidden="false" customHeight="true" outlineLevel="0" collapsed="false">
      <c r="A925" s="39" t="str">
        <f aca="false">IF($F925="","",ROW())</f>
        <v/>
      </c>
      <c r="B925" s="40" t="str">
        <f aca="false">IF($F925="",IF($D925="","","Falta a atividade"),IF($R925="Cancelada","Cancelada",IF($AB925=1,IF(N($Z925)&gt;0,"Concluída com atraso","Concluída"),IF($R925="Em programação","Em programação",IF($O925="",IF($M925="","Na carteira","Falta a semana"),IF($AC925=1,"VENCIDA",IF($O925&gt;Hoje!$L$1,"Programada",IF($P925&gt;Hoje!$L$1,"Em execução","Fecha hoje"))))))))</f>
        <v/>
      </c>
      <c r="C925" s="41"/>
      <c r="D925" s="42"/>
      <c r="E925" s="42"/>
      <c r="F925" s="42"/>
      <c r="G925" s="43"/>
      <c r="H925" s="43"/>
      <c r="I925" s="44"/>
      <c r="J925" s="44"/>
      <c r="K925" s="44"/>
      <c r="L925" s="45"/>
      <c r="M925" s="46"/>
      <c r="N925" s="45"/>
      <c r="O925" s="47" t="str">
        <f aca="false">IF(OR($L925="",$M925=""),"",(DATE(Semana!$J$3,1,4)-WEEKDAY(DATE(Semana!$J$3,1,4),3))+($L925-1)*7+MATCH($M925,Listas!$F$5:$F$11,0)-1)</f>
        <v/>
      </c>
      <c r="P925" s="47" t="str">
        <f aca="false">IF(OR($F925="",$O925=""),"",$O925+MAX(0,ROUNDUP($AK925*MAX(1,IF($N925="",1,$N925))/MAX(1,$AL925),0)-1))</f>
        <v/>
      </c>
      <c r="Q925" s="48"/>
      <c r="R925" s="43"/>
      <c r="S925" s="49"/>
      <c r="T925" s="42"/>
      <c r="U925" s="42"/>
      <c r="V925" s="39" t="str">
        <f aca="false">IF($F925="","",IF(ISNUMBER(SEARCH("(externo)",$I925&amp;$J925&amp;$K925)),"Terceirizada","Interna"))</f>
        <v/>
      </c>
      <c r="W925" s="47" t="str">
        <f aca="false">IF($O925="","",IF($S925="",$O925,(DATE(Semana!$J$3,1,4)-WEEKDAY(DATE(Semana!$J$3,1,4),3))+($S925-1)*7+IF($M925="",0,MATCH($M925,Listas!$F$5:$F$11,0)-1)))</f>
        <v/>
      </c>
      <c r="X925" s="39" t="str">
        <f aca="false">IF($F925="","",IF(OR($AT925="",$O925=""),0,IF($AT925&lt;=$O925,1,0)))</f>
        <v/>
      </c>
      <c r="Y925" s="39" t="str">
        <f aca="false">IF($F925="","",IF(OR($AT925="",$W925=""),0,IF($AT925&lt;=$W925,1,0)))</f>
        <v/>
      </c>
      <c r="Z925" s="39" t="str">
        <f aca="false">IF(OR($AT925="",$O925=""),"",MAX(0,$AT925-$O925))</f>
        <v/>
      </c>
      <c r="AA925" s="39" t="str">
        <f aca="false">IF($F925="","",IF(AND($S925&lt;&gt;"",$L925&lt;&gt;"",$S925&lt;&gt;$L925),1,0))</f>
        <v/>
      </c>
      <c r="AB925" s="39" t="str">
        <f aca="false">IF($F925="","",IF($R925="Cancelada",0,IF(OR($AT925&lt;&gt;"",$R925="Concluída"),1,0)))</f>
        <v/>
      </c>
      <c r="AC925" s="39" t="n">
        <f aca="false">IF($P925="",0,IF($P925&lt;Hoje!$L$1,1,IF(AND($P925=Hoje!$L$1,Hoje!$L$2&gt;Semana!$M$3),1,0)))</f>
        <v>0</v>
      </c>
      <c r="AD925" s="39" t="str">
        <f aca="false">IF($F925="","",IF(COUNTA($I925:$K925)=0,0,1/COUNTA($I925:$K925)))</f>
        <v/>
      </c>
      <c r="AE925" s="39" t="str">
        <f aca="false">IF($AH925=0,"",SUM($AH$4:$AH925))</f>
        <v/>
      </c>
      <c r="AF925" s="39" t="str">
        <f aca="false">IF($AI925=0,"",SUM($AI$4:$AI925))</f>
        <v/>
      </c>
      <c r="AG925" s="50" t="str">
        <f aca="false">IF($F925="","",$I925&amp;IF($J925="",""," · "&amp;$J925)&amp;IF($K925="",""," · "&amp;$K925))</f>
        <v/>
      </c>
      <c r="AH925" s="39" t="n">
        <f aca="false">IF(AND($F925&lt;&gt;"",$O925&lt;&gt;"",$O925&lt;=Hoje!$C$3,$P925&gt;=Hoje!$C$3,$R925&lt;&gt;"Cancelada"),1,0)</f>
        <v>0</v>
      </c>
      <c r="AI925" s="39" t="n">
        <f aca="false">IF(AND($F925&lt;&gt;"",$P925&lt;&gt;"",$P925&lt;Hoje!$C$3,$AB925=0,$R925&lt;&gt;"Cancelada"),1,0)</f>
        <v>0</v>
      </c>
      <c r="AJ925" s="50" t="str">
        <f aca="false">IF($F925="","",$D925&amp;"|"&amp;$E925&amp;"|"&amp;$L925)</f>
        <v/>
      </c>
      <c r="AK925" s="39" t="str">
        <f aca="false">IF($AJ925="","",COUNTIF($AJ$4:$AJ925,$AJ925))</f>
        <v/>
      </c>
      <c r="AL925" s="39" t="str">
        <f aca="false">IF($AJ925="","",COUNTIF($AJ$4:$AJ$1004,$AJ925))</f>
        <v/>
      </c>
      <c r="AM925" s="42"/>
      <c r="AN925" s="50" t="str">
        <f aca="false">IF($D925="","",IFERROR(T(VLOOKUP($D925,Listas!$B$5:$H$120,7,0)),""))</f>
        <v/>
      </c>
      <c r="AO925" s="50" t="str">
        <f aca="false">IF(OR($F925="",$L925&lt;&gt;"",$R925="Cancelada",$AT925&lt;&gt;""),"",$AN925&amp;"|"&amp;$D925&amp;"|"&amp;IF($C925="","zzz",$C925)&amp;"|"&amp;TEXT(925,"0000"))</f>
        <v/>
      </c>
      <c r="AP925" s="50" t="str">
        <f aca="false">IF($AO925="","",COUNTIF($AO$5:$AO$1004,"&lt;"&amp;$AO925)-(ROWS($AO$5:$AO$1004)-Hoje!$L$5)+1)</f>
        <v/>
      </c>
      <c r="AQ925" s="50" t="n">
        <f aca="false">IF(AND($F925&lt;&gt;"",$D925=Frota!$C$3),1,0)</f>
        <v>0</v>
      </c>
      <c r="AR925" s="50" t="str">
        <f aca="false">IF($AQ925=0,"",SUM($AQ$4:$AQ925))</f>
        <v/>
      </c>
      <c r="AS925" s="50" t="str">
        <f aca="false">IFERROR(INDEX(Hoje!$K$10:$K$29,MATCH(ROW(),Hoje!$J$10:$J$29,0)),"")</f>
        <v/>
      </c>
      <c r="AT925" s="50" t="str">
        <f aca="false">IF($Q925&lt;&gt;"",$Q925,$AS925)</f>
        <v/>
      </c>
    </row>
    <row r="926" customFormat="false" ht="16.5" hidden="false" customHeight="true" outlineLevel="0" collapsed="false">
      <c r="A926" s="39" t="str">
        <f aca="false">IF($F926="","",ROW())</f>
        <v/>
      </c>
      <c r="B926" s="40" t="str">
        <f aca="false">IF($F926="",IF($D926="","","Falta a atividade"),IF($R926="Cancelada","Cancelada",IF($AB926=1,IF(N($Z926)&gt;0,"Concluída com atraso","Concluída"),IF($R926="Em programação","Em programação",IF($O926="",IF($M926="","Na carteira","Falta a semana"),IF($AC926=1,"VENCIDA",IF($O926&gt;Hoje!$L$1,"Programada",IF($P926&gt;Hoje!$L$1,"Em execução","Fecha hoje"))))))))</f>
        <v/>
      </c>
      <c r="C926" s="41"/>
      <c r="D926" s="42"/>
      <c r="E926" s="42"/>
      <c r="F926" s="42"/>
      <c r="G926" s="43"/>
      <c r="H926" s="43"/>
      <c r="I926" s="44"/>
      <c r="J926" s="44"/>
      <c r="K926" s="44"/>
      <c r="L926" s="45"/>
      <c r="M926" s="46"/>
      <c r="N926" s="45"/>
      <c r="O926" s="47" t="str">
        <f aca="false">IF(OR($L926="",$M926=""),"",(DATE(Semana!$J$3,1,4)-WEEKDAY(DATE(Semana!$J$3,1,4),3))+($L926-1)*7+MATCH($M926,Listas!$F$5:$F$11,0)-1)</f>
        <v/>
      </c>
      <c r="P926" s="47" t="str">
        <f aca="false">IF(OR($F926="",$O926=""),"",$O926+MAX(0,ROUNDUP($AK926*MAX(1,IF($N926="",1,$N926))/MAX(1,$AL926),0)-1))</f>
        <v/>
      </c>
      <c r="Q926" s="48"/>
      <c r="R926" s="43"/>
      <c r="S926" s="49"/>
      <c r="T926" s="42"/>
      <c r="U926" s="42"/>
      <c r="V926" s="39" t="str">
        <f aca="false">IF($F926="","",IF(ISNUMBER(SEARCH("(externo)",$I926&amp;$J926&amp;$K926)),"Terceirizada","Interna"))</f>
        <v/>
      </c>
      <c r="W926" s="47" t="str">
        <f aca="false">IF($O926="","",IF($S926="",$O926,(DATE(Semana!$J$3,1,4)-WEEKDAY(DATE(Semana!$J$3,1,4),3))+($S926-1)*7+IF($M926="",0,MATCH($M926,Listas!$F$5:$F$11,0)-1)))</f>
        <v/>
      </c>
      <c r="X926" s="39" t="str">
        <f aca="false">IF($F926="","",IF(OR($AT926="",$O926=""),0,IF($AT926&lt;=$O926,1,0)))</f>
        <v/>
      </c>
      <c r="Y926" s="39" t="str">
        <f aca="false">IF($F926="","",IF(OR($AT926="",$W926=""),0,IF($AT926&lt;=$W926,1,0)))</f>
        <v/>
      </c>
      <c r="Z926" s="39" t="str">
        <f aca="false">IF(OR($AT926="",$O926=""),"",MAX(0,$AT926-$O926))</f>
        <v/>
      </c>
      <c r="AA926" s="39" t="str">
        <f aca="false">IF($F926="","",IF(AND($S926&lt;&gt;"",$L926&lt;&gt;"",$S926&lt;&gt;$L926),1,0))</f>
        <v/>
      </c>
      <c r="AB926" s="39" t="str">
        <f aca="false">IF($F926="","",IF($R926="Cancelada",0,IF(OR($AT926&lt;&gt;"",$R926="Concluída"),1,0)))</f>
        <v/>
      </c>
      <c r="AC926" s="39" t="n">
        <f aca="false">IF($P926="",0,IF($P926&lt;Hoje!$L$1,1,IF(AND($P926=Hoje!$L$1,Hoje!$L$2&gt;Semana!$M$3),1,0)))</f>
        <v>0</v>
      </c>
      <c r="AD926" s="39" t="str">
        <f aca="false">IF($F926="","",IF(COUNTA($I926:$K926)=0,0,1/COUNTA($I926:$K926)))</f>
        <v/>
      </c>
      <c r="AE926" s="39" t="str">
        <f aca="false">IF($AH926=0,"",SUM($AH$4:$AH926))</f>
        <v/>
      </c>
      <c r="AF926" s="39" t="str">
        <f aca="false">IF($AI926=0,"",SUM($AI$4:$AI926))</f>
        <v/>
      </c>
      <c r="AG926" s="50" t="str">
        <f aca="false">IF($F926="","",$I926&amp;IF($J926="",""," · "&amp;$J926)&amp;IF($K926="",""," · "&amp;$K926))</f>
        <v/>
      </c>
      <c r="AH926" s="39" t="n">
        <f aca="false">IF(AND($F926&lt;&gt;"",$O926&lt;&gt;"",$O926&lt;=Hoje!$C$3,$P926&gt;=Hoje!$C$3,$R926&lt;&gt;"Cancelada"),1,0)</f>
        <v>0</v>
      </c>
      <c r="AI926" s="39" t="n">
        <f aca="false">IF(AND($F926&lt;&gt;"",$P926&lt;&gt;"",$P926&lt;Hoje!$C$3,$AB926=0,$R926&lt;&gt;"Cancelada"),1,0)</f>
        <v>0</v>
      </c>
      <c r="AJ926" s="50" t="str">
        <f aca="false">IF($F926="","",$D926&amp;"|"&amp;$E926&amp;"|"&amp;$L926)</f>
        <v/>
      </c>
      <c r="AK926" s="39" t="str">
        <f aca="false">IF($AJ926="","",COUNTIF($AJ$4:$AJ926,$AJ926))</f>
        <v/>
      </c>
      <c r="AL926" s="39" t="str">
        <f aca="false">IF($AJ926="","",COUNTIF($AJ$4:$AJ$1004,$AJ926))</f>
        <v/>
      </c>
      <c r="AM926" s="42"/>
      <c r="AN926" s="50" t="str">
        <f aca="false">IF($D926="","",IFERROR(T(VLOOKUP($D926,Listas!$B$5:$H$120,7,0)),""))</f>
        <v/>
      </c>
      <c r="AO926" s="50" t="str">
        <f aca="false">IF(OR($F926="",$L926&lt;&gt;"",$R926="Cancelada",$AT926&lt;&gt;""),"",$AN926&amp;"|"&amp;$D926&amp;"|"&amp;IF($C926="","zzz",$C926)&amp;"|"&amp;TEXT(926,"0000"))</f>
        <v/>
      </c>
      <c r="AP926" s="50" t="str">
        <f aca="false">IF($AO926="","",COUNTIF($AO$5:$AO$1004,"&lt;"&amp;$AO926)-(ROWS($AO$5:$AO$1004)-Hoje!$L$5)+1)</f>
        <v/>
      </c>
      <c r="AQ926" s="50" t="n">
        <f aca="false">IF(AND($F926&lt;&gt;"",$D926=Frota!$C$3),1,0)</f>
        <v>0</v>
      </c>
      <c r="AR926" s="50" t="str">
        <f aca="false">IF($AQ926=0,"",SUM($AQ$4:$AQ926))</f>
        <v/>
      </c>
      <c r="AS926" s="50" t="str">
        <f aca="false">IFERROR(INDEX(Hoje!$K$10:$K$29,MATCH(ROW(),Hoje!$J$10:$J$29,0)),"")</f>
        <v/>
      </c>
      <c r="AT926" s="50" t="str">
        <f aca="false">IF($Q926&lt;&gt;"",$Q926,$AS926)</f>
        <v/>
      </c>
    </row>
    <row r="927" customFormat="false" ht="16.5" hidden="false" customHeight="true" outlineLevel="0" collapsed="false">
      <c r="A927" s="39" t="str">
        <f aca="false">IF($F927="","",ROW())</f>
        <v/>
      </c>
      <c r="B927" s="40" t="str">
        <f aca="false">IF($F927="",IF($D927="","","Falta a atividade"),IF($R927="Cancelada","Cancelada",IF($AB927=1,IF(N($Z927)&gt;0,"Concluída com atraso","Concluída"),IF($R927="Em programação","Em programação",IF($O927="",IF($M927="","Na carteira","Falta a semana"),IF($AC927=1,"VENCIDA",IF($O927&gt;Hoje!$L$1,"Programada",IF($P927&gt;Hoje!$L$1,"Em execução","Fecha hoje"))))))))</f>
        <v/>
      </c>
      <c r="C927" s="41"/>
      <c r="D927" s="42"/>
      <c r="E927" s="42"/>
      <c r="F927" s="42"/>
      <c r="G927" s="43"/>
      <c r="H927" s="43"/>
      <c r="I927" s="44"/>
      <c r="J927" s="44"/>
      <c r="K927" s="44"/>
      <c r="L927" s="45"/>
      <c r="M927" s="46"/>
      <c r="N927" s="45"/>
      <c r="O927" s="47" t="str">
        <f aca="false">IF(OR($L927="",$M927=""),"",(DATE(Semana!$J$3,1,4)-WEEKDAY(DATE(Semana!$J$3,1,4),3))+($L927-1)*7+MATCH($M927,Listas!$F$5:$F$11,0)-1)</f>
        <v/>
      </c>
      <c r="P927" s="47" t="str">
        <f aca="false">IF(OR($F927="",$O927=""),"",$O927+MAX(0,ROUNDUP($AK927*MAX(1,IF($N927="",1,$N927))/MAX(1,$AL927),0)-1))</f>
        <v/>
      </c>
      <c r="Q927" s="48"/>
      <c r="R927" s="43"/>
      <c r="S927" s="49"/>
      <c r="T927" s="42"/>
      <c r="U927" s="42"/>
      <c r="V927" s="39" t="str">
        <f aca="false">IF($F927="","",IF(ISNUMBER(SEARCH("(externo)",$I927&amp;$J927&amp;$K927)),"Terceirizada","Interna"))</f>
        <v/>
      </c>
      <c r="W927" s="47" t="str">
        <f aca="false">IF($O927="","",IF($S927="",$O927,(DATE(Semana!$J$3,1,4)-WEEKDAY(DATE(Semana!$J$3,1,4),3))+($S927-1)*7+IF($M927="",0,MATCH($M927,Listas!$F$5:$F$11,0)-1)))</f>
        <v/>
      </c>
      <c r="X927" s="39" t="str">
        <f aca="false">IF($F927="","",IF(OR($AT927="",$O927=""),0,IF($AT927&lt;=$O927,1,0)))</f>
        <v/>
      </c>
      <c r="Y927" s="39" t="str">
        <f aca="false">IF($F927="","",IF(OR($AT927="",$W927=""),0,IF($AT927&lt;=$W927,1,0)))</f>
        <v/>
      </c>
      <c r="Z927" s="39" t="str">
        <f aca="false">IF(OR($AT927="",$O927=""),"",MAX(0,$AT927-$O927))</f>
        <v/>
      </c>
      <c r="AA927" s="39" t="str">
        <f aca="false">IF($F927="","",IF(AND($S927&lt;&gt;"",$L927&lt;&gt;"",$S927&lt;&gt;$L927),1,0))</f>
        <v/>
      </c>
      <c r="AB927" s="39" t="str">
        <f aca="false">IF($F927="","",IF($R927="Cancelada",0,IF(OR($AT927&lt;&gt;"",$R927="Concluída"),1,0)))</f>
        <v/>
      </c>
      <c r="AC927" s="39" t="n">
        <f aca="false">IF($P927="",0,IF($P927&lt;Hoje!$L$1,1,IF(AND($P927=Hoje!$L$1,Hoje!$L$2&gt;Semana!$M$3),1,0)))</f>
        <v>0</v>
      </c>
      <c r="AD927" s="39" t="str">
        <f aca="false">IF($F927="","",IF(COUNTA($I927:$K927)=0,0,1/COUNTA($I927:$K927)))</f>
        <v/>
      </c>
      <c r="AE927" s="39" t="str">
        <f aca="false">IF($AH927=0,"",SUM($AH$4:$AH927))</f>
        <v/>
      </c>
      <c r="AF927" s="39" t="str">
        <f aca="false">IF($AI927=0,"",SUM($AI$4:$AI927))</f>
        <v/>
      </c>
      <c r="AG927" s="50" t="str">
        <f aca="false">IF($F927="","",$I927&amp;IF($J927="",""," · "&amp;$J927)&amp;IF($K927="",""," · "&amp;$K927))</f>
        <v/>
      </c>
      <c r="AH927" s="39" t="n">
        <f aca="false">IF(AND($F927&lt;&gt;"",$O927&lt;&gt;"",$O927&lt;=Hoje!$C$3,$P927&gt;=Hoje!$C$3,$R927&lt;&gt;"Cancelada"),1,0)</f>
        <v>0</v>
      </c>
      <c r="AI927" s="39" t="n">
        <f aca="false">IF(AND($F927&lt;&gt;"",$P927&lt;&gt;"",$P927&lt;Hoje!$C$3,$AB927=0,$R927&lt;&gt;"Cancelada"),1,0)</f>
        <v>0</v>
      </c>
      <c r="AJ927" s="50" t="str">
        <f aca="false">IF($F927="","",$D927&amp;"|"&amp;$E927&amp;"|"&amp;$L927)</f>
        <v/>
      </c>
      <c r="AK927" s="39" t="str">
        <f aca="false">IF($AJ927="","",COUNTIF($AJ$4:$AJ927,$AJ927))</f>
        <v/>
      </c>
      <c r="AL927" s="39" t="str">
        <f aca="false">IF($AJ927="","",COUNTIF($AJ$4:$AJ$1004,$AJ927))</f>
        <v/>
      </c>
      <c r="AM927" s="42"/>
      <c r="AN927" s="50" t="str">
        <f aca="false">IF($D927="","",IFERROR(T(VLOOKUP($D927,Listas!$B$5:$H$120,7,0)),""))</f>
        <v/>
      </c>
      <c r="AO927" s="50" t="str">
        <f aca="false">IF(OR($F927="",$L927&lt;&gt;"",$R927="Cancelada",$AT927&lt;&gt;""),"",$AN927&amp;"|"&amp;$D927&amp;"|"&amp;IF($C927="","zzz",$C927)&amp;"|"&amp;TEXT(927,"0000"))</f>
        <v/>
      </c>
      <c r="AP927" s="50" t="str">
        <f aca="false">IF($AO927="","",COUNTIF($AO$5:$AO$1004,"&lt;"&amp;$AO927)-(ROWS($AO$5:$AO$1004)-Hoje!$L$5)+1)</f>
        <v/>
      </c>
      <c r="AQ927" s="50" t="n">
        <f aca="false">IF(AND($F927&lt;&gt;"",$D927=Frota!$C$3),1,0)</f>
        <v>0</v>
      </c>
      <c r="AR927" s="50" t="str">
        <f aca="false">IF($AQ927=0,"",SUM($AQ$4:$AQ927))</f>
        <v/>
      </c>
      <c r="AS927" s="50" t="str">
        <f aca="false">IFERROR(INDEX(Hoje!$K$10:$K$29,MATCH(ROW(),Hoje!$J$10:$J$29,0)),"")</f>
        <v/>
      </c>
      <c r="AT927" s="50" t="str">
        <f aca="false">IF($Q927&lt;&gt;"",$Q927,$AS927)</f>
        <v/>
      </c>
    </row>
    <row r="928" customFormat="false" ht="16.5" hidden="false" customHeight="true" outlineLevel="0" collapsed="false">
      <c r="A928" s="39" t="str">
        <f aca="false">IF($F928="","",ROW())</f>
        <v/>
      </c>
      <c r="B928" s="40" t="str">
        <f aca="false">IF($F928="",IF($D928="","","Falta a atividade"),IF($R928="Cancelada","Cancelada",IF($AB928=1,IF(N($Z928)&gt;0,"Concluída com atraso","Concluída"),IF($R928="Em programação","Em programação",IF($O928="",IF($M928="","Na carteira","Falta a semana"),IF($AC928=1,"VENCIDA",IF($O928&gt;Hoje!$L$1,"Programada",IF($P928&gt;Hoje!$L$1,"Em execução","Fecha hoje"))))))))</f>
        <v/>
      </c>
      <c r="C928" s="41"/>
      <c r="D928" s="42"/>
      <c r="E928" s="42"/>
      <c r="F928" s="42"/>
      <c r="G928" s="43"/>
      <c r="H928" s="43"/>
      <c r="I928" s="44"/>
      <c r="J928" s="44"/>
      <c r="K928" s="44"/>
      <c r="L928" s="45"/>
      <c r="M928" s="46"/>
      <c r="N928" s="45"/>
      <c r="O928" s="47" t="str">
        <f aca="false">IF(OR($L928="",$M928=""),"",(DATE(Semana!$J$3,1,4)-WEEKDAY(DATE(Semana!$J$3,1,4),3))+($L928-1)*7+MATCH($M928,Listas!$F$5:$F$11,0)-1)</f>
        <v/>
      </c>
      <c r="P928" s="47" t="str">
        <f aca="false">IF(OR($F928="",$O928=""),"",$O928+MAX(0,ROUNDUP($AK928*MAX(1,IF($N928="",1,$N928))/MAX(1,$AL928),0)-1))</f>
        <v/>
      </c>
      <c r="Q928" s="48"/>
      <c r="R928" s="43"/>
      <c r="S928" s="49"/>
      <c r="T928" s="42"/>
      <c r="U928" s="42"/>
      <c r="V928" s="39" t="str">
        <f aca="false">IF($F928="","",IF(ISNUMBER(SEARCH("(externo)",$I928&amp;$J928&amp;$K928)),"Terceirizada","Interna"))</f>
        <v/>
      </c>
      <c r="W928" s="47" t="str">
        <f aca="false">IF($O928="","",IF($S928="",$O928,(DATE(Semana!$J$3,1,4)-WEEKDAY(DATE(Semana!$J$3,1,4),3))+($S928-1)*7+IF($M928="",0,MATCH($M928,Listas!$F$5:$F$11,0)-1)))</f>
        <v/>
      </c>
      <c r="X928" s="39" t="str">
        <f aca="false">IF($F928="","",IF(OR($AT928="",$O928=""),0,IF($AT928&lt;=$O928,1,0)))</f>
        <v/>
      </c>
      <c r="Y928" s="39" t="str">
        <f aca="false">IF($F928="","",IF(OR($AT928="",$W928=""),0,IF($AT928&lt;=$W928,1,0)))</f>
        <v/>
      </c>
      <c r="Z928" s="39" t="str">
        <f aca="false">IF(OR($AT928="",$O928=""),"",MAX(0,$AT928-$O928))</f>
        <v/>
      </c>
      <c r="AA928" s="39" t="str">
        <f aca="false">IF($F928="","",IF(AND($S928&lt;&gt;"",$L928&lt;&gt;"",$S928&lt;&gt;$L928),1,0))</f>
        <v/>
      </c>
      <c r="AB928" s="39" t="str">
        <f aca="false">IF($F928="","",IF($R928="Cancelada",0,IF(OR($AT928&lt;&gt;"",$R928="Concluída"),1,0)))</f>
        <v/>
      </c>
      <c r="AC928" s="39" t="n">
        <f aca="false">IF($P928="",0,IF($P928&lt;Hoje!$L$1,1,IF(AND($P928=Hoje!$L$1,Hoje!$L$2&gt;Semana!$M$3),1,0)))</f>
        <v>0</v>
      </c>
      <c r="AD928" s="39" t="str">
        <f aca="false">IF($F928="","",IF(COUNTA($I928:$K928)=0,0,1/COUNTA($I928:$K928)))</f>
        <v/>
      </c>
      <c r="AE928" s="39" t="str">
        <f aca="false">IF($AH928=0,"",SUM($AH$4:$AH928))</f>
        <v/>
      </c>
      <c r="AF928" s="39" t="str">
        <f aca="false">IF($AI928=0,"",SUM($AI$4:$AI928))</f>
        <v/>
      </c>
      <c r="AG928" s="50" t="str">
        <f aca="false">IF($F928="","",$I928&amp;IF($J928="",""," · "&amp;$J928)&amp;IF($K928="",""," · "&amp;$K928))</f>
        <v/>
      </c>
      <c r="AH928" s="39" t="n">
        <f aca="false">IF(AND($F928&lt;&gt;"",$O928&lt;&gt;"",$O928&lt;=Hoje!$C$3,$P928&gt;=Hoje!$C$3,$R928&lt;&gt;"Cancelada"),1,0)</f>
        <v>0</v>
      </c>
      <c r="AI928" s="39" t="n">
        <f aca="false">IF(AND($F928&lt;&gt;"",$P928&lt;&gt;"",$P928&lt;Hoje!$C$3,$AB928=0,$R928&lt;&gt;"Cancelada"),1,0)</f>
        <v>0</v>
      </c>
      <c r="AJ928" s="50" t="str">
        <f aca="false">IF($F928="","",$D928&amp;"|"&amp;$E928&amp;"|"&amp;$L928)</f>
        <v/>
      </c>
      <c r="AK928" s="39" t="str">
        <f aca="false">IF($AJ928="","",COUNTIF($AJ$4:$AJ928,$AJ928))</f>
        <v/>
      </c>
      <c r="AL928" s="39" t="str">
        <f aca="false">IF($AJ928="","",COUNTIF($AJ$4:$AJ$1004,$AJ928))</f>
        <v/>
      </c>
      <c r="AM928" s="42"/>
      <c r="AN928" s="50" t="str">
        <f aca="false">IF($D928="","",IFERROR(T(VLOOKUP($D928,Listas!$B$5:$H$120,7,0)),""))</f>
        <v/>
      </c>
      <c r="AO928" s="50" t="str">
        <f aca="false">IF(OR($F928="",$L928&lt;&gt;"",$R928="Cancelada",$AT928&lt;&gt;""),"",$AN928&amp;"|"&amp;$D928&amp;"|"&amp;IF($C928="","zzz",$C928)&amp;"|"&amp;TEXT(928,"0000"))</f>
        <v/>
      </c>
      <c r="AP928" s="50" t="str">
        <f aca="false">IF($AO928="","",COUNTIF($AO$5:$AO$1004,"&lt;"&amp;$AO928)-(ROWS($AO$5:$AO$1004)-Hoje!$L$5)+1)</f>
        <v/>
      </c>
      <c r="AQ928" s="50" t="n">
        <f aca="false">IF(AND($F928&lt;&gt;"",$D928=Frota!$C$3),1,0)</f>
        <v>0</v>
      </c>
      <c r="AR928" s="50" t="str">
        <f aca="false">IF($AQ928=0,"",SUM($AQ$4:$AQ928))</f>
        <v/>
      </c>
      <c r="AS928" s="50" t="str">
        <f aca="false">IFERROR(INDEX(Hoje!$K$10:$K$29,MATCH(ROW(),Hoje!$J$10:$J$29,0)),"")</f>
        <v/>
      </c>
      <c r="AT928" s="50" t="str">
        <f aca="false">IF($Q928&lt;&gt;"",$Q928,$AS928)</f>
        <v/>
      </c>
    </row>
    <row r="929" customFormat="false" ht="16.5" hidden="false" customHeight="true" outlineLevel="0" collapsed="false">
      <c r="A929" s="39" t="str">
        <f aca="false">IF($F929="","",ROW())</f>
        <v/>
      </c>
      <c r="B929" s="40" t="str">
        <f aca="false">IF($F929="",IF($D929="","","Falta a atividade"),IF($R929="Cancelada","Cancelada",IF($AB929=1,IF(N($Z929)&gt;0,"Concluída com atraso","Concluída"),IF($R929="Em programação","Em programação",IF($O929="",IF($M929="","Na carteira","Falta a semana"),IF($AC929=1,"VENCIDA",IF($O929&gt;Hoje!$L$1,"Programada",IF($P929&gt;Hoje!$L$1,"Em execução","Fecha hoje"))))))))</f>
        <v/>
      </c>
      <c r="C929" s="41"/>
      <c r="D929" s="42"/>
      <c r="E929" s="42"/>
      <c r="F929" s="42"/>
      <c r="G929" s="43"/>
      <c r="H929" s="43"/>
      <c r="I929" s="44"/>
      <c r="J929" s="44"/>
      <c r="K929" s="44"/>
      <c r="L929" s="45"/>
      <c r="M929" s="46"/>
      <c r="N929" s="45"/>
      <c r="O929" s="47" t="str">
        <f aca="false">IF(OR($L929="",$M929=""),"",(DATE(Semana!$J$3,1,4)-WEEKDAY(DATE(Semana!$J$3,1,4),3))+($L929-1)*7+MATCH($M929,Listas!$F$5:$F$11,0)-1)</f>
        <v/>
      </c>
      <c r="P929" s="47" t="str">
        <f aca="false">IF(OR($F929="",$O929=""),"",$O929+MAX(0,ROUNDUP($AK929*MAX(1,IF($N929="",1,$N929))/MAX(1,$AL929),0)-1))</f>
        <v/>
      </c>
      <c r="Q929" s="48"/>
      <c r="R929" s="43"/>
      <c r="S929" s="49"/>
      <c r="T929" s="42"/>
      <c r="U929" s="42"/>
      <c r="V929" s="39" t="str">
        <f aca="false">IF($F929="","",IF(ISNUMBER(SEARCH("(externo)",$I929&amp;$J929&amp;$K929)),"Terceirizada","Interna"))</f>
        <v/>
      </c>
      <c r="W929" s="47" t="str">
        <f aca="false">IF($O929="","",IF($S929="",$O929,(DATE(Semana!$J$3,1,4)-WEEKDAY(DATE(Semana!$J$3,1,4),3))+($S929-1)*7+IF($M929="",0,MATCH($M929,Listas!$F$5:$F$11,0)-1)))</f>
        <v/>
      </c>
      <c r="X929" s="39" t="str">
        <f aca="false">IF($F929="","",IF(OR($AT929="",$O929=""),0,IF($AT929&lt;=$O929,1,0)))</f>
        <v/>
      </c>
      <c r="Y929" s="39" t="str">
        <f aca="false">IF($F929="","",IF(OR($AT929="",$W929=""),0,IF($AT929&lt;=$W929,1,0)))</f>
        <v/>
      </c>
      <c r="Z929" s="39" t="str">
        <f aca="false">IF(OR($AT929="",$O929=""),"",MAX(0,$AT929-$O929))</f>
        <v/>
      </c>
      <c r="AA929" s="39" t="str">
        <f aca="false">IF($F929="","",IF(AND($S929&lt;&gt;"",$L929&lt;&gt;"",$S929&lt;&gt;$L929),1,0))</f>
        <v/>
      </c>
      <c r="AB929" s="39" t="str">
        <f aca="false">IF($F929="","",IF($R929="Cancelada",0,IF(OR($AT929&lt;&gt;"",$R929="Concluída"),1,0)))</f>
        <v/>
      </c>
      <c r="AC929" s="39" t="n">
        <f aca="false">IF($P929="",0,IF($P929&lt;Hoje!$L$1,1,IF(AND($P929=Hoje!$L$1,Hoje!$L$2&gt;Semana!$M$3),1,0)))</f>
        <v>0</v>
      </c>
      <c r="AD929" s="39" t="str">
        <f aca="false">IF($F929="","",IF(COUNTA($I929:$K929)=0,0,1/COUNTA($I929:$K929)))</f>
        <v/>
      </c>
      <c r="AE929" s="39" t="str">
        <f aca="false">IF($AH929=0,"",SUM($AH$4:$AH929))</f>
        <v/>
      </c>
      <c r="AF929" s="39" t="str">
        <f aca="false">IF($AI929=0,"",SUM($AI$4:$AI929))</f>
        <v/>
      </c>
      <c r="AG929" s="50" t="str">
        <f aca="false">IF($F929="","",$I929&amp;IF($J929="",""," · "&amp;$J929)&amp;IF($K929="",""," · "&amp;$K929))</f>
        <v/>
      </c>
      <c r="AH929" s="39" t="n">
        <f aca="false">IF(AND($F929&lt;&gt;"",$O929&lt;&gt;"",$O929&lt;=Hoje!$C$3,$P929&gt;=Hoje!$C$3,$R929&lt;&gt;"Cancelada"),1,0)</f>
        <v>0</v>
      </c>
      <c r="AI929" s="39" t="n">
        <f aca="false">IF(AND($F929&lt;&gt;"",$P929&lt;&gt;"",$P929&lt;Hoje!$C$3,$AB929=0,$R929&lt;&gt;"Cancelada"),1,0)</f>
        <v>0</v>
      </c>
      <c r="AJ929" s="50" t="str">
        <f aca="false">IF($F929="","",$D929&amp;"|"&amp;$E929&amp;"|"&amp;$L929)</f>
        <v/>
      </c>
      <c r="AK929" s="39" t="str">
        <f aca="false">IF($AJ929="","",COUNTIF($AJ$4:$AJ929,$AJ929))</f>
        <v/>
      </c>
      <c r="AL929" s="39" t="str">
        <f aca="false">IF($AJ929="","",COUNTIF($AJ$4:$AJ$1004,$AJ929))</f>
        <v/>
      </c>
      <c r="AM929" s="42"/>
      <c r="AN929" s="50" t="str">
        <f aca="false">IF($D929="","",IFERROR(T(VLOOKUP($D929,Listas!$B$5:$H$120,7,0)),""))</f>
        <v/>
      </c>
      <c r="AO929" s="50" t="str">
        <f aca="false">IF(OR($F929="",$L929&lt;&gt;"",$R929="Cancelada",$AT929&lt;&gt;""),"",$AN929&amp;"|"&amp;$D929&amp;"|"&amp;IF($C929="","zzz",$C929)&amp;"|"&amp;TEXT(929,"0000"))</f>
        <v/>
      </c>
      <c r="AP929" s="50" t="str">
        <f aca="false">IF($AO929="","",COUNTIF($AO$5:$AO$1004,"&lt;"&amp;$AO929)-(ROWS($AO$5:$AO$1004)-Hoje!$L$5)+1)</f>
        <v/>
      </c>
      <c r="AQ929" s="50" t="n">
        <f aca="false">IF(AND($F929&lt;&gt;"",$D929=Frota!$C$3),1,0)</f>
        <v>0</v>
      </c>
      <c r="AR929" s="50" t="str">
        <f aca="false">IF($AQ929=0,"",SUM($AQ$4:$AQ929))</f>
        <v/>
      </c>
      <c r="AS929" s="50" t="str">
        <f aca="false">IFERROR(INDEX(Hoje!$K$10:$K$29,MATCH(ROW(),Hoje!$J$10:$J$29,0)),"")</f>
        <v/>
      </c>
      <c r="AT929" s="50" t="str">
        <f aca="false">IF($Q929&lt;&gt;"",$Q929,$AS929)</f>
        <v/>
      </c>
    </row>
    <row r="930" customFormat="false" ht="16.5" hidden="false" customHeight="true" outlineLevel="0" collapsed="false">
      <c r="A930" s="39" t="str">
        <f aca="false">IF($F930="","",ROW())</f>
        <v/>
      </c>
      <c r="B930" s="40" t="str">
        <f aca="false">IF($F930="",IF($D930="","","Falta a atividade"),IF($R930="Cancelada","Cancelada",IF($AB930=1,IF(N($Z930)&gt;0,"Concluída com atraso","Concluída"),IF($R930="Em programação","Em programação",IF($O930="",IF($M930="","Na carteira","Falta a semana"),IF($AC930=1,"VENCIDA",IF($O930&gt;Hoje!$L$1,"Programada",IF($P930&gt;Hoje!$L$1,"Em execução","Fecha hoje"))))))))</f>
        <v/>
      </c>
      <c r="C930" s="41"/>
      <c r="D930" s="42"/>
      <c r="E930" s="42"/>
      <c r="F930" s="42"/>
      <c r="G930" s="43"/>
      <c r="H930" s="43"/>
      <c r="I930" s="44"/>
      <c r="J930" s="44"/>
      <c r="K930" s="44"/>
      <c r="L930" s="45"/>
      <c r="M930" s="46"/>
      <c r="N930" s="45"/>
      <c r="O930" s="47" t="str">
        <f aca="false">IF(OR($L930="",$M930=""),"",(DATE(Semana!$J$3,1,4)-WEEKDAY(DATE(Semana!$J$3,1,4),3))+($L930-1)*7+MATCH($M930,Listas!$F$5:$F$11,0)-1)</f>
        <v/>
      </c>
      <c r="P930" s="47" t="str">
        <f aca="false">IF(OR($F930="",$O930=""),"",$O930+MAX(0,ROUNDUP($AK930*MAX(1,IF($N930="",1,$N930))/MAX(1,$AL930),0)-1))</f>
        <v/>
      </c>
      <c r="Q930" s="48"/>
      <c r="R930" s="43"/>
      <c r="S930" s="49"/>
      <c r="T930" s="42"/>
      <c r="U930" s="42"/>
      <c r="V930" s="39" t="str">
        <f aca="false">IF($F930="","",IF(ISNUMBER(SEARCH("(externo)",$I930&amp;$J930&amp;$K930)),"Terceirizada","Interna"))</f>
        <v/>
      </c>
      <c r="W930" s="47" t="str">
        <f aca="false">IF($O930="","",IF($S930="",$O930,(DATE(Semana!$J$3,1,4)-WEEKDAY(DATE(Semana!$J$3,1,4),3))+($S930-1)*7+IF($M930="",0,MATCH($M930,Listas!$F$5:$F$11,0)-1)))</f>
        <v/>
      </c>
      <c r="X930" s="39" t="str">
        <f aca="false">IF($F930="","",IF(OR($AT930="",$O930=""),0,IF($AT930&lt;=$O930,1,0)))</f>
        <v/>
      </c>
      <c r="Y930" s="39" t="str">
        <f aca="false">IF($F930="","",IF(OR($AT930="",$W930=""),0,IF($AT930&lt;=$W930,1,0)))</f>
        <v/>
      </c>
      <c r="Z930" s="39" t="str">
        <f aca="false">IF(OR($AT930="",$O930=""),"",MAX(0,$AT930-$O930))</f>
        <v/>
      </c>
      <c r="AA930" s="39" t="str">
        <f aca="false">IF($F930="","",IF(AND($S930&lt;&gt;"",$L930&lt;&gt;"",$S930&lt;&gt;$L930),1,0))</f>
        <v/>
      </c>
      <c r="AB930" s="39" t="str">
        <f aca="false">IF($F930="","",IF($R930="Cancelada",0,IF(OR($AT930&lt;&gt;"",$R930="Concluída"),1,0)))</f>
        <v/>
      </c>
      <c r="AC930" s="39" t="n">
        <f aca="false">IF($P930="",0,IF($P930&lt;Hoje!$L$1,1,IF(AND($P930=Hoje!$L$1,Hoje!$L$2&gt;Semana!$M$3),1,0)))</f>
        <v>0</v>
      </c>
      <c r="AD930" s="39" t="str">
        <f aca="false">IF($F930="","",IF(COUNTA($I930:$K930)=0,0,1/COUNTA($I930:$K930)))</f>
        <v/>
      </c>
      <c r="AE930" s="39" t="str">
        <f aca="false">IF($AH930=0,"",SUM($AH$4:$AH930))</f>
        <v/>
      </c>
      <c r="AF930" s="39" t="str">
        <f aca="false">IF($AI930=0,"",SUM($AI$4:$AI930))</f>
        <v/>
      </c>
      <c r="AG930" s="50" t="str">
        <f aca="false">IF($F930="","",$I930&amp;IF($J930="",""," · "&amp;$J930)&amp;IF($K930="",""," · "&amp;$K930))</f>
        <v/>
      </c>
      <c r="AH930" s="39" t="n">
        <f aca="false">IF(AND($F930&lt;&gt;"",$O930&lt;&gt;"",$O930&lt;=Hoje!$C$3,$P930&gt;=Hoje!$C$3,$R930&lt;&gt;"Cancelada"),1,0)</f>
        <v>0</v>
      </c>
      <c r="AI930" s="39" t="n">
        <f aca="false">IF(AND($F930&lt;&gt;"",$P930&lt;&gt;"",$P930&lt;Hoje!$C$3,$AB930=0,$R930&lt;&gt;"Cancelada"),1,0)</f>
        <v>0</v>
      </c>
      <c r="AJ930" s="50" t="str">
        <f aca="false">IF($F930="","",$D930&amp;"|"&amp;$E930&amp;"|"&amp;$L930)</f>
        <v/>
      </c>
      <c r="AK930" s="39" t="str">
        <f aca="false">IF($AJ930="","",COUNTIF($AJ$4:$AJ930,$AJ930))</f>
        <v/>
      </c>
      <c r="AL930" s="39" t="str">
        <f aca="false">IF($AJ930="","",COUNTIF($AJ$4:$AJ$1004,$AJ930))</f>
        <v/>
      </c>
      <c r="AM930" s="42"/>
      <c r="AN930" s="50" t="str">
        <f aca="false">IF($D930="","",IFERROR(T(VLOOKUP($D930,Listas!$B$5:$H$120,7,0)),""))</f>
        <v/>
      </c>
      <c r="AO930" s="50" t="str">
        <f aca="false">IF(OR($F930="",$L930&lt;&gt;"",$R930="Cancelada",$AT930&lt;&gt;""),"",$AN930&amp;"|"&amp;$D930&amp;"|"&amp;IF($C930="","zzz",$C930)&amp;"|"&amp;TEXT(930,"0000"))</f>
        <v/>
      </c>
      <c r="AP930" s="50" t="str">
        <f aca="false">IF($AO930="","",COUNTIF($AO$5:$AO$1004,"&lt;"&amp;$AO930)-(ROWS($AO$5:$AO$1004)-Hoje!$L$5)+1)</f>
        <v/>
      </c>
      <c r="AQ930" s="50" t="n">
        <f aca="false">IF(AND($F930&lt;&gt;"",$D930=Frota!$C$3),1,0)</f>
        <v>0</v>
      </c>
      <c r="AR930" s="50" t="str">
        <f aca="false">IF($AQ930=0,"",SUM($AQ$4:$AQ930))</f>
        <v/>
      </c>
      <c r="AS930" s="50" t="str">
        <f aca="false">IFERROR(INDEX(Hoje!$K$10:$K$29,MATCH(ROW(),Hoje!$J$10:$J$29,0)),"")</f>
        <v/>
      </c>
      <c r="AT930" s="50" t="str">
        <f aca="false">IF($Q930&lt;&gt;"",$Q930,$AS930)</f>
        <v/>
      </c>
    </row>
    <row r="931" customFormat="false" ht="16.5" hidden="false" customHeight="true" outlineLevel="0" collapsed="false">
      <c r="A931" s="39" t="str">
        <f aca="false">IF($F931="","",ROW())</f>
        <v/>
      </c>
      <c r="B931" s="40" t="str">
        <f aca="false">IF($F931="",IF($D931="","","Falta a atividade"),IF($R931="Cancelada","Cancelada",IF($AB931=1,IF(N($Z931)&gt;0,"Concluída com atraso","Concluída"),IF($R931="Em programação","Em programação",IF($O931="",IF($M931="","Na carteira","Falta a semana"),IF($AC931=1,"VENCIDA",IF($O931&gt;Hoje!$L$1,"Programada",IF($P931&gt;Hoje!$L$1,"Em execução","Fecha hoje"))))))))</f>
        <v/>
      </c>
      <c r="C931" s="41"/>
      <c r="D931" s="42"/>
      <c r="E931" s="42"/>
      <c r="F931" s="42"/>
      <c r="G931" s="43"/>
      <c r="H931" s="43"/>
      <c r="I931" s="44"/>
      <c r="J931" s="44"/>
      <c r="K931" s="44"/>
      <c r="L931" s="45"/>
      <c r="M931" s="46"/>
      <c r="N931" s="45"/>
      <c r="O931" s="47" t="str">
        <f aca="false">IF(OR($L931="",$M931=""),"",(DATE(Semana!$J$3,1,4)-WEEKDAY(DATE(Semana!$J$3,1,4),3))+($L931-1)*7+MATCH($M931,Listas!$F$5:$F$11,0)-1)</f>
        <v/>
      </c>
      <c r="P931" s="47" t="str">
        <f aca="false">IF(OR($F931="",$O931=""),"",$O931+MAX(0,ROUNDUP($AK931*MAX(1,IF($N931="",1,$N931))/MAX(1,$AL931),0)-1))</f>
        <v/>
      </c>
      <c r="Q931" s="48"/>
      <c r="R931" s="43"/>
      <c r="S931" s="49"/>
      <c r="T931" s="42"/>
      <c r="U931" s="42"/>
      <c r="V931" s="39" t="str">
        <f aca="false">IF($F931="","",IF(ISNUMBER(SEARCH("(externo)",$I931&amp;$J931&amp;$K931)),"Terceirizada","Interna"))</f>
        <v/>
      </c>
      <c r="W931" s="47" t="str">
        <f aca="false">IF($O931="","",IF($S931="",$O931,(DATE(Semana!$J$3,1,4)-WEEKDAY(DATE(Semana!$J$3,1,4),3))+($S931-1)*7+IF($M931="",0,MATCH($M931,Listas!$F$5:$F$11,0)-1)))</f>
        <v/>
      </c>
      <c r="X931" s="39" t="str">
        <f aca="false">IF($F931="","",IF(OR($AT931="",$O931=""),0,IF($AT931&lt;=$O931,1,0)))</f>
        <v/>
      </c>
      <c r="Y931" s="39" t="str">
        <f aca="false">IF($F931="","",IF(OR($AT931="",$W931=""),0,IF($AT931&lt;=$W931,1,0)))</f>
        <v/>
      </c>
      <c r="Z931" s="39" t="str">
        <f aca="false">IF(OR($AT931="",$O931=""),"",MAX(0,$AT931-$O931))</f>
        <v/>
      </c>
      <c r="AA931" s="39" t="str">
        <f aca="false">IF($F931="","",IF(AND($S931&lt;&gt;"",$L931&lt;&gt;"",$S931&lt;&gt;$L931),1,0))</f>
        <v/>
      </c>
      <c r="AB931" s="39" t="str">
        <f aca="false">IF($F931="","",IF($R931="Cancelada",0,IF(OR($AT931&lt;&gt;"",$R931="Concluída"),1,0)))</f>
        <v/>
      </c>
      <c r="AC931" s="39" t="n">
        <f aca="false">IF($P931="",0,IF($P931&lt;Hoje!$L$1,1,IF(AND($P931=Hoje!$L$1,Hoje!$L$2&gt;Semana!$M$3),1,0)))</f>
        <v>0</v>
      </c>
      <c r="AD931" s="39" t="str">
        <f aca="false">IF($F931="","",IF(COUNTA($I931:$K931)=0,0,1/COUNTA($I931:$K931)))</f>
        <v/>
      </c>
      <c r="AE931" s="39" t="str">
        <f aca="false">IF($AH931=0,"",SUM($AH$4:$AH931))</f>
        <v/>
      </c>
      <c r="AF931" s="39" t="str">
        <f aca="false">IF($AI931=0,"",SUM($AI$4:$AI931))</f>
        <v/>
      </c>
      <c r="AG931" s="50" t="str">
        <f aca="false">IF($F931="","",$I931&amp;IF($J931="",""," · "&amp;$J931)&amp;IF($K931="",""," · "&amp;$K931))</f>
        <v/>
      </c>
      <c r="AH931" s="39" t="n">
        <f aca="false">IF(AND($F931&lt;&gt;"",$O931&lt;&gt;"",$O931&lt;=Hoje!$C$3,$P931&gt;=Hoje!$C$3,$R931&lt;&gt;"Cancelada"),1,0)</f>
        <v>0</v>
      </c>
      <c r="AI931" s="39" t="n">
        <f aca="false">IF(AND($F931&lt;&gt;"",$P931&lt;&gt;"",$P931&lt;Hoje!$C$3,$AB931=0,$R931&lt;&gt;"Cancelada"),1,0)</f>
        <v>0</v>
      </c>
      <c r="AJ931" s="50" t="str">
        <f aca="false">IF($F931="","",$D931&amp;"|"&amp;$E931&amp;"|"&amp;$L931)</f>
        <v/>
      </c>
      <c r="AK931" s="39" t="str">
        <f aca="false">IF($AJ931="","",COUNTIF($AJ$4:$AJ931,$AJ931))</f>
        <v/>
      </c>
      <c r="AL931" s="39" t="str">
        <f aca="false">IF($AJ931="","",COUNTIF($AJ$4:$AJ$1004,$AJ931))</f>
        <v/>
      </c>
      <c r="AM931" s="42"/>
      <c r="AN931" s="50" t="str">
        <f aca="false">IF($D931="","",IFERROR(T(VLOOKUP($D931,Listas!$B$5:$H$120,7,0)),""))</f>
        <v/>
      </c>
      <c r="AO931" s="50" t="str">
        <f aca="false">IF(OR($F931="",$L931&lt;&gt;"",$R931="Cancelada",$AT931&lt;&gt;""),"",$AN931&amp;"|"&amp;$D931&amp;"|"&amp;IF($C931="","zzz",$C931)&amp;"|"&amp;TEXT(931,"0000"))</f>
        <v/>
      </c>
      <c r="AP931" s="50" t="str">
        <f aca="false">IF($AO931="","",COUNTIF($AO$5:$AO$1004,"&lt;"&amp;$AO931)-(ROWS($AO$5:$AO$1004)-Hoje!$L$5)+1)</f>
        <v/>
      </c>
      <c r="AQ931" s="50" t="n">
        <f aca="false">IF(AND($F931&lt;&gt;"",$D931=Frota!$C$3),1,0)</f>
        <v>0</v>
      </c>
      <c r="AR931" s="50" t="str">
        <f aca="false">IF($AQ931=0,"",SUM($AQ$4:$AQ931))</f>
        <v/>
      </c>
      <c r="AS931" s="50" t="str">
        <f aca="false">IFERROR(INDEX(Hoje!$K$10:$K$29,MATCH(ROW(),Hoje!$J$10:$J$29,0)),"")</f>
        <v/>
      </c>
      <c r="AT931" s="50" t="str">
        <f aca="false">IF($Q931&lt;&gt;"",$Q931,$AS931)</f>
        <v/>
      </c>
    </row>
    <row r="932" customFormat="false" ht="16.5" hidden="false" customHeight="true" outlineLevel="0" collapsed="false">
      <c r="A932" s="39" t="str">
        <f aca="false">IF($F932="","",ROW())</f>
        <v/>
      </c>
      <c r="B932" s="40" t="str">
        <f aca="false">IF($F932="",IF($D932="","","Falta a atividade"),IF($R932="Cancelada","Cancelada",IF($AB932=1,IF(N($Z932)&gt;0,"Concluída com atraso","Concluída"),IF($R932="Em programação","Em programação",IF($O932="",IF($M932="","Na carteira","Falta a semana"),IF($AC932=1,"VENCIDA",IF($O932&gt;Hoje!$L$1,"Programada",IF($P932&gt;Hoje!$L$1,"Em execução","Fecha hoje"))))))))</f>
        <v/>
      </c>
      <c r="C932" s="41"/>
      <c r="D932" s="42"/>
      <c r="E932" s="42"/>
      <c r="F932" s="42"/>
      <c r="G932" s="43"/>
      <c r="H932" s="43"/>
      <c r="I932" s="44"/>
      <c r="J932" s="44"/>
      <c r="K932" s="44"/>
      <c r="L932" s="45"/>
      <c r="M932" s="46"/>
      <c r="N932" s="45"/>
      <c r="O932" s="47" t="str">
        <f aca="false">IF(OR($L932="",$M932=""),"",(DATE(Semana!$J$3,1,4)-WEEKDAY(DATE(Semana!$J$3,1,4),3))+($L932-1)*7+MATCH($M932,Listas!$F$5:$F$11,0)-1)</f>
        <v/>
      </c>
      <c r="P932" s="47" t="str">
        <f aca="false">IF(OR($F932="",$O932=""),"",$O932+MAX(0,ROUNDUP($AK932*MAX(1,IF($N932="",1,$N932))/MAX(1,$AL932),0)-1))</f>
        <v/>
      </c>
      <c r="Q932" s="48"/>
      <c r="R932" s="43"/>
      <c r="S932" s="49"/>
      <c r="T932" s="42"/>
      <c r="U932" s="42"/>
      <c r="V932" s="39" t="str">
        <f aca="false">IF($F932="","",IF(ISNUMBER(SEARCH("(externo)",$I932&amp;$J932&amp;$K932)),"Terceirizada","Interna"))</f>
        <v/>
      </c>
      <c r="W932" s="47" t="str">
        <f aca="false">IF($O932="","",IF($S932="",$O932,(DATE(Semana!$J$3,1,4)-WEEKDAY(DATE(Semana!$J$3,1,4),3))+($S932-1)*7+IF($M932="",0,MATCH($M932,Listas!$F$5:$F$11,0)-1)))</f>
        <v/>
      </c>
      <c r="X932" s="39" t="str">
        <f aca="false">IF($F932="","",IF(OR($AT932="",$O932=""),0,IF($AT932&lt;=$O932,1,0)))</f>
        <v/>
      </c>
      <c r="Y932" s="39" t="str">
        <f aca="false">IF($F932="","",IF(OR($AT932="",$W932=""),0,IF($AT932&lt;=$W932,1,0)))</f>
        <v/>
      </c>
      <c r="Z932" s="39" t="str">
        <f aca="false">IF(OR($AT932="",$O932=""),"",MAX(0,$AT932-$O932))</f>
        <v/>
      </c>
      <c r="AA932" s="39" t="str">
        <f aca="false">IF($F932="","",IF(AND($S932&lt;&gt;"",$L932&lt;&gt;"",$S932&lt;&gt;$L932),1,0))</f>
        <v/>
      </c>
      <c r="AB932" s="39" t="str">
        <f aca="false">IF($F932="","",IF($R932="Cancelada",0,IF(OR($AT932&lt;&gt;"",$R932="Concluída"),1,0)))</f>
        <v/>
      </c>
      <c r="AC932" s="39" t="n">
        <f aca="false">IF($P932="",0,IF($P932&lt;Hoje!$L$1,1,IF(AND($P932=Hoje!$L$1,Hoje!$L$2&gt;Semana!$M$3),1,0)))</f>
        <v>0</v>
      </c>
      <c r="AD932" s="39" t="str">
        <f aca="false">IF($F932="","",IF(COUNTA($I932:$K932)=0,0,1/COUNTA($I932:$K932)))</f>
        <v/>
      </c>
      <c r="AE932" s="39" t="str">
        <f aca="false">IF($AH932=0,"",SUM($AH$4:$AH932))</f>
        <v/>
      </c>
      <c r="AF932" s="39" t="str">
        <f aca="false">IF($AI932=0,"",SUM($AI$4:$AI932))</f>
        <v/>
      </c>
      <c r="AG932" s="50" t="str">
        <f aca="false">IF($F932="","",$I932&amp;IF($J932="",""," · "&amp;$J932)&amp;IF($K932="",""," · "&amp;$K932))</f>
        <v/>
      </c>
      <c r="AH932" s="39" t="n">
        <f aca="false">IF(AND($F932&lt;&gt;"",$O932&lt;&gt;"",$O932&lt;=Hoje!$C$3,$P932&gt;=Hoje!$C$3,$R932&lt;&gt;"Cancelada"),1,0)</f>
        <v>0</v>
      </c>
      <c r="AI932" s="39" t="n">
        <f aca="false">IF(AND($F932&lt;&gt;"",$P932&lt;&gt;"",$P932&lt;Hoje!$C$3,$AB932=0,$R932&lt;&gt;"Cancelada"),1,0)</f>
        <v>0</v>
      </c>
      <c r="AJ932" s="50" t="str">
        <f aca="false">IF($F932="","",$D932&amp;"|"&amp;$E932&amp;"|"&amp;$L932)</f>
        <v/>
      </c>
      <c r="AK932" s="39" t="str">
        <f aca="false">IF($AJ932="","",COUNTIF($AJ$4:$AJ932,$AJ932))</f>
        <v/>
      </c>
      <c r="AL932" s="39" t="str">
        <f aca="false">IF($AJ932="","",COUNTIF($AJ$4:$AJ$1004,$AJ932))</f>
        <v/>
      </c>
      <c r="AM932" s="42"/>
      <c r="AN932" s="50" t="str">
        <f aca="false">IF($D932="","",IFERROR(T(VLOOKUP($D932,Listas!$B$5:$H$120,7,0)),""))</f>
        <v/>
      </c>
      <c r="AO932" s="50" t="str">
        <f aca="false">IF(OR($F932="",$L932&lt;&gt;"",$R932="Cancelada",$AT932&lt;&gt;""),"",$AN932&amp;"|"&amp;$D932&amp;"|"&amp;IF($C932="","zzz",$C932)&amp;"|"&amp;TEXT(932,"0000"))</f>
        <v/>
      </c>
      <c r="AP932" s="50" t="str">
        <f aca="false">IF($AO932="","",COUNTIF($AO$5:$AO$1004,"&lt;"&amp;$AO932)-(ROWS($AO$5:$AO$1004)-Hoje!$L$5)+1)</f>
        <v/>
      </c>
      <c r="AQ932" s="50" t="n">
        <f aca="false">IF(AND($F932&lt;&gt;"",$D932=Frota!$C$3),1,0)</f>
        <v>0</v>
      </c>
      <c r="AR932" s="50" t="str">
        <f aca="false">IF($AQ932=0,"",SUM($AQ$4:$AQ932))</f>
        <v/>
      </c>
      <c r="AS932" s="50" t="str">
        <f aca="false">IFERROR(INDEX(Hoje!$K$10:$K$29,MATCH(ROW(),Hoje!$J$10:$J$29,0)),"")</f>
        <v/>
      </c>
      <c r="AT932" s="50" t="str">
        <f aca="false">IF($Q932&lt;&gt;"",$Q932,$AS932)</f>
        <v/>
      </c>
    </row>
    <row r="933" customFormat="false" ht="16.5" hidden="false" customHeight="true" outlineLevel="0" collapsed="false">
      <c r="A933" s="39" t="str">
        <f aca="false">IF($F933="","",ROW())</f>
        <v/>
      </c>
      <c r="B933" s="40" t="str">
        <f aca="false">IF($F933="",IF($D933="","","Falta a atividade"),IF($R933="Cancelada","Cancelada",IF($AB933=1,IF(N($Z933)&gt;0,"Concluída com atraso","Concluída"),IF($R933="Em programação","Em programação",IF($O933="",IF($M933="","Na carteira","Falta a semana"),IF($AC933=1,"VENCIDA",IF($O933&gt;Hoje!$L$1,"Programada",IF($P933&gt;Hoje!$L$1,"Em execução","Fecha hoje"))))))))</f>
        <v/>
      </c>
      <c r="C933" s="41"/>
      <c r="D933" s="42"/>
      <c r="E933" s="42"/>
      <c r="F933" s="42"/>
      <c r="G933" s="43"/>
      <c r="H933" s="43"/>
      <c r="I933" s="44"/>
      <c r="J933" s="44"/>
      <c r="K933" s="44"/>
      <c r="L933" s="45"/>
      <c r="M933" s="46"/>
      <c r="N933" s="45"/>
      <c r="O933" s="47" t="str">
        <f aca="false">IF(OR($L933="",$M933=""),"",(DATE(Semana!$J$3,1,4)-WEEKDAY(DATE(Semana!$J$3,1,4),3))+($L933-1)*7+MATCH($M933,Listas!$F$5:$F$11,0)-1)</f>
        <v/>
      </c>
      <c r="P933" s="47" t="str">
        <f aca="false">IF(OR($F933="",$O933=""),"",$O933+MAX(0,ROUNDUP($AK933*MAX(1,IF($N933="",1,$N933))/MAX(1,$AL933),0)-1))</f>
        <v/>
      </c>
      <c r="Q933" s="48"/>
      <c r="R933" s="43"/>
      <c r="S933" s="49"/>
      <c r="T933" s="42"/>
      <c r="U933" s="42"/>
      <c r="V933" s="39" t="str">
        <f aca="false">IF($F933="","",IF(ISNUMBER(SEARCH("(externo)",$I933&amp;$J933&amp;$K933)),"Terceirizada","Interna"))</f>
        <v/>
      </c>
      <c r="W933" s="47" t="str">
        <f aca="false">IF($O933="","",IF($S933="",$O933,(DATE(Semana!$J$3,1,4)-WEEKDAY(DATE(Semana!$J$3,1,4),3))+($S933-1)*7+IF($M933="",0,MATCH($M933,Listas!$F$5:$F$11,0)-1)))</f>
        <v/>
      </c>
      <c r="X933" s="39" t="str">
        <f aca="false">IF($F933="","",IF(OR($AT933="",$O933=""),0,IF($AT933&lt;=$O933,1,0)))</f>
        <v/>
      </c>
      <c r="Y933" s="39" t="str">
        <f aca="false">IF($F933="","",IF(OR($AT933="",$W933=""),0,IF($AT933&lt;=$W933,1,0)))</f>
        <v/>
      </c>
      <c r="Z933" s="39" t="str">
        <f aca="false">IF(OR($AT933="",$O933=""),"",MAX(0,$AT933-$O933))</f>
        <v/>
      </c>
      <c r="AA933" s="39" t="str">
        <f aca="false">IF($F933="","",IF(AND($S933&lt;&gt;"",$L933&lt;&gt;"",$S933&lt;&gt;$L933),1,0))</f>
        <v/>
      </c>
      <c r="AB933" s="39" t="str">
        <f aca="false">IF($F933="","",IF($R933="Cancelada",0,IF(OR($AT933&lt;&gt;"",$R933="Concluída"),1,0)))</f>
        <v/>
      </c>
      <c r="AC933" s="39" t="n">
        <f aca="false">IF($P933="",0,IF($P933&lt;Hoje!$L$1,1,IF(AND($P933=Hoje!$L$1,Hoje!$L$2&gt;Semana!$M$3),1,0)))</f>
        <v>0</v>
      </c>
      <c r="AD933" s="39" t="str">
        <f aca="false">IF($F933="","",IF(COUNTA($I933:$K933)=0,0,1/COUNTA($I933:$K933)))</f>
        <v/>
      </c>
      <c r="AE933" s="39" t="str">
        <f aca="false">IF($AH933=0,"",SUM($AH$4:$AH933))</f>
        <v/>
      </c>
      <c r="AF933" s="39" t="str">
        <f aca="false">IF($AI933=0,"",SUM($AI$4:$AI933))</f>
        <v/>
      </c>
      <c r="AG933" s="50" t="str">
        <f aca="false">IF($F933="","",$I933&amp;IF($J933="",""," · "&amp;$J933)&amp;IF($K933="",""," · "&amp;$K933))</f>
        <v/>
      </c>
      <c r="AH933" s="39" t="n">
        <f aca="false">IF(AND($F933&lt;&gt;"",$O933&lt;&gt;"",$O933&lt;=Hoje!$C$3,$P933&gt;=Hoje!$C$3,$R933&lt;&gt;"Cancelada"),1,0)</f>
        <v>0</v>
      </c>
      <c r="AI933" s="39" t="n">
        <f aca="false">IF(AND($F933&lt;&gt;"",$P933&lt;&gt;"",$P933&lt;Hoje!$C$3,$AB933=0,$R933&lt;&gt;"Cancelada"),1,0)</f>
        <v>0</v>
      </c>
      <c r="AJ933" s="50" t="str">
        <f aca="false">IF($F933="","",$D933&amp;"|"&amp;$E933&amp;"|"&amp;$L933)</f>
        <v/>
      </c>
      <c r="AK933" s="39" t="str">
        <f aca="false">IF($AJ933="","",COUNTIF($AJ$4:$AJ933,$AJ933))</f>
        <v/>
      </c>
      <c r="AL933" s="39" t="str">
        <f aca="false">IF($AJ933="","",COUNTIF($AJ$4:$AJ$1004,$AJ933))</f>
        <v/>
      </c>
      <c r="AM933" s="42"/>
      <c r="AN933" s="50" t="str">
        <f aca="false">IF($D933="","",IFERROR(T(VLOOKUP($D933,Listas!$B$5:$H$120,7,0)),""))</f>
        <v/>
      </c>
      <c r="AO933" s="50" t="str">
        <f aca="false">IF(OR($F933="",$L933&lt;&gt;"",$R933="Cancelada",$AT933&lt;&gt;""),"",$AN933&amp;"|"&amp;$D933&amp;"|"&amp;IF($C933="","zzz",$C933)&amp;"|"&amp;TEXT(933,"0000"))</f>
        <v/>
      </c>
      <c r="AP933" s="50" t="str">
        <f aca="false">IF($AO933="","",COUNTIF($AO$5:$AO$1004,"&lt;"&amp;$AO933)-(ROWS($AO$5:$AO$1004)-Hoje!$L$5)+1)</f>
        <v/>
      </c>
      <c r="AQ933" s="50" t="n">
        <f aca="false">IF(AND($F933&lt;&gt;"",$D933=Frota!$C$3),1,0)</f>
        <v>0</v>
      </c>
      <c r="AR933" s="50" t="str">
        <f aca="false">IF($AQ933=0,"",SUM($AQ$4:$AQ933))</f>
        <v/>
      </c>
      <c r="AS933" s="50" t="str">
        <f aca="false">IFERROR(INDEX(Hoje!$K$10:$K$29,MATCH(ROW(),Hoje!$J$10:$J$29,0)),"")</f>
        <v/>
      </c>
      <c r="AT933" s="50" t="str">
        <f aca="false">IF($Q933&lt;&gt;"",$Q933,$AS933)</f>
        <v/>
      </c>
    </row>
    <row r="934" customFormat="false" ht="16.5" hidden="false" customHeight="true" outlineLevel="0" collapsed="false">
      <c r="A934" s="39" t="str">
        <f aca="false">IF($F934="","",ROW())</f>
        <v/>
      </c>
      <c r="B934" s="40" t="str">
        <f aca="false">IF($F934="",IF($D934="","","Falta a atividade"),IF($R934="Cancelada","Cancelada",IF($AB934=1,IF(N($Z934)&gt;0,"Concluída com atraso","Concluída"),IF($R934="Em programação","Em programação",IF($O934="",IF($M934="","Na carteira","Falta a semana"),IF($AC934=1,"VENCIDA",IF($O934&gt;Hoje!$L$1,"Programada",IF($P934&gt;Hoje!$L$1,"Em execução","Fecha hoje"))))))))</f>
        <v/>
      </c>
      <c r="C934" s="41"/>
      <c r="D934" s="42"/>
      <c r="E934" s="42"/>
      <c r="F934" s="42"/>
      <c r="G934" s="43"/>
      <c r="H934" s="43"/>
      <c r="I934" s="44"/>
      <c r="J934" s="44"/>
      <c r="K934" s="44"/>
      <c r="L934" s="45"/>
      <c r="M934" s="46"/>
      <c r="N934" s="45"/>
      <c r="O934" s="47" t="str">
        <f aca="false">IF(OR($L934="",$M934=""),"",(DATE(Semana!$J$3,1,4)-WEEKDAY(DATE(Semana!$J$3,1,4),3))+($L934-1)*7+MATCH($M934,Listas!$F$5:$F$11,0)-1)</f>
        <v/>
      </c>
      <c r="P934" s="47" t="str">
        <f aca="false">IF(OR($F934="",$O934=""),"",$O934+MAX(0,ROUNDUP($AK934*MAX(1,IF($N934="",1,$N934))/MAX(1,$AL934),0)-1))</f>
        <v/>
      </c>
      <c r="Q934" s="48"/>
      <c r="R934" s="43"/>
      <c r="S934" s="49"/>
      <c r="T934" s="42"/>
      <c r="U934" s="42"/>
      <c r="V934" s="39" t="str">
        <f aca="false">IF($F934="","",IF(ISNUMBER(SEARCH("(externo)",$I934&amp;$J934&amp;$K934)),"Terceirizada","Interna"))</f>
        <v/>
      </c>
      <c r="W934" s="47" t="str">
        <f aca="false">IF($O934="","",IF($S934="",$O934,(DATE(Semana!$J$3,1,4)-WEEKDAY(DATE(Semana!$J$3,1,4),3))+($S934-1)*7+IF($M934="",0,MATCH($M934,Listas!$F$5:$F$11,0)-1)))</f>
        <v/>
      </c>
      <c r="X934" s="39" t="str">
        <f aca="false">IF($F934="","",IF(OR($AT934="",$O934=""),0,IF($AT934&lt;=$O934,1,0)))</f>
        <v/>
      </c>
      <c r="Y934" s="39" t="str">
        <f aca="false">IF($F934="","",IF(OR($AT934="",$W934=""),0,IF($AT934&lt;=$W934,1,0)))</f>
        <v/>
      </c>
      <c r="Z934" s="39" t="str">
        <f aca="false">IF(OR($AT934="",$O934=""),"",MAX(0,$AT934-$O934))</f>
        <v/>
      </c>
      <c r="AA934" s="39" t="str">
        <f aca="false">IF($F934="","",IF(AND($S934&lt;&gt;"",$L934&lt;&gt;"",$S934&lt;&gt;$L934),1,0))</f>
        <v/>
      </c>
      <c r="AB934" s="39" t="str">
        <f aca="false">IF($F934="","",IF($R934="Cancelada",0,IF(OR($AT934&lt;&gt;"",$R934="Concluída"),1,0)))</f>
        <v/>
      </c>
      <c r="AC934" s="39" t="n">
        <f aca="false">IF($P934="",0,IF($P934&lt;Hoje!$L$1,1,IF(AND($P934=Hoje!$L$1,Hoje!$L$2&gt;Semana!$M$3),1,0)))</f>
        <v>0</v>
      </c>
      <c r="AD934" s="39" t="str">
        <f aca="false">IF($F934="","",IF(COUNTA($I934:$K934)=0,0,1/COUNTA($I934:$K934)))</f>
        <v/>
      </c>
      <c r="AE934" s="39" t="str">
        <f aca="false">IF($AH934=0,"",SUM($AH$4:$AH934))</f>
        <v/>
      </c>
      <c r="AF934" s="39" t="str">
        <f aca="false">IF($AI934=0,"",SUM($AI$4:$AI934))</f>
        <v/>
      </c>
      <c r="AG934" s="50" t="str">
        <f aca="false">IF($F934="","",$I934&amp;IF($J934="",""," · "&amp;$J934)&amp;IF($K934="",""," · "&amp;$K934))</f>
        <v/>
      </c>
      <c r="AH934" s="39" t="n">
        <f aca="false">IF(AND($F934&lt;&gt;"",$O934&lt;&gt;"",$O934&lt;=Hoje!$C$3,$P934&gt;=Hoje!$C$3,$R934&lt;&gt;"Cancelada"),1,0)</f>
        <v>0</v>
      </c>
      <c r="AI934" s="39" t="n">
        <f aca="false">IF(AND($F934&lt;&gt;"",$P934&lt;&gt;"",$P934&lt;Hoje!$C$3,$AB934=0,$R934&lt;&gt;"Cancelada"),1,0)</f>
        <v>0</v>
      </c>
      <c r="AJ934" s="50" t="str">
        <f aca="false">IF($F934="","",$D934&amp;"|"&amp;$E934&amp;"|"&amp;$L934)</f>
        <v/>
      </c>
      <c r="AK934" s="39" t="str">
        <f aca="false">IF($AJ934="","",COUNTIF($AJ$4:$AJ934,$AJ934))</f>
        <v/>
      </c>
      <c r="AL934" s="39" t="str">
        <f aca="false">IF($AJ934="","",COUNTIF($AJ$4:$AJ$1004,$AJ934))</f>
        <v/>
      </c>
      <c r="AM934" s="42"/>
      <c r="AN934" s="50" t="str">
        <f aca="false">IF($D934="","",IFERROR(T(VLOOKUP($D934,Listas!$B$5:$H$120,7,0)),""))</f>
        <v/>
      </c>
      <c r="AO934" s="50" t="str">
        <f aca="false">IF(OR($F934="",$L934&lt;&gt;"",$R934="Cancelada",$AT934&lt;&gt;""),"",$AN934&amp;"|"&amp;$D934&amp;"|"&amp;IF($C934="","zzz",$C934)&amp;"|"&amp;TEXT(934,"0000"))</f>
        <v/>
      </c>
      <c r="AP934" s="50" t="str">
        <f aca="false">IF($AO934="","",COUNTIF($AO$5:$AO$1004,"&lt;"&amp;$AO934)-(ROWS($AO$5:$AO$1004)-Hoje!$L$5)+1)</f>
        <v/>
      </c>
      <c r="AQ934" s="50" t="n">
        <f aca="false">IF(AND($F934&lt;&gt;"",$D934=Frota!$C$3),1,0)</f>
        <v>0</v>
      </c>
      <c r="AR934" s="50" t="str">
        <f aca="false">IF($AQ934=0,"",SUM($AQ$4:$AQ934))</f>
        <v/>
      </c>
      <c r="AS934" s="50" t="str">
        <f aca="false">IFERROR(INDEX(Hoje!$K$10:$K$29,MATCH(ROW(),Hoje!$J$10:$J$29,0)),"")</f>
        <v/>
      </c>
      <c r="AT934" s="50" t="str">
        <f aca="false">IF($Q934&lt;&gt;"",$Q934,$AS934)</f>
        <v/>
      </c>
    </row>
    <row r="935" customFormat="false" ht="16.5" hidden="false" customHeight="true" outlineLevel="0" collapsed="false">
      <c r="A935" s="39" t="str">
        <f aca="false">IF($F935="","",ROW())</f>
        <v/>
      </c>
      <c r="B935" s="40" t="str">
        <f aca="false">IF($F935="",IF($D935="","","Falta a atividade"),IF($R935="Cancelada","Cancelada",IF($AB935=1,IF(N($Z935)&gt;0,"Concluída com atraso","Concluída"),IF($R935="Em programação","Em programação",IF($O935="",IF($M935="","Na carteira","Falta a semana"),IF($AC935=1,"VENCIDA",IF($O935&gt;Hoje!$L$1,"Programada",IF($P935&gt;Hoje!$L$1,"Em execução","Fecha hoje"))))))))</f>
        <v/>
      </c>
      <c r="C935" s="41"/>
      <c r="D935" s="42"/>
      <c r="E935" s="42"/>
      <c r="F935" s="42"/>
      <c r="G935" s="43"/>
      <c r="H935" s="43"/>
      <c r="I935" s="44"/>
      <c r="J935" s="44"/>
      <c r="K935" s="44"/>
      <c r="L935" s="45"/>
      <c r="M935" s="46"/>
      <c r="N935" s="45"/>
      <c r="O935" s="47" t="str">
        <f aca="false">IF(OR($L935="",$M935=""),"",(DATE(Semana!$J$3,1,4)-WEEKDAY(DATE(Semana!$J$3,1,4),3))+($L935-1)*7+MATCH($M935,Listas!$F$5:$F$11,0)-1)</f>
        <v/>
      </c>
      <c r="P935" s="47" t="str">
        <f aca="false">IF(OR($F935="",$O935=""),"",$O935+MAX(0,ROUNDUP($AK935*MAX(1,IF($N935="",1,$N935))/MAX(1,$AL935),0)-1))</f>
        <v/>
      </c>
      <c r="Q935" s="48"/>
      <c r="R935" s="43"/>
      <c r="S935" s="49"/>
      <c r="T935" s="42"/>
      <c r="U935" s="42"/>
      <c r="V935" s="39" t="str">
        <f aca="false">IF($F935="","",IF(ISNUMBER(SEARCH("(externo)",$I935&amp;$J935&amp;$K935)),"Terceirizada","Interna"))</f>
        <v/>
      </c>
      <c r="W935" s="47" t="str">
        <f aca="false">IF($O935="","",IF($S935="",$O935,(DATE(Semana!$J$3,1,4)-WEEKDAY(DATE(Semana!$J$3,1,4),3))+($S935-1)*7+IF($M935="",0,MATCH($M935,Listas!$F$5:$F$11,0)-1)))</f>
        <v/>
      </c>
      <c r="X935" s="39" t="str">
        <f aca="false">IF($F935="","",IF(OR($AT935="",$O935=""),0,IF($AT935&lt;=$O935,1,0)))</f>
        <v/>
      </c>
      <c r="Y935" s="39" t="str">
        <f aca="false">IF($F935="","",IF(OR($AT935="",$W935=""),0,IF($AT935&lt;=$W935,1,0)))</f>
        <v/>
      </c>
      <c r="Z935" s="39" t="str">
        <f aca="false">IF(OR($AT935="",$O935=""),"",MAX(0,$AT935-$O935))</f>
        <v/>
      </c>
      <c r="AA935" s="39" t="str">
        <f aca="false">IF($F935="","",IF(AND($S935&lt;&gt;"",$L935&lt;&gt;"",$S935&lt;&gt;$L935),1,0))</f>
        <v/>
      </c>
      <c r="AB935" s="39" t="str">
        <f aca="false">IF($F935="","",IF($R935="Cancelada",0,IF(OR($AT935&lt;&gt;"",$R935="Concluída"),1,0)))</f>
        <v/>
      </c>
      <c r="AC935" s="39" t="n">
        <f aca="false">IF($P935="",0,IF($P935&lt;Hoje!$L$1,1,IF(AND($P935=Hoje!$L$1,Hoje!$L$2&gt;Semana!$M$3),1,0)))</f>
        <v>0</v>
      </c>
      <c r="AD935" s="39" t="str">
        <f aca="false">IF($F935="","",IF(COUNTA($I935:$K935)=0,0,1/COUNTA($I935:$K935)))</f>
        <v/>
      </c>
      <c r="AE935" s="39" t="str">
        <f aca="false">IF($AH935=0,"",SUM($AH$4:$AH935))</f>
        <v/>
      </c>
      <c r="AF935" s="39" t="str">
        <f aca="false">IF($AI935=0,"",SUM($AI$4:$AI935))</f>
        <v/>
      </c>
      <c r="AG935" s="50" t="str">
        <f aca="false">IF($F935="","",$I935&amp;IF($J935="",""," · "&amp;$J935)&amp;IF($K935="",""," · "&amp;$K935))</f>
        <v/>
      </c>
      <c r="AH935" s="39" t="n">
        <f aca="false">IF(AND($F935&lt;&gt;"",$O935&lt;&gt;"",$O935&lt;=Hoje!$C$3,$P935&gt;=Hoje!$C$3,$R935&lt;&gt;"Cancelada"),1,0)</f>
        <v>0</v>
      </c>
      <c r="AI935" s="39" t="n">
        <f aca="false">IF(AND($F935&lt;&gt;"",$P935&lt;&gt;"",$P935&lt;Hoje!$C$3,$AB935=0,$R935&lt;&gt;"Cancelada"),1,0)</f>
        <v>0</v>
      </c>
      <c r="AJ935" s="50" t="str">
        <f aca="false">IF($F935="","",$D935&amp;"|"&amp;$E935&amp;"|"&amp;$L935)</f>
        <v/>
      </c>
      <c r="AK935" s="39" t="str">
        <f aca="false">IF($AJ935="","",COUNTIF($AJ$4:$AJ935,$AJ935))</f>
        <v/>
      </c>
      <c r="AL935" s="39" t="str">
        <f aca="false">IF($AJ935="","",COUNTIF($AJ$4:$AJ$1004,$AJ935))</f>
        <v/>
      </c>
      <c r="AM935" s="42"/>
      <c r="AN935" s="50" t="str">
        <f aca="false">IF($D935="","",IFERROR(T(VLOOKUP($D935,Listas!$B$5:$H$120,7,0)),""))</f>
        <v/>
      </c>
      <c r="AO935" s="50" t="str">
        <f aca="false">IF(OR($F935="",$L935&lt;&gt;"",$R935="Cancelada",$AT935&lt;&gt;""),"",$AN935&amp;"|"&amp;$D935&amp;"|"&amp;IF($C935="","zzz",$C935)&amp;"|"&amp;TEXT(935,"0000"))</f>
        <v/>
      </c>
      <c r="AP935" s="50" t="str">
        <f aca="false">IF($AO935="","",COUNTIF($AO$5:$AO$1004,"&lt;"&amp;$AO935)-(ROWS($AO$5:$AO$1004)-Hoje!$L$5)+1)</f>
        <v/>
      </c>
      <c r="AQ935" s="50" t="n">
        <f aca="false">IF(AND($F935&lt;&gt;"",$D935=Frota!$C$3),1,0)</f>
        <v>0</v>
      </c>
      <c r="AR935" s="50" t="str">
        <f aca="false">IF($AQ935=0,"",SUM($AQ$4:$AQ935))</f>
        <v/>
      </c>
      <c r="AS935" s="50" t="str">
        <f aca="false">IFERROR(INDEX(Hoje!$K$10:$K$29,MATCH(ROW(),Hoje!$J$10:$J$29,0)),"")</f>
        <v/>
      </c>
      <c r="AT935" s="50" t="str">
        <f aca="false">IF($Q935&lt;&gt;"",$Q935,$AS935)</f>
        <v/>
      </c>
    </row>
    <row r="936" customFormat="false" ht="16.5" hidden="false" customHeight="true" outlineLevel="0" collapsed="false">
      <c r="A936" s="39" t="str">
        <f aca="false">IF($F936="","",ROW())</f>
        <v/>
      </c>
      <c r="B936" s="40" t="str">
        <f aca="false">IF($F936="",IF($D936="","","Falta a atividade"),IF($R936="Cancelada","Cancelada",IF($AB936=1,IF(N($Z936)&gt;0,"Concluída com atraso","Concluída"),IF($R936="Em programação","Em programação",IF($O936="",IF($M936="","Na carteira","Falta a semana"),IF($AC936=1,"VENCIDA",IF($O936&gt;Hoje!$L$1,"Programada",IF($P936&gt;Hoje!$L$1,"Em execução","Fecha hoje"))))))))</f>
        <v/>
      </c>
      <c r="C936" s="41"/>
      <c r="D936" s="42"/>
      <c r="E936" s="42"/>
      <c r="F936" s="42"/>
      <c r="G936" s="43"/>
      <c r="H936" s="43"/>
      <c r="I936" s="44"/>
      <c r="J936" s="44"/>
      <c r="K936" s="44"/>
      <c r="L936" s="45"/>
      <c r="M936" s="46"/>
      <c r="N936" s="45"/>
      <c r="O936" s="47" t="str">
        <f aca="false">IF(OR($L936="",$M936=""),"",(DATE(Semana!$J$3,1,4)-WEEKDAY(DATE(Semana!$J$3,1,4),3))+($L936-1)*7+MATCH($M936,Listas!$F$5:$F$11,0)-1)</f>
        <v/>
      </c>
      <c r="P936" s="47" t="str">
        <f aca="false">IF(OR($F936="",$O936=""),"",$O936+MAX(0,ROUNDUP($AK936*MAX(1,IF($N936="",1,$N936))/MAX(1,$AL936),0)-1))</f>
        <v/>
      </c>
      <c r="Q936" s="48"/>
      <c r="R936" s="43"/>
      <c r="S936" s="49"/>
      <c r="T936" s="42"/>
      <c r="U936" s="42"/>
      <c r="V936" s="39" t="str">
        <f aca="false">IF($F936="","",IF(ISNUMBER(SEARCH("(externo)",$I936&amp;$J936&amp;$K936)),"Terceirizada","Interna"))</f>
        <v/>
      </c>
      <c r="W936" s="47" t="str">
        <f aca="false">IF($O936="","",IF($S936="",$O936,(DATE(Semana!$J$3,1,4)-WEEKDAY(DATE(Semana!$J$3,1,4),3))+($S936-1)*7+IF($M936="",0,MATCH($M936,Listas!$F$5:$F$11,0)-1)))</f>
        <v/>
      </c>
      <c r="X936" s="39" t="str">
        <f aca="false">IF($F936="","",IF(OR($AT936="",$O936=""),0,IF($AT936&lt;=$O936,1,0)))</f>
        <v/>
      </c>
      <c r="Y936" s="39" t="str">
        <f aca="false">IF($F936="","",IF(OR($AT936="",$W936=""),0,IF($AT936&lt;=$W936,1,0)))</f>
        <v/>
      </c>
      <c r="Z936" s="39" t="str">
        <f aca="false">IF(OR($AT936="",$O936=""),"",MAX(0,$AT936-$O936))</f>
        <v/>
      </c>
      <c r="AA936" s="39" t="str">
        <f aca="false">IF($F936="","",IF(AND($S936&lt;&gt;"",$L936&lt;&gt;"",$S936&lt;&gt;$L936),1,0))</f>
        <v/>
      </c>
      <c r="AB936" s="39" t="str">
        <f aca="false">IF($F936="","",IF($R936="Cancelada",0,IF(OR($AT936&lt;&gt;"",$R936="Concluída"),1,0)))</f>
        <v/>
      </c>
      <c r="AC936" s="39" t="n">
        <f aca="false">IF($P936="",0,IF($P936&lt;Hoje!$L$1,1,IF(AND($P936=Hoje!$L$1,Hoje!$L$2&gt;Semana!$M$3),1,0)))</f>
        <v>0</v>
      </c>
      <c r="AD936" s="39" t="str">
        <f aca="false">IF($F936="","",IF(COUNTA($I936:$K936)=0,0,1/COUNTA($I936:$K936)))</f>
        <v/>
      </c>
      <c r="AE936" s="39" t="str">
        <f aca="false">IF($AH936=0,"",SUM($AH$4:$AH936))</f>
        <v/>
      </c>
      <c r="AF936" s="39" t="str">
        <f aca="false">IF($AI936=0,"",SUM($AI$4:$AI936))</f>
        <v/>
      </c>
      <c r="AG936" s="50" t="str">
        <f aca="false">IF($F936="","",$I936&amp;IF($J936="",""," · "&amp;$J936)&amp;IF($K936="",""," · "&amp;$K936))</f>
        <v/>
      </c>
      <c r="AH936" s="39" t="n">
        <f aca="false">IF(AND($F936&lt;&gt;"",$O936&lt;&gt;"",$O936&lt;=Hoje!$C$3,$P936&gt;=Hoje!$C$3,$R936&lt;&gt;"Cancelada"),1,0)</f>
        <v>0</v>
      </c>
      <c r="AI936" s="39" t="n">
        <f aca="false">IF(AND($F936&lt;&gt;"",$P936&lt;&gt;"",$P936&lt;Hoje!$C$3,$AB936=0,$R936&lt;&gt;"Cancelada"),1,0)</f>
        <v>0</v>
      </c>
      <c r="AJ936" s="50" t="str">
        <f aca="false">IF($F936="","",$D936&amp;"|"&amp;$E936&amp;"|"&amp;$L936)</f>
        <v/>
      </c>
      <c r="AK936" s="39" t="str">
        <f aca="false">IF($AJ936="","",COUNTIF($AJ$4:$AJ936,$AJ936))</f>
        <v/>
      </c>
      <c r="AL936" s="39" t="str">
        <f aca="false">IF($AJ936="","",COUNTIF($AJ$4:$AJ$1004,$AJ936))</f>
        <v/>
      </c>
      <c r="AM936" s="42"/>
      <c r="AN936" s="50" t="str">
        <f aca="false">IF($D936="","",IFERROR(T(VLOOKUP($D936,Listas!$B$5:$H$120,7,0)),""))</f>
        <v/>
      </c>
      <c r="AO936" s="50" t="str">
        <f aca="false">IF(OR($F936="",$L936&lt;&gt;"",$R936="Cancelada",$AT936&lt;&gt;""),"",$AN936&amp;"|"&amp;$D936&amp;"|"&amp;IF($C936="","zzz",$C936)&amp;"|"&amp;TEXT(936,"0000"))</f>
        <v/>
      </c>
      <c r="AP936" s="50" t="str">
        <f aca="false">IF($AO936="","",COUNTIF($AO$5:$AO$1004,"&lt;"&amp;$AO936)-(ROWS($AO$5:$AO$1004)-Hoje!$L$5)+1)</f>
        <v/>
      </c>
      <c r="AQ936" s="50" t="n">
        <f aca="false">IF(AND($F936&lt;&gt;"",$D936=Frota!$C$3),1,0)</f>
        <v>0</v>
      </c>
      <c r="AR936" s="50" t="str">
        <f aca="false">IF($AQ936=0,"",SUM($AQ$4:$AQ936))</f>
        <v/>
      </c>
      <c r="AS936" s="50" t="str">
        <f aca="false">IFERROR(INDEX(Hoje!$K$10:$K$29,MATCH(ROW(),Hoje!$J$10:$J$29,0)),"")</f>
        <v/>
      </c>
      <c r="AT936" s="50" t="str">
        <f aca="false">IF($Q936&lt;&gt;"",$Q936,$AS936)</f>
        <v/>
      </c>
    </row>
    <row r="937" customFormat="false" ht="16.5" hidden="false" customHeight="true" outlineLevel="0" collapsed="false">
      <c r="A937" s="39" t="str">
        <f aca="false">IF($F937="","",ROW())</f>
        <v/>
      </c>
      <c r="B937" s="40" t="str">
        <f aca="false">IF($F937="",IF($D937="","","Falta a atividade"),IF($R937="Cancelada","Cancelada",IF($AB937=1,IF(N($Z937)&gt;0,"Concluída com atraso","Concluída"),IF($R937="Em programação","Em programação",IF($O937="",IF($M937="","Na carteira","Falta a semana"),IF($AC937=1,"VENCIDA",IF($O937&gt;Hoje!$L$1,"Programada",IF($P937&gt;Hoje!$L$1,"Em execução","Fecha hoje"))))))))</f>
        <v/>
      </c>
      <c r="C937" s="41"/>
      <c r="D937" s="42"/>
      <c r="E937" s="42"/>
      <c r="F937" s="42"/>
      <c r="G937" s="43"/>
      <c r="H937" s="43"/>
      <c r="I937" s="44"/>
      <c r="J937" s="44"/>
      <c r="K937" s="44"/>
      <c r="L937" s="45"/>
      <c r="M937" s="46"/>
      <c r="N937" s="45"/>
      <c r="O937" s="47" t="str">
        <f aca="false">IF(OR($L937="",$M937=""),"",(DATE(Semana!$J$3,1,4)-WEEKDAY(DATE(Semana!$J$3,1,4),3))+($L937-1)*7+MATCH($M937,Listas!$F$5:$F$11,0)-1)</f>
        <v/>
      </c>
      <c r="P937" s="47" t="str">
        <f aca="false">IF(OR($F937="",$O937=""),"",$O937+MAX(0,ROUNDUP($AK937*MAX(1,IF($N937="",1,$N937))/MAX(1,$AL937),0)-1))</f>
        <v/>
      </c>
      <c r="Q937" s="48"/>
      <c r="R937" s="43"/>
      <c r="S937" s="49"/>
      <c r="T937" s="42"/>
      <c r="U937" s="42"/>
      <c r="V937" s="39" t="str">
        <f aca="false">IF($F937="","",IF(ISNUMBER(SEARCH("(externo)",$I937&amp;$J937&amp;$K937)),"Terceirizada","Interna"))</f>
        <v/>
      </c>
      <c r="W937" s="47" t="str">
        <f aca="false">IF($O937="","",IF($S937="",$O937,(DATE(Semana!$J$3,1,4)-WEEKDAY(DATE(Semana!$J$3,1,4),3))+($S937-1)*7+IF($M937="",0,MATCH($M937,Listas!$F$5:$F$11,0)-1)))</f>
        <v/>
      </c>
      <c r="X937" s="39" t="str">
        <f aca="false">IF($F937="","",IF(OR($AT937="",$O937=""),0,IF($AT937&lt;=$O937,1,0)))</f>
        <v/>
      </c>
      <c r="Y937" s="39" t="str">
        <f aca="false">IF($F937="","",IF(OR($AT937="",$W937=""),0,IF($AT937&lt;=$W937,1,0)))</f>
        <v/>
      </c>
      <c r="Z937" s="39" t="str">
        <f aca="false">IF(OR($AT937="",$O937=""),"",MAX(0,$AT937-$O937))</f>
        <v/>
      </c>
      <c r="AA937" s="39" t="str">
        <f aca="false">IF($F937="","",IF(AND($S937&lt;&gt;"",$L937&lt;&gt;"",$S937&lt;&gt;$L937),1,0))</f>
        <v/>
      </c>
      <c r="AB937" s="39" t="str">
        <f aca="false">IF($F937="","",IF($R937="Cancelada",0,IF(OR($AT937&lt;&gt;"",$R937="Concluída"),1,0)))</f>
        <v/>
      </c>
      <c r="AC937" s="39" t="n">
        <f aca="false">IF($P937="",0,IF($P937&lt;Hoje!$L$1,1,IF(AND($P937=Hoje!$L$1,Hoje!$L$2&gt;Semana!$M$3),1,0)))</f>
        <v>0</v>
      </c>
      <c r="AD937" s="39" t="str">
        <f aca="false">IF($F937="","",IF(COUNTA($I937:$K937)=0,0,1/COUNTA($I937:$K937)))</f>
        <v/>
      </c>
      <c r="AE937" s="39" t="str">
        <f aca="false">IF($AH937=0,"",SUM($AH$4:$AH937))</f>
        <v/>
      </c>
      <c r="AF937" s="39" t="str">
        <f aca="false">IF($AI937=0,"",SUM($AI$4:$AI937))</f>
        <v/>
      </c>
      <c r="AG937" s="50" t="str">
        <f aca="false">IF($F937="","",$I937&amp;IF($J937="",""," · "&amp;$J937)&amp;IF($K937="",""," · "&amp;$K937))</f>
        <v/>
      </c>
      <c r="AH937" s="39" t="n">
        <f aca="false">IF(AND($F937&lt;&gt;"",$O937&lt;&gt;"",$O937&lt;=Hoje!$C$3,$P937&gt;=Hoje!$C$3,$R937&lt;&gt;"Cancelada"),1,0)</f>
        <v>0</v>
      </c>
      <c r="AI937" s="39" t="n">
        <f aca="false">IF(AND($F937&lt;&gt;"",$P937&lt;&gt;"",$P937&lt;Hoje!$C$3,$AB937=0,$R937&lt;&gt;"Cancelada"),1,0)</f>
        <v>0</v>
      </c>
      <c r="AJ937" s="50" t="str">
        <f aca="false">IF($F937="","",$D937&amp;"|"&amp;$E937&amp;"|"&amp;$L937)</f>
        <v/>
      </c>
      <c r="AK937" s="39" t="str">
        <f aca="false">IF($AJ937="","",COUNTIF($AJ$4:$AJ937,$AJ937))</f>
        <v/>
      </c>
      <c r="AL937" s="39" t="str">
        <f aca="false">IF($AJ937="","",COUNTIF($AJ$4:$AJ$1004,$AJ937))</f>
        <v/>
      </c>
      <c r="AM937" s="42"/>
      <c r="AN937" s="50" t="str">
        <f aca="false">IF($D937="","",IFERROR(T(VLOOKUP($D937,Listas!$B$5:$H$120,7,0)),""))</f>
        <v/>
      </c>
      <c r="AO937" s="50" t="str">
        <f aca="false">IF(OR($F937="",$L937&lt;&gt;"",$R937="Cancelada",$AT937&lt;&gt;""),"",$AN937&amp;"|"&amp;$D937&amp;"|"&amp;IF($C937="","zzz",$C937)&amp;"|"&amp;TEXT(937,"0000"))</f>
        <v/>
      </c>
      <c r="AP937" s="50" t="str">
        <f aca="false">IF($AO937="","",COUNTIF($AO$5:$AO$1004,"&lt;"&amp;$AO937)-(ROWS($AO$5:$AO$1004)-Hoje!$L$5)+1)</f>
        <v/>
      </c>
      <c r="AQ937" s="50" t="n">
        <f aca="false">IF(AND($F937&lt;&gt;"",$D937=Frota!$C$3),1,0)</f>
        <v>0</v>
      </c>
      <c r="AR937" s="50" t="str">
        <f aca="false">IF($AQ937=0,"",SUM($AQ$4:$AQ937))</f>
        <v/>
      </c>
      <c r="AS937" s="50" t="str">
        <f aca="false">IFERROR(INDEX(Hoje!$K$10:$K$29,MATCH(ROW(),Hoje!$J$10:$J$29,0)),"")</f>
        <v/>
      </c>
      <c r="AT937" s="50" t="str">
        <f aca="false">IF($Q937&lt;&gt;"",$Q937,$AS937)</f>
        <v/>
      </c>
    </row>
    <row r="938" customFormat="false" ht="16.5" hidden="false" customHeight="true" outlineLevel="0" collapsed="false">
      <c r="A938" s="39" t="str">
        <f aca="false">IF($F938="","",ROW())</f>
        <v/>
      </c>
      <c r="B938" s="40" t="str">
        <f aca="false">IF($F938="",IF($D938="","","Falta a atividade"),IF($R938="Cancelada","Cancelada",IF($AB938=1,IF(N($Z938)&gt;0,"Concluída com atraso","Concluída"),IF($R938="Em programação","Em programação",IF($O938="",IF($M938="","Na carteira","Falta a semana"),IF($AC938=1,"VENCIDA",IF($O938&gt;Hoje!$L$1,"Programada",IF($P938&gt;Hoje!$L$1,"Em execução","Fecha hoje"))))))))</f>
        <v/>
      </c>
      <c r="C938" s="41"/>
      <c r="D938" s="42"/>
      <c r="E938" s="42"/>
      <c r="F938" s="42"/>
      <c r="G938" s="43"/>
      <c r="H938" s="43"/>
      <c r="I938" s="44"/>
      <c r="J938" s="44"/>
      <c r="K938" s="44"/>
      <c r="L938" s="45"/>
      <c r="M938" s="46"/>
      <c r="N938" s="45"/>
      <c r="O938" s="47" t="str">
        <f aca="false">IF(OR($L938="",$M938=""),"",(DATE(Semana!$J$3,1,4)-WEEKDAY(DATE(Semana!$J$3,1,4),3))+($L938-1)*7+MATCH($M938,Listas!$F$5:$F$11,0)-1)</f>
        <v/>
      </c>
      <c r="P938" s="47" t="str">
        <f aca="false">IF(OR($F938="",$O938=""),"",$O938+MAX(0,ROUNDUP($AK938*MAX(1,IF($N938="",1,$N938))/MAX(1,$AL938),0)-1))</f>
        <v/>
      </c>
      <c r="Q938" s="48"/>
      <c r="R938" s="43"/>
      <c r="S938" s="49"/>
      <c r="T938" s="42"/>
      <c r="U938" s="42"/>
      <c r="V938" s="39" t="str">
        <f aca="false">IF($F938="","",IF(ISNUMBER(SEARCH("(externo)",$I938&amp;$J938&amp;$K938)),"Terceirizada","Interna"))</f>
        <v/>
      </c>
      <c r="W938" s="47" t="str">
        <f aca="false">IF($O938="","",IF($S938="",$O938,(DATE(Semana!$J$3,1,4)-WEEKDAY(DATE(Semana!$J$3,1,4),3))+($S938-1)*7+IF($M938="",0,MATCH($M938,Listas!$F$5:$F$11,0)-1)))</f>
        <v/>
      </c>
      <c r="X938" s="39" t="str">
        <f aca="false">IF($F938="","",IF(OR($AT938="",$O938=""),0,IF($AT938&lt;=$O938,1,0)))</f>
        <v/>
      </c>
      <c r="Y938" s="39" t="str">
        <f aca="false">IF($F938="","",IF(OR($AT938="",$W938=""),0,IF($AT938&lt;=$W938,1,0)))</f>
        <v/>
      </c>
      <c r="Z938" s="39" t="str">
        <f aca="false">IF(OR($AT938="",$O938=""),"",MAX(0,$AT938-$O938))</f>
        <v/>
      </c>
      <c r="AA938" s="39" t="str">
        <f aca="false">IF($F938="","",IF(AND($S938&lt;&gt;"",$L938&lt;&gt;"",$S938&lt;&gt;$L938),1,0))</f>
        <v/>
      </c>
      <c r="AB938" s="39" t="str">
        <f aca="false">IF($F938="","",IF($R938="Cancelada",0,IF(OR($AT938&lt;&gt;"",$R938="Concluída"),1,0)))</f>
        <v/>
      </c>
      <c r="AC938" s="39" t="n">
        <f aca="false">IF($P938="",0,IF($P938&lt;Hoje!$L$1,1,IF(AND($P938=Hoje!$L$1,Hoje!$L$2&gt;Semana!$M$3),1,0)))</f>
        <v>0</v>
      </c>
      <c r="AD938" s="39" t="str">
        <f aca="false">IF($F938="","",IF(COUNTA($I938:$K938)=0,0,1/COUNTA($I938:$K938)))</f>
        <v/>
      </c>
      <c r="AE938" s="39" t="str">
        <f aca="false">IF($AH938=0,"",SUM($AH$4:$AH938))</f>
        <v/>
      </c>
      <c r="AF938" s="39" t="str">
        <f aca="false">IF($AI938=0,"",SUM($AI$4:$AI938))</f>
        <v/>
      </c>
      <c r="AG938" s="50" t="str">
        <f aca="false">IF($F938="","",$I938&amp;IF($J938="",""," · "&amp;$J938)&amp;IF($K938="",""," · "&amp;$K938))</f>
        <v/>
      </c>
      <c r="AH938" s="39" t="n">
        <f aca="false">IF(AND($F938&lt;&gt;"",$O938&lt;&gt;"",$O938&lt;=Hoje!$C$3,$P938&gt;=Hoje!$C$3,$R938&lt;&gt;"Cancelada"),1,0)</f>
        <v>0</v>
      </c>
      <c r="AI938" s="39" t="n">
        <f aca="false">IF(AND($F938&lt;&gt;"",$P938&lt;&gt;"",$P938&lt;Hoje!$C$3,$AB938=0,$R938&lt;&gt;"Cancelada"),1,0)</f>
        <v>0</v>
      </c>
      <c r="AJ938" s="50" t="str">
        <f aca="false">IF($F938="","",$D938&amp;"|"&amp;$E938&amp;"|"&amp;$L938)</f>
        <v/>
      </c>
      <c r="AK938" s="39" t="str">
        <f aca="false">IF($AJ938="","",COUNTIF($AJ$4:$AJ938,$AJ938))</f>
        <v/>
      </c>
      <c r="AL938" s="39" t="str">
        <f aca="false">IF($AJ938="","",COUNTIF($AJ$4:$AJ$1004,$AJ938))</f>
        <v/>
      </c>
      <c r="AM938" s="42"/>
      <c r="AN938" s="50" t="str">
        <f aca="false">IF($D938="","",IFERROR(T(VLOOKUP($D938,Listas!$B$5:$H$120,7,0)),""))</f>
        <v/>
      </c>
      <c r="AO938" s="50" t="str">
        <f aca="false">IF(OR($F938="",$L938&lt;&gt;"",$R938="Cancelada",$AT938&lt;&gt;""),"",$AN938&amp;"|"&amp;$D938&amp;"|"&amp;IF($C938="","zzz",$C938)&amp;"|"&amp;TEXT(938,"0000"))</f>
        <v/>
      </c>
      <c r="AP938" s="50" t="str">
        <f aca="false">IF($AO938="","",COUNTIF($AO$5:$AO$1004,"&lt;"&amp;$AO938)-(ROWS($AO$5:$AO$1004)-Hoje!$L$5)+1)</f>
        <v/>
      </c>
      <c r="AQ938" s="50" t="n">
        <f aca="false">IF(AND($F938&lt;&gt;"",$D938=Frota!$C$3),1,0)</f>
        <v>0</v>
      </c>
      <c r="AR938" s="50" t="str">
        <f aca="false">IF($AQ938=0,"",SUM($AQ$4:$AQ938))</f>
        <v/>
      </c>
      <c r="AS938" s="50" t="str">
        <f aca="false">IFERROR(INDEX(Hoje!$K$10:$K$29,MATCH(ROW(),Hoje!$J$10:$J$29,0)),"")</f>
        <v/>
      </c>
      <c r="AT938" s="50" t="str">
        <f aca="false">IF($Q938&lt;&gt;"",$Q938,$AS938)</f>
        <v/>
      </c>
    </row>
    <row r="939" customFormat="false" ht="16.5" hidden="false" customHeight="true" outlineLevel="0" collapsed="false">
      <c r="A939" s="39" t="str">
        <f aca="false">IF($F939="","",ROW())</f>
        <v/>
      </c>
      <c r="B939" s="40" t="str">
        <f aca="false">IF($F939="",IF($D939="","","Falta a atividade"),IF($R939="Cancelada","Cancelada",IF($AB939=1,IF(N($Z939)&gt;0,"Concluída com atraso","Concluída"),IF($R939="Em programação","Em programação",IF($O939="",IF($M939="","Na carteira","Falta a semana"),IF($AC939=1,"VENCIDA",IF($O939&gt;Hoje!$L$1,"Programada",IF($P939&gt;Hoje!$L$1,"Em execução","Fecha hoje"))))))))</f>
        <v/>
      </c>
      <c r="C939" s="41"/>
      <c r="D939" s="42"/>
      <c r="E939" s="42"/>
      <c r="F939" s="42"/>
      <c r="G939" s="43"/>
      <c r="H939" s="43"/>
      <c r="I939" s="44"/>
      <c r="J939" s="44"/>
      <c r="K939" s="44"/>
      <c r="L939" s="45"/>
      <c r="M939" s="46"/>
      <c r="N939" s="45"/>
      <c r="O939" s="47" t="str">
        <f aca="false">IF(OR($L939="",$M939=""),"",(DATE(Semana!$J$3,1,4)-WEEKDAY(DATE(Semana!$J$3,1,4),3))+($L939-1)*7+MATCH($M939,Listas!$F$5:$F$11,0)-1)</f>
        <v/>
      </c>
      <c r="P939" s="47" t="str">
        <f aca="false">IF(OR($F939="",$O939=""),"",$O939+MAX(0,ROUNDUP($AK939*MAX(1,IF($N939="",1,$N939))/MAX(1,$AL939),0)-1))</f>
        <v/>
      </c>
      <c r="Q939" s="48"/>
      <c r="R939" s="43"/>
      <c r="S939" s="49"/>
      <c r="T939" s="42"/>
      <c r="U939" s="42"/>
      <c r="V939" s="39" t="str">
        <f aca="false">IF($F939="","",IF(ISNUMBER(SEARCH("(externo)",$I939&amp;$J939&amp;$K939)),"Terceirizada","Interna"))</f>
        <v/>
      </c>
      <c r="W939" s="47" t="str">
        <f aca="false">IF($O939="","",IF($S939="",$O939,(DATE(Semana!$J$3,1,4)-WEEKDAY(DATE(Semana!$J$3,1,4),3))+($S939-1)*7+IF($M939="",0,MATCH($M939,Listas!$F$5:$F$11,0)-1)))</f>
        <v/>
      </c>
      <c r="X939" s="39" t="str">
        <f aca="false">IF($F939="","",IF(OR($AT939="",$O939=""),0,IF($AT939&lt;=$O939,1,0)))</f>
        <v/>
      </c>
      <c r="Y939" s="39" t="str">
        <f aca="false">IF($F939="","",IF(OR($AT939="",$W939=""),0,IF($AT939&lt;=$W939,1,0)))</f>
        <v/>
      </c>
      <c r="Z939" s="39" t="str">
        <f aca="false">IF(OR($AT939="",$O939=""),"",MAX(0,$AT939-$O939))</f>
        <v/>
      </c>
      <c r="AA939" s="39" t="str">
        <f aca="false">IF($F939="","",IF(AND($S939&lt;&gt;"",$L939&lt;&gt;"",$S939&lt;&gt;$L939),1,0))</f>
        <v/>
      </c>
      <c r="AB939" s="39" t="str">
        <f aca="false">IF($F939="","",IF($R939="Cancelada",0,IF(OR($AT939&lt;&gt;"",$R939="Concluída"),1,0)))</f>
        <v/>
      </c>
      <c r="AC939" s="39" t="n">
        <f aca="false">IF($P939="",0,IF($P939&lt;Hoje!$L$1,1,IF(AND($P939=Hoje!$L$1,Hoje!$L$2&gt;Semana!$M$3),1,0)))</f>
        <v>0</v>
      </c>
      <c r="AD939" s="39" t="str">
        <f aca="false">IF($F939="","",IF(COUNTA($I939:$K939)=0,0,1/COUNTA($I939:$K939)))</f>
        <v/>
      </c>
      <c r="AE939" s="39" t="str">
        <f aca="false">IF($AH939=0,"",SUM($AH$4:$AH939))</f>
        <v/>
      </c>
      <c r="AF939" s="39" t="str">
        <f aca="false">IF($AI939=0,"",SUM($AI$4:$AI939))</f>
        <v/>
      </c>
      <c r="AG939" s="50" t="str">
        <f aca="false">IF($F939="","",$I939&amp;IF($J939="",""," · "&amp;$J939)&amp;IF($K939="",""," · "&amp;$K939))</f>
        <v/>
      </c>
      <c r="AH939" s="39" t="n">
        <f aca="false">IF(AND($F939&lt;&gt;"",$O939&lt;&gt;"",$O939&lt;=Hoje!$C$3,$P939&gt;=Hoje!$C$3,$R939&lt;&gt;"Cancelada"),1,0)</f>
        <v>0</v>
      </c>
      <c r="AI939" s="39" t="n">
        <f aca="false">IF(AND($F939&lt;&gt;"",$P939&lt;&gt;"",$P939&lt;Hoje!$C$3,$AB939=0,$R939&lt;&gt;"Cancelada"),1,0)</f>
        <v>0</v>
      </c>
      <c r="AJ939" s="50" t="str">
        <f aca="false">IF($F939="","",$D939&amp;"|"&amp;$E939&amp;"|"&amp;$L939)</f>
        <v/>
      </c>
      <c r="AK939" s="39" t="str">
        <f aca="false">IF($AJ939="","",COUNTIF($AJ$4:$AJ939,$AJ939))</f>
        <v/>
      </c>
      <c r="AL939" s="39" t="str">
        <f aca="false">IF($AJ939="","",COUNTIF($AJ$4:$AJ$1004,$AJ939))</f>
        <v/>
      </c>
      <c r="AM939" s="42"/>
      <c r="AN939" s="50" t="str">
        <f aca="false">IF($D939="","",IFERROR(T(VLOOKUP($D939,Listas!$B$5:$H$120,7,0)),""))</f>
        <v/>
      </c>
      <c r="AO939" s="50" t="str">
        <f aca="false">IF(OR($F939="",$L939&lt;&gt;"",$R939="Cancelada",$AT939&lt;&gt;""),"",$AN939&amp;"|"&amp;$D939&amp;"|"&amp;IF($C939="","zzz",$C939)&amp;"|"&amp;TEXT(939,"0000"))</f>
        <v/>
      </c>
      <c r="AP939" s="50" t="str">
        <f aca="false">IF($AO939="","",COUNTIF($AO$5:$AO$1004,"&lt;"&amp;$AO939)-(ROWS($AO$5:$AO$1004)-Hoje!$L$5)+1)</f>
        <v/>
      </c>
      <c r="AQ939" s="50" t="n">
        <f aca="false">IF(AND($F939&lt;&gt;"",$D939=Frota!$C$3),1,0)</f>
        <v>0</v>
      </c>
      <c r="AR939" s="50" t="str">
        <f aca="false">IF($AQ939=0,"",SUM($AQ$4:$AQ939))</f>
        <v/>
      </c>
      <c r="AS939" s="50" t="str">
        <f aca="false">IFERROR(INDEX(Hoje!$K$10:$K$29,MATCH(ROW(),Hoje!$J$10:$J$29,0)),"")</f>
        <v/>
      </c>
      <c r="AT939" s="50" t="str">
        <f aca="false">IF($Q939&lt;&gt;"",$Q939,$AS939)</f>
        <v/>
      </c>
    </row>
    <row r="940" customFormat="false" ht="16.5" hidden="false" customHeight="true" outlineLevel="0" collapsed="false">
      <c r="A940" s="39" t="str">
        <f aca="false">IF($F940="","",ROW())</f>
        <v/>
      </c>
      <c r="B940" s="40" t="str">
        <f aca="false">IF($F940="",IF($D940="","","Falta a atividade"),IF($R940="Cancelada","Cancelada",IF($AB940=1,IF(N($Z940)&gt;0,"Concluída com atraso","Concluída"),IF($R940="Em programação","Em programação",IF($O940="",IF($M940="","Na carteira","Falta a semana"),IF($AC940=1,"VENCIDA",IF($O940&gt;Hoje!$L$1,"Programada",IF($P940&gt;Hoje!$L$1,"Em execução","Fecha hoje"))))))))</f>
        <v/>
      </c>
      <c r="C940" s="41"/>
      <c r="D940" s="42"/>
      <c r="E940" s="42"/>
      <c r="F940" s="42"/>
      <c r="G940" s="43"/>
      <c r="H940" s="43"/>
      <c r="I940" s="44"/>
      <c r="J940" s="44"/>
      <c r="K940" s="44"/>
      <c r="L940" s="45"/>
      <c r="M940" s="46"/>
      <c r="N940" s="45"/>
      <c r="O940" s="47" t="str">
        <f aca="false">IF(OR($L940="",$M940=""),"",(DATE(Semana!$J$3,1,4)-WEEKDAY(DATE(Semana!$J$3,1,4),3))+($L940-1)*7+MATCH($M940,Listas!$F$5:$F$11,0)-1)</f>
        <v/>
      </c>
      <c r="P940" s="47" t="str">
        <f aca="false">IF(OR($F940="",$O940=""),"",$O940+MAX(0,ROUNDUP($AK940*MAX(1,IF($N940="",1,$N940))/MAX(1,$AL940),0)-1))</f>
        <v/>
      </c>
      <c r="Q940" s="48"/>
      <c r="R940" s="43"/>
      <c r="S940" s="49"/>
      <c r="T940" s="42"/>
      <c r="U940" s="42"/>
      <c r="V940" s="39" t="str">
        <f aca="false">IF($F940="","",IF(ISNUMBER(SEARCH("(externo)",$I940&amp;$J940&amp;$K940)),"Terceirizada","Interna"))</f>
        <v/>
      </c>
      <c r="W940" s="47" t="str">
        <f aca="false">IF($O940="","",IF($S940="",$O940,(DATE(Semana!$J$3,1,4)-WEEKDAY(DATE(Semana!$J$3,1,4),3))+($S940-1)*7+IF($M940="",0,MATCH($M940,Listas!$F$5:$F$11,0)-1)))</f>
        <v/>
      </c>
      <c r="X940" s="39" t="str">
        <f aca="false">IF($F940="","",IF(OR($AT940="",$O940=""),0,IF($AT940&lt;=$O940,1,0)))</f>
        <v/>
      </c>
      <c r="Y940" s="39" t="str">
        <f aca="false">IF($F940="","",IF(OR($AT940="",$W940=""),0,IF($AT940&lt;=$W940,1,0)))</f>
        <v/>
      </c>
      <c r="Z940" s="39" t="str">
        <f aca="false">IF(OR($AT940="",$O940=""),"",MAX(0,$AT940-$O940))</f>
        <v/>
      </c>
      <c r="AA940" s="39" t="str">
        <f aca="false">IF($F940="","",IF(AND($S940&lt;&gt;"",$L940&lt;&gt;"",$S940&lt;&gt;$L940),1,0))</f>
        <v/>
      </c>
      <c r="AB940" s="39" t="str">
        <f aca="false">IF($F940="","",IF($R940="Cancelada",0,IF(OR($AT940&lt;&gt;"",$R940="Concluída"),1,0)))</f>
        <v/>
      </c>
      <c r="AC940" s="39" t="n">
        <f aca="false">IF($P940="",0,IF($P940&lt;Hoje!$L$1,1,IF(AND($P940=Hoje!$L$1,Hoje!$L$2&gt;Semana!$M$3),1,0)))</f>
        <v>0</v>
      </c>
      <c r="AD940" s="39" t="str">
        <f aca="false">IF($F940="","",IF(COUNTA($I940:$K940)=0,0,1/COUNTA($I940:$K940)))</f>
        <v/>
      </c>
      <c r="AE940" s="39" t="str">
        <f aca="false">IF($AH940=0,"",SUM($AH$4:$AH940))</f>
        <v/>
      </c>
      <c r="AF940" s="39" t="str">
        <f aca="false">IF($AI940=0,"",SUM($AI$4:$AI940))</f>
        <v/>
      </c>
      <c r="AG940" s="50" t="str">
        <f aca="false">IF($F940="","",$I940&amp;IF($J940="",""," · "&amp;$J940)&amp;IF($K940="",""," · "&amp;$K940))</f>
        <v/>
      </c>
      <c r="AH940" s="39" t="n">
        <f aca="false">IF(AND($F940&lt;&gt;"",$O940&lt;&gt;"",$O940&lt;=Hoje!$C$3,$P940&gt;=Hoje!$C$3,$R940&lt;&gt;"Cancelada"),1,0)</f>
        <v>0</v>
      </c>
      <c r="AI940" s="39" t="n">
        <f aca="false">IF(AND($F940&lt;&gt;"",$P940&lt;&gt;"",$P940&lt;Hoje!$C$3,$AB940=0,$R940&lt;&gt;"Cancelada"),1,0)</f>
        <v>0</v>
      </c>
      <c r="AJ940" s="50" t="str">
        <f aca="false">IF($F940="","",$D940&amp;"|"&amp;$E940&amp;"|"&amp;$L940)</f>
        <v/>
      </c>
      <c r="AK940" s="39" t="str">
        <f aca="false">IF($AJ940="","",COUNTIF($AJ$4:$AJ940,$AJ940))</f>
        <v/>
      </c>
      <c r="AL940" s="39" t="str">
        <f aca="false">IF($AJ940="","",COUNTIF($AJ$4:$AJ$1004,$AJ940))</f>
        <v/>
      </c>
      <c r="AM940" s="42"/>
      <c r="AN940" s="50" t="str">
        <f aca="false">IF($D940="","",IFERROR(T(VLOOKUP($D940,Listas!$B$5:$H$120,7,0)),""))</f>
        <v/>
      </c>
      <c r="AO940" s="50" t="str">
        <f aca="false">IF(OR($F940="",$L940&lt;&gt;"",$R940="Cancelada",$AT940&lt;&gt;""),"",$AN940&amp;"|"&amp;$D940&amp;"|"&amp;IF($C940="","zzz",$C940)&amp;"|"&amp;TEXT(940,"0000"))</f>
        <v/>
      </c>
      <c r="AP940" s="50" t="str">
        <f aca="false">IF($AO940="","",COUNTIF($AO$5:$AO$1004,"&lt;"&amp;$AO940)-(ROWS($AO$5:$AO$1004)-Hoje!$L$5)+1)</f>
        <v/>
      </c>
      <c r="AQ940" s="50" t="n">
        <f aca="false">IF(AND($F940&lt;&gt;"",$D940=Frota!$C$3),1,0)</f>
        <v>0</v>
      </c>
      <c r="AR940" s="50" t="str">
        <f aca="false">IF($AQ940=0,"",SUM($AQ$4:$AQ940))</f>
        <v/>
      </c>
      <c r="AS940" s="50" t="str">
        <f aca="false">IFERROR(INDEX(Hoje!$K$10:$K$29,MATCH(ROW(),Hoje!$J$10:$J$29,0)),"")</f>
        <v/>
      </c>
      <c r="AT940" s="50" t="str">
        <f aca="false">IF($Q940&lt;&gt;"",$Q940,$AS940)</f>
        <v/>
      </c>
    </row>
    <row r="941" customFormat="false" ht="16.5" hidden="false" customHeight="true" outlineLevel="0" collapsed="false">
      <c r="A941" s="39" t="str">
        <f aca="false">IF($F941="","",ROW())</f>
        <v/>
      </c>
      <c r="B941" s="40" t="str">
        <f aca="false">IF($F941="",IF($D941="","","Falta a atividade"),IF($R941="Cancelada","Cancelada",IF($AB941=1,IF(N($Z941)&gt;0,"Concluída com atraso","Concluída"),IF($R941="Em programação","Em programação",IF($O941="",IF($M941="","Na carteira","Falta a semana"),IF($AC941=1,"VENCIDA",IF($O941&gt;Hoje!$L$1,"Programada",IF($P941&gt;Hoje!$L$1,"Em execução","Fecha hoje"))))))))</f>
        <v/>
      </c>
      <c r="C941" s="41"/>
      <c r="D941" s="42"/>
      <c r="E941" s="42"/>
      <c r="F941" s="42"/>
      <c r="G941" s="43"/>
      <c r="H941" s="43"/>
      <c r="I941" s="44"/>
      <c r="J941" s="44"/>
      <c r="K941" s="44"/>
      <c r="L941" s="45"/>
      <c r="M941" s="46"/>
      <c r="N941" s="45"/>
      <c r="O941" s="47" t="str">
        <f aca="false">IF(OR($L941="",$M941=""),"",(DATE(Semana!$J$3,1,4)-WEEKDAY(DATE(Semana!$J$3,1,4),3))+($L941-1)*7+MATCH($M941,Listas!$F$5:$F$11,0)-1)</f>
        <v/>
      </c>
      <c r="P941" s="47" t="str">
        <f aca="false">IF(OR($F941="",$O941=""),"",$O941+MAX(0,ROUNDUP($AK941*MAX(1,IF($N941="",1,$N941))/MAX(1,$AL941),0)-1))</f>
        <v/>
      </c>
      <c r="Q941" s="48"/>
      <c r="R941" s="43"/>
      <c r="S941" s="49"/>
      <c r="T941" s="42"/>
      <c r="U941" s="42"/>
      <c r="V941" s="39" t="str">
        <f aca="false">IF($F941="","",IF(ISNUMBER(SEARCH("(externo)",$I941&amp;$J941&amp;$K941)),"Terceirizada","Interna"))</f>
        <v/>
      </c>
      <c r="W941" s="47" t="str">
        <f aca="false">IF($O941="","",IF($S941="",$O941,(DATE(Semana!$J$3,1,4)-WEEKDAY(DATE(Semana!$J$3,1,4),3))+($S941-1)*7+IF($M941="",0,MATCH($M941,Listas!$F$5:$F$11,0)-1)))</f>
        <v/>
      </c>
      <c r="X941" s="39" t="str">
        <f aca="false">IF($F941="","",IF(OR($AT941="",$O941=""),0,IF($AT941&lt;=$O941,1,0)))</f>
        <v/>
      </c>
      <c r="Y941" s="39" t="str">
        <f aca="false">IF($F941="","",IF(OR($AT941="",$W941=""),0,IF($AT941&lt;=$W941,1,0)))</f>
        <v/>
      </c>
      <c r="Z941" s="39" t="str">
        <f aca="false">IF(OR($AT941="",$O941=""),"",MAX(0,$AT941-$O941))</f>
        <v/>
      </c>
      <c r="AA941" s="39" t="str">
        <f aca="false">IF($F941="","",IF(AND($S941&lt;&gt;"",$L941&lt;&gt;"",$S941&lt;&gt;$L941),1,0))</f>
        <v/>
      </c>
      <c r="AB941" s="39" t="str">
        <f aca="false">IF($F941="","",IF($R941="Cancelada",0,IF(OR($AT941&lt;&gt;"",$R941="Concluída"),1,0)))</f>
        <v/>
      </c>
      <c r="AC941" s="39" t="n">
        <f aca="false">IF($P941="",0,IF($P941&lt;Hoje!$L$1,1,IF(AND($P941=Hoje!$L$1,Hoje!$L$2&gt;Semana!$M$3),1,0)))</f>
        <v>0</v>
      </c>
      <c r="AD941" s="39" t="str">
        <f aca="false">IF($F941="","",IF(COUNTA($I941:$K941)=0,0,1/COUNTA($I941:$K941)))</f>
        <v/>
      </c>
      <c r="AE941" s="39" t="str">
        <f aca="false">IF($AH941=0,"",SUM($AH$4:$AH941))</f>
        <v/>
      </c>
      <c r="AF941" s="39" t="str">
        <f aca="false">IF($AI941=0,"",SUM($AI$4:$AI941))</f>
        <v/>
      </c>
      <c r="AG941" s="50" t="str">
        <f aca="false">IF($F941="","",$I941&amp;IF($J941="",""," · "&amp;$J941)&amp;IF($K941="",""," · "&amp;$K941))</f>
        <v/>
      </c>
      <c r="AH941" s="39" t="n">
        <f aca="false">IF(AND($F941&lt;&gt;"",$O941&lt;&gt;"",$O941&lt;=Hoje!$C$3,$P941&gt;=Hoje!$C$3,$R941&lt;&gt;"Cancelada"),1,0)</f>
        <v>0</v>
      </c>
      <c r="AI941" s="39" t="n">
        <f aca="false">IF(AND($F941&lt;&gt;"",$P941&lt;&gt;"",$P941&lt;Hoje!$C$3,$AB941=0,$R941&lt;&gt;"Cancelada"),1,0)</f>
        <v>0</v>
      </c>
      <c r="AJ941" s="50" t="str">
        <f aca="false">IF($F941="","",$D941&amp;"|"&amp;$E941&amp;"|"&amp;$L941)</f>
        <v/>
      </c>
      <c r="AK941" s="39" t="str">
        <f aca="false">IF($AJ941="","",COUNTIF($AJ$4:$AJ941,$AJ941))</f>
        <v/>
      </c>
      <c r="AL941" s="39" t="str">
        <f aca="false">IF($AJ941="","",COUNTIF($AJ$4:$AJ$1004,$AJ941))</f>
        <v/>
      </c>
      <c r="AM941" s="42"/>
      <c r="AN941" s="50" t="str">
        <f aca="false">IF($D941="","",IFERROR(T(VLOOKUP($D941,Listas!$B$5:$H$120,7,0)),""))</f>
        <v/>
      </c>
      <c r="AO941" s="50" t="str">
        <f aca="false">IF(OR($F941="",$L941&lt;&gt;"",$R941="Cancelada",$AT941&lt;&gt;""),"",$AN941&amp;"|"&amp;$D941&amp;"|"&amp;IF($C941="","zzz",$C941)&amp;"|"&amp;TEXT(941,"0000"))</f>
        <v/>
      </c>
      <c r="AP941" s="50" t="str">
        <f aca="false">IF($AO941="","",COUNTIF($AO$5:$AO$1004,"&lt;"&amp;$AO941)-(ROWS($AO$5:$AO$1004)-Hoje!$L$5)+1)</f>
        <v/>
      </c>
      <c r="AQ941" s="50" t="n">
        <f aca="false">IF(AND($F941&lt;&gt;"",$D941=Frota!$C$3),1,0)</f>
        <v>0</v>
      </c>
      <c r="AR941" s="50" t="str">
        <f aca="false">IF($AQ941=0,"",SUM($AQ$4:$AQ941))</f>
        <v/>
      </c>
      <c r="AS941" s="50" t="str">
        <f aca="false">IFERROR(INDEX(Hoje!$K$10:$K$29,MATCH(ROW(),Hoje!$J$10:$J$29,0)),"")</f>
        <v/>
      </c>
      <c r="AT941" s="50" t="str">
        <f aca="false">IF($Q941&lt;&gt;"",$Q941,$AS941)</f>
        <v/>
      </c>
    </row>
    <row r="942" customFormat="false" ht="16.5" hidden="false" customHeight="true" outlineLevel="0" collapsed="false">
      <c r="A942" s="39" t="str">
        <f aca="false">IF($F942="","",ROW())</f>
        <v/>
      </c>
      <c r="B942" s="40" t="str">
        <f aca="false">IF($F942="",IF($D942="","","Falta a atividade"),IF($R942="Cancelada","Cancelada",IF($AB942=1,IF(N($Z942)&gt;0,"Concluída com atraso","Concluída"),IF($R942="Em programação","Em programação",IF($O942="",IF($M942="","Na carteira","Falta a semana"),IF($AC942=1,"VENCIDA",IF($O942&gt;Hoje!$L$1,"Programada",IF($P942&gt;Hoje!$L$1,"Em execução","Fecha hoje"))))))))</f>
        <v/>
      </c>
      <c r="C942" s="41"/>
      <c r="D942" s="42"/>
      <c r="E942" s="42"/>
      <c r="F942" s="42"/>
      <c r="G942" s="43"/>
      <c r="H942" s="43"/>
      <c r="I942" s="44"/>
      <c r="J942" s="44"/>
      <c r="K942" s="44"/>
      <c r="L942" s="45"/>
      <c r="M942" s="46"/>
      <c r="N942" s="45"/>
      <c r="O942" s="47" t="str">
        <f aca="false">IF(OR($L942="",$M942=""),"",(DATE(Semana!$J$3,1,4)-WEEKDAY(DATE(Semana!$J$3,1,4),3))+($L942-1)*7+MATCH($M942,Listas!$F$5:$F$11,0)-1)</f>
        <v/>
      </c>
      <c r="P942" s="47" t="str">
        <f aca="false">IF(OR($F942="",$O942=""),"",$O942+MAX(0,ROUNDUP($AK942*MAX(1,IF($N942="",1,$N942))/MAX(1,$AL942),0)-1))</f>
        <v/>
      </c>
      <c r="Q942" s="48"/>
      <c r="R942" s="43"/>
      <c r="S942" s="49"/>
      <c r="T942" s="42"/>
      <c r="U942" s="42"/>
      <c r="V942" s="39" t="str">
        <f aca="false">IF($F942="","",IF(ISNUMBER(SEARCH("(externo)",$I942&amp;$J942&amp;$K942)),"Terceirizada","Interna"))</f>
        <v/>
      </c>
      <c r="W942" s="47" t="str">
        <f aca="false">IF($O942="","",IF($S942="",$O942,(DATE(Semana!$J$3,1,4)-WEEKDAY(DATE(Semana!$J$3,1,4),3))+($S942-1)*7+IF($M942="",0,MATCH($M942,Listas!$F$5:$F$11,0)-1)))</f>
        <v/>
      </c>
      <c r="X942" s="39" t="str">
        <f aca="false">IF($F942="","",IF(OR($AT942="",$O942=""),0,IF($AT942&lt;=$O942,1,0)))</f>
        <v/>
      </c>
      <c r="Y942" s="39" t="str">
        <f aca="false">IF($F942="","",IF(OR($AT942="",$W942=""),0,IF($AT942&lt;=$W942,1,0)))</f>
        <v/>
      </c>
      <c r="Z942" s="39" t="str">
        <f aca="false">IF(OR($AT942="",$O942=""),"",MAX(0,$AT942-$O942))</f>
        <v/>
      </c>
      <c r="AA942" s="39" t="str">
        <f aca="false">IF($F942="","",IF(AND($S942&lt;&gt;"",$L942&lt;&gt;"",$S942&lt;&gt;$L942),1,0))</f>
        <v/>
      </c>
      <c r="AB942" s="39" t="str">
        <f aca="false">IF($F942="","",IF($R942="Cancelada",0,IF(OR($AT942&lt;&gt;"",$R942="Concluída"),1,0)))</f>
        <v/>
      </c>
      <c r="AC942" s="39" t="n">
        <f aca="false">IF($P942="",0,IF($P942&lt;Hoje!$L$1,1,IF(AND($P942=Hoje!$L$1,Hoje!$L$2&gt;Semana!$M$3),1,0)))</f>
        <v>0</v>
      </c>
      <c r="AD942" s="39" t="str">
        <f aca="false">IF($F942="","",IF(COUNTA($I942:$K942)=0,0,1/COUNTA($I942:$K942)))</f>
        <v/>
      </c>
      <c r="AE942" s="39" t="str">
        <f aca="false">IF($AH942=0,"",SUM($AH$4:$AH942))</f>
        <v/>
      </c>
      <c r="AF942" s="39" t="str">
        <f aca="false">IF($AI942=0,"",SUM($AI$4:$AI942))</f>
        <v/>
      </c>
      <c r="AG942" s="50" t="str">
        <f aca="false">IF($F942="","",$I942&amp;IF($J942="",""," · "&amp;$J942)&amp;IF($K942="",""," · "&amp;$K942))</f>
        <v/>
      </c>
      <c r="AH942" s="39" t="n">
        <f aca="false">IF(AND($F942&lt;&gt;"",$O942&lt;&gt;"",$O942&lt;=Hoje!$C$3,$P942&gt;=Hoje!$C$3,$R942&lt;&gt;"Cancelada"),1,0)</f>
        <v>0</v>
      </c>
      <c r="AI942" s="39" t="n">
        <f aca="false">IF(AND($F942&lt;&gt;"",$P942&lt;&gt;"",$P942&lt;Hoje!$C$3,$AB942=0,$R942&lt;&gt;"Cancelada"),1,0)</f>
        <v>0</v>
      </c>
      <c r="AJ942" s="50" t="str">
        <f aca="false">IF($F942="","",$D942&amp;"|"&amp;$E942&amp;"|"&amp;$L942)</f>
        <v/>
      </c>
      <c r="AK942" s="39" t="str">
        <f aca="false">IF($AJ942="","",COUNTIF($AJ$4:$AJ942,$AJ942))</f>
        <v/>
      </c>
      <c r="AL942" s="39" t="str">
        <f aca="false">IF($AJ942="","",COUNTIF($AJ$4:$AJ$1004,$AJ942))</f>
        <v/>
      </c>
      <c r="AM942" s="42"/>
      <c r="AN942" s="50" t="str">
        <f aca="false">IF($D942="","",IFERROR(T(VLOOKUP($D942,Listas!$B$5:$H$120,7,0)),""))</f>
        <v/>
      </c>
      <c r="AO942" s="50" t="str">
        <f aca="false">IF(OR($F942="",$L942&lt;&gt;"",$R942="Cancelada",$AT942&lt;&gt;""),"",$AN942&amp;"|"&amp;$D942&amp;"|"&amp;IF($C942="","zzz",$C942)&amp;"|"&amp;TEXT(942,"0000"))</f>
        <v/>
      </c>
      <c r="AP942" s="50" t="str">
        <f aca="false">IF($AO942="","",COUNTIF($AO$5:$AO$1004,"&lt;"&amp;$AO942)-(ROWS($AO$5:$AO$1004)-Hoje!$L$5)+1)</f>
        <v/>
      </c>
      <c r="AQ942" s="50" t="n">
        <f aca="false">IF(AND($F942&lt;&gt;"",$D942=Frota!$C$3),1,0)</f>
        <v>0</v>
      </c>
      <c r="AR942" s="50" t="str">
        <f aca="false">IF($AQ942=0,"",SUM($AQ$4:$AQ942))</f>
        <v/>
      </c>
      <c r="AS942" s="50" t="str">
        <f aca="false">IFERROR(INDEX(Hoje!$K$10:$K$29,MATCH(ROW(),Hoje!$J$10:$J$29,0)),"")</f>
        <v/>
      </c>
      <c r="AT942" s="50" t="str">
        <f aca="false">IF($Q942&lt;&gt;"",$Q942,$AS942)</f>
        <v/>
      </c>
    </row>
    <row r="943" customFormat="false" ht="16.5" hidden="false" customHeight="true" outlineLevel="0" collapsed="false">
      <c r="A943" s="39" t="str">
        <f aca="false">IF($F943="","",ROW())</f>
        <v/>
      </c>
      <c r="B943" s="40" t="str">
        <f aca="false">IF($F943="",IF($D943="","","Falta a atividade"),IF($R943="Cancelada","Cancelada",IF($AB943=1,IF(N($Z943)&gt;0,"Concluída com atraso","Concluída"),IF($R943="Em programação","Em programação",IF($O943="",IF($M943="","Na carteira","Falta a semana"),IF($AC943=1,"VENCIDA",IF($O943&gt;Hoje!$L$1,"Programada",IF($P943&gt;Hoje!$L$1,"Em execução","Fecha hoje"))))))))</f>
        <v/>
      </c>
      <c r="C943" s="41"/>
      <c r="D943" s="42"/>
      <c r="E943" s="42"/>
      <c r="F943" s="42"/>
      <c r="G943" s="43"/>
      <c r="H943" s="43"/>
      <c r="I943" s="44"/>
      <c r="J943" s="44"/>
      <c r="K943" s="44"/>
      <c r="L943" s="45"/>
      <c r="M943" s="46"/>
      <c r="N943" s="45"/>
      <c r="O943" s="47" t="str">
        <f aca="false">IF(OR($L943="",$M943=""),"",(DATE(Semana!$J$3,1,4)-WEEKDAY(DATE(Semana!$J$3,1,4),3))+($L943-1)*7+MATCH($M943,Listas!$F$5:$F$11,0)-1)</f>
        <v/>
      </c>
      <c r="P943" s="47" t="str">
        <f aca="false">IF(OR($F943="",$O943=""),"",$O943+MAX(0,ROUNDUP($AK943*MAX(1,IF($N943="",1,$N943))/MAX(1,$AL943),0)-1))</f>
        <v/>
      </c>
      <c r="Q943" s="48"/>
      <c r="R943" s="43"/>
      <c r="S943" s="49"/>
      <c r="T943" s="42"/>
      <c r="U943" s="42"/>
      <c r="V943" s="39" t="str">
        <f aca="false">IF($F943="","",IF(ISNUMBER(SEARCH("(externo)",$I943&amp;$J943&amp;$K943)),"Terceirizada","Interna"))</f>
        <v/>
      </c>
      <c r="W943" s="47" t="str">
        <f aca="false">IF($O943="","",IF($S943="",$O943,(DATE(Semana!$J$3,1,4)-WEEKDAY(DATE(Semana!$J$3,1,4),3))+($S943-1)*7+IF($M943="",0,MATCH($M943,Listas!$F$5:$F$11,0)-1)))</f>
        <v/>
      </c>
      <c r="X943" s="39" t="str">
        <f aca="false">IF($F943="","",IF(OR($AT943="",$O943=""),0,IF($AT943&lt;=$O943,1,0)))</f>
        <v/>
      </c>
      <c r="Y943" s="39" t="str">
        <f aca="false">IF($F943="","",IF(OR($AT943="",$W943=""),0,IF($AT943&lt;=$W943,1,0)))</f>
        <v/>
      </c>
      <c r="Z943" s="39" t="str">
        <f aca="false">IF(OR($AT943="",$O943=""),"",MAX(0,$AT943-$O943))</f>
        <v/>
      </c>
      <c r="AA943" s="39" t="str">
        <f aca="false">IF($F943="","",IF(AND($S943&lt;&gt;"",$L943&lt;&gt;"",$S943&lt;&gt;$L943),1,0))</f>
        <v/>
      </c>
      <c r="AB943" s="39" t="str">
        <f aca="false">IF($F943="","",IF($R943="Cancelada",0,IF(OR($AT943&lt;&gt;"",$R943="Concluída"),1,0)))</f>
        <v/>
      </c>
      <c r="AC943" s="39" t="n">
        <f aca="false">IF($P943="",0,IF($P943&lt;Hoje!$L$1,1,IF(AND($P943=Hoje!$L$1,Hoje!$L$2&gt;Semana!$M$3),1,0)))</f>
        <v>0</v>
      </c>
      <c r="AD943" s="39" t="str">
        <f aca="false">IF($F943="","",IF(COUNTA($I943:$K943)=0,0,1/COUNTA($I943:$K943)))</f>
        <v/>
      </c>
      <c r="AE943" s="39" t="str">
        <f aca="false">IF($AH943=0,"",SUM($AH$4:$AH943))</f>
        <v/>
      </c>
      <c r="AF943" s="39" t="str">
        <f aca="false">IF($AI943=0,"",SUM($AI$4:$AI943))</f>
        <v/>
      </c>
      <c r="AG943" s="50" t="str">
        <f aca="false">IF($F943="","",$I943&amp;IF($J943="",""," · "&amp;$J943)&amp;IF($K943="",""," · "&amp;$K943))</f>
        <v/>
      </c>
      <c r="AH943" s="39" t="n">
        <f aca="false">IF(AND($F943&lt;&gt;"",$O943&lt;&gt;"",$O943&lt;=Hoje!$C$3,$P943&gt;=Hoje!$C$3,$R943&lt;&gt;"Cancelada"),1,0)</f>
        <v>0</v>
      </c>
      <c r="AI943" s="39" t="n">
        <f aca="false">IF(AND($F943&lt;&gt;"",$P943&lt;&gt;"",$P943&lt;Hoje!$C$3,$AB943=0,$R943&lt;&gt;"Cancelada"),1,0)</f>
        <v>0</v>
      </c>
      <c r="AJ943" s="50" t="str">
        <f aca="false">IF($F943="","",$D943&amp;"|"&amp;$E943&amp;"|"&amp;$L943)</f>
        <v/>
      </c>
      <c r="AK943" s="39" t="str">
        <f aca="false">IF($AJ943="","",COUNTIF($AJ$4:$AJ943,$AJ943))</f>
        <v/>
      </c>
      <c r="AL943" s="39" t="str">
        <f aca="false">IF($AJ943="","",COUNTIF($AJ$4:$AJ$1004,$AJ943))</f>
        <v/>
      </c>
      <c r="AM943" s="42"/>
      <c r="AN943" s="50" t="str">
        <f aca="false">IF($D943="","",IFERROR(T(VLOOKUP($D943,Listas!$B$5:$H$120,7,0)),""))</f>
        <v/>
      </c>
      <c r="AO943" s="50" t="str">
        <f aca="false">IF(OR($F943="",$L943&lt;&gt;"",$R943="Cancelada",$AT943&lt;&gt;""),"",$AN943&amp;"|"&amp;$D943&amp;"|"&amp;IF($C943="","zzz",$C943)&amp;"|"&amp;TEXT(943,"0000"))</f>
        <v/>
      </c>
      <c r="AP943" s="50" t="str">
        <f aca="false">IF($AO943="","",COUNTIF($AO$5:$AO$1004,"&lt;"&amp;$AO943)-(ROWS($AO$5:$AO$1004)-Hoje!$L$5)+1)</f>
        <v/>
      </c>
      <c r="AQ943" s="50" t="n">
        <f aca="false">IF(AND($F943&lt;&gt;"",$D943=Frota!$C$3),1,0)</f>
        <v>0</v>
      </c>
      <c r="AR943" s="50" t="str">
        <f aca="false">IF($AQ943=0,"",SUM($AQ$4:$AQ943))</f>
        <v/>
      </c>
      <c r="AS943" s="50" t="str">
        <f aca="false">IFERROR(INDEX(Hoje!$K$10:$K$29,MATCH(ROW(),Hoje!$J$10:$J$29,0)),"")</f>
        <v/>
      </c>
      <c r="AT943" s="50" t="str">
        <f aca="false">IF($Q943&lt;&gt;"",$Q943,$AS943)</f>
        <v/>
      </c>
    </row>
    <row r="944" customFormat="false" ht="16.5" hidden="false" customHeight="true" outlineLevel="0" collapsed="false">
      <c r="A944" s="39" t="str">
        <f aca="false">IF($F944="","",ROW())</f>
        <v/>
      </c>
      <c r="B944" s="40" t="str">
        <f aca="false">IF($F944="",IF($D944="","","Falta a atividade"),IF($R944="Cancelada","Cancelada",IF($AB944=1,IF(N($Z944)&gt;0,"Concluída com atraso","Concluída"),IF($R944="Em programação","Em programação",IF($O944="",IF($M944="","Na carteira","Falta a semana"),IF($AC944=1,"VENCIDA",IF($O944&gt;Hoje!$L$1,"Programada",IF($P944&gt;Hoje!$L$1,"Em execução","Fecha hoje"))))))))</f>
        <v/>
      </c>
      <c r="C944" s="41"/>
      <c r="D944" s="42"/>
      <c r="E944" s="42"/>
      <c r="F944" s="42"/>
      <c r="G944" s="43"/>
      <c r="H944" s="43"/>
      <c r="I944" s="44"/>
      <c r="J944" s="44"/>
      <c r="K944" s="44"/>
      <c r="L944" s="45"/>
      <c r="M944" s="46"/>
      <c r="N944" s="45"/>
      <c r="O944" s="47" t="str">
        <f aca="false">IF(OR($L944="",$M944=""),"",(DATE(Semana!$J$3,1,4)-WEEKDAY(DATE(Semana!$J$3,1,4),3))+($L944-1)*7+MATCH($M944,Listas!$F$5:$F$11,0)-1)</f>
        <v/>
      </c>
      <c r="P944" s="47" t="str">
        <f aca="false">IF(OR($F944="",$O944=""),"",$O944+MAX(0,ROUNDUP($AK944*MAX(1,IF($N944="",1,$N944))/MAX(1,$AL944),0)-1))</f>
        <v/>
      </c>
      <c r="Q944" s="48"/>
      <c r="R944" s="43"/>
      <c r="S944" s="49"/>
      <c r="T944" s="42"/>
      <c r="U944" s="42"/>
      <c r="V944" s="39" t="str">
        <f aca="false">IF($F944="","",IF(ISNUMBER(SEARCH("(externo)",$I944&amp;$J944&amp;$K944)),"Terceirizada","Interna"))</f>
        <v/>
      </c>
      <c r="W944" s="47" t="str">
        <f aca="false">IF($O944="","",IF($S944="",$O944,(DATE(Semana!$J$3,1,4)-WEEKDAY(DATE(Semana!$J$3,1,4),3))+($S944-1)*7+IF($M944="",0,MATCH($M944,Listas!$F$5:$F$11,0)-1)))</f>
        <v/>
      </c>
      <c r="X944" s="39" t="str">
        <f aca="false">IF($F944="","",IF(OR($AT944="",$O944=""),0,IF($AT944&lt;=$O944,1,0)))</f>
        <v/>
      </c>
      <c r="Y944" s="39" t="str">
        <f aca="false">IF($F944="","",IF(OR($AT944="",$W944=""),0,IF($AT944&lt;=$W944,1,0)))</f>
        <v/>
      </c>
      <c r="Z944" s="39" t="str">
        <f aca="false">IF(OR($AT944="",$O944=""),"",MAX(0,$AT944-$O944))</f>
        <v/>
      </c>
      <c r="AA944" s="39" t="str">
        <f aca="false">IF($F944="","",IF(AND($S944&lt;&gt;"",$L944&lt;&gt;"",$S944&lt;&gt;$L944),1,0))</f>
        <v/>
      </c>
      <c r="AB944" s="39" t="str">
        <f aca="false">IF($F944="","",IF($R944="Cancelada",0,IF(OR($AT944&lt;&gt;"",$R944="Concluída"),1,0)))</f>
        <v/>
      </c>
      <c r="AC944" s="39" t="n">
        <f aca="false">IF($P944="",0,IF($P944&lt;Hoje!$L$1,1,IF(AND($P944=Hoje!$L$1,Hoje!$L$2&gt;Semana!$M$3),1,0)))</f>
        <v>0</v>
      </c>
      <c r="AD944" s="39" t="str">
        <f aca="false">IF($F944="","",IF(COUNTA($I944:$K944)=0,0,1/COUNTA($I944:$K944)))</f>
        <v/>
      </c>
      <c r="AE944" s="39" t="str">
        <f aca="false">IF($AH944=0,"",SUM($AH$4:$AH944))</f>
        <v/>
      </c>
      <c r="AF944" s="39" t="str">
        <f aca="false">IF($AI944=0,"",SUM($AI$4:$AI944))</f>
        <v/>
      </c>
      <c r="AG944" s="50" t="str">
        <f aca="false">IF($F944="","",$I944&amp;IF($J944="",""," · "&amp;$J944)&amp;IF($K944="",""," · "&amp;$K944))</f>
        <v/>
      </c>
      <c r="AH944" s="39" t="n">
        <f aca="false">IF(AND($F944&lt;&gt;"",$O944&lt;&gt;"",$O944&lt;=Hoje!$C$3,$P944&gt;=Hoje!$C$3,$R944&lt;&gt;"Cancelada"),1,0)</f>
        <v>0</v>
      </c>
      <c r="AI944" s="39" t="n">
        <f aca="false">IF(AND($F944&lt;&gt;"",$P944&lt;&gt;"",$P944&lt;Hoje!$C$3,$AB944=0,$R944&lt;&gt;"Cancelada"),1,0)</f>
        <v>0</v>
      </c>
      <c r="AJ944" s="50" t="str">
        <f aca="false">IF($F944="","",$D944&amp;"|"&amp;$E944&amp;"|"&amp;$L944)</f>
        <v/>
      </c>
      <c r="AK944" s="39" t="str">
        <f aca="false">IF($AJ944="","",COUNTIF($AJ$4:$AJ944,$AJ944))</f>
        <v/>
      </c>
      <c r="AL944" s="39" t="str">
        <f aca="false">IF($AJ944="","",COUNTIF($AJ$4:$AJ$1004,$AJ944))</f>
        <v/>
      </c>
      <c r="AM944" s="42"/>
      <c r="AN944" s="50" t="str">
        <f aca="false">IF($D944="","",IFERROR(T(VLOOKUP($D944,Listas!$B$5:$H$120,7,0)),""))</f>
        <v/>
      </c>
      <c r="AO944" s="50" t="str">
        <f aca="false">IF(OR($F944="",$L944&lt;&gt;"",$R944="Cancelada",$AT944&lt;&gt;""),"",$AN944&amp;"|"&amp;$D944&amp;"|"&amp;IF($C944="","zzz",$C944)&amp;"|"&amp;TEXT(944,"0000"))</f>
        <v/>
      </c>
      <c r="AP944" s="50" t="str">
        <f aca="false">IF($AO944="","",COUNTIF($AO$5:$AO$1004,"&lt;"&amp;$AO944)-(ROWS($AO$5:$AO$1004)-Hoje!$L$5)+1)</f>
        <v/>
      </c>
      <c r="AQ944" s="50" t="n">
        <f aca="false">IF(AND($F944&lt;&gt;"",$D944=Frota!$C$3),1,0)</f>
        <v>0</v>
      </c>
      <c r="AR944" s="50" t="str">
        <f aca="false">IF($AQ944=0,"",SUM($AQ$4:$AQ944))</f>
        <v/>
      </c>
      <c r="AS944" s="50" t="str">
        <f aca="false">IFERROR(INDEX(Hoje!$K$10:$K$29,MATCH(ROW(),Hoje!$J$10:$J$29,0)),"")</f>
        <v/>
      </c>
      <c r="AT944" s="50" t="str">
        <f aca="false">IF($Q944&lt;&gt;"",$Q944,$AS944)</f>
        <v/>
      </c>
    </row>
    <row r="945" customFormat="false" ht="16.5" hidden="false" customHeight="true" outlineLevel="0" collapsed="false">
      <c r="A945" s="39" t="str">
        <f aca="false">IF($F945="","",ROW())</f>
        <v/>
      </c>
      <c r="B945" s="40" t="str">
        <f aca="false">IF($F945="",IF($D945="","","Falta a atividade"),IF($R945="Cancelada","Cancelada",IF($AB945=1,IF(N($Z945)&gt;0,"Concluída com atraso","Concluída"),IF($R945="Em programação","Em programação",IF($O945="",IF($M945="","Na carteira","Falta a semana"),IF($AC945=1,"VENCIDA",IF($O945&gt;Hoje!$L$1,"Programada",IF($P945&gt;Hoje!$L$1,"Em execução","Fecha hoje"))))))))</f>
        <v/>
      </c>
      <c r="C945" s="41"/>
      <c r="D945" s="42"/>
      <c r="E945" s="42"/>
      <c r="F945" s="42"/>
      <c r="G945" s="43"/>
      <c r="H945" s="43"/>
      <c r="I945" s="44"/>
      <c r="J945" s="44"/>
      <c r="K945" s="44"/>
      <c r="L945" s="45"/>
      <c r="M945" s="46"/>
      <c r="N945" s="45"/>
      <c r="O945" s="47" t="str">
        <f aca="false">IF(OR($L945="",$M945=""),"",(DATE(Semana!$J$3,1,4)-WEEKDAY(DATE(Semana!$J$3,1,4),3))+($L945-1)*7+MATCH($M945,Listas!$F$5:$F$11,0)-1)</f>
        <v/>
      </c>
      <c r="P945" s="47" t="str">
        <f aca="false">IF(OR($F945="",$O945=""),"",$O945+MAX(0,ROUNDUP($AK945*MAX(1,IF($N945="",1,$N945))/MAX(1,$AL945),0)-1))</f>
        <v/>
      </c>
      <c r="Q945" s="48"/>
      <c r="R945" s="43"/>
      <c r="S945" s="49"/>
      <c r="T945" s="42"/>
      <c r="U945" s="42"/>
      <c r="V945" s="39" t="str">
        <f aca="false">IF($F945="","",IF(ISNUMBER(SEARCH("(externo)",$I945&amp;$J945&amp;$K945)),"Terceirizada","Interna"))</f>
        <v/>
      </c>
      <c r="W945" s="47" t="str">
        <f aca="false">IF($O945="","",IF($S945="",$O945,(DATE(Semana!$J$3,1,4)-WEEKDAY(DATE(Semana!$J$3,1,4),3))+($S945-1)*7+IF($M945="",0,MATCH($M945,Listas!$F$5:$F$11,0)-1)))</f>
        <v/>
      </c>
      <c r="X945" s="39" t="str">
        <f aca="false">IF($F945="","",IF(OR($AT945="",$O945=""),0,IF($AT945&lt;=$O945,1,0)))</f>
        <v/>
      </c>
      <c r="Y945" s="39" t="str">
        <f aca="false">IF($F945="","",IF(OR($AT945="",$W945=""),0,IF($AT945&lt;=$W945,1,0)))</f>
        <v/>
      </c>
      <c r="Z945" s="39" t="str">
        <f aca="false">IF(OR($AT945="",$O945=""),"",MAX(0,$AT945-$O945))</f>
        <v/>
      </c>
      <c r="AA945" s="39" t="str">
        <f aca="false">IF($F945="","",IF(AND($S945&lt;&gt;"",$L945&lt;&gt;"",$S945&lt;&gt;$L945),1,0))</f>
        <v/>
      </c>
      <c r="AB945" s="39" t="str">
        <f aca="false">IF($F945="","",IF($R945="Cancelada",0,IF(OR($AT945&lt;&gt;"",$R945="Concluída"),1,0)))</f>
        <v/>
      </c>
      <c r="AC945" s="39" t="n">
        <f aca="false">IF($P945="",0,IF($P945&lt;Hoje!$L$1,1,IF(AND($P945=Hoje!$L$1,Hoje!$L$2&gt;Semana!$M$3),1,0)))</f>
        <v>0</v>
      </c>
      <c r="AD945" s="39" t="str">
        <f aca="false">IF($F945="","",IF(COUNTA($I945:$K945)=0,0,1/COUNTA($I945:$K945)))</f>
        <v/>
      </c>
      <c r="AE945" s="39" t="str">
        <f aca="false">IF($AH945=0,"",SUM($AH$4:$AH945))</f>
        <v/>
      </c>
      <c r="AF945" s="39" t="str">
        <f aca="false">IF($AI945=0,"",SUM($AI$4:$AI945))</f>
        <v/>
      </c>
      <c r="AG945" s="50" t="str">
        <f aca="false">IF($F945="","",$I945&amp;IF($J945="",""," · "&amp;$J945)&amp;IF($K945="",""," · "&amp;$K945))</f>
        <v/>
      </c>
      <c r="AH945" s="39" t="n">
        <f aca="false">IF(AND($F945&lt;&gt;"",$O945&lt;&gt;"",$O945&lt;=Hoje!$C$3,$P945&gt;=Hoje!$C$3,$R945&lt;&gt;"Cancelada"),1,0)</f>
        <v>0</v>
      </c>
      <c r="AI945" s="39" t="n">
        <f aca="false">IF(AND($F945&lt;&gt;"",$P945&lt;&gt;"",$P945&lt;Hoje!$C$3,$AB945=0,$R945&lt;&gt;"Cancelada"),1,0)</f>
        <v>0</v>
      </c>
      <c r="AJ945" s="50" t="str">
        <f aca="false">IF($F945="","",$D945&amp;"|"&amp;$E945&amp;"|"&amp;$L945)</f>
        <v/>
      </c>
      <c r="AK945" s="39" t="str">
        <f aca="false">IF($AJ945="","",COUNTIF($AJ$4:$AJ945,$AJ945))</f>
        <v/>
      </c>
      <c r="AL945" s="39" t="str">
        <f aca="false">IF($AJ945="","",COUNTIF($AJ$4:$AJ$1004,$AJ945))</f>
        <v/>
      </c>
      <c r="AM945" s="42"/>
      <c r="AN945" s="50" t="str">
        <f aca="false">IF($D945="","",IFERROR(T(VLOOKUP($D945,Listas!$B$5:$H$120,7,0)),""))</f>
        <v/>
      </c>
      <c r="AO945" s="50" t="str">
        <f aca="false">IF(OR($F945="",$L945&lt;&gt;"",$R945="Cancelada",$AT945&lt;&gt;""),"",$AN945&amp;"|"&amp;$D945&amp;"|"&amp;IF($C945="","zzz",$C945)&amp;"|"&amp;TEXT(945,"0000"))</f>
        <v/>
      </c>
      <c r="AP945" s="50" t="str">
        <f aca="false">IF($AO945="","",COUNTIF($AO$5:$AO$1004,"&lt;"&amp;$AO945)-(ROWS($AO$5:$AO$1004)-Hoje!$L$5)+1)</f>
        <v/>
      </c>
      <c r="AQ945" s="50" t="n">
        <f aca="false">IF(AND($F945&lt;&gt;"",$D945=Frota!$C$3),1,0)</f>
        <v>0</v>
      </c>
      <c r="AR945" s="50" t="str">
        <f aca="false">IF($AQ945=0,"",SUM($AQ$4:$AQ945))</f>
        <v/>
      </c>
      <c r="AS945" s="50" t="str">
        <f aca="false">IFERROR(INDEX(Hoje!$K$10:$K$29,MATCH(ROW(),Hoje!$J$10:$J$29,0)),"")</f>
        <v/>
      </c>
      <c r="AT945" s="50" t="str">
        <f aca="false">IF($Q945&lt;&gt;"",$Q945,$AS945)</f>
        <v/>
      </c>
    </row>
    <row r="946" customFormat="false" ht="16.5" hidden="false" customHeight="true" outlineLevel="0" collapsed="false">
      <c r="A946" s="39" t="str">
        <f aca="false">IF($F946="","",ROW())</f>
        <v/>
      </c>
      <c r="B946" s="40" t="str">
        <f aca="false">IF($F946="",IF($D946="","","Falta a atividade"),IF($R946="Cancelada","Cancelada",IF($AB946=1,IF(N($Z946)&gt;0,"Concluída com atraso","Concluída"),IF($R946="Em programação","Em programação",IF($O946="",IF($M946="","Na carteira","Falta a semana"),IF($AC946=1,"VENCIDA",IF($O946&gt;Hoje!$L$1,"Programada",IF($P946&gt;Hoje!$L$1,"Em execução","Fecha hoje"))))))))</f>
        <v/>
      </c>
      <c r="C946" s="41"/>
      <c r="D946" s="42"/>
      <c r="E946" s="42"/>
      <c r="F946" s="42"/>
      <c r="G946" s="43"/>
      <c r="H946" s="43"/>
      <c r="I946" s="44"/>
      <c r="J946" s="44"/>
      <c r="K946" s="44"/>
      <c r="L946" s="45"/>
      <c r="M946" s="46"/>
      <c r="N946" s="45"/>
      <c r="O946" s="47" t="str">
        <f aca="false">IF(OR($L946="",$M946=""),"",(DATE(Semana!$J$3,1,4)-WEEKDAY(DATE(Semana!$J$3,1,4),3))+($L946-1)*7+MATCH($M946,Listas!$F$5:$F$11,0)-1)</f>
        <v/>
      </c>
      <c r="P946" s="47" t="str">
        <f aca="false">IF(OR($F946="",$O946=""),"",$O946+MAX(0,ROUNDUP($AK946*MAX(1,IF($N946="",1,$N946))/MAX(1,$AL946),0)-1))</f>
        <v/>
      </c>
      <c r="Q946" s="48"/>
      <c r="R946" s="43"/>
      <c r="S946" s="49"/>
      <c r="T946" s="42"/>
      <c r="U946" s="42"/>
      <c r="V946" s="39" t="str">
        <f aca="false">IF($F946="","",IF(ISNUMBER(SEARCH("(externo)",$I946&amp;$J946&amp;$K946)),"Terceirizada","Interna"))</f>
        <v/>
      </c>
      <c r="W946" s="47" t="str">
        <f aca="false">IF($O946="","",IF($S946="",$O946,(DATE(Semana!$J$3,1,4)-WEEKDAY(DATE(Semana!$J$3,1,4),3))+($S946-1)*7+IF($M946="",0,MATCH($M946,Listas!$F$5:$F$11,0)-1)))</f>
        <v/>
      </c>
      <c r="X946" s="39" t="str">
        <f aca="false">IF($F946="","",IF(OR($AT946="",$O946=""),0,IF($AT946&lt;=$O946,1,0)))</f>
        <v/>
      </c>
      <c r="Y946" s="39" t="str">
        <f aca="false">IF($F946="","",IF(OR($AT946="",$W946=""),0,IF($AT946&lt;=$W946,1,0)))</f>
        <v/>
      </c>
      <c r="Z946" s="39" t="str">
        <f aca="false">IF(OR($AT946="",$O946=""),"",MAX(0,$AT946-$O946))</f>
        <v/>
      </c>
      <c r="AA946" s="39" t="str">
        <f aca="false">IF($F946="","",IF(AND($S946&lt;&gt;"",$L946&lt;&gt;"",$S946&lt;&gt;$L946),1,0))</f>
        <v/>
      </c>
      <c r="AB946" s="39" t="str">
        <f aca="false">IF($F946="","",IF($R946="Cancelada",0,IF(OR($AT946&lt;&gt;"",$R946="Concluída"),1,0)))</f>
        <v/>
      </c>
      <c r="AC946" s="39" t="n">
        <f aca="false">IF($P946="",0,IF($P946&lt;Hoje!$L$1,1,IF(AND($P946=Hoje!$L$1,Hoje!$L$2&gt;Semana!$M$3),1,0)))</f>
        <v>0</v>
      </c>
      <c r="AD946" s="39" t="str">
        <f aca="false">IF($F946="","",IF(COUNTA($I946:$K946)=0,0,1/COUNTA($I946:$K946)))</f>
        <v/>
      </c>
      <c r="AE946" s="39" t="str">
        <f aca="false">IF($AH946=0,"",SUM($AH$4:$AH946))</f>
        <v/>
      </c>
      <c r="AF946" s="39" t="str">
        <f aca="false">IF($AI946=0,"",SUM($AI$4:$AI946))</f>
        <v/>
      </c>
      <c r="AG946" s="50" t="str">
        <f aca="false">IF($F946="","",$I946&amp;IF($J946="",""," · "&amp;$J946)&amp;IF($K946="",""," · "&amp;$K946))</f>
        <v/>
      </c>
      <c r="AH946" s="39" t="n">
        <f aca="false">IF(AND($F946&lt;&gt;"",$O946&lt;&gt;"",$O946&lt;=Hoje!$C$3,$P946&gt;=Hoje!$C$3,$R946&lt;&gt;"Cancelada"),1,0)</f>
        <v>0</v>
      </c>
      <c r="AI946" s="39" t="n">
        <f aca="false">IF(AND($F946&lt;&gt;"",$P946&lt;&gt;"",$P946&lt;Hoje!$C$3,$AB946=0,$R946&lt;&gt;"Cancelada"),1,0)</f>
        <v>0</v>
      </c>
      <c r="AJ946" s="50" t="str">
        <f aca="false">IF($F946="","",$D946&amp;"|"&amp;$E946&amp;"|"&amp;$L946)</f>
        <v/>
      </c>
      <c r="AK946" s="39" t="str">
        <f aca="false">IF($AJ946="","",COUNTIF($AJ$4:$AJ946,$AJ946))</f>
        <v/>
      </c>
      <c r="AL946" s="39" t="str">
        <f aca="false">IF($AJ946="","",COUNTIF($AJ$4:$AJ$1004,$AJ946))</f>
        <v/>
      </c>
      <c r="AM946" s="42"/>
      <c r="AN946" s="50" t="str">
        <f aca="false">IF($D946="","",IFERROR(T(VLOOKUP($D946,Listas!$B$5:$H$120,7,0)),""))</f>
        <v/>
      </c>
      <c r="AO946" s="50" t="str">
        <f aca="false">IF(OR($F946="",$L946&lt;&gt;"",$R946="Cancelada",$AT946&lt;&gt;""),"",$AN946&amp;"|"&amp;$D946&amp;"|"&amp;IF($C946="","zzz",$C946)&amp;"|"&amp;TEXT(946,"0000"))</f>
        <v/>
      </c>
      <c r="AP946" s="50" t="str">
        <f aca="false">IF($AO946="","",COUNTIF($AO$5:$AO$1004,"&lt;"&amp;$AO946)-(ROWS($AO$5:$AO$1004)-Hoje!$L$5)+1)</f>
        <v/>
      </c>
      <c r="AQ946" s="50" t="n">
        <f aca="false">IF(AND($F946&lt;&gt;"",$D946=Frota!$C$3),1,0)</f>
        <v>0</v>
      </c>
      <c r="AR946" s="50" t="str">
        <f aca="false">IF($AQ946=0,"",SUM($AQ$4:$AQ946))</f>
        <v/>
      </c>
      <c r="AS946" s="50" t="str">
        <f aca="false">IFERROR(INDEX(Hoje!$K$10:$K$29,MATCH(ROW(),Hoje!$J$10:$J$29,0)),"")</f>
        <v/>
      </c>
      <c r="AT946" s="50" t="str">
        <f aca="false">IF($Q946&lt;&gt;"",$Q946,$AS946)</f>
        <v/>
      </c>
    </row>
    <row r="947" customFormat="false" ht="16.5" hidden="false" customHeight="true" outlineLevel="0" collapsed="false">
      <c r="A947" s="39" t="str">
        <f aca="false">IF($F947="","",ROW())</f>
        <v/>
      </c>
      <c r="B947" s="40" t="str">
        <f aca="false">IF($F947="",IF($D947="","","Falta a atividade"),IF($R947="Cancelada","Cancelada",IF($AB947=1,IF(N($Z947)&gt;0,"Concluída com atraso","Concluída"),IF($R947="Em programação","Em programação",IF($O947="",IF($M947="","Na carteira","Falta a semana"),IF($AC947=1,"VENCIDA",IF($O947&gt;Hoje!$L$1,"Programada",IF($P947&gt;Hoje!$L$1,"Em execução","Fecha hoje"))))))))</f>
        <v/>
      </c>
      <c r="C947" s="41"/>
      <c r="D947" s="42"/>
      <c r="E947" s="42"/>
      <c r="F947" s="42"/>
      <c r="G947" s="43"/>
      <c r="H947" s="43"/>
      <c r="I947" s="44"/>
      <c r="J947" s="44"/>
      <c r="K947" s="44"/>
      <c r="L947" s="45"/>
      <c r="M947" s="46"/>
      <c r="N947" s="45"/>
      <c r="O947" s="47" t="str">
        <f aca="false">IF(OR($L947="",$M947=""),"",(DATE(Semana!$J$3,1,4)-WEEKDAY(DATE(Semana!$J$3,1,4),3))+($L947-1)*7+MATCH($M947,Listas!$F$5:$F$11,0)-1)</f>
        <v/>
      </c>
      <c r="P947" s="47" t="str">
        <f aca="false">IF(OR($F947="",$O947=""),"",$O947+MAX(0,ROUNDUP($AK947*MAX(1,IF($N947="",1,$N947))/MAX(1,$AL947),0)-1))</f>
        <v/>
      </c>
      <c r="Q947" s="48"/>
      <c r="R947" s="43"/>
      <c r="S947" s="49"/>
      <c r="T947" s="42"/>
      <c r="U947" s="42"/>
      <c r="V947" s="39" t="str">
        <f aca="false">IF($F947="","",IF(ISNUMBER(SEARCH("(externo)",$I947&amp;$J947&amp;$K947)),"Terceirizada","Interna"))</f>
        <v/>
      </c>
      <c r="W947" s="47" t="str">
        <f aca="false">IF($O947="","",IF($S947="",$O947,(DATE(Semana!$J$3,1,4)-WEEKDAY(DATE(Semana!$J$3,1,4),3))+($S947-1)*7+IF($M947="",0,MATCH($M947,Listas!$F$5:$F$11,0)-1)))</f>
        <v/>
      </c>
      <c r="X947" s="39" t="str">
        <f aca="false">IF($F947="","",IF(OR($AT947="",$O947=""),0,IF($AT947&lt;=$O947,1,0)))</f>
        <v/>
      </c>
      <c r="Y947" s="39" t="str">
        <f aca="false">IF($F947="","",IF(OR($AT947="",$W947=""),0,IF($AT947&lt;=$W947,1,0)))</f>
        <v/>
      </c>
      <c r="Z947" s="39" t="str">
        <f aca="false">IF(OR($AT947="",$O947=""),"",MAX(0,$AT947-$O947))</f>
        <v/>
      </c>
      <c r="AA947" s="39" t="str">
        <f aca="false">IF($F947="","",IF(AND($S947&lt;&gt;"",$L947&lt;&gt;"",$S947&lt;&gt;$L947),1,0))</f>
        <v/>
      </c>
      <c r="AB947" s="39" t="str">
        <f aca="false">IF($F947="","",IF($R947="Cancelada",0,IF(OR($AT947&lt;&gt;"",$R947="Concluída"),1,0)))</f>
        <v/>
      </c>
      <c r="AC947" s="39" t="n">
        <f aca="false">IF($P947="",0,IF($P947&lt;Hoje!$L$1,1,IF(AND($P947=Hoje!$L$1,Hoje!$L$2&gt;Semana!$M$3),1,0)))</f>
        <v>0</v>
      </c>
      <c r="AD947" s="39" t="str">
        <f aca="false">IF($F947="","",IF(COUNTA($I947:$K947)=0,0,1/COUNTA($I947:$K947)))</f>
        <v/>
      </c>
      <c r="AE947" s="39" t="str">
        <f aca="false">IF($AH947=0,"",SUM($AH$4:$AH947))</f>
        <v/>
      </c>
      <c r="AF947" s="39" t="str">
        <f aca="false">IF($AI947=0,"",SUM($AI$4:$AI947))</f>
        <v/>
      </c>
      <c r="AG947" s="50" t="str">
        <f aca="false">IF($F947="","",$I947&amp;IF($J947="",""," · "&amp;$J947)&amp;IF($K947="",""," · "&amp;$K947))</f>
        <v/>
      </c>
      <c r="AH947" s="39" t="n">
        <f aca="false">IF(AND($F947&lt;&gt;"",$O947&lt;&gt;"",$O947&lt;=Hoje!$C$3,$P947&gt;=Hoje!$C$3,$R947&lt;&gt;"Cancelada"),1,0)</f>
        <v>0</v>
      </c>
      <c r="AI947" s="39" t="n">
        <f aca="false">IF(AND($F947&lt;&gt;"",$P947&lt;&gt;"",$P947&lt;Hoje!$C$3,$AB947=0,$R947&lt;&gt;"Cancelada"),1,0)</f>
        <v>0</v>
      </c>
      <c r="AJ947" s="50" t="str">
        <f aca="false">IF($F947="","",$D947&amp;"|"&amp;$E947&amp;"|"&amp;$L947)</f>
        <v/>
      </c>
      <c r="AK947" s="39" t="str">
        <f aca="false">IF($AJ947="","",COUNTIF($AJ$4:$AJ947,$AJ947))</f>
        <v/>
      </c>
      <c r="AL947" s="39" t="str">
        <f aca="false">IF($AJ947="","",COUNTIF($AJ$4:$AJ$1004,$AJ947))</f>
        <v/>
      </c>
      <c r="AM947" s="42"/>
      <c r="AN947" s="50" t="str">
        <f aca="false">IF($D947="","",IFERROR(T(VLOOKUP($D947,Listas!$B$5:$H$120,7,0)),""))</f>
        <v/>
      </c>
      <c r="AO947" s="50" t="str">
        <f aca="false">IF(OR($F947="",$L947&lt;&gt;"",$R947="Cancelada",$AT947&lt;&gt;""),"",$AN947&amp;"|"&amp;$D947&amp;"|"&amp;IF($C947="","zzz",$C947)&amp;"|"&amp;TEXT(947,"0000"))</f>
        <v/>
      </c>
      <c r="AP947" s="50" t="str">
        <f aca="false">IF($AO947="","",COUNTIF($AO$5:$AO$1004,"&lt;"&amp;$AO947)-(ROWS($AO$5:$AO$1004)-Hoje!$L$5)+1)</f>
        <v/>
      </c>
      <c r="AQ947" s="50" t="n">
        <f aca="false">IF(AND($F947&lt;&gt;"",$D947=Frota!$C$3),1,0)</f>
        <v>0</v>
      </c>
      <c r="AR947" s="50" t="str">
        <f aca="false">IF($AQ947=0,"",SUM($AQ$4:$AQ947))</f>
        <v/>
      </c>
      <c r="AS947" s="50" t="str">
        <f aca="false">IFERROR(INDEX(Hoje!$K$10:$K$29,MATCH(ROW(),Hoje!$J$10:$J$29,0)),"")</f>
        <v/>
      </c>
      <c r="AT947" s="50" t="str">
        <f aca="false">IF($Q947&lt;&gt;"",$Q947,$AS947)</f>
        <v/>
      </c>
    </row>
    <row r="948" customFormat="false" ht="16.5" hidden="false" customHeight="true" outlineLevel="0" collapsed="false">
      <c r="A948" s="39" t="str">
        <f aca="false">IF($F948="","",ROW())</f>
        <v/>
      </c>
      <c r="B948" s="40" t="str">
        <f aca="false">IF($F948="",IF($D948="","","Falta a atividade"),IF($R948="Cancelada","Cancelada",IF($AB948=1,IF(N($Z948)&gt;0,"Concluída com atraso","Concluída"),IF($R948="Em programação","Em programação",IF($O948="",IF($M948="","Na carteira","Falta a semana"),IF($AC948=1,"VENCIDA",IF($O948&gt;Hoje!$L$1,"Programada",IF($P948&gt;Hoje!$L$1,"Em execução","Fecha hoje"))))))))</f>
        <v/>
      </c>
      <c r="C948" s="41"/>
      <c r="D948" s="42"/>
      <c r="E948" s="42"/>
      <c r="F948" s="42"/>
      <c r="G948" s="43"/>
      <c r="H948" s="43"/>
      <c r="I948" s="44"/>
      <c r="J948" s="44"/>
      <c r="K948" s="44"/>
      <c r="L948" s="45"/>
      <c r="M948" s="46"/>
      <c r="N948" s="45"/>
      <c r="O948" s="47" t="str">
        <f aca="false">IF(OR($L948="",$M948=""),"",(DATE(Semana!$J$3,1,4)-WEEKDAY(DATE(Semana!$J$3,1,4),3))+($L948-1)*7+MATCH($M948,Listas!$F$5:$F$11,0)-1)</f>
        <v/>
      </c>
      <c r="P948" s="47" t="str">
        <f aca="false">IF(OR($F948="",$O948=""),"",$O948+MAX(0,ROUNDUP($AK948*MAX(1,IF($N948="",1,$N948))/MAX(1,$AL948),0)-1))</f>
        <v/>
      </c>
      <c r="Q948" s="48"/>
      <c r="R948" s="43"/>
      <c r="S948" s="49"/>
      <c r="T948" s="42"/>
      <c r="U948" s="42"/>
      <c r="V948" s="39" t="str">
        <f aca="false">IF($F948="","",IF(ISNUMBER(SEARCH("(externo)",$I948&amp;$J948&amp;$K948)),"Terceirizada","Interna"))</f>
        <v/>
      </c>
      <c r="W948" s="47" t="str">
        <f aca="false">IF($O948="","",IF($S948="",$O948,(DATE(Semana!$J$3,1,4)-WEEKDAY(DATE(Semana!$J$3,1,4),3))+($S948-1)*7+IF($M948="",0,MATCH($M948,Listas!$F$5:$F$11,0)-1)))</f>
        <v/>
      </c>
      <c r="X948" s="39" t="str">
        <f aca="false">IF($F948="","",IF(OR($AT948="",$O948=""),0,IF($AT948&lt;=$O948,1,0)))</f>
        <v/>
      </c>
      <c r="Y948" s="39" t="str">
        <f aca="false">IF($F948="","",IF(OR($AT948="",$W948=""),0,IF($AT948&lt;=$W948,1,0)))</f>
        <v/>
      </c>
      <c r="Z948" s="39" t="str">
        <f aca="false">IF(OR($AT948="",$O948=""),"",MAX(0,$AT948-$O948))</f>
        <v/>
      </c>
      <c r="AA948" s="39" t="str">
        <f aca="false">IF($F948="","",IF(AND($S948&lt;&gt;"",$L948&lt;&gt;"",$S948&lt;&gt;$L948),1,0))</f>
        <v/>
      </c>
      <c r="AB948" s="39" t="str">
        <f aca="false">IF($F948="","",IF($R948="Cancelada",0,IF(OR($AT948&lt;&gt;"",$R948="Concluída"),1,0)))</f>
        <v/>
      </c>
      <c r="AC948" s="39" t="n">
        <f aca="false">IF($P948="",0,IF($P948&lt;Hoje!$L$1,1,IF(AND($P948=Hoje!$L$1,Hoje!$L$2&gt;Semana!$M$3),1,0)))</f>
        <v>0</v>
      </c>
      <c r="AD948" s="39" t="str">
        <f aca="false">IF($F948="","",IF(COUNTA($I948:$K948)=0,0,1/COUNTA($I948:$K948)))</f>
        <v/>
      </c>
      <c r="AE948" s="39" t="str">
        <f aca="false">IF($AH948=0,"",SUM($AH$4:$AH948))</f>
        <v/>
      </c>
      <c r="AF948" s="39" t="str">
        <f aca="false">IF($AI948=0,"",SUM($AI$4:$AI948))</f>
        <v/>
      </c>
      <c r="AG948" s="50" t="str">
        <f aca="false">IF($F948="","",$I948&amp;IF($J948="",""," · "&amp;$J948)&amp;IF($K948="",""," · "&amp;$K948))</f>
        <v/>
      </c>
      <c r="AH948" s="39" t="n">
        <f aca="false">IF(AND($F948&lt;&gt;"",$O948&lt;&gt;"",$O948&lt;=Hoje!$C$3,$P948&gt;=Hoje!$C$3,$R948&lt;&gt;"Cancelada"),1,0)</f>
        <v>0</v>
      </c>
      <c r="AI948" s="39" t="n">
        <f aca="false">IF(AND($F948&lt;&gt;"",$P948&lt;&gt;"",$P948&lt;Hoje!$C$3,$AB948=0,$R948&lt;&gt;"Cancelada"),1,0)</f>
        <v>0</v>
      </c>
      <c r="AJ948" s="50" t="str">
        <f aca="false">IF($F948="","",$D948&amp;"|"&amp;$E948&amp;"|"&amp;$L948)</f>
        <v/>
      </c>
      <c r="AK948" s="39" t="str">
        <f aca="false">IF($AJ948="","",COUNTIF($AJ$4:$AJ948,$AJ948))</f>
        <v/>
      </c>
      <c r="AL948" s="39" t="str">
        <f aca="false">IF($AJ948="","",COUNTIF($AJ$4:$AJ$1004,$AJ948))</f>
        <v/>
      </c>
      <c r="AM948" s="42"/>
      <c r="AN948" s="50" t="str">
        <f aca="false">IF($D948="","",IFERROR(T(VLOOKUP($D948,Listas!$B$5:$H$120,7,0)),""))</f>
        <v/>
      </c>
      <c r="AO948" s="50" t="str">
        <f aca="false">IF(OR($F948="",$L948&lt;&gt;"",$R948="Cancelada",$AT948&lt;&gt;""),"",$AN948&amp;"|"&amp;$D948&amp;"|"&amp;IF($C948="","zzz",$C948)&amp;"|"&amp;TEXT(948,"0000"))</f>
        <v/>
      </c>
      <c r="AP948" s="50" t="str">
        <f aca="false">IF($AO948="","",COUNTIF($AO$5:$AO$1004,"&lt;"&amp;$AO948)-(ROWS($AO$5:$AO$1004)-Hoje!$L$5)+1)</f>
        <v/>
      </c>
      <c r="AQ948" s="50" t="n">
        <f aca="false">IF(AND($F948&lt;&gt;"",$D948=Frota!$C$3),1,0)</f>
        <v>0</v>
      </c>
      <c r="AR948" s="50" t="str">
        <f aca="false">IF($AQ948=0,"",SUM($AQ$4:$AQ948))</f>
        <v/>
      </c>
      <c r="AS948" s="50" t="str">
        <f aca="false">IFERROR(INDEX(Hoje!$K$10:$K$29,MATCH(ROW(),Hoje!$J$10:$J$29,0)),"")</f>
        <v/>
      </c>
      <c r="AT948" s="50" t="str">
        <f aca="false">IF($Q948&lt;&gt;"",$Q948,$AS948)</f>
        <v/>
      </c>
    </row>
    <row r="949" customFormat="false" ht="16.5" hidden="false" customHeight="true" outlineLevel="0" collapsed="false">
      <c r="A949" s="39" t="str">
        <f aca="false">IF($F949="","",ROW())</f>
        <v/>
      </c>
      <c r="B949" s="40" t="str">
        <f aca="false">IF($F949="",IF($D949="","","Falta a atividade"),IF($R949="Cancelada","Cancelada",IF($AB949=1,IF(N($Z949)&gt;0,"Concluída com atraso","Concluída"),IF($R949="Em programação","Em programação",IF($O949="",IF($M949="","Na carteira","Falta a semana"),IF($AC949=1,"VENCIDA",IF($O949&gt;Hoje!$L$1,"Programada",IF($P949&gt;Hoje!$L$1,"Em execução","Fecha hoje"))))))))</f>
        <v/>
      </c>
      <c r="C949" s="41"/>
      <c r="D949" s="42"/>
      <c r="E949" s="42"/>
      <c r="F949" s="42"/>
      <c r="G949" s="43"/>
      <c r="H949" s="43"/>
      <c r="I949" s="44"/>
      <c r="J949" s="44"/>
      <c r="K949" s="44"/>
      <c r="L949" s="45"/>
      <c r="M949" s="46"/>
      <c r="N949" s="45"/>
      <c r="O949" s="47" t="str">
        <f aca="false">IF(OR($L949="",$M949=""),"",(DATE(Semana!$J$3,1,4)-WEEKDAY(DATE(Semana!$J$3,1,4),3))+($L949-1)*7+MATCH($M949,Listas!$F$5:$F$11,0)-1)</f>
        <v/>
      </c>
      <c r="P949" s="47" t="str">
        <f aca="false">IF(OR($F949="",$O949=""),"",$O949+MAX(0,ROUNDUP($AK949*MAX(1,IF($N949="",1,$N949))/MAX(1,$AL949),0)-1))</f>
        <v/>
      </c>
      <c r="Q949" s="48"/>
      <c r="R949" s="43"/>
      <c r="S949" s="49"/>
      <c r="T949" s="42"/>
      <c r="U949" s="42"/>
      <c r="V949" s="39" t="str">
        <f aca="false">IF($F949="","",IF(ISNUMBER(SEARCH("(externo)",$I949&amp;$J949&amp;$K949)),"Terceirizada","Interna"))</f>
        <v/>
      </c>
      <c r="W949" s="47" t="str">
        <f aca="false">IF($O949="","",IF($S949="",$O949,(DATE(Semana!$J$3,1,4)-WEEKDAY(DATE(Semana!$J$3,1,4),3))+($S949-1)*7+IF($M949="",0,MATCH($M949,Listas!$F$5:$F$11,0)-1)))</f>
        <v/>
      </c>
      <c r="X949" s="39" t="str">
        <f aca="false">IF($F949="","",IF(OR($AT949="",$O949=""),0,IF($AT949&lt;=$O949,1,0)))</f>
        <v/>
      </c>
      <c r="Y949" s="39" t="str">
        <f aca="false">IF($F949="","",IF(OR($AT949="",$W949=""),0,IF($AT949&lt;=$W949,1,0)))</f>
        <v/>
      </c>
      <c r="Z949" s="39" t="str">
        <f aca="false">IF(OR($AT949="",$O949=""),"",MAX(0,$AT949-$O949))</f>
        <v/>
      </c>
      <c r="AA949" s="39" t="str">
        <f aca="false">IF($F949="","",IF(AND($S949&lt;&gt;"",$L949&lt;&gt;"",$S949&lt;&gt;$L949),1,0))</f>
        <v/>
      </c>
      <c r="AB949" s="39" t="str">
        <f aca="false">IF($F949="","",IF($R949="Cancelada",0,IF(OR($AT949&lt;&gt;"",$R949="Concluída"),1,0)))</f>
        <v/>
      </c>
      <c r="AC949" s="39" t="n">
        <f aca="false">IF($P949="",0,IF($P949&lt;Hoje!$L$1,1,IF(AND($P949=Hoje!$L$1,Hoje!$L$2&gt;Semana!$M$3),1,0)))</f>
        <v>0</v>
      </c>
      <c r="AD949" s="39" t="str">
        <f aca="false">IF($F949="","",IF(COUNTA($I949:$K949)=0,0,1/COUNTA($I949:$K949)))</f>
        <v/>
      </c>
      <c r="AE949" s="39" t="str">
        <f aca="false">IF($AH949=0,"",SUM($AH$4:$AH949))</f>
        <v/>
      </c>
      <c r="AF949" s="39" t="str">
        <f aca="false">IF($AI949=0,"",SUM($AI$4:$AI949))</f>
        <v/>
      </c>
      <c r="AG949" s="50" t="str">
        <f aca="false">IF($F949="","",$I949&amp;IF($J949="",""," · "&amp;$J949)&amp;IF($K949="",""," · "&amp;$K949))</f>
        <v/>
      </c>
      <c r="AH949" s="39" t="n">
        <f aca="false">IF(AND($F949&lt;&gt;"",$O949&lt;&gt;"",$O949&lt;=Hoje!$C$3,$P949&gt;=Hoje!$C$3,$R949&lt;&gt;"Cancelada"),1,0)</f>
        <v>0</v>
      </c>
      <c r="AI949" s="39" t="n">
        <f aca="false">IF(AND($F949&lt;&gt;"",$P949&lt;&gt;"",$P949&lt;Hoje!$C$3,$AB949=0,$R949&lt;&gt;"Cancelada"),1,0)</f>
        <v>0</v>
      </c>
      <c r="AJ949" s="50" t="str">
        <f aca="false">IF($F949="","",$D949&amp;"|"&amp;$E949&amp;"|"&amp;$L949)</f>
        <v/>
      </c>
      <c r="AK949" s="39" t="str">
        <f aca="false">IF($AJ949="","",COUNTIF($AJ$4:$AJ949,$AJ949))</f>
        <v/>
      </c>
      <c r="AL949" s="39" t="str">
        <f aca="false">IF($AJ949="","",COUNTIF($AJ$4:$AJ$1004,$AJ949))</f>
        <v/>
      </c>
      <c r="AM949" s="42"/>
      <c r="AN949" s="50" t="str">
        <f aca="false">IF($D949="","",IFERROR(T(VLOOKUP($D949,Listas!$B$5:$H$120,7,0)),""))</f>
        <v/>
      </c>
      <c r="AO949" s="50" t="str">
        <f aca="false">IF(OR($F949="",$L949&lt;&gt;"",$R949="Cancelada",$AT949&lt;&gt;""),"",$AN949&amp;"|"&amp;$D949&amp;"|"&amp;IF($C949="","zzz",$C949)&amp;"|"&amp;TEXT(949,"0000"))</f>
        <v/>
      </c>
      <c r="AP949" s="50" t="str">
        <f aca="false">IF($AO949="","",COUNTIF($AO$5:$AO$1004,"&lt;"&amp;$AO949)-(ROWS($AO$5:$AO$1004)-Hoje!$L$5)+1)</f>
        <v/>
      </c>
      <c r="AQ949" s="50" t="n">
        <f aca="false">IF(AND($F949&lt;&gt;"",$D949=Frota!$C$3),1,0)</f>
        <v>0</v>
      </c>
      <c r="AR949" s="50" t="str">
        <f aca="false">IF($AQ949=0,"",SUM($AQ$4:$AQ949))</f>
        <v/>
      </c>
      <c r="AS949" s="50" t="str">
        <f aca="false">IFERROR(INDEX(Hoje!$K$10:$K$29,MATCH(ROW(),Hoje!$J$10:$J$29,0)),"")</f>
        <v/>
      </c>
      <c r="AT949" s="50" t="str">
        <f aca="false">IF($Q949&lt;&gt;"",$Q949,$AS949)</f>
        <v/>
      </c>
    </row>
    <row r="950" customFormat="false" ht="16.5" hidden="false" customHeight="true" outlineLevel="0" collapsed="false">
      <c r="A950" s="39" t="str">
        <f aca="false">IF($F950="","",ROW())</f>
        <v/>
      </c>
      <c r="B950" s="40" t="str">
        <f aca="false">IF($F950="",IF($D950="","","Falta a atividade"),IF($R950="Cancelada","Cancelada",IF($AB950=1,IF(N($Z950)&gt;0,"Concluída com atraso","Concluída"),IF($R950="Em programação","Em programação",IF($O950="",IF($M950="","Na carteira","Falta a semana"),IF($AC950=1,"VENCIDA",IF($O950&gt;Hoje!$L$1,"Programada",IF($P950&gt;Hoje!$L$1,"Em execução","Fecha hoje"))))))))</f>
        <v/>
      </c>
      <c r="C950" s="41"/>
      <c r="D950" s="42"/>
      <c r="E950" s="42"/>
      <c r="F950" s="42"/>
      <c r="G950" s="43"/>
      <c r="H950" s="43"/>
      <c r="I950" s="44"/>
      <c r="J950" s="44"/>
      <c r="K950" s="44"/>
      <c r="L950" s="45"/>
      <c r="M950" s="46"/>
      <c r="N950" s="45"/>
      <c r="O950" s="47" t="str">
        <f aca="false">IF(OR($L950="",$M950=""),"",(DATE(Semana!$J$3,1,4)-WEEKDAY(DATE(Semana!$J$3,1,4),3))+($L950-1)*7+MATCH($M950,Listas!$F$5:$F$11,0)-1)</f>
        <v/>
      </c>
      <c r="P950" s="47" t="str">
        <f aca="false">IF(OR($F950="",$O950=""),"",$O950+MAX(0,ROUNDUP($AK950*MAX(1,IF($N950="",1,$N950))/MAX(1,$AL950),0)-1))</f>
        <v/>
      </c>
      <c r="Q950" s="48"/>
      <c r="R950" s="43"/>
      <c r="S950" s="49"/>
      <c r="T950" s="42"/>
      <c r="U950" s="42"/>
      <c r="V950" s="39" t="str">
        <f aca="false">IF($F950="","",IF(ISNUMBER(SEARCH("(externo)",$I950&amp;$J950&amp;$K950)),"Terceirizada","Interna"))</f>
        <v/>
      </c>
      <c r="W950" s="47" t="str">
        <f aca="false">IF($O950="","",IF($S950="",$O950,(DATE(Semana!$J$3,1,4)-WEEKDAY(DATE(Semana!$J$3,1,4),3))+($S950-1)*7+IF($M950="",0,MATCH($M950,Listas!$F$5:$F$11,0)-1)))</f>
        <v/>
      </c>
      <c r="X950" s="39" t="str">
        <f aca="false">IF($F950="","",IF(OR($AT950="",$O950=""),0,IF($AT950&lt;=$O950,1,0)))</f>
        <v/>
      </c>
      <c r="Y950" s="39" t="str">
        <f aca="false">IF($F950="","",IF(OR($AT950="",$W950=""),0,IF($AT950&lt;=$W950,1,0)))</f>
        <v/>
      </c>
      <c r="Z950" s="39" t="str">
        <f aca="false">IF(OR($AT950="",$O950=""),"",MAX(0,$AT950-$O950))</f>
        <v/>
      </c>
      <c r="AA950" s="39" t="str">
        <f aca="false">IF($F950="","",IF(AND($S950&lt;&gt;"",$L950&lt;&gt;"",$S950&lt;&gt;$L950),1,0))</f>
        <v/>
      </c>
      <c r="AB950" s="39" t="str">
        <f aca="false">IF($F950="","",IF($R950="Cancelada",0,IF(OR($AT950&lt;&gt;"",$R950="Concluída"),1,0)))</f>
        <v/>
      </c>
      <c r="AC950" s="39" t="n">
        <f aca="false">IF($P950="",0,IF($P950&lt;Hoje!$L$1,1,IF(AND($P950=Hoje!$L$1,Hoje!$L$2&gt;Semana!$M$3),1,0)))</f>
        <v>0</v>
      </c>
      <c r="AD950" s="39" t="str">
        <f aca="false">IF($F950="","",IF(COUNTA($I950:$K950)=0,0,1/COUNTA($I950:$K950)))</f>
        <v/>
      </c>
      <c r="AE950" s="39" t="str">
        <f aca="false">IF($AH950=0,"",SUM($AH$4:$AH950))</f>
        <v/>
      </c>
      <c r="AF950" s="39" t="str">
        <f aca="false">IF($AI950=0,"",SUM($AI$4:$AI950))</f>
        <v/>
      </c>
      <c r="AG950" s="50" t="str">
        <f aca="false">IF($F950="","",$I950&amp;IF($J950="",""," · "&amp;$J950)&amp;IF($K950="",""," · "&amp;$K950))</f>
        <v/>
      </c>
      <c r="AH950" s="39" t="n">
        <f aca="false">IF(AND($F950&lt;&gt;"",$O950&lt;&gt;"",$O950&lt;=Hoje!$C$3,$P950&gt;=Hoje!$C$3,$R950&lt;&gt;"Cancelada"),1,0)</f>
        <v>0</v>
      </c>
      <c r="AI950" s="39" t="n">
        <f aca="false">IF(AND($F950&lt;&gt;"",$P950&lt;&gt;"",$P950&lt;Hoje!$C$3,$AB950=0,$R950&lt;&gt;"Cancelada"),1,0)</f>
        <v>0</v>
      </c>
      <c r="AJ950" s="50" t="str">
        <f aca="false">IF($F950="","",$D950&amp;"|"&amp;$E950&amp;"|"&amp;$L950)</f>
        <v/>
      </c>
      <c r="AK950" s="39" t="str">
        <f aca="false">IF($AJ950="","",COUNTIF($AJ$4:$AJ950,$AJ950))</f>
        <v/>
      </c>
      <c r="AL950" s="39" t="str">
        <f aca="false">IF($AJ950="","",COUNTIF($AJ$4:$AJ$1004,$AJ950))</f>
        <v/>
      </c>
      <c r="AM950" s="42"/>
      <c r="AN950" s="50" t="str">
        <f aca="false">IF($D950="","",IFERROR(T(VLOOKUP($D950,Listas!$B$5:$H$120,7,0)),""))</f>
        <v/>
      </c>
      <c r="AO950" s="50" t="str">
        <f aca="false">IF(OR($F950="",$L950&lt;&gt;"",$R950="Cancelada",$AT950&lt;&gt;""),"",$AN950&amp;"|"&amp;$D950&amp;"|"&amp;IF($C950="","zzz",$C950)&amp;"|"&amp;TEXT(950,"0000"))</f>
        <v/>
      </c>
      <c r="AP950" s="50" t="str">
        <f aca="false">IF($AO950="","",COUNTIF($AO$5:$AO$1004,"&lt;"&amp;$AO950)-(ROWS($AO$5:$AO$1004)-Hoje!$L$5)+1)</f>
        <v/>
      </c>
      <c r="AQ950" s="50" t="n">
        <f aca="false">IF(AND($F950&lt;&gt;"",$D950=Frota!$C$3),1,0)</f>
        <v>0</v>
      </c>
      <c r="AR950" s="50" t="str">
        <f aca="false">IF($AQ950=0,"",SUM($AQ$4:$AQ950))</f>
        <v/>
      </c>
      <c r="AS950" s="50" t="str">
        <f aca="false">IFERROR(INDEX(Hoje!$K$10:$K$29,MATCH(ROW(),Hoje!$J$10:$J$29,0)),"")</f>
        <v/>
      </c>
      <c r="AT950" s="50" t="str">
        <f aca="false">IF($Q950&lt;&gt;"",$Q950,$AS950)</f>
        <v/>
      </c>
    </row>
    <row r="951" customFormat="false" ht="16.5" hidden="false" customHeight="true" outlineLevel="0" collapsed="false">
      <c r="A951" s="39" t="str">
        <f aca="false">IF($F951="","",ROW())</f>
        <v/>
      </c>
      <c r="B951" s="40" t="str">
        <f aca="false">IF($F951="",IF($D951="","","Falta a atividade"),IF($R951="Cancelada","Cancelada",IF($AB951=1,IF(N($Z951)&gt;0,"Concluída com atraso","Concluída"),IF($R951="Em programação","Em programação",IF($O951="",IF($M951="","Na carteira","Falta a semana"),IF($AC951=1,"VENCIDA",IF($O951&gt;Hoje!$L$1,"Programada",IF($P951&gt;Hoje!$L$1,"Em execução","Fecha hoje"))))))))</f>
        <v/>
      </c>
      <c r="C951" s="41"/>
      <c r="D951" s="42"/>
      <c r="E951" s="42"/>
      <c r="F951" s="42"/>
      <c r="G951" s="43"/>
      <c r="H951" s="43"/>
      <c r="I951" s="44"/>
      <c r="J951" s="44"/>
      <c r="K951" s="44"/>
      <c r="L951" s="45"/>
      <c r="M951" s="46"/>
      <c r="N951" s="45"/>
      <c r="O951" s="47" t="str">
        <f aca="false">IF(OR($L951="",$M951=""),"",(DATE(Semana!$J$3,1,4)-WEEKDAY(DATE(Semana!$J$3,1,4),3))+($L951-1)*7+MATCH($M951,Listas!$F$5:$F$11,0)-1)</f>
        <v/>
      </c>
      <c r="P951" s="47" t="str">
        <f aca="false">IF(OR($F951="",$O951=""),"",$O951+MAX(0,ROUNDUP($AK951*MAX(1,IF($N951="",1,$N951))/MAX(1,$AL951),0)-1))</f>
        <v/>
      </c>
      <c r="Q951" s="48"/>
      <c r="R951" s="43"/>
      <c r="S951" s="49"/>
      <c r="T951" s="42"/>
      <c r="U951" s="42"/>
      <c r="V951" s="39" t="str">
        <f aca="false">IF($F951="","",IF(ISNUMBER(SEARCH("(externo)",$I951&amp;$J951&amp;$K951)),"Terceirizada","Interna"))</f>
        <v/>
      </c>
      <c r="W951" s="47" t="str">
        <f aca="false">IF($O951="","",IF($S951="",$O951,(DATE(Semana!$J$3,1,4)-WEEKDAY(DATE(Semana!$J$3,1,4),3))+($S951-1)*7+IF($M951="",0,MATCH($M951,Listas!$F$5:$F$11,0)-1)))</f>
        <v/>
      </c>
      <c r="X951" s="39" t="str">
        <f aca="false">IF($F951="","",IF(OR($AT951="",$O951=""),0,IF($AT951&lt;=$O951,1,0)))</f>
        <v/>
      </c>
      <c r="Y951" s="39" t="str">
        <f aca="false">IF($F951="","",IF(OR($AT951="",$W951=""),0,IF($AT951&lt;=$W951,1,0)))</f>
        <v/>
      </c>
      <c r="Z951" s="39" t="str">
        <f aca="false">IF(OR($AT951="",$O951=""),"",MAX(0,$AT951-$O951))</f>
        <v/>
      </c>
      <c r="AA951" s="39" t="str">
        <f aca="false">IF($F951="","",IF(AND($S951&lt;&gt;"",$L951&lt;&gt;"",$S951&lt;&gt;$L951),1,0))</f>
        <v/>
      </c>
      <c r="AB951" s="39" t="str">
        <f aca="false">IF($F951="","",IF($R951="Cancelada",0,IF(OR($AT951&lt;&gt;"",$R951="Concluída"),1,0)))</f>
        <v/>
      </c>
      <c r="AC951" s="39" t="n">
        <f aca="false">IF($P951="",0,IF($P951&lt;Hoje!$L$1,1,IF(AND($P951=Hoje!$L$1,Hoje!$L$2&gt;Semana!$M$3),1,0)))</f>
        <v>0</v>
      </c>
      <c r="AD951" s="39" t="str">
        <f aca="false">IF($F951="","",IF(COUNTA($I951:$K951)=0,0,1/COUNTA($I951:$K951)))</f>
        <v/>
      </c>
      <c r="AE951" s="39" t="str">
        <f aca="false">IF($AH951=0,"",SUM($AH$4:$AH951))</f>
        <v/>
      </c>
      <c r="AF951" s="39" t="str">
        <f aca="false">IF($AI951=0,"",SUM($AI$4:$AI951))</f>
        <v/>
      </c>
      <c r="AG951" s="50" t="str">
        <f aca="false">IF($F951="","",$I951&amp;IF($J951="",""," · "&amp;$J951)&amp;IF($K951="",""," · "&amp;$K951))</f>
        <v/>
      </c>
      <c r="AH951" s="39" t="n">
        <f aca="false">IF(AND($F951&lt;&gt;"",$O951&lt;&gt;"",$O951&lt;=Hoje!$C$3,$P951&gt;=Hoje!$C$3,$R951&lt;&gt;"Cancelada"),1,0)</f>
        <v>0</v>
      </c>
      <c r="AI951" s="39" t="n">
        <f aca="false">IF(AND($F951&lt;&gt;"",$P951&lt;&gt;"",$P951&lt;Hoje!$C$3,$AB951=0,$R951&lt;&gt;"Cancelada"),1,0)</f>
        <v>0</v>
      </c>
      <c r="AJ951" s="50" t="str">
        <f aca="false">IF($F951="","",$D951&amp;"|"&amp;$E951&amp;"|"&amp;$L951)</f>
        <v/>
      </c>
      <c r="AK951" s="39" t="str">
        <f aca="false">IF($AJ951="","",COUNTIF($AJ$4:$AJ951,$AJ951))</f>
        <v/>
      </c>
      <c r="AL951" s="39" t="str">
        <f aca="false">IF($AJ951="","",COUNTIF($AJ$4:$AJ$1004,$AJ951))</f>
        <v/>
      </c>
      <c r="AM951" s="42"/>
      <c r="AN951" s="50" t="str">
        <f aca="false">IF($D951="","",IFERROR(T(VLOOKUP($D951,Listas!$B$5:$H$120,7,0)),""))</f>
        <v/>
      </c>
      <c r="AO951" s="50" t="str">
        <f aca="false">IF(OR($F951="",$L951&lt;&gt;"",$R951="Cancelada",$AT951&lt;&gt;""),"",$AN951&amp;"|"&amp;$D951&amp;"|"&amp;IF($C951="","zzz",$C951)&amp;"|"&amp;TEXT(951,"0000"))</f>
        <v/>
      </c>
      <c r="AP951" s="50" t="str">
        <f aca="false">IF($AO951="","",COUNTIF($AO$5:$AO$1004,"&lt;"&amp;$AO951)-(ROWS($AO$5:$AO$1004)-Hoje!$L$5)+1)</f>
        <v/>
      </c>
      <c r="AQ951" s="50" t="n">
        <f aca="false">IF(AND($F951&lt;&gt;"",$D951=Frota!$C$3),1,0)</f>
        <v>0</v>
      </c>
      <c r="AR951" s="50" t="str">
        <f aca="false">IF($AQ951=0,"",SUM($AQ$4:$AQ951))</f>
        <v/>
      </c>
      <c r="AS951" s="50" t="str">
        <f aca="false">IFERROR(INDEX(Hoje!$K$10:$K$29,MATCH(ROW(),Hoje!$J$10:$J$29,0)),"")</f>
        <v/>
      </c>
      <c r="AT951" s="50" t="str">
        <f aca="false">IF($Q951&lt;&gt;"",$Q951,$AS951)</f>
        <v/>
      </c>
    </row>
    <row r="952" customFormat="false" ht="16.5" hidden="false" customHeight="true" outlineLevel="0" collapsed="false">
      <c r="A952" s="39" t="str">
        <f aca="false">IF($F952="","",ROW())</f>
        <v/>
      </c>
      <c r="B952" s="40" t="str">
        <f aca="false">IF($F952="",IF($D952="","","Falta a atividade"),IF($R952="Cancelada","Cancelada",IF($AB952=1,IF(N($Z952)&gt;0,"Concluída com atraso","Concluída"),IF($R952="Em programação","Em programação",IF($O952="",IF($M952="","Na carteira","Falta a semana"),IF($AC952=1,"VENCIDA",IF($O952&gt;Hoje!$L$1,"Programada",IF($P952&gt;Hoje!$L$1,"Em execução","Fecha hoje"))))))))</f>
        <v/>
      </c>
      <c r="C952" s="41"/>
      <c r="D952" s="42"/>
      <c r="E952" s="42"/>
      <c r="F952" s="42"/>
      <c r="G952" s="43"/>
      <c r="H952" s="43"/>
      <c r="I952" s="44"/>
      <c r="J952" s="44"/>
      <c r="K952" s="44"/>
      <c r="L952" s="45"/>
      <c r="M952" s="46"/>
      <c r="N952" s="45"/>
      <c r="O952" s="47" t="str">
        <f aca="false">IF(OR($L952="",$M952=""),"",(DATE(Semana!$J$3,1,4)-WEEKDAY(DATE(Semana!$J$3,1,4),3))+($L952-1)*7+MATCH($M952,Listas!$F$5:$F$11,0)-1)</f>
        <v/>
      </c>
      <c r="P952" s="47" t="str">
        <f aca="false">IF(OR($F952="",$O952=""),"",$O952+MAX(0,ROUNDUP($AK952*MAX(1,IF($N952="",1,$N952))/MAX(1,$AL952),0)-1))</f>
        <v/>
      </c>
      <c r="Q952" s="48"/>
      <c r="R952" s="43"/>
      <c r="S952" s="49"/>
      <c r="T952" s="42"/>
      <c r="U952" s="42"/>
      <c r="V952" s="39" t="str">
        <f aca="false">IF($F952="","",IF(ISNUMBER(SEARCH("(externo)",$I952&amp;$J952&amp;$K952)),"Terceirizada","Interna"))</f>
        <v/>
      </c>
      <c r="W952" s="47" t="str">
        <f aca="false">IF($O952="","",IF($S952="",$O952,(DATE(Semana!$J$3,1,4)-WEEKDAY(DATE(Semana!$J$3,1,4),3))+($S952-1)*7+IF($M952="",0,MATCH($M952,Listas!$F$5:$F$11,0)-1)))</f>
        <v/>
      </c>
      <c r="X952" s="39" t="str">
        <f aca="false">IF($F952="","",IF(OR($AT952="",$O952=""),0,IF($AT952&lt;=$O952,1,0)))</f>
        <v/>
      </c>
      <c r="Y952" s="39" t="str">
        <f aca="false">IF($F952="","",IF(OR($AT952="",$W952=""),0,IF($AT952&lt;=$W952,1,0)))</f>
        <v/>
      </c>
      <c r="Z952" s="39" t="str">
        <f aca="false">IF(OR($AT952="",$O952=""),"",MAX(0,$AT952-$O952))</f>
        <v/>
      </c>
      <c r="AA952" s="39" t="str">
        <f aca="false">IF($F952="","",IF(AND($S952&lt;&gt;"",$L952&lt;&gt;"",$S952&lt;&gt;$L952),1,0))</f>
        <v/>
      </c>
      <c r="AB952" s="39" t="str">
        <f aca="false">IF($F952="","",IF($R952="Cancelada",0,IF(OR($AT952&lt;&gt;"",$R952="Concluída"),1,0)))</f>
        <v/>
      </c>
      <c r="AC952" s="39" t="n">
        <f aca="false">IF($P952="",0,IF($P952&lt;Hoje!$L$1,1,IF(AND($P952=Hoje!$L$1,Hoje!$L$2&gt;Semana!$M$3),1,0)))</f>
        <v>0</v>
      </c>
      <c r="AD952" s="39" t="str">
        <f aca="false">IF($F952="","",IF(COUNTA($I952:$K952)=0,0,1/COUNTA($I952:$K952)))</f>
        <v/>
      </c>
      <c r="AE952" s="39" t="str">
        <f aca="false">IF($AH952=0,"",SUM($AH$4:$AH952))</f>
        <v/>
      </c>
      <c r="AF952" s="39" t="str">
        <f aca="false">IF($AI952=0,"",SUM($AI$4:$AI952))</f>
        <v/>
      </c>
      <c r="AG952" s="50" t="str">
        <f aca="false">IF($F952="","",$I952&amp;IF($J952="",""," · "&amp;$J952)&amp;IF($K952="",""," · "&amp;$K952))</f>
        <v/>
      </c>
      <c r="AH952" s="39" t="n">
        <f aca="false">IF(AND($F952&lt;&gt;"",$O952&lt;&gt;"",$O952&lt;=Hoje!$C$3,$P952&gt;=Hoje!$C$3,$R952&lt;&gt;"Cancelada"),1,0)</f>
        <v>0</v>
      </c>
      <c r="AI952" s="39" t="n">
        <f aca="false">IF(AND($F952&lt;&gt;"",$P952&lt;&gt;"",$P952&lt;Hoje!$C$3,$AB952=0,$R952&lt;&gt;"Cancelada"),1,0)</f>
        <v>0</v>
      </c>
      <c r="AJ952" s="50" t="str">
        <f aca="false">IF($F952="","",$D952&amp;"|"&amp;$E952&amp;"|"&amp;$L952)</f>
        <v/>
      </c>
      <c r="AK952" s="39" t="str">
        <f aca="false">IF($AJ952="","",COUNTIF($AJ$4:$AJ952,$AJ952))</f>
        <v/>
      </c>
      <c r="AL952" s="39" t="str">
        <f aca="false">IF($AJ952="","",COUNTIF($AJ$4:$AJ$1004,$AJ952))</f>
        <v/>
      </c>
      <c r="AM952" s="42"/>
      <c r="AN952" s="50" t="str">
        <f aca="false">IF($D952="","",IFERROR(T(VLOOKUP($D952,Listas!$B$5:$H$120,7,0)),""))</f>
        <v/>
      </c>
      <c r="AO952" s="50" t="str">
        <f aca="false">IF(OR($F952="",$L952&lt;&gt;"",$R952="Cancelada",$AT952&lt;&gt;""),"",$AN952&amp;"|"&amp;$D952&amp;"|"&amp;IF($C952="","zzz",$C952)&amp;"|"&amp;TEXT(952,"0000"))</f>
        <v/>
      </c>
      <c r="AP952" s="50" t="str">
        <f aca="false">IF($AO952="","",COUNTIF($AO$5:$AO$1004,"&lt;"&amp;$AO952)-(ROWS($AO$5:$AO$1004)-Hoje!$L$5)+1)</f>
        <v/>
      </c>
      <c r="AQ952" s="50" t="n">
        <f aca="false">IF(AND($F952&lt;&gt;"",$D952=Frota!$C$3),1,0)</f>
        <v>0</v>
      </c>
      <c r="AR952" s="50" t="str">
        <f aca="false">IF($AQ952=0,"",SUM($AQ$4:$AQ952))</f>
        <v/>
      </c>
      <c r="AS952" s="50" t="str">
        <f aca="false">IFERROR(INDEX(Hoje!$K$10:$K$29,MATCH(ROW(),Hoje!$J$10:$J$29,0)),"")</f>
        <v/>
      </c>
      <c r="AT952" s="50" t="str">
        <f aca="false">IF($Q952&lt;&gt;"",$Q952,$AS952)</f>
        <v/>
      </c>
    </row>
    <row r="953" customFormat="false" ht="16.5" hidden="false" customHeight="true" outlineLevel="0" collapsed="false">
      <c r="A953" s="39" t="str">
        <f aca="false">IF($F953="","",ROW())</f>
        <v/>
      </c>
      <c r="B953" s="40" t="str">
        <f aca="false">IF($F953="",IF($D953="","","Falta a atividade"),IF($R953="Cancelada","Cancelada",IF($AB953=1,IF(N($Z953)&gt;0,"Concluída com atraso","Concluída"),IF($R953="Em programação","Em programação",IF($O953="",IF($M953="","Na carteira","Falta a semana"),IF($AC953=1,"VENCIDA",IF($O953&gt;Hoje!$L$1,"Programada",IF($P953&gt;Hoje!$L$1,"Em execução","Fecha hoje"))))))))</f>
        <v/>
      </c>
      <c r="C953" s="41"/>
      <c r="D953" s="42"/>
      <c r="E953" s="42"/>
      <c r="F953" s="42"/>
      <c r="G953" s="43"/>
      <c r="H953" s="43"/>
      <c r="I953" s="44"/>
      <c r="J953" s="44"/>
      <c r="K953" s="44"/>
      <c r="L953" s="45"/>
      <c r="M953" s="46"/>
      <c r="N953" s="45"/>
      <c r="O953" s="47" t="str">
        <f aca="false">IF(OR($L953="",$M953=""),"",(DATE(Semana!$J$3,1,4)-WEEKDAY(DATE(Semana!$J$3,1,4),3))+($L953-1)*7+MATCH($M953,Listas!$F$5:$F$11,0)-1)</f>
        <v/>
      </c>
      <c r="P953" s="47" t="str">
        <f aca="false">IF(OR($F953="",$O953=""),"",$O953+MAX(0,ROUNDUP($AK953*MAX(1,IF($N953="",1,$N953))/MAX(1,$AL953),0)-1))</f>
        <v/>
      </c>
      <c r="Q953" s="48"/>
      <c r="R953" s="43"/>
      <c r="S953" s="49"/>
      <c r="T953" s="42"/>
      <c r="U953" s="42"/>
      <c r="V953" s="39" t="str">
        <f aca="false">IF($F953="","",IF(ISNUMBER(SEARCH("(externo)",$I953&amp;$J953&amp;$K953)),"Terceirizada","Interna"))</f>
        <v/>
      </c>
      <c r="W953" s="47" t="str">
        <f aca="false">IF($O953="","",IF($S953="",$O953,(DATE(Semana!$J$3,1,4)-WEEKDAY(DATE(Semana!$J$3,1,4),3))+($S953-1)*7+IF($M953="",0,MATCH($M953,Listas!$F$5:$F$11,0)-1)))</f>
        <v/>
      </c>
      <c r="X953" s="39" t="str">
        <f aca="false">IF($F953="","",IF(OR($AT953="",$O953=""),0,IF($AT953&lt;=$O953,1,0)))</f>
        <v/>
      </c>
      <c r="Y953" s="39" t="str">
        <f aca="false">IF($F953="","",IF(OR($AT953="",$W953=""),0,IF($AT953&lt;=$W953,1,0)))</f>
        <v/>
      </c>
      <c r="Z953" s="39" t="str">
        <f aca="false">IF(OR($AT953="",$O953=""),"",MAX(0,$AT953-$O953))</f>
        <v/>
      </c>
      <c r="AA953" s="39" t="str">
        <f aca="false">IF($F953="","",IF(AND($S953&lt;&gt;"",$L953&lt;&gt;"",$S953&lt;&gt;$L953),1,0))</f>
        <v/>
      </c>
      <c r="AB953" s="39" t="str">
        <f aca="false">IF($F953="","",IF($R953="Cancelada",0,IF(OR($AT953&lt;&gt;"",$R953="Concluída"),1,0)))</f>
        <v/>
      </c>
      <c r="AC953" s="39" t="n">
        <f aca="false">IF($P953="",0,IF($P953&lt;Hoje!$L$1,1,IF(AND($P953=Hoje!$L$1,Hoje!$L$2&gt;Semana!$M$3),1,0)))</f>
        <v>0</v>
      </c>
      <c r="AD953" s="39" t="str">
        <f aca="false">IF($F953="","",IF(COUNTA($I953:$K953)=0,0,1/COUNTA($I953:$K953)))</f>
        <v/>
      </c>
      <c r="AE953" s="39" t="str">
        <f aca="false">IF($AH953=0,"",SUM($AH$4:$AH953))</f>
        <v/>
      </c>
      <c r="AF953" s="39" t="str">
        <f aca="false">IF($AI953=0,"",SUM($AI$4:$AI953))</f>
        <v/>
      </c>
      <c r="AG953" s="50" t="str">
        <f aca="false">IF($F953="","",$I953&amp;IF($J953="",""," · "&amp;$J953)&amp;IF($K953="",""," · "&amp;$K953))</f>
        <v/>
      </c>
      <c r="AH953" s="39" t="n">
        <f aca="false">IF(AND($F953&lt;&gt;"",$O953&lt;&gt;"",$O953&lt;=Hoje!$C$3,$P953&gt;=Hoje!$C$3,$R953&lt;&gt;"Cancelada"),1,0)</f>
        <v>0</v>
      </c>
      <c r="AI953" s="39" t="n">
        <f aca="false">IF(AND($F953&lt;&gt;"",$P953&lt;&gt;"",$P953&lt;Hoje!$C$3,$AB953=0,$R953&lt;&gt;"Cancelada"),1,0)</f>
        <v>0</v>
      </c>
      <c r="AJ953" s="50" t="str">
        <f aca="false">IF($F953="","",$D953&amp;"|"&amp;$E953&amp;"|"&amp;$L953)</f>
        <v/>
      </c>
      <c r="AK953" s="39" t="str">
        <f aca="false">IF($AJ953="","",COUNTIF($AJ$4:$AJ953,$AJ953))</f>
        <v/>
      </c>
      <c r="AL953" s="39" t="str">
        <f aca="false">IF($AJ953="","",COUNTIF($AJ$4:$AJ$1004,$AJ953))</f>
        <v/>
      </c>
      <c r="AM953" s="42"/>
      <c r="AN953" s="50" t="str">
        <f aca="false">IF($D953="","",IFERROR(T(VLOOKUP($D953,Listas!$B$5:$H$120,7,0)),""))</f>
        <v/>
      </c>
      <c r="AO953" s="50" t="str">
        <f aca="false">IF(OR($F953="",$L953&lt;&gt;"",$R953="Cancelada",$AT953&lt;&gt;""),"",$AN953&amp;"|"&amp;$D953&amp;"|"&amp;IF($C953="","zzz",$C953)&amp;"|"&amp;TEXT(953,"0000"))</f>
        <v/>
      </c>
      <c r="AP953" s="50" t="str">
        <f aca="false">IF($AO953="","",COUNTIF($AO$5:$AO$1004,"&lt;"&amp;$AO953)-(ROWS($AO$5:$AO$1004)-Hoje!$L$5)+1)</f>
        <v/>
      </c>
      <c r="AQ953" s="50" t="n">
        <f aca="false">IF(AND($F953&lt;&gt;"",$D953=Frota!$C$3),1,0)</f>
        <v>0</v>
      </c>
      <c r="AR953" s="50" t="str">
        <f aca="false">IF($AQ953=0,"",SUM($AQ$4:$AQ953))</f>
        <v/>
      </c>
      <c r="AS953" s="50" t="str">
        <f aca="false">IFERROR(INDEX(Hoje!$K$10:$K$29,MATCH(ROW(),Hoje!$J$10:$J$29,0)),"")</f>
        <v/>
      </c>
      <c r="AT953" s="50" t="str">
        <f aca="false">IF($Q953&lt;&gt;"",$Q953,$AS953)</f>
        <v/>
      </c>
    </row>
    <row r="954" customFormat="false" ht="16.5" hidden="false" customHeight="true" outlineLevel="0" collapsed="false">
      <c r="A954" s="39" t="str">
        <f aca="false">IF($F954="","",ROW())</f>
        <v/>
      </c>
      <c r="B954" s="40" t="str">
        <f aca="false">IF($F954="",IF($D954="","","Falta a atividade"),IF($R954="Cancelada","Cancelada",IF($AB954=1,IF(N($Z954)&gt;0,"Concluída com atraso","Concluída"),IF($R954="Em programação","Em programação",IF($O954="",IF($M954="","Na carteira","Falta a semana"),IF($AC954=1,"VENCIDA",IF($O954&gt;Hoje!$L$1,"Programada",IF($P954&gt;Hoje!$L$1,"Em execução","Fecha hoje"))))))))</f>
        <v/>
      </c>
      <c r="C954" s="41"/>
      <c r="D954" s="42"/>
      <c r="E954" s="42"/>
      <c r="F954" s="42"/>
      <c r="G954" s="43"/>
      <c r="H954" s="43"/>
      <c r="I954" s="44"/>
      <c r="J954" s="44"/>
      <c r="K954" s="44"/>
      <c r="L954" s="45"/>
      <c r="M954" s="46"/>
      <c r="N954" s="45"/>
      <c r="O954" s="47" t="str">
        <f aca="false">IF(OR($L954="",$M954=""),"",(DATE(Semana!$J$3,1,4)-WEEKDAY(DATE(Semana!$J$3,1,4),3))+($L954-1)*7+MATCH($M954,Listas!$F$5:$F$11,0)-1)</f>
        <v/>
      </c>
      <c r="P954" s="47" t="str">
        <f aca="false">IF(OR($F954="",$O954=""),"",$O954+MAX(0,ROUNDUP($AK954*MAX(1,IF($N954="",1,$N954))/MAX(1,$AL954),0)-1))</f>
        <v/>
      </c>
      <c r="Q954" s="48"/>
      <c r="R954" s="43"/>
      <c r="S954" s="49"/>
      <c r="T954" s="42"/>
      <c r="U954" s="42"/>
      <c r="V954" s="39" t="str">
        <f aca="false">IF($F954="","",IF(ISNUMBER(SEARCH("(externo)",$I954&amp;$J954&amp;$K954)),"Terceirizada","Interna"))</f>
        <v/>
      </c>
      <c r="W954" s="47" t="str">
        <f aca="false">IF($O954="","",IF($S954="",$O954,(DATE(Semana!$J$3,1,4)-WEEKDAY(DATE(Semana!$J$3,1,4),3))+($S954-1)*7+IF($M954="",0,MATCH($M954,Listas!$F$5:$F$11,0)-1)))</f>
        <v/>
      </c>
      <c r="X954" s="39" t="str">
        <f aca="false">IF($F954="","",IF(OR($AT954="",$O954=""),0,IF($AT954&lt;=$O954,1,0)))</f>
        <v/>
      </c>
      <c r="Y954" s="39" t="str">
        <f aca="false">IF($F954="","",IF(OR($AT954="",$W954=""),0,IF($AT954&lt;=$W954,1,0)))</f>
        <v/>
      </c>
      <c r="Z954" s="39" t="str">
        <f aca="false">IF(OR($AT954="",$O954=""),"",MAX(0,$AT954-$O954))</f>
        <v/>
      </c>
      <c r="AA954" s="39" t="str">
        <f aca="false">IF($F954="","",IF(AND($S954&lt;&gt;"",$L954&lt;&gt;"",$S954&lt;&gt;$L954),1,0))</f>
        <v/>
      </c>
      <c r="AB954" s="39" t="str">
        <f aca="false">IF($F954="","",IF($R954="Cancelada",0,IF(OR($AT954&lt;&gt;"",$R954="Concluída"),1,0)))</f>
        <v/>
      </c>
      <c r="AC954" s="39" t="n">
        <f aca="false">IF($P954="",0,IF($P954&lt;Hoje!$L$1,1,IF(AND($P954=Hoje!$L$1,Hoje!$L$2&gt;Semana!$M$3),1,0)))</f>
        <v>0</v>
      </c>
      <c r="AD954" s="39" t="str">
        <f aca="false">IF($F954="","",IF(COUNTA($I954:$K954)=0,0,1/COUNTA($I954:$K954)))</f>
        <v/>
      </c>
      <c r="AE954" s="39" t="str">
        <f aca="false">IF($AH954=0,"",SUM($AH$4:$AH954))</f>
        <v/>
      </c>
      <c r="AF954" s="39" t="str">
        <f aca="false">IF($AI954=0,"",SUM($AI$4:$AI954))</f>
        <v/>
      </c>
      <c r="AG954" s="50" t="str">
        <f aca="false">IF($F954="","",$I954&amp;IF($J954="",""," · "&amp;$J954)&amp;IF($K954="",""," · "&amp;$K954))</f>
        <v/>
      </c>
      <c r="AH954" s="39" t="n">
        <f aca="false">IF(AND($F954&lt;&gt;"",$O954&lt;&gt;"",$O954&lt;=Hoje!$C$3,$P954&gt;=Hoje!$C$3,$R954&lt;&gt;"Cancelada"),1,0)</f>
        <v>0</v>
      </c>
      <c r="AI954" s="39" t="n">
        <f aca="false">IF(AND($F954&lt;&gt;"",$P954&lt;&gt;"",$P954&lt;Hoje!$C$3,$AB954=0,$R954&lt;&gt;"Cancelada"),1,0)</f>
        <v>0</v>
      </c>
      <c r="AJ954" s="50" t="str">
        <f aca="false">IF($F954="","",$D954&amp;"|"&amp;$E954&amp;"|"&amp;$L954)</f>
        <v/>
      </c>
      <c r="AK954" s="39" t="str">
        <f aca="false">IF($AJ954="","",COUNTIF($AJ$4:$AJ954,$AJ954))</f>
        <v/>
      </c>
      <c r="AL954" s="39" t="str">
        <f aca="false">IF($AJ954="","",COUNTIF($AJ$4:$AJ$1004,$AJ954))</f>
        <v/>
      </c>
      <c r="AM954" s="42"/>
      <c r="AN954" s="50" t="str">
        <f aca="false">IF($D954="","",IFERROR(T(VLOOKUP($D954,Listas!$B$5:$H$120,7,0)),""))</f>
        <v/>
      </c>
      <c r="AO954" s="50" t="str">
        <f aca="false">IF(OR($F954="",$L954&lt;&gt;"",$R954="Cancelada",$AT954&lt;&gt;""),"",$AN954&amp;"|"&amp;$D954&amp;"|"&amp;IF($C954="","zzz",$C954)&amp;"|"&amp;TEXT(954,"0000"))</f>
        <v/>
      </c>
      <c r="AP954" s="50" t="str">
        <f aca="false">IF($AO954="","",COUNTIF($AO$5:$AO$1004,"&lt;"&amp;$AO954)-(ROWS($AO$5:$AO$1004)-Hoje!$L$5)+1)</f>
        <v/>
      </c>
      <c r="AQ954" s="50" t="n">
        <f aca="false">IF(AND($F954&lt;&gt;"",$D954=Frota!$C$3),1,0)</f>
        <v>0</v>
      </c>
      <c r="AR954" s="50" t="str">
        <f aca="false">IF($AQ954=0,"",SUM($AQ$4:$AQ954))</f>
        <v/>
      </c>
      <c r="AS954" s="50" t="str">
        <f aca="false">IFERROR(INDEX(Hoje!$K$10:$K$29,MATCH(ROW(),Hoje!$J$10:$J$29,0)),"")</f>
        <v/>
      </c>
      <c r="AT954" s="50" t="str">
        <f aca="false">IF($Q954&lt;&gt;"",$Q954,$AS954)</f>
        <v/>
      </c>
    </row>
    <row r="955" customFormat="false" ht="16.5" hidden="false" customHeight="true" outlineLevel="0" collapsed="false">
      <c r="A955" s="39" t="str">
        <f aca="false">IF($F955="","",ROW())</f>
        <v/>
      </c>
      <c r="B955" s="40" t="str">
        <f aca="false">IF($F955="",IF($D955="","","Falta a atividade"),IF($R955="Cancelada","Cancelada",IF($AB955=1,IF(N($Z955)&gt;0,"Concluída com atraso","Concluída"),IF($R955="Em programação","Em programação",IF($O955="",IF($M955="","Na carteira","Falta a semana"),IF($AC955=1,"VENCIDA",IF($O955&gt;Hoje!$L$1,"Programada",IF($P955&gt;Hoje!$L$1,"Em execução","Fecha hoje"))))))))</f>
        <v/>
      </c>
      <c r="C955" s="41"/>
      <c r="D955" s="42"/>
      <c r="E955" s="42"/>
      <c r="F955" s="42"/>
      <c r="G955" s="43"/>
      <c r="H955" s="43"/>
      <c r="I955" s="44"/>
      <c r="J955" s="44"/>
      <c r="K955" s="44"/>
      <c r="L955" s="45"/>
      <c r="M955" s="46"/>
      <c r="N955" s="45"/>
      <c r="O955" s="47" t="str">
        <f aca="false">IF(OR($L955="",$M955=""),"",(DATE(Semana!$J$3,1,4)-WEEKDAY(DATE(Semana!$J$3,1,4),3))+($L955-1)*7+MATCH($M955,Listas!$F$5:$F$11,0)-1)</f>
        <v/>
      </c>
      <c r="P955" s="47" t="str">
        <f aca="false">IF(OR($F955="",$O955=""),"",$O955+MAX(0,ROUNDUP($AK955*MAX(1,IF($N955="",1,$N955))/MAX(1,$AL955),0)-1))</f>
        <v/>
      </c>
      <c r="Q955" s="48"/>
      <c r="R955" s="43"/>
      <c r="S955" s="49"/>
      <c r="T955" s="42"/>
      <c r="U955" s="42"/>
      <c r="V955" s="39" t="str">
        <f aca="false">IF($F955="","",IF(ISNUMBER(SEARCH("(externo)",$I955&amp;$J955&amp;$K955)),"Terceirizada","Interna"))</f>
        <v/>
      </c>
      <c r="W955" s="47" t="str">
        <f aca="false">IF($O955="","",IF($S955="",$O955,(DATE(Semana!$J$3,1,4)-WEEKDAY(DATE(Semana!$J$3,1,4),3))+($S955-1)*7+IF($M955="",0,MATCH($M955,Listas!$F$5:$F$11,0)-1)))</f>
        <v/>
      </c>
      <c r="X955" s="39" t="str">
        <f aca="false">IF($F955="","",IF(OR($AT955="",$O955=""),0,IF($AT955&lt;=$O955,1,0)))</f>
        <v/>
      </c>
      <c r="Y955" s="39" t="str">
        <f aca="false">IF($F955="","",IF(OR($AT955="",$W955=""),0,IF($AT955&lt;=$W955,1,0)))</f>
        <v/>
      </c>
      <c r="Z955" s="39" t="str">
        <f aca="false">IF(OR($AT955="",$O955=""),"",MAX(0,$AT955-$O955))</f>
        <v/>
      </c>
      <c r="AA955" s="39" t="str">
        <f aca="false">IF($F955="","",IF(AND($S955&lt;&gt;"",$L955&lt;&gt;"",$S955&lt;&gt;$L955),1,0))</f>
        <v/>
      </c>
      <c r="AB955" s="39" t="str">
        <f aca="false">IF($F955="","",IF($R955="Cancelada",0,IF(OR($AT955&lt;&gt;"",$R955="Concluída"),1,0)))</f>
        <v/>
      </c>
      <c r="AC955" s="39" t="n">
        <f aca="false">IF($P955="",0,IF($P955&lt;Hoje!$L$1,1,IF(AND($P955=Hoje!$L$1,Hoje!$L$2&gt;Semana!$M$3),1,0)))</f>
        <v>0</v>
      </c>
      <c r="AD955" s="39" t="str">
        <f aca="false">IF($F955="","",IF(COUNTA($I955:$K955)=0,0,1/COUNTA($I955:$K955)))</f>
        <v/>
      </c>
      <c r="AE955" s="39" t="str">
        <f aca="false">IF($AH955=0,"",SUM($AH$4:$AH955))</f>
        <v/>
      </c>
      <c r="AF955" s="39" t="str">
        <f aca="false">IF($AI955=0,"",SUM($AI$4:$AI955))</f>
        <v/>
      </c>
      <c r="AG955" s="50" t="str">
        <f aca="false">IF($F955="","",$I955&amp;IF($J955="",""," · "&amp;$J955)&amp;IF($K955="",""," · "&amp;$K955))</f>
        <v/>
      </c>
      <c r="AH955" s="39" t="n">
        <f aca="false">IF(AND($F955&lt;&gt;"",$O955&lt;&gt;"",$O955&lt;=Hoje!$C$3,$P955&gt;=Hoje!$C$3,$R955&lt;&gt;"Cancelada"),1,0)</f>
        <v>0</v>
      </c>
      <c r="AI955" s="39" t="n">
        <f aca="false">IF(AND($F955&lt;&gt;"",$P955&lt;&gt;"",$P955&lt;Hoje!$C$3,$AB955=0,$R955&lt;&gt;"Cancelada"),1,0)</f>
        <v>0</v>
      </c>
      <c r="AJ955" s="50" t="str">
        <f aca="false">IF($F955="","",$D955&amp;"|"&amp;$E955&amp;"|"&amp;$L955)</f>
        <v/>
      </c>
      <c r="AK955" s="39" t="str">
        <f aca="false">IF($AJ955="","",COUNTIF($AJ$4:$AJ955,$AJ955))</f>
        <v/>
      </c>
      <c r="AL955" s="39" t="str">
        <f aca="false">IF($AJ955="","",COUNTIF($AJ$4:$AJ$1004,$AJ955))</f>
        <v/>
      </c>
      <c r="AM955" s="42"/>
      <c r="AN955" s="50" t="str">
        <f aca="false">IF($D955="","",IFERROR(T(VLOOKUP($D955,Listas!$B$5:$H$120,7,0)),""))</f>
        <v/>
      </c>
      <c r="AO955" s="50" t="str">
        <f aca="false">IF(OR($F955="",$L955&lt;&gt;"",$R955="Cancelada",$AT955&lt;&gt;""),"",$AN955&amp;"|"&amp;$D955&amp;"|"&amp;IF($C955="","zzz",$C955)&amp;"|"&amp;TEXT(955,"0000"))</f>
        <v/>
      </c>
      <c r="AP955" s="50" t="str">
        <f aca="false">IF($AO955="","",COUNTIF($AO$5:$AO$1004,"&lt;"&amp;$AO955)-(ROWS($AO$5:$AO$1004)-Hoje!$L$5)+1)</f>
        <v/>
      </c>
      <c r="AQ955" s="50" t="n">
        <f aca="false">IF(AND($F955&lt;&gt;"",$D955=Frota!$C$3),1,0)</f>
        <v>0</v>
      </c>
      <c r="AR955" s="50" t="str">
        <f aca="false">IF($AQ955=0,"",SUM($AQ$4:$AQ955))</f>
        <v/>
      </c>
      <c r="AS955" s="50" t="str">
        <f aca="false">IFERROR(INDEX(Hoje!$K$10:$K$29,MATCH(ROW(),Hoje!$J$10:$J$29,0)),"")</f>
        <v/>
      </c>
      <c r="AT955" s="50" t="str">
        <f aca="false">IF($Q955&lt;&gt;"",$Q955,$AS955)</f>
        <v/>
      </c>
    </row>
    <row r="956" customFormat="false" ht="16.5" hidden="false" customHeight="true" outlineLevel="0" collapsed="false">
      <c r="A956" s="39" t="str">
        <f aca="false">IF($F956="","",ROW())</f>
        <v/>
      </c>
      <c r="B956" s="40" t="str">
        <f aca="false">IF($F956="",IF($D956="","","Falta a atividade"),IF($R956="Cancelada","Cancelada",IF($AB956=1,IF(N($Z956)&gt;0,"Concluída com atraso","Concluída"),IF($R956="Em programação","Em programação",IF($O956="",IF($M956="","Na carteira","Falta a semana"),IF($AC956=1,"VENCIDA",IF($O956&gt;Hoje!$L$1,"Programada",IF($P956&gt;Hoje!$L$1,"Em execução","Fecha hoje"))))))))</f>
        <v/>
      </c>
      <c r="C956" s="41"/>
      <c r="D956" s="42"/>
      <c r="E956" s="42"/>
      <c r="F956" s="42"/>
      <c r="G956" s="43"/>
      <c r="H956" s="43"/>
      <c r="I956" s="44"/>
      <c r="J956" s="44"/>
      <c r="K956" s="44"/>
      <c r="L956" s="45"/>
      <c r="M956" s="46"/>
      <c r="N956" s="45"/>
      <c r="O956" s="47" t="str">
        <f aca="false">IF(OR($L956="",$M956=""),"",(DATE(Semana!$J$3,1,4)-WEEKDAY(DATE(Semana!$J$3,1,4),3))+($L956-1)*7+MATCH($M956,Listas!$F$5:$F$11,0)-1)</f>
        <v/>
      </c>
      <c r="P956" s="47" t="str">
        <f aca="false">IF(OR($F956="",$O956=""),"",$O956+MAX(0,ROUNDUP($AK956*MAX(1,IF($N956="",1,$N956))/MAX(1,$AL956),0)-1))</f>
        <v/>
      </c>
      <c r="Q956" s="48"/>
      <c r="R956" s="43"/>
      <c r="S956" s="49"/>
      <c r="T956" s="42"/>
      <c r="U956" s="42"/>
      <c r="V956" s="39" t="str">
        <f aca="false">IF($F956="","",IF(ISNUMBER(SEARCH("(externo)",$I956&amp;$J956&amp;$K956)),"Terceirizada","Interna"))</f>
        <v/>
      </c>
      <c r="W956" s="47" t="str">
        <f aca="false">IF($O956="","",IF($S956="",$O956,(DATE(Semana!$J$3,1,4)-WEEKDAY(DATE(Semana!$J$3,1,4),3))+($S956-1)*7+IF($M956="",0,MATCH($M956,Listas!$F$5:$F$11,0)-1)))</f>
        <v/>
      </c>
      <c r="X956" s="39" t="str">
        <f aca="false">IF($F956="","",IF(OR($AT956="",$O956=""),0,IF($AT956&lt;=$O956,1,0)))</f>
        <v/>
      </c>
      <c r="Y956" s="39" t="str">
        <f aca="false">IF($F956="","",IF(OR($AT956="",$W956=""),0,IF($AT956&lt;=$W956,1,0)))</f>
        <v/>
      </c>
      <c r="Z956" s="39" t="str">
        <f aca="false">IF(OR($AT956="",$O956=""),"",MAX(0,$AT956-$O956))</f>
        <v/>
      </c>
      <c r="AA956" s="39" t="str">
        <f aca="false">IF($F956="","",IF(AND($S956&lt;&gt;"",$L956&lt;&gt;"",$S956&lt;&gt;$L956),1,0))</f>
        <v/>
      </c>
      <c r="AB956" s="39" t="str">
        <f aca="false">IF($F956="","",IF($R956="Cancelada",0,IF(OR($AT956&lt;&gt;"",$R956="Concluída"),1,0)))</f>
        <v/>
      </c>
      <c r="AC956" s="39" t="n">
        <f aca="false">IF($P956="",0,IF($P956&lt;Hoje!$L$1,1,IF(AND($P956=Hoje!$L$1,Hoje!$L$2&gt;Semana!$M$3),1,0)))</f>
        <v>0</v>
      </c>
      <c r="AD956" s="39" t="str">
        <f aca="false">IF($F956="","",IF(COUNTA($I956:$K956)=0,0,1/COUNTA($I956:$K956)))</f>
        <v/>
      </c>
      <c r="AE956" s="39" t="str">
        <f aca="false">IF($AH956=0,"",SUM($AH$4:$AH956))</f>
        <v/>
      </c>
      <c r="AF956" s="39" t="str">
        <f aca="false">IF($AI956=0,"",SUM($AI$4:$AI956))</f>
        <v/>
      </c>
      <c r="AG956" s="50" t="str">
        <f aca="false">IF($F956="","",$I956&amp;IF($J956="",""," · "&amp;$J956)&amp;IF($K956="",""," · "&amp;$K956))</f>
        <v/>
      </c>
      <c r="AH956" s="39" t="n">
        <f aca="false">IF(AND($F956&lt;&gt;"",$O956&lt;&gt;"",$O956&lt;=Hoje!$C$3,$P956&gt;=Hoje!$C$3,$R956&lt;&gt;"Cancelada"),1,0)</f>
        <v>0</v>
      </c>
      <c r="AI956" s="39" t="n">
        <f aca="false">IF(AND($F956&lt;&gt;"",$P956&lt;&gt;"",$P956&lt;Hoje!$C$3,$AB956=0,$R956&lt;&gt;"Cancelada"),1,0)</f>
        <v>0</v>
      </c>
      <c r="AJ956" s="50" t="str">
        <f aca="false">IF($F956="","",$D956&amp;"|"&amp;$E956&amp;"|"&amp;$L956)</f>
        <v/>
      </c>
      <c r="AK956" s="39" t="str">
        <f aca="false">IF($AJ956="","",COUNTIF($AJ$4:$AJ956,$AJ956))</f>
        <v/>
      </c>
      <c r="AL956" s="39" t="str">
        <f aca="false">IF($AJ956="","",COUNTIF($AJ$4:$AJ$1004,$AJ956))</f>
        <v/>
      </c>
      <c r="AM956" s="42"/>
      <c r="AN956" s="50" t="str">
        <f aca="false">IF($D956="","",IFERROR(T(VLOOKUP($D956,Listas!$B$5:$H$120,7,0)),""))</f>
        <v/>
      </c>
      <c r="AO956" s="50" t="str">
        <f aca="false">IF(OR($F956="",$L956&lt;&gt;"",$R956="Cancelada",$AT956&lt;&gt;""),"",$AN956&amp;"|"&amp;$D956&amp;"|"&amp;IF($C956="","zzz",$C956)&amp;"|"&amp;TEXT(956,"0000"))</f>
        <v/>
      </c>
      <c r="AP956" s="50" t="str">
        <f aca="false">IF($AO956="","",COUNTIF($AO$5:$AO$1004,"&lt;"&amp;$AO956)-(ROWS($AO$5:$AO$1004)-Hoje!$L$5)+1)</f>
        <v/>
      </c>
      <c r="AQ956" s="50" t="n">
        <f aca="false">IF(AND($F956&lt;&gt;"",$D956=Frota!$C$3),1,0)</f>
        <v>0</v>
      </c>
      <c r="AR956" s="50" t="str">
        <f aca="false">IF($AQ956=0,"",SUM($AQ$4:$AQ956))</f>
        <v/>
      </c>
      <c r="AS956" s="50" t="str">
        <f aca="false">IFERROR(INDEX(Hoje!$K$10:$K$29,MATCH(ROW(),Hoje!$J$10:$J$29,0)),"")</f>
        <v/>
      </c>
      <c r="AT956" s="50" t="str">
        <f aca="false">IF($Q956&lt;&gt;"",$Q956,$AS956)</f>
        <v/>
      </c>
    </row>
    <row r="957" customFormat="false" ht="16.5" hidden="false" customHeight="true" outlineLevel="0" collapsed="false">
      <c r="A957" s="39" t="str">
        <f aca="false">IF($F957="","",ROW())</f>
        <v/>
      </c>
      <c r="B957" s="40" t="str">
        <f aca="false">IF($F957="",IF($D957="","","Falta a atividade"),IF($R957="Cancelada","Cancelada",IF($AB957=1,IF(N($Z957)&gt;0,"Concluída com atraso","Concluída"),IF($R957="Em programação","Em programação",IF($O957="",IF($M957="","Na carteira","Falta a semana"),IF($AC957=1,"VENCIDA",IF($O957&gt;Hoje!$L$1,"Programada",IF($P957&gt;Hoje!$L$1,"Em execução","Fecha hoje"))))))))</f>
        <v/>
      </c>
      <c r="C957" s="41"/>
      <c r="D957" s="42"/>
      <c r="E957" s="42"/>
      <c r="F957" s="42"/>
      <c r="G957" s="43"/>
      <c r="H957" s="43"/>
      <c r="I957" s="44"/>
      <c r="J957" s="44"/>
      <c r="K957" s="44"/>
      <c r="L957" s="45"/>
      <c r="M957" s="46"/>
      <c r="N957" s="45"/>
      <c r="O957" s="47" t="str">
        <f aca="false">IF(OR($L957="",$M957=""),"",(DATE(Semana!$J$3,1,4)-WEEKDAY(DATE(Semana!$J$3,1,4),3))+($L957-1)*7+MATCH($M957,Listas!$F$5:$F$11,0)-1)</f>
        <v/>
      </c>
      <c r="P957" s="47" t="str">
        <f aca="false">IF(OR($F957="",$O957=""),"",$O957+MAX(0,ROUNDUP($AK957*MAX(1,IF($N957="",1,$N957))/MAX(1,$AL957),0)-1))</f>
        <v/>
      </c>
      <c r="Q957" s="48"/>
      <c r="R957" s="43"/>
      <c r="S957" s="49"/>
      <c r="T957" s="42"/>
      <c r="U957" s="42"/>
      <c r="V957" s="39" t="str">
        <f aca="false">IF($F957="","",IF(ISNUMBER(SEARCH("(externo)",$I957&amp;$J957&amp;$K957)),"Terceirizada","Interna"))</f>
        <v/>
      </c>
      <c r="W957" s="47" t="str">
        <f aca="false">IF($O957="","",IF($S957="",$O957,(DATE(Semana!$J$3,1,4)-WEEKDAY(DATE(Semana!$J$3,1,4),3))+($S957-1)*7+IF($M957="",0,MATCH($M957,Listas!$F$5:$F$11,0)-1)))</f>
        <v/>
      </c>
      <c r="X957" s="39" t="str">
        <f aca="false">IF($F957="","",IF(OR($AT957="",$O957=""),0,IF($AT957&lt;=$O957,1,0)))</f>
        <v/>
      </c>
      <c r="Y957" s="39" t="str">
        <f aca="false">IF($F957="","",IF(OR($AT957="",$W957=""),0,IF($AT957&lt;=$W957,1,0)))</f>
        <v/>
      </c>
      <c r="Z957" s="39" t="str">
        <f aca="false">IF(OR($AT957="",$O957=""),"",MAX(0,$AT957-$O957))</f>
        <v/>
      </c>
      <c r="AA957" s="39" t="str">
        <f aca="false">IF($F957="","",IF(AND($S957&lt;&gt;"",$L957&lt;&gt;"",$S957&lt;&gt;$L957),1,0))</f>
        <v/>
      </c>
      <c r="AB957" s="39" t="str">
        <f aca="false">IF($F957="","",IF($R957="Cancelada",0,IF(OR($AT957&lt;&gt;"",$R957="Concluída"),1,0)))</f>
        <v/>
      </c>
      <c r="AC957" s="39" t="n">
        <f aca="false">IF($P957="",0,IF($P957&lt;Hoje!$L$1,1,IF(AND($P957=Hoje!$L$1,Hoje!$L$2&gt;Semana!$M$3),1,0)))</f>
        <v>0</v>
      </c>
      <c r="AD957" s="39" t="str">
        <f aca="false">IF($F957="","",IF(COUNTA($I957:$K957)=0,0,1/COUNTA($I957:$K957)))</f>
        <v/>
      </c>
      <c r="AE957" s="39" t="str">
        <f aca="false">IF($AH957=0,"",SUM($AH$4:$AH957))</f>
        <v/>
      </c>
      <c r="AF957" s="39" t="str">
        <f aca="false">IF($AI957=0,"",SUM($AI$4:$AI957))</f>
        <v/>
      </c>
      <c r="AG957" s="50" t="str">
        <f aca="false">IF($F957="","",$I957&amp;IF($J957="",""," · "&amp;$J957)&amp;IF($K957="",""," · "&amp;$K957))</f>
        <v/>
      </c>
      <c r="AH957" s="39" t="n">
        <f aca="false">IF(AND($F957&lt;&gt;"",$O957&lt;&gt;"",$O957&lt;=Hoje!$C$3,$P957&gt;=Hoje!$C$3,$R957&lt;&gt;"Cancelada"),1,0)</f>
        <v>0</v>
      </c>
      <c r="AI957" s="39" t="n">
        <f aca="false">IF(AND($F957&lt;&gt;"",$P957&lt;&gt;"",$P957&lt;Hoje!$C$3,$AB957=0,$R957&lt;&gt;"Cancelada"),1,0)</f>
        <v>0</v>
      </c>
      <c r="AJ957" s="50" t="str">
        <f aca="false">IF($F957="","",$D957&amp;"|"&amp;$E957&amp;"|"&amp;$L957)</f>
        <v/>
      </c>
      <c r="AK957" s="39" t="str">
        <f aca="false">IF($AJ957="","",COUNTIF($AJ$4:$AJ957,$AJ957))</f>
        <v/>
      </c>
      <c r="AL957" s="39" t="str">
        <f aca="false">IF($AJ957="","",COUNTIF($AJ$4:$AJ$1004,$AJ957))</f>
        <v/>
      </c>
      <c r="AM957" s="42"/>
      <c r="AN957" s="50" t="str">
        <f aca="false">IF($D957="","",IFERROR(T(VLOOKUP($D957,Listas!$B$5:$H$120,7,0)),""))</f>
        <v/>
      </c>
      <c r="AO957" s="50" t="str">
        <f aca="false">IF(OR($F957="",$L957&lt;&gt;"",$R957="Cancelada",$AT957&lt;&gt;""),"",$AN957&amp;"|"&amp;$D957&amp;"|"&amp;IF($C957="","zzz",$C957)&amp;"|"&amp;TEXT(957,"0000"))</f>
        <v/>
      </c>
      <c r="AP957" s="50" t="str">
        <f aca="false">IF($AO957="","",COUNTIF($AO$5:$AO$1004,"&lt;"&amp;$AO957)-(ROWS($AO$5:$AO$1004)-Hoje!$L$5)+1)</f>
        <v/>
      </c>
      <c r="AQ957" s="50" t="n">
        <f aca="false">IF(AND($F957&lt;&gt;"",$D957=Frota!$C$3),1,0)</f>
        <v>0</v>
      </c>
      <c r="AR957" s="50" t="str">
        <f aca="false">IF($AQ957=0,"",SUM($AQ$4:$AQ957))</f>
        <v/>
      </c>
      <c r="AS957" s="50" t="str">
        <f aca="false">IFERROR(INDEX(Hoje!$K$10:$K$29,MATCH(ROW(),Hoje!$J$10:$J$29,0)),"")</f>
        <v/>
      </c>
      <c r="AT957" s="50" t="str">
        <f aca="false">IF($Q957&lt;&gt;"",$Q957,$AS957)</f>
        <v/>
      </c>
    </row>
    <row r="958" customFormat="false" ht="16.5" hidden="false" customHeight="true" outlineLevel="0" collapsed="false">
      <c r="A958" s="39" t="str">
        <f aca="false">IF($F958="","",ROW())</f>
        <v/>
      </c>
      <c r="B958" s="40" t="str">
        <f aca="false">IF($F958="",IF($D958="","","Falta a atividade"),IF($R958="Cancelada","Cancelada",IF($AB958=1,IF(N($Z958)&gt;0,"Concluída com atraso","Concluída"),IF($R958="Em programação","Em programação",IF($O958="",IF($M958="","Na carteira","Falta a semana"),IF($AC958=1,"VENCIDA",IF($O958&gt;Hoje!$L$1,"Programada",IF($P958&gt;Hoje!$L$1,"Em execução","Fecha hoje"))))))))</f>
        <v/>
      </c>
      <c r="C958" s="41"/>
      <c r="D958" s="42"/>
      <c r="E958" s="42"/>
      <c r="F958" s="42"/>
      <c r="G958" s="43"/>
      <c r="H958" s="43"/>
      <c r="I958" s="44"/>
      <c r="J958" s="44"/>
      <c r="K958" s="44"/>
      <c r="L958" s="45"/>
      <c r="M958" s="46"/>
      <c r="N958" s="45"/>
      <c r="O958" s="47" t="str">
        <f aca="false">IF(OR($L958="",$M958=""),"",(DATE(Semana!$J$3,1,4)-WEEKDAY(DATE(Semana!$J$3,1,4),3))+($L958-1)*7+MATCH($M958,Listas!$F$5:$F$11,0)-1)</f>
        <v/>
      </c>
      <c r="P958" s="47" t="str">
        <f aca="false">IF(OR($F958="",$O958=""),"",$O958+MAX(0,ROUNDUP($AK958*MAX(1,IF($N958="",1,$N958))/MAX(1,$AL958),0)-1))</f>
        <v/>
      </c>
      <c r="Q958" s="48"/>
      <c r="R958" s="43"/>
      <c r="S958" s="49"/>
      <c r="T958" s="42"/>
      <c r="U958" s="42"/>
      <c r="V958" s="39" t="str">
        <f aca="false">IF($F958="","",IF(ISNUMBER(SEARCH("(externo)",$I958&amp;$J958&amp;$K958)),"Terceirizada","Interna"))</f>
        <v/>
      </c>
      <c r="W958" s="47" t="str">
        <f aca="false">IF($O958="","",IF($S958="",$O958,(DATE(Semana!$J$3,1,4)-WEEKDAY(DATE(Semana!$J$3,1,4),3))+($S958-1)*7+IF($M958="",0,MATCH($M958,Listas!$F$5:$F$11,0)-1)))</f>
        <v/>
      </c>
      <c r="X958" s="39" t="str">
        <f aca="false">IF($F958="","",IF(OR($AT958="",$O958=""),0,IF($AT958&lt;=$O958,1,0)))</f>
        <v/>
      </c>
      <c r="Y958" s="39" t="str">
        <f aca="false">IF($F958="","",IF(OR($AT958="",$W958=""),0,IF($AT958&lt;=$W958,1,0)))</f>
        <v/>
      </c>
      <c r="Z958" s="39" t="str">
        <f aca="false">IF(OR($AT958="",$O958=""),"",MAX(0,$AT958-$O958))</f>
        <v/>
      </c>
      <c r="AA958" s="39" t="str">
        <f aca="false">IF($F958="","",IF(AND($S958&lt;&gt;"",$L958&lt;&gt;"",$S958&lt;&gt;$L958),1,0))</f>
        <v/>
      </c>
      <c r="AB958" s="39" t="str">
        <f aca="false">IF($F958="","",IF($R958="Cancelada",0,IF(OR($AT958&lt;&gt;"",$R958="Concluída"),1,0)))</f>
        <v/>
      </c>
      <c r="AC958" s="39" t="n">
        <f aca="false">IF($P958="",0,IF($P958&lt;Hoje!$L$1,1,IF(AND($P958=Hoje!$L$1,Hoje!$L$2&gt;Semana!$M$3),1,0)))</f>
        <v>0</v>
      </c>
      <c r="AD958" s="39" t="str">
        <f aca="false">IF($F958="","",IF(COUNTA($I958:$K958)=0,0,1/COUNTA($I958:$K958)))</f>
        <v/>
      </c>
      <c r="AE958" s="39" t="str">
        <f aca="false">IF($AH958=0,"",SUM($AH$4:$AH958))</f>
        <v/>
      </c>
      <c r="AF958" s="39" t="str">
        <f aca="false">IF($AI958=0,"",SUM($AI$4:$AI958))</f>
        <v/>
      </c>
      <c r="AG958" s="50" t="str">
        <f aca="false">IF($F958="","",$I958&amp;IF($J958="",""," · "&amp;$J958)&amp;IF($K958="",""," · "&amp;$K958))</f>
        <v/>
      </c>
      <c r="AH958" s="39" t="n">
        <f aca="false">IF(AND($F958&lt;&gt;"",$O958&lt;&gt;"",$O958&lt;=Hoje!$C$3,$P958&gt;=Hoje!$C$3,$R958&lt;&gt;"Cancelada"),1,0)</f>
        <v>0</v>
      </c>
      <c r="AI958" s="39" t="n">
        <f aca="false">IF(AND($F958&lt;&gt;"",$P958&lt;&gt;"",$P958&lt;Hoje!$C$3,$AB958=0,$R958&lt;&gt;"Cancelada"),1,0)</f>
        <v>0</v>
      </c>
      <c r="AJ958" s="50" t="str">
        <f aca="false">IF($F958="","",$D958&amp;"|"&amp;$E958&amp;"|"&amp;$L958)</f>
        <v/>
      </c>
      <c r="AK958" s="39" t="str">
        <f aca="false">IF($AJ958="","",COUNTIF($AJ$4:$AJ958,$AJ958))</f>
        <v/>
      </c>
      <c r="AL958" s="39" t="str">
        <f aca="false">IF($AJ958="","",COUNTIF($AJ$4:$AJ$1004,$AJ958))</f>
        <v/>
      </c>
      <c r="AM958" s="42"/>
      <c r="AN958" s="50" t="str">
        <f aca="false">IF($D958="","",IFERROR(T(VLOOKUP($D958,Listas!$B$5:$H$120,7,0)),""))</f>
        <v/>
      </c>
      <c r="AO958" s="50" t="str">
        <f aca="false">IF(OR($F958="",$L958&lt;&gt;"",$R958="Cancelada",$AT958&lt;&gt;""),"",$AN958&amp;"|"&amp;$D958&amp;"|"&amp;IF($C958="","zzz",$C958)&amp;"|"&amp;TEXT(958,"0000"))</f>
        <v/>
      </c>
      <c r="AP958" s="50" t="str">
        <f aca="false">IF($AO958="","",COUNTIF($AO$5:$AO$1004,"&lt;"&amp;$AO958)-(ROWS($AO$5:$AO$1004)-Hoje!$L$5)+1)</f>
        <v/>
      </c>
      <c r="AQ958" s="50" t="n">
        <f aca="false">IF(AND($F958&lt;&gt;"",$D958=Frota!$C$3),1,0)</f>
        <v>0</v>
      </c>
      <c r="AR958" s="50" t="str">
        <f aca="false">IF($AQ958=0,"",SUM($AQ$4:$AQ958))</f>
        <v/>
      </c>
      <c r="AS958" s="50" t="str">
        <f aca="false">IFERROR(INDEX(Hoje!$K$10:$K$29,MATCH(ROW(),Hoje!$J$10:$J$29,0)),"")</f>
        <v/>
      </c>
      <c r="AT958" s="50" t="str">
        <f aca="false">IF($Q958&lt;&gt;"",$Q958,$AS958)</f>
        <v/>
      </c>
    </row>
    <row r="959" customFormat="false" ht="16.5" hidden="false" customHeight="true" outlineLevel="0" collapsed="false">
      <c r="A959" s="39" t="str">
        <f aca="false">IF($F959="","",ROW())</f>
        <v/>
      </c>
      <c r="B959" s="40" t="str">
        <f aca="false">IF($F959="",IF($D959="","","Falta a atividade"),IF($R959="Cancelada","Cancelada",IF($AB959=1,IF(N($Z959)&gt;0,"Concluída com atraso","Concluída"),IF($R959="Em programação","Em programação",IF($O959="",IF($M959="","Na carteira","Falta a semana"),IF($AC959=1,"VENCIDA",IF($O959&gt;Hoje!$L$1,"Programada",IF($P959&gt;Hoje!$L$1,"Em execução","Fecha hoje"))))))))</f>
        <v/>
      </c>
      <c r="C959" s="41"/>
      <c r="D959" s="42"/>
      <c r="E959" s="42"/>
      <c r="F959" s="42"/>
      <c r="G959" s="43"/>
      <c r="H959" s="43"/>
      <c r="I959" s="44"/>
      <c r="J959" s="44"/>
      <c r="K959" s="44"/>
      <c r="L959" s="45"/>
      <c r="M959" s="46"/>
      <c r="N959" s="45"/>
      <c r="O959" s="47" t="str">
        <f aca="false">IF(OR($L959="",$M959=""),"",(DATE(Semana!$J$3,1,4)-WEEKDAY(DATE(Semana!$J$3,1,4),3))+($L959-1)*7+MATCH($M959,Listas!$F$5:$F$11,0)-1)</f>
        <v/>
      </c>
      <c r="P959" s="47" t="str">
        <f aca="false">IF(OR($F959="",$O959=""),"",$O959+MAX(0,ROUNDUP($AK959*MAX(1,IF($N959="",1,$N959))/MAX(1,$AL959),0)-1))</f>
        <v/>
      </c>
      <c r="Q959" s="48"/>
      <c r="R959" s="43"/>
      <c r="S959" s="49"/>
      <c r="T959" s="42"/>
      <c r="U959" s="42"/>
      <c r="V959" s="39" t="str">
        <f aca="false">IF($F959="","",IF(ISNUMBER(SEARCH("(externo)",$I959&amp;$J959&amp;$K959)),"Terceirizada","Interna"))</f>
        <v/>
      </c>
      <c r="W959" s="47" t="str">
        <f aca="false">IF($O959="","",IF($S959="",$O959,(DATE(Semana!$J$3,1,4)-WEEKDAY(DATE(Semana!$J$3,1,4),3))+($S959-1)*7+IF($M959="",0,MATCH($M959,Listas!$F$5:$F$11,0)-1)))</f>
        <v/>
      </c>
      <c r="X959" s="39" t="str">
        <f aca="false">IF($F959="","",IF(OR($AT959="",$O959=""),0,IF($AT959&lt;=$O959,1,0)))</f>
        <v/>
      </c>
      <c r="Y959" s="39" t="str">
        <f aca="false">IF($F959="","",IF(OR($AT959="",$W959=""),0,IF($AT959&lt;=$W959,1,0)))</f>
        <v/>
      </c>
      <c r="Z959" s="39" t="str">
        <f aca="false">IF(OR($AT959="",$O959=""),"",MAX(0,$AT959-$O959))</f>
        <v/>
      </c>
      <c r="AA959" s="39" t="str">
        <f aca="false">IF($F959="","",IF(AND($S959&lt;&gt;"",$L959&lt;&gt;"",$S959&lt;&gt;$L959),1,0))</f>
        <v/>
      </c>
      <c r="AB959" s="39" t="str">
        <f aca="false">IF($F959="","",IF($R959="Cancelada",0,IF(OR($AT959&lt;&gt;"",$R959="Concluída"),1,0)))</f>
        <v/>
      </c>
      <c r="AC959" s="39" t="n">
        <f aca="false">IF($P959="",0,IF($P959&lt;Hoje!$L$1,1,IF(AND($P959=Hoje!$L$1,Hoje!$L$2&gt;Semana!$M$3),1,0)))</f>
        <v>0</v>
      </c>
      <c r="AD959" s="39" t="str">
        <f aca="false">IF($F959="","",IF(COUNTA($I959:$K959)=0,0,1/COUNTA($I959:$K959)))</f>
        <v/>
      </c>
      <c r="AE959" s="39" t="str">
        <f aca="false">IF($AH959=0,"",SUM($AH$4:$AH959))</f>
        <v/>
      </c>
      <c r="AF959" s="39" t="str">
        <f aca="false">IF($AI959=0,"",SUM($AI$4:$AI959))</f>
        <v/>
      </c>
      <c r="AG959" s="50" t="str">
        <f aca="false">IF($F959="","",$I959&amp;IF($J959="",""," · "&amp;$J959)&amp;IF($K959="",""," · "&amp;$K959))</f>
        <v/>
      </c>
      <c r="AH959" s="39" t="n">
        <f aca="false">IF(AND($F959&lt;&gt;"",$O959&lt;&gt;"",$O959&lt;=Hoje!$C$3,$P959&gt;=Hoje!$C$3,$R959&lt;&gt;"Cancelada"),1,0)</f>
        <v>0</v>
      </c>
      <c r="AI959" s="39" t="n">
        <f aca="false">IF(AND($F959&lt;&gt;"",$P959&lt;&gt;"",$P959&lt;Hoje!$C$3,$AB959=0,$R959&lt;&gt;"Cancelada"),1,0)</f>
        <v>0</v>
      </c>
      <c r="AJ959" s="50" t="str">
        <f aca="false">IF($F959="","",$D959&amp;"|"&amp;$E959&amp;"|"&amp;$L959)</f>
        <v/>
      </c>
      <c r="AK959" s="39" t="str">
        <f aca="false">IF($AJ959="","",COUNTIF($AJ$4:$AJ959,$AJ959))</f>
        <v/>
      </c>
      <c r="AL959" s="39" t="str">
        <f aca="false">IF($AJ959="","",COUNTIF($AJ$4:$AJ$1004,$AJ959))</f>
        <v/>
      </c>
      <c r="AM959" s="42"/>
      <c r="AN959" s="50" t="str">
        <f aca="false">IF($D959="","",IFERROR(T(VLOOKUP($D959,Listas!$B$5:$H$120,7,0)),""))</f>
        <v/>
      </c>
      <c r="AO959" s="50" t="str">
        <f aca="false">IF(OR($F959="",$L959&lt;&gt;"",$R959="Cancelada",$AT959&lt;&gt;""),"",$AN959&amp;"|"&amp;$D959&amp;"|"&amp;IF($C959="","zzz",$C959)&amp;"|"&amp;TEXT(959,"0000"))</f>
        <v/>
      </c>
      <c r="AP959" s="50" t="str">
        <f aca="false">IF($AO959="","",COUNTIF($AO$5:$AO$1004,"&lt;"&amp;$AO959)-(ROWS($AO$5:$AO$1004)-Hoje!$L$5)+1)</f>
        <v/>
      </c>
      <c r="AQ959" s="50" t="n">
        <f aca="false">IF(AND($F959&lt;&gt;"",$D959=Frota!$C$3),1,0)</f>
        <v>0</v>
      </c>
      <c r="AR959" s="50" t="str">
        <f aca="false">IF($AQ959=0,"",SUM($AQ$4:$AQ959))</f>
        <v/>
      </c>
      <c r="AS959" s="50" t="str">
        <f aca="false">IFERROR(INDEX(Hoje!$K$10:$K$29,MATCH(ROW(),Hoje!$J$10:$J$29,0)),"")</f>
        <v/>
      </c>
      <c r="AT959" s="50" t="str">
        <f aca="false">IF($Q959&lt;&gt;"",$Q959,$AS959)</f>
        <v/>
      </c>
    </row>
    <row r="960" customFormat="false" ht="16.5" hidden="false" customHeight="true" outlineLevel="0" collapsed="false">
      <c r="A960" s="39" t="str">
        <f aca="false">IF($F960="","",ROW())</f>
        <v/>
      </c>
      <c r="B960" s="40" t="str">
        <f aca="false">IF($F960="",IF($D960="","","Falta a atividade"),IF($R960="Cancelada","Cancelada",IF($AB960=1,IF(N($Z960)&gt;0,"Concluída com atraso","Concluída"),IF($R960="Em programação","Em programação",IF($O960="",IF($M960="","Na carteira","Falta a semana"),IF($AC960=1,"VENCIDA",IF($O960&gt;Hoje!$L$1,"Programada",IF($P960&gt;Hoje!$L$1,"Em execução","Fecha hoje"))))))))</f>
        <v/>
      </c>
      <c r="C960" s="41"/>
      <c r="D960" s="42"/>
      <c r="E960" s="42"/>
      <c r="F960" s="42"/>
      <c r="G960" s="43"/>
      <c r="H960" s="43"/>
      <c r="I960" s="44"/>
      <c r="J960" s="44"/>
      <c r="K960" s="44"/>
      <c r="L960" s="45"/>
      <c r="M960" s="46"/>
      <c r="N960" s="45"/>
      <c r="O960" s="47" t="str">
        <f aca="false">IF(OR($L960="",$M960=""),"",(DATE(Semana!$J$3,1,4)-WEEKDAY(DATE(Semana!$J$3,1,4),3))+($L960-1)*7+MATCH($M960,Listas!$F$5:$F$11,0)-1)</f>
        <v/>
      </c>
      <c r="P960" s="47" t="str">
        <f aca="false">IF(OR($F960="",$O960=""),"",$O960+MAX(0,ROUNDUP($AK960*MAX(1,IF($N960="",1,$N960))/MAX(1,$AL960),0)-1))</f>
        <v/>
      </c>
      <c r="Q960" s="48"/>
      <c r="R960" s="43"/>
      <c r="S960" s="49"/>
      <c r="T960" s="42"/>
      <c r="U960" s="42"/>
      <c r="V960" s="39" t="str">
        <f aca="false">IF($F960="","",IF(ISNUMBER(SEARCH("(externo)",$I960&amp;$J960&amp;$K960)),"Terceirizada","Interna"))</f>
        <v/>
      </c>
      <c r="W960" s="47" t="str">
        <f aca="false">IF($O960="","",IF($S960="",$O960,(DATE(Semana!$J$3,1,4)-WEEKDAY(DATE(Semana!$J$3,1,4),3))+($S960-1)*7+IF($M960="",0,MATCH($M960,Listas!$F$5:$F$11,0)-1)))</f>
        <v/>
      </c>
      <c r="X960" s="39" t="str">
        <f aca="false">IF($F960="","",IF(OR($AT960="",$O960=""),0,IF($AT960&lt;=$O960,1,0)))</f>
        <v/>
      </c>
      <c r="Y960" s="39" t="str">
        <f aca="false">IF($F960="","",IF(OR($AT960="",$W960=""),0,IF($AT960&lt;=$W960,1,0)))</f>
        <v/>
      </c>
      <c r="Z960" s="39" t="str">
        <f aca="false">IF(OR($AT960="",$O960=""),"",MAX(0,$AT960-$O960))</f>
        <v/>
      </c>
      <c r="AA960" s="39" t="str">
        <f aca="false">IF($F960="","",IF(AND($S960&lt;&gt;"",$L960&lt;&gt;"",$S960&lt;&gt;$L960),1,0))</f>
        <v/>
      </c>
      <c r="AB960" s="39" t="str">
        <f aca="false">IF($F960="","",IF($R960="Cancelada",0,IF(OR($AT960&lt;&gt;"",$R960="Concluída"),1,0)))</f>
        <v/>
      </c>
      <c r="AC960" s="39" t="n">
        <f aca="false">IF($P960="",0,IF($P960&lt;Hoje!$L$1,1,IF(AND($P960=Hoje!$L$1,Hoje!$L$2&gt;Semana!$M$3),1,0)))</f>
        <v>0</v>
      </c>
      <c r="AD960" s="39" t="str">
        <f aca="false">IF($F960="","",IF(COUNTA($I960:$K960)=0,0,1/COUNTA($I960:$K960)))</f>
        <v/>
      </c>
      <c r="AE960" s="39" t="str">
        <f aca="false">IF($AH960=0,"",SUM($AH$4:$AH960))</f>
        <v/>
      </c>
      <c r="AF960" s="39" t="str">
        <f aca="false">IF($AI960=0,"",SUM($AI$4:$AI960))</f>
        <v/>
      </c>
      <c r="AG960" s="50" t="str">
        <f aca="false">IF($F960="","",$I960&amp;IF($J960="",""," · "&amp;$J960)&amp;IF($K960="",""," · "&amp;$K960))</f>
        <v/>
      </c>
      <c r="AH960" s="39" t="n">
        <f aca="false">IF(AND($F960&lt;&gt;"",$O960&lt;&gt;"",$O960&lt;=Hoje!$C$3,$P960&gt;=Hoje!$C$3,$R960&lt;&gt;"Cancelada"),1,0)</f>
        <v>0</v>
      </c>
      <c r="AI960" s="39" t="n">
        <f aca="false">IF(AND($F960&lt;&gt;"",$P960&lt;&gt;"",$P960&lt;Hoje!$C$3,$AB960=0,$R960&lt;&gt;"Cancelada"),1,0)</f>
        <v>0</v>
      </c>
      <c r="AJ960" s="50" t="str">
        <f aca="false">IF($F960="","",$D960&amp;"|"&amp;$E960&amp;"|"&amp;$L960)</f>
        <v/>
      </c>
      <c r="AK960" s="39" t="str">
        <f aca="false">IF($AJ960="","",COUNTIF($AJ$4:$AJ960,$AJ960))</f>
        <v/>
      </c>
      <c r="AL960" s="39" t="str">
        <f aca="false">IF($AJ960="","",COUNTIF($AJ$4:$AJ$1004,$AJ960))</f>
        <v/>
      </c>
      <c r="AM960" s="42"/>
      <c r="AN960" s="50" t="str">
        <f aca="false">IF($D960="","",IFERROR(T(VLOOKUP($D960,Listas!$B$5:$H$120,7,0)),""))</f>
        <v/>
      </c>
      <c r="AO960" s="50" t="str">
        <f aca="false">IF(OR($F960="",$L960&lt;&gt;"",$R960="Cancelada",$AT960&lt;&gt;""),"",$AN960&amp;"|"&amp;$D960&amp;"|"&amp;IF($C960="","zzz",$C960)&amp;"|"&amp;TEXT(960,"0000"))</f>
        <v/>
      </c>
      <c r="AP960" s="50" t="str">
        <f aca="false">IF($AO960="","",COUNTIF($AO$5:$AO$1004,"&lt;"&amp;$AO960)-(ROWS($AO$5:$AO$1004)-Hoje!$L$5)+1)</f>
        <v/>
      </c>
      <c r="AQ960" s="50" t="n">
        <f aca="false">IF(AND($F960&lt;&gt;"",$D960=Frota!$C$3),1,0)</f>
        <v>0</v>
      </c>
      <c r="AR960" s="50" t="str">
        <f aca="false">IF($AQ960=0,"",SUM($AQ$4:$AQ960))</f>
        <v/>
      </c>
      <c r="AS960" s="50" t="str">
        <f aca="false">IFERROR(INDEX(Hoje!$K$10:$K$29,MATCH(ROW(),Hoje!$J$10:$J$29,0)),"")</f>
        <v/>
      </c>
      <c r="AT960" s="50" t="str">
        <f aca="false">IF($Q960&lt;&gt;"",$Q960,$AS960)</f>
        <v/>
      </c>
    </row>
    <row r="961" customFormat="false" ht="16.5" hidden="false" customHeight="true" outlineLevel="0" collapsed="false">
      <c r="A961" s="39" t="str">
        <f aca="false">IF($F961="","",ROW())</f>
        <v/>
      </c>
      <c r="B961" s="40" t="str">
        <f aca="false">IF($F961="",IF($D961="","","Falta a atividade"),IF($R961="Cancelada","Cancelada",IF($AB961=1,IF(N($Z961)&gt;0,"Concluída com atraso","Concluída"),IF($R961="Em programação","Em programação",IF($O961="",IF($M961="","Na carteira","Falta a semana"),IF($AC961=1,"VENCIDA",IF($O961&gt;Hoje!$L$1,"Programada",IF($P961&gt;Hoje!$L$1,"Em execução","Fecha hoje"))))))))</f>
        <v/>
      </c>
      <c r="C961" s="41"/>
      <c r="D961" s="42"/>
      <c r="E961" s="42"/>
      <c r="F961" s="42"/>
      <c r="G961" s="43"/>
      <c r="H961" s="43"/>
      <c r="I961" s="44"/>
      <c r="J961" s="44"/>
      <c r="K961" s="44"/>
      <c r="L961" s="45"/>
      <c r="M961" s="46"/>
      <c r="N961" s="45"/>
      <c r="O961" s="47" t="str">
        <f aca="false">IF(OR($L961="",$M961=""),"",(DATE(Semana!$J$3,1,4)-WEEKDAY(DATE(Semana!$J$3,1,4),3))+($L961-1)*7+MATCH($M961,Listas!$F$5:$F$11,0)-1)</f>
        <v/>
      </c>
      <c r="P961" s="47" t="str">
        <f aca="false">IF(OR($F961="",$O961=""),"",$O961+MAX(0,ROUNDUP($AK961*MAX(1,IF($N961="",1,$N961))/MAX(1,$AL961),0)-1))</f>
        <v/>
      </c>
      <c r="Q961" s="48"/>
      <c r="R961" s="43"/>
      <c r="S961" s="49"/>
      <c r="T961" s="42"/>
      <c r="U961" s="42"/>
      <c r="V961" s="39" t="str">
        <f aca="false">IF($F961="","",IF(ISNUMBER(SEARCH("(externo)",$I961&amp;$J961&amp;$K961)),"Terceirizada","Interna"))</f>
        <v/>
      </c>
      <c r="W961" s="47" t="str">
        <f aca="false">IF($O961="","",IF($S961="",$O961,(DATE(Semana!$J$3,1,4)-WEEKDAY(DATE(Semana!$J$3,1,4),3))+($S961-1)*7+IF($M961="",0,MATCH($M961,Listas!$F$5:$F$11,0)-1)))</f>
        <v/>
      </c>
      <c r="X961" s="39" t="str">
        <f aca="false">IF($F961="","",IF(OR($AT961="",$O961=""),0,IF($AT961&lt;=$O961,1,0)))</f>
        <v/>
      </c>
      <c r="Y961" s="39" t="str">
        <f aca="false">IF($F961="","",IF(OR($AT961="",$W961=""),0,IF($AT961&lt;=$W961,1,0)))</f>
        <v/>
      </c>
      <c r="Z961" s="39" t="str">
        <f aca="false">IF(OR($AT961="",$O961=""),"",MAX(0,$AT961-$O961))</f>
        <v/>
      </c>
      <c r="AA961" s="39" t="str">
        <f aca="false">IF($F961="","",IF(AND($S961&lt;&gt;"",$L961&lt;&gt;"",$S961&lt;&gt;$L961),1,0))</f>
        <v/>
      </c>
      <c r="AB961" s="39" t="str">
        <f aca="false">IF($F961="","",IF($R961="Cancelada",0,IF(OR($AT961&lt;&gt;"",$R961="Concluída"),1,0)))</f>
        <v/>
      </c>
      <c r="AC961" s="39" t="n">
        <f aca="false">IF($P961="",0,IF($P961&lt;Hoje!$L$1,1,IF(AND($P961=Hoje!$L$1,Hoje!$L$2&gt;Semana!$M$3),1,0)))</f>
        <v>0</v>
      </c>
      <c r="AD961" s="39" t="str">
        <f aca="false">IF($F961="","",IF(COUNTA($I961:$K961)=0,0,1/COUNTA($I961:$K961)))</f>
        <v/>
      </c>
      <c r="AE961" s="39" t="str">
        <f aca="false">IF($AH961=0,"",SUM($AH$4:$AH961))</f>
        <v/>
      </c>
      <c r="AF961" s="39" t="str">
        <f aca="false">IF($AI961=0,"",SUM($AI$4:$AI961))</f>
        <v/>
      </c>
      <c r="AG961" s="50" t="str">
        <f aca="false">IF($F961="","",$I961&amp;IF($J961="",""," · "&amp;$J961)&amp;IF($K961="",""," · "&amp;$K961))</f>
        <v/>
      </c>
      <c r="AH961" s="39" t="n">
        <f aca="false">IF(AND($F961&lt;&gt;"",$O961&lt;&gt;"",$O961&lt;=Hoje!$C$3,$P961&gt;=Hoje!$C$3,$R961&lt;&gt;"Cancelada"),1,0)</f>
        <v>0</v>
      </c>
      <c r="AI961" s="39" t="n">
        <f aca="false">IF(AND($F961&lt;&gt;"",$P961&lt;&gt;"",$P961&lt;Hoje!$C$3,$AB961=0,$R961&lt;&gt;"Cancelada"),1,0)</f>
        <v>0</v>
      </c>
      <c r="AJ961" s="50" t="str">
        <f aca="false">IF($F961="","",$D961&amp;"|"&amp;$E961&amp;"|"&amp;$L961)</f>
        <v/>
      </c>
      <c r="AK961" s="39" t="str">
        <f aca="false">IF($AJ961="","",COUNTIF($AJ$4:$AJ961,$AJ961))</f>
        <v/>
      </c>
      <c r="AL961" s="39" t="str">
        <f aca="false">IF($AJ961="","",COUNTIF($AJ$4:$AJ$1004,$AJ961))</f>
        <v/>
      </c>
      <c r="AM961" s="42"/>
      <c r="AN961" s="50" t="str">
        <f aca="false">IF($D961="","",IFERROR(T(VLOOKUP($D961,Listas!$B$5:$H$120,7,0)),""))</f>
        <v/>
      </c>
      <c r="AO961" s="50" t="str">
        <f aca="false">IF(OR($F961="",$L961&lt;&gt;"",$R961="Cancelada",$AT961&lt;&gt;""),"",$AN961&amp;"|"&amp;$D961&amp;"|"&amp;IF($C961="","zzz",$C961)&amp;"|"&amp;TEXT(961,"0000"))</f>
        <v/>
      </c>
      <c r="AP961" s="50" t="str">
        <f aca="false">IF($AO961="","",COUNTIF($AO$5:$AO$1004,"&lt;"&amp;$AO961)-(ROWS($AO$5:$AO$1004)-Hoje!$L$5)+1)</f>
        <v/>
      </c>
      <c r="AQ961" s="50" t="n">
        <f aca="false">IF(AND($F961&lt;&gt;"",$D961=Frota!$C$3),1,0)</f>
        <v>0</v>
      </c>
      <c r="AR961" s="50" t="str">
        <f aca="false">IF($AQ961=0,"",SUM($AQ$4:$AQ961))</f>
        <v/>
      </c>
      <c r="AS961" s="50" t="str">
        <f aca="false">IFERROR(INDEX(Hoje!$K$10:$K$29,MATCH(ROW(),Hoje!$J$10:$J$29,0)),"")</f>
        <v/>
      </c>
      <c r="AT961" s="50" t="str">
        <f aca="false">IF($Q961&lt;&gt;"",$Q961,$AS961)</f>
        <v/>
      </c>
    </row>
    <row r="962" customFormat="false" ht="16.5" hidden="false" customHeight="true" outlineLevel="0" collapsed="false">
      <c r="A962" s="39" t="str">
        <f aca="false">IF($F962="","",ROW())</f>
        <v/>
      </c>
      <c r="B962" s="40" t="str">
        <f aca="false">IF($F962="",IF($D962="","","Falta a atividade"),IF($R962="Cancelada","Cancelada",IF($AB962=1,IF(N($Z962)&gt;0,"Concluída com atraso","Concluída"),IF($R962="Em programação","Em programação",IF($O962="",IF($M962="","Na carteira","Falta a semana"),IF($AC962=1,"VENCIDA",IF($O962&gt;Hoje!$L$1,"Programada",IF($P962&gt;Hoje!$L$1,"Em execução","Fecha hoje"))))))))</f>
        <v/>
      </c>
      <c r="C962" s="41"/>
      <c r="D962" s="42"/>
      <c r="E962" s="42"/>
      <c r="F962" s="42"/>
      <c r="G962" s="43"/>
      <c r="H962" s="43"/>
      <c r="I962" s="44"/>
      <c r="J962" s="44"/>
      <c r="K962" s="44"/>
      <c r="L962" s="45"/>
      <c r="M962" s="46"/>
      <c r="N962" s="45"/>
      <c r="O962" s="47" t="str">
        <f aca="false">IF(OR($L962="",$M962=""),"",(DATE(Semana!$J$3,1,4)-WEEKDAY(DATE(Semana!$J$3,1,4),3))+($L962-1)*7+MATCH($M962,Listas!$F$5:$F$11,0)-1)</f>
        <v/>
      </c>
      <c r="P962" s="47" t="str">
        <f aca="false">IF(OR($F962="",$O962=""),"",$O962+MAX(0,ROUNDUP($AK962*MAX(1,IF($N962="",1,$N962))/MAX(1,$AL962),0)-1))</f>
        <v/>
      </c>
      <c r="Q962" s="48"/>
      <c r="R962" s="43"/>
      <c r="S962" s="49"/>
      <c r="T962" s="42"/>
      <c r="U962" s="42"/>
      <c r="V962" s="39" t="str">
        <f aca="false">IF($F962="","",IF(ISNUMBER(SEARCH("(externo)",$I962&amp;$J962&amp;$K962)),"Terceirizada","Interna"))</f>
        <v/>
      </c>
      <c r="W962" s="47" t="str">
        <f aca="false">IF($O962="","",IF($S962="",$O962,(DATE(Semana!$J$3,1,4)-WEEKDAY(DATE(Semana!$J$3,1,4),3))+($S962-1)*7+IF($M962="",0,MATCH($M962,Listas!$F$5:$F$11,0)-1)))</f>
        <v/>
      </c>
      <c r="X962" s="39" t="str">
        <f aca="false">IF($F962="","",IF(OR($AT962="",$O962=""),0,IF($AT962&lt;=$O962,1,0)))</f>
        <v/>
      </c>
      <c r="Y962" s="39" t="str">
        <f aca="false">IF($F962="","",IF(OR($AT962="",$W962=""),0,IF($AT962&lt;=$W962,1,0)))</f>
        <v/>
      </c>
      <c r="Z962" s="39" t="str">
        <f aca="false">IF(OR($AT962="",$O962=""),"",MAX(0,$AT962-$O962))</f>
        <v/>
      </c>
      <c r="AA962" s="39" t="str">
        <f aca="false">IF($F962="","",IF(AND($S962&lt;&gt;"",$L962&lt;&gt;"",$S962&lt;&gt;$L962),1,0))</f>
        <v/>
      </c>
      <c r="AB962" s="39" t="str">
        <f aca="false">IF($F962="","",IF($R962="Cancelada",0,IF(OR($AT962&lt;&gt;"",$R962="Concluída"),1,0)))</f>
        <v/>
      </c>
      <c r="AC962" s="39" t="n">
        <f aca="false">IF($P962="",0,IF($P962&lt;Hoje!$L$1,1,IF(AND($P962=Hoje!$L$1,Hoje!$L$2&gt;Semana!$M$3),1,0)))</f>
        <v>0</v>
      </c>
      <c r="AD962" s="39" t="str">
        <f aca="false">IF($F962="","",IF(COUNTA($I962:$K962)=0,0,1/COUNTA($I962:$K962)))</f>
        <v/>
      </c>
      <c r="AE962" s="39" t="str">
        <f aca="false">IF($AH962=0,"",SUM($AH$4:$AH962))</f>
        <v/>
      </c>
      <c r="AF962" s="39" t="str">
        <f aca="false">IF($AI962=0,"",SUM($AI$4:$AI962))</f>
        <v/>
      </c>
      <c r="AG962" s="50" t="str">
        <f aca="false">IF($F962="","",$I962&amp;IF($J962="",""," · "&amp;$J962)&amp;IF($K962="",""," · "&amp;$K962))</f>
        <v/>
      </c>
      <c r="AH962" s="39" t="n">
        <f aca="false">IF(AND($F962&lt;&gt;"",$O962&lt;&gt;"",$O962&lt;=Hoje!$C$3,$P962&gt;=Hoje!$C$3,$R962&lt;&gt;"Cancelada"),1,0)</f>
        <v>0</v>
      </c>
      <c r="AI962" s="39" t="n">
        <f aca="false">IF(AND($F962&lt;&gt;"",$P962&lt;&gt;"",$P962&lt;Hoje!$C$3,$AB962=0,$R962&lt;&gt;"Cancelada"),1,0)</f>
        <v>0</v>
      </c>
      <c r="AJ962" s="50" t="str">
        <f aca="false">IF($F962="","",$D962&amp;"|"&amp;$E962&amp;"|"&amp;$L962)</f>
        <v/>
      </c>
      <c r="AK962" s="39" t="str">
        <f aca="false">IF($AJ962="","",COUNTIF($AJ$4:$AJ962,$AJ962))</f>
        <v/>
      </c>
      <c r="AL962" s="39" t="str">
        <f aca="false">IF($AJ962="","",COUNTIF($AJ$4:$AJ$1004,$AJ962))</f>
        <v/>
      </c>
      <c r="AM962" s="42"/>
      <c r="AN962" s="50" t="str">
        <f aca="false">IF($D962="","",IFERROR(T(VLOOKUP($D962,Listas!$B$5:$H$120,7,0)),""))</f>
        <v/>
      </c>
      <c r="AO962" s="50" t="str">
        <f aca="false">IF(OR($F962="",$L962&lt;&gt;"",$R962="Cancelada",$AT962&lt;&gt;""),"",$AN962&amp;"|"&amp;$D962&amp;"|"&amp;IF($C962="","zzz",$C962)&amp;"|"&amp;TEXT(962,"0000"))</f>
        <v/>
      </c>
      <c r="AP962" s="50" t="str">
        <f aca="false">IF($AO962="","",COUNTIF($AO$5:$AO$1004,"&lt;"&amp;$AO962)-(ROWS($AO$5:$AO$1004)-Hoje!$L$5)+1)</f>
        <v/>
      </c>
      <c r="AQ962" s="50" t="n">
        <f aca="false">IF(AND($F962&lt;&gt;"",$D962=Frota!$C$3),1,0)</f>
        <v>0</v>
      </c>
      <c r="AR962" s="50" t="str">
        <f aca="false">IF($AQ962=0,"",SUM($AQ$4:$AQ962))</f>
        <v/>
      </c>
      <c r="AS962" s="50" t="str">
        <f aca="false">IFERROR(INDEX(Hoje!$K$10:$K$29,MATCH(ROW(),Hoje!$J$10:$J$29,0)),"")</f>
        <v/>
      </c>
      <c r="AT962" s="50" t="str">
        <f aca="false">IF($Q962&lt;&gt;"",$Q962,$AS962)</f>
        <v/>
      </c>
    </row>
    <row r="963" customFormat="false" ht="16.5" hidden="false" customHeight="true" outlineLevel="0" collapsed="false">
      <c r="A963" s="39" t="str">
        <f aca="false">IF($F963="","",ROW())</f>
        <v/>
      </c>
      <c r="B963" s="40" t="str">
        <f aca="false">IF($F963="",IF($D963="","","Falta a atividade"),IF($R963="Cancelada","Cancelada",IF($AB963=1,IF(N($Z963)&gt;0,"Concluída com atraso","Concluída"),IF($R963="Em programação","Em programação",IF($O963="",IF($M963="","Na carteira","Falta a semana"),IF($AC963=1,"VENCIDA",IF($O963&gt;Hoje!$L$1,"Programada",IF($P963&gt;Hoje!$L$1,"Em execução","Fecha hoje"))))))))</f>
        <v/>
      </c>
      <c r="C963" s="41"/>
      <c r="D963" s="42"/>
      <c r="E963" s="42"/>
      <c r="F963" s="42"/>
      <c r="G963" s="43"/>
      <c r="H963" s="43"/>
      <c r="I963" s="44"/>
      <c r="J963" s="44"/>
      <c r="K963" s="44"/>
      <c r="L963" s="45"/>
      <c r="M963" s="46"/>
      <c r="N963" s="45"/>
      <c r="O963" s="47" t="str">
        <f aca="false">IF(OR($L963="",$M963=""),"",(DATE(Semana!$J$3,1,4)-WEEKDAY(DATE(Semana!$J$3,1,4),3))+($L963-1)*7+MATCH($M963,Listas!$F$5:$F$11,0)-1)</f>
        <v/>
      </c>
      <c r="P963" s="47" t="str">
        <f aca="false">IF(OR($F963="",$O963=""),"",$O963+MAX(0,ROUNDUP($AK963*MAX(1,IF($N963="",1,$N963))/MAX(1,$AL963),0)-1))</f>
        <v/>
      </c>
      <c r="Q963" s="48"/>
      <c r="R963" s="43"/>
      <c r="S963" s="49"/>
      <c r="T963" s="42"/>
      <c r="U963" s="42"/>
      <c r="V963" s="39" t="str">
        <f aca="false">IF($F963="","",IF(ISNUMBER(SEARCH("(externo)",$I963&amp;$J963&amp;$K963)),"Terceirizada","Interna"))</f>
        <v/>
      </c>
      <c r="W963" s="47" t="str">
        <f aca="false">IF($O963="","",IF($S963="",$O963,(DATE(Semana!$J$3,1,4)-WEEKDAY(DATE(Semana!$J$3,1,4),3))+($S963-1)*7+IF($M963="",0,MATCH($M963,Listas!$F$5:$F$11,0)-1)))</f>
        <v/>
      </c>
      <c r="X963" s="39" t="str">
        <f aca="false">IF($F963="","",IF(OR($AT963="",$O963=""),0,IF($AT963&lt;=$O963,1,0)))</f>
        <v/>
      </c>
      <c r="Y963" s="39" t="str">
        <f aca="false">IF($F963="","",IF(OR($AT963="",$W963=""),0,IF($AT963&lt;=$W963,1,0)))</f>
        <v/>
      </c>
      <c r="Z963" s="39" t="str">
        <f aca="false">IF(OR($AT963="",$O963=""),"",MAX(0,$AT963-$O963))</f>
        <v/>
      </c>
      <c r="AA963" s="39" t="str">
        <f aca="false">IF($F963="","",IF(AND($S963&lt;&gt;"",$L963&lt;&gt;"",$S963&lt;&gt;$L963),1,0))</f>
        <v/>
      </c>
      <c r="AB963" s="39" t="str">
        <f aca="false">IF($F963="","",IF($R963="Cancelada",0,IF(OR($AT963&lt;&gt;"",$R963="Concluída"),1,0)))</f>
        <v/>
      </c>
      <c r="AC963" s="39" t="n">
        <f aca="false">IF($P963="",0,IF($P963&lt;Hoje!$L$1,1,IF(AND($P963=Hoje!$L$1,Hoje!$L$2&gt;Semana!$M$3),1,0)))</f>
        <v>0</v>
      </c>
      <c r="AD963" s="39" t="str">
        <f aca="false">IF($F963="","",IF(COUNTA($I963:$K963)=0,0,1/COUNTA($I963:$K963)))</f>
        <v/>
      </c>
      <c r="AE963" s="39" t="str">
        <f aca="false">IF($AH963=0,"",SUM($AH$4:$AH963))</f>
        <v/>
      </c>
      <c r="AF963" s="39" t="str">
        <f aca="false">IF($AI963=0,"",SUM($AI$4:$AI963))</f>
        <v/>
      </c>
      <c r="AG963" s="50" t="str">
        <f aca="false">IF($F963="","",$I963&amp;IF($J963="",""," · "&amp;$J963)&amp;IF($K963="",""," · "&amp;$K963))</f>
        <v/>
      </c>
      <c r="AH963" s="39" t="n">
        <f aca="false">IF(AND($F963&lt;&gt;"",$O963&lt;&gt;"",$O963&lt;=Hoje!$C$3,$P963&gt;=Hoje!$C$3,$R963&lt;&gt;"Cancelada"),1,0)</f>
        <v>0</v>
      </c>
      <c r="AI963" s="39" t="n">
        <f aca="false">IF(AND($F963&lt;&gt;"",$P963&lt;&gt;"",$P963&lt;Hoje!$C$3,$AB963=0,$R963&lt;&gt;"Cancelada"),1,0)</f>
        <v>0</v>
      </c>
      <c r="AJ963" s="50" t="str">
        <f aca="false">IF($F963="","",$D963&amp;"|"&amp;$E963&amp;"|"&amp;$L963)</f>
        <v/>
      </c>
      <c r="AK963" s="39" t="str">
        <f aca="false">IF($AJ963="","",COUNTIF($AJ$4:$AJ963,$AJ963))</f>
        <v/>
      </c>
      <c r="AL963" s="39" t="str">
        <f aca="false">IF($AJ963="","",COUNTIF($AJ$4:$AJ$1004,$AJ963))</f>
        <v/>
      </c>
      <c r="AM963" s="42"/>
      <c r="AN963" s="50" t="str">
        <f aca="false">IF($D963="","",IFERROR(T(VLOOKUP($D963,Listas!$B$5:$H$120,7,0)),""))</f>
        <v/>
      </c>
      <c r="AO963" s="50" t="str">
        <f aca="false">IF(OR($F963="",$L963&lt;&gt;"",$R963="Cancelada",$AT963&lt;&gt;""),"",$AN963&amp;"|"&amp;$D963&amp;"|"&amp;IF($C963="","zzz",$C963)&amp;"|"&amp;TEXT(963,"0000"))</f>
        <v/>
      </c>
      <c r="AP963" s="50" t="str">
        <f aca="false">IF($AO963="","",COUNTIF($AO$5:$AO$1004,"&lt;"&amp;$AO963)-(ROWS($AO$5:$AO$1004)-Hoje!$L$5)+1)</f>
        <v/>
      </c>
      <c r="AQ963" s="50" t="n">
        <f aca="false">IF(AND($F963&lt;&gt;"",$D963=Frota!$C$3),1,0)</f>
        <v>0</v>
      </c>
      <c r="AR963" s="50" t="str">
        <f aca="false">IF($AQ963=0,"",SUM($AQ$4:$AQ963))</f>
        <v/>
      </c>
      <c r="AS963" s="50" t="str">
        <f aca="false">IFERROR(INDEX(Hoje!$K$10:$K$29,MATCH(ROW(),Hoje!$J$10:$J$29,0)),"")</f>
        <v/>
      </c>
      <c r="AT963" s="50" t="str">
        <f aca="false">IF($Q963&lt;&gt;"",$Q963,$AS963)</f>
        <v/>
      </c>
    </row>
    <row r="964" customFormat="false" ht="16.5" hidden="false" customHeight="true" outlineLevel="0" collapsed="false">
      <c r="A964" s="39" t="str">
        <f aca="false">IF($F964="","",ROW())</f>
        <v/>
      </c>
      <c r="B964" s="40" t="str">
        <f aca="false">IF($F964="",IF($D964="","","Falta a atividade"),IF($R964="Cancelada","Cancelada",IF($AB964=1,IF(N($Z964)&gt;0,"Concluída com atraso","Concluída"),IF($R964="Em programação","Em programação",IF($O964="",IF($M964="","Na carteira","Falta a semana"),IF($AC964=1,"VENCIDA",IF($O964&gt;Hoje!$L$1,"Programada",IF($P964&gt;Hoje!$L$1,"Em execução","Fecha hoje"))))))))</f>
        <v/>
      </c>
      <c r="C964" s="41"/>
      <c r="D964" s="42"/>
      <c r="E964" s="42"/>
      <c r="F964" s="42"/>
      <c r="G964" s="43"/>
      <c r="H964" s="43"/>
      <c r="I964" s="44"/>
      <c r="J964" s="44"/>
      <c r="K964" s="44"/>
      <c r="L964" s="45"/>
      <c r="M964" s="46"/>
      <c r="N964" s="45"/>
      <c r="O964" s="47" t="str">
        <f aca="false">IF(OR($L964="",$M964=""),"",(DATE(Semana!$J$3,1,4)-WEEKDAY(DATE(Semana!$J$3,1,4),3))+($L964-1)*7+MATCH($M964,Listas!$F$5:$F$11,0)-1)</f>
        <v/>
      </c>
      <c r="P964" s="47" t="str">
        <f aca="false">IF(OR($F964="",$O964=""),"",$O964+MAX(0,ROUNDUP($AK964*MAX(1,IF($N964="",1,$N964))/MAX(1,$AL964),0)-1))</f>
        <v/>
      </c>
      <c r="Q964" s="48"/>
      <c r="R964" s="43"/>
      <c r="S964" s="49"/>
      <c r="T964" s="42"/>
      <c r="U964" s="42"/>
      <c r="V964" s="39" t="str">
        <f aca="false">IF($F964="","",IF(ISNUMBER(SEARCH("(externo)",$I964&amp;$J964&amp;$K964)),"Terceirizada","Interna"))</f>
        <v/>
      </c>
      <c r="W964" s="47" t="str">
        <f aca="false">IF($O964="","",IF($S964="",$O964,(DATE(Semana!$J$3,1,4)-WEEKDAY(DATE(Semana!$J$3,1,4),3))+($S964-1)*7+IF($M964="",0,MATCH($M964,Listas!$F$5:$F$11,0)-1)))</f>
        <v/>
      </c>
      <c r="X964" s="39" t="str">
        <f aca="false">IF($F964="","",IF(OR($AT964="",$O964=""),0,IF($AT964&lt;=$O964,1,0)))</f>
        <v/>
      </c>
      <c r="Y964" s="39" t="str">
        <f aca="false">IF($F964="","",IF(OR($AT964="",$W964=""),0,IF($AT964&lt;=$W964,1,0)))</f>
        <v/>
      </c>
      <c r="Z964" s="39" t="str">
        <f aca="false">IF(OR($AT964="",$O964=""),"",MAX(0,$AT964-$O964))</f>
        <v/>
      </c>
      <c r="AA964" s="39" t="str">
        <f aca="false">IF($F964="","",IF(AND($S964&lt;&gt;"",$L964&lt;&gt;"",$S964&lt;&gt;$L964),1,0))</f>
        <v/>
      </c>
      <c r="AB964" s="39" t="str">
        <f aca="false">IF($F964="","",IF($R964="Cancelada",0,IF(OR($AT964&lt;&gt;"",$R964="Concluída"),1,0)))</f>
        <v/>
      </c>
      <c r="AC964" s="39" t="n">
        <f aca="false">IF($P964="",0,IF($P964&lt;Hoje!$L$1,1,IF(AND($P964=Hoje!$L$1,Hoje!$L$2&gt;Semana!$M$3),1,0)))</f>
        <v>0</v>
      </c>
      <c r="AD964" s="39" t="str">
        <f aca="false">IF($F964="","",IF(COUNTA($I964:$K964)=0,0,1/COUNTA($I964:$K964)))</f>
        <v/>
      </c>
      <c r="AE964" s="39" t="str">
        <f aca="false">IF($AH964=0,"",SUM($AH$4:$AH964))</f>
        <v/>
      </c>
      <c r="AF964" s="39" t="str">
        <f aca="false">IF($AI964=0,"",SUM($AI$4:$AI964))</f>
        <v/>
      </c>
      <c r="AG964" s="50" t="str">
        <f aca="false">IF($F964="","",$I964&amp;IF($J964="",""," · "&amp;$J964)&amp;IF($K964="",""," · "&amp;$K964))</f>
        <v/>
      </c>
      <c r="AH964" s="39" t="n">
        <f aca="false">IF(AND($F964&lt;&gt;"",$O964&lt;&gt;"",$O964&lt;=Hoje!$C$3,$P964&gt;=Hoje!$C$3,$R964&lt;&gt;"Cancelada"),1,0)</f>
        <v>0</v>
      </c>
      <c r="AI964" s="39" t="n">
        <f aca="false">IF(AND($F964&lt;&gt;"",$P964&lt;&gt;"",$P964&lt;Hoje!$C$3,$AB964=0,$R964&lt;&gt;"Cancelada"),1,0)</f>
        <v>0</v>
      </c>
      <c r="AJ964" s="50" t="str">
        <f aca="false">IF($F964="","",$D964&amp;"|"&amp;$E964&amp;"|"&amp;$L964)</f>
        <v/>
      </c>
      <c r="AK964" s="39" t="str">
        <f aca="false">IF($AJ964="","",COUNTIF($AJ$4:$AJ964,$AJ964))</f>
        <v/>
      </c>
      <c r="AL964" s="39" t="str">
        <f aca="false">IF($AJ964="","",COUNTIF($AJ$4:$AJ$1004,$AJ964))</f>
        <v/>
      </c>
      <c r="AM964" s="42"/>
      <c r="AN964" s="50" t="str">
        <f aca="false">IF($D964="","",IFERROR(T(VLOOKUP($D964,Listas!$B$5:$H$120,7,0)),""))</f>
        <v/>
      </c>
      <c r="AO964" s="50" t="str">
        <f aca="false">IF(OR($F964="",$L964&lt;&gt;"",$R964="Cancelada",$AT964&lt;&gt;""),"",$AN964&amp;"|"&amp;$D964&amp;"|"&amp;IF($C964="","zzz",$C964)&amp;"|"&amp;TEXT(964,"0000"))</f>
        <v/>
      </c>
      <c r="AP964" s="50" t="str">
        <f aca="false">IF($AO964="","",COUNTIF($AO$5:$AO$1004,"&lt;"&amp;$AO964)-(ROWS($AO$5:$AO$1004)-Hoje!$L$5)+1)</f>
        <v/>
      </c>
      <c r="AQ964" s="50" t="n">
        <f aca="false">IF(AND($F964&lt;&gt;"",$D964=Frota!$C$3),1,0)</f>
        <v>0</v>
      </c>
      <c r="AR964" s="50" t="str">
        <f aca="false">IF($AQ964=0,"",SUM($AQ$4:$AQ964))</f>
        <v/>
      </c>
      <c r="AS964" s="50" t="str">
        <f aca="false">IFERROR(INDEX(Hoje!$K$10:$K$29,MATCH(ROW(),Hoje!$J$10:$J$29,0)),"")</f>
        <v/>
      </c>
      <c r="AT964" s="50" t="str">
        <f aca="false">IF($Q964&lt;&gt;"",$Q964,$AS964)</f>
        <v/>
      </c>
    </row>
    <row r="965" customFormat="false" ht="16.5" hidden="false" customHeight="true" outlineLevel="0" collapsed="false">
      <c r="A965" s="39" t="str">
        <f aca="false">IF($F965="","",ROW())</f>
        <v/>
      </c>
      <c r="B965" s="40" t="str">
        <f aca="false">IF($F965="",IF($D965="","","Falta a atividade"),IF($R965="Cancelada","Cancelada",IF($AB965=1,IF(N($Z965)&gt;0,"Concluída com atraso","Concluída"),IF($R965="Em programação","Em programação",IF($O965="",IF($M965="","Na carteira","Falta a semana"),IF($AC965=1,"VENCIDA",IF($O965&gt;Hoje!$L$1,"Programada",IF($P965&gt;Hoje!$L$1,"Em execução","Fecha hoje"))))))))</f>
        <v/>
      </c>
      <c r="C965" s="41"/>
      <c r="D965" s="42"/>
      <c r="E965" s="42"/>
      <c r="F965" s="42"/>
      <c r="G965" s="43"/>
      <c r="H965" s="43"/>
      <c r="I965" s="44"/>
      <c r="J965" s="44"/>
      <c r="K965" s="44"/>
      <c r="L965" s="45"/>
      <c r="M965" s="46"/>
      <c r="N965" s="45"/>
      <c r="O965" s="47" t="str">
        <f aca="false">IF(OR($L965="",$M965=""),"",(DATE(Semana!$J$3,1,4)-WEEKDAY(DATE(Semana!$J$3,1,4),3))+($L965-1)*7+MATCH($M965,Listas!$F$5:$F$11,0)-1)</f>
        <v/>
      </c>
      <c r="P965" s="47" t="str">
        <f aca="false">IF(OR($F965="",$O965=""),"",$O965+MAX(0,ROUNDUP($AK965*MAX(1,IF($N965="",1,$N965))/MAX(1,$AL965),0)-1))</f>
        <v/>
      </c>
      <c r="Q965" s="48"/>
      <c r="R965" s="43"/>
      <c r="S965" s="49"/>
      <c r="T965" s="42"/>
      <c r="U965" s="42"/>
      <c r="V965" s="39" t="str">
        <f aca="false">IF($F965="","",IF(ISNUMBER(SEARCH("(externo)",$I965&amp;$J965&amp;$K965)),"Terceirizada","Interna"))</f>
        <v/>
      </c>
      <c r="W965" s="47" t="str">
        <f aca="false">IF($O965="","",IF($S965="",$O965,(DATE(Semana!$J$3,1,4)-WEEKDAY(DATE(Semana!$J$3,1,4),3))+($S965-1)*7+IF($M965="",0,MATCH($M965,Listas!$F$5:$F$11,0)-1)))</f>
        <v/>
      </c>
      <c r="X965" s="39" t="str">
        <f aca="false">IF($F965="","",IF(OR($AT965="",$O965=""),0,IF($AT965&lt;=$O965,1,0)))</f>
        <v/>
      </c>
      <c r="Y965" s="39" t="str">
        <f aca="false">IF($F965="","",IF(OR($AT965="",$W965=""),0,IF($AT965&lt;=$W965,1,0)))</f>
        <v/>
      </c>
      <c r="Z965" s="39" t="str">
        <f aca="false">IF(OR($AT965="",$O965=""),"",MAX(0,$AT965-$O965))</f>
        <v/>
      </c>
      <c r="AA965" s="39" t="str">
        <f aca="false">IF($F965="","",IF(AND($S965&lt;&gt;"",$L965&lt;&gt;"",$S965&lt;&gt;$L965),1,0))</f>
        <v/>
      </c>
      <c r="AB965" s="39" t="str">
        <f aca="false">IF($F965="","",IF($R965="Cancelada",0,IF(OR($AT965&lt;&gt;"",$R965="Concluída"),1,0)))</f>
        <v/>
      </c>
      <c r="AC965" s="39" t="n">
        <f aca="false">IF($P965="",0,IF($P965&lt;Hoje!$L$1,1,IF(AND($P965=Hoje!$L$1,Hoje!$L$2&gt;Semana!$M$3),1,0)))</f>
        <v>0</v>
      </c>
      <c r="AD965" s="39" t="str">
        <f aca="false">IF($F965="","",IF(COUNTA($I965:$K965)=0,0,1/COUNTA($I965:$K965)))</f>
        <v/>
      </c>
      <c r="AE965" s="39" t="str">
        <f aca="false">IF($AH965=0,"",SUM($AH$4:$AH965))</f>
        <v/>
      </c>
      <c r="AF965" s="39" t="str">
        <f aca="false">IF($AI965=0,"",SUM($AI$4:$AI965))</f>
        <v/>
      </c>
      <c r="AG965" s="50" t="str">
        <f aca="false">IF($F965="","",$I965&amp;IF($J965="",""," · "&amp;$J965)&amp;IF($K965="",""," · "&amp;$K965))</f>
        <v/>
      </c>
      <c r="AH965" s="39" t="n">
        <f aca="false">IF(AND($F965&lt;&gt;"",$O965&lt;&gt;"",$O965&lt;=Hoje!$C$3,$P965&gt;=Hoje!$C$3,$R965&lt;&gt;"Cancelada"),1,0)</f>
        <v>0</v>
      </c>
      <c r="AI965" s="39" t="n">
        <f aca="false">IF(AND($F965&lt;&gt;"",$P965&lt;&gt;"",$P965&lt;Hoje!$C$3,$AB965=0,$R965&lt;&gt;"Cancelada"),1,0)</f>
        <v>0</v>
      </c>
      <c r="AJ965" s="50" t="str">
        <f aca="false">IF($F965="","",$D965&amp;"|"&amp;$E965&amp;"|"&amp;$L965)</f>
        <v/>
      </c>
      <c r="AK965" s="39" t="str">
        <f aca="false">IF($AJ965="","",COUNTIF($AJ$4:$AJ965,$AJ965))</f>
        <v/>
      </c>
      <c r="AL965" s="39" t="str">
        <f aca="false">IF($AJ965="","",COUNTIF($AJ$4:$AJ$1004,$AJ965))</f>
        <v/>
      </c>
      <c r="AM965" s="42"/>
      <c r="AN965" s="50" t="str">
        <f aca="false">IF($D965="","",IFERROR(T(VLOOKUP($D965,Listas!$B$5:$H$120,7,0)),""))</f>
        <v/>
      </c>
      <c r="AO965" s="50" t="str">
        <f aca="false">IF(OR($F965="",$L965&lt;&gt;"",$R965="Cancelada",$AT965&lt;&gt;""),"",$AN965&amp;"|"&amp;$D965&amp;"|"&amp;IF($C965="","zzz",$C965)&amp;"|"&amp;TEXT(965,"0000"))</f>
        <v/>
      </c>
      <c r="AP965" s="50" t="str">
        <f aca="false">IF($AO965="","",COUNTIF($AO$5:$AO$1004,"&lt;"&amp;$AO965)-(ROWS($AO$5:$AO$1004)-Hoje!$L$5)+1)</f>
        <v/>
      </c>
      <c r="AQ965" s="50" t="n">
        <f aca="false">IF(AND($F965&lt;&gt;"",$D965=Frota!$C$3),1,0)</f>
        <v>0</v>
      </c>
      <c r="AR965" s="50" t="str">
        <f aca="false">IF($AQ965=0,"",SUM($AQ$4:$AQ965))</f>
        <v/>
      </c>
      <c r="AS965" s="50" t="str">
        <f aca="false">IFERROR(INDEX(Hoje!$K$10:$K$29,MATCH(ROW(),Hoje!$J$10:$J$29,0)),"")</f>
        <v/>
      </c>
      <c r="AT965" s="50" t="str">
        <f aca="false">IF($Q965&lt;&gt;"",$Q965,$AS965)</f>
        <v/>
      </c>
    </row>
    <row r="966" customFormat="false" ht="16.5" hidden="false" customHeight="true" outlineLevel="0" collapsed="false">
      <c r="A966" s="39" t="str">
        <f aca="false">IF($F966="","",ROW())</f>
        <v/>
      </c>
      <c r="B966" s="40" t="str">
        <f aca="false">IF($F966="",IF($D966="","","Falta a atividade"),IF($R966="Cancelada","Cancelada",IF($AB966=1,IF(N($Z966)&gt;0,"Concluída com atraso","Concluída"),IF($R966="Em programação","Em programação",IF($O966="",IF($M966="","Na carteira","Falta a semana"),IF($AC966=1,"VENCIDA",IF($O966&gt;Hoje!$L$1,"Programada",IF($P966&gt;Hoje!$L$1,"Em execução","Fecha hoje"))))))))</f>
        <v/>
      </c>
      <c r="C966" s="41"/>
      <c r="D966" s="42"/>
      <c r="E966" s="42"/>
      <c r="F966" s="42"/>
      <c r="G966" s="43"/>
      <c r="H966" s="43"/>
      <c r="I966" s="44"/>
      <c r="J966" s="44"/>
      <c r="K966" s="44"/>
      <c r="L966" s="45"/>
      <c r="M966" s="46"/>
      <c r="N966" s="45"/>
      <c r="O966" s="47" t="str">
        <f aca="false">IF(OR($L966="",$M966=""),"",(DATE(Semana!$J$3,1,4)-WEEKDAY(DATE(Semana!$J$3,1,4),3))+($L966-1)*7+MATCH($M966,Listas!$F$5:$F$11,0)-1)</f>
        <v/>
      </c>
      <c r="P966" s="47" t="str">
        <f aca="false">IF(OR($F966="",$O966=""),"",$O966+MAX(0,ROUNDUP($AK966*MAX(1,IF($N966="",1,$N966))/MAX(1,$AL966),0)-1))</f>
        <v/>
      </c>
      <c r="Q966" s="48"/>
      <c r="R966" s="43"/>
      <c r="S966" s="49"/>
      <c r="T966" s="42"/>
      <c r="U966" s="42"/>
      <c r="V966" s="39" t="str">
        <f aca="false">IF($F966="","",IF(ISNUMBER(SEARCH("(externo)",$I966&amp;$J966&amp;$K966)),"Terceirizada","Interna"))</f>
        <v/>
      </c>
      <c r="W966" s="47" t="str">
        <f aca="false">IF($O966="","",IF($S966="",$O966,(DATE(Semana!$J$3,1,4)-WEEKDAY(DATE(Semana!$J$3,1,4),3))+($S966-1)*7+IF($M966="",0,MATCH($M966,Listas!$F$5:$F$11,0)-1)))</f>
        <v/>
      </c>
      <c r="X966" s="39" t="str">
        <f aca="false">IF($F966="","",IF(OR($AT966="",$O966=""),0,IF($AT966&lt;=$O966,1,0)))</f>
        <v/>
      </c>
      <c r="Y966" s="39" t="str">
        <f aca="false">IF($F966="","",IF(OR($AT966="",$W966=""),0,IF($AT966&lt;=$W966,1,0)))</f>
        <v/>
      </c>
      <c r="Z966" s="39" t="str">
        <f aca="false">IF(OR($AT966="",$O966=""),"",MAX(0,$AT966-$O966))</f>
        <v/>
      </c>
      <c r="AA966" s="39" t="str">
        <f aca="false">IF($F966="","",IF(AND($S966&lt;&gt;"",$L966&lt;&gt;"",$S966&lt;&gt;$L966),1,0))</f>
        <v/>
      </c>
      <c r="AB966" s="39" t="str">
        <f aca="false">IF($F966="","",IF($R966="Cancelada",0,IF(OR($AT966&lt;&gt;"",$R966="Concluída"),1,0)))</f>
        <v/>
      </c>
      <c r="AC966" s="39" t="n">
        <f aca="false">IF($P966="",0,IF($P966&lt;Hoje!$L$1,1,IF(AND($P966=Hoje!$L$1,Hoje!$L$2&gt;Semana!$M$3),1,0)))</f>
        <v>0</v>
      </c>
      <c r="AD966" s="39" t="str">
        <f aca="false">IF($F966="","",IF(COUNTA($I966:$K966)=0,0,1/COUNTA($I966:$K966)))</f>
        <v/>
      </c>
      <c r="AE966" s="39" t="str">
        <f aca="false">IF($AH966=0,"",SUM($AH$4:$AH966))</f>
        <v/>
      </c>
      <c r="AF966" s="39" t="str">
        <f aca="false">IF($AI966=0,"",SUM($AI$4:$AI966))</f>
        <v/>
      </c>
      <c r="AG966" s="50" t="str">
        <f aca="false">IF($F966="","",$I966&amp;IF($J966="",""," · "&amp;$J966)&amp;IF($K966="",""," · "&amp;$K966))</f>
        <v/>
      </c>
      <c r="AH966" s="39" t="n">
        <f aca="false">IF(AND($F966&lt;&gt;"",$O966&lt;&gt;"",$O966&lt;=Hoje!$C$3,$P966&gt;=Hoje!$C$3,$R966&lt;&gt;"Cancelada"),1,0)</f>
        <v>0</v>
      </c>
      <c r="AI966" s="39" t="n">
        <f aca="false">IF(AND($F966&lt;&gt;"",$P966&lt;&gt;"",$P966&lt;Hoje!$C$3,$AB966=0,$R966&lt;&gt;"Cancelada"),1,0)</f>
        <v>0</v>
      </c>
      <c r="AJ966" s="50" t="str">
        <f aca="false">IF($F966="","",$D966&amp;"|"&amp;$E966&amp;"|"&amp;$L966)</f>
        <v/>
      </c>
      <c r="AK966" s="39" t="str">
        <f aca="false">IF($AJ966="","",COUNTIF($AJ$4:$AJ966,$AJ966))</f>
        <v/>
      </c>
      <c r="AL966" s="39" t="str">
        <f aca="false">IF($AJ966="","",COUNTIF($AJ$4:$AJ$1004,$AJ966))</f>
        <v/>
      </c>
      <c r="AM966" s="42"/>
      <c r="AN966" s="50" t="str">
        <f aca="false">IF($D966="","",IFERROR(T(VLOOKUP($D966,Listas!$B$5:$H$120,7,0)),""))</f>
        <v/>
      </c>
      <c r="AO966" s="50" t="str">
        <f aca="false">IF(OR($F966="",$L966&lt;&gt;"",$R966="Cancelada",$AT966&lt;&gt;""),"",$AN966&amp;"|"&amp;$D966&amp;"|"&amp;IF($C966="","zzz",$C966)&amp;"|"&amp;TEXT(966,"0000"))</f>
        <v/>
      </c>
      <c r="AP966" s="50" t="str">
        <f aca="false">IF($AO966="","",COUNTIF($AO$5:$AO$1004,"&lt;"&amp;$AO966)-(ROWS($AO$5:$AO$1004)-Hoje!$L$5)+1)</f>
        <v/>
      </c>
      <c r="AQ966" s="50" t="n">
        <f aca="false">IF(AND($F966&lt;&gt;"",$D966=Frota!$C$3),1,0)</f>
        <v>0</v>
      </c>
      <c r="AR966" s="50" t="str">
        <f aca="false">IF($AQ966=0,"",SUM($AQ$4:$AQ966))</f>
        <v/>
      </c>
      <c r="AS966" s="50" t="str">
        <f aca="false">IFERROR(INDEX(Hoje!$K$10:$K$29,MATCH(ROW(),Hoje!$J$10:$J$29,0)),"")</f>
        <v/>
      </c>
      <c r="AT966" s="50" t="str">
        <f aca="false">IF($Q966&lt;&gt;"",$Q966,$AS966)</f>
        <v/>
      </c>
    </row>
    <row r="967" customFormat="false" ht="16.5" hidden="false" customHeight="true" outlineLevel="0" collapsed="false">
      <c r="A967" s="39" t="str">
        <f aca="false">IF($F967="","",ROW())</f>
        <v/>
      </c>
      <c r="B967" s="40" t="str">
        <f aca="false">IF($F967="",IF($D967="","","Falta a atividade"),IF($R967="Cancelada","Cancelada",IF($AB967=1,IF(N($Z967)&gt;0,"Concluída com atraso","Concluída"),IF($R967="Em programação","Em programação",IF($O967="",IF($M967="","Na carteira","Falta a semana"),IF($AC967=1,"VENCIDA",IF($O967&gt;Hoje!$L$1,"Programada",IF($P967&gt;Hoje!$L$1,"Em execução","Fecha hoje"))))))))</f>
        <v/>
      </c>
      <c r="C967" s="41"/>
      <c r="D967" s="42"/>
      <c r="E967" s="42"/>
      <c r="F967" s="42"/>
      <c r="G967" s="43"/>
      <c r="H967" s="43"/>
      <c r="I967" s="44"/>
      <c r="J967" s="44"/>
      <c r="K967" s="44"/>
      <c r="L967" s="45"/>
      <c r="M967" s="46"/>
      <c r="N967" s="45"/>
      <c r="O967" s="47" t="str">
        <f aca="false">IF(OR($L967="",$M967=""),"",(DATE(Semana!$J$3,1,4)-WEEKDAY(DATE(Semana!$J$3,1,4),3))+($L967-1)*7+MATCH($M967,Listas!$F$5:$F$11,0)-1)</f>
        <v/>
      </c>
      <c r="P967" s="47" t="str">
        <f aca="false">IF(OR($F967="",$O967=""),"",$O967+MAX(0,ROUNDUP($AK967*MAX(1,IF($N967="",1,$N967))/MAX(1,$AL967),0)-1))</f>
        <v/>
      </c>
      <c r="Q967" s="48"/>
      <c r="R967" s="43"/>
      <c r="S967" s="49"/>
      <c r="T967" s="42"/>
      <c r="U967" s="42"/>
      <c r="V967" s="39" t="str">
        <f aca="false">IF($F967="","",IF(ISNUMBER(SEARCH("(externo)",$I967&amp;$J967&amp;$K967)),"Terceirizada","Interna"))</f>
        <v/>
      </c>
      <c r="W967" s="47" t="str">
        <f aca="false">IF($O967="","",IF($S967="",$O967,(DATE(Semana!$J$3,1,4)-WEEKDAY(DATE(Semana!$J$3,1,4),3))+($S967-1)*7+IF($M967="",0,MATCH($M967,Listas!$F$5:$F$11,0)-1)))</f>
        <v/>
      </c>
      <c r="X967" s="39" t="str">
        <f aca="false">IF($F967="","",IF(OR($AT967="",$O967=""),0,IF($AT967&lt;=$O967,1,0)))</f>
        <v/>
      </c>
      <c r="Y967" s="39" t="str">
        <f aca="false">IF($F967="","",IF(OR($AT967="",$W967=""),0,IF($AT967&lt;=$W967,1,0)))</f>
        <v/>
      </c>
      <c r="Z967" s="39" t="str">
        <f aca="false">IF(OR($AT967="",$O967=""),"",MAX(0,$AT967-$O967))</f>
        <v/>
      </c>
      <c r="AA967" s="39" t="str">
        <f aca="false">IF($F967="","",IF(AND($S967&lt;&gt;"",$L967&lt;&gt;"",$S967&lt;&gt;$L967),1,0))</f>
        <v/>
      </c>
      <c r="AB967" s="39" t="str">
        <f aca="false">IF($F967="","",IF($R967="Cancelada",0,IF(OR($AT967&lt;&gt;"",$R967="Concluída"),1,0)))</f>
        <v/>
      </c>
      <c r="AC967" s="39" t="n">
        <f aca="false">IF($P967="",0,IF($P967&lt;Hoje!$L$1,1,IF(AND($P967=Hoje!$L$1,Hoje!$L$2&gt;Semana!$M$3),1,0)))</f>
        <v>0</v>
      </c>
      <c r="AD967" s="39" t="str">
        <f aca="false">IF($F967="","",IF(COUNTA($I967:$K967)=0,0,1/COUNTA($I967:$K967)))</f>
        <v/>
      </c>
      <c r="AE967" s="39" t="str">
        <f aca="false">IF($AH967=0,"",SUM($AH$4:$AH967))</f>
        <v/>
      </c>
      <c r="AF967" s="39" t="str">
        <f aca="false">IF($AI967=0,"",SUM($AI$4:$AI967))</f>
        <v/>
      </c>
      <c r="AG967" s="50" t="str">
        <f aca="false">IF($F967="","",$I967&amp;IF($J967="",""," · "&amp;$J967)&amp;IF($K967="",""," · "&amp;$K967))</f>
        <v/>
      </c>
      <c r="AH967" s="39" t="n">
        <f aca="false">IF(AND($F967&lt;&gt;"",$O967&lt;&gt;"",$O967&lt;=Hoje!$C$3,$P967&gt;=Hoje!$C$3,$R967&lt;&gt;"Cancelada"),1,0)</f>
        <v>0</v>
      </c>
      <c r="AI967" s="39" t="n">
        <f aca="false">IF(AND($F967&lt;&gt;"",$P967&lt;&gt;"",$P967&lt;Hoje!$C$3,$AB967=0,$R967&lt;&gt;"Cancelada"),1,0)</f>
        <v>0</v>
      </c>
      <c r="AJ967" s="50" t="str">
        <f aca="false">IF($F967="","",$D967&amp;"|"&amp;$E967&amp;"|"&amp;$L967)</f>
        <v/>
      </c>
      <c r="AK967" s="39" t="str">
        <f aca="false">IF($AJ967="","",COUNTIF($AJ$4:$AJ967,$AJ967))</f>
        <v/>
      </c>
      <c r="AL967" s="39" t="str">
        <f aca="false">IF($AJ967="","",COUNTIF($AJ$4:$AJ$1004,$AJ967))</f>
        <v/>
      </c>
      <c r="AM967" s="42"/>
      <c r="AN967" s="50" t="str">
        <f aca="false">IF($D967="","",IFERROR(T(VLOOKUP($D967,Listas!$B$5:$H$120,7,0)),""))</f>
        <v/>
      </c>
      <c r="AO967" s="50" t="str">
        <f aca="false">IF(OR($F967="",$L967&lt;&gt;"",$R967="Cancelada",$AT967&lt;&gt;""),"",$AN967&amp;"|"&amp;$D967&amp;"|"&amp;IF($C967="","zzz",$C967)&amp;"|"&amp;TEXT(967,"0000"))</f>
        <v/>
      </c>
      <c r="AP967" s="50" t="str">
        <f aca="false">IF($AO967="","",COUNTIF($AO$5:$AO$1004,"&lt;"&amp;$AO967)-(ROWS($AO$5:$AO$1004)-Hoje!$L$5)+1)</f>
        <v/>
      </c>
      <c r="AQ967" s="50" t="n">
        <f aca="false">IF(AND($F967&lt;&gt;"",$D967=Frota!$C$3),1,0)</f>
        <v>0</v>
      </c>
      <c r="AR967" s="50" t="str">
        <f aca="false">IF($AQ967=0,"",SUM($AQ$4:$AQ967))</f>
        <v/>
      </c>
      <c r="AS967" s="50" t="str">
        <f aca="false">IFERROR(INDEX(Hoje!$K$10:$K$29,MATCH(ROW(),Hoje!$J$10:$J$29,0)),"")</f>
        <v/>
      </c>
      <c r="AT967" s="50" t="str">
        <f aca="false">IF($Q967&lt;&gt;"",$Q967,$AS967)</f>
        <v/>
      </c>
    </row>
    <row r="968" customFormat="false" ht="16.5" hidden="false" customHeight="true" outlineLevel="0" collapsed="false">
      <c r="A968" s="39" t="str">
        <f aca="false">IF($F968="","",ROW())</f>
        <v/>
      </c>
      <c r="B968" s="40" t="str">
        <f aca="false">IF($F968="",IF($D968="","","Falta a atividade"),IF($R968="Cancelada","Cancelada",IF($AB968=1,IF(N($Z968)&gt;0,"Concluída com atraso","Concluída"),IF($R968="Em programação","Em programação",IF($O968="",IF($M968="","Na carteira","Falta a semana"),IF($AC968=1,"VENCIDA",IF($O968&gt;Hoje!$L$1,"Programada",IF($P968&gt;Hoje!$L$1,"Em execução","Fecha hoje"))))))))</f>
        <v/>
      </c>
      <c r="C968" s="41"/>
      <c r="D968" s="42"/>
      <c r="E968" s="42"/>
      <c r="F968" s="42"/>
      <c r="G968" s="43"/>
      <c r="H968" s="43"/>
      <c r="I968" s="44"/>
      <c r="J968" s="44"/>
      <c r="K968" s="44"/>
      <c r="L968" s="45"/>
      <c r="M968" s="46"/>
      <c r="N968" s="45"/>
      <c r="O968" s="47" t="str">
        <f aca="false">IF(OR($L968="",$M968=""),"",(DATE(Semana!$J$3,1,4)-WEEKDAY(DATE(Semana!$J$3,1,4),3))+($L968-1)*7+MATCH($M968,Listas!$F$5:$F$11,0)-1)</f>
        <v/>
      </c>
      <c r="P968" s="47" t="str">
        <f aca="false">IF(OR($F968="",$O968=""),"",$O968+MAX(0,ROUNDUP($AK968*MAX(1,IF($N968="",1,$N968))/MAX(1,$AL968),0)-1))</f>
        <v/>
      </c>
      <c r="Q968" s="48"/>
      <c r="R968" s="43"/>
      <c r="S968" s="49"/>
      <c r="T968" s="42"/>
      <c r="U968" s="42"/>
      <c r="V968" s="39" t="str">
        <f aca="false">IF($F968="","",IF(ISNUMBER(SEARCH("(externo)",$I968&amp;$J968&amp;$K968)),"Terceirizada","Interna"))</f>
        <v/>
      </c>
      <c r="W968" s="47" t="str">
        <f aca="false">IF($O968="","",IF($S968="",$O968,(DATE(Semana!$J$3,1,4)-WEEKDAY(DATE(Semana!$J$3,1,4),3))+($S968-1)*7+IF($M968="",0,MATCH($M968,Listas!$F$5:$F$11,0)-1)))</f>
        <v/>
      </c>
      <c r="X968" s="39" t="str">
        <f aca="false">IF($F968="","",IF(OR($AT968="",$O968=""),0,IF($AT968&lt;=$O968,1,0)))</f>
        <v/>
      </c>
      <c r="Y968" s="39" t="str">
        <f aca="false">IF($F968="","",IF(OR($AT968="",$W968=""),0,IF($AT968&lt;=$W968,1,0)))</f>
        <v/>
      </c>
      <c r="Z968" s="39" t="str">
        <f aca="false">IF(OR($AT968="",$O968=""),"",MAX(0,$AT968-$O968))</f>
        <v/>
      </c>
      <c r="AA968" s="39" t="str">
        <f aca="false">IF($F968="","",IF(AND($S968&lt;&gt;"",$L968&lt;&gt;"",$S968&lt;&gt;$L968),1,0))</f>
        <v/>
      </c>
      <c r="AB968" s="39" t="str">
        <f aca="false">IF($F968="","",IF($R968="Cancelada",0,IF(OR($AT968&lt;&gt;"",$R968="Concluída"),1,0)))</f>
        <v/>
      </c>
      <c r="AC968" s="39" t="n">
        <f aca="false">IF($P968="",0,IF($P968&lt;Hoje!$L$1,1,IF(AND($P968=Hoje!$L$1,Hoje!$L$2&gt;Semana!$M$3),1,0)))</f>
        <v>0</v>
      </c>
      <c r="AD968" s="39" t="str">
        <f aca="false">IF($F968="","",IF(COUNTA($I968:$K968)=0,0,1/COUNTA($I968:$K968)))</f>
        <v/>
      </c>
      <c r="AE968" s="39" t="str">
        <f aca="false">IF($AH968=0,"",SUM($AH$4:$AH968))</f>
        <v/>
      </c>
      <c r="AF968" s="39" t="str">
        <f aca="false">IF($AI968=0,"",SUM($AI$4:$AI968))</f>
        <v/>
      </c>
      <c r="AG968" s="50" t="str">
        <f aca="false">IF($F968="","",$I968&amp;IF($J968="",""," · "&amp;$J968)&amp;IF($K968="",""," · "&amp;$K968))</f>
        <v/>
      </c>
      <c r="AH968" s="39" t="n">
        <f aca="false">IF(AND($F968&lt;&gt;"",$O968&lt;&gt;"",$O968&lt;=Hoje!$C$3,$P968&gt;=Hoje!$C$3,$R968&lt;&gt;"Cancelada"),1,0)</f>
        <v>0</v>
      </c>
      <c r="AI968" s="39" t="n">
        <f aca="false">IF(AND($F968&lt;&gt;"",$P968&lt;&gt;"",$P968&lt;Hoje!$C$3,$AB968=0,$R968&lt;&gt;"Cancelada"),1,0)</f>
        <v>0</v>
      </c>
      <c r="AJ968" s="50" t="str">
        <f aca="false">IF($F968="","",$D968&amp;"|"&amp;$E968&amp;"|"&amp;$L968)</f>
        <v/>
      </c>
      <c r="AK968" s="39" t="str">
        <f aca="false">IF($AJ968="","",COUNTIF($AJ$4:$AJ968,$AJ968))</f>
        <v/>
      </c>
      <c r="AL968" s="39" t="str">
        <f aca="false">IF($AJ968="","",COUNTIF($AJ$4:$AJ$1004,$AJ968))</f>
        <v/>
      </c>
      <c r="AM968" s="42"/>
      <c r="AN968" s="50" t="str">
        <f aca="false">IF($D968="","",IFERROR(T(VLOOKUP($D968,Listas!$B$5:$H$120,7,0)),""))</f>
        <v/>
      </c>
      <c r="AO968" s="50" t="str">
        <f aca="false">IF(OR($F968="",$L968&lt;&gt;"",$R968="Cancelada",$AT968&lt;&gt;""),"",$AN968&amp;"|"&amp;$D968&amp;"|"&amp;IF($C968="","zzz",$C968)&amp;"|"&amp;TEXT(968,"0000"))</f>
        <v/>
      </c>
      <c r="AP968" s="50" t="str">
        <f aca="false">IF($AO968="","",COUNTIF($AO$5:$AO$1004,"&lt;"&amp;$AO968)-(ROWS($AO$5:$AO$1004)-Hoje!$L$5)+1)</f>
        <v/>
      </c>
      <c r="AQ968" s="50" t="n">
        <f aca="false">IF(AND($F968&lt;&gt;"",$D968=Frota!$C$3),1,0)</f>
        <v>0</v>
      </c>
      <c r="AR968" s="50" t="str">
        <f aca="false">IF($AQ968=0,"",SUM($AQ$4:$AQ968))</f>
        <v/>
      </c>
      <c r="AS968" s="50" t="str">
        <f aca="false">IFERROR(INDEX(Hoje!$K$10:$K$29,MATCH(ROW(),Hoje!$J$10:$J$29,0)),"")</f>
        <v/>
      </c>
      <c r="AT968" s="50" t="str">
        <f aca="false">IF($Q968&lt;&gt;"",$Q968,$AS968)</f>
        <v/>
      </c>
    </row>
    <row r="969" customFormat="false" ht="16.5" hidden="false" customHeight="true" outlineLevel="0" collapsed="false">
      <c r="A969" s="39" t="str">
        <f aca="false">IF($F969="","",ROW())</f>
        <v/>
      </c>
      <c r="B969" s="40" t="str">
        <f aca="false">IF($F969="",IF($D969="","","Falta a atividade"),IF($R969="Cancelada","Cancelada",IF($AB969=1,IF(N($Z969)&gt;0,"Concluída com atraso","Concluída"),IF($R969="Em programação","Em programação",IF($O969="",IF($M969="","Na carteira","Falta a semana"),IF($AC969=1,"VENCIDA",IF($O969&gt;Hoje!$L$1,"Programada",IF($P969&gt;Hoje!$L$1,"Em execução","Fecha hoje"))))))))</f>
        <v/>
      </c>
      <c r="C969" s="41"/>
      <c r="D969" s="42"/>
      <c r="E969" s="42"/>
      <c r="F969" s="42"/>
      <c r="G969" s="43"/>
      <c r="H969" s="43"/>
      <c r="I969" s="44"/>
      <c r="J969" s="44"/>
      <c r="K969" s="44"/>
      <c r="L969" s="45"/>
      <c r="M969" s="46"/>
      <c r="N969" s="45"/>
      <c r="O969" s="47" t="str">
        <f aca="false">IF(OR($L969="",$M969=""),"",(DATE(Semana!$J$3,1,4)-WEEKDAY(DATE(Semana!$J$3,1,4),3))+($L969-1)*7+MATCH($M969,Listas!$F$5:$F$11,0)-1)</f>
        <v/>
      </c>
      <c r="P969" s="47" t="str">
        <f aca="false">IF(OR($F969="",$O969=""),"",$O969+MAX(0,ROUNDUP($AK969*MAX(1,IF($N969="",1,$N969))/MAX(1,$AL969),0)-1))</f>
        <v/>
      </c>
      <c r="Q969" s="48"/>
      <c r="R969" s="43"/>
      <c r="S969" s="49"/>
      <c r="T969" s="42"/>
      <c r="U969" s="42"/>
      <c r="V969" s="39" t="str">
        <f aca="false">IF($F969="","",IF(ISNUMBER(SEARCH("(externo)",$I969&amp;$J969&amp;$K969)),"Terceirizada","Interna"))</f>
        <v/>
      </c>
      <c r="W969" s="47" t="str">
        <f aca="false">IF($O969="","",IF($S969="",$O969,(DATE(Semana!$J$3,1,4)-WEEKDAY(DATE(Semana!$J$3,1,4),3))+($S969-1)*7+IF($M969="",0,MATCH($M969,Listas!$F$5:$F$11,0)-1)))</f>
        <v/>
      </c>
      <c r="X969" s="39" t="str">
        <f aca="false">IF($F969="","",IF(OR($AT969="",$O969=""),0,IF($AT969&lt;=$O969,1,0)))</f>
        <v/>
      </c>
      <c r="Y969" s="39" t="str">
        <f aca="false">IF($F969="","",IF(OR($AT969="",$W969=""),0,IF($AT969&lt;=$W969,1,0)))</f>
        <v/>
      </c>
      <c r="Z969" s="39" t="str">
        <f aca="false">IF(OR($AT969="",$O969=""),"",MAX(0,$AT969-$O969))</f>
        <v/>
      </c>
      <c r="AA969" s="39" t="str">
        <f aca="false">IF($F969="","",IF(AND($S969&lt;&gt;"",$L969&lt;&gt;"",$S969&lt;&gt;$L969),1,0))</f>
        <v/>
      </c>
      <c r="AB969" s="39" t="str">
        <f aca="false">IF($F969="","",IF($R969="Cancelada",0,IF(OR($AT969&lt;&gt;"",$R969="Concluída"),1,0)))</f>
        <v/>
      </c>
      <c r="AC969" s="39" t="n">
        <f aca="false">IF($P969="",0,IF($P969&lt;Hoje!$L$1,1,IF(AND($P969=Hoje!$L$1,Hoje!$L$2&gt;Semana!$M$3),1,0)))</f>
        <v>0</v>
      </c>
      <c r="AD969" s="39" t="str">
        <f aca="false">IF($F969="","",IF(COUNTA($I969:$K969)=0,0,1/COUNTA($I969:$K969)))</f>
        <v/>
      </c>
      <c r="AE969" s="39" t="str">
        <f aca="false">IF($AH969=0,"",SUM($AH$4:$AH969))</f>
        <v/>
      </c>
      <c r="AF969" s="39" t="str">
        <f aca="false">IF($AI969=0,"",SUM($AI$4:$AI969))</f>
        <v/>
      </c>
      <c r="AG969" s="50" t="str">
        <f aca="false">IF($F969="","",$I969&amp;IF($J969="",""," · "&amp;$J969)&amp;IF($K969="",""," · "&amp;$K969))</f>
        <v/>
      </c>
      <c r="AH969" s="39" t="n">
        <f aca="false">IF(AND($F969&lt;&gt;"",$O969&lt;&gt;"",$O969&lt;=Hoje!$C$3,$P969&gt;=Hoje!$C$3,$R969&lt;&gt;"Cancelada"),1,0)</f>
        <v>0</v>
      </c>
      <c r="AI969" s="39" t="n">
        <f aca="false">IF(AND($F969&lt;&gt;"",$P969&lt;&gt;"",$P969&lt;Hoje!$C$3,$AB969=0,$R969&lt;&gt;"Cancelada"),1,0)</f>
        <v>0</v>
      </c>
      <c r="AJ969" s="50" t="str">
        <f aca="false">IF($F969="","",$D969&amp;"|"&amp;$E969&amp;"|"&amp;$L969)</f>
        <v/>
      </c>
      <c r="AK969" s="39" t="str">
        <f aca="false">IF($AJ969="","",COUNTIF($AJ$4:$AJ969,$AJ969))</f>
        <v/>
      </c>
      <c r="AL969" s="39" t="str">
        <f aca="false">IF($AJ969="","",COUNTIF($AJ$4:$AJ$1004,$AJ969))</f>
        <v/>
      </c>
      <c r="AM969" s="42"/>
      <c r="AN969" s="50" t="str">
        <f aca="false">IF($D969="","",IFERROR(T(VLOOKUP($D969,Listas!$B$5:$H$120,7,0)),""))</f>
        <v/>
      </c>
      <c r="AO969" s="50" t="str">
        <f aca="false">IF(OR($F969="",$L969&lt;&gt;"",$R969="Cancelada",$AT969&lt;&gt;""),"",$AN969&amp;"|"&amp;$D969&amp;"|"&amp;IF($C969="","zzz",$C969)&amp;"|"&amp;TEXT(969,"0000"))</f>
        <v/>
      </c>
      <c r="AP969" s="50" t="str">
        <f aca="false">IF($AO969="","",COUNTIF($AO$5:$AO$1004,"&lt;"&amp;$AO969)-(ROWS($AO$5:$AO$1004)-Hoje!$L$5)+1)</f>
        <v/>
      </c>
      <c r="AQ969" s="50" t="n">
        <f aca="false">IF(AND($F969&lt;&gt;"",$D969=Frota!$C$3),1,0)</f>
        <v>0</v>
      </c>
      <c r="AR969" s="50" t="str">
        <f aca="false">IF($AQ969=0,"",SUM($AQ$4:$AQ969))</f>
        <v/>
      </c>
      <c r="AS969" s="50" t="str">
        <f aca="false">IFERROR(INDEX(Hoje!$K$10:$K$29,MATCH(ROW(),Hoje!$J$10:$J$29,0)),"")</f>
        <v/>
      </c>
      <c r="AT969" s="50" t="str">
        <f aca="false">IF($Q969&lt;&gt;"",$Q969,$AS969)</f>
        <v/>
      </c>
    </row>
    <row r="970" customFormat="false" ht="16.5" hidden="false" customHeight="true" outlineLevel="0" collapsed="false">
      <c r="A970" s="39" t="str">
        <f aca="false">IF($F970="","",ROW())</f>
        <v/>
      </c>
      <c r="B970" s="40" t="str">
        <f aca="false">IF($F970="",IF($D970="","","Falta a atividade"),IF($R970="Cancelada","Cancelada",IF($AB970=1,IF(N($Z970)&gt;0,"Concluída com atraso","Concluída"),IF($R970="Em programação","Em programação",IF($O970="",IF($M970="","Na carteira","Falta a semana"),IF($AC970=1,"VENCIDA",IF($O970&gt;Hoje!$L$1,"Programada",IF($P970&gt;Hoje!$L$1,"Em execução","Fecha hoje"))))))))</f>
        <v/>
      </c>
      <c r="C970" s="41"/>
      <c r="D970" s="42"/>
      <c r="E970" s="42"/>
      <c r="F970" s="42"/>
      <c r="G970" s="43"/>
      <c r="H970" s="43"/>
      <c r="I970" s="44"/>
      <c r="J970" s="44"/>
      <c r="K970" s="44"/>
      <c r="L970" s="45"/>
      <c r="M970" s="46"/>
      <c r="N970" s="45"/>
      <c r="O970" s="47" t="str">
        <f aca="false">IF(OR($L970="",$M970=""),"",(DATE(Semana!$J$3,1,4)-WEEKDAY(DATE(Semana!$J$3,1,4),3))+($L970-1)*7+MATCH($M970,Listas!$F$5:$F$11,0)-1)</f>
        <v/>
      </c>
      <c r="P970" s="47" t="str">
        <f aca="false">IF(OR($F970="",$O970=""),"",$O970+MAX(0,ROUNDUP($AK970*MAX(1,IF($N970="",1,$N970))/MAX(1,$AL970),0)-1))</f>
        <v/>
      </c>
      <c r="Q970" s="48"/>
      <c r="R970" s="43"/>
      <c r="S970" s="49"/>
      <c r="T970" s="42"/>
      <c r="U970" s="42"/>
      <c r="V970" s="39" t="str">
        <f aca="false">IF($F970="","",IF(ISNUMBER(SEARCH("(externo)",$I970&amp;$J970&amp;$K970)),"Terceirizada","Interna"))</f>
        <v/>
      </c>
      <c r="W970" s="47" t="str">
        <f aca="false">IF($O970="","",IF($S970="",$O970,(DATE(Semana!$J$3,1,4)-WEEKDAY(DATE(Semana!$J$3,1,4),3))+($S970-1)*7+IF($M970="",0,MATCH($M970,Listas!$F$5:$F$11,0)-1)))</f>
        <v/>
      </c>
      <c r="X970" s="39" t="str">
        <f aca="false">IF($F970="","",IF(OR($AT970="",$O970=""),0,IF($AT970&lt;=$O970,1,0)))</f>
        <v/>
      </c>
      <c r="Y970" s="39" t="str">
        <f aca="false">IF($F970="","",IF(OR($AT970="",$W970=""),0,IF($AT970&lt;=$W970,1,0)))</f>
        <v/>
      </c>
      <c r="Z970" s="39" t="str">
        <f aca="false">IF(OR($AT970="",$O970=""),"",MAX(0,$AT970-$O970))</f>
        <v/>
      </c>
      <c r="AA970" s="39" t="str">
        <f aca="false">IF($F970="","",IF(AND($S970&lt;&gt;"",$L970&lt;&gt;"",$S970&lt;&gt;$L970),1,0))</f>
        <v/>
      </c>
      <c r="AB970" s="39" t="str">
        <f aca="false">IF($F970="","",IF($R970="Cancelada",0,IF(OR($AT970&lt;&gt;"",$R970="Concluída"),1,0)))</f>
        <v/>
      </c>
      <c r="AC970" s="39" t="n">
        <f aca="false">IF($P970="",0,IF($P970&lt;Hoje!$L$1,1,IF(AND($P970=Hoje!$L$1,Hoje!$L$2&gt;Semana!$M$3),1,0)))</f>
        <v>0</v>
      </c>
      <c r="AD970" s="39" t="str">
        <f aca="false">IF($F970="","",IF(COUNTA($I970:$K970)=0,0,1/COUNTA($I970:$K970)))</f>
        <v/>
      </c>
      <c r="AE970" s="39" t="str">
        <f aca="false">IF($AH970=0,"",SUM($AH$4:$AH970))</f>
        <v/>
      </c>
      <c r="AF970" s="39" t="str">
        <f aca="false">IF($AI970=0,"",SUM($AI$4:$AI970))</f>
        <v/>
      </c>
      <c r="AG970" s="50" t="str">
        <f aca="false">IF($F970="","",$I970&amp;IF($J970="",""," · "&amp;$J970)&amp;IF($K970="",""," · "&amp;$K970))</f>
        <v/>
      </c>
      <c r="AH970" s="39" t="n">
        <f aca="false">IF(AND($F970&lt;&gt;"",$O970&lt;&gt;"",$O970&lt;=Hoje!$C$3,$P970&gt;=Hoje!$C$3,$R970&lt;&gt;"Cancelada"),1,0)</f>
        <v>0</v>
      </c>
      <c r="AI970" s="39" t="n">
        <f aca="false">IF(AND($F970&lt;&gt;"",$P970&lt;&gt;"",$P970&lt;Hoje!$C$3,$AB970=0,$R970&lt;&gt;"Cancelada"),1,0)</f>
        <v>0</v>
      </c>
      <c r="AJ970" s="50" t="str">
        <f aca="false">IF($F970="","",$D970&amp;"|"&amp;$E970&amp;"|"&amp;$L970)</f>
        <v/>
      </c>
      <c r="AK970" s="39" t="str">
        <f aca="false">IF($AJ970="","",COUNTIF($AJ$4:$AJ970,$AJ970))</f>
        <v/>
      </c>
      <c r="AL970" s="39" t="str">
        <f aca="false">IF($AJ970="","",COUNTIF($AJ$4:$AJ$1004,$AJ970))</f>
        <v/>
      </c>
      <c r="AM970" s="42"/>
      <c r="AN970" s="50" t="str">
        <f aca="false">IF($D970="","",IFERROR(T(VLOOKUP($D970,Listas!$B$5:$H$120,7,0)),""))</f>
        <v/>
      </c>
      <c r="AO970" s="50" t="str">
        <f aca="false">IF(OR($F970="",$L970&lt;&gt;"",$R970="Cancelada",$AT970&lt;&gt;""),"",$AN970&amp;"|"&amp;$D970&amp;"|"&amp;IF($C970="","zzz",$C970)&amp;"|"&amp;TEXT(970,"0000"))</f>
        <v/>
      </c>
      <c r="AP970" s="50" t="str">
        <f aca="false">IF($AO970="","",COUNTIF($AO$5:$AO$1004,"&lt;"&amp;$AO970)-(ROWS($AO$5:$AO$1004)-Hoje!$L$5)+1)</f>
        <v/>
      </c>
      <c r="AQ970" s="50" t="n">
        <f aca="false">IF(AND($F970&lt;&gt;"",$D970=Frota!$C$3),1,0)</f>
        <v>0</v>
      </c>
      <c r="AR970" s="50" t="str">
        <f aca="false">IF($AQ970=0,"",SUM($AQ$4:$AQ970))</f>
        <v/>
      </c>
      <c r="AS970" s="50" t="str">
        <f aca="false">IFERROR(INDEX(Hoje!$K$10:$K$29,MATCH(ROW(),Hoje!$J$10:$J$29,0)),"")</f>
        <v/>
      </c>
      <c r="AT970" s="50" t="str">
        <f aca="false">IF($Q970&lt;&gt;"",$Q970,$AS970)</f>
        <v/>
      </c>
    </row>
    <row r="971" customFormat="false" ht="16.5" hidden="false" customHeight="true" outlineLevel="0" collapsed="false">
      <c r="A971" s="39" t="str">
        <f aca="false">IF($F971="","",ROW())</f>
        <v/>
      </c>
      <c r="B971" s="40" t="str">
        <f aca="false">IF($F971="",IF($D971="","","Falta a atividade"),IF($R971="Cancelada","Cancelada",IF($AB971=1,IF(N($Z971)&gt;0,"Concluída com atraso","Concluída"),IF($R971="Em programação","Em programação",IF($O971="",IF($M971="","Na carteira","Falta a semana"),IF($AC971=1,"VENCIDA",IF($O971&gt;Hoje!$L$1,"Programada",IF($P971&gt;Hoje!$L$1,"Em execução","Fecha hoje"))))))))</f>
        <v/>
      </c>
      <c r="C971" s="41"/>
      <c r="D971" s="42"/>
      <c r="E971" s="42"/>
      <c r="F971" s="42"/>
      <c r="G971" s="43"/>
      <c r="H971" s="43"/>
      <c r="I971" s="44"/>
      <c r="J971" s="44"/>
      <c r="K971" s="44"/>
      <c r="L971" s="45"/>
      <c r="M971" s="46"/>
      <c r="N971" s="45"/>
      <c r="O971" s="47" t="str">
        <f aca="false">IF(OR($L971="",$M971=""),"",(DATE(Semana!$J$3,1,4)-WEEKDAY(DATE(Semana!$J$3,1,4),3))+($L971-1)*7+MATCH($M971,Listas!$F$5:$F$11,0)-1)</f>
        <v/>
      </c>
      <c r="P971" s="47" t="str">
        <f aca="false">IF(OR($F971="",$O971=""),"",$O971+MAX(0,ROUNDUP($AK971*MAX(1,IF($N971="",1,$N971))/MAX(1,$AL971),0)-1))</f>
        <v/>
      </c>
      <c r="Q971" s="48"/>
      <c r="R971" s="43"/>
      <c r="S971" s="49"/>
      <c r="T971" s="42"/>
      <c r="U971" s="42"/>
      <c r="V971" s="39" t="str">
        <f aca="false">IF($F971="","",IF(ISNUMBER(SEARCH("(externo)",$I971&amp;$J971&amp;$K971)),"Terceirizada","Interna"))</f>
        <v/>
      </c>
      <c r="W971" s="47" t="str">
        <f aca="false">IF($O971="","",IF($S971="",$O971,(DATE(Semana!$J$3,1,4)-WEEKDAY(DATE(Semana!$J$3,1,4),3))+($S971-1)*7+IF($M971="",0,MATCH($M971,Listas!$F$5:$F$11,0)-1)))</f>
        <v/>
      </c>
      <c r="X971" s="39" t="str">
        <f aca="false">IF($F971="","",IF(OR($AT971="",$O971=""),0,IF($AT971&lt;=$O971,1,0)))</f>
        <v/>
      </c>
      <c r="Y971" s="39" t="str">
        <f aca="false">IF($F971="","",IF(OR($AT971="",$W971=""),0,IF($AT971&lt;=$W971,1,0)))</f>
        <v/>
      </c>
      <c r="Z971" s="39" t="str">
        <f aca="false">IF(OR($AT971="",$O971=""),"",MAX(0,$AT971-$O971))</f>
        <v/>
      </c>
      <c r="AA971" s="39" t="str">
        <f aca="false">IF($F971="","",IF(AND($S971&lt;&gt;"",$L971&lt;&gt;"",$S971&lt;&gt;$L971),1,0))</f>
        <v/>
      </c>
      <c r="AB971" s="39" t="str">
        <f aca="false">IF($F971="","",IF($R971="Cancelada",0,IF(OR($AT971&lt;&gt;"",$R971="Concluída"),1,0)))</f>
        <v/>
      </c>
      <c r="AC971" s="39" t="n">
        <f aca="false">IF($P971="",0,IF($P971&lt;Hoje!$L$1,1,IF(AND($P971=Hoje!$L$1,Hoje!$L$2&gt;Semana!$M$3),1,0)))</f>
        <v>0</v>
      </c>
      <c r="AD971" s="39" t="str">
        <f aca="false">IF($F971="","",IF(COUNTA($I971:$K971)=0,0,1/COUNTA($I971:$K971)))</f>
        <v/>
      </c>
      <c r="AE971" s="39" t="str">
        <f aca="false">IF($AH971=0,"",SUM($AH$4:$AH971))</f>
        <v/>
      </c>
      <c r="AF971" s="39" t="str">
        <f aca="false">IF($AI971=0,"",SUM($AI$4:$AI971))</f>
        <v/>
      </c>
      <c r="AG971" s="50" t="str">
        <f aca="false">IF($F971="","",$I971&amp;IF($J971="",""," · "&amp;$J971)&amp;IF($K971="",""," · "&amp;$K971))</f>
        <v/>
      </c>
      <c r="AH971" s="39" t="n">
        <f aca="false">IF(AND($F971&lt;&gt;"",$O971&lt;&gt;"",$O971&lt;=Hoje!$C$3,$P971&gt;=Hoje!$C$3,$R971&lt;&gt;"Cancelada"),1,0)</f>
        <v>0</v>
      </c>
      <c r="AI971" s="39" t="n">
        <f aca="false">IF(AND($F971&lt;&gt;"",$P971&lt;&gt;"",$P971&lt;Hoje!$C$3,$AB971=0,$R971&lt;&gt;"Cancelada"),1,0)</f>
        <v>0</v>
      </c>
      <c r="AJ971" s="50" t="str">
        <f aca="false">IF($F971="","",$D971&amp;"|"&amp;$E971&amp;"|"&amp;$L971)</f>
        <v/>
      </c>
      <c r="AK971" s="39" t="str">
        <f aca="false">IF($AJ971="","",COUNTIF($AJ$4:$AJ971,$AJ971))</f>
        <v/>
      </c>
      <c r="AL971" s="39" t="str">
        <f aca="false">IF($AJ971="","",COUNTIF($AJ$4:$AJ$1004,$AJ971))</f>
        <v/>
      </c>
      <c r="AM971" s="42"/>
      <c r="AN971" s="50" t="str">
        <f aca="false">IF($D971="","",IFERROR(T(VLOOKUP($D971,Listas!$B$5:$H$120,7,0)),""))</f>
        <v/>
      </c>
      <c r="AO971" s="50" t="str">
        <f aca="false">IF(OR($F971="",$L971&lt;&gt;"",$R971="Cancelada",$AT971&lt;&gt;""),"",$AN971&amp;"|"&amp;$D971&amp;"|"&amp;IF($C971="","zzz",$C971)&amp;"|"&amp;TEXT(971,"0000"))</f>
        <v/>
      </c>
      <c r="AP971" s="50" t="str">
        <f aca="false">IF($AO971="","",COUNTIF($AO$5:$AO$1004,"&lt;"&amp;$AO971)-(ROWS($AO$5:$AO$1004)-Hoje!$L$5)+1)</f>
        <v/>
      </c>
      <c r="AQ971" s="50" t="n">
        <f aca="false">IF(AND($F971&lt;&gt;"",$D971=Frota!$C$3),1,0)</f>
        <v>0</v>
      </c>
      <c r="AR971" s="50" t="str">
        <f aca="false">IF($AQ971=0,"",SUM($AQ$4:$AQ971))</f>
        <v/>
      </c>
      <c r="AS971" s="50" t="str">
        <f aca="false">IFERROR(INDEX(Hoje!$K$10:$K$29,MATCH(ROW(),Hoje!$J$10:$J$29,0)),"")</f>
        <v/>
      </c>
      <c r="AT971" s="50" t="str">
        <f aca="false">IF($Q971&lt;&gt;"",$Q971,$AS971)</f>
        <v/>
      </c>
    </row>
    <row r="972" customFormat="false" ht="16.5" hidden="false" customHeight="true" outlineLevel="0" collapsed="false">
      <c r="A972" s="39" t="str">
        <f aca="false">IF($F972="","",ROW())</f>
        <v/>
      </c>
      <c r="B972" s="40" t="str">
        <f aca="false">IF($F972="",IF($D972="","","Falta a atividade"),IF($R972="Cancelada","Cancelada",IF($AB972=1,IF(N($Z972)&gt;0,"Concluída com atraso","Concluída"),IF($R972="Em programação","Em programação",IF($O972="",IF($M972="","Na carteira","Falta a semana"),IF($AC972=1,"VENCIDA",IF($O972&gt;Hoje!$L$1,"Programada",IF($P972&gt;Hoje!$L$1,"Em execução","Fecha hoje"))))))))</f>
        <v/>
      </c>
      <c r="C972" s="41"/>
      <c r="D972" s="42"/>
      <c r="E972" s="42"/>
      <c r="F972" s="42"/>
      <c r="G972" s="43"/>
      <c r="H972" s="43"/>
      <c r="I972" s="44"/>
      <c r="J972" s="44"/>
      <c r="K972" s="44"/>
      <c r="L972" s="45"/>
      <c r="M972" s="46"/>
      <c r="N972" s="45"/>
      <c r="O972" s="47" t="str">
        <f aca="false">IF(OR($L972="",$M972=""),"",(DATE(Semana!$J$3,1,4)-WEEKDAY(DATE(Semana!$J$3,1,4),3))+($L972-1)*7+MATCH($M972,Listas!$F$5:$F$11,0)-1)</f>
        <v/>
      </c>
      <c r="P972" s="47" t="str">
        <f aca="false">IF(OR($F972="",$O972=""),"",$O972+MAX(0,ROUNDUP($AK972*MAX(1,IF($N972="",1,$N972))/MAX(1,$AL972),0)-1))</f>
        <v/>
      </c>
      <c r="Q972" s="48"/>
      <c r="R972" s="43"/>
      <c r="S972" s="49"/>
      <c r="T972" s="42"/>
      <c r="U972" s="42"/>
      <c r="V972" s="39" t="str">
        <f aca="false">IF($F972="","",IF(ISNUMBER(SEARCH("(externo)",$I972&amp;$J972&amp;$K972)),"Terceirizada","Interna"))</f>
        <v/>
      </c>
      <c r="W972" s="47" t="str">
        <f aca="false">IF($O972="","",IF($S972="",$O972,(DATE(Semana!$J$3,1,4)-WEEKDAY(DATE(Semana!$J$3,1,4),3))+($S972-1)*7+IF($M972="",0,MATCH($M972,Listas!$F$5:$F$11,0)-1)))</f>
        <v/>
      </c>
      <c r="X972" s="39" t="str">
        <f aca="false">IF($F972="","",IF(OR($AT972="",$O972=""),0,IF($AT972&lt;=$O972,1,0)))</f>
        <v/>
      </c>
      <c r="Y972" s="39" t="str">
        <f aca="false">IF($F972="","",IF(OR($AT972="",$W972=""),0,IF($AT972&lt;=$W972,1,0)))</f>
        <v/>
      </c>
      <c r="Z972" s="39" t="str">
        <f aca="false">IF(OR($AT972="",$O972=""),"",MAX(0,$AT972-$O972))</f>
        <v/>
      </c>
      <c r="AA972" s="39" t="str">
        <f aca="false">IF($F972="","",IF(AND($S972&lt;&gt;"",$L972&lt;&gt;"",$S972&lt;&gt;$L972),1,0))</f>
        <v/>
      </c>
      <c r="AB972" s="39" t="str">
        <f aca="false">IF($F972="","",IF($R972="Cancelada",0,IF(OR($AT972&lt;&gt;"",$R972="Concluída"),1,0)))</f>
        <v/>
      </c>
      <c r="AC972" s="39" t="n">
        <f aca="false">IF($P972="",0,IF($P972&lt;Hoje!$L$1,1,IF(AND($P972=Hoje!$L$1,Hoje!$L$2&gt;Semana!$M$3),1,0)))</f>
        <v>0</v>
      </c>
      <c r="AD972" s="39" t="str">
        <f aca="false">IF($F972="","",IF(COUNTA($I972:$K972)=0,0,1/COUNTA($I972:$K972)))</f>
        <v/>
      </c>
      <c r="AE972" s="39" t="str">
        <f aca="false">IF($AH972=0,"",SUM($AH$4:$AH972))</f>
        <v/>
      </c>
      <c r="AF972" s="39" t="str">
        <f aca="false">IF($AI972=0,"",SUM($AI$4:$AI972))</f>
        <v/>
      </c>
      <c r="AG972" s="50" t="str">
        <f aca="false">IF($F972="","",$I972&amp;IF($J972="",""," · "&amp;$J972)&amp;IF($K972="",""," · "&amp;$K972))</f>
        <v/>
      </c>
      <c r="AH972" s="39" t="n">
        <f aca="false">IF(AND($F972&lt;&gt;"",$O972&lt;&gt;"",$O972&lt;=Hoje!$C$3,$P972&gt;=Hoje!$C$3,$R972&lt;&gt;"Cancelada"),1,0)</f>
        <v>0</v>
      </c>
      <c r="AI972" s="39" t="n">
        <f aca="false">IF(AND($F972&lt;&gt;"",$P972&lt;&gt;"",$P972&lt;Hoje!$C$3,$AB972=0,$R972&lt;&gt;"Cancelada"),1,0)</f>
        <v>0</v>
      </c>
      <c r="AJ972" s="50" t="str">
        <f aca="false">IF($F972="","",$D972&amp;"|"&amp;$E972&amp;"|"&amp;$L972)</f>
        <v/>
      </c>
      <c r="AK972" s="39" t="str">
        <f aca="false">IF($AJ972="","",COUNTIF($AJ$4:$AJ972,$AJ972))</f>
        <v/>
      </c>
      <c r="AL972" s="39" t="str">
        <f aca="false">IF($AJ972="","",COUNTIF($AJ$4:$AJ$1004,$AJ972))</f>
        <v/>
      </c>
      <c r="AM972" s="42"/>
      <c r="AN972" s="50" t="str">
        <f aca="false">IF($D972="","",IFERROR(T(VLOOKUP($D972,Listas!$B$5:$H$120,7,0)),""))</f>
        <v/>
      </c>
      <c r="AO972" s="50" t="str">
        <f aca="false">IF(OR($F972="",$L972&lt;&gt;"",$R972="Cancelada",$AT972&lt;&gt;""),"",$AN972&amp;"|"&amp;$D972&amp;"|"&amp;IF($C972="","zzz",$C972)&amp;"|"&amp;TEXT(972,"0000"))</f>
        <v/>
      </c>
      <c r="AP972" s="50" t="str">
        <f aca="false">IF($AO972="","",COUNTIF($AO$5:$AO$1004,"&lt;"&amp;$AO972)-(ROWS($AO$5:$AO$1004)-Hoje!$L$5)+1)</f>
        <v/>
      </c>
      <c r="AQ972" s="50" t="n">
        <f aca="false">IF(AND($F972&lt;&gt;"",$D972=Frota!$C$3),1,0)</f>
        <v>0</v>
      </c>
      <c r="AR972" s="50" t="str">
        <f aca="false">IF($AQ972=0,"",SUM($AQ$4:$AQ972))</f>
        <v/>
      </c>
      <c r="AS972" s="50" t="str">
        <f aca="false">IFERROR(INDEX(Hoje!$K$10:$K$29,MATCH(ROW(),Hoje!$J$10:$J$29,0)),"")</f>
        <v/>
      </c>
      <c r="AT972" s="50" t="str">
        <f aca="false">IF($Q972&lt;&gt;"",$Q972,$AS972)</f>
        <v/>
      </c>
    </row>
    <row r="973" customFormat="false" ht="16.5" hidden="false" customHeight="true" outlineLevel="0" collapsed="false">
      <c r="A973" s="39" t="str">
        <f aca="false">IF($F973="","",ROW())</f>
        <v/>
      </c>
      <c r="B973" s="40" t="str">
        <f aca="false">IF($F973="",IF($D973="","","Falta a atividade"),IF($R973="Cancelada","Cancelada",IF($AB973=1,IF(N($Z973)&gt;0,"Concluída com atraso","Concluída"),IF($R973="Em programação","Em programação",IF($O973="",IF($M973="","Na carteira","Falta a semana"),IF($AC973=1,"VENCIDA",IF($O973&gt;Hoje!$L$1,"Programada",IF($P973&gt;Hoje!$L$1,"Em execução","Fecha hoje"))))))))</f>
        <v/>
      </c>
      <c r="C973" s="41"/>
      <c r="D973" s="42"/>
      <c r="E973" s="42"/>
      <c r="F973" s="42"/>
      <c r="G973" s="43"/>
      <c r="H973" s="43"/>
      <c r="I973" s="44"/>
      <c r="J973" s="44"/>
      <c r="K973" s="44"/>
      <c r="L973" s="45"/>
      <c r="M973" s="46"/>
      <c r="N973" s="45"/>
      <c r="O973" s="47" t="str">
        <f aca="false">IF(OR($L973="",$M973=""),"",(DATE(Semana!$J$3,1,4)-WEEKDAY(DATE(Semana!$J$3,1,4),3))+($L973-1)*7+MATCH($M973,Listas!$F$5:$F$11,0)-1)</f>
        <v/>
      </c>
      <c r="P973" s="47" t="str">
        <f aca="false">IF(OR($F973="",$O973=""),"",$O973+MAX(0,ROUNDUP($AK973*MAX(1,IF($N973="",1,$N973))/MAX(1,$AL973),0)-1))</f>
        <v/>
      </c>
      <c r="Q973" s="48"/>
      <c r="R973" s="43"/>
      <c r="S973" s="49"/>
      <c r="T973" s="42"/>
      <c r="U973" s="42"/>
      <c r="V973" s="39" t="str">
        <f aca="false">IF($F973="","",IF(ISNUMBER(SEARCH("(externo)",$I973&amp;$J973&amp;$K973)),"Terceirizada","Interna"))</f>
        <v/>
      </c>
      <c r="W973" s="47" t="str">
        <f aca="false">IF($O973="","",IF($S973="",$O973,(DATE(Semana!$J$3,1,4)-WEEKDAY(DATE(Semana!$J$3,1,4),3))+($S973-1)*7+IF($M973="",0,MATCH($M973,Listas!$F$5:$F$11,0)-1)))</f>
        <v/>
      </c>
      <c r="X973" s="39" t="str">
        <f aca="false">IF($F973="","",IF(OR($AT973="",$O973=""),0,IF($AT973&lt;=$O973,1,0)))</f>
        <v/>
      </c>
      <c r="Y973" s="39" t="str">
        <f aca="false">IF($F973="","",IF(OR($AT973="",$W973=""),0,IF($AT973&lt;=$W973,1,0)))</f>
        <v/>
      </c>
      <c r="Z973" s="39" t="str">
        <f aca="false">IF(OR($AT973="",$O973=""),"",MAX(0,$AT973-$O973))</f>
        <v/>
      </c>
      <c r="AA973" s="39" t="str">
        <f aca="false">IF($F973="","",IF(AND($S973&lt;&gt;"",$L973&lt;&gt;"",$S973&lt;&gt;$L973),1,0))</f>
        <v/>
      </c>
      <c r="AB973" s="39" t="str">
        <f aca="false">IF($F973="","",IF($R973="Cancelada",0,IF(OR($AT973&lt;&gt;"",$R973="Concluída"),1,0)))</f>
        <v/>
      </c>
      <c r="AC973" s="39" t="n">
        <f aca="false">IF($P973="",0,IF($P973&lt;Hoje!$L$1,1,IF(AND($P973=Hoje!$L$1,Hoje!$L$2&gt;Semana!$M$3),1,0)))</f>
        <v>0</v>
      </c>
      <c r="AD973" s="39" t="str">
        <f aca="false">IF($F973="","",IF(COUNTA($I973:$K973)=0,0,1/COUNTA($I973:$K973)))</f>
        <v/>
      </c>
      <c r="AE973" s="39" t="str">
        <f aca="false">IF($AH973=0,"",SUM($AH$4:$AH973))</f>
        <v/>
      </c>
      <c r="AF973" s="39" t="str">
        <f aca="false">IF($AI973=0,"",SUM($AI$4:$AI973))</f>
        <v/>
      </c>
      <c r="AG973" s="50" t="str">
        <f aca="false">IF($F973="","",$I973&amp;IF($J973="",""," · "&amp;$J973)&amp;IF($K973="",""," · "&amp;$K973))</f>
        <v/>
      </c>
      <c r="AH973" s="39" t="n">
        <f aca="false">IF(AND($F973&lt;&gt;"",$O973&lt;&gt;"",$O973&lt;=Hoje!$C$3,$P973&gt;=Hoje!$C$3,$R973&lt;&gt;"Cancelada"),1,0)</f>
        <v>0</v>
      </c>
      <c r="AI973" s="39" t="n">
        <f aca="false">IF(AND($F973&lt;&gt;"",$P973&lt;&gt;"",$P973&lt;Hoje!$C$3,$AB973=0,$R973&lt;&gt;"Cancelada"),1,0)</f>
        <v>0</v>
      </c>
      <c r="AJ973" s="50" t="str">
        <f aca="false">IF($F973="","",$D973&amp;"|"&amp;$E973&amp;"|"&amp;$L973)</f>
        <v/>
      </c>
      <c r="AK973" s="39" t="str">
        <f aca="false">IF($AJ973="","",COUNTIF($AJ$4:$AJ973,$AJ973))</f>
        <v/>
      </c>
      <c r="AL973" s="39" t="str">
        <f aca="false">IF($AJ973="","",COUNTIF($AJ$4:$AJ$1004,$AJ973))</f>
        <v/>
      </c>
      <c r="AM973" s="42"/>
      <c r="AN973" s="50" t="str">
        <f aca="false">IF($D973="","",IFERROR(T(VLOOKUP($D973,Listas!$B$5:$H$120,7,0)),""))</f>
        <v/>
      </c>
      <c r="AO973" s="50" t="str">
        <f aca="false">IF(OR($F973="",$L973&lt;&gt;"",$R973="Cancelada",$AT973&lt;&gt;""),"",$AN973&amp;"|"&amp;$D973&amp;"|"&amp;IF($C973="","zzz",$C973)&amp;"|"&amp;TEXT(973,"0000"))</f>
        <v/>
      </c>
      <c r="AP973" s="50" t="str">
        <f aca="false">IF($AO973="","",COUNTIF($AO$5:$AO$1004,"&lt;"&amp;$AO973)-(ROWS($AO$5:$AO$1004)-Hoje!$L$5)+1)</f>
        <v/>
      </c>
      <c r="AQ973" s="50" t="n">
        <f aca="false">IF(AND($F973&lt;&gt;"",$D973=Frota!$C$3),1,0)</f>
        <v>0</v>
      </c>
      <c r="AR973" s="50" t="str">
        <f aca="false">IF($AQ973=0,"",SUM($AQ$4:$AQ973))</f>
        <v/>
      </c>
      <c r="AS973" s="50" t="str">
        <f aca="false">IFERROR(INDEX(Hoje!$K$10:$K$29,MATCH(ROW(),Hoje!$J$10:$J$29,0)),"")</f>
        <v/>
      </c>
      <c r="AT973" s="50" t="str">
        <f aca="false">IF($Q973&lt;&gt;"",$Q973,$AS973)</f>
        <v/>
      </c>
    </row>
    <row r="974" customFormat="false" ht="16.5" hidden="false" customHeight="true" outlineLevel="0" collapsed="false">
      <c r="A974" s="39" t="str">
        <f aca="false">IF($F974="","",ROW())</f>
        <v/>
      </c>
      <c r="B974" s="40" t="str">
        <f aca="false">IF($F974="",IF($D974="","","Falta a atividade"),IF($R974="Cancelada","Cancelada",IF($AB974=1,IF(N($Z974)&gt;0,"Concluída com atraso","Concluída"),IF($R974="Em programação","Em programação",IF($O974="",IF($M974="","Na carteira","Falta a semana"),IF($AC974=1,"VENCIDA",IF($O974&gt;Hoje!$L$1,"Programada",IF($P974&gt;Hoje!$L$1,"Em execução","Fecha hoje"))))))))</f>
        <v/>
      </c>
      <c r="C974" s="41"/>
      <c r="D974" s="42"/>
      <c r="E974" s="42"/>
      <c r="F974" s="42"/>
      <c r="G974" s="43"/>
      <c r="H974" s="43"/>
      <c r="I974" s="44"/>
      <c r="J974" s="44"/>
      <c r="K974" s="44"/>
      <c r="L974" s="45"/>
      <c r="M974" s="46"/>
      <c r="N974" s="45"/>
      <c r="O974" s="47" t="str">
        <f aca="false">IF(OR($L974="",$M974=""),"",(DATE(Semana!$J$3,1,4)-WEEKDAY(DATE(Semana!$J$3,1,4),3))+($L974-1)*7+MATCH($M974,Listas!$F$5:$F$11,0)-1)</f>
        <v/>
      </c>
      <c r="P974" s="47" t="str">
        <f aca="false">IF(OR($F974="",$O974=""),"",$O974+MAX(0,ROUNDUP($AK974*MAX(1,IF($N974="",1,$N974))/MAX(1,$AL974),0)-1))</f>
        <v/>
      </c>
      <c r="Q974" s="48"/>
      <c r="R974" s="43"/>
      <c r="S974" s="49"/>
      <c r="T974" s="42"/>
      <c r="U974" s="42"/>
      <c r="V974" s="39" t="str">
        <f aca="false">IF($F974="","",IF(ISNUMBER(SEARCH("(externo)",$I974&amp;$J974&amp;$K974)),"Terceirizada","Interna"))</f>
        <v/>
      </c>
      <c r="W974" s="47" t="str">
        <f aca="false">IF($O974="","",IF($S974="",$O974,(DATE(Semana!$J$3,1,4)-WEEKDAY(DATE(Semana!$J$3,1,4),3))+($S974-1)*7+IF($M974="",0,MATCH($M974,Listas!$F$5:$F$11,0)-1)))</f>
        <v/>
      </c>
      <c r="X974" s="39" t="str">
        <f aca="false">IF($F974="","",IF(OR($AT974="",$O974=""),0,IF($AT974&lt;=$O974,1,0)))</f>
        <v/>
      </c>
      <c r="Y974" s="39" t="str">
        <f aca="false">IF($F974="","",IF(OR($AT974="",$W974=""),0,IF($AT974&lt;=$W974,1,0)))</f>
        <v/>
      </c>
      <c r="Z974" s="39" t="str">
        <f aca="false">IF(OR($AT974="",$O974=""),"",MAX(0,$AT974-$O974))</f>
        <v/>
      </c>
      <c r="AA974" s="39" t="str">
        <f aca="false">IF($F974="","",IF(AND($S974&lt;&gt;"",$L974&lt;&gt;"",$S974&lt;&gt;$L974),1,0))</f>
        <v/>
      </c>
      <c r="AB974" s="39" t="str">
        <f aca="false">IF($F974="","",IF($R974="Cancelada",0,IF(OR($AT974&lt;&gt;"",$R974="Concluída"),1,0)))</f>
        <v/>
      </c>
      <c r="AC974" s="39" t="n">
        <f aca="false">IF($P974="",0,IF($P974&lt;Hoje!$L$1,1,IF(AND($P974=Hoje!$L$1,Hoje!$L$2&gt;Semana!$M$3),1,0)))</f>
        <v>0</v>
      </c>
      <c r="AD974" s="39" t="str">
        <f aca="false">IF($F974="","",IF(COUNTA($I974:$K974)=0,0,1/COUNTA($I974:$K974)))</f>
        <v/>
      </c>
      <c r="AE974" s="39" t="str">
        <f aca="false">IF($AH974=0,"",SUM($AH$4:$AH974))</f>
        <v/>
      </c>
      <c r="AF974" s="39" t="str">
        <f aca="false">IF($AI974=0,"",SUM($AI$4:$AI974))</f>
        <v/>
      </c>
      <c r="AG974" s="50" t="str">
        <f aca="false">IF($F974="","",$I974&amp;IF($J974="",""," · "&amp;$J974)&amp;IF($K974="",""," · "&amp;$K974))</f>
        <v/>
      </c>
      <c r="AH974" s="39" t="n">
        <f aca="false">IF(AND($F974&lt;&gt;"",$O974&lt;&gt;"",$O974&lt;=Hoje!$C$3,$P974&gt;=Hoje!$C$3,$R974&lt;&gt;"Cancelada"),1,0)</f>
        <v>0</v>
      </c>
      <c r="AI974" s="39" t="n">
        <f aca="false">IF(AND($F974&lt;&gt;"",$P974&lt;&gt;"",$P974&lt;Hoje!$C$3,$AB974=0,$R974&lt;&gt;"Cancelada"),1,0)</f>
        <v>0</v>
      </c>
      <c r="AJ974" s="50" t="str">
        <f aca="false">IF($F974="","",$D974&amp;"|"&amp;$E974&amp;"|"&amp;$L974)</f>
        <v/>
      </c>
      <c r="AK974" s="39" t="str">
        <f aca="false">IF($AJ974="","",COUNTIF($AJ$4:$AJ974,$AJ974))</f>
        <v/>
      </c>
      <c r="AL974" s="39" t="str">
        <f aca="false">IF($AJ974="","",COUNTIF($AJ$4:$AJ$1004,$AJ974))</f>
        <v/>
      </c>
      <c r="AM974" s="42"/>
      <c r="AN974" s="50" t="str">
        <f aca="false">IF($D974="","",IFERROR(T(VLOOKUP($D974,Listas!$B$5:$H$120,7,0)),""))</f>
        <v/>
      </c>
      <c r="AO974" s="50" t="str">
        <f aca="false">IF(OR($F974="",$L974&lt;&gt;"",$R974="Cancelada",$AT974&lt;&gt;""),"",$AN974&amp;"|"&amp;$D974&amp;"|"&amp;IF($C974="","zzz",$C974)&amp;"|"&amp;TEXT(974,"0000"))</f>
        <v/>
      </c>
      <c r="AP974" s="50" t="str">
        <f aca="false">IF($AO974="","",COUNTIF($AO$5:$AO$1004,"&lt;"&amp;$AO974)-(ROWS($AO$5:$AO$1004)-Hoje!$L$5)+1)</f>
        <v/>
      </c>
      <c r="AQ974" s="50" t="n">
        <f aca="false">IF(AND($F974&lt;&gt;"",$D974=Frota!$C$3),1,0)</f>
        <v>0</v>
      </c>
      <c r="AR974" s="50" t="str">
        <f aca="false">IF($AQ974=0,"",SUM($AQ$4:$AQ974))</f>
        <v/>
      </c>
      <c r="AS974" s="50" t="str">
        <f aca="false">IFERROR(INDEX(Hoje!$K$10:$K$29,MATCH(ROW(),Hoje!$J$10:$J$29,0)),"")</f>
        <v/>
      </c>
      <c r="AT974" s="50" t="str">
        <f aca="false">IF($Q974&lt;&gt;"",$Q974,$AS974)</f>
        <v/>
      </c>
    </row>
    <row r="975" customFormat="false" ht="16.5" hidden="false" customHeight="true" outlineLevel="0" collapsed="false">
      <c r="A975" s="39" t="str">
        <f aca="false">IF($F975="","",ROW())</f>
        <v/>
      </c>
      <c r="B975" s="40" t="str">
        <f aca="false">IF($F975="",IF($D975="","","Falta a atividade"),IF($R975="Cancelada","Cancelada",IF($AB975=1,IF(N($Z975)&gt;0,"Concluída com atraso","Concluída"),IF($R975="Em programação","Em programação",IF($O975="",IF($M975="","Na carteira","Falta a semana"),IF($AC975=1,"VENCIDA",IF($O975&gt;Hoje!$L$1,"Programada",IF($P975&gt;Hoje!$L$1,"Em execução","Fecha hoje"))))))))</f>
        <v/>
      </c>
      <c r="C975" s="41"/>
      <c r="D975" s="42"/>
      <c r="E975" s="42"/>
      <c r="F975" s="42"/>
      <c r="G975" s="43"/>
      <c r="H975" s="43"/>
      <c r="I975" s="44"/>
      <c r="J975" s="44"/>
      <c r="K975" s="44"/>
      <c r="L975" s="45"/>
      <c r="M975" s="46"/>
      <c r="N975" s="45"/>
      <c r="O975" s="47" t="str">
        <f aca="false">IF(OR($L975="",$M975=""),"",(DATE(Semana!$J$3,1,4)-WEEKDAY(DATE(Semana!$J$3,1,4),3))+($L975-1)*7+MATCH($M975,Listas!$F$5:$F$11,0)-1)</f>
        <v/>
      </c>
      <c r="P975" s="47" t="str">
        <f aca="false">IF(OR($F975="",$O975=""),"",$O975+MAX(0,ROUNDUP($AK975*MAX(1,IF($N975="",1,$N975))/MAX(1,$AL975),0)-1))</f>
        <v/>
      </c>
      <c r="Q975" s="48"/>
      <c r="R975" s="43"/>
      <c r="S975" s="49"/>
      <c r="T975" s="42"/>
      <c r="U975" s="42"/>
      <c r="V975" s="39" t="str">
        <f aca="false">IF($F975="","",IF(ISNUMBER(SEARCH("(externo)",$I975&amp;$J975&amp;$K975)),"Terceirizada","Interna"))</f>
        <v/>
      </c>
      <c r="W975" s="47" t="str">
        <f aca="false">IF($O975="","",IF($S975="",$O975,(DATE(Semana!$J$3,1,4)-WEEKDAY(DATE(Semana!$J$3,1,4),3))+($S975-1)*7+IF($M975="",0,MATCH($M975,Listas!$F$5:$F$11,0)-1)))</f>
        <v/>
      </c>
      <c r="X975" s="39" t="str">
        <f aca="false">IF($F975="","",IF(OR($AT975="",$O975=""),0,IF($AT975&lt;=$O975,1,0)))</f>
        <v/>
      </c>
      <c r="Y975" s="39" t="str">
        <f aca="false">IF($F975="","",IF(OR($AT975="",$W975=""),0,IF($AT975&lt;=$W975,1,0)))</f>
        <v/>
      </c>
      <c r="Z975" s="39" t="str">
        <f aca="false">IF(OR($AT975="",$O975=""),"",MAX(0,$AT975-$O975))</f>
        <v/>
      </c>
      <c r="AA975" s="39" t="str">
        <f aca="false">IF($F975="","",IF(AND($S975&lt;&gt;"",$L975&lt;&gt;"",$S975&lt;&gt;$L975),1,0))</f>
        <v/>
      </c>
      <c r="AB975" s="39" t="str">
        <f aca="false">IF($F975="","",IF($R975="Cancelada",0,IF(OR($AT975&lt;&gt;"",$R975="Concluída"),1,0)))</f>
        <v/>
      </c>
      <c r="AC975" s="39" t="n">
        <f aca="false">IF($P975="",0,IF($P975&lt;Hoje!$L$1,1,IF(AND($P975=Hoje!$L$1,Hoje!$L$2&gt;Semana!$M$3),1,0)))</f>
        <v>0</v>
      </c>
      <c r="AD975" s="39" t="str">
        <f aca="false">IF($F975="","",IF(COUNTA($I975:$K975)=0,0,1/COUNTA($I975:$K975)))</f>
        <v/>
      </c>
      <c r="AE975" s="39" t="str">
        <f aca="false">IF($AH975=0,"",SUM($AH$4:$AH975))</f>
        <v/>
      </c>
      <c r="AF975" s="39" t="str">
        <f aca="false">IF($AI975=0,"",SUM($AI$4:$AI975))</f>
        <v/>
      </c>
      <c r="AG975" s="50" t="str">
        <f aca="false">IF($F975="","",$I975&amp;IF($J975="",""," · "&amp;$J975)&amp;IF($K975="",""," · "&amp;$K975))</f>
        <v/>
      </c>
      <c r="AH975" s="39" t="n">
        <f aca="false">IF(AND($F975&lt;&gt;"",$O975&lt;&gt;"",$O975&lt;=Hoje!$C$3,$P975&gt;=Hoje!$C$3,$R975&lt;&gt;"Cancelada"),1,0)</f>
        <v>0</v>
      </c>
      <c r="AI975" s="39" t="n">
        <f aca="false">IF(AND($F975&lt;&gt;"",$P975&lt;&gt;"",$P975&lt;Hoje!$C$3,$AB975=0,$R975&lt;&gt;"Cancelada"),1,0)</f>
        <v>0</v>
      </c>
      <c r="AJ975" s="50" t="str">
        <f aca="false">IF($F975="","",$D975&amp;"|"&amp;$E975&amp;"|"&amp;$L975)</f>
        <v/>
      </c>
      <c r="AK975" s="39" t="str">
        <f aca="false">IF($AJ975="","",COUNTIF($AJ$4:$AJ975,$AJ975))</f>
        <v/>
      </c>
      <c r="AL975" s="39" t="str">
        <f aca="false">IF($AJ975="","",COUNTIF($AJ$4:$AJ$1004,$AJ975))</f>
        <v/>
      </c>
      <c r="AM975" s="42"/>
      <c r="AN975" s="50" t="str">
        <f aca="false">IF($D975="","",IFERROR(T(VLOOKUP($D975,Listas!$B$5:$H$120,7,0)),""))</f>
        <v/>
      </c>
      <c r="AO975" s="50" t="str">
        <f aca="false">IF(OR($F975="",$L975&lt;&gt;"",$R975="Cancelada",$AT975&lt;&gt;""),"",$AN975&amp;"|"&amp;$D975&amp;"|"&amp;IF($C975="","zzz",$C975)&amp;"|"&amp;TEXT(975,"0000"))</f>
        <v/>
      </c>
      <c r="AP975" s="50" t="str">
        <f aca="false">IF($AO975="","",COUNTIF($AO$5:$AO$1004,"&lt;"&amp;$AO975)-(ROWS($AO$5:$AO$1004)-Hoje!$L$5)+1)</f>
        <v/>
      </c>
      <c r="AQ975" s="50" t="n">
        <f aca="false">IF(AND($F975&lt;&gt;"",$D975=Frota!$C$3),1,0)</f>
        <v>0</v>
      </c>
      <c r="AR975" s="50" t="str">
        <f aca="false">IF($AQ975=0,"",SUM($AQ$4:$AQ975))</f>
        <v/>
      </c>
      <c r="AS975" s="50" t="str">
        <f aca="false">IFERROR(INDEX(Hoje!$K$10:$K$29,MATCH(ROW(),Hoje!$J$10:$J$29,0)),"")</f>
        <v/>
      </c>
      <c r="AT975" s="50" t="str">
        <f aca="false">IF($Q975&lt;&gt;"",$Q975,$AS975)</f>
        <v/>
      </c>
    </row>
    <row r="976" customFormat="false" ht="16.5" hidden="false" customHeight="true" outlineLevel="0" collapsed="false">
      <c r="A976" s="39" t="str">
        <f aca="false">IF($F976="","",ROW())</f>
        <v/>
      </c>
      <c r="B976" s="40" t="str">
        <f aca="false">IF($F976="",IF($D976="","","Falta a atividade"),IF($R976="Cancelada","Cancelada",IF($AB976=1,IF(N($Z976)&gt;0,"Concluída com atraso","Concluída"),IF($R976="Em programação","Em programação",IF($O976="",IF($M976="","Na carteira","Falta a semana"),IF($AC976=1,"VENCIDA",IF($O976&gt;Hoje!$L$1,"Programada",IF($P976&gt;Hoje!$L$1,"Em execução","Fecha hoje"))))))))</f>
        <v/>
      </c>
      <c r="C976" s="41"/>
      <c r="D976" s="42"/>
      <c r="E976" s="42"/>
      <c r="F976" s="42"/>
      <c r="G976" s="43"/>
      <c r="H976" s="43"/>
      <c r="I976" s="44"/>
      <c r="J976" s="44"/>
      <c r="K976" s="44"/>
      <c r="L976" s="45"/>
      <c r="M976" s="46"/>
      <c r="N976" s="45"/>
      <c r="O976" s="47" t="str">
        <f aca="false">IF(OR($L976="",$M976=""),"",(DATE(Semana!$J$3,1,4)-WEEKDAY(DATE(Semana!$J$3,1,4),3))+($L976-1)*7+MATCH($M976,Listas!$F$5:$F$11,0)-1)</f>
        <v/>
      </c>
      <c r="P976" s="47" t="str">
        <f aca="false">IF(OR($F976="",$O976=""),"",$O976+MAX(0,ROUNDUP($AK976*MAX(1,IF($N976="",1,$N976))/MAX(1,$AL976),0)-1))</f>
        <v/>
      </c>
      <c r="Q976" s="48"/>
      <c r="R976" s="43"/>
      <c r="S976" s="49"/>
      <c r="T976" s="42"/>
      <c r="U976" s="42"/>
      <c r="V976" s="39" t="str">
        <f aca="false">IF($F976="","",IF(ISNUMBER(SEARCH("(externo)",$I976&amp;$J976&amp;$K976)),"Terceirizada","Interna"))</f>
        <v/>
      </c>
      <c r="W976" s="47" t="str">
        <f aca="false">IF($O976="","",IF($S976="",$O976,(DATE(Semana!$J$3,1,4)-WEEKDAY(DATE(Semana!$J$3,1,4),3))+($S976-1)*7+IF($M976="",0,MATCH($M976,Listas!$F$5:$F$11,0)-1)))</f>
        <v/>
      </c>
      <c r="X976" s="39" t="str">
        <f aca="false">IF($F976="","",IF(OR($AT976="",$O976=""),0,IF($AT976&lt;=$O976,1,0)))</f>
        <v/>
      </c>
      <c r="Y976" s="39" t="str">
        <f aca="false">IF($F976="","",IF(OR($AT976="",$W976=""),0,IF($AT976&lt;=$W976,1,0)))</f>
        <v/>
      </c>
      <c r="Z976" s="39" t="str">
        <f aca="false">IF(OR($AT976="",$O976=""),"",MAX(0,$AT976-$O976))</f>
        <v/>
      </c>
      <c r="AA976" s="39" t="str">
        <f aca="false">IF($F976="","",IF(AND($S976&lt;&gt;"",$L976&lt;&gt;"",$S976&lt;&gt;$L976),1,0))</f>
        <v/>
      </c>
      <c r="AB976" s="39" t="str">
        <f aca="false">IF($F976="","",IF($R976="Cancelada",0,IF(OR($AT976&lt;&gt;"",$R976="Concluída"),1,0)))</f>
        <v/>
      </c>
      <c r="AC976" s="39" t="n">
        <f aca="false">IF($P976="",0,IF($P976&lt;Hoje!$L$1,1,IF(AND($P976=Hoje!$L$1,Hoje!$L$2&gt;Semana!$M$3),1,0)))</f>
        <v>0</v>
      </c>
      <c r="AD976" s="39" t="str">
        <f aca="false">IF($F976="","",IF(COUNTA($I976:$K976)=0,0,1/COUNTA($I976:$K976)))</f>
        <v/>
      </c>
      <c r="AE976" s="39" t="str">
        <f aca="false">IF($AH976=0,"",SUM($AH$4:$AH976))</f>
        <v/>
      </c>
      <c r="AF976" s="39" t="str">
        <f aca="false">IF($AI976=0,"",SUM($AI$4:$AI976))</f>
        <v/>
      </c>
      <c r="AG976" s="50" t="str">
        <f aca="false">IF($F976="","",$I976&amp;IF($J976="",""," · "&amp;$J976)&amp;IF($K976="",""," · "&amp;$K976))</f>
        <v/>
      </c>
      <c r="AH976" s="39" t="n">
        <f aca="false">IF(AND($F976&lt;&gt;"",$O976&lt;&gt;"",$O976&lt;=Hoje!$C$3,$P976&gt;=Hoje!$C$3,$R976&lt;&gt;"Cancelada"),1,0)</f>
        <v>0</v>
      </c>
      <c r="AI976" s="39" t="n">
        <f aca="false">IF(AND($F976&lt;&gt;"",$P976&lt;&gt;"",$P976&lt;Hoje!$C$3,$AB976=0,$R976&lt;&gt;"Cancelada"),1,0)</f>
        <v>0</v>
      </c>
      <c r="AJ976" s="50" t="str">
        <f aca="false">IF($F976="","",$D976&amp;"|"&amp;$E976&amp;"|"&amp;$L976)</f>
        <v/>
      </c>
      <c r="AK976" s="39" t="str">
        <f aca="false">IF($AJ976="","",COUNTIF($AJ$4:$AJ976,$AJ976))</f>
        <v/>
      </c>
      <c r="AL976" s="39" t="str">
        <f aca="false">IF($AJ976="","",COUNTIF($AJ$4:$AJ$1004,$AJ976))</f>
        <v/>
      </c>
      <c r="AM976" s="42"/>
      <c r="AN976" s="50" t="str">
        <f aca="false">IF($D976="","",IFERROR(T(VLOOKUP($D976,Listas!$B$5:$H$120,7,0)),""))</f>
        <v/>
      </c>
      <c r="AO976" s="50" t="str">
        <f aca="false">IF(OR($F976="",$L976&lt;&gt;"",$R976="Cancelada",$AT976&lt;&gt;""),"",$AN976&amp;"|"&amp;$D976&amp;"|"&amp;IF($C976="","zzz",$C976)&amp;"|"&amp;TEXT(976,"0000"))</f>
        <v/>
      </c>
      <c r="AP976" s="50" t="str">
        <f aca="false">IF($AO976="","",COUNTIF($AO$5:$AO$1004,"&lt;"&amp;$AO976)-(ROWS($AO$5:$AO$1004)-Hoje!$L$5)+1)</f>
        <v/>
      </c>
      <c r="AQ976" s="50" t="n">
        <f aca="false">IF(AND($F976&lt;&gt;"",$D976=Frota!$C$3),1,0)</f>
        <v>0</v>
      </c>
      <c r="AR976" s="50" t="str">
        <f aca="false">IF($AQ976=0,"",SUM($AQ$4:$AQ976))</f>
        <v/>
      </c>
      <c r="AS976" s="50" t="str">
        <f aca="false">IFERROR(INDEX(Hoje!$K$10:$K$29,MATCH(ROW(),Hoje!$J$10:$J$29,0)),"")</f>
        <v/>
      </c>
      <c r="AT976" s="50" t="str">
        <f aca="false">IF($Q976&lt;&gt;"",$Q976,$AS976)</f>
        <v/>
      </c>
    </row>
    <row r="977" customFormat="false" ht="16.5" hidden="false" customHeight="true" outlineLevel="0" collapsed="false">
      <c r="A977" s="39" t="str">
        <f aca="false">IF($F977="","",ROW())</f>
        <v/>
      </c>
      <c r="B977" s="40" t="str">
        <f aca="false">IF($F977="",IF($D977="","","Falta a atividade"),IF($R977="Cancelada","Cancelada",IF($AB977=1,IF(N($Z977)&gt;0,"Concluída com atraso","Concluída"),IF($R977="Em programação","Em programação",IF($O977="",IF($M977="","Na carteira","Falta a semana"),IF($AC977=1,"VENCIDA",IF($O977&gt;Hoje!$L$1,"Programada",IF($P977&gt;Hoje!$L$1,"Em execução","Fecha hoje"))))))))</f>
        <v/>
      </c>
      <c r="C977" s="41"/>
      <c r="D977" s="42"/>
      <c r="E977" s="42"/>
      <c r="F977" s="42"/>
      <c r="G977" s="43"/>
      <c r="H977" s="43"/>
      <c r="I977" s="44"/>
      <c r="J977" s="44"/>
      <c r="K977" s="44"/>
      <c r="L977" s="45"/>
      <c r="M977" s="46"/>
      <c r="N977" s="45"/>
      <c r="O977" s="47" t="str">
        <f aca="false">IF(OR($L977="",$M977=""),"",(DATE(Semana!$J$3,1,4)-WEEKDAY(DATE(Semana!$J$3,1,4),3))+($L977-1)*7+MATCH($M977,Listas!$F$5:$F$11,0)-1)</f>
        <v/>
      </c>
      <c r="P977" s="47" t="str">
        <f aca="false">IF(OR($F977="",$O977=""),"",$O977+MAX(0,ROUNDUP($AK977*MAX(1,IF($N977="",1,$N977))/MAX(1,$AL977),0)-1))</f>
        <v/>
      </c>
      <c r="Q977" s="48"/>
      <c r="R977" s="43"/>
      <c r="S977" s="49"/>
      <c r="T977" s="42"/>
      <c r="U977" s="42"/>
      <c r="V977" s="39" t="str">
        <f aca="false">IF($F977="","",IF(ISNUMBER(SEARCH("(externo)",$I977&amp;$J977&amp;$K977)),"Terceirizada","Interna"))</f>
        <v/>
      </c>
      <c r="W977" s="47" t="str">
        <f aca="false">IF($O977="","",IF($S977="",$O977,(DATE(Semana!$J$3,1,4)-WEEKDAY(DATE(Semana!$J$3,1,4),3))+($S977-1)*7+IF($M977="",0,MATCH($M977,Listas!$F$5:$F$11,0)-1)))</f>
        <v/>
      </c>
      <c r="X977" s="39" t="str">
        <f aca="false">IF($F977="","",IF(OR($AT977="",$O977=""),0,IF($AT977&lt;=$O977,1,0)))</f>
        <v/>
      </c>
      <c r="Y977" s="39" t="str">
        <f aca="false">IF($F977="","",IF(OR($AT977="",$W977=""),0,IF($AT977&lt;=$W977,1,0)))</f>
        <v/>
      </c>
      <c r="Z977" s="39" t="str">
        <f aca="false">IF(OR($AT977="",$O977=""),"",MAX(0,$AT977-$O977))</f>
        <v/>
      </c>
      <c r="AA977" s="39" t="str">
        <f aca="false">IF($F977="","",IF(AND($S977&lt;&gt;"",$L977&lt;&gt;"",$S977&lt;&gt;$L977),1,0))</f>
        <v/>
      </c>
      <c r="AB977" s="39" t="str">
        <f aca="false">IF($F977="","",IF($R977="Cancelada",0,IF(OR($AT977&lt;&gt;"",$R977="Concluída"),1,0)))</f>
        <v/>
      </c>
      <c r="AC977" s="39" t="n">
        <f aca="false">IF($P977="",0,IF($P977&lt;Hoje!$L$1,1,IF(AND($P977=Hoje!$L$1,Hoje!$L$2&gt;Semana!$M$3),1,0)))</f>
        <v>0</v>
      </c>
      <c r="AD977" s="39" t="str">
        <f aca="false">IF($F977="","",IF(COUNTA($I977:$K977)=0,0,1/COUNTA($I977:$K977)))</f>
        <v/>
      </c>
      <c r="AE977" s="39" t="str">
        <f aca="false">IF($AH977=0,"",SUM($AH$4:$AH977))</f>
        <v/>
      </c>
      <c r="AF977" s="39" t="str">
        <f aca="false">IF($AI977=0,"",SUM($AI$4:$AI977))</f>
        <v/>
      </c>
      <c r="AG977" s="50" t="str">
        <f aca="false">IF($F977="","",$I977&amp;IF($J977="",""," · "&amp;$J977)&amp;IF($K977="",""," · "&amp;$K977))</f>
        <v/>
      </c>
      <c r="AH977" s="39" t="n">
        <f aca="false">IF(AND($F977&lt;&gt;"",$O977&lt;&gt;"",$O977&lt;=Hoje!$C$3,$P977&gt;=Hoje!$C$3,$R977&lt;&gt;"Cancelada"),1,0)</f>
        <v>0</v>
      </c>
      <c r="AI977" s="39" t="n">
        <f aca="false">IF(AND($F977&lt;&gt;"",$P977&lt;&gt;"",$P977&lt;Hoje!$C$3,$AB977=0,$R977&lt;&gt;"Cancelada"),1,0)</f>
        <v>0</v>
      </c>
      <c r="AJ977" s="50" t="str">
        <f aca="false">IF($F977="","",$D977&amp;"|"&amp;$E977&amp;"|"&amp;$L977)</f>
        <v/>
      </c>
      <c r="AK977" s="39" t="str">
        <f aca="false">IF($AJ977="","",COUNTIF($AJ$4:$AJ977,$AJ977))</f>
        <v/>
      </c>
      <c r="AL977" s="39" t="str">
        <f aca="false">IF($AJ977="","",COUNTIF($AJ$4:$AJ$1004,$AJ977))</f>
        <v/>
      </c>
      <c r="AM977" s="42"/>
      <c r="AN977" s="50" t="str">
        <f aca="false">IF($D977="","",IFERROR(T(VLOOKUP($D977,Listas!$B$5:$H$120,7,0)),""))</f>
        <v/>
      </c>
      <c r="AO977" s="50" t="str">
        <f aca="false">IF(OR($F977="",$L977&lt;&gt;"",$R977="Cancelada",$AT977&lt;&gt;""),"",$AN977&amp;"|"&amp;$D977&amp;"|"&amp;IF($C977="","zzz",$C977)&amp;"|"&amp;TEXT(977,"0000"))</f>
        <v/>
      </c>
      <c r="AP977" s="50" t="str">
        <f aca="false">IF($AO977="","",COUNTIF($AO$5:$AO$1004,"&lt;"&amp;$AO977)-(ROWS($AO$5:$AO$1004)-Hoje!$L$5)+1)</f>
        <v/>
      </c>
      <c r="AQ977" s="50" t="n">
        <f aca="false">IF(AND($F977&lt;&gt;"",$D977=Frota!$C$3),1,0)</f>
        <v>0</v>
      </c>
      <c r="AR977" s="50" t="str">
        <f aca="false">IF($AQ977=0,"",SUM($AQ$4:$AQ977))</f>
        <v/>
      </c>
      <c r="AS977" s="50" t="str">
        <f aca="false">IFERROR(INDEX(Hoje!$K$10:$K$29,MATCH(ROW(),Hoje!$J$10:$J$29,0)),"")</f>
        <v/>
      </c>
      <c r="AT977" s="50" t="str">
        <f aca="false">IF($Q977&lt;&gt;"",$Q977,$AS977)</f>
        <v/>
      </c>
    </row>
    <row r="978" customFormat="false" ht="16.5" hidden="false" customHeight="true" outlineLevel="0" collapsed="false">
      <c r="A978" s="39" t="str">
        <f aca="false">IF($F978="","",ROW())</f>
        <v/>
      </c>
      <c r="B978" s="40" t="str">
        <f aca="false">IF($F978="",IF($D978="","","Falta a atividade"),IF($R978="Cancelada","Cancelada",IF($AB978=1,IF(N($Z978)&gt;0,"Concluída com atraso","Concluída"),IF($R978="Em programação","Em programação",IF($O978="",IF($M978="","Na carteira","Falta a semana"),IF($AC978=1,"VENCIDA",IF($O978&gt;Hoje!$L$1,"Programada",IF($P978&gt;Hoje!$L$1,"Em execução","Fecha hoje"))))))))</f>
        <v/>
      </c>
      <c r="C978" s="41"/>
      <c r="D978" s="42"/>
      <c r="E978" s="42"/>
      <c r="F978" s="42"/>
      <c r="G978" s="43"/>
      <c r="H978" s="43"/>
      <c r="I978" s="44"/>
      <c r="J978" s="44"/>
      <c r="K978" s="44"/>
      <c r="L978" s="45"/>
      <c r="M978" s="46"/>
      <c r="N978" s="45"/>
      <c r="O978" s="47" t="str">
        <f aca="false">IF(OR($L978="",$M978=""),"",(DATE(Semana!$J$3,1,4)-WEEKDAY(DATE(Semana!$J$3,1,4),3))+($L978-1)*7+MATCH($M978,Listas!$F$5:$F$11,0)-1)</f>
        <v/>
      </c>
      <c r="P978" s="47" t="str">
        <f aca="false">IF(OR($F978="",$O978=""),"",$O978+MAX(0,ROUNDUP($AK978*MAX(1,IF($N978="",1,$N978))/MAX(1,$AL978),0)-1))</f>
        <v/>
      </c>
      <c r="Q978" s="48"/>
      <c r="R978" s="43"/>
      <c r="S978" s="49"/>
      <c r="T978" s="42"/>
      <c r="U978" s="42"/>
      <c r="V978" s="39" t="str">
        <f aca="false">IF($F978="","",IF(ISNUMBER(SEARCH("(externo)",$I978&amp;$J978&amp;$K978)),"Terceirizada","Interna"))</f>
        <v/>
      </c>
      <c r="W978" s="47" t="str">
        <f aca="false">IF($O978="","",IF($S978="",$O978,(DATE(Semana!$J$3,1,4)-WEEKDAY(DATE(Semana!$J$3,1,4),3))+($S978-1)*7+IF($M978="",0,MATCH($M978,Listas!$F$5:$F$11,0)-1)))</f>
        <v/>
      </c>
      <c r="X978" s="39" t="str">
        <f aca="false">IF($F978="","",IF(OR($AT978="",$O978=""),0,IF($AT978&lt;=$O978,1,0)))</f>
        <v/>
      </c>
      <c r="Y978" s="39" t="str">
        <f aca="false">IF($F978="","",IF(OR($AT978="",$W978=""),0,IF($AT978&lt;=$W978,1,0)))</f>
        <v/>
      </c>
      <c r="Z978" s="39" t="str">
        <f aca="false">IF(OR($AT978="",$O978=""),"",MAX(0,$AT978-$O978))</f>
        <v/>
      </c>
      <c r="AA978" s="39" t="str">
        <f aca="false">IF($F978="","",IF(AND($S978&lt;&gt;"",$L978&lt;&gt;"",$S978&lt;&gt;$L978),1,0))</f>
        <v/>
      </c>
      <c r="AB978" s="39" t="str">
        <f aca="false">IF($F978="","",IF($R978="Cancelada",0,IF(OR($AT978&lt;&gt;"",$R978="Concluída"),1,0)))</f>
        <v/>
      </c>
      <c r="AC978" s="39" t="n">
        <f aca="false">IF($P978="",0,IF($P978&lt;Hoje!$L$1,1,IF(AND($P978=Hoje!$L$1,Hoje!$L$2&gt;Semana!$M$3),1,0)))</f>
        <v>0</v>
      </c>
      <c r="AD978" s="39" t="str">
        <f aca="false">IF($F978="","",IF(COUNTA($I978:$K978)=0,0,1/COUNTA($I978:$K978)))</f>
        <v/>
      </c>
      <c r="AE978" s="39" t="str">
        <f aca="false">IF($AH978=0,"",SUM($AH$4:$AH978))</f>
        <v/>
      </c>
      <c r="AF978" s="39" t="str">
        <f aca="false">IF($AI978=0,"",SUM($AI$4:$AI978))</f>
        <v/>
      </c>
      <c r="AG978" s="50" t="str">
        <f aca="false">IF($F978="","",$I978&amp;IF($J978="",""," · "&amp;$J978)&amp;IF($K978="",""," · "&amp;$K978))</f>
        <v/>
      </c>
      <c r="AH978" s="39" t="n">
        <f aca="false">IF(AND($F978&lt;&gt;"",$O978&lt;&gt;"",$O978&lt;=Hoje!$C$3,$P978&gt;=Hoje!$C$3,$R978&lt;&gt;"Cancelada"),1,0)</f>
        <v>0</v>
      </c>
      <c r="AI978" s="39" t="n">
        <f aca="false">IF(AND($F978&lt;&gt;"",$P978&lt;&gt;"",$P978&lt;Hoje!$C$3,$AB978=0,$R978&lt;&gt;"Cancelada"),1,0)</f>
        <v>0</v>
      </c>
      <c r="AJ978" s="50" t="str">
        <f aca="false">IF($F978="","",$D978&amp;"|"&amp;$E978&amp;"|"&amp;$L978)</f>
        <v/>
      </c>
      <c r="AK978" s="39" t="str">
        <f aca="false">IF($AJ978="","",COUNTIF($AJ$4:$AJ978,$AJ978))</f>
        <v/>
      </c>
      <c r="AL978" s="39" t="str">
        <f aca="false">IF($AJ978="","",COUNTIF($AJ$4:$AJ$1004,$AJ978))</f>
        <v/>
      </c>
      <c r="AM978" s="42"/>
      <c r="AN978" s="50" t="str">
        <f aca="false">IF($D978="","",IFERROR(T(VLOOKUP($D978,Listas!$B$5:$H$120,7,0)),""))</f>
        <v/>
      </c>
      <c r="AO978" s="50" t="str">
        <f aca="false">IF(OR($F978="",$L978&lt;&gt;"",$R978="Cancelada",$AT978&lt;&gt;""),"",$AN978&amp;"|"&amp;$D978&amp;"|"&amp;IF($C978="","zzz",$C978)&amp;"|"&amp;TEXT(978,"0000"))</f>
        <v/>
      </c>
      <c r="AP978" s="50" t="str">
        <f aca="false">IF($AO978="","",COUNTIF($AO$5:$AO$1004,"&lt;"&amp;$AO978)-(ROWS($AO$5:$AO$1004)-Hoje!$L$5)+1)</f>
        <v/>
      </c>
      <c r="AQ978" s="50" t="n">
        <f aca="false">IF(AND($F978&lt;&gt;"",$D978=Frota!$C$3),1,0)</f>
        <v>0</v>
      </c>
      <c r="AR978" s="50" t="str">
        <f aca="false">IF($AQ978=0,"",SUM($AQ$4:$AQ978))</f>
        <v/>
      </c>
      <c r="AS978" s="50" t="str">
        <f aca="false">IFERROR(INDEX(Hoje!$K$10:$K$29,MATCH(ROW(),Hoje!$J$10:$J$29,0)),"")</f>
        <v/>
      </c>
      <c r="AT978" s="50" t="str">
        <f aca="false">IF($Q978&lt;&gt;"",$Q978,$AS978)</f>
        <v/>
      </c>
    </row>
    <row r="979" customFormat="false" ht="16.5" hidden="false" customHeight="true" outlineLevel="0" collapsed="false">
      <c r="A979" s="39" t="str">
        <f aca="false">IF($F979="","",ROW())</f>
        <v/>
      </c>
      <c r="B979" s="40" t="str">
        <f aca="false">IF($F979="",IF($D979="","","Falta a atividade"),IF($R979="Cancelada","Cancelada",IF($AB979=1,IF(N($Z979)&gt;0,"Concluída com atraso","Concluída"),IF($R979="Em programação","Em programação",IF($O979="",IF($M979="","Na carteira","Falta a semana"),IF($AC979=1,"VENCIDA",IF($O979&gt;Hoje!$L$1,"Programada",IF($P979&gt;Hoje!$L$1,"Em execução","Fecha hoje"))))))))</f>
        <v/>
      </c>
      <c r="C979" s="41"/>
      <c r="D979" s="42"/>
      <c r="E979" s="42"/>
      <c r="F979" s="42"/>
      <c r="G979" s="43"/>
      <c r="H979" s="43"/>
      <c r="I979" s="44"/>
      <c r="J979" s="44"/>
      <c r="K979" s="44"/>
      <c r="L979" s="45"/>
      <c r="M979" s="46"/>
      <c r="N979" s="45"/>
      <c r="O979" s="47" t="str">
        <f aca="false">IF(OR($L979="",$M979=""),"",(DATE(Semana!$J$3,1,4)-WEEKDAY(DATE(Semana!$J$3,1,4),3))+($L979-1)*7+MATCH($M979,Listas!$F$5:$F$11,0)-1)</f>
        <v/>
      </c>
      <c r="P979" s="47" t="str">
        <f aca="false">IF(OR($F979="",$O979=""),"",$O979+MAX(0,ROUNDUP($AK979*MAX(1,IF($N979="",1,$N979))/MAX(1,$AL979),0)-1))</f>
        <v/>
      </c>
      <c r="Q979" s="48"/>
      <c r="R979" s="43"/>
      <c r="S979" s="49"/>
      <c r="T979" s="42"/>
      <c r="U979" s="42"/>
      <c r="V979" s="39" t="str">
        <f aca="false">IF($F979="","",IF(ISNUMBER(SEARCH("(externo)",$I979&amp;$J979&amp;$K979)),"Terceirizada","Interna"))</f>
        <v/>
      </c>
      <c r="W979" s="47" t="str">
        <f aca="false">IF($O979="","",IF($S979="",$O979,(DATE(Semana!$J$3,1,4)-WEEKDAY(DATE(Semana!$J$3,1,4),3))+($S979-1)*7+IF($M979="",0,MATCH($M979,Listas!$F$5:$F$11,0)-1)))</f>
        <v/>
      </c>
      <c r="X979" s="39" t="str">
        <f aca="false">IF($F979="","",IF(OR($AT979="",$O979=""),0,IF($AT979&lt;=$O979,1,0)))</f>
        <v/>
      </c>
      <c r="Y979" s="39" t="str">
        <f aca="false">IF($F979="","",IF(OR($AT979="",$W979=""),0,IF($AT979&lt;=$W979,1,0)))</f>
        <v/>
      </c>
      <c r="Z979" s="39" t="str">
        <f aca="false">IF(OR($AT979="",$O979=""),"",MAX(0,$AT979-$O979))</f>
        <v/>
      </c>
      <c r="AA979" s="39" t="str">
        <f aca="false">IF($F979="","",IF(AND($S979&lt;&gt;"",$L979&lt;&gt;"",$S979&lt;&gt;$L979),1,0))</f>
        <v/>
      </c>
      <c r="AB979" s="39" t="str">
        <f aca="false">IF($F979="","",IF($R979="Cancelada",0,IF(OR($AT979&lt;&gt;"",$R979="Concluída"),1,0)))</f>
        <v/>
      </c>
      <c r="AC979" s="39" t="n">
        <f aca="false">IF($P979="",0,IF($P979&lt;Hoje!$L$1,1,IF(AND($P979=Hoje!$L$1,Hoje!$L$2&gt;Semana!$M$3),1,0)))</f>
        <v>0</v>
      </c>
      <c r="AD979" s="39" t="str">
        <f aca="false">IF($F979="","",IF(COUNTA($I979:$K979)=0,0,1/COUNTA($I979:$K979)))</f>
        <v/>
      </c>
      <c r="AE979" s="39" t="str">
        <f aca="false">IF($AH979=0,"",SUM($AH$4:$AH979))</f>
        <v/>
      </c>
      <c r="AF979" s="39" t="str">
        <f aca="false">IF($AI979=0,"",SUM($AI$4:$AI979))</f>
        <v/>
      </c>
      <c r="AG979" s="50" t="str">
        <f aca="false">IF($F979="","",$I979&amp;IF($J979="",""," · "&amp;$J979)&amp;IF($K979="",""," · "&amp;$K979))</f>
        <v/>
      </c>
      <c r="AH979" s="39" t="n">
        <f aca="false">IF(AND($F979&lt;&gt;"",$O979&lt;&gt;"",$O979&lt;=Hoje!$C$3,$P979&gt;=Hoje!$C$3,$R979&lt;&gt;"Cancelada"),1,0)</f>
        <v>0</v>
      </c>
      <c r="AI979" s="39" t="n">
        <f aca="false">IF(AND($F979&lt;&gt;"",$P979&lt;&gt;"",$P979&lt;Hoje!$C$3,$AB979=0,$R979&lt;&gt;"Cancelada"),1,0)</f>
        <v>0</v>
      </c>
      <c r="AJ979" s="50" t="str">
        <f aca="false">IF($F979="","",$D979&amp;"|"&amp;$E979&amp;"|"&amp;$L979)</f>
        <v/>
      </c>
      <c r="AK979" s="39" t="str">
        <f aca="false">IF($AJ979="","",COUNTIF($AJ$4:$AJ979,$AJ979))</f>
        <v/>
      </c>
      <c r="AL979" s="39" t="str">
        <f aca="false">IF($AJ979="","",COUNTIF($AJ$4:$AJ$1004,$AJ979))</f>
        <v/>
      </c>
      <c r="AM979" s="42"/>
      <c r="AN979" s="50" t="str">
        <f aca="false">IF($D979="","",IFERROR(T(VLOOKUP($D979,Listas!$B$5:$H$120,7,0)),""))</f>
        <v/>
      </c>
      <c r="AO979" s="50" t="str">
        <f aca="false">IF(OR($F979="",$L979&lt;&gt;"",$R979="Cancelada",$AT979&lt;&gt;""),"",$AN979&amp;"|"&amp;$D979&amp;"|"&amp;IF($C979="","zzz",$C979)&amp;"|"&amp;TEXT(979,"0000"))</f>
        <v/>
      </c>
      <c r="AP979" s="50" t="str">
        <f aca="false">IF($AO979="","",COUNTIF($AO$5:$AO$1004,"&lt;"&amp;$AO979)-(ROWS($AO$5:$AO$1004)-Hoje!$L$5)+1)</f>
        <v/>
      </c>
      <c r="AQ979" s="50" t="n">
        <f aca="false">IF(AND($F979&lt;&gt;"",$D979=Frota!$C$3),1,0)</f>
        <v>0</v>
      </c>
      <c r="AR979" s="50" t="str">
        <f aca="false">IF($AQ979=0,"",SUM($AQ$4:$AQ979))</f>
        <v/>
      </c>
      <c r="AS979" s="50" t="str">
        <f aca="false">IFERROR(INDEX(Hoje!$K$10:$K$29,MATCH(ROW(),Hoje!$J$10:$J$29,0)),"")</f>
        <v/>
      </c>
      <c r="AT979" s="50" t="str">
        <f aca="false">IF($Q979&lt;&gt;"",$Q979,$AS979)</f>
        <v/>
      </c>
    </row>
    <row r="980" customFormat="false" ht="16.5" hidden="false" customHeight="true" outlineLevel="0" collapsed="false">
      <c r="A980" s="39" t="str">
        <f aca="false">IF($F980="","",ROW())</f>
        <v/>
      </c>
      <c r="B980" s="40" t="str">
        <f aca="false">IF($F980="",IF($D980="","","Falta a atividade"),IF($R980="Cancelada","Cancelada",IF($AB980=1,IF(N($Z980)&gt;0,"Concluída com atraso","Concluída"),IF($R980="Em programação","Em programação",IF($O980="",IF($M980="","Na carteira","Falta a semana"),IF($AC980=1,"VENCIDA",IF($O980&gt;Hoje!$L$1,"Programada",IF($P980&gt;Hoje!$L$1,"Em execução","Fecha hoje"))))))))</f>
        <v/>
      </c>
      <c r="C980" s="41"/>
      <c r="D980" s="42"/>
      <c r="E980" s="42"/>
      <c r="F980" s="42"/>
      <c r="G980" s="43"/>
      <c r="H980" s="43"/>
      <c r="I980" s="44"/>
      <c r="J980" s="44"/>
      <c r="K980" s="44"/>
      <c r="L980" s="45"/>
      <c r="M980" s="46"/>
      <c r="N980" s="45"/>
      <c r="O980" s="47" t="str">
        <f aca="false">IF(OR($L980="",$M980=""),"",(DATE(Semana!$J$3,1,4)-WEEKDAY(DATE(Semana!$J$3,1,4),3))+($L980-1)*7+MATCH($M980,Listas!$F$5:$F$11,0)-1)</f>
        <v/>
      </c>
      <c r="P980" s="47" t="str">
        <f aca="false">IF(OR($F980="",$O980=""),"",$O980+MAX(0,ROUNDUP($AK980*MAX(1,IF($N980="",1,$N980))/MAX(1,$AL980),0)-1))</f>
        <v/>
      </c>
      <c r="Q980" s="48"/>
      <c r="R980" s="43"/>
      <c r="S980" s="49"/>
      <c r="T980" s="42"/>
      <c r="U980" s="42"/>
      <c r="V980" s="39" t="str">
        <f aca="false">IF($F980="","",IF(ISNUMBER(SEARCH("(externo)",$I980&amp;$J980&amp;$K980)),"Terceirizada","Interna"))</f>
        <v/>
      </c>
      <c r="W980" s="47" t="str">
        <f aca="false">IF($O980="","",IF($S980="",$O980,(DATE(Semana!$J$3,1,4)-WEEKDAY(DATE(Semana!$J$3,1,4),3))+($S980-1)*7+IF($M980="",0,MATCH($M980,Listas!$F$5:$F$11,0)-1)))</f>
        <v/>
      </c>
      <c r="X980" s="39" t="str">
        <f aca="false">IF($F980="","",IF(OR($AT980="",$O980=""),0,IF($AT980&lt;=$O980,1,0)))</f>
        <v/>
      </c>
      <c r="Y980" s="39" t="str">
        <f aca="false">IF($F980="","",IF(OR($AT980="",$W980=""),0,IF($AT980&lt;=$W980,1,0)))</f>
        <v/>
      </c>
      <c r="Z980" s="39" t="str">
        <f aca="false">IF(OR($AT980="",$O980=""),"",MAX(0,$AT980-$O980))</f>
        <v/>
      </c>
      <c r="AA980" s="39" t="str">
        <f aca="false">IF($F980="","",IF(AND($S980&lt;&gt;"",$L980&lt;&gt;"",$S980&lt;&gt;$L980),1,0))</f>
        <v/>
      </c>
      <c r="AB980" s="39" t="str">
        <f aca="false">IF($F980="","",IF($R980="Cancelada",0,IF(OR($AT980&lt;&gt;"",$R980="Concluída"),1,0)))</f>
        <v/>
      </c>
      <c r="AC980" s="39" t="n">
        <f aca="false">IF($P980="",0,IF($P980&lt;Hoje!$L$1,1,IF(AND($P980=Hoje!$L$1,Hoje!$L$2&gt;Semana!$M$3),1,0)))</f>
        <v>0</v>
      </c>
      <c r="AD980" s="39" t="str">
        <f aca="false">IF($F980="","",IF(COUNTA($I980:$K980)=0,0,1/COUNTA($I980:$K980)))</f>
        <v/>
      </c>
      <c r="AE980" s="39" t="str">
        <f aca="false">IF($AH980=0,"",SUM($AH$4:$AH980))</f>
        <v/>
      </c>
      <c r="AF980" s="39" t="str">
        <f aca="false">IF($AI980=0,"",SUM($AI$4:$AI980))</f>
        <v/>
      </c>
      <c r="AG980" s="50" t="str">
        <f aca="false">IF($F980="","",$I980&amp;IF($J980="",""," · "&amp;$J980)&amp;IF($K980="",""," · "&amp;$K980))</f>
        <v/>
      </c>
      <c r="AH980" s="39" t="n">
        <f aca="false">IF(AND($F980&lt;&gt;"",$O980&lt;&gt;"",$O980&lt;=Hoje!$C$3,$P980&gt;=Hoje!$C$3,$R980&lt;&gt;"Cancelada"),1,0)</f>
        <v>0</v>
      </c>
      <c r="AI980" s="39" t="n">
        <f aca="false">IF(AND($F980&lt;&gt;"",$P980&lt;&gt;"",$P980&lt;Hoje!$C$3,$AB980=0,$R980&lt;&gt;"Cancelada"),1,0)</f>
        <v>0</v>
      </c>
      <c r="AJ980" s="50" t="str">
        <f aca="false">IF($F980="","",$D980&amp;"|"&amp;$E980&amp;"|"&amp;$L980)</f>
        <v/>
      </c>
      <c r="AK980" s="39" t="str">
        <f aca="false">IF($AJ980="","",COUNTIF($AJ$4:$AJ980,$AJ980))</f>
        <v/>
      </c>
      <c r="AL980" s="39" t="str">
        <f aca="false">IF($AJ980="","",COUNTIF($AJ$4:$AJ$1004,$AJ980))</f>
        <v/>
      </c>
      <c r="AM980" s="42"/>
      <c r="AN980" s="50" t="str">
        <f aca="false">IF($D980="","",IFERROR(T(VLOOKUP($D980,Listas!$B$5:$H$120,7,0)),""))</f>
        <v/>
      </c>
      <c r="AO980" s="50" t="str">
        <f aca="false">IF(OR($F980="",$L980&lt;&gt;"",$R980="Cancelada",$AT980&lt;&gt;""),"",$AN980&amp;"|"&amp;$D980&amp;"|"&amp;IF($C980="","zzz",$C980)&amp;"|"&amp;TEXT(980,"0000"))</f>
        <v/>
      </c>
      <c r="AP980" s="50" t="str">
        <f aca="false">IF($AO980="","",COUNTIF($AO$5:$AO$1004,"&lt;"&amp;$AO980)-(ROWS($AO$5:$AO$1004)-Hoje!$L$5)+1)</f>
        <v/>
      </c>
      <c r="AQ980" s="50" t="n">
        <f aca="false">IF(AND($F980&lt;&gt;"",$D980=Frota!$C$3),1,0)</f>
        <v>0</v>
      </c>
      <c r="AR980" s="50" t="str">
        <f aca="false">IF($AQ980=0,"",SUM($AQ$4:$AQ980))</f>
        <v/>
      </c>
      <c r="AS980" s="50" t="str">
        <f aca="false">IFERROR(INDEX(Hoje!$K$10:$K$29,MATCH(ROW(),Hoje!$J$10:$J$29,0)),"")</f>
        <v/>
      </c>
      <c r="AT980" s="50" t="str">
        <f aca="false">IF($Q980&lt;&gt;"",$Q980,$AS980)</f>
        <v/>
      </c>
    </row>
    <row r="981" customFormat="false" ht="16.5" hidden="false" customHeight="true" outlineLevel="0" collapsed="false">
      <c r="A981" s="39" t="str">
        <f aca="false">IF($F981="","",ROW())</f>
        <v/>
      </c>
      <c r="B981" s="40" t="str">
        <f aca="false">IF($F981="",IF($D981="","","Falta a atividade"),IF($R981="Cancelada","Cancelada",IF($AB981=1,IF(N($Z981)&gt;0,"Concluída com atraso","Concluída"),IF($R981="Em programação","Em programação",IF($O981="",IF($M981="","Na carteira","Falta a semana"),IF($AC981=1,"VENCIDA",IF($O981&gt;Hoje!$L$1,"Programada",IF($P981&gt;Hoje!$L$1,"Em execução","Fecha hoje"))))))))</f>
        <v/>
      </c>
      <c r="C981" s="41"/>
      <c r="D981" s="42"/>
      <c r="E981" s="42"/>
      <c r="F981" s="42"/>
      <c r="G981" s="43"/>
      <c r="H981" s="43"/>
      <c r="I981" s="44"/>
      <c r="J981" s="44"/>
      <c r="K981" s="44"/>
      <c r="L981" s="45"/>
      <c r="M981" s="46"/>
      <c r="N981" s="45"/>
      <c r="O981" s="47" t="str">
        <f aca="false">IF(OR($L981="",$M981=""),"",(DATE(Semana!$J$3,1,4)-WEEKDAY(DATE(Semana!$J$3,1,4),3))+($L981-1)*7+MATCH($M981,Listas!$F$5:$F$11,0)-1)</f>
        <v/>
      </c>
      <c r="P981" s="47" t="str">
        <f aca="false">IF(OR($F981="",$O981=""),"",$O981+MAX(0,ROUNDUP($AK981*MAX(1,IF($N981="",1,$N981))/MAX(1,$AL981),0)-1))</f>
        <v/>
      </c>
      <c r="Q981" s="48"/>
      <c r="R981" s="43"/>
      <c r="S981" s="49"/>
      <c r="T981" s="42"/>
      <c r="U981" s="42"/>
      <c r="V981" s="39" t="str">
        <f aca="false">IF($F981="","",IF(ISNUMBER(SEARCH("(externo)",$I981&amp;$J981&amp;$K981)),"Terceirizada","Interna"))</f>
        <v/>
      </c>
      <c r="W981" s="47" t="str">
        <f aca="false">IF($O981="","",IF($S981="",$O981,(DATE(Semana!$J$3,1,4)-WEEKDAY(DATE(Semana!$J$3,1,4),3))+($S981-1)*7+IF($M981="",0,MATCH($M981,Listas!$F$5:$F$11,0)-1)))</f>
        <v/>
      </c>
      <c r="X981" s="39" t="str">
        <f aca="false">IF($F981="","",IF(OR($AT981="",$O981=""),0,IF($AT981&lt;=$O981,1,0)))</f>
        <v/>
      </c>
      <c r="Y981" s="39" t="str">
        <f aca="false">IF($F981="","",IF(OR($AT981="",$W981=""),0,IF($AT981&lt;=$W981,1,0)))</f>
        <v/>
      </c>
      <c r="Z981" s="39" t="str">
        <f aca="false">IF(OR($AT981="",$O981=""),"",MAX(0,$AT981-$O981))</f>
        <v/>
      </c>
      <c r="AA981" s="39" t="str">
        <f aca="false">IF($F981="","",IF(AND($S981&lt;&gt;"",$L981&lt;&gt;"",$S981&lt;&gt;$L981),1,0))</f>
        <v/>
      </c>
      <c r="AB981" s="39" t="str">
        <f aca="false">IF($F981="","",IF($R981="Cancelada",0,IF(OR($AT981&lt;&gt;"",$R981="Concluída"),1,0)))</f>
        <v/>
      </c>
      <c r="AC981" s="39" t="n">
        <f aca="false">IF($P981="",0,IF($P981&lt;Hoje!$L$1,1,IF(AND($P981=Hoje!$L$1,Hoje!$L$2&gt;Semana!$M$3),1,0)))</f>
        <v>0</v>
      </c>
      <c r="AD981" s="39" t="str">
        <f aca="false">IF($F981="","",IF(COUNTA($I981:$K981)=0,0,1/COUNTA($I981:$K981)))</f>
        <v/>
      </c>
      <c r="AE981" s="39" t="str">
        <f aca="false">IF($AH981=0,"",SUM($AH$4:$AH981))</f>
        <v/>
      </c>
      <c r="AF981" s="39" t="str">
        <f aca="false">IF($AI981=0,"",SUM($AI$4:$AI981))</f>
        <v/>
      </c>
      <c r="AG981" s="50" t="str">
        <f aca="false">IF($F981="","",$I981&amp;IF($J981="",""," · "&amp;$J981)&amp;IF($K981="",""," · "&amp;$K981))</f>
        <v/>
      </c>
      <c r="AH981" s="39" t="n">
        <f aca="false">IF(AND($F981&lt;&gt;"",$O981&lt;&gt;"",$O981&lt;=Hoje!$C$3,$P981&gt;=Hoje!$C$3,$R981&lt;&gt;"Cancelada"),1,0)</f>
        <v>0</v>
      </c>
      <c r="AI981" s="39" t="n">
        <f aca="false">IF(AND($F981&lt;&gt;"",$P981&lt;&gt;"",$P981&lt;Hoje!$C$3,$AB981=0,$R981&lt;&gt;"Cancelada"),1,0)</f>
        <v>0</v>
      </c>
      <c r="AJ981" s="50" t="str">
        <f aca="false">IF($F981="","",$D981&amp;"|"&amp;$E981&amp;"|"&amp;$L981)</f>
        <v/>
      </c>
      <c r="AK981" s="39" t="str">
        <f aca="false">IF($AJ981="","",COUNTIF($AJ$4:$AJ981,$AJ981))</f>
        <v/>
      </c>
      <c r="AL981" s="39" t="str">
        <f aca="false">IF($AJ981="","",COUNTIF($AJ$4:$AJ$1004,$AJ981))</f>
        <v/>
      </c>
      <c r="AM981" s="42"/>
      <c r="AN981" s="50" t="str">
        <f aca="false">IF($D981="","",IFERROR(T(VLOOKUP($D981,Listas!$B$5:$H$120,7,0)),""))</f>
        <v/>
      </c>
      <c r="AO981" s="50" t="str">
        <f aca="false">IF(OR($F981="",$L981&lt;&gt;"",$R981="Cancelada",$AT981&lt;&gt;""),"",$AN981&amp;"|"&amp;$D981&amp;"|"&amp;IF($C981="","zzz",$C981)&amp;"|"&amp;TEXT(981,"0000"))</f>
        <v/>
      </c>
      <c r="AP981" s="50" t="str">
        <f aca="false">IF($AO981="","",COUNTIF($AO$5:$AO$1004,"&lt;"&amp;$AO981)-(ROWS($AO$5:$AO$1004)-Hoje!$L$5)+1)</f>
        <v/>
      </c>
      <c r="AQ981" s="50" t="n">
        <f aca="false">IF(AND($F981&lt;&gt;"",$D981=Frota!$C$3),1,0)</f>
        <v>0</v>
      </c>
      <c r="AR981" s="50" t="str">
        <f aca="false">IF($AQ981=0,"",SUM($AQ$4:$AQ981))</f>
        <v/>
      </c>
      <c r="AS981" s="50" t="str">
        <f aca="false">IFERROR(INDEX(Hoje!$K$10:$K$29,MATCH(ROW(),Hoje!$J$10:$J$29,0)),"")</f>
        <v/>
      </c>
      <c r="AT981" s="50" t="str">
        <f aca="false">IF($Q981&lt;&gt;"",$Q981,$AS981)</f>
        <v/>
      </c>
    </row>
    <row r="982" customFormat="false" ht="16.5" hidden="false" customHeight="true" outlineLevel="0" collapsed="false">
      <c r="A982" s="39" t="str">
        <f aca="false">IF($F982="","",ROW())</f>
        <v/>
      </c>
      <c r="B982" s="40" t="str">
        <f aca="false">IF($F982="",IF($D982="","","Falta a atividade"),IF($R982="Cancelada","Cancelada",IF($AB982=1,IF(N($Z982)&gt;0,"Concluída com atraso","Concluída"),IF($R982="Em programação","Em programação",IF($O982="",IF($M982="","Na carteira","Falta a semana"),IF($AC982=1,"VENCIDA",IF($O982&gt;Hoje!$L$1,"Programada",IF($P982&gt;Hoje!$L$1,"Em execução","Fecha hoje"))))))))</f>
        <v/>
      </c>
      <c r="C982" s="41"/>
      <c r="D982" s="42"/>
      <c r="E982" s="42"/>
      <c r="F982" s="42"/>
      <c r="G982" s="43"/>
      <c r="H982" s="43"/>
      <c r="I982" s="44"/>
      <c r="J982" s="44"/>
      <c r="K982" s="44"/>
      <c r="L982" s="45"/>
      <c r="M982" s="46"/>
      <c r="N982" s="45"/>
      <c r="O982" s="47" t="str">
        <f aca="false">IF(OR($L982="",$M982=""),"",(DATE(Semana!$J$3,1,4)-WEEKDAY(DATE(Semana!$J$3,1,4),3))+($L982-1)*7+MATCH($M982,Listas!$F$5:$F$11,0)-1)</f>
        <v/>
      </c>
      <c r="P982" s="47" t="str">
        <f aca="false">IF(OR($F982="",$O982=""),"",$O982+MAX(0,ROUNDUP($AK982*MAX(1,IF($N982="",1,$N982))/MAX(1,$AL982),0)-1))</f>
        <v/>
      </c>
      <c r="Q982" s="48"/>
      <c r="R982" s="43"/>
      <c r="S982" s="49"/>
      <c r="T982" s="42"/>
      <c r="U982" s="42"/>
      <c r="V982" s="39" t="str">
        <f aca="false">IF($F982="","",IF(ISNUMBER(SEARCH("(externo)",$I982&amp;$J982&amp;$K982)),"Terceirizada","Interna"))</f>
        <v/>
      </c>
      <c r="W982" s="47" t="str">
        <f aca="false">IF($O982="","",IF($S982="",$O982,(DATE(Semana!$J$3,1,4)-WEEKDAY(DATE(Semana!$J$3,1,4),3))+($S982-1)*7+IF($M982="",0,MATCH($M982,Listas!$F$5:$F$11,0)-1)))</f>
        <v/>
      </c>
      <c r="X982" s="39" t="str">
        <f aca="false">IF($F982="","",IF(OR($AT982="",$O982=""),0,IF($AT982&lt;=$O982,1,0)))</f>
        <v/>
      </c>
      <c r="Y982" s="39" t="str">
        <f aca="false">IF($F982="","",IF(OR($AT982="",$W982=""),0,IF($AT982&lt;=$W982,1,0)))</f>
        <v/>
      </c>
      <c r="Z982" s="39" t="str">
        <f aca="false">IF(OR($AT982="",$O982=""),"",MAX(0,$AT982-$O982))</f>
        <v/>
      </c>
      <c r="AA982" s="39" t="str">
        <f aca="false">IF($F982="","",IF(AND($S982&lt;&gt;"",$L982&lt;&gt;"",$S982&lt;&gt;$L982),1,0))</f>
        <v/>
      </c>
      <c r="AB982" s="39" t="str">
        <f aca="false">IF($F982="","",IF($R982="Cancelada",0,IF(OR($AT982&lt;&gt;"",$R982="Concluída"),1,0)))</f>
        <v/>
      </c>
      <c r="AC982" s="39" t="n">
        <f aca="false">IF($P982="",0,IF($P982&lt;Hoje!$L$1,1,IF(AND($P982=Hoje!$L$1,Hoje!$L$2&gt;Semana!$M$3),1,0)))</f>
        <v>0</v>
      </c>
      <c r="AD982" s="39" t="str">
        <f aca="false">IF($F982="","",IF(COUNTA($I982:$K982)=0,0,1/COUNTA($I982:$K982)))</f>
        <v/>
      </c>
      <c r="AE982" s="39" t="str">
        <f aca="false">IF($AH982=0,"",SUM($AH$4:$AH982))</f>
        <v/>
      </c>
      <c r="AF982" s="39" t="str">
        <f aca="false">IF($AI982=0,"",SUM($AI$4:$AI982))</f>
        <v/>
      </c>
      <c r="AG982" s="50" t="str">
        <f aca="false">IF($F982="","",$I982&amp;IF($J982="",""," · "&amp;$J982)&amp;IF($K982="",""," · "&amp;$K982))</f>
        <v/>
      </c>
      <c r="AH982" s="39" t="n">
        <f aca="false">IF(AND($F982&lt;&gt;"",$O982&lt;&gt;"",$O982&lt;=Hoje!$C$3,$P982&gt;=Hoje!$C$3,$R982&lt;&gt;"Cancelada"),1,0)</f>
        <v>0</v>
      </c>
      <c r="AI982" s="39" t="n">
        <f aca="false">IF(AND($F982&lt;&gt;"",$P982&lt;&gt;"",$P982&lt;Hoje!$C$3,$AB982=0,$R982&lt;&gt;"Cancelada"),1,0)</f>
        <v>0</v>
      </c>
      <c r="AJ982" s="50" t="str">
        <f aca="false">IF($F982="","",$D982&amp;"|"&amp;$E982&amp;"|"&amp;$L982)</f>
        <v/>
      </c>
      <c r="AK982" s="39" t="str">
        <f aca="false">IF($AJ982="","",COUNTIF($AJ$4:$AJ982,$AJ982))</f>
        <v/>
      </c>
      <c r="AL982" s="39" t="str">
        <f aca="false">IF($AJ982="","",COUNTIF($AJ$4:$AJ$1004,$AJ982))</f>
        <v/>
      </c>
      <c r="AM982" s="42"/>
      <c r="AN982" s="50" t="str">
        <f aca="false">IF($D982="","",IFERROR(T(VLOOKUP($D982,Listas!$B$5:$H$120,7,0)),""))</f>
        <v/>
      </c>
      <c r="AO982" s="50" t="str">
        <f aca="false">IF(OR($F982="",$L982&lt;&gt;"",$R982="Cancelada",$AT982&lt;&gt;""),"",$AN982&amp;"|"&amp;$D982&amp;"|"&amp;IF($C982="","zzz",$C982)&amp;"|"&amp;TEXT(982,"0000"))</f>
        <v/>
      </c>
      <c r="AP982" s="50" t="str">
        <f aca="false">IF($AO982="","",COUNTIF($AO$5:$AO$1004,"&lt;"&amp;$AO982)-(ROWS($AO$5:$AO$1004)-Hoje!$L$5)+1)</f>
        <v/>
      </c>
      <c r="AQ982" s="50" t="n">
        <f aca="false">IF(AND($F982&lt;&gt;"",$D982=Frota!$C$3),1,0)</f>
        <v>0</v>
      </c>
      <c r="AR982" s="50" t="str">
        <f aca="false">IF($AQ982=0,"",SUM($AQ$4:$AQ982))</f>
        <v/>
      </c>
      <c r="AS982" s="50" t="str">
        <f aca="false">IFERROR(INDEX(Hoje!$K$10:$K$29,MATCH(ROW(),Hoje!$J$10:$J$29,0)),"")</f>
        <v/>
      </c>
      <c r="AT982" s="50" t="str">
        <f aca="false">IF($Q982&lt;&gt;"",$Q982,$AS982)</f>
        <v/>
      </c>
    </row>
    <row r="983" customFormat="false" ht="16.5" hidden="false" customHeight="true" outlineLevel="0" collapsed="false">
      <c r="A983" s="39" t="str">
        <f aca="false">IF($F983="","",ROW())</f>
        <v/>
      </c>
      <c r="B983" s="40" t="str">
        <f aca="false">IF($F983="",IF($D983="","","Falta a atividade"),IF($R983="Cancelada","Cancelada",IF($AB983=1,IF(N($Z983)&gt;0,"Concluída com atraso","Concluída"),IF($R983="Em programação","Em programação",IF($O983="",IF($M983="","Na carteira","Falta a semana"),IF($AC983=1,"VENCIDA",IF($O983&gt;Hoje!$L$1,"Programada",IF($P983&gt;Hoje!$L$1,"Em execução","Fecha hoje"))))))))</f>
        <v/>
      </c>
      <c r="C983" s="41"/>
      <c r="D983" s="42"/>
      <c r="E983" s="42"/>
      <c r="F983" s="42"/>
      <c r="G983" s="43"/>
      <c r="H983" s="43"/>
      <c r="I983" s="44"/>
      <c r="J983" s="44"/>
      <c r="K983" s="44"/>
      <c r="L983" s="45"/>
      <c r="M983" s="46"/>
      <c r="N983" s="45"/>
      <c r="O983" s="47" t="str">
        <f aca="false">IF(OR($L983="",$M983=""),"",(DATE(Semana!$J$3,1,4)-WEEKDAY(DATE(Semana!$J$3,1,4),3))+($L983-1)*7+MATCH($M983,Listas!$F$5:$F$11,0)-1)</f>
        <v/>
      </c>
      <c r="P983" s="47" t="str">
        <f aca="false">IF(OR($F983="",$O983=""),"",$O983+MAX(0,ROUNDUP($AK983*MAX(1,IF($N983="",1,$N983))/MAX(1,$AL983),0)-1))</f>
        <v/>
      </c>
      <c r="Q983" s="48"/>
      <c r="R983" s="43"/>
      <c r="S983" s="49"/>
      <c r="T983" s="42"/>
      <c r="U983" s="42"/>
      <c r="V983" s="39" t="str">
        <f aca="false">IF($F983="","",IF(ISNUMBER(SEARCH("(externo)",$I983&amp;$J983&amp;$K983)),"Terceirizada","Interna"))</f>
        <v/>
      </c>
      <c r="W983" s="47" t="str">
        <f aca="false">IF($O983="","",IF($S983="",$O983,(DATE(Semana!$J$3,1,4)-WEEKDAY(DATE(Semana!$J$3,1,4),3))+($S983-1)*7+IF($M983="",0,MATCH($M983,Listas!$F$5:$F$11,0)-1)))</f>
        <v/>
      </c>
      <c r="X983" s="39" t="str">
        <f aca="false">IF($F983="","",IF(OR($AT983="",$O983=""),0,IF($AT983&lt;=$O983,1,0)))</f>
        <v/>
      </c>
      <c r="Y983" s="39" t="str">
        <f aca="false">IF($F983="","",IF(OR($AT983="",$W983=""),0,IF($AT983&lt;=$W983,1,0)))</f>
        <v/>
      </c>
      <c r="Z983" s="39" t="str">
        <f aca="false">IF(OR($AT983="",$O983=""),"",MAX(0,$AT983-$O983))</f>
        <v/>
      </c>
      <c r="AA983" s="39" t="str">
        <f aca="false">IF($F983="","",IF(AND($S983&lt;&gt;"",$L983&lt;&gt;"",$S983&lt;&gt;$L983),1,0))</f>
        <v/>
      </c>
      <c r="AB983" s="39" t="str">
        <f aca="false">IF($F983="","",IF($R983="Cancelada",0,IF(OR($AT983&lt;&gt;"",$R983="Concluída"),1,0)))</f>
        <v/>
      </c>
      <c r="AC983" s="39" t="n">
        <f aca="false">IF($P983="",0,IF($P983&lt;Hoje!$L$1,1,IF(AND($P983=Hoje!$L$1,Hoje!$L$2&gt;Semana!$M$3),1,0)))</f>
        <v>0</v>
      </c>
      <c r="AD983" s="39" t="str">
        <f aca="false">IF($F983="","",IF(COUNTA($I983:$K983)=0,0,1/COUNTA($I983:$K983)))</f>
        <v/>
      </c>
      <c r="AE983" s="39" t="str">
        <f aca="false">IF($AH983=0,"",SUM($AH$4:$AH983))</f>
        <v/>
      </c>
      <c r="AF983" s="39" t="str">
        <f aca="false">IF($AI983=0,"",SUM($AI$4:$AI983))</f>
        <v/>
      </c>
      <c r="AG983" s="50" t="str">
        <f aca="false">IF($F983="","",$I983&amp;IF($J983="",""," · "&amp;$J983)&amp;IF($K983="",""," · "&amp;$K983))</f>
        <v/>
      </c>
      <c r="AH983" s="39" t="n">
        <f aca="false">IF(AND($F983&lt;&gt;"",$O983&lt;&gt;"",$O983&lt;=Hoje!$C$3,$P983&gt;=Hoje!$C$3,$R983&lt;&gt;"Cancelada"),1,0)</f>
        <v>0</v>
      </c>
      <c r="AI983" s="39" t="n">
        <f aca="false">IF(AND($F983&lt;&gt;"",$P983&lt;&gt;"",$P983&lt;Hoje!$C$3,$AB983=0,$R983&lt;&gt;"Cancelada"),1,0)</f>
        <v>0</v>
      </c>
      <c r="AJ983" s="50" t="str">
        <f aca="false">IF($F983="","",$D983&amp;"|"&amp;$E983&amp;"|"&amp;$L983)</f>
        <v/>
      </c>
      <c r="AK983" s="39" t="str">
        <f aca="false">IF($AJ983="","",COUNTIF($AJ$4:$AJ983,$AJ983))</f>
        <v/>
      </c>
      <c r="AL983" s="39" t="str">
        <f aca="false">IF($AJ983="","",COUNTIF($AJ$4:$AJ$1004,$AJ983))</f>
        <v/>
      </c>
      <c r="AM983" s="42"/>
      <c r="AN983" s="50" t="str">
        <f aca="false">IF($D983="","",IFERROR(T(VLOOKUP($D983,Listas!$B$5:$H$120,7,0)),""))</f>
        <v/>
      </c>
      <c r="AO983" s="50" t="str">
        <f aca="false">IF(OR($F983="",$L983&lt;&gt;"",$R983="Cancelada",$AT983&lt;&gt;""),"",$AN983&amp;"|"&amp;$D983&amp;"|"&amp;IF($C983="","zzz",$C983)&amp;"|"&amp;TEXT(983,"0000"))</f>
        <v/>
      </c>
      <c r="AP983" s="50" t="str">
        <f aca="false">IF($AO983="","",COUNTIF($AO$5:$AO$1004,"&lt;"&amp;$AO983)-(ROWS($AO$5:$AO$1004)-Hoje!$L$5)+1)</f>
        <v/>
      </c>
      <c r="AQ983" s="50" t="n">
        <f aca="false">IF(AND($F983&lt;&gt;"",$D983=Frota!$C$3),1,0)</f>
        <v>0</v>
      </c>
      <c r="AR983" s="50" t="str">
        <f aca="false">IF($AQ983=0,"",SUM($AQ$4:$AQ983))</f>
        <v/>
      </c>
      <c r="AS983" s="50" t="str">
        <f aca="false">IFERROR(INDEX(Hoje!$K$10:$K$29,MATCH(ROW(),Hoje!$J$10:$J$29,0)),"")</f>
        <v/>
      </c>
      <c r="AT983" s="50" t="str">
        <f aca="false">IF($Q983&lt;&gt;"",$Q983,$AS983)</f>
        <v/>
      </c>
    </row>
    <row r="984" customFormat="false" ht="16.5" hidden="false" customHeight="true" outlineLevel="0" collapsed="false">
      <c r="A984" s="39" t="str">
        <f aca="false">IF($F984="","",ROW())</f>
        <v/>
      </c>
      <c r="B984" s="40" t="str">
        <f aca="false">IF($F984="",IF($D984="","","Falta a atividade"),IF($R984="Cancelada","Cancelada",IF($AB984=1,IF(N($Z984)&gt;0,"Concluída com atraso","Concluída"),IF($R984="Em programação","Em programação",IF($O984="",IF($M984="","Na carteira","Falta a semana"),IF($AC984=1,"VENCIDA",IF($O984&gt;Hoje!$L$1,"Programada",IF($P984&gt;Hoje!$L$1,"Em execução","Fecha hoje"))))))))</f>
        <v/>
      </c>
      <c r="C984" s="41"/>
      <c r="D984" s="42"/>
      <c r="E984" s="42"/>
      <c r="F984" s="42"/>
      <c r="G984" s="43"/>
      <c r="H984" s="43"/>
      <c r="I984" s="44"/>
      <c r="J984" s="44"/>
      <c r="K984" s="44"/>
      <c r="L984" s="45"/>
      <c r="M984" s="46"/>
      <c r="N984" s="45"/>
      <c r="O984" s="47" t="str">
        <f aca="false">IF(OR($L984="",$M984=""),"",(DATE(Semana!$J$3,1,4)-WEEKDAY(DATE(Semana!$J$3,1,4),3))+($L984-1)*7+MATCH($M984,Listas!$F$5:$F$11,0)-1)</f>
        <v/>
      </c>
      <c r="P984" s="47" t="str">
        <f aca="false">IF(OR($F984="",$O984=""),"",$O984+MAX(0,ROUNDUP($AK984*MAX(1,IF($N984="",1,$N984))/MAX(1,$AL984),0)-1))</f>
        <v/>
      </c>
      <c r="Q984" s="48"/>
      <c r="R984" s="43"/>
      <c r="S984" s="49"/>
      <c r="T984" s="42"/>
      <c r="U984" s="42"/>
      <c r="V984" s="39" t="str">
        <f aca="false">IF($F984="","",IF(ISNUMBER(SEARCH("(externo)",$I984&amp;$J984&amp;$K984)),"Terceirizada","Interna"))</f>
        <v/>
      </c>
      <c r="W984" s="47" t="str">
        <f aca="false">IF($O984="","",IF($S984="",$O984,(DATE(Semana!$J$3,1,4)-WEEKDAY(DATE(Semana!$J$3,1,4),3))+($S984-1)*7+IF($M984="",0,MATCH($M984,Listas!$F$5:$F$11,0)-1)))</f>
        <v/>
      </c>
      <c r="X984" s="39" t="str">
        <f aca="false">IF($F984="","",IF(OR($AT984="",$O984=""),0,IF($AT984&lt;=$O984,1,0)))</f>
        <v/>
      </c>
      <c r="Y984" s="39" t="str">
        <f aca="false">IF($F984="","",IF(OR($AT984="",$W984=""),0,IF($AT984&lt;=$W984,1,0)))</f>
        <v/>
      </c>
      <c r="Z984" s="39" t="str">
        <f aca="false">IF(OR($AT984="",$O984=""),"",MAX(0,$AT984-$O984))</f>
        <v/>
      </c>
      <c r="AA984" s="39" t="str">
        <f aca="false">IF($F984="","",IF(AND($S984&lt;&gt;"",$L984&lt;&gt;"",$S984&lt;&gt;$L984),1,0))</f>
        <v/>
      </c>
      <c r="AB984" s="39" t="str">
        <f aca="false">IF($F984="","",IF($R984="Cancelada",0,IF(OR($AT984&lt;&gt;"",$R984="Concluída"),1,0)))</f>
        <v/>
      </c>
      <c r="AC984" s="39" t="n">
        <f aca="false">IF($P984="",0,IF($P984&lt;Hoje!$L$1,1,IF(AND($P984=Hoje!$L$1,Hoje!$L$2&gt;Semana!$M$3),1,0)))</f>
        <v>0</v>
      </c>
      <c r="AD984" s="39" t="str">
        <f aca="false">IF($F984="","",IF(COUNTA($I984:$K984)=0,0,1/COUNTA($I984:$K984)))</f>
        <v/>
      </c>
      <c r="AE984" s="39" t="str">
        <f aca="false">IF($AH984=0,"",SUM($AH$4:$AH984))</f>
        <v/>
      </c>
      <c r="AF984" s="39" t="str">
        <f aca="false">IF($AI984=0,"",SUM($AI$4:$AI984))</f>
        <v/>
      </c>
      <c r="AG984" s="50" t="str">
        <f aca="false">IF($F984="","",$I984&amp;IF($J984="",""," · "&amp;$J984)&amp;IF($K984="",""," · "&amp;$K984))</f>
        <v/>
      </c>
      <c r="AH984" s="39" t="n">
        <f aca="false">IF(AND($F984&lt;&gt;"",$O984&lt;&gt;"",$O984&lt;=Hoje!$C$3,$P984&gt;=Hoje!$C$3,$R984&lt;&gt;"Cancelada"),1,0)</f>
        <v>0</v>
      </c>
      <c r="AI984" s="39" t="n">
        <f aca="false">IF(AND($F984&lt;&gt;"",$P984&lt;&gt;"",$P984&lt;Hoje!$C$3,$AB984=0,$R984&lt;&gt;"Cancelada"),1,0)</f>
        <v>0</v>
      </c>
      <c r="AJ984" s="50" t="str">
        <f aca="false">IF($F984="","",$D984&amp;"|"&amp;$E984&amp;"|"&amp;$L984)</f>
        <v/>
      </c>
      <c r="AK984" s="39" t="str">
        <f aca="false">IF($AJ984="","",COUNTIF($AJ$4:$AJ984,$AJ984))</f>
        <v/>
      </c>
      <c r="AL984" s="39" t="str">
        <f aca="false">IF($AJ984="","",COUNTIF($AJ$4:$AJ$1004,$AJ984))</f>
        <v/>
      </c>
      <c r="AM984" s="42"/>
      <c r="AN984" s="50" t="str">
        <f aca="false">IF($D984="","",IFERROR(T(VLOOKUP($D984,Listas!$B$5:$H$120,7,0)),""))</f>
        <v/>
      </c>
      <c r="AO984" s="50" t="str">
        <f aca="false">IF(OR($F984="",$L984&lt;&gt;"",$R984="Cancelada",$AT984&lt;&gt;""),"",$AN984&amp;"|"&amp;$D984&amp;"|"&amp;IF($C984="","zzz",$C984)&amp;"|"&amp;TEXT(984,"0000"))</f>
        <v/>
      </c>
      <c r="AP984" s="50" t="str">
        <f aca="false">IF($AO984="","",COUNTIF($AO$5:$AO$1004,"&lt;"&amp;$AO984)-(ROWS($AO$5:$AO$1004)-Hoje!$L$5)+1)</f>
        <v/>
      </c>
      <c r="AQ984" s="50" t="n">
        <f aca="false">IF(AND($F984&lt;&gt;"",$D984=Frota!$C$3),1,0)</f>
        <v>0</v>
      </c>
      <c r="AR984" s="50" t="str">
        <f aca="false">IF($AQ984=0,"",SUM($AQ$4:$AQ984))</f>
        <v/>
      </c>
      <c r="AS984" s="50" t="str">
        <f aca="false">IFERROR(INDEX(Hoje!$K$10:$K$29,MATCH(ROW(),Hoje!$J$10:$J$29,0)),"")</f>
        <v/>
      </c>
      <c r="AT984" s="50" t="str">
        <f aca="false">IF($Q984&lt;&gt;"",$Q984,$AS984)</f>
        <v/>
      </c>
    </row>
    <row r="985" customFormat="false" ht="16.5" hidden="false" customHeight="true" outlineLevel="0" collapsed="false">
      <c r="A985" s="39" t="str">
        <f aca="false">IF($F985="","",ROW())</f>
        <v/>
      </c>
      <c r="B985" s="40" t="str">
        <f aca="false">IF($F985="",IF($D985="","","Falta a atividade"),IF($R985="Cancelada","Cancelada",IF($AB985=1,IF(N($Z985)&gt;0,"Concluída com atraso","Concluída"),IF($R985="Em programação","Em programação",IF($O985="",IF($M985="","Na carteira","Falta a semana"),IF($AC985=1,"VENCIDA",IF($O985&gt;Hoje!$L$1,"Programada",IF($P985&gt;Hoje!$L$1,"Em execução","Fecha hoje"))))))))</f>
        <v/>
      </c>
      <c r="C985" s="41"/>
      <c r="D985" s="42"/>
      <c r="E985" s="42"/>
      <c r="F985" s="42"/>
      <c r="G985" s="43"/>
      <c r="H985" s="43"/>
      <c r="I985" s="44"/>
      <c r="J985" s="44"/>
      <c r="K985" s="44"/>
      <c r="L985" s="45"/>
      <c r="M985" s="46"/>
      <c r="N985" s="45"/>
      <c r="O985" s="47" t="str">
        <f aca="false">IF(OR($L985="",$M985=""),"",(DATE(Semana!$J$3,1,4)-WEEKDAY(DATE(Semana!$J$3,1,4),3))+($L985-1)*7+MATCH($M985,Listas!$F$5:$F$11,0)-1)</f>
        <v/>
      </c>
      <c r="P985" s="47" t="str">
        <f aca="false">IF(OR($F985="",$O985=""),"",$O985+MAX(0,ROUNDUP($AK985*MAX(1,IF($N985="",1,$N985))/MAX(1,$AL985),0)-1))</f>
        <v/>
      </c>
      <c r="Q985" s="48"/>
      <c r="R985" s="43"/>
      <c r="S985" s="49"/>
      <c r="T985" s="42"/>
      <c r="U985" s="42"/>
      <c r="V985" s="39" t="str">
        <f aca="false">IF($F985="","",IF(ISNUMBER(SEARCH("(externo)",$I985&amp;$J985&amp;$K985)),"Terceirizada","Interna"))</f>
        <v/>
      </c>
      <c r="W985" s="47" t="str">
        <f aca="false">IF($O985="","",IF($S985="",$O985,(DATE(Semana!$J$3,1,4)-WEEKDAY(DATE(Semana!$J$3,1,4),3))+($S985-1)*7+IF($M985="",0,MATCH($M985,Listas!$F$5:$F$11,0)-1)))</f>
        <v/>
      </c>
      <c r="X985" s="39" t="str">
        <f aca="false">IF($F985="","",IF(OR($AT985="",$O985=""),0,IF($AT985&lt;=$O985,1,0)))</f>
        <v/>
      </c>
      <c r="Y985" s="39" t="str">
        <f aca="false">IF($F985="","",IF(OR($AT985="",$W985=""),0,IF($AT985&lt;=$W985,1,0)))</f>
        <v/>
      </c>
      <c r="Z985" s="39" t="str">
        <f aca="false">IF(OR($AT985="",$O985=""),"",MAX(0,$AT985-$O985))</f>
        <v/>
      </c>
      <c r="AA985" s="39" t="str">
        <f aca="false">IF($F985="","",IF(AND($S985&lt;&gt;"",$L985&lt;&gt;"",$S985&lt;&gt;$L985),1,0))</f>
        <v/>
      </c>
      <c r="AB985" s="39" t="str">
        <f aca="false">IF($F985="","",IF($R985="Cancelada",0,IF(OR($AT985&lt;&gt;"",$R985="Concluída"),1,0)))</f>
        <v/>
      </c>
      <c r="AC985" s="39" t="n">
        <f aca="false">IF($P985="",0,IF($P985&lt;Hoje!$L$1,1,IF(AND($P985=Hoje!$L$1,Hoje!$L$2&gt;Semana!$M$3),1,0)))</f>
        <v>0</v>
      </c>
      <c r="AD985" s="39" t="str">
        <f aca="false">IF($F985="","",IF(COUNTA($I985:$K985)=0,0,1/COUNTA($I985:$K985)))</f>
        <v/>
      </c>
      <c r="AE985" s="39" t="str">
        <f aca="false">IF($AH985=0,"",SUM($AH$4:$AH985))</f>
        <v/>
      </c>
      <c r="AF985" s="39" t="str">
        <f aca="false">IF($AI985=0,"",SUM($AI$4:$AI985))</f>
        <v/>
      </c>
      <c r="AG985" s="50" t="str">
        <f aca="false">IF($F985="","",$I985&amp;IF($J985="",""," · "&amp;$J985)&amp;IF($K985="",""," · "&amp;$K985))</f>
        <v/>
      </c>
      <c r="AH985" s="39" t="n">
        <f aca="false">IF(AND($F985&lt;&gt;"",$O985&lt;&gt;"",$O985&lt;=Hoje!$C$3,$P985&gt;=Hoje!$C$3,$R985&lt;&gt;"Cancelada"),1,0)</f>
        <v>0</v>
      </c>
      <c r="AI985" s="39" t="n">
        <f aca="false">IF(AND($F985&lt;&gt;"",$P985&lt;&gt;"",$P985&lt;Hoje!$C$3,$AB985=0,$R985&lt;&gt;"Cancelada"),1,0)</f>
        <v>0</v>
      </c>
      <c r="AJ985" s="50" t="str">
        <f aca="false">IF($F985="","",$D985&amp;"|"&amp;$E985&amp;"|"&amp;$L985)</f>
        <v/>
      </c>
      <c r="AK985" s="39" t="str">
        <f aca="false">IF($AJ985="","",COUNTIF($AJ$4:$AJ985,$AJ985))</f>
        <v/>
      </c>
      <c r="AL985" s="39" t="str">
        <f aca="false">IF($AJ985="","",COUNTIF($AJ$4:$AJ$1004,$AJ985))</f>
        <v/>
      </c>
      <c r="AM985" s="42"/>
      <c r="AN985" s="50" t="str">
        <f aca="false">IF($D985="","",IFERROR(T(VLOOKUP($D985,Listas!$B$5:$H$120,7,0)),""))</f>
        <v/>
      </c>
      <c r="AO985" s="50" t="str">
        <f aca="false">IF(OR($F985="",$L985&lt;&gt;"",$R985="Cancelada",$AT985&lt;&gt;""),"",$AN985&amp;"|"&amp;$D985&amp;"|"&amp;IF($C985="","zzz",$C985)&amp;"|"&amp;TEXT(985,"0000"))</f>
        <v/>
      </c>
      <c r="AP985" s="50" t="str">
        <f aca="false">IF($AO985="","",COUNTIF($AO$5:$AO$1004,"&lt;"&amp;$AO985)-(ROWS($AO$5:$AO$1004)-Hoje!$L$5)+1)</f>
        <v/>
      </c>
      <c r="AQ985" s="50" t="n">
        <f aca="false">IF(AND($F985&lt;&gt;"",$D985=Frota!$C$3),1,0)</f>
        <v>0</v>
      </c>
      <c r="AR985" s="50" t="str">
        <f aca="false">IF($AQ985=0,"",SUM($AQ$4:$AQ985))</f>
        <v/>
      </c>
      <c r="AS985" s="50" t="str">
        <f aca="false">IFERROR(INDEX(Hoje!$K$10:$K$29,MATCH(ROW(),Hoje!$J$10:$J$29,0)),"")</f>
        <v/>
      </c>
      <c r="AT985" s="50" t="str">
        <f aca="false">IF($Q985&lt;&gt;"",$Q985,$AS985)</f>
        <v/>
      </c>
    </row>
    <row r="986" customFormat="false" ht="16.5" hidden="false" customHeight="true" outlineLevel="0" collapsed="false">
      <c r="A986" s="39" t="str">
        <f aca="false">IF($F986="","",ROW())</f>
        <v/>
      </c>
      <c r="B986" s="40" t="str">
        <f aca="false">IF($F986="",IF($D986="","","Falta a atividade"),IF($R986="Cancelada","Cancelada",IF($AB986=1,IF(N($Z986)&gt;0,"Concluída com atraso","Concluída"),IF($R986="Em programação","Em programação",IF($O986="",IF($M986="","Na carteira","Falta a semana"),IF($AC986=1,"VENCIDA",IF($O986&gt;Hoje!$L$1,"Programada",IF($P986&gt;Hoje!$L$1,"Em execução","Fecha hoje"))))))))</f>
        <v/>
      </c>
      <c r="C986" s="41"/>
      <c r="D986" s="42"/>
      <c r="E986" s="42"/>
      <c r="F986" s="42"/>
      <c r="G986" s="43"/>
      <c r="H986" s="43"/>
      <c r="I986" s="44"/>
      <c r="J986" s="44"/>
      <c r="K986" s="44"/>
      <c r="L986" s="45"/>
      <c r="M986" s="46"/>
      <c r="N986" s="45"/>
      <c r="O986" s="47" t="str">
        <f aca="false">IF(OR($L986="",$M986=""),"",(DATE(Semana!$J$3,1,4)-WEEKDAY(DATE(Semana!$J$3,1,4),3))+($L986-1)*7+MATCH($M986,Listas!$F$5:$F$11,0)-1)</f>
        <v/>
      </c>
      <c r="P986" s="47" t="str">
        <f aca="false">IF(OR($F986="",$O986=""),"",$O986+MAX(0,ROUNDUP($AK986*MAX(1,IF($N986="",1,$N986))/MAX(1,$AL986),0)-1))</f>
        <v/>
      </c>
      <c r="Q986" s="48"/>
      <c r="R986" s="43"/>
      <c r="S986" s="49"/>
      <c r="T986" s="42"/>
      <c r="U986" s="42"/>
      <c r="V986" s="39" t="str">
        <f aca="false">IF($F986="","",IF(ISNUMBER(SEARCH("(externo)",$I986&amp;$J986&amp;$K986)),"Terceirizada","Interna"))</f>
        <v/>
      </c>
      <c r="W986" s="47" t="str">
        <f aca="false">IF($O986="","",IF($S986="",$O986,(DATE(Semana!$J$3,1,4)-WEEKDAY(DATE(Semana!$J$3,1,4),3))+($S986-1)*7+IF($M986="",0,MATCH($M986,Listas!$F$5:$F$11,0)-1)))</f>
        <v/>
      </c>
      <c r="X986" s="39" t="str">
        <f aca="false">IF($F986="","",IF(OR($AT986="",$O986=""),0,IF($AT986&lt;=$O986,1,0)))</f>
        <v/>
      </c>
      <c r="Y986" s="39" t="str">
        <f aca="false">IF($F986="","",IF(OR($AT986="",$W986=""),0,IF($AT986&lt;=$W986,1,0)))</f>
        <v/>
      </c>
      <c r="Z986" s="39" t="str">
        <f aca="false">IF(OR($AT986="",$O986=""),"",MAX(0,$AT986-$O986))</f>
        <v/>
      </c>
      <c r="AA986" s="39" t="str">
        <f aca="false">IF($F986="","",IF(AND($S986&lt;&gt;"",$L986&lt;&gt;"",$S986&lt;&gt;$L986),1,0))</f>
        <v/>
      </c>
      <c r="AB986" s="39" t="str">
        <f aca="false">IF($F986="","",IF($R986="Cancelada",0,IF(OR($AT986&lt;&gt;"",$R986="Concluída"),1,0)))</f>
        <v/>
      </c>
      <c r="AC986" s="39" t="n">
        <f aca="false">IF($P986="",0,IF($P986&lt;Hoje!$L$1,1,IF(AND($P986=Hoje!$L$1,Hoje!$L$2&gt;Semana!$M$3),1,0)))</f>
        <v>0</v>
      </c>
      <c r="AD986" s="39" t="str">
        <f aca="false">IF($F986="","",IF(COUNTA($I986:$K986)=0,0,1/COUNTA($I986:$K986)))</f>
        <v/>
      </c>
      <c r="AE986" s="39" t="str">
        <f aca="false">IF($AH986=0,"",SUM($AH$4:$AH986))</f>
        <v/>
      </c>
      <c r="AF986" s="39" t="str">
        <f aca="false">IF($AI986=0,"",SUM($AI$4:$AI986))</f>
        <v/>
      </c>
      <c r="AG986" s="50" t="str">
        <f aca="false">IF($F986="","",$I986&amp;IF($J986="",""," · "&amp;$J986)&amp;IF($K986="",""," · "&amp;$K986))</f>
        <v/>
      </c>
      <c r="AH986" s="39" t="n">
        <f aca="false">IF(AND($F986&lt;&gt;"",$O986&lt;&gt;"",$O986&lt;=Hoje!$C$3,$P986&gt;=Hoje!$C$3,$R986&lt;&gt;"Cancelada"),1,0)</f>
        <v>0</v>
      </c>
      <c r="AI986" s="39" t="n">
        <f aca="false">IF(AND($F986&lt;&gt;"",$P986&lt;&gt;"",$P986&lt;Hoje!$C$3,$AB986=0,$R986&lt;&gt;"Cancelada"),1,0)</f>
        <v>0</v>
      </c>
      <c r="AJ986" s="50" t="str">
        <f aca="false">IF($F986="","",$D986&amp;"|"&amp;$E986&amp;"|"&amp;$L986)</f>
        <v/>
      </c>
      <c r="AK986" s="39" t="str">
        <f aca="false">IF($AJ986="","",COUNTIF($AJ$4:$AJ986,$AJ986))</f>
        <v/>
      </c>
      <c r="AL986" s="39" t="str">
        <f aca="false">IF($AJ986="","",COUNTIF($AJ$4:$AJ$1004,$AJ986))</f>
        <v/>
      </c>
      <c r="AM986" s="42"/>
      <c r="AN986" s="50" t="str">
        <f aca="false">IF($D986="","",IFERROR(T(VLOOKUP($D986,Listas!$B$5:$H$120,7,0)),""))</f>
        <v/>
      </c>
      <c r="AO986" s="50" t="str">
        <f aca="false">IF(OR($F986="",$L986&lt;&gt;"",$R986="Cancelada",$AT986&lt;&gt;""),"",$AN986&amp;"|"&amp;$D986&amp;"|"&amp;IF($C986="","zzz",$C986)&amp;"|"&amp;TEXT(986,"0000"))</f>
        <v/>
      </c>
      <c r="AP986" s="50" t="str">
        <f aca="false">IF($AO986="","",COUNTIF($AO$5:$AO$1004,"&lt;"&amp;$AO986)-(ROWS($AO$5:$AO$1004)-Hoje!$L$5)+1)</f>
        <v/>
      </c>
      <c r="AQ986" s="50" t="n">
        <f aca="false">IF(AND($F986&lt;&gt;"",$D986=Frota!$C$3),1,0)</f>
        <v>0</v>
      </c>
      <c r="AR986" s="50" t="str">
        <f aca="false">IF($AQ986=0,"",SUM($AQ$4:$AQ986))</f>
        <v/>
      </c>
      <c r="AS986" s="50" t="str">
        <f aca="false">IFERROR(INDEX(Hoje!$K$10:$K$29,MATCH(ROW(),Hoje!$J$10:$J$29,0)),"")</f>
        <v/>
      </c>
      <c r="AT986" s="50" t="str">
        <f aca="false">IF($Q986&lt;&gt;"",$Q986,$AS986)</f>
        <v/>
      </c>
    </row>
    <row r="987" customFormat="false" ht="16.5" hidden="false" customHeight="true" outlineLevel="0" collapsed="false">
      <c r="A987" s="39" t="str">
        <f aca="false">IF($F987="","",ROW())</f>
        <v/>
      </c>
      <c r="B987" s="40" t="str">
        <f aca="false">IF($F987="",IF($D987="","","Falta a atividade"),IF($R987="Cancelada","Cancelada",IF($AB987=1,IF(N($Z987)&gt;0,"Concluída com atraso","Concluída"),IF($R987="Em programação","Em programação",IF($O987="",IF($M987="","Na carteira","Falta a semana"),IF($AC987=1,"VENCIDA",IF($O987&gt;Hoje!$L$1,"Programada",IF($P987&gt;Hoje!$L$1,"Em execução","Fecha hoje"))))))))</f>
        <v/>
      </c>
      <c r="C987" s="41"/>
      <c r="D987" s="42"/>
      <c r="E987" s="42"/>
      <c r="F987" s="42"/>
      <c r="G987" s="43"/>
      <c r="H987" s="43"/>
      <c r="I987" s="44"/>
      <c r="J987" s="44"/>
      <c r="K987" s="44"/>
      <c r="L987" s="45"/>
      <c r="M987" s="46"/>
      <c r="N987" s="45"/>
      <c r="O987" s="47" t="str">
        <f aca="false">IF(OR($L987="",$M987=""),"",(DATE(Semana!$J$3,1,4)-WEEKDAY(DATE(Semana!$J$3,1,4),3))+($L987-1)*7+MATCH($M987,Listas!$F$5:$F$11,0)-1)</f>
        <v/>
      </c>
      <c r="P987" s="47" t="str">
        <f aca="false">IF(OR($F987="",$O987=""),"",$O987+MAX(0,ROUNDUP($AK987*MAX(1,IF($N987="",1,$N987))/MAX(1,$AL987),0)-1))</f>
        <v/>
      </c>
      <c r="Q987" s="48"/>
      <c r="R987" s="43"/>
      <c r="S987" s="49"/>
      <c r="T987" s="42"/>
      <c r="U987" s="42"/>
      <c r="V987" s="39" t="str">
        <f aca="false">IF($F987="","",IF(ISNUMBER(SEARCH("(externo)",$I987&amp;$J987&amp;$K987)),"Terceirizada","Interna"))</f>
        <v/>
      </c>
      <c r="W987" s="47" t="str">
        <f aca="false">IF($O987="","",IF($S987="",$O987,(DATE(Semana!$J$3,1,4)-WEEKDAY(DATE(Semana!$J$3,1,4),3))+($S987-1)*7+IF($M987="",0,MATCH($M987,Listas!$F$5:$F$11,0)-1)))</f>
        <v/>
      </c>
      <c r="X987" s="39" t="str">
        <f aca="false">IF($F987="","",IF(OR($AT987="",$O987=""),0,IF($AT987&lt;=$O987,1,0)))</f>
        <v/>
      </c>
      <c r="Y987" s="39" t="str">
        <f aca="false">IF($F987="","",IF(OR($AT987="",$W987=""),0,IF($AT987&lt;=$W987,1,0)))</f>
        <v/>
      </c>
      <c r="Z987" s="39" t="str">
        <f aca="false">IF(OR($AT987="",$O987=""),"",MAX(0,$AT987-$O987))</f>
        <v/>
      </c>
      <c r="AA987" s="39" t="str">
        <f aca="false">IF($F987="","",IF(AND($S987&lt;&gt;"",$L987&lt;&gt;"",$S987&lt;&gt;$L987),1,0))</f>
        <v/>
      </c>
      <c r="AB987" s="39" t="str">
        <f aca="false">IF($F987="","",IF($R987="Cancelada",0,IF(OR($AT987&lt;&gt;"",$R987="Concluída"),1,0)))</f>
        <v/>
      </c>
      <c r="AC987" s="39" t="n">
        <f aca="false">IF($P987="",0,IF($P987&lt;Hoje!$L$1,1,IF(AND($P987=Hoje!$L$1,Hoje!$L$2&gt;Semana!$M$3),1,0)))</f>
        <v>0</v>
      </c>
      <c r="AD987" s="39" t="str">
        <f aca="false">IF($F987="","",IF(COUNTA($I987:$K987)=0,0,1/COUNTA($I987:$K987)))</f>
        <v/>
      </c>
      <c r="AE987" s="39" t="str">
        <f aca="false">IF($AH987=0,"",SUM($AH$4:$AH987))</f>
        <v/>
      </c>
      <c r="AF987" s="39" t="str">
        <f aca="false">IF($AI987=0,"",SUM($AI$4:$AI987))</f>
        <v/>
      </c>
      <c r="AG987" s="50" t="str">
        <f aca="false">IF($F987="","",$I987&amp;IF($J987="",""," · "&amp;$J987)&amp;IF($K987="",""," · "&amp;$K987))</f>
        <v/>
      </c>
      <c r="AH987" s="39" t="n">
        <f aca="false">IF(AND($F987&lt;&gt;"",$O987&lt;&gt;"",$O987&lt;=Hoje!$C$3,$P987&gt;=Hoje!$C$3,$R987&lt;&gt;"Cancelada"),1,0)</f>
        <v>0</v>
      </c>
      <c r="AI987" s="39" t="n">
        <f aca="false">IF(AND($F987&lt;&gt;"",$P987&lt;&gt;"",$P987&lt;Hoje!$C$3,$AB987=0,$R987&lt;&gt;"Cancelada"),1,0)</f>
        <v>0</v>
      </c>
      <c r="AJ987" s="50" t="str">
        <f aca="false">IF($F987="","",$D987&amp;"|"&amp;$E987&amp;"|"&amp;$L987)</f>
        <v/>
      </c>
      <c r="AK987" s="39" t="str">
        <f aca="false">IF($AJ987="","",COUNTIF($AJ$4:$AJ987,$AJ987))</f>
        <v/>
      </c>
      <c r="AL987" s="39" t="str">
        <f aca="false">IF($AJ987="","",COUNTIF($AJ$4:$AJ$1004,$AJ987))</f>
        <v/>
      </c>
      <c r="AM987" s="42"/>
      <c r="AN987" s="50" t="str">
        <f aca="false">IF($D987="","",IFERROR(T(VLOOKUP($D987,Listas!$B$5:$H$120,7,0)),""))</f>
        <v/>
      </c>
      <c r="AO987" s="50" t="str">
        <f aca="false">IF(OR($F987="",$L987&lt;&gt;"",$R987="Cancelada",$AT987&lt;&gt;""),"",$AN987&amp;"|"&amp;$D987&amp;"|"&amp;IF($C987="","zzz",$C987)&amp;"|"&amp;TEXT(987,"0000"))</f>
        <v/>
      </c>
      <c r="AP987" s="50" t="str">
        <f aca="false">IF($AO987="","",COUNTIF($AO$5:$AO$1004,"&lt;"&amp;$AO987)-(ROWS($AO$5:$AO$1004)-Hoje!$L$5)+1)</f>
        <v/>
      </c>
      <c r="AQ987" s="50" t="n">
        <f aca="false">IF(AND($F987&lt;&gt;"",$D987=Frota!$C$3),1,0)</f>
        <v>0</v>
      </c>
      <c r="AR987" s="50" t="str">
        <f aca="false">IF($AQ987=0,"",SUM($AQ$4:$AQ987))</f>
        <v/>
      </c>
      <c r="AS987" s="50" t="str">
        <f aca="false">IFERROR(INDEX(Hoje!$K$10:$K$29,MATCH(ROW(),Hoje!$J$10:$J$29,0)),"")</f>
        <v/>
      </c>
      <c r="AT987" s="50" t="str">
        <f aca="false">IF($Q987&lt;&gt;"",$Q987,$AS987)</f>
        <v/>
      </c>
    </row>
    <row r="988" customFormat="false" ht="16.5" hidden="false" customHeight="true" outlineLevel="0" collapsed="false">
      <c r="A988" s="39" t="str">
        <f aca="false">IF($F988="","",ROW())</f>
        <v/>
      </c>
      <c r="B988" s="40" t="str">
        <f aca="false">IF($F988="",IF($D988="","","Falta a atividade"),IF($R988="Cancelada","Cancelada",IF($AB988=1,IF(N($Z988)&gt;0,"Concluída com atraso","Concluída"),IF($R988="Em programação","Em programação",IF($O988="",IF($M988="","Na carteira","Falta a semana"),IF($AC988=1,"VENCIDA",IF($O988&gt;Hoje!$L$1,"Programada",IF($P988&gt;Hoje!$L$1,"Em execução","Fecha hoje"))))))))</f>
        <v/>
      </c>
      <c r="C988" s="41"/>
      <c r="D988" s="42"/>
      <c r="E988" s="42"/>
      <c r="F988" s="42"/>
      <c r="G988" s="43"/>
      <c r="H988" s="43"/>
      <c r="I988" s="44"/>
      <c r="J988" s="44"/>
      <c r="K988" s="44"/>
      <c r="L988" s="45"/>
      <c r="M988" s="46"/>
      <c r="N988" s="45"/>
      <c r="O988" s="47" t="str">
        <f aca="false">IF(OR($L988="",$M988=""),"",(DATE(Semana!$J$3,1,4)-WEEKDAY(DATE(Semana!$J$3,1,4),3))+($L988-1)*7+MATCH($M988,Listas!$F$5:$F$11,0)-1)</f>
        <v/>
      </c>
      <c r="P988" s="47" t="str">
        <f aca="false">IF(OR($F988="",$O988=""),"",$O988+MAX(0,ROUNDUP($AK988*MAX(1,IF($N988="",1,$N988))/MAX(1,$AL988),0)-1))</f>
        <v/>
      </c>
      <c r="Q988" s="48"/>
      <c r="R988" s="43"/>
      <c r="S988" s="49"/>
      <c r="T988" s="42"/>
      <c r="U988" s="42"/>
      <c r="V988" s="39" t="str">
        <f aca="false">IF($F988="","",IF(ISNUMBER(SEARCH("(externo)",$I988&amp;$J988&amp;$K988)),"Terceirizada","Interna"))</f>
        <v/>
      </c>
      <c r="W988" s="47" t="str">
        <f aca="false">IF($O988="","",IF($S988="",$O988,(DATE(Semana!$J$3,1,4)-WEEKDAY(DATE(Semana!$J$3,1,4),3))+($S988-1)*7+IF($M988="",0,MATCH($M988,Listas!$F$5:$F$11,0)-1)))</f>
        <v/>
      </c>
      <c r="X988" s="39" t="str">
        <f aca="false">IF($F988="","",IF(OR($AT988="",$O988=""),0,IF($AT988&lt;=$O988,1,0)))</f>
        <v/>
      </c>
      <c r="Y988" s="39" t="str">
        <f aca="false">IF($F988="","",IF(OR($AT988="",$W988=""),0,IF($AT988&lt;=$W988,1,0)))</f>
        <v/>
      </c>
      <c r="Z988" s="39" t="str">
        <f aca="false">IF(OR($AT988="",$O988=""),"",MAX(0,$AT988-$O988))</f>
        <v/>
      </c>
      <c r="AA988" s="39" t="str">
        <f aca="false">IF($F988="","",IF(AND($S988&lt;&gt;"",$L988&lt;&gt;"",$S988&lt;&gt;$L988),1,0))</f>
        <v/>
      </c>
      <c r="AB988" s="39" t="str">
        <f aca="false">IF($F988="","",IF($R988="Cancelada",0,IF(OR($AT988&lt;&gt;"",$R988="Concluída"),1,0)))</f>
        <v/>
      </c>
      <c r="AC988" s="39" t="n">
        <f aca="false">IF($P988="",0,IF($P988&lt;Hoje!$L$1,1,IF(AND($P988=Hoje!$L$1,Hoje!$L$2&gt;Semana!$M$3),1,0)))</f>
        <v>0</v>
      </c>
      <c r="AD988" s="39" t="str">
        <f aca="false">IF($F988="","",IF(COUNTA($I988:$K988)=0,0,1/COUNTA($I988:$K988)))</f>
        <v/>
      </c>
      <c r="AE988" s="39" t="str">
        <f aca="false">IF($AH988=0,"",SUM($AH$4:$AH988))</f>
        <v/>
      </c>
      <c r="AF988" s="39" t="str">
        <f aca="false">IF($AI988=0,"",SUM($AI$4:$AI988))</f>
        <v/>
      </c>
      <c r="AG988" s="50" t="str">
        <f aca="false">IF($F988="","",$I988&amp;IF($J988="",""," · "&amp;$J988)&amp;IF($K988="",""," · "&amp;$K988))</f>
        <v/>
      </c>
      <c r="AH988" s="39" t="n">
        <f aca="false">IF(AND($F988&lt;&gt;"",$O988&lt;&gt;"",$O988&lt;=Hoje!$C$3,$P988&gt;=Hoje!$C$3,$R988&lt;&gt;"Cancelada"),1,0)</f>
        <v>0</v>
      </c>
      <c r="AI988" s="39" t="n">
        <f aca="false">IF(AND($F988&lt;&gt;"",$P988&lt;&gt;"",$P988&lt;Hoje!$C$3,$AB988=0,$R988&lt;&gt;"Cancelada"),1,0)</f>
        <v>0</v>
      </c>
      <c r="AJ988" s="50" t="str">
        <f aca="false">IF($F988="","",$D988&amp;"|"&amp;$E988&amp;"|"&amp;$L988)</f>
        <v/>
      </c>
      <c r="AK988" s="39" t="str">
        <f aca="false">IF($AJ988="","",COUNTIF($AJ$4:$AJ988,$AJ988))</f>
        <v/>
      </c>
      <c r="AL988" s="39" t="str">
        <f aca="false">IF($AJ988="","",COUNTIF($AJ$4:$AJ$1004,$AJ988))</f>
        <v/>
      </c>
      <c r="AM988" s="42"/>
      <c r="AN988" s="50" t="str">
        <f aca="false">IF($D988="","",IFERROR(T(VLOOKUP($D988,Listas!$B$5:$H$120,7,0)),""))</f>
        <v/>
      </c>
      <c r="AO988" s="50" t="str">
        <f aca="false">IF(OR($F988="",$L988&lt;&gt;"",$R988="Cancelada",$AT988&lt;&gt;""),"",$AN988&amp;"|"&amp;$D988&amp;"|"&amp;IF($C988="","zzz",$C988)&amp;"|"&amp;TEXT(988,"0000"))</f>
        <v/>
      </c>
      <c r="AP988" s="50" t="str">
        <f aca="false">IF($AO988="","",COUNTIF($AO$5:$AO$1004,"&lt;"&amp;$AO988)-(ROWS($AO$5:$AO$1004)-Hoje!$L$5)+1)</f>
        <v/>
      </c>
      <c r="AQ988" s="50" t="n">
        <f aca="false">IF(AND($F988&lt;&gt;"",$D988=Frota!$C$3),1,0)</f>
        <v>0</v>
      </c>
      <c r="AR988" s="50" t="str">
        <f aca="false">IF($AQ988=0,"",SUM($AQ$4:$AQ988))</f>
        <v/>
      </c>
      <c r="AS988" s="50" t="str">
        <f aca="false">IFERROR(INDEX(Hoje!$K$10:$K$29,MATCH(ROW(),Hoje!$J$10:$J$29,0)),"")</f>
        <v/>
      </c>
      <c r="AT988" s="50" t="str">
        <f aca="false">IF($Q988&lt;&gt;"",$Q988,$AS988)</f>
        <v/>
      </c>
    </row>
    <row r="989" customFormat="false" ht="16.5" hidden="false" customHeight="true" outlineLevel="0" collapsed="false">
      <c r="A989" s="39" t="str">
        <f aca="false">IF($F989="","",ROW())</f>
        <v/>
      </c>
      <c r="B989" s="40" t="str">
        <f aca="false">IF($F989="",IF($D989="","","Falta a atividade"),IF($R989="Cancelada","Cancelada",IF($AB989=1,IF(N($Z989)&gt;0,"Concluída com atraso","Concluída"),IF($R989="Em programação","Em programação",IF($O989="",IF($M989="","Na carteira","Falta a semana"),IF($AC989=1,"VENCIDA",IF($O989&gt;Hoje!$L$1,"Programada",IF($P989&gt;Hoje!$L$1,"Em execução","Fecha hoje"))))))))</f>
        <v/>
      </c>
      <c r="C989" s="41"/>
      <c r="D989" s="42"/>
      <c r="E989" s="42"/>
      <c r="F989" s="42"/>
      <c r="G989" s="43"/>
      <c r="H989" s="43"/>
      <c r="I989" s="44"/>
      <c r="J989" s="44"/>
      <c r="K989" s="44"/>
      <c r="L989" s="45"/>
      <c r="M989" s="46"/>
      <c r="N989" s="45"/>
      <c r="O989" s="47" t="str">
        <f aca="false">IF(OR($L989="",$M989=""),"",(DATE(Semana!$J$3,1,4)-WEEKDAY(DATE(Semana!$J$3,1,4),3))+($L989-1)*7+MATCH($M989,Listas!$F$5:$F$11,0)-1)</f>
        <v/>
      </c>
      <c r="P989" s="47" t="str">
        <f aca="false">IF(OR($F989="",$O989=""),"",$O989+MAX(0,ROUNDUP($AK989*MAX(1,IF($N989="",1,$N989))/MAX(1,$AL989),0)-1))</f>
        <v/>
      </c>
      <c r="Q989" s="48"/>
      <c r="R989" s="43"/>
      <c r="S989" s="49"/>
      <c r="T989" s="42"/>
      <c r="U989" s="42"/>
      <c r="V989" s="39" t="str">
        <f aca="false">IF($F989="","",IF(ISNUMBER(SEARCH("(externo)",$I989&amp;$J989&amp;$K989)),"Terceirizada","Interna"))</f>
        <v/>
      </c>
      <c r="W989" s="47" t="str">
        <f aca="false">IF($O989="","",IF($S989="",$O989,(DATE(Semana!$J$3,1,4)-WEEKDAY(DATE(Semana!$J$3,1,4),3))+($S989-1)*7+IF($M989="",0,MATCH($M989,Listas!$F$5:$F$11,0)-1)))</f>
        <v/>
      </c>
      <c r="X989" s="39" t="str">
        <f aca="false">IF($F989="","",IF(OR($AT989="",$O989=""),0,IF($AT989&lt;=$O989,1,0)))</f>
        <v/>
      </c>
      <c r="Y989" s="39" t="str">
        <f aca="false">IF($F989="","",IF(OR($AT989="",$W989=""),0,IF($AT989&lt;=$W989,1,0)))</f>
        <v/>
      </c>
      <c r="Z989" s="39" t="str">
        <f aca="false">IF(OR($AT989="",$O989=""),"",MAX(0,$AT989-$O989))</f>
        <v/>
      </c>
      <c r="AA989" s="39" t="str">
        <f aca="false">IF($F989="","",IF(AND($S989&lt;&gt;"",$L989&lt;&gt;"",$S989&lt;&gt;$L989),1,0))</f>
        <v/>
      </c>
      <c r="AB989" s="39" t="str">
        <f aca="false">IF($F989="","",IF($R989="Cancelada",0,IF(OR($AT989&lt;&gt;"",$R989="Concluída"),1,0)))</f>
        <v/>
      </c>
      <c r="AC989" s="39" t="n">
        <f aca="false">IF($P989="",0,IF($P989&lt;Hoje!$L$1,1,IF(AND($P989=Hoje!$L$1,Hoje!$L$2&gt;Semana!$M$3),1,0)))</f>
        <v>0</v>
      </c>
      <c r="AD989" s="39" t="str">
        <f aca="false">IF($F989="","",IF(COUNTA($I989:$K989)=0,0,1/COUNTA($I989:$K989)))</f>
        <v/>
      </c>
      <c r="AE989" s="39" t="str">
        <f aca="false">IF($AH989=0,"",SUM($AH$4:$AH989))</f>
        <v/>
      </c>
      <c r="AF989" s="39" t="str">
        <f aca="false">IF($AI989=0,"",SUM($AI$4:$AI989))</f>
        <v/>
      </c>
      <c r="AG989" s="50" t="str">
        <f aca="false">IF($F989="","",$I989&amp;IF($J989="",""," · "&amp;$J989)&amp;IF($K989="",""," · "&amp;$K989))</f>
        <v/>
      </c>
      <c r="AH989" s="39" t="n">
        <f aca="false">IF(AND($F989&lt;&gt;"",$O989&lt;&gt;"",$O989&lt;=Hoje!$C$3,$P989&gt;=Hoje!$C$3,$R989&lt;&gt;"Cancelada"),1,0)</f>
        <v>0</v>
      </c>
      <c r="AI989" s="39" t="n">
        <f aca="false">IF(AND($F989&lt;&gt;"",$P989&lt;&gt;"",$P989&lt;Hoje!$C$3,$AB989=0,$R989&lt;&gt;"Cancelada"),1,0)</f>
        <v>0</v>
      </c>
      <c r="AJ989" s="50" t="str">
        <f aca="false">IF($F989="","",$D989&amp;"|"&amp;$E989&amp;"|"&amp;$L989)</f>
        <v/>
      </c>
      <c r="AK989" s="39" t="str">
        <f aca="false">IF($AJ989="","",COUNTIF($AJ$4:$AJ989,$AJ989))</f>
        <v/>
      </c>
      <c r="AL989" s="39" t="str">
        <f aca="false">IF($AJ989="","",COUNTIF($AJ$4:$AJ$1004,$AJ989))</f>
        <v/>
      </c>
      <c r="AM989" s="42"/>
      <c r="AN989" s="50" t="str">
        <f aca="false">IF($D989="","",IFERROR(T(VLOOKUP($D989,Listas!$B$5:$H$120,7,0)),""))</f>
        <v/>
      </c>
      <c r="AO989" s="50" t="str">
        <f aca="false">IF(OR($F989="",$L989&lt;&gt;"",$R989="Cancelada",$AT989&lt;&gt;""),"",$AN989&amp;"|"&amp;$D989&amp;"|"&amp;IF($C989="","zzz",$C989)&amp;"|"&amp;TEXT(989,"0000"))</f>
        <v/>
      </c>
      <c r="AP989" s="50" t="str">
        <f aca="false">IF($AO989="","",COUNTIF($AO$5:$AO$1004,"&lt;"&amp;$AO989)-(ROWS($AO$5:$AO$1004)-Hoje!$L$5)+1)</f>
        <v/>
      </c>
      <c r="AQ989" s="50" t="n">
        <f aca="false">IF(AND($F989&lt;&gt;"",$D989=Frota!$C$3),1,0)</f>
        <v>0</v>
      </c>
      <c r="AR989" s="50" t="str">
        <f aca="false">IF($AQ989=0,"",SUM($AQ$4:$AQ989))</f>
        <v/>
      </c>
      <c r="AS989" s="50" t="str">
        <f aca="false">IFERROR(INDEX(Hoje!$K$10:$K$29,MATCH(ROW(),Hoje!$J$10:$J$29,0)),"")</f>
        <v/>
      </c>
      <c r="AT989" s="50" t="str">
        <f aca="false">IF($Q989&lt;&gt;"",$Q989,$AS989)</f>
        <v/>
      </c>
    </row>
    <row r="990" customFormat="false" ht="16.5" hidden="false" customHeight="true" outlineLevel="0" collapsed="false">
      <c r="A990" s="39" t="str">
        <f aca="false">IF($F990="","",ROW())</f>
        <v/>
      </c>
      <c r="B990" s="40" t="str">
        <f aca="false">IF($F990="",IF($D990="","","Falta a atividade"),IF($R990="Cancelada","Cancelada",IF($AB990=1,IF(N($Z990)&gt;0,"Concluída com atraso","Concluída"),IF($R990="Em programação","Em programação",IF($O990="",IF($M990="","Na carteira","Falta a semana"),IF($AC990=1,"VENCIDA",IF($O990&gt;Hoje!$L$1,"Programada",IF($P990&gt;Hoje!$L$1,"Em execução","Fecha hoje"))))))))</f>
        <v/>
      </c>
      <c r="C990" s="41"/>
      <c r="D990" s="42"/>
      <c r="E990" s="42"/>
      <c r="F990" s="42"/>
      <c r="G990" s="43"/>
      <c r="H990" s="43"/>
      <c r="I990" s="44"/>
      <c r="J990" s="44"/>
      <c r="K990" s="44"/>
      <c r="L990" s="45"/>
      <c r="M990" s="46"/>
      <c r="N990" s="45"/>
      <c r="O990" s="47" t="str">
        <f aca="false">IF(OR($L990="",$M990=""),"",(DATE(Semana!$J$3,1,4)-WEEKDAY(DATE(Semana!$J$3,1,4),3))+($L990-1)*7+MATCH($M990,Listas!$F$5:$F$11,0)-1)</f>
        <v/>
      </c>
      <c r="P990" s="47" t="str">
        <f aca="false">IF(OR($F990="",$O990=""),"",$O990+MAX(0,ROUNDUP($AK990*MAX(1,IF($N990="",1,$N990))/MAX(1,$AL990),0)-1))</f>
        <v/>
      </c>
      <c r="Q990" s="48"/>
      <c r="R990" s="43"/>
      <c r="S990" s="49"/>
      <c r="T990" s="42"/>
      <c r="U990" s="42"/>
      <c r="V990" s="39" t="str">
        <f aca="false">IF($F990="","",IF(ISNUMBER(SEARCH("(externo)",$I990&amp;$J990&amp;$K990)),"Terceirizada","Interna"))</f>
        <v/>
      </c>
      <c r="W990" s="47" t="str">
        <f aca="false">IF($O990="","",IF($S990="",$O990,(DATE(Semana!$J$3,1,4)-WEEKDAY(DATE(Semana!$J$3,1,4),3))+($S990-1)*7+IF($M990="",0,MATCH($M990,Listas!$F$5:$F$11,0)-1)))</f>
        <v/>
      </c>
      <c r="X990" s="39" t="str">
        <f aca="false">IF($F990="","",IF(OR($AT990="",$O990=""),0,IF($AT990&lt;=$O990,1,0)))</f>
        <v/>
      </c>
      <c r="Y990" s="39" t="str">
        <f aca="false">IF($F990="","",IF(OR($AT990="",$W990=""),0,IF($AT990&lt;=$W990,1,0)))</f>
        <v/>
      </c>
      <c r="Z990" s="39" t="str">
        <f aca="false">IF(OR($AT990="",$O990=""),"",MAX(0,$AT990-$O990))</f>
        <v/>
      </c>
      <c r="AA990" s="39" t="str">
        <f aca="false">IF($F990="","",IF(AND($S990&lt;&gt;"",$L990&lt;&gt;"",$S990&lt;&gt;$L990),1,0))</f>
        <v/>
      </c>
      <c r="AB990" s="39" t="str">
        <f aca="false">IF($F990="","",IF($R990="Cancelada",0,IF(OR($AT990&lt;&gt;"",$R990="Concluída"),1,0)))</f>
        <v/>
      </c>
      <c r="AC990" s="39" t="n">
        <f aca="false">IF($P990="",0,IF($P990&lt;Hoje!$L$1,1,IF(AND($P990=Hoje!$L$1,Hoje!$L$2&gt;Semana!$M$3),1,0)))</f>
        <v>0</v>
      </c>
      <c r="AD990" s="39" t="str">
        <f aca="false">IF($F990="","",IF(COUNTA($I990:$K990)=0,0,1/COUNTA($I990:$K990)))</f>
        <v/>
      </c>
      <c r="AE990" s="39" t="str">
        <f aca="false">IF($AH990=0,"",SUM($AH$4:$AH990))</f>
        <v/>
      </c>
      <c r="AF990" s="39" t="str">
        <f aca="false">IF($AI990=0,"",SUM($AI$4:$AI990))</f>
        <v/>
      </c>
      <c r="AG990" s="50" t="str">
        <f aca="false">IF($F990="","",$I990&amp;IF($J990="",""," · "&amp;$J990)&amp;IF($K990="",""," · "&amp;$K990))</f>
        <v/>
      </c>
      <c r="AH990" s="39" t="n">
        <f aca="false">IF(AND($F990&lt;&gt;"",$O990&lt;&gt;"",$O990&lt;=Hoje!$C$3,$P990&gt;=Hoje!$C$3,$R990&lt;&gt;"Cancelada"),1,0)</f>
        <v>0</v>
      </c>
      <c r="AI990" s="39" t="n">
        <f aca="false">IF(AND($F990&lt;&gt;"",$P990&lt;&gt;"",$P990&lt;Hoje!$C$3,$AB990=0,$R990&lt;&gt;"Cancelada"),1,0)</f>
        <v>0</v>
      </c>
      <c r="AJ990" s="50" t="str">
        <f aca="false">IF($F990="","",$D990&amp;"|"&amp;$E990&amp;"|"&amp;$L990)</f>
        <v/>
      </c>
      <c r="AK990" s="39" t="str">
        <f aca="false">IF($AJ990="","",COUNTIF($AJ$4:$AJ990,$AJ990))</f>
        <v/>
      </c>
      <c r="AL990" s="39" t="str">
        <f aca="false">IF($AJ990="","",COUNTIF($AJ$4:$AJ$1004,$AJ990))</f>
        <v/>
      </c>
      <c r="AM990" s="42"/>
      <c r="AN990" s="50" t="str">
        <f aca="false">IF($D990="","",IFERROR(T(VLOOKUP($D990,Listas!$B$5:$H$120,7,0)),""))</f>
        <v/>
      </c>
      <c r="AO990" s="50" t="str">
        <f aca="false">IF(OR($F990="",$L990&lt;&gt;"",$R990="Cancelada",$AT990&lt;&gt;""),"",$AN990&amp;"|"&amp;$D990&amp;"|"&amp;IF($C990="","zzz",$C990)&amp;"|"&amp;TEXT(990,"0000"))</f>
        <v/>
      </c>
      <c r="AP990" s="50" t="str">
        <f aca="false">IF($AO990="","",COUNTIF($AO$5:$AO$1004,"&lt;"&amp;$AO990)-(ROWS($AO$5:$AO$1004)-Hoje!$L$5)+1)</f>
        <v/>
      </c>
      <c r="AQ990" s="50" t="n">
        <f aca="false">IF(AND($F990&lt;&gt;"",$D990=Frota!$C$3),1,0)</f>
        <v>0</v>
      </c>
      <c r="AR990" s="50" t="str">
        <f aca="false">IF($AQ990=0,"",SUM($AQ$4:$AQ990))</f>
        <v/>
      </c>
      <c r="AS990" s="50" t="str">
        <f aca="false">IFERROR(INDEX(Hoje!$K$10:$K$29,MATCH(ROW(),Hoje!$J$10:$J$29,0)),"")</f>
        <v/>
      </c>
      <c r="AT990" s="50" t="str">
        <f aca="false">IF($Q990&lt;&gt;"",$Q990,$AS990)</f>
        <v/>
      </c>
    </row>
    <row r="991" customFormat="false" ht="16.5" hidden="false" customHeight="true" outlineLevel="0" collapsed="false">
      <c r="A991" s="39" t="str">
        <f aca="false">IF($F991="","",ROW())</f>
        <v/>
      </c>
      <c r="B991" s="40" t="str">
        <f aca="false">IF($F991="",IF($D991="","","Falta a atividade"),IF($R991="Cancelada","Cancelada",IF($AB991=1,IF(N($Z991)&gt;0,"Concluída com atraso","Concluída"),IF($R991="Em programação","Em programação",IF($O991="",IF($M991="","Na carteira","Falta a semana"),IF($AC991=1,"VENCIDA",IF($O991&gt;Hoje!$L$1,"Programada",IF($P991&gt;Hoje!$L$1,"Em execução","Fecha hoje"))))))))</f>
        <v/>
      </c>
      <c r="C991" s="41"/>
      <c r="D991" s="42"/>
      <c r="E991" s="42"/>
      <c r="F991" s="42"/>
      <c r="G991" s="43"/>
      <c r="H991" s="43"/>
      <c r="I991" s="44"/>
      <c r="J991" s="44"/>
      <c r="K991" s="44"/>
      <c r="L991" s="45"/>
      <c r="M991" s="46"/>
      <c r="N991" s="45"/>
      <c r="O991" s="47" t="str">
        <f aca="false">IF(OR($L991="",$M991=""),"",(DATE(Semana!$J$3,1,4)-WEEKDAY(DATE(Semana!$J$3,1,4),3))+($L991-1)*7+MATCH($M991,Listas!$F$5:$F$11,0)-1)</f>
        <v/>
      </c>
      <c r="P991" s="47" t="str">
        <f aca="false">IF(OR($F991="",$O991=""),"",$O991+MAX(0,ROUNDUP($AK991*MAX(1,IF($N991="",1,$N991))/MAX(1,$AL991),0)-1))</f>
        <v/>
      </c>
      <c r="Q991" s="48"/>
      <c r="R991" s="43"/>
      <c r="S991" s="49"/>
      <c r="T991" s="42"/>
      <c r="U991" s="42"/>
      <c r="V991" s="39" t="str">
        <f aca="false">IF($F991="","",IF(ISNUMBER(SEARCH("(externo)",$I991&amp;$J991&amp;$K991)),"Terceirizada","Interna"))</f>
        <v/>
      </c>
      <c r="W991" s="47" t="str">
        <f aca="false">IF($O991="","",IF($S991="",$O991,(DATE(Semana!$J$3,1,4)-WEEKDAY(DATE(Semana!$J$3,1,4),3))+($S991-1)*7+IF($M991="",0,MATCH($M991,Listas!$F$5:$F$11,0)-1)))</f>
        <v/>
      </c>
      <c r="X991" s="39" t="str">
        <f aca="false">IF($F991="","",IF(OR($AT991="",$O991=""),0,IF($AT991&lt;=$O991,1,0)))</f>
        <v/>
      </c>
      <c r="Y991" s="39" t="str">
        <f aca="false">IF($F991="","",IF(OR($AT991="",$W991=""),0,IF($AT991&lt;=$W991,1,0)))</f>
        <v/>
      </c>
      <c r="Z991" s="39" t="str">
        <f aca="false">IF(OR($AT991="",$O991=""),"",MAX(0,$AT991-$O991))</f>
        <v/>
      </c>
      <c r="AA991" s="39" t="str">
        <f aca="false">IF($F991="","",IF(AND($S991&lt;&gt;"",$L991&lt;&gt;"",$S991&lt;&gt;$L991),1,0))</f>
        <v/>
      </c>
      <c r="AB991" s="39" t="str">
        <f aca="false">IF($F991="","",IF($R991="Cancelada",0,IF(OR($AT991&lt;&gt;"",$R991="Concluída"),1,0)))</f>
        <v/>
      </c>
      <c r="AC991" s="39" t="n">
        <f aca="false">IF($P991="",0,IF($P991&lt;Hoje!$L$1,1,IF(AND($P991=Hoje!$L$1,Hoje!$L$2&gt;Semana!$M$3),1,0)))</f>
        <v>0</v>
      </c>
      <c r="AD991" s="39" t="str">
        <f aca="false">IF($F991="","",IF(COUNTA($I991:$K991)=0,0,1/COUNTA($I991:$K991)))</f>
        <v/>
      </c>
      <c r="AE991" s="39" t="str">
        <f aca="false">IF($AH991=0,"",SUM($AH$4:$AH991))</f>
        <v/>
      </c>
      <c r="AF991" s="39" t="str">
        <f aca="false">IF($AI991=0,"",SUM($AI$4:$AI991))</f>
        <v/>
      </c>
      <c r="AG991" s="50" t="str">
        <f aca="false">IF($F991="","",$I991&amp;IF($J991="",""," · "&amp;$J991)&amp;IF($K991="",""," · "&amp;$K991))</f>
        <v/>
      </c>
      <c r="AH991" s="39" t="n">
        <f aca="false">IF(AND($F991&lt;&gt;"",$O991&lt;&gt;"",$O991&lt;=Hoje!$C$3,$P991&gt;=Hoje!$C$3,$R991&lt;&gt;"Cancelada"),1,0)</f>
        <v>0</v>
      </c>
      <c r="AI991" s="39" t="n">
        <f aca="false">IF(AND($F991&lt;&gt;"",$P991&lt;&gt;"",$P991&lt;Hoje!$C$3,$AB991=0,$R991&lt;&gt;"Cancelada"),1,0)</f>
        <v>0</v>
      </c>
      <c r="AJ991" s="50" t="str">
        <f aca="false">IF($F991="","",$D991&amp;"|"&amp;$E991&amp;"|"&amp;$L991)</f>
        <v/>
      </c>
      <c r="AK991" s="39" t="str">
        <f aca="false">IF($AJ991="","",COUNTIF($AJ$4:$AJ991,$AJ991))</f>
        <v/>
      </c>
      <c r="AL991" s="39" t="str">
        <f aca="false">IF($AJ991="","",COUNTIF($AJ$4:$AJ$1004,$AJ991))</f>
        <v/>
      </c>
      <c r="AM991" s="42"/>
      <c r="AN991" s="50" t="str">
        <f aca="false">IF($D991="","",IFERROR(T(VLOOKUP($D991,Listas!$B$5:$H$120,7,0)),""))</f>
        <v/>
      </c>
      <c r="AO991" s="50" t="str">
        <f aca="false">IF(OR($F991="",$L991&lt;&gt;"",$R991="Cancelada",$AT991&lt;&gt;""),"",$AN991&amp;"|"&amp;$D991&amp;"|"&amp;IF($C991="","zzz",$C991)&amp;"|"&amp;TEXT(991,"0000"))</f>
        <v/>
      </c>
      <c r="AP991" s="50" t="str">
        <f aca="false">IF($AO991="","",COUNTIF($AO$5:$AO$1004,"&lt;"&amp;$AO991)-(ROWS($AO$5:$AO$1004)-Hoje!$L$5)+1)</f>
        <v/>
      </c>
      <c r="AQ991" s="50" t="n">
        <f aca="false">IF(AND($F991&lt;&gt;"",$D991=Frota!$C$3),1,0)</f>
        <v>0</v>
      </c>
      <c r="AR991" s="50" t="str">
        <f aca="false">IF($AQ991=0,"",SUM($AQ$4:$AQ991))</f>
        <v/>
      </c>
      <c r="AS991" s="50" t="str">
        <f aca="false">IFERROR(INDEX(Hoje!$K$10:$K$29,MATCH(ROW(),Hoje!$J$10:$J$29,0)),"")</f>
        <v/>
      </c>
      <c r="AT991" s="50" t="str">
        <f aca="false">IF($Q991&lt;&gt;"",$Q991,$AS991)</f>
        <v/>
      </c>
    </row>
    <row r="992" customFormat="false" ht="16.5" hidden="false" customHeight="true" outlineLevel="0" collapsed="false">
      <c r="A992" s="39" t="str">
        <f aca="false">IF($F992="","",ROW())</f>
        <v/>
      </c>
      <c r="B992" s="40" t="str">
        <f aca="false">IF($F992="",IF($D992="","","Falta a atividade"),IF($R992="Cancelada","Cancelada",IF($AB992=1,IF(N($Z992)&gt;0,"Concluída com atraso","Concluída"),IF($R992="Em programação","Em programação",IF($O992="",IF($M992="","Na carteira","Falta a semana"),IF($AC992=1,"VENCIDA",IF($O992&gt;Hoje!$L$1,"Programada",IF($P992&gt;Hoje!$L$1,"Em execução","Fecha hoje"))))))))</f>
        <v/>
      </c>
      <c r="C992" s="41"/>
      <c r="D992" s="42"/>
      <c r="E992" s="42"/>
      <c r="F992" s="42"/>
      <c r="G992" s="43"/>
      <c r="H992" s="43"/>
      <c r="I992" s="44"/>
      <c r="J992" s="44"/>
      <c r="K992" s="44"/>
      <c r="L992" s="45"/>
      <c r="M992" s="46"/>
      <c r="N992" s="45"/>
      <c r="O992" s="47" t="str">
        <f aca="false">IF(OR($L992="",$M992=""),"",(DATE(Semana!$J$3,1,4)-WEEKDAY(DATE(Semana!$J$3,1,4),3))+($L992-1)*7+MATCH($M992,Listas!$F$5:$F$11,0)-1)</f>
        <v/>
      </c>
      <c r="P992" s="47" t="str">
        <f aca="false">IF(OR($F992="",$O992=""),"",$O992+MAX(0,ROUNDUP($AK992*MAX(1,IF($N992="",1,$N992))/MAX(1,$AL992),0)-1))</f>
        <v/>
      </c>
      <c r="Q992" s="48"/>
      <c r="R992" s="43"/>
      <c r="S992" s="49"/>
      <c r="T992" s="42"/>
      <c r="U992" s="42"/>
      <c r="V992" s="39" t="str">
        <f aca="false">IF($F992="","",IF(ISNUMBER(SEARCH("(externo)",$I992&amp;$J992&amp;$K992)),"Terceirizada","Interna"))</f>
        <v/>
      </c>
      <c r="W992" s="47" t="str">
        <f aca="false">IF($O992="","",IF($S992="",$O992,(DATE(Semana!$J$3,1,4)-WEEKDAY(DATE(Semana!$J$3,1,4),3))+($S992-1)*7+IF($M992="",0,MATCH($M992,Listas!$F$5:$F$11,0)-1)))</f>
        <v/>
      </c>
      <c r="X992" s="39" t="str">
        <f aca="false">IF($F992="","",IF(OR($AT992="",$O992=""),0,IF($AT992&lt;=$O992,1,0)))</f>
        <v/>
      </c>
      <c r="Y992" s="39" t="str">
        <f aca="false">IF($F992="","",IF(OR($AT992="",$W992=""),0,IF($AT992&lt;=$W992,1,0)))</f>
        <v/>
      </c>
      <c r="Z992" s="39" t="str">
        <f aca="false">IF(OR($AT992="",$O992=""),"",MAX(0,$AT992-$O992))</f>
        <v/>
      </c>
      <c r="AA992" s="39" t="str">
        <f aca="false">IF($F992="","",IF(AND($S992&lt;&gt;"",$L992&lt;&gt;"",$S992&lt;&gt;$L992),1,0))</f>
        <v/>
      </c>
      <c r="AB992" s="39" t="str">
        <f aca="false">IF($F992="","",IF($R992="Cancelada",0,IF(OR($AT992&lt;&gt;"",$R992="Concluída"),1,0)))</f>
        <v/>
      </c>
      <c r="AC992" s="39" t="n">
        <f aca="false">IF($P992="",0,IF($P992&lt;Hoje!$L$1,1,IF(AND($P992=Hoje!$L$1,Hoje!$L$2&gt;Semana!$M$3),1,0)))</f>
        <v>0</v>
      </c>
      <c r="AD992" s="39" t="str">
        <f aca="false">IF($F992="","",IF(COUNTA($I992:$K992)=0,0,1/COUNTA($I992:$K992)))</f>
        <v/>
      </c>
      <c r="AE992" s="39" t="str">
        <f aca="false">IF($AH992=0,"",SUM($AH$4:$AH992))</f>
        <v/>
      </c>
      <c r="AF992" s="39" t="str">
        <f aca="false">IF($AI992=0,"",SUM($AI$4:$AI992))</f>
        <v/>
      </c>
      <c r="AG992" s="50" t="str">
        <f aca="false">IF($F992="","",$I992&amp;IF($J992="",""," · "&amp;$J992)&amp;IF($K992="",""," · "&amp;$K992))</f>
        <v/>
      </c>
      <c r="AH992" s="39" t="n">
        <f aca="false">IF(AND($F992&lt;&gt;"",$O992&lt;&gt;"",$O992&lt;=Hoje!$C$3,$P992&gt;=Hoje!$C$3,$R992&lt;&gt;"Cancelada"),1,0)</f>
        <v>0</v>
      </c>
      <c r="AI992" s="39" t="n">
        <f aca="false">IF(AND($F992&lt;&gt;"",$P992&lt;&gt;"",$P992&lt;Hoje!$C$3,$AB992=0,$R992&lt;&gt;"Cancelada"),1,0)</f>
        <v>0</v>
      </c>
      <c r="AJ992" s="50" t="str">
        <f aca="false">IF($F992="","",$D992&amp;"|"&amp;$E992&amp;"|"&amp;$L992)</f>
        <v/>
      </c>
      <c r="AK992" s="39" t="str">
        <f aca="false">IF($AJ992="","",COUNTIF($AJ$4:$AJ992,$AJ992))</f>
        <v/>
      </c>
      <c r="AL992" s="39" t="str">
        <f aca="false">IF($AJ992="","",COUNTIF($AJ$4:$AJ$1004,$AJ992))</f>
        <v/>
      </c>
      <c r="AM992" s="42"/>
      <c r="AN992" s="50" t="str">
        <f aca="false">IF($D992="","",IFERROR(T(VLOOKUP($D992,Listas!$B$5:$H$120,7,0)),""))</f>
        <v/>
      </c>
      <c r="AO992" s="50" t="str">
        <f aca="false">IF(OR($F992="",$L992&lt;&gt;"",$R992="Cancelada",$AT992&lt;&gt;""),"",$AN992&amp;"|"&amp;$D992&amp;"|"&amp;IF($C992="","zzz",$C992)&amp;"|"&amp;TEXT(992,"0000"))</f>
        <v/>
      </c>
      <c r="AP992" s="50" t="str">
        <f aca="false">IF($AO992="","",COUNTIF($AO$5:$AO$1004,"&lt;"&amp;$AO992)-(ROWS($AO$5:$AO$1004)-Hoje!$L$5)+1)</f>
        <v/>
      </c>
      <c r="AQ992" s="50" t="n">
        <f aca="false">IF(AND($F992&lt;&gt;"",$D992=Frota!$C$3),1,0)</f>
        <v>0</v>
      </c>
      <c r="AR992" s="50" t="str">
        <f aca="false">IF($AQ992=0,"",SUM($AQ$4:$AQ992))</f>
        <v/>
      </c>
      <c r="AS992" s="50" t="str">
        <f aca="false">IFERROR(INDEX(Hoje!$K$10:$K$29,MATCH(ROW(),Hoje!$J$10:$J$29,0)),"")</f>
        <v/>
      </c>
      <c r="AT992" s="50" t="str">
        <f aca="false">IF($Q992&lt;&gt;"",$Q992,$AS992)</f>
        <v/>
      </c>
    </row>
    <row r="993" customFormat="false" ht="16.5" hidden="false" customHeight="true" outlineLevel="0" collapsed="false">
      <c r="A993" s="39" t="str">
        <f aca="false">IF($F993="","",ROW())</f>
        <v/>
      </c>
      <c r="B993" s="40" t="str">
        <f aca="false">IF($F993="",IF($D993="","","Falta a atividade"),IF($R993="Cancelada","Cancelada",IF($AB993=1,IF(N($Z993)&gt;0,"Concluída com atraso","Concluída"),IF($R993="Em programação","Em programação",IF($O993="",IF($M993="","Na carteira","Falta a semana"),IF($AC993=1,"VENCIDA",IF($O993&gt;Hoje!$L$1,"Programada",IF($P993&gt;Hoje!$L$1,"Em execução","Fecha hoje"))))))))</f>
        <v/>
      </c>
      <c r="C993" s="41"/>
      <c r="D993" s="42"/>
      <c r="E993" s="42"/>
      <c r="F993" s="42"/>
      <c r="G993" s="43"/>
      <c r="H993" s="43"/>
      <c r="I993" s="44"/>
      <c r="J993" s="44"/>
      <c r="K993" s="44"/>
      <c r="L993" s="45"/>
      <c r="M993" s="46"/>
      <c r="N993" s="45"/>
      <c r="O993" s="47" t="str">
        <f aca="false">IF(OR($L993="",$M993=""),"",(DATE(Semana!$J$3,1,4)-WEEKDAY(DATE(Semana!$J$3,1,4),3))+($L993-1)*7+MATCH($M993,Listas!$F$5:$F$11,0)-1)</f>
        <v/>
      </c>
      <c r="P993" s="47" t="str">
        <f aca="false">IF(OR($F993="",$O993=""),"",$O993+MAX(0,ROUNDUP($AK993*MAX(1,IF($N993="",1,$N993))/MAX(1,$AL993),0)-1))</f>
        <v/>
      </c>
      <c r="Q993" s="48"/>
      <c r="R993" s="43"/>
      <c r="S993" s="49"/>
      <c r="T993" s="42"/>
      <c r="U993" s="42"/>
      <c r="V993" s="39" t="str">
        <f aca="false">IF($F993="","",IF(ISNUMBER(SEARCH("(externo)",$I993&amp;$J993&amp;$K993)),"Terceirizada","Interna"))</f>
        <v/>
      </c>
      <c r="W993" s="47" t="str">
        <f aca="false">IF($O993="","",IF($S993="",$O993,(DATE(Semana!$J$3,1,4)-WEEKDAY(DATE(Semana!$J$3,1,4),3))+($S993-1)*7+IF($M993="",0,MATCH($M993,Listas!$F$5:$F$11,0)-1)))</f>
        <v/>
      </c>
      <c r="X993" s="39" t="str">
        <f aca="false">IF($F993="","",IF(OR($AT993="",$O993=""),0,IF($AT993&lt;=$O993,1,0)))</f>
        <v/>
      </c>
      <c r="Y993" s="39" t="str">
        <f aca="false">IF($F993="","",IF(OR($AT993="",$W993=""),0,IF($AT993&lt;=$W993,1,0)))</f>
        <v/>
      </c>
      <c r="Z993" s="39" t="str">
        <f aca="false">IF(OR($AT993="",$O993=""),"",MAX(0,$AT993-$O993))</f>
        <v/>
      </c>
      <c r="AA993" s="39" t="str">
        <f aca="false">IF($F993="","",IF(AND($S993&lt;&gt;"",$L993&lt;&gt;"",$S993&lt;&gt;$L993),1,0))</f>
        <v/>
      </c>
      <c r="AB993" s="39" t="str">
        <f aca="false">IF($F993="","",IF($R993="Cancelada",0,IF(OR($AT993&lt;&gt;"",$R993="Concluída"),1,0)))</f>
        <v/>
      </c>
      <c r="AC993" s="39" t="n">
        <f aca="false">IF($P993="",0,IF($P993&lt;Hoje!$L$1,1,IF(AND($P993=Hoje!$L$1,Hoje!$L$2&gt;Semana!$M$3),1,0)))</f>
        <v>0</v>
      </c>
      <c r="AD993" s="39" t="str">
        <f aca="false">IF($F993="","",IF(COUNTA($I993:$K993)=0,0,1/COUNTA($I993:$K993)))</f>
        <v/>
      </c>
      <c r="AE993" s="39" t="str">
        <f aca="false">IF($AH993=0,"",SUM($AH$4:$AH993))</f>
        <v/>
      </c>
      <c r="AF993" s="39" t="str">
        <f aca="false">IF($AI993=0,"",SUM($AI$4:$AI993))</f>
        <v/>
      </c>
      <c r="AG993" s="50" t="str">
        <f aca="false">IF($F993="","",$I993&amp;IF($J993="",""," · "&amp;$J993)&amp;IF($K993="",""," · "&amp;$K993))</f>
        <v/>
      </c>
      <c r="AH993" s="39" t="n">
        <f aca="false">IF(AND($F993&lt;&gt;"",$O993&lt;&gt;"",$O993&lt;=Hoje!$C$3,$P993&gt;=Hoje!$C$3,$R993&lt;&gt;"Cancelada"),1,0)</f>
        <v>0</v>
      </c>
      <c r="AI993" s="39" t="n">
        <f aca="false">IF(AND($F993&lt;&gt;"",$P993&lt;&gt;"",$P993&lt;Hoje!$C$3,$AB993=0,$R993&lt;&gt;"Cancelada"),1,0)</f>
        <v>0</v>
      </c>
      <c r="AJ993" s="50" t="str">
        <f aca="false">IF($F993="","",$D993&amp;"|"&amp;$E993&amp;"|"&amp;$L993)</f>
        <v/>
      </c>
      <c r="AK993" s="39" t="str">
        <f aca="false">IF($AJ993="","",COUNTIF($AJ$4:$AJ993,$AJ993))</f>
        <v/>
      </c>
      <c r="AL993" s="39" t="str">
        <f aca="false">IF($AJ993="","",COUNTIF($AJ$4:$AJ$1004,$AJ993))</f>
        <v/>
      </c>
      <c r="AM993" s="42"/>
      <c r="AN993" s="50" t="str">
        <f aca="false">IF($D993="","",IFERROR(T(VLOOKUP($D993,Listas!$B$5:$H$120,7,0)),""))</f>
        <v/>
      </c>
      <c r="AO993" s="50" t="str">
        <f aca="false">IF(OR($F993="",$L993&lt;&gt;"",$R993="Cancelada",$AT993&lt;&gt;""),"",$AN993&amp;"|"&amp;$D993&amp;"|"&amp;IF($C993="","zzz",$C993)&amp;"|"&amp;TEXT(993,"0000"))</f>
        <v/>
      </c>
      <c r="AP993" s="50" t="str">
        <f aca="false">IF($AO993="","",COUNTIF($AO$5:$AO$1004,"&lt;"&amp;$AO993)-(ROWS($AO$5:$AO$1004)-Hoje!$L$5)+1)</f>
        <v/>
      </c>
      <c r="AQ993" s="50" t="n">
        <f aca="false">IF(AND($F993&lt;&gt;"",$D993=Frota!$C$3),1,0)</f>
        <v>0</v>
      </c>
      <c r="AR993" s="50" t="str">
        <f aca="false">IF($AQ993=0,"",SUM($AQ$4:$AQ993))</f>
        <v/>
      </c>
      <c r="AS993" s="50" t="str">
        <f aca="false">IFERROR(INDEX(Hoje!$K$10:$K$29,MATCH(ROW(),Hoje!$J$10:$J$29,0)),"")</f>
        <v/>
      </c>
      <c r="AT993" s="50" t="str">
        <f aca="false">IF($Q993&lt;&gt;"",$Q993,$AS993)</f>
        <v/>
      </c>
    </row>
    <row r="994" customFormat="false" ht="16.5" hidden="false" customHeight="true" outlineLevel="0" collapsed="false">
      <c r="A994" s="39" t="str">
        <f aca="false">IF($F994="","",ROW())</f>
        <v/>
      </c>
      <c r="B994" s="40" t="str">
        <f aca="false">IF($F994="",IF($D994="","","Falta a atividade"),IF($R994="Cancelada","Cancelada",IF($AB994=1,IF(N($Z994)&gt;0,"Concluída com atraso","Concluída"),IF($R994="Em programação","Em programação",IF($O994="",IF($M994="","Na carteira","Falta a semana"),IF($AC994=1,"VENCIDA",IF($O994&gt;Hoje!$L$1,"Programada",IF($P994&gt;Hoje!$L$1,"Em execução","Fecha hoje"))))))))</f>
        <v/>
      </c>
      <c r="C994" s="41"/>
      <c r="D994" s="42"/>
      <c r="E994" s="42"/>
      <c r="F994" s="42"/>
      <c r="G994" s="43"/>
      <c r="H994" s="43"/>
      <c r="I994" s="44"/>
      <c r="J994" s="44"/>
      <c r="K994" s="44"/>
      <c r="L994" s="45"/>
      <c r="M994" s="46"/>
      <c r="N994" s="45"/>
      <c r="O994" s="47" t="str">
        <f aca="false">IF(OR($L994="",$M994=""),"",(DATE(Semana!$J$3,1,4)-WEEKDAY(DATE(Semana!$J$3,1,4),3))+($L994-1)*7+MATCH($M994,Listas!$F$5:$F$11,0)-1)</f>
        <v/>
      </c>
      <c r="P994" s="47" t="str">
        <f aca="false">IF(OR($F994="",$O994=""),"",$O994+MAX(0,ROUNDUP($AK994*MAX(1,IF($N994="",1,$N994))/MAX(1,$AL994),0)-1))</f>
        <v/>
      </c>
      <c r="Q994" s="48"/>
      <c r="R994" s="43"/>
      <c r="S994" s="49"/>
      <c r="T994" s="42"/>
      <c r="U994" s="42"/>
      <c r="V994" s="39" t="str">
        <f aca="false">IF($F994="","",IF(ISNUMBER(SEARCH("(externo)",$I994&amp;$J994&amp;$K994)),"Terceirizada","Interna"))</f>
        <v/>
      </c>
      <c r="W994" s="47" t="str">
        <f aca="false">IF($O994="","",IF($S994="",$O994,(DATE(Semana!$J$3,1,4)-WEEKDAY(DATE(Semana!$J$3,1,4),3))+($S994-1)*7+IF($M994="",0,MATCH($M994,Listas!$F$5:$F$11,0)-1)))</f>
        <v/>
      </c>
      <c r="X994" s="39" t="str">
        <f aca="false">IF($F994="","",IF(OR($AT994="",$O994=""),0,IF($AT994&lt;=$O994,1,0)))</f>
        <v/>
      </c>
      <c r="Y994" s="39" t="str">
        <f aca="false">IF($F994="","",IF(OR($AT994="",$W994=""),0,IF($AT994&lt;=$W994,1,0)))</f>
        <v/>
      </c>
      <c r="Z994" s="39" t="str">
        <f aca="false">IF(OR($AT994="",$O994=""),"",MAX(0,$AT994-$O994))</f>
        <v/>
      </c>
      <c r="AA994" s="39" t="str">
        <f aca="false">IF($F994="","",IF(AND($S994&lt;&gt;"",$L994&lt;&gt;"",$S994&lt;&gt;$L994),1,0))</f>
        <v/>
      </c>
      <c r="AB994" s="39" t="str">
        <f aca="false">IF($F994="","",IF($R994="Cancelada",0,IF(OR($AT994&lt;&gt;"",$R994="Concluída"),1,0)))</f>
        <v/>
      </c>
      <c r="AC994" s="39" t="n">
        <f aca="false">IF($P994="",0,IF($P994&lt;Hoje!$L$1,1,IF(AND($P994=Hoje!$L$1,Hoje!$L$2&gt;Semana!$M$3),1,0)))</f>
        <v>0</v>
      </c>
      <c r="AD994" s="39" t="str">
        <f aca="false">IF($F994="","",IF(COUNTA($I994:$K994)=0,0,1/COUNTA($I994:$K994)))</f>
        <v/>
      </c>
      <c r="AE994" s="39" t="str">
        <f aca="false">IF($AH994=0,"",SUM($AH$4:$AH994))</f>
        <v/>
      </c>
      <c r="AF994" s="39" t="str">
        <f aca="false">IF($AI994=0,"",SUM($AI$4:$AI994))</f>
        <v/>
      </c>
      <c r="AG994" s="50" t="str">
        <f aca="false">IF($F994="","",$I994&amp;IF($J994="",""," · "&amp;$J994)&amp;IF($K994="",""," · "&amp;$K994))</f>
        <v/>
      </c>
      <c r="AH994" s="39" t="n">
        <f aca="false">IF(AND($F994&lt;&gt;"",$O994&lt;&gt;"",$O994&lt;=Hoje!$C$3,$P994&gt;=Hoje!$C$3,$R994&lt;&gt;"Cancelada"),1,0)</f>
        <v>0</v>
      </c>
      <c r="AI994" s="39" t="n">
        <f aca="false">IF(AND($F994&lt;&gt;"",$P994&lt;&gt;"",$P994&lt;Hoje!$C$3,$AB994=0,$R994&lt;&gt;"Cancelada"),1,0)</f>
        <v>0</v>
      </c>
      <c r="AJ994" s="50" t="str">
        <f aca="false">IF($F994="","",$D994&amp;"|"&amp;$E994&amp;"|"&amp;$L994)</f>
        <v/>
      </c>
      <c r="AK994" s="39" t="str">
        <f aca="false">IF($AJ994="","",COUNTIF($AJ$4:$AJ994,$AJ994))</f>
        <v/>
      </c>
      <c r="AL994" s="39" t="str">
        <f aca="false">IF($AJ994="","",COUNTIF($AJ$4:$AJ$1004,$AJ994))</f>
        <v/>
      </c>
      <c r="AM994" s="42"/>
      <c r="AN994" s="50" t="str">
        <f aca="false">IF($D994="","",IFERROR(T(VLOOKUP($D994,Listas!$B$5:$H$120,7,0)),""))</f>
        <v/>
      </c>
      <c r="AO994" s="50" t="str">
        <f aca="false">IF(OR($F994="",$L994&lt;&gt;"",$R994="Cancelada",$AT994&lt;&gt;""),"",$AN994&amp;"|"&amp;$D994&amp;"|"&amp;IF($C994="","zzz",$C994)&amp;"|"&amp;TEXT(994,"0000"))</f>
        <v/>
      </c>
      <c r="AP994" s="50" t="str">
        <f aca="false">IF($AO994="","",COUNTIF($AO$5:$AO$1004,"&lt;"&amp;$AO994)-(ROWS($AO$5:$AO$1004)-Hoje!$L$5)+1)</f>
        <v/>
      </c>
      <c r="AQ994" s="50" t="n">
        <f aca="false">IF(AND($F994&lt;&gt;"",$D994=Frota!$C$3),1,0)</f>
        <v>0</v>
      </c>
      <c r="AR994" s="50" t="str">
        <f aca="false">IF($AQ994=0,"",SUM($AQ$4:$AQ994))</f>
        <v/>
      </c>
      <c r="AS994" s="50" t="str">
        <f aca="false">IFERROR(INDEX(Hoje!$K$10:$K$29,MATCH(ROW(),Hoje!$J$10:$J$29,0)),"")</f>
        <v/>
      </c>
      <c r="AT994" s="50" t="str">
        <f aca="false">IF($Q994&lt;&gt;"",$Q994,$AS994)</f>
        <v/>
      </c>
    </row>
    <row r="995" customFormat="false" ht="16.5" hidden="false" customHeight="true" outlineLevel="0" collapsed="false">
      <c r="A995" s="39" t="str">
        <f aca="false">IF($F995="","",ROW())</f>
        <v/>
      </c>
      <c r="B995" s="40" t="str">
        <f aca="false">IF($F995="",IF($D995="","","Falta a atividade"),IF($R995="Cancelada","Cancelada",IF($AB995=1,IF(N($Z995)&gt;0,"Concluída com atraso","Concluída"),IF($R995="Em programação","Em programação",IF($O995="",IF($M995="","Na carteira","Falta a semana"),IF($AC995=1,"VENCIDA",IF($O995&gt;Hoje!$L$1,"Programada",IF($P995&gt;Hoje!$L$1,"Em execução","Fecha hoje"))))))))</f>
        <v/>
      </c>
      <c r="C995" s="41"/>
      <c r="D995" s="42"/>
      <c r="E995" s="42"/>
      <c r="F995" s="42"/>
      <c r="G995" s="43"/>
      <c r="H995" s="43"/>
      <c r="I995" s="44"/>
      <c r="J995" s="44"/>
      <c r="K995" s="44"/>
      <c r="L995" s="45"/>
      <c r="M995" s="46"/>
      <c r="N995" s="45"/>
      <c r="O995" s="47" t="str">
        <f aca="false">IF(OR($L995="",$M995=""),"",(DATE(Semana!$J$3,1,4)-WEEKDAY(DATE(Semana!$J$3,1,4),3))+($L995-1)*7+MATCH($M995,Listas!$F$5:$F$11,0)-1)</f>
        <v/>
      </c>
      <c r="P995" s="47" t="str">
        <f aca="false">IF(OR($F995="",$O995=""),"",$O995+MAX(0,ROUNDUP($AK995*MAX(1,IF($N995="",1,$N995))/MAX(1,$AL995),0)-1))</f>
        <v/>
      </c>
      <c r="Q995" s="48"/>
      <c r="R995" s="43"/>
      <c r="S995" s="49"/>
      <c r="T995" s="42"/>
      <c r="U995" s="42"/>
      <c r="V995" s="39" t="str">
        <f aca="false">IF($F995="","",IF(ISNUMBER(SEARCH("(externo)",$I995&amp;$J995&amp;$K995)),"Terceirizada","Interna"))</f>
        <v/>
      </c>
      <c r="W995" s="47" t="str">
        <f aca="false">IF($O995="","",IF($S995="",$O995,(DATE(Semana!$J$3,1,4)-WEEKDAY(DATE(Semana!$J$3,1,4),3))+($S995-1)*7+IF($M995="",0,MATCH($M995,Listas!$F$5:$F$11,0)-1)))</f>
        <v/>
      </c>
      <c r="X995" s="39" t="str">
        <f aca="false">IF($F995="","",IF(OR($AT995="",$O995=""),0,IF($AT995&lt;=$O995,1,0)))</f>
        <v/>
      </c>
      <c r="Y995" s="39" t="str">
        <f aca="false">IF($F995="","",IF(OR($AT995="",$W995=""),0,IF($AT995&lt;=$W995,1,0)))</f>
        <v/>
      </c>
      <c r="Z995" s="39" t="str">
        <f aca="false">IF(OR($AT995="",$O995=""),"",MAX(0,$AT995-$O995))</f>
        <v/>
      </c>
      <c r="AA995" s="39" t="str">
        <f aca="false">IF($F995="","",IF(AND($S995&lt;&gt;"",$L995&lt;&gt;"",$S995&lt;&gt;$L995),1,0))</f>
        <v/>
      </c>
      <c r="AB995" s="39" t="str">
        <f aca="false">IF($F995="","",IF($R995="Cancelada",0,IF(OR($AT995&lt;&gt;"",$R995="Concluída"),1,0)))</f>
        <v/>
      </c>
      <c r="AC995" s="39" t="n">
        <f aca="false">IF($P995="",0,IF($P995&lt;Hoje!$L$1,1,IF(AND($P995=Hoje!$L$1,Hoje!$L$2&gt;Semana!$M$3),1,0)))</f>
        <v>0</v>
      </c>
      <c r="AD995" s="39" t="str">
        <f aca="false">IF($F995="","",IF(COUNTA($I995:$K995)=0,0,1/COUNTA($I995:$K995)))</f>
        <v/>
      </c>
      <c r="AE995" s="39" t="str">
        <f aca="false">IF($AH995=0,"",SUM($AH$4:$AH995))</f>
        <v/>
      </c>
      <c r="AF995" s="39" t="str">
        <f aca="false">IF($AI995=0,"",SUM($AI$4:$AI995))</f>
        <v/>
      </c>
      <c r="AG995" s="50" t="str">
        <f aca="false">IF($F995="","",$I995&amp;IF($J995="",""," · "&amp;$J995)&amp;IF($K995="",""," · "&amp;$K995))</f>
        <v/>
      </c>
      <c r="AH995" s="39" t="n">
        <f aca="false">IF(AND($F995&lt;&gt;"",$O995&lt;&gt;"",$O995&lt;=Hoje!$C$3,$P995&gt;=Hoje!$C$3,$R995&lt;&gt;"Cancelada"),1,0)</f>
        <v>0</v>
      </c>
      <c r="AI995" s="39" t="n">
        <f aca="false">IF(AND($F995&lt;&gt;"",$P995&lt;&gt;"",$P995&lt;Hoje!$C$3,$AB995=0,$R995&lt;&gt;"Cancelada"),1,0)</f>
        <v>0</v>
      </c>
      <c r="AJ995" s="50" t="str">
        <f aca="false">IF($F995="","",$D995&amp;"|"&amp;$E995&amp;"|"&amp;$L995)</f>
        <v/>
      </c>
      <c r="AK995" s="39" t="str">
        <f aca="false">IF($AJ995="","",COUNTIF($AJ$4:$AJ995,$AJ995))</f>
        <v/>
      </c>
      <c r="AL995" s="39" t="str">
        <f aca="false">IF($AJ995="","",COUNTIF($AJ$4:$AJ$1004,$AJ995))</f>
        <v/>
      </c>
      <c r="AM995" s="42"/>
      <c r="AN995" s="50" t="str">
        <f aca="false">IF($D995="","",IFERROR(T(VLOOKUP($D995,Listas!$B$5:$H$120,7,0)),""))</f>
        <v/>
      </c>
      <c r="AO995" s="50" t="str">
        <f aca="false">IF(OR($F995="",$L995&lt;&gt;"",$R995="Cancelada",$AT995&lt;&gt;""),"",$AN995&amp;"|"&amp;$D995&amp;"|"&amp;IF($C995="","zzz",$C995)&amp;"|"&amp;TEXT(995,"0000"))</f>
        <v/>
      </c>
      <c r="AP995" s="50" t="str">
        <f aca="false">IF($AO995="","",COUNTIF($AO$5:$AO$1004,"&lt;"&amp;$AO995)-(ROWS($AO$5:$AO$1004)-Hoje!$L$5)+1)</f>
        <v/>
      </c>
      <c r="AQ995" s="50" t="n">
        <f aca="false">IF(AND($F995&lt;&gt;"",$D995=Frota!$C$3),1,0)</f>
        <v>0</v>
      </c>
      <c r="AR995" s="50" t="str">
        <f aca="false">IF($AQ995=0,"",SUM($AQ$4:$AQ995))</f>
        <v/>
      </c>
      <c r="AS995" s="50" t="str">
        <f aca="false">IFERROR(INDEX(Hoje!$K$10:$K$29,MATCH(ROW(),Hoje!$J$10:$J$29,0)),"")</f>
        <v/>
      </c>
      <c r="AT995" s="50" t="str">
        <f aca="false">IF($Q995&lt;&gt;"",$Q995,$AS995)</f>
        <v/>
      </c>
    </row>
    <row r="996" customFormat="false" ht="16.5" hidden="false" customHeight="true" outlineLevel="0" collapsed="false">
      <c r="A996" s="39" t="str">
        <f aca="false">IF($F996="","",ROW())</f>
        <v/>
      </c>
      <c r="B996" s="40" t="str">
        <f aca="false">IF($F996="",IF($D996="","","Falta a atividade"),IF($R996="Cancelada","Cancelada",IF($AB996=1,IF(N($Z996)&gt;0,"Concluída com atraso","Concluída"),IF($R996="Em programação","Em programação",IF($O996="",IF($M996="","Na carteira","Falta a semana"),IF($AC996=1,"VENCIDA",IF($O996&gt;Hoje!$L$1,"Programada",IF($P996&gt;Hoje!$L$1,"Em execução","Fecha hoje"))))))))</f>
        <v/>
      </c>
      <c r="C996" s="41"/>
      <c r="D996" s="42"/>
      <c r="E996" s="42"/>
      <c r="F996" s="42"/>
      <c r="G996" s="43"/>
      <c r="H996" s="43"/>
      <c r="I996" s="44"/>
      <c r="J996" s="44"/>
      <c r="K996" s="44"/>
      <c r="L996" s="45"/>
      <c r="M996" s="46"/>
      <c r="N996" s="45"/>
      <c r="O996" s="47" t="str">
        <f aca="false">IF(OR($L996="",$M996=""),"",(DATE(Semana!$J$3,1,4)-WEEKDAY(DATE(Semana!$J$3,1,4),3))+($L996-1)*7+MATCH($M996,Listas!$F$5:$F$11,0)-1)</f>
        <v/>
      </c>
      <c r="P996" s="47" t="str">
        <f aca="false">IF(OR($F996="",$O996=""),"",$O996+MAX(0,ROUNDUP($AK996*MAX(1,IF($N996="",1,$N996))/MAX(1,$AL996),0)-1))</f>
        <v/>
      </c>
      <c r="Q996" s="48"/>
      <c r="R996" s="43"/>
      <c r="S996" s="49"/>
      <c r="T996" s="42"/>
      <c r="U996" s="42"/>
      <c r="V996" s="39" t="str">
        <f aca="false">IF($F996="","",IF(ISNUMBER(SEARCH("(externo)",$I996&amp;$J996&amp;$K996)),"Terceirizada","Interna"))</f>
        <v/>
      </c>
      <c r="W996" s="47" t="str">
        <f aca="false">IF($O996="","",IF($S996="",$O996,(DATE(Semana!$J$3,1,4)-WEEKDAY(DATE(Semana!$J$3,1,4),3))+($S996-1)*7+IF($M996="",0,MATCH($M996,Listas!$F$5:$F$11,0)-1)))</f>
        <v/>
      </c>
      <c r="X996" s="39" t="str">
        <f aca="false">IF($F996="","",IF(OR($AT996="",$O996=""),0,IF($AT996&lt;=$O996,1,0)))</f>
        <v/>
      </c>
      <c r="Y996" s="39" t="str">
        <f aca="false">IF($F996="","",IF(OR($AT996="",$W996=""),0,IF($AT996&lt;=$W996,1,0)))</f>
        <v/>
      </c>
      <c r="Z996" s="39" t="str">
        <f aca="false">IF(OR($AT996="",$O996=""),"",MAX(0,$AT996-$O996))</f>
        <v/>
      </c>
      <c r="AA996" s="39" t="str">
        <f aca="false">IF($F996="","",IF(AND($S996&lt;&gt;"",$L996&lt;&gt;"",$S996&lt;&gt;$L996),1,0))</f>
        <v/>
      </c>
      <c r="AB996" s="39" t="str">
        <f aca="false">IF($F996="","",IF($R996="Cancelada",0,IF(OR($AT996&lt;&gt;"",$R996="Concluída"),1,0)))</f>
        <v/>
      </c>
      <c r="AC996" s="39" t="n">
        <f aca="false">IF($P996="",0,IF($P996&lt;Hoje!$L$1,1,IF(AND($P996=Hoje!$L$1,Hoje!$L$2&gt;Semana!$M$3),1,0)))</f>
        <v>0</v>
      </c>
      <c r="AD996" s="39" t="str">
        <f aca="false">IF($F996="","",IF(COUNTA($I996:$K996)=0,0,1/COUNTA($I996:$K996)))</f>
        <v/>
      </c>
      <c r="AE996" s="39" t="str">
        <f aca="false">IF($AH996=0,"",SUM($AH$4:$AH996))</f>
        <v/>
      </c>
      <c r="AF996" s="39" t="str">
        <f aca="false">IF($AI996=0,"",SUM($AI$4:$AI996))</f>
        <v/>
      </c>
      <c r="AG996" s="50" t="str">
        <f aca="false">IF($F996="","",$I996&amp;IF($J996="",""," · "&amp;$J996)&amp;IF($K996="",""," · "&amp;$K996))</f>
        <v/>
      </c>
      <c r="AH996" s="39" t="n">
        <f aca="false">IF(AND($F996&lt;&gt;"",$O996&lt;&gt;"",$O996&lt;=Hoje!$C$3,$P996&gt;=Hoje!$C$3,$R996&lt;&gt;"Cancelada"),1,0)</f>
        <v>0</v>
      </c>
      <c r="AI996" s="39" t="n">
        <f aca="false">IF(AND($F996&lt;&gt;"",$P996&lt;&gt;"",$P996&lt;Hoje!$C$3,$AB996=0,$R996&lt;&gt;"Cancelada"),1,0)</f>
        <v>0</v>
      </c>
      <c r="AJ996" s="50" t="str">
        <f aca="false">IF($F996="","",$D996&amp;"|"&amp;$E996&amp;"|"&amp;$L996)</f>
        <v/>
      </c>
      <c r="AK996" s="39" t="str">
        <f aca="false">IF($AJ996="","",COUNTIF($AJ$4:$AJ996,$AJ996))</f>
        <v/>
      </c>
      <c r="AL996" s="39" t="str">
        <f aca="false">IF($AJ996="","",COUNTIF($AJ$4:$AJ$1004,$AJ996))</f>
        <v/>
      </c>
      <c r="AM996" s="42"/>
      <c r="AN996" s="50" t="str">
        <f aca="false">IF($D996="","",IFERROR(T(VLOOKUP($D996,Listas!$B$5:$H$120,7,0)),""))</f>
        <v/>
      </c>
      <c r="AO996" s="50" t="str">
        <f aca="false">IF(OR($F996="",$L996&lt;&gt;"",$R996="Cancelada",$AT996&lt;&gt;""),"",$AN996&amp;"|"&amp;$D996&amp;"|"&amp;IF($C996="","zzz",$C996)&amp;"|"&amp;TEXT(996,"0000"))</f>
        <v/>
      </c>
      <c r="AP996" s="50" t="str">
        <f aca="false">IF($AO996="","",COUNTIF($AO$5:$AO$1004,"&lt;"&amp;$AO996)-(ROWS($AO$5:$AO$1004)-Hoje!$L$5)+1)</f>
        <v/>
      </c>
      <c r="AQ996" s="50" t="n">
        <f aca="false">IF(AND($F996&lt;&gt;"",$D996=Frota!$C$3),1,0)</f>
        <v>0</v>
      </c>
      <c r="AR996" s="50" t="str">
        <f aca="false">IF($AQ996=0,"",SUM($AQ$4:$AQ996))</f>
        <v/>
      </c>
      <c r="AS996" s="50" t="str">
        <f aca="false">IFERROR(INDEX(Hoje!$K$10:$K$29,MATCH(ROW(),Hoje!$J$10:$J$29,0)),"")</f>
        <v/>
      </c>
      <c r="AT996" s="50" t="str">
        <f aca="false">IF($Q996&lt;&gt;"",$Q996,$AS996)</f>
        <v/>
      </c>
    </row>
    <row r="997" customFormat="false" ht="16.5" hidden="false" customHeight="true" outlineLevel="0" collapsed="false">
      <c r="A997" s="39" t="str">
        <f aca="false">IF($F997="","",ROW())</f>
        <v/>
      </c>
      <c r="B997" s="40" t="str">
        <f aca="false">IF($F997="",IF($D997="","","Falta a atividade"),IF($R997="Cancelada","Cancelada",IF($AB997=1,IF(N($Z997)&gt;0,"Concluída com atraso","Concluída"),IF($R997="Em programação","Em programação",IF($O997="",IF($M997="","Na carteira","Falta a semana"),IF($AC997=1,"VENCIDA",IF($O997&gt;Hoje!$L$1,"Programada",IF($P997&gt;Hoje!$L$1,"Em execução","Fecha hoje"))))))))</f>
        <v/>
      </c>
      <c r="C997" s="41"/>
      <c r="D997" s="42"/>
      <c r="E997" s="42"/>
      <c r="F997" s="42"/>
      <c r="G997" s="43"/>
      <c r="H997" s="43"/>
      <c r="I997" s="44"/>
      <c r="J997" s="44"/>
      <c r="K997" s="44"/>
      <c r="L997" s="45"/>
      <c r="M997" s="46"/>
      <c r="N997" s="45"/>
      <c r="O997" s="47" t="str">
        <f aca="false">IF(OR($L997="",$M997=""),"",(DATE(Semana!$J$3,1,4)-WEEKDAY(DATE(Semana!$J$3,1,4),3))+($L997-1)*7+MATCH($M997,Listas!$F$5:$F$11,0)-1)</f>
        <v/>
      </c>
      <c r="P997" s="47" t="str">
        <f aca="false">IF(OR($F997="",$O997=""),"",$O997+MAX(0,ROUNDUP($AK997*MAX(1,IF($N997="",1,$N997))/MAX(1,$AL997),0)-1))</f>
        <v/>
      </c>
      <c r="Q997" s="48"/>
      <c r="R997" s="43"/>
      <c r="S997" s="49"/>
      <c r="T997" s="42"/>
      <c r="U997" s="42"/>
      <c r="V997" s="39" t="str">
        <f aca="false">IF($F997="","",IF(ISNUMBER(SEARCH("(externo)",$I997&amp;$J997&amp;$K997)),"Terceirizada","Interna"))</f>
        <v/>
      </c>
      <c r="W997" s="47" t="str">
        <f aca="false">IF($O997="","",IF($S997="",$O997,(DATE(Semana!$J$3,1,4)-WEEKDAY(DATE(Semana!$J$3,1,4),3))+($S997-1)*7+IF($M997="",0,MATCH($M997,Listas!$F$5:$F$11,0)-1)))</f>
        <v/>
      </c>
      <c r="X997" s="39" t="str">
        <f aca="false">IF($F997="","",IF(OR($AT997="",$O997=""),0,IF($AT997&lt;=$O997,1,0)))</f>
        <v/>
      </c>
      <c r="Y997" s="39" t="str">
        <f aca="false">IF($F997="","",IF(OR($AT997="",$W997=""),0,IF($AT997&lt;=$W997,1,0)))</f>
        <v/>
      </c>
      <c r="Z997" s="39" t="str">
        <f aca="false">IF(OR($AT997="",$O997=""),"",MAX(0,$AT997-$O997))</f>
        <v/>
      </c>
      <c r="AA997" s="39" t="str">
        <f aca="false">IF($F997="","",IF(AND($S997&lt;&gt;"",$L997&lt;&gt;"",$S997&lt;&gt;$L997),1,0))</f>
        <v/>
      </c>
      <c r="AB997" s="39" t="str">
        <f aca="false">IF($F997="","",IF($R997="Cancelada",0,IF(OR($AT997&lt;&gt;"",$R997="Concluída"),1,0)))</f>
        <v/>
      </c>
      <c r="AC997" s="39" t="n">
        <f aca="false">IF($P997="",0,IF($P997&lt;Hoje!$L$1,1,IF(AND($P997=Hoje!$L$1,Hoje!$L$2&gt;Semana!$M$3),1,0)))</f>
        <v>0</v>
      </c>
      <c r="AD997" s="39" t="str">
        <f aca="false">IF($F997="","",IF(COUNTA($I997:$K997)=0,0,1/COUNTA($I997:$K997)))</f>
        <v/>
      </c>
      <c r="AE997" s="39" t="str">
        <f aca="false">IF($AH997=0,"",SUM($AH$4:$AH997))</f>
        <v/>
      </c>
      <c r="AF997" s="39" t="str">
        <f aca="false">IF($AI997=0,"",SUM($AI$4:$AI997))</f>
        <v/>
      </c>
      <c r="AG997" s="50" t="str">
        <f aca="false">IF($F997="","",$I997&amp;IF($J997="",""," · "&amp;$J997)&amp;IF($K997="",""," · "&amp;$K997))</f>
        <v/>
      </c>
      <c r="AH997" s="39" t="n">
        <f aca="false">IF(AND($F997&lt;&gt;"",$O997&lt;&gt;"",$O997&lt;=Hoje!$C$3,$P997&gt;=Hoje!$C$3,$R997&lt;&gt;"Cancelada"),1,0)</f>
        <v>0</v>
      </c>
      <c r="AI997" s="39" t="n">
        <f aca="false">IF(AND($F997&lt;&gt;"",$P997&lt;&gt;"",$P997&lt;Hoje!$C$3,$AB997=0,$R997&lt;&gt;"Cancelada"),1,0)</f>
        <v>0</v>
      </c>
      <c r="AJ997" s="50" t="str">
        <f aca="false">IF($F997="","",$D997&amp;"|"&amp;$E997&amp;"|"&amp;$L997)</f>
        <v/>
      </c>
      <c r="AK997" s="39" t="str">
        <f aca="false">IF($AJ997="","",COUNTIF($AJ$4:$AJ997,$AJ997))</f>
        <v/>
      </c>
      <c r="AL997" s="39" t="str">
        <f aca="false">IF($AJ997="","",COUNTIF($AJ$4:$AJ$1004,$AJ997))</f>
        <v/>
      </c>
      <c r="AM997" s="42"/>
      <c r="AN997" s="50" t="str">
        <f aca="false">IF($D997="","",IFERROR(T(VLOOKUP($D997,Listas!$B$5:$H$120,7,0)),""))</f>
        <v/>
      </c>
      <c r="AO997" s="50" t="str">
        <f aca="false">IF(OR($F997="",$L997&lt;&gt;"",$R997="Cancelada",$AT997&lt;&gt;""),"",$AN997&amp;"|"&amp;$D997&amp;"|"&amp;IF($C997="","zzz",$C997)&amp;"|"&amp;TEXT(997,"0000"))</f>
        <v/>
      </c>
      <c r="AP997" s="50" t="str">
        <f aca="false">IF($AO997="","",COUNTIF($AO$5:$AO$1004,"&lt;"&amp;$AO997)-(ROWS($AO$5:$AO$1004)-Hoje!$L$5)+1)</f>
        <v/>
      </c>
      <c r="AQ997" s="50" t="n">
        <f aca="false">IF(AND($F997&lt;&gt;"",$D997=Frota!$C$3),1,0)</f>
        <v>0</v>
      </c>
      <c r="AR997" s="50" t="str">
        <f aca="false">IF($AQ997=0,"",SUM($AQ$4:$AQ997))</f>
        <v/>
      </c>
      <c r="AS997" s="50" t="str">
        <f aca="false">IFERROR(INDEX(Hoje!$K$10:$K$29,MATCH(ROW(),Hoje!$J$10:$J$29,0)),"")</f>
        <v/>
      </c>
      <c r="AT997" s="50" t="str">
        <f aca="false">IF($Q997&lt;&gt;"",$Q997,$AS997)</f>
        <v/>
      </c>
    </row>
    <row r="998" customFormat="false" ht="16.5" hidden="false" customHeight="true" outlineLevel="0" collapsed="false">
      <c r="A998" s="39" t="str">
        <f aca="false">IF($F998="","",ROW())</f>
        <v/>
      </c>
      <c r="B998" s="40" t="str">
        <f aca="false">IF($F998="",IF($D998="","","Falta a atividade"),IF($R998="Cancelada","Cancelada",IF($AB998=1,IF(N($Z998)&gt;0,"Concluída com atraso","Concluída"),IF($R998="Em programação","Em programação",IF($O998="",IF($M998="","Na carteira","Falta a semana"),IF($AC998=1,"VENCIDA",IF($O998&gt;Hoje!$L$1,"Programada",IF($P998&gt;Hoje!$L$1,"Em execução","Fecha hoje"))))))))</f>
        <v/>
      </c>
      <c r="C998" s="41"/>
      <c r="D998" s="42"/>
      <c r="E998" s="42"/>
      <c r="F998" s="42"/>
      <c r="G998" s="43"/>
      <c r="H998" s="43"/>
      <c r="I998" s="44"/>
      <c r="J998" s="44"/>
      <c r="K998" s="44"/>
      <c r="L998" s="45"/>
      <c r="M998" s="46"/>
      <c r="N998" s="45"/>
      <c r="O998" s="47" t="str">
        <f aca="false">IF(OR($L998="",$M998=""),"",(DATE(Semana!$J$3,1,4)-WEEKDAY(DATE(Semana!$J$3,1,4),3))+($L998-1)*7+MATCH($M998,Listas!$F$5:$F$11,0)-1)</f>
        <v/>
      </c>
      <c r="P998" s="47" t="str">
        <f aca="false">IF(OR($F998="",$O998=""),"",$O998+MAX(0,ROUNDUP($AK998*MAX(1,IF($N998="",1,$N998))/MAX(1,$AL998),0)-1))</f>
        <v/>
      </c>
      <c r="Q998" s="48"/>
      <c r="R998" s="43"/>
      <c r="S998" s="49"/>
      <c r="T998" s="42"/>
      <c r="U998" s="42"/>
      <c r="V998" s="39" t="str">
        <f aca="false">IF($F998="","",IF(ISNUMBER(SEARCH("(externo)",$I998&amp;$J998&amp;$K998)),"Terceirizada","Interna"))</f>
        <v/>
      </c>
      <c r="W998" s="47" t="str">
        <f aca="false">IF($O998="","",IF($S998="",$O998,(DATE(Semana!$J$3,1,4)-WEEKDAY(DATE(Semana!$J$3,1,4),3))+($S998-1)*7+IF($M998="",0,MATCH($M998,Listas!$F$5:$F$11,0)-1)))</f>
        <v/>
      </c>
      <c r="X998" s="39" t="str">
        <f aca="false">IF($F998="","",IF(OR($AT998="",$O998=""),0,IF($AT998&lt;=$O998,1,0)))</f>
        <v/>
      </c>
      <c r="Y998" s="39" t="str">
        <f aca="false">IF($F998="","",IF(OR($AT998="",$W998=""),0,IF($AT998&lt;=$W998,1,0)))</f>
        <v/>
      </c>
      <c r="Z998" s="39" t="str">
        <f aca="false">IF(OR($AT998="",$O998=""),"",MAX(0,$AT998-$O998))</f>
        <v/>
      </c>
      <c r="AA998" s="39" t="str">
        <f aca="false">IF($F998="","",IF(AND($S998&lt;&gt;"",$L998&lt;&gt;"",$S998&lt;&gt;$L998),1,0))</f>
        <v/>
      </c>
      <c r="AB998" s="39" t="str">
        <f aca="false">IF($F998="","",IF($R998="Cancelada",0,IF(OR($AT998&lt;&gt;"",$R998="Concluída"),1,0)))</f>
        <v/>
      </c>
      <c r="AC998" s="39" t="n">
        <f aca="false">IF($P998="",0,IF($P998&lt;Hoje!$L$1,1,IF(AND($P998=Hoje!$L$1,Hoje!$L$2&gt;Semana!$M$3),1,0)))</f>
        <v>0</v>
      </c>
      <c r="AD998" s="39" t="str">
        <f aca="false">IF($F998="","",IF(COUNTA($I998:$K998)=0,0,1/COUNTA($I998:$K998)))</f>
        <v/>
      </c>
      <c r="AE998" s="39" t="str">
        <f aca="false">IF($AH998=0,"",SUM($AH$4:$AH998))</f>
        <v/>
      </c>
      <c r="AF998" s="39" t="str">
        <f aca="false">IF($AI998=0,"",SUM($AI$4:$AI998))</f>
        <v/>
      </c>
      <c r="AG998" s="50" t="str">
        <f aca="false">IF($F998="","",$I998&amp;IF($J998="",""," · "&amp;$J998)&amp;IF($K998="",""," · "&amp;$K998))</f>
        <v/>
      </c>
      <c r="AH998" s="39" t="n">
        <f aca="false">IF(AND($F998&lt;&gt;"",$O998&lt;&gt;"",$O998&lt;=Hoje!$C$3,$P998&gt;=Hoje!$C$3,$R998&lt;&gt;"Cancelada"),1,0)</f>
        <v>0</v>
      </c>
      <c r="AI998" s="39" t="n">
        <f aca="false">IF(AND($F998&lt;&gt;"",$P998&lt;&gt;"",$P998&lt;Hoje!$C$3,$AB998=0,$R998&lt;&gt;"Cancelada"),1,0)</f>
        <v>0</v>
      </c>
      <c r="AJ998" s="50" t="str">
        <f aca="false">IF($F998="","",$D998&amp;"|"&amp;$E998&amp;"|"&amp;$L998)</f>
        <v/>
      </c>
      <c r="AK998" s="39" t="str">
        <f aca="false">IF($AJ998="","",COUNTIF($AJ$4:$AJ998,$AJ998))</f>
        <v/>
      </c>
      <c r="AL998" s="39" t="str">
        <f aca="false">IF($AJ998="","",COUNTIF($AJ$4:$AJ$1004,$AJ998))</f>
        <v/>
      </c>
      <c r="AM998" s="42"/>
      <c r="AN998" s="50" t="str">
        <f aca="false">IF($D998="","",IFERROR(T(VLOOKUP($D998,Listas!$B$5:$H$120,7,0)),""))</f>
        <v/>
      </c>
      <c r="AO998" s="50" t="str">
        <f aca="false">IF(OR($F998="",$L998&lt;&gt;"",$R998="Cancelada",$AT998&lt;&gt;""),"",$AN998&amp;"|"&amp;$D998&amp;"|"&amp;IF($C998="","zzz",$C998)&amp;"|"&amp;TEXT(998,"0000"))</f>
        <v/>
      </c>
      <c r="AP998" s="50" t="str">
        <f aca="false">IF($AO998="","",COUNTIF($AO$5:$AO$1004,"&lt;"&amp;$AO998)-(ROWS($AO$5:$AO$1004)-Hoje!$L$5)+1)</f>
        <v/>
      </c>
      <c r="AQ998" s="50" t="n">
        <f aca="false">IF(AND($F998&lt;&gt;"",$D998=Frota!$C$3),1,0)</f>
        <v>0</v>
      </c>
      <c r="AR998" s="50" t="str">
        <f aca="false">IF($AQ998=0,"",SUM($AQ$4:$AQ998))</f>
        <v/>
      </c>
      <c r="AS998" s="50" t="str">
        <f aca="false">IFERROR(INDEX(Hoje!$K$10:$K$29,MATCH(ROW(),Hoje!$J$10:$J$29,0)),"")</f>
        <v/>
      </c>
      <c r="AT998" s="50" t="str">
        <f aca="false">IF($Q998&lt;&gt;"",$Q998,$AS998)</f>
        <v/>
      </c>
    </row>
    <row r="999" customFormat="false" ht="16.5" hidden="false" customHeight="true" outlineLevel="0" collapsed="false">
      <c r="A999" s="39" t="str">
        <f aca="false">IF($F999="","",ROW())</f>
        <v/>
      </c>
      <c r="B999" s="40" t="str">
        <f aca="false">IF($F999="",IF($D999="","","Falta a atividade"),IF($R999="Cancelada","Cancelada",IF($AB999=1,IF(N($Z999)&gt;0,"Concluída com atraso","Concluída"),IF($R999="Em programação","Em programação",IF($O999="",IF($M999="","Na carteira","Falta a semana"),IF($AC999=1,"VENCIDA",IF($O999&gt;Hoje!$L$1,"Programada",IF($P999&gt;Hoje!$L$1,"Em execução","Fecha hoje"))))))))</f>
        <v/>
      </c>
      <c r="C999" s="41"/>
      <c r="D999" s="42"/>
      <c r="E999" s="42"/>
      <c r="F999" s="42"/>
      <c r="G999" s="43"/>
      <c r="H999" s="43"/>
      <c r="I999" s="44"/>
      <c r="J999" s="44"/>
      <c r="K999" s="44"/>
      <c r="L999" s="45"/>
      <c r="M999" s="46"/>
      <c r="N999" s="45"/>
      <c r="O999" s="47" t="str">
        <f aca="false">IF(OR($L999="",$M999=""),"",(DATE(Semana!$J$3,1,4)-WEEKDAY(DATE(Semana!$J$3,1,4),3))+($L999-1)*7+MATCH($M999,Listas!$F$5:$F$11,0)-1)</f>
        <v/>
      </c>
      <c r="P999" s="47" t="str">
        <f aca="false">IF(OR($F999="",$O999=""),"",$O999+MAX(0,ROUNDUP($AK999*MAX(1,IF($N999="",1,$N999))/MAX(1,$AL999),0)-1))</f>
        <v/>
      </c>
      <c r="Q999" s="48"/>
      <c r="R999" s="43"/>
      <c r="S999" s="49"/>
      <c r="T999" s="42"/>
      <c r="U999" s="42"/>
      <c r="V999" s="39" t="str">
        <f aca="false">IF($F999="","",IF(ISNUMBER(SEARCH("(externo)",$I999&amp;$J999&amp;$K999)),"Terceirizada","Interna"))</f>
        <v/>
      </c>
      <c r="W999" s="47" t="str">
        <f aca="false">IF($O999="","",IF($S999="",$O999,(DATE(Semana!$J$3,1,4)-WEEKDAY(DATE(Semana!$J$3,1,4),3))+($S999-1)*7+IF($M999="",0,MATCH($M999,Listas!$F$5:$F$11,0)-1)))</f>
        <v/>
      </c>
      <c r="X999" s="39" t="str">
        <f aca="false">IF($F999="","",IF(OR($AT999="",$O999=""),0,IF($AT999&lt;=$O999,1,0)))</f>
        <v/>
      </c>
      <c r="Y999" s="39" t="str">
        <f aca="false">IF($F999="","",IF(OR($AT999="",$W999=""),0,IF($AT999&lt;=$W999,1,0)))</f>
        <v/>
      </c>
      <c r="Z999" s="39" t="str">
        <f aca="false">IF(OR($AT999="",$O999=""),"",MAX(0,$AT999-$O999))</f>
        <v/>
      </c>
      <c r="AA999" s="39" t="str">
        <f aca="false">IF($F999="","",IF(AND($S999&lt;&gt;"",$L999&lt;&gt;"",$S999&lt;&gt;$L999),1,0))</f>
        <v/>
      </c>
      <c r="AB999" s="39" t="str">
        <f aca="false">IF($F999="","",IF($R999="Cancelada",0,IF(OR($AT999&lt;&gt;"",$R999="Concluída"),1,0)))</f>
        <v/>
      </c>
      <c r="AC999" s="39" t="n">
        <f aca="false">IF($P999="",0,IF($P999&lt;Hoje!$L$1,1,IF(AND($P999=Hoje!$L$1,Hoje!$L$2&gt;Semana!$M$3),1,0)))</f>
        <v>0</v>
      </c>
      <c r="AD999" s="39" t="str">
        <f aca="false">IF($F999="","",IF(COUNTA($I999:$K999)=0,0,1/COUNTA($I999:$K999)))</f>
        <v/>
      </c>
      <c r="AE999" s="39" t="str">
        <f aca="false">IF($AH999=0,"",SUM($AH$4:$AH999))</f>
        <v/>
      </c>
      <c r="AF999" s="39" t="str">
        <f aca="false">IF($AI999=0,"",SUM($AI$4:$AI999))</f>
        <v/>
      </c>
      <c r="AG999" s="50" t="str">
        <f aca="false">IF($F999="","",$I999&amp;IF($J999="",""," · "&amp;$J999)&amp;IF($K999="",""," · "&amp;$K999))</f>
        <v/>
      </c>
      <c r="AH999" s="39" t="n">
        <f aca="false">IF(AND($F999&lt;&gt;"",$O999&lt;&gt;"",$O999&lt;=Hoje!$C$3,$P999&gt;=Hoje!$C$3,$R999&lt;&gt;"Cancelada"),1,0)</f>
        <v>0</v>
      </c>
      <c r="AI999" s="39" t="n">
        <f aca="false">IF(AND($F999&lt;&gt;"",$P999&lt;&gt;"",$P999&lt;Hoje!$C$3,$AB999=0,$R999&lt;&gt;"Cancelada"),1,0)</f>
        <v>0</v>
      </c>
      <c r="AJ999" s="50" t="str">
        <f aca="false">IF($F999="","",$D999&amp;"|"&amp;$E999&amp;"|"&amp;$L999)</f>
        <v/>
      </c>
      <c r="AK999" s="39" t="str">
        <f aca="false">IF($AJ999="","",COUNTIF($AJ$4:$AJ999,$AJ999))</f>
        <v/>
      </c>
      <c r="AL999" s="39" t="str">
        <f aca="false">IF($AJ999="","",COUNTIF($AJ$4:$AJ$1004,$AJ999))</f>
        <v/>
      </c>
      <c r="AM999" s="42"/>
      <c r="AN999" s="50" t="str">
        <f aca="false">IF($D999="","",IFERROR(T(VLOOKUP($D999,Listas!$B$5:$H$120,7,0)),""))</f>
        <v/>
      </c>
      <c r="AO999" s="50" t="str">
        <f aca="false">IF(OR($F999="",$L999&lt;&gt;"",$R999="Cancelada",$AT999&lt;&gt;""),"",$AN999&amp;"|"&amp;$D999&amp;"|"&amp;IF($C999="","zzz",$C999)&amp;"|"&amp;TEXT(999,"0000"))</f>
        <v/>
      </c>
      <c r="AP999" s="50" t="str">
        <f aca="false">IF($AO999="","",COUNTIF($AO$5:$AO$1004,"&lt;"&amp;$AO999)-(ROWS($AO$5:$AO$1004)-Hoje!$L$5)+1)</f>
        <v/>
      </c>
      <c r="AQ999" s="50" t="n">
        <f aca="false">IF(AND($F999&lt;&gt;"",$D999=Frota!$C$3),1,0)</f>
        <v>0</v>
      </c>
      <c r="AR999" s="50" t="str">
        <f aca="false">IF($AQ999=0,"",SUM($AQ$4:$AQ999))</f>
        <v/>
      </c>
      <c r="AS999" s="50" t="str">
        <f aca="false">IFERROR(INDEX(Hoje!$K$10:$K$29,MATCH(ROW(),Hoje!$J$10:$J$29,0)),"")</f>
        <v/>
      </c>
      <c r="AT999" s="50" t="str">
        <f aca="false">IF($Q999&lt;&gt;"",$Q999,$AS999)</f>
        <v/>
      </c>
    </row>
    <row r="1000" customFormat="false" ht="16.5" hidden="false" customHeight="true" outlineLevel="0" collapsed="false">
      <c r="A1000" s="39" t="str">
        <f aca="false">IF($F1000="","",ROW())</f>
        <v/>
      </c>
      <c r="B1000" s="40" t="str">
        <f aca="false">IF($F1000="",IF($D1000="","","Falta a atividade"),IF($R1000="Cancelada","Cancelada",IF($AB1000=1,IF(N($Z1000)&gt;0,"Concluída com atraso","Concluída"),IF($R1000="Em programação","Em programação",IF($O1000="",IF($M1000="","Na carteira","Falta a semana"),IF($AC1000=1,"VENCIDA",IF($O1000&gt;Hoje!$L$1,"Programada",IF($P1000&gt;Hoje!$L$1,"Em execução","Fecha hoje"))))))))</f>
        <v/>
      </c>
      <c r="C1000" s="41"/>
      <c r="D1000" s="42"/>
      <c r="E1000" s="42"/>
      <c r="F1000" s="42"/>
      <c r="G1000" s="43"/>
      <c r="H1000" s="43"/>
      <c r="I1000" s="44"/>
      <c r="J1000" s="44"/>
      <c r="K1000" s="44"/>
      <c r="L1000" s="45"/>
      <c r="M1000" s="46"/>
      <c r="N1000" s="45"/>
      <c r="O1000" s="47" t="str">
        <f aca="false">IF(OR($L1000="",$M1000=""),"",(DATE(Semana!$J$3,1,4)-WEEKDAY(DATE(Semana!$J$3,1,4),3))+($L1000-1)*7+MATCH($M1000,Listas!$F$5:$F$11,0)-1)</f>
        <v/>
      </c>
      <c r="P1000" s="47" t="str">
        <f aca="false">IF(OR($F1000="",$O1000=""),"",$O1000+MAX(0,ROUNDUP($AK1000*MAX(1,IF($N1000="",1,$N1000))/MAX(1,$AL1000),0)-1))</f>
        <v/>
      </c>
      <c r="Q1000" s="48"/>
      <c r="R1000" s="43"/>
      <c r="S1000" s="49"/>
      <c r="T1000" s="42"/>
      <c r="U1000" s="42"/>
      <c r="V1000" s="39" t="str">
        <f aca="false">IF($F1000="","",IF(ISNUMBER(SEARCH("(externo)",$I1000&amp;$J1000&amp;$K1000)),"Terceirizada","Interna"))</f>
        <v/>
      </c>
      <c r="W1000" s="47" t="str">
        <f aca="false">IF($O1000="","",IF($S1000="",$O1000,(DATE(Semana!$J$3,1,4)-WEEKDAY(DATE(Semana!$J$3,1,4),3))+($S1000-1)*7+IF($M1000="",0,MATCH($M1000,Listas!$F$5:$F$11,0)-1)))</f>
        <v/>
      </c>
      <c r="X1000" s="39" t="str">
        <f aca="false">IF($F1000="","",IF(OR($AT1000="",$O1000=""),0,IF($AT1000&lt;=$O1000,1,0)))</f>
        <v/>
      </c>
      <c r="Y1000" s="39" t="str">
        <f aca="false">IF($F1000="","",IF(OR($AT1000="",$W1000=""),0,IF($AT1000&lt;=$W1000,1,0)))</f>
        <v/>
      </c>
      <c r="Z1000" s="39" t="str">
        <f aca="false">IF(OR($AT1000="",$O1000=""),"",MAX(0,$AT1000-$O1000))</f>
        <v/>
      </c>
      <c r="AA1000" s="39" t="str">
        <f aca="false">IF($F1000="","",IF(AND($S1000&lt;&gt;"",$L1000&lt;&gt;"",$S1000&lt;&gt;$L1000),1,0))</f>
        <v/>
      </c>
      <c r="AB1000" s="39" t="str">
        <f aca="false">IF($F1000="","",IF($R1000="Cancelada",0,IF(OR($AT1000&lt;&gt;"",$R1000="Concluída"),1,0)))</f>
        <v/>
      </c>
      <c r="AC1000" s="39" t="n">
        <f aca="false">IF($P1000="",0,IF($P1000&lt;Hoje!$L$1,1,IF(AND($P1000=Hoje!$L$1,Hoje!$L$2&gt;Semana!$M$3),1,0)))</f>
        <v>0</v>
      </c>
      <c r="AD1000" s="39" t="str">
        <f aca="false">IF($F1000="","",IF(COUNTA($I1000:$K1000)=0,0,1/COUNTA($I1000:$K1000)))</f>
        <v/>
      </c>
      <c r="AE1000" s="39" t="str">
        <f aca="false">IF($AH1000=0,"",SUM($AH$4:$AH1000))</f>
        <v/>
      </c>
      <c r="AF1000" s="39" t="str">
        <f aca="false">IF($AI1000=0,"",SUM($AI$4:$AI1000))</f>
        <v/>
      </c>
      <c r="AG1000" s="50" t="str">
        <f aca="false">IF($F1000="","",$I1000&amp;IF($J1000="",""," · "&amp;$J1000)&amp;IF($K1000="",""," · "&amp;$K1000))</f>
        <v/>
      </c>
      <c r="AH1000" s="39" t="n">
        <f aca="false">IF(AND($F1000&lt;&gt;"",$O1000&lt;&gt;"",$O1000&lt;=Hoje!$C$3,$P1000&gt;=Hoje!$C$3,$R1000&lt;&gt;"Cancelada"),1,0)</f>
        <v>0</v>
      </c>
      <c r="AI1000" s="39" t="n">
        <f aca="false">IF(AND($F1000&lt;&gt;"",$P1000&lt;&gt;"",$P1000&lt;Hoje!$C$3,$AB1000=0,$R1000&lt;&gt;"Cancelada"),1,0)</f>
        <v>0</v>
      </c>
      <c r="AJ1000" s="50" t="str">
        <f aca="false">IF($F1000="","",$D1000&amp;"|"&amp;$E1000&amp;"|"&amp;$L1000)</f>
        <v/>
      </c>
      <c r="AK1000" s="39" t="str">
        <f aca="false">IF($AJ1000="","",COUNTIF($AJ$4:$AJ1000,$AJ1000))</f>
        <v/>
      </c>
      <c r="AL1000" s="39" t="str">
        <f aca="false">IF($AJ1000="","",COUNTIF($AJ$4:$AJ$1004,$AJ1000))</f>
        <v/>
      </c>
      <c r="AM1000" s="42"/>
      <c r="AN1000" s="50" t="str">
        <f aca="false">IF($D1000="","",IFERROR(T(VLOOKUP($D1000,Listas!$B$5:$H$120,7,0)),""))</f>
        <v/>
      </c>
      <c r="AO1000" s="50" t="str">
        <f aca="false">IF(OR($F1000="",$L1000&lt;&gt;"",$R1000="Cancelada",$AT1000&lt;&gt;""),"",$AN1000&amp;"|"&amp;$D1000&amp;"|"&amp;IF($C1000="","zzz",$C1000)&amp;"|"&amp;TEXT(1000,"0000"))</f>
        <v/>
      </c>
      <c r="AP1000" s="50" t="str">
        <f aca="false">IF($AO1000="","",COUNTIF($AO$5:$AO$1004,"&lt;"&amp;$AO1000)-(ROWS($AO$5:$AO$1004)-Hoje!$L$5)+1)</f>
        <v/>
      </c>
      <c r="AQ1000" s="50" t="n">
        <f aca="false">IF(AND($F1000&lt;&gt;"",$D1000=Frota!$C$3),1,0)</f>
        <v>0</v>
      </c>
      <c r="AR1000" s="50" t="str">
        <f aca="false">IF($AQ1000=0,"",SUM($AQ$4:$AQ1000))</f>
        <v/>
      </c>
      <c r="AS1000" s="50" t="str">
        <f aca="false">IFERROR(INDEX(Hoje!$K$10:$K$29,MATCH(ROW(),Hoje!$J$10:$J$29,0)),"")</f>
        <v/>
      </c>
      <c r="AT1000" s="50" t="str">
        <f aca="false">IF($Q1000&lt;&gt;"",$Q1000,$AS1000)</f>
        <v/>
      </c>
    </row>
    <row r="1001" customFormat="false" ht="16.5" hidden="false" customHeight="true" outlineLevel="0" collapsed="false">
      <c r="A1001" s="39" t="str">
        <f aca="false">IF($F1001="","",ROW())</f>
        <v/>
      </c>
      <c r="B1001" s="40" t="str">
        <f aca="false">IF($F1001="",IF($D1001="","","Falta a atividade"),IF($R1001="Cancelada","Cancelada",IF($AB1001=1,IF(N($Z1001)&gt;0,"Concluída com atraso","Concluída"),IF($R1001="Em programação","Em programação",IF($O1001="",IF($M1001="","Na carteira","Falta a semana"),IF($AC1001=1,"VENCIDA",IF($O1001&gt;Hoje!$L$1,"Programada",IF($P1001&gt;Hoje!$L$1,"Em execução","Fecha hoje"))))))))</f>
        <v/>
      </c>
      <c r="C1001" s="41"/>
      <c r="D1001" s="42"/>
      <c r="E1001" s="42"/>
      <c r="F1001" s="42"/>
      <c r="G1001" s="43"/>
      <c r="H1001" s="43"/>
      <c r="I1001" s="44"/>
      <c r="J1001" s="44"/>
      <c r="K1001" s="44"/>
      <c r="L1001" s="45"/>
      <c r="M1001" s="46"/>
      <c r="N1001" s="45"/>
      <c r="O1001" s="47" t="str">
        <f aca="false">IF(OR($L1001="",$M1001=""),"",(DATE(Semana!$J$3,1,4)-WEEKDAY(DATE(Semana!$J$3,1,4),3))+($L1001-1)*7+MATCH($M1001,Listas!$F$5:$F$11,0)-1)</f>
        <v/>
      </c>
      <c r="P1001" s="47" t="str">
        <f aca="false">IF(OR($F1001="",$O1001=""),"",$O1001+MAX(0,ROUNDUP($AK1001*MAX(1,IF($N1001="",1,$N1001))/MAX(1,$AL1001),0)-1))</f>
        <v/>
      </c>
      <c r="Q1001" s="48"/>
      <c r="R1001" s="43"/>
      <c r="S1001" s="49"/>
      <c r="T1001" s="42"/>
      <c r="U1001" s="42"/>
      <c r="V1001" s="39" t="str">
        <f aca="false">IF($F1001="","",IF(ISNUMBER(SEARCH("(externo)",$I1001&amp;$J1001&amp;$K1001)),"Terceirizada","Interna"))</f>
        <v/>
      </c>
      <c r="W1001" s="47" t="str">
        <f aca="false">IF($O1001="","",IF($S1001="",$O1001,(DATE(Semana!$J$3,1,4)-WEEKDAY(DATE(Semana!$J$3,1,4),3))+($S1001-1)*7+IF($M1001="",0,MATCH($M1001,Listas!$F$5:$F$11,0)-1)))</f>
        <v/>
      </c>
      <c r="X1001" s="39" t="str">
        <f aca="false">IF($F1001="","",IF(OR($AT1001="",$O1001=""),0,IF($AT1001&lt;=$O1001,1,0)))</f>
        <v/>
      </c>
      <c r="Y1001" s="39" t="str">
        <f aca="false">IF($F1001="","",IF(OR($AT1001="",$W1001=""),0,IF($AT1001&lt;=$W1001,1,0)))</f>
        <v/>
      </c>
      <c r="Z1001" s="39" t="str">
        <f aca="false">IF(OR($AT1001="",$O1001=""),"",MAX(0,$AT1001-$O1001))</f>
        <v/>
      </c>
      <c r="AA1001" s="39" t="str">
        <f aca="false">IF($F1001="","",IF(AND($S1001&lt;&gt;"",$L1001&lt;&gt;"",$S1001&lt;&gt;$L1001),1,0))</f>
        <v/>
      </c>
      <c r="AB1001" s="39" t="str">
        <f aca="false">IF($F1001="","",IF($R1001="Cancelada",0,IF(OR($AT1001&lt;&gt;"",$R1001="Concluída"),1,0)))</f>
        <v/>
      </c>
      <c r="AC1001" s="39" t="n">
        <f aca="false">IF($P1001="",0,IF($P1001&lt;Hoje!$L$1,1,IF(AND($P1001=Hoje!$L$1,Hoje!$L$2&gt;Semana!$M$3),1,0)))</f>
        <v>0</v>
      </c>
      <c r="AD1001" s="39" t="str">
        <f aca="false">IF($F1001="","",IF(COUNTA($I1001:$K1001)=0,0,1/COUNTA($I1001:$K1001)))</f>
        <v/>
      </c>
      <c r="AE1001" s="39" t="str">
        <f aca="false">IF($AH1001=0,"",SUM($AH$4:$AH1001))</f>
        <v/>
      </c>
      <c r="AF1001" s="39" t="str">
        <f aca="false">IF($AI1001=0,"",SUM($AI$4:$AI1001))</f>
        <v/>
      </c>
      <c r="AG1001" s="50" t="str">
        <f aca="false">IF($F1001="","",$I1001&amp;IF($J1001="",""," · "&amp;$J1001)&amp;IF($K1001="",""," · "&amp;$K1001))</f>
        <v/>
      </c>
      <c r="AH1001" s="39" t="n">
        <f aca="false">IF(AND($F1001&lt;&gt;"",$O1001&lt;&gt;"",$O1001&lt;=Hoje!$C$3,$P1001&gt;=Hoje!$C$3,$R1001&lt;&gt;"Cancelada"),1,0)</f>
        <v>0</v>
      </c>
      <c r="AI1001" s="39" t="n">
        <f aca="false">IF(AND($F1001&lt;&gt;"",$P1001&lt;&gt;"",$P1001&lt;Hoje!$C$3,$AB1001=0,$R1001&lt;&gt;"Cancelada"),1,0)</f>
        <v>0</v>
      </c>
      <c r="AJ1001" s="50" t="str">
        <f aca="false">IF($F1001="","",$D1001&amp;"|"&amp;$E1001&amp;"|"&amp;$L1001)</f>
        <v/>
      </c>
      <c r="AK1001" s="39" t="str">
        <f aca="false">IF($AJ1001="","",COUNTIF($AJ$4:$AJ1001,$AJ1001))</f>
        <v/>
      </c>
      <c r="AL1001" s="39" t="str">
        <f aca="false">IF($AJ1001="","",COUNTIF($AJ$4:$AJ$1004,$AJ1001))</f>
        <v/>
      </c>
      <c r="AM1001" s="42"/>
      <c r="AN1001" s="50" t="str">
        <f aca="false">IF($D1001="","",IFERROR(T(VLOOKUP($D1001,Listas!$B$5:$H$120,7,0)),""))</f>
        <v/>
      </c>
      <c r="AO1001" s="50" t="str">
        <f aca="false">IF(OR($F1001="",$L1001&lt;&gt;"",$R1001="Cancelada",$AT1001&lt;&gt;""),"",$AN1001&amp;"|"&amp;$D1001&amp;"|"&amp;IF($C1001="","zzz",$C1001)&amp;"|"&amp;TEXT(1001,"0000"))</f>
        <v/>
      </c>
      <c r="AP1001" s="50" t="str">
        <f aca="false">IF($AO1001="","",COUNTIF($AO$5:$AO$1004,"&lt;"&amp;$AO1001)-(ROWS($AO$5:$AO$1004)-Hoje!$L$5)+1)</f>
        <v/>
      </c>
      <c r="AQ1001" s="50" t="n">
        <f aca="false">IF(AND($F1001&lt;&gt;"",$D1001=Frota!$C$3),1,0)</f>
        <v>0</v>
      </c>
      <c r="AR1001" s="50" t="str">
        <f aca="false">IF($AQ1001=0,"",SUM($AQ$4:$AQ1001))</f>
        <v/>
      </c>
      <c r="AS1001" s="50" t="str">
        <f aca="false">IFERROR(INDEX(Hoje!$K$10:$K$29,MATCH(ROW(),Hoje!$J$10:$J$29,0)),"")</f>
        <v/>
      </c>
      <c r="AT1001" s="50" t="str">
        <f aca="false">IF($Q1001&lt;&gt;"",$Q1001,$AS1001)</f>
        <v/>
      </c>
    </row>
    <row r="1002" customFormat="false" ht="16.5" hidden="false" customHeight="true" outlineLevel="0" collapsed="false">
      <c r="A1002" s="39" t="str">
        <f aca="false">IF($F1002="","",ROW())</f>
        <v/>
      </c>
      <c r="B1002" s="40" t="str">
        <f aca="false">IF($F1002="",IF($D1002="","","Falta a atividade"),IF($R1002="Cancelada","Cancelada",IF($AB1002=1,IF(N($Z1002)&gt;0,"Concluída com atraso","Concluída"),IF($R1002="Em programação","Em programação",IF($O1002="",IF($M1002="","Na carteira","Falta a semana"),IF($AC1002=1,"VENCIDA",IF($O1002&gt;Hoje!$L$1,"Programada",IF($P1002&gt;Hoje!$L$1,"Em execução","Fecha hoje"))))))))</f>
        <v/>
      </c>
      <c r="C1002" s="41"/>
      <c r="D1002" s="42"/>
      <c r="E1002" s="42"/>
      <c r="F1002" s="42"/>
      <c r="G1002" s="43"/>
      <c r="H1002" s="43"/>
      <c r="I1002" s="44"/>
      <c r="J1002" s="44"/>
      <c r="K1002" s="44"/>
      <c r="L1002" s="45"/>
      <c r="M1002" s="46"/>
      <c r="N1002" s="45"/>
      <c r="O1002" s="47" t="str">
        <f aca="false">IF(OR($L1002="",$M1002=""),"",(DATE(Semana!$J$3,1,4)-WEEKDAY(DATE(Semana!$J$3,1,4),3))+($L1002-1)*7+MATCH($M1002,Listas!$F$5:$F$11,0)-1)</f>
        <v/>
      </c>
      <c r="P1002" s="47" t="str">
        <f aca="false">IF(OR($F1002="",$O1002=""),"",$O1002+MAX(0,ROUNDUP($AK1002*MAX(1,IF($N1002="",1,$N1002))/MAX(1,$AL1002),0)-1))</f>
        <v/>
      </c>
      <c r="Q1002" s="48"/>
      <c r="R1002" s="43"/>
      <c r="S1002" s="49"/>
      <c r="T1002" s="42"/>
      <c r="U1002" s="42"/>
      <c r="V1002" s="39" t="str">
        <f aca="false">IF($F1002="","",IF(ISNUMBER(SEARCH("(externo)",$I1002&amp;$J1002&amp;$K1002)),"Terceirizada","Interna"))</f>
        <v/>
      </c>
      <c r="W1002" s="47" t="str">
        <f aca="false">IF($O1002="","",IF($S1002="",$O1002,(DATE(Semana!$J$3,1,4)-WEEKDAY(DATE(Semana!$J$3,1,4),3))+($S1002-1)*7+IF($M1002="",0,MATCH($M1002,Listas!$F$5:$F$11,0)-1)))</f>
        <v/>
      </c>
      <c r="X1002" s="39" t="str">
        <f aca="false">IF($F1002="","",IF(OR($AT1002="",$O1002=""),0,IF($AT1002&lt;=$O1002,1,0)))</f>
        <v/>
      </c>
      <c r="Y1002" s="39" t="str">
        <f aca="false">IF($F1002="","",IF(OR($AT1002="",$W1002=""),0,IF($AT1002&lt;=$W1002,1,0)))</f>
        <v/>
      </c>
      <c r="Z1002" s="39" t="str">
        <f aca="false">IF(OR($AT1002="",$O1002=""),"",MAX(0,$AT1002-$O1002))</f>
        <v/>
      </c>
      <c r="AA1002" s="39" t="str">
        <f aca="false">IF($F1002="","",IF(AND($S1002&lt;&gt;"",$L1002&lt;&gt;"",$S1002&lt;&gt;$L1002),1,0))</f>
        <v/>
      </c>
      <c r="AB1002" s="39" t="str">
        <f aca="false">IF($F1002="","",IF($R1002="Cancelada",0,IF(OR($AT1002&lt;&gt;"",$R1002="Concluída"),1,0)))</f>
        <v/>
      </c>
      <c r="AC1002" s="39" t="n">
        <f aca="false">IF($P1002="",0,IF($P1002&lt;Hoje!$L$1,1,IF(AND($P1002=Hoje!$L$1,Hoje!$L$2&gt;Semana!$M$3),1,0)))</f>
        <v>0</v>
      </c>
      <c r="AD1002" s="39" t="str">
        <f aca="false">IF($F1002="","",IF(COUNTA($I1002:$K1002)=0,0,1/COUNTA($I1002:$K1002)))</f>
        <v/>
      </c>
      <c r="AE1002" s="39" t="str">
        <f aca="false">IF($AH1002=0,"",SUM($AH$4:$AH1002))</f>
        <v/>
      </c>
      <c r="AF1002" s="39" t="str">
        <f aca="false">IF($AI1002=0,"",SUM($AI$4:$AI1002))</f>
        <v/>
      </c>
      <c r="AG1002" s="50" t="str">
        <f aca="false">IF($F1002="","",$I1002&amp;IF($J1002="",""," · "&amp;$J1002)&amp;IF($K1002="",""," · "&amp;$K1002))</f>
        <v/>
      </c>
      <c r="AH1002" s="39" t="n">
        <f aca="false">IF(AND($F1002&lt;&gt;"",$O1002&lt;&gt;"",$O1002&lt;=Hoje!$C$3,$P1002&gt;=Hoje!$C$3,$R1002&lt;&gt;"Cancelada"),1,0)</f>
        <v>0</v>
      </c>
      <c r="AI1002" s="39" t="n">
        <f aca="false">IF(AND($F1002&lt;&gt;"",$P1002&lt;&gt;"",$P1002&lt;Hoje!$C$3,$AB1002=0,$R1002&lt;&gt;"Cancelada"),1,0)</f>
        <v>0</v>
      </c>
      <c r="AJ1002" s="50" t="str">
        <f aca="false">IF($F1002="","",$D1002&amp;"|"&amp;$E1002&amp;"|"&amp;$L1002)</f>
        <v/>
      </c>
      <c r="AK1002" s="39" t="str">
        <f aca="false">IF($AJ1002="","",COUNTIF($AJ$4:$AJ1002,$AJ1002))</f>
        <v/>
      </c>
      <c r="AL1002" s="39" t="str">
        <f aca="false">IF($AJ1002="","",COUNTIF($AJ$4:$AJ$1004,$AJ1002))</f>
        <v/>
      </c>
      <c r="AM1002" s="42"/>
      <c r="AN1002" s="50" t="str">
        <f aca="false">IF($D1002="","",IFERROR(T(VLOOKUP($D1002,Listas!$B$5:$H$120,7,0)),""))</f>
        <v/>
      </c>
      <c r="AO1002" s="50" t="str">
        <f aca="false">IF(OR($F1002="",$L1002&lt;&gt;"",$R1002="Cancelada",$AT1002&lt;&gt;""),"",$AN1002&amp;"|"&amp;$D1002&amp;"|"&amp;IF($C1002="","zzz",$C1002)&amp;"|"&amp;TEXT(1002,"0000"))</f>
        <v/>
      </c>
      <c r="AP1002" s="50" t="str">
        <f aca="false">IF($AO1002="","",COUNTIF($AO$5:$AO$1004,"&lt;"&amp;$AO1002)-(ROWS($AO$5:$AO$1004)-Hoje!$L$5)+1)</f>
        <v/>
      </c>
      <c r="AQ1002" s="50" t="n">
        <f aca="false">IF(AND($F1002&lt;&gt;"",$D1002=Frota!$C$3),1,0)</f>
        <v>0</v>
      </c>
      <c r="AR1002" s="50" t="str">
        <f aca="false">IF($AQ1002=0,"",SUM($AQ$4:$AQ1002))</f>
        <v/>
      </c>
      <c r="AS1002" s="50" t="str">
        <f aca="false">IFERROR(INDEX(Hoje!$K$10:$K$29,MATCH(ROW(),Hoje!$J$10:$J$29,0)),"")</f>
        <v/>
      </c>
      <c r="AT1002" s="50" t="str">
        <f aca="false">IF($Q1002&lt;&gt;"",$Q1002,$AS1002)</f>
        <v/>
      </c>
    </row>
    <row r="1003" customFormat="false" ht="16.5" hidden="false" customHeight="true" outlineLevel="0" collapsed="false">
      <c r="A1003" s="39" t="str">
        <f aca="false">IF($F1003="","",ROW())</f>
        <v/>
      </c>
      <c r="B1003" s="40" t="str">
        <f aca="false">IF($F1003="",IF($D1003="","","Falta a atividade"),IF($R1003="Cancelada","Cancelada",IF($AB1003=1,IF(N($Z1003)&gt;0,"Concluída com atraso","Concluída"),IF($R1003="Em programação","Em programação",IF($O1003="",IF($M1003="","Na carteira","Falta a semana"),IF($AC1003=1,"VENCIDA",IF($O1003&gt;Hoje!$L$1,"Programada",IF($P1003&gt;Hoje!$L$1,"Em execução","Fecha hoje"))))))))</f>
        <v/>
      </c>
      <c r="C1003" s="41"/>
      <c r="D1003" s="42"/>
      <c r="E1003" s="42"/>
      <c r="F1003" s="42"/>
      <c r="G1003" s="43"/>
      <c r="H1003" s="43"/>
      <c r="I1003" s="44"/>
      <c r="J1003" s="44"/>
      <c r="K1003" s="44"/>
      <c r="L1003" s="45"/>
      <c r="M1003" s="46"/>
      <c r="N1003" s="45"/>
      <c r="O1003" s="47" t="str">
        <f aca="false">IF(OR($L1003="",$M1003=""),"",(DATE(Semana!$J$3,1,4)-WEEKDAY(DATE(Semana!$J$3,1,4),3))+($L1003-1)*7+MATCH($M1003,Listas!$F$5:$F$11,0)-1)</f>
        <v/>
      </c>
      <c r="P1003" s="47" t="str">
        <f aca="false">IF(OR($F1003="",$O1003=""),"",$O1003+MAX(0,ROUNDUP($AK1003*MAX(1,IF($N1003="",1,$N1003))/MAX(1,$AL1003),0)-1))</f>
        <v/>
      </c>
      <c r="Q1003" s="48"/>
      <c r="R1003" s="43"/>
      <c r="S1003" s="49"/>
      <c r="T1003" s="42"/>
      <c r="U1003" s="42"/>
      <c r="V1003" s="39" t="str">
        <f aca="false">IF($F1003="","",IF(ISNUMBER(SEARCH("(externo)",$I1003&amp;$J1003&amp;$K1003)),"Terceirizada","Interna"))</f>
        <v/>
      </c>
      <c r="W1003" s="47" t="str">
        <f aca="false">IF($O1003="","",IF($S1003="",$O1003,(DATE(Semana!$J$3,1,4)-WEEKDAY(DATE(Semana!$J$3,1,4),3))+($S1003-1)*7+IF($M1003="",0,MATCH($M1003,Listas!$F$5:$F$11,0)-1)))</f>
        <v/>
      </c>
      <c r="X1003" s="39" t="str">
        <f aca="false">IF($F1003="","",IF(OR($AT1003="",$O1003=""),0,IF($AT1003&lt;=$O1003,1,0)))</f>
        <v/>
      </c>
      <c r="Y1003" s="39" t="str">
        <f aca="false">IF($F1003="","",IF(OR($AT1003="",$W1003=""),0,IF($AT1003&lt;=$W1003,1,0)))</f>
        <v/>
      </c>
      <c r="Z1003" s="39" t="str">
        <f aca="false">IF(OR($AT1003="",$O1003=""),"",MAX(0,$AT1003-$O1003))</f>
        <v/>
      </c>
      <c r="AA1003" s="39" t="str">
        <f aca="false">IF($F1003="","",IF(AND($S1003&lt;&gt;"",$L1003&lt;&gt;"",$S1003&lt;&gt;$L1003),1,0))</f>
        <v/>
      </c>
      <c r="AB1003" s="39" t="str">
        <f aca="false">IF($F1003="","",IF($R1003="Cancelada",0,IF(OR($AT1003&lt;&gt;"",$R1003="Concluída"),1,0)))</f>
        <v/>
      </c>
      <c r="AC1003" s="39" t="n">
        <f aca="false">IF($P1003="",0,IF($P1003&lt;Hoje!$L$1,1,IF(AND($P1003=Hoje!$L$1,Hoje!$L$2&gt;Semana!$M$3),1,0)))</f>
        <v>0</v>
      </c>
      <c r="AD1003" s="39" t="str">
        <f aca="false">IF($F1003="","",IF(COUNTA($I1003:$K1003)=0,0,1/COUNTA($I1003:$K1003)))</f>
        <v/>
      </c>
      <c r="AE1003" s="39" t="str">
        <f aca="false">IF($AH1003=0,"",SUM($AH$4:$AH1003))</f>
        <v/>
      </c>
      <c r="AF1003" s="39" t="str">
        <f aca="false">IF($AI1003=0,"",SUM($AI$4:$AI1003))</f>
        <v/>
      </c>
      <c r="AG1003" s="50" t="str">
        <f aca="false">IF($F1003="","",$I1003&amp;IF($J1003="",""," · "&amp;$J1003)&amp;IF($K1003="",""," · "&amp;$K1003))</f>
        <v/>
      </c>
      <c r="AH1003" s="39" t="n">
        <f aca="false">IF(AND($F1003&lt;&gt;"",$O1003&lt;&gt;"",$O1003&lt;=Hoje!$C$3,$P1003&gt;=Hoje!$C$3,$R1003&lt;&gt;"Cancelada"),1,0)</f>
        <v>0</v>
      </c>
      <c r="AI1003" s="39" t="n">
        <f aca="false">IF(AND($F1003&lt;&gt;"",$P1003&lt;&gt;"",$P1003&lt;Hoje!$C$3,$AB1003=0,$R1003&lt;&gt;"Cancelada"),1,0)</f>
        <v>0</v>
      </c>
      <c r="AJ1003" s="50" t="str">
        <f aca="false">IF($F1003="","",$D1003&amp;"|"&amp;$E1003&amp;"|"&amp;$L1003)</f>
        <v/>
      </c>
      <c r="AK1003" s="39" t="str">
        <f aca="false">IF($AJ1003="","",COUNTIF($AJ$4:$AJ1003,$AJ1003))</f>
        <v/>
      </c>
      <c r="AL1003" s="39" t="str">
        <f aca="false">IF($AJ1003="","",COUNTIF($AJ$4:$AJ$1004,$AJ1003))</f>
        <v/>
      </c>
      <c r="AM1003" s="42"/>
      <c r="AN1003" s="50" t="str">
        <f aca="false">IF($D1003="","",IFERROR(T(VLOOKUP($D1003,Listas!$B$5:$H$120,7,0)),""))</f>
        <v/>
      </c>
      <c r="AO1003" s="50" t="str">
        <f aca="false">IF(OR($F1003="",$L1003&lt;&gt;"",$R1003="Cancelada",$AT1003&lt;&gt;""),"",$AN1003&amp;"|"&amp;$D1003&amp;"|"&amp;IF($C1003="","zzz",$C1003)&amp;"|"&amp;TEXT(1003,"0000"))</f>
        <v/>
      </c>
      <c r="AP1003" s="50" t="str">
        <f aca="false">IF($AO1003="","",COUNTIF($AO$5:$AO$1004,"&lt;"&amp;$AO1003)-(ROWS($AO$5:$AO$1004)-Hoje!$L$5)+1)</f>
        <v/>
      </c>
      <c r="AQ1003" s="50" t="n">
        <f aca="false">IF(AND($F1003&lt;&gt;"",$D1003=Frota!$C$3),1,0)</f>
        <v>0</v>
      </c>
      <c r="AR1003" s="50" t="str">
        <f aca="false">IF($AQ1003=0,"",SUM($AQ$4:$AQ1003))</f>
        <v/>
      </c>
      <c r="AS1003" s="50" t="str">
        <f aca="false">IFERROR(INDEX(Hoje!$K$10:$K$29,MATCH(ROW(),Hoje!$J$10:$J$29,0)),"")</f>
        <v/>
      </c>
      <c r="AT1003" s="50" t="str">
        <f aca="false">IF($Q1003&lt;&gt;"",$Q1003,$AS1003)</f>
        <v/>
      </c>
    </row>
    <row r="1004" customFormat="false" ht="16.5" hidden="false" customHeight="true" outlineLevel="0" collapsed="false">
      <c r="A1004" s="39" t="str">
        <f aca="false">IF($F1004="","",ROW())</f>
        <v/>
      </c>
      <c r="B1004" s="40" t="str">
        <f aca="false">IF($F1004="",IF($D1004="","","Falta a atividade"),IF($R1004="Cancelada","Cancelada",IF($AB1004=1,IF(N($Z1004)&gt;0,"Concluída com atraso","Concluída"),IF($R1004="Em programação","Em programação",IF($O1004="",IF($M1004="","Na carteira","Falta a semana"),IF($AC1004=1,"VENCIDA",IF($O1004&gt;Hoje!$L$1,"Programada",IF($P1004&gt;Hoje!$L$1,"Em execução","Fecha hoje"))))))))</f>
        <v/>
      </c>
      <c r="C1004" s="41"/>
      <c r="D1004" s="42"/>
      <c r="E1004" s="42"/>
      <c r="F1004" s="42"/>
      <c r="G1004" s="43"/>
      <c r="H1004" s="43"/>
      <c r="I1004" s="44"/>
      <c r="J1004" s="44"/>
      <c r="K1004" s="44"/>
      <c r="L1004" s="45"/>
      <c r="M1004" s="46"/>
      <c r="N1004" s="45"/>
      <c r="O1004" s="47" t="str">
        <f aca="false">IF(OR($L1004="",$M1004=""),"",(DATE(Semana!$J$3,1,4)-WEEKDAY(DATE(Semana!$J$3,1,4),3))+($L1004-1)*7+MATCH($M1004,Listas!$F$5:$F$11,0)-1)</f>
        <v/>
      </c>
      <c r="P1004" s="47" t="str">
        <f aca="false">IF(OR($F1004="",$O1004=""),"",$O1004+MAX(0,ROUNDUP($AK1004*MAX(1,IF($N1004="",1,$N1004))/MAX(1,$AL1004),0)-1))</f>
        <v/>
      </c>
      <c r="Q1004" s="48"/>
      <c r="R1004" s="43"/>
      <c r="S1004" s="49"/>
      <c r="T1004" s="42"/>
      <c r="U1004" s="42"/>
      <c r="V1004" s="39" t="str">
        <f aca="false">IF($F1004="","",IF(ISNUMBER(SEARCH("(externo)",$I1004&amp;$J1004&amp;$K1004)),"Terceirizada","Interna"))</f>
        <v/>
      </c>
      <c r="W1004" s="47" t="str">
        <f aca="false">IF($O1004="","",IF($S1004="",$O1004,(DATE(Semana!$J$3,1,4)-WEEKDAY(DATE(Semana!$J$3,1,4),3))+($S1004-1)*7+IF($M1004="",0,MATCH($M1004,Listas!$F$5:$F$11,0)-1)))</f>
        <v/>
      </c>
      <c r="X1004" s="39" t="str">
        <f aca="false">IF($F1004="","",IF(OR($AT1004="",$O1004=""),0,IF($AT1004&lt;=$O1004,1,0)))</f>
        <v/>
      </c>
      <c r="Y1004" s="39" t="str">
        <f aca="false">IF($F1004="","",IF(OR($AT1004="",$W1004=""),0,IF($AT1004&lt;=$W1004,1,0)))</f>
        <v/>
      </c>
      <c r="Z1004" s="39" t="str">
        <f aca="false">IF(OR($AT1004="",$O1004=""),"",MAX(0,$AT1004-$O1004))</f>
        <v/>
      </c>
      <c r="AA1004" s="39" t="str">
        <f aca="false">IF($F1004="","",IF(AND($S1004&lt;&gt;"",$L1004&lt;&gt;"",$S1004&lt;&gt;$L1004),1,0))</f>
        <v/>
      </c>
      <c r="AB1004" s="39" t="str">
        <f aca="false">IF($F1004="","",IF($R1004="Cancelada",0,IF(OR($AT1004&lt;&gt;"",$R1004="Concluída"),1,0)))</f>
        <v/>
      </c>
      <c r="AC1004" s="39" t="n">
        <f aca="false">IF($P1004="",0,IF($P1004&lt;Hoje!$L$1,1,IF(AND($P1004=Hoje!$L$1,Hoje!$L$2&gt;Semana!$M$3),1,0)))</f>
        <v>0</v>
      </c>
      <c r="AD1004" s="39" t="str">
        <f aca="false">IF($F1004="","",IF(COUNTA($I1004:$K1004)=0,0,1/COUNTA($I1004:$K1004)))</f>
        <v/>
      </c>
      <c r="AE1004" s="39" t="str">
        <f aca="false">IF($AH1004=0,"",SUM($AH$4:$AH1004))</f>
        <v/>
      </c>
      <c r="AF1004" s="39" t="str">
        <f aca="false">IF($AI1004=0,"",SUM($AI$4:$AI1004))</f>
        <v/>
      </c>
      <c r="AG1004" s="50" t="str">
        <f aca="false">IF($F1004="","",$I1004&amp;IF($J1004="",""," · "&amp;$J1004)&amp;IF($K1004="",""," · "&amp;$K1004))</f>
        <v/>
      </c>
      <c r="AH1004" s="39" t="n">
        <f aca="false">IF(AND($F1004&lt;&gt;"",$O1004&lt;&gt;"",$O1004&lt;=Hoje!$C$3,$P1004&gt;=Hoje!$C$3,$R1004&lt;&gt;"Cancelada"),1,0)</f>
        <v>0</v>
      </c>
      <c r="AI1004" s="39" t="n">
        <f aca="false">IF(AND($F1004&lt;&gt;"",$P1004&lt;&gt;"",$P1004&lt;Hoje!$C$3,$AB1004=0,$R1004&lt;&gt;"Cancelada"),1,0)</f>
        <v>0</v>
      </c>
      <c r="AJ1004" s="50" t="str">
        <f aca="false">IF($F1004="","",$D1004&amp;"|"&amp;$E1004&amp;"|"&amp;$L1004)</f>
        <v/>
      </c>
      <c r="AK1004" s="39" t="str">
        <f aca="false">IF($AJ1004="","",COUNTIF($AJ$4:$AJ1004,$AJ1004))</f>
        <v/>
      </c>
      <c r="AL1004" s="39" t="str">
        <f aca="false">IF($AJ1004="","",COUNTIF($AJ$4:$AJ$1004,$AJ1004))</f>
        <v/>
      </c>
      <c r="AM1004" s="42"/>
      <c r="AN1004" s="50" t="str">
        <f aca="false">IF($D1004="","",IFERROR(T(VLOOKUP($D1004,Listas!$B$5:$H$120,7,0)),""))</f>
        <v/>
      </c>
      <c r="AO1004" s="50" t="str">
        <f aca="false">IF(OR($F1004="",$L1004&lt;&gt;"",$R1004="Cancelada",$AT1004&lt;&gt;""),"",$AN1004&amp;"|"&amp;$D1004&amp;"|"&amp;IF($C1004="","zzz",$C1004)&amp;"|"&amp;TEXT(1004,"0000"))</f>
        <v/>
      </c>
      <c r="AP1004" s="50" t="str">
        <f aca="false">IF($AO1004="","",COUNTIF($AO$5:$AO$1004,"&lt;"&amp;$AO1004)-(ROWS($AO$5:$AO$1004)-Hoje!$L$5)+1)</f>
        <v/>
      </c>
      <c r="AQ1004" s="50" t="n">
        <f aca="false">IF(AND($F1004&lt;&gt;"",$D1004=Frota!$C$3),1,0)</f>
        <v>0</v>
      </c>
      <c r="AR1004" s="50" t="str">
        <f aca="false">IF($AQ1004=0,"",SUM($AQ$4:$AQ1004))</f>
        <v/>
      </c>
      <c r="AS1004" s="50" t="str">
        <f aca="false">IFERROR(INDEX(Hoje!$K$10:$K$29,MATCH(ROW(),Hoje!$J$10:$J$29,0)),"")</f>
        <v/>
      </c>
      <c r="AT1004" s="50" t="str">
        <f aca="false">IF($Q1004&lt;&gt;"",$Q1004,$AS1004)</f>
        <v/>
      </c>
    </row>
  </sheetData>
  <autoFilter ref="A3:AT1004"/>
  <mergeCells count="9">
    <mergeCell ref="A1:AT1"/>
    <mergeCell ref="A2:B2"/>
    <mergeCell ref="C2:H2"/>
    <mergeCell ref="I2:K2"/>
    <mergeCell ref="L2:N2"/>
    <mergeCell ref="O2:P2"/>
    <mergeCell ref="Q2:U2"/>
    <mergeCell ref="V2:AL2"/>
    <mergeCell ref="AN2:AT2"/>
  </mergeCells>
  <conditionalFormatting sqref="B5:B1004">
    <cfRule type="expression" priority="2" aboveAverage="0" equalAverage="0" bottom="0" percent="0" rank="0" text="" dxfId="5">
      <formula>$B5="VENCIDA"</formula>
    </cfRule>
    <cfRule type="expression" priority="3" aboveAverage="0" equalAverage="0" bottom="0" percent="0" rank="0" text="" dxfId="4">
      <formula>$B5="Fecha hoje"</formula>
    </cfRule>
    <cfRule type="expression" priority="4" aboveAverage="0" equalAverage="0" bottom="0" percent="0" rank="0" text="" dxfId="6">
      <formula>$B5="Em execução"</formula>
    </cfRule>
    <cfRule type="expression" priority="5" aboveAverage="0" equalAverage="0" bottom="0" percent="0" rank="0" text="" dxfId="39">
      <formula>$B5="Falta a atividade"</formula>
    </cfRule>
    <cfRule type="expression" priority="6" aboveAverage="0" equalAverage="0" bottom="0" percent="0" rank="0" text="" dxfId="40">
      <formula>$B5="Falta a semana"</formula>
    </cfRule>
    <cfRule type="expression" priority="7" aboveAverage="0" equalAverage="0" bottom="0" percent="0" rank="0" text="" dxfId="3">
      <formula>$B5="Concluída"</formula>
    </cfRule>
    <cfRule type="expression" priority="8" aboveAverage="0" equalAverage="0" bottom="0" percent="0" rank="0" text="" dxfId="41">
      <formula>$B5="Concluída com atraso"</formula>
    </cfRule>
    <cfRule type="expression" priority="9" aboveAverage="0" equalAverage="0" bottom="0" percent="0" rank="0" text="" dxfId="6">
      <formula>$B5="Em programação"</formula>
    </cfRule>
    <cfRule type="expression" priority="10" aboveAverage="0" equalAverage="0" bottom="0" percent="0" rank="0" text="" dxfId="42">
      <formula>$B5="Programada"</formula>
    </cfRule>
    <cfRule type="expression" priority="11" aboveAverage="0" equalAverage="0" bottom="0" percent="0" rank="0" text="" dxfId="43">
      <formula>$B5="Na carteira"</formula>
    </cfRule>
    <cfRule type="expression" priority="12" aboveAverage="0" equalAverage="0" bottom="0" percent="0" rank="0" text="" dxfId="44">
      <formula>$B5="Cancelada"</formula>
    </cfRule>
  </conditionalFormatting>
  <conditionalFormatting sqref="C5:H1004">
    <cfRule type="expression" priority="13" aboveAverage="0" equalAverage="0" bottom="0" percent="0" rank="0" text="" dxfId="45">
      <formula>$B5="Cancelada"</formula>
    </cfRule>
  </conditionalFormatting>
  <conditionalFormatting sqref="H5:H1004">
    <cfRule type="expression" priority="14" aboveAverage="0" equalAverage="0" bottom="0" percent="0" rank="0" text="" dxfId="46">
      <formula>$H5="Extra"</formula>
    </cfRule>
  </conditionalFormatting>
  <conditionalFormatting sqref="C5:C1004">
    <cfRule type="expression" priority="15" aboveAverage="0" equalAverage="0" bottom="0" percent="0" rank="0" text="" dxfId="47">
      <formula>AND($F5&lt;&gt;"",$C5="")</formula>
    </cfRule>
    <cfRule type="expression" priority="16" aboveAverage="0" equalAverage="0" bottom="0" percent="0" rank="0" text="" dxfId="48">
      <formula>AND($F5&lt;&gt;"",$C5&lt;&gt;"")</formula>
    </cfRule>
  </conditionalFormatting>
  <conditionalFormatting sqref="O5:P1004">
    <cfRule type="expression" priority="17" aboveAverage="0" equalAverage="0" bottom="0" percent="0" rank="0" text="" dxfId="49">
      <formula>$B5="VENCIDA"</formula>
    </cfRule>
    <cfRule type="expression" priority="18" aboveAverage="0" equalAverage="0" bottom="0" percent="0" rank="0" text="" dxfId="50">
      <formula>$B5="Fecha hoje"</formula>
    </cfRule>
    <cfRule type="expression" priority="19" aboveAverage="0" equalAverage="0" bottom="0" percent="0" rank="0" text="" dxfId="51">
      <formula>$B5="Em execução"</formula>
    </cfRule>
  </conditionalFormatting>
  <conditionalFormatting sqref="Q5:Q1004">
    <cfRule type="expression" priority="20" aboveAverage="0" equalAverage="0" bottom="0" percent="0" rank="0" text="" dxfId="3">
      <formula>AND($Q5&lt;&gt;"",$F5&lt;&gt;"")</formula>
    </cfRule>
  </conditionalFormatting>
  <conditionalFormatting sqref="T5:T1004">
    <cfRule type="expression" priority="21" aboveAverage="0" equalAverage="0" bottom="0" percent="0" rank="0" text="" dxfId="52">
      <formula>$T5&lt;&gt;""</formula>
    </cfRule>
  </conditionalFormatting>
  <conditionalFormatting sqref="A5:AL1004">
    <cfRule type="expression" priority="22" aboveAverage="0" equalAverage="0" bottom="0" percent="0" rank="0" text="" dxfId="53">
      <formula>AND($F5&lt;&gt;"",$D5&amp;$E5&lt;&gt;$D4&amp;$E4)</formula>
    </cfRule>
  </conditionalFormatting>
  <dataValidations count="12">
    <dataValidation allowBlank="true" error="Esta frota ainda não está na aba Listas.&#10;&#10;Pode continuar — depois acrescente o nome lá para ela virar opção da caixa." errorStyle="warning" errorTitle="Frota nova" operator="between" showDropDown="false" showErrorMessage="true" showInputMessage="false" sqref="D5:D1004" type="list">
      <formula1>Listas!$B$5:$B$120</formula1>
      <formula2>0</formula2>
    </dataValidation>
    <dataValidation allowBlank="true" error="Escolha um tipo da aba Listas." errorStyle="stop" errorTitle="Tipo" operator="between" showDropDown="false" showErrorMessage="true" showInputMessage="false" sqref="G5:G1004" type="list">
      <formula1>Listas!$C$5:$C$120</formula1>
      <formula2>0</formula2>
    </dataValidation>
    <dataValidation allowBlank="true" error="Programada (estava no plano) ou Extra (entrou depois)." errorStyle="stop" errorTitle="Origem" operator="between" showDropDown="false" showErrorMessage="true" showInputMessage="false" sqref="H5:H1004" type="list">
      <formula1>"Programada,Extra"</formula1>
      <formula2>0</formula2>
    </dataValidation>
    <dataValidation allowBlank="true" error="Nome fora da lista.&#10;&#10;Pode continuar — depois acrescente na aba Listas." errorStyle="warning" errorTitle="Executante" operator="between" showDropDown="false" showErrorMessage="true" showInputMessage="false" sqref="I5:I1004" type="list">
      <formula1>Listas!$A$5:$A$120</formula1>
      <formula2>0</formula2>
    </dataValidation>
    <dataValidation allowBlank="true" error="Nome fora da lista.&#10;&#10;Pode continuar — depois acrescente na aba Listas." errorStyle="warning" errorTitle="Executante" operator="between" showDropDown="false" showErrorMessage="true" showInputMessage="false" sqref="J5:J1004" type="list">
      <formula1>Listas!$A$5:$A$120</formula1>
      <formula2>0</formula2>
    </dataValidation>
    <dataValidation allowBlank="true" error="Nome fora da lista.&#10;&#10;Pode continuar — depois acrescente na aba Listas." errorStyle="warning" errorTitle="Executante" operator="between" showDropDown="false" showErrorMessage="true" showInputMessage="false" sqref="K5:K1004" type="list">
      <formula1>Listas!$A$5:$A$120</formula1>
      <formula2>0</formula2>
    </dataValidation>
    <dataValidation allowBlank="true" error="Seg, Ter, Qua, Qui, Sex, Sáb ou Dom." errorStyle="stop" errorTitle="Dia" operator="between" showDropDown="false" showErrorMessage="true" showInputMessage="false" sqref="M5:M1004" type="list">
      <formula1>Listas!$F$5:$F$11</formula1>
      <formula2>0</formula2>
    </dataValidation>
    <dataValidation allowBlank="true" error="Deixe vazio (a situação sai sozinha), ou escolha: Programada / Em programação / Concluída / Cancelada." errorStyle="stop" errorTitle="Marcar" operator="between" showDropDown="false" showErrorMessage="true" showInputMessage="false" sqref="R5:R1004" type="list">
      <formula1>Listas!$D$5:$D$8</formula1>
      <formula2>0</formula2>
    </dataValidation>
    <dataValidation allowBlank="true" error="Escolha da aba Listas ou escreva o seu." errorStyle="warning" errorTitle="Motivo" operator="between" showDropDown="false" showErrorMessage="true" showInputMessage="false" sqref="T5:T1004" type="list">
      <formula1>Listas!$E$5:$E$120</formula1>
      <formula2>0</formula2>
    </dataValidation>
    <dataValidation allowBlank="true" error="P1 (faz primeiro), P2 ou P3. Deixe vazio quando não houver prioridade definida — vazio não é o mesmo que P3." errorStyle="warning" errorTitle="Prioridade" operator="between" showDropDown="false" showErrorMessage="true" showInputMessage="false" sqref="AM5:AM1004" type="list">
      <formula1>Listas!$G$5:$G$7</formula1>
      <formula2>0</formula2>
    </dataValidation>
    <dataValidation allowBlank="true" error="O número da semana vai de 1 a 53." errorStyle="stop" errorTitle="Semana" operator="between" showDropDown="false" showErrorMessage="true" showInputMessage="false" sqref="L5:L1004 S5:S1004" type="whole">
      <formula1>1</formula1>
      <formula2>53</formula2>
    </dataValidation>
    <dataValidation allowBlank="true" error="De 1 a 60 dias." errorStyle="stop" errorTitle="Dias previstos" operator="between" showDropDown="false" showErrorMessage="true" showInputMessage="false" sqref="N5:N1004" type="whole">
      <formula1>1</formula1>
      <formula2>60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H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52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7"/>
  </cols>
  <sheetData>
    <row r="1" customFormat="false" ht="30" hidden="false" customHeight="true" outlineLevel="0" collapsed="false">
      <c r="A1" s="1" t="s">
        <v>873</v>
      </c>
      <c r="B1" s="1"/>
      <c r="C1" s="1"/>
      <c r="D1" s="1"/>
      <c r="E1" s="1"/>
      <c r="F1" s="1"/>
      <c r="G1" s="1"/>
      <c r="H1" s="1"/>
    </row>
    <row r="4" customFormat="false" ht="21.75" hidden="false" customHeight="true" outlineLevel="0" collapsed="false">
      <c r="A4" s="12" t="s">
        <v>874</v>
      </c>
      <c r="B4" s="12"/>
      <c r="C4" s="12" t="s">
        <v>875</v>
      </c>
      <c r="D4" s="12"/>
      <c r="E4" s="12" t="s">
        <v>876</v>
      </c>
      <c r="F4" s="12"/>
      <c r="G4" s="12" t="s">
        <v>877</v>
      </c>
      <c r="H4" s="12"/>
    </row>
    <row r="5" customFormat="false" ht="27.75" hidden="false" customHeight="true" outlineLevel="0" collapsed="false">
      <c r="A5" s="51" t="n">
        <f aca="false">COUNT(Programação!$AP$5:$AP$1004)</f>
        <v>120</v>
      </c>
      <c r="B5" s="51"/>
      <c r="C5" s="52" t="n">
        <f aca="false">COUNT(Programação!$AP$5:$AP$1004)-COUNTIFS(Programação!$AP$5:$AP$1004,"&gt;0",Programação!$C$5:$C$1004,"&lt;&gt;")</f>
        <v>21</v>
      </c>
      <c r="D5" s="52"/>
      <c r="E5" s="53" t="n">
        <f aca="false">COUNTIFS(Programação!$AP$5:$AP$1004,"&gt;0",Programação!$C$5:$C$1004,"&lt;&gt;")</f>
        <v>99</v>
      </c>
      <c r="F5" s="53"/>
      <c r="G5" s="54" t="n">
        <f aca="false">COUNTIFS(Programação!$AP$5:$AP$1004,"&gt;0",Programação!$AM$5:$AM$1004,"P1")</f>
        <v>0</v>
      </c>
      <c r="H5" s="54"/>
    </row>
    <row r="6" customFormat="false" ht="19.5" hidden="false" customHeight="true" outlineLevel="0" collapsed="false">
      <c r="A6" s="18" t="s">
        <v>878</v>
      </c>
      <c r="B6" s="18"/>
      <c r="C6" s="18"/>
      <c r="D6" s="55" t="s">
        <v>879</v>
      </c>
      <c r="E6" s="55"/>
      <c r="F6" s="55"/>
      <c r="G6" s="55"/>
      <c r="H6" s="55"/>
    </row>
    <row r="7" customFormat="false" ht="15" hidden="false" customHeight="false" outlineLevel="0" collapsed="false">
      <c r="A7" s="20" t="s">
        <v>880</v>
      </c>
      <c r="B7" s="20" t="s">
        <v>37</v>
      </c>
      <c r="C7" s="20" t="s">
        <v>17</v>
      </c>
      <c r="D7" s="20" t="s">
        <v>69</v>
      </c>
      <c r="E7" s="20" t="s">
        <v>19</v>
      </c>
      <c r="F7" s="20" t="s">
        <v>38</v>
      </c>
      <c r="G7" s="20" t="s">
        <v>50</v>
      </c>
      <c r="H7" s="20" t="s">
        <v>25</v>
      </c>
    </row>
    <row r="8" customFormat="false" ht="15.75" hidden="false" customHeight="true" outlineLevel="0" collapsed="false">
      <c r="A8" s="22" t="str">
        <f aca="false">IF(COUNT(Programação!$AP$5:$AP$1004)&lt;1,"",IF(INDEX(Programação!$AM$5:$AM$1004,MATCH(1,Programação!$AP$5:$AP$1004,0))="","",INDEX(Programação!$AM$5:$AM$1004,MATCH(1,Programação!$AP$5:$AP$1004,0))))</f>
        <v/>
      </c>
      <c r="B8" s="22" t="str">
        <f aca="false">IF(COUNT(Programação!$AP$5:$AP$1004)&lt;1,"",IF(INDEX(Programação!$C$5:$C$1004,MATCH(1,Programação!$AP$5:$AP$1004,0))="","",INDEX(Programação!$C$5:$C$1004,MATCH(1,Programação!$AP$5:$AP$1004,0))))</f>
        <v>007305</v>
      </c>
      <c r="C8" s="22" t="str">
        <f aca="false">IF(COUNT(Programação!$AP$5:$AP$1004)&lt;1,"",IF(INDEX(Programação!$D$5:$D$1004,MATCH(1,Programação!$AP$5:$AP$1004,0))="","",INDEX(Programação!$D$5:$D$1004,MATCH(1,Programação!$AP$5:$AP$1004,0))))</f>
        <v>F-1038</v>
      </c>
      <c r="D8" s="22" t="str">
        <f aca="false">IF(COUNT(Programação!$AP$5:$AP$1004)&lt;1,"",IF(INDEX(Programação!$AN$5:$AN$1004,MATCH(1,Programação!$AP$5:$AP$1004,0))="","",INDEX(Programação!$AN$5:$AN$1004,MATCH(1,Programação!$AP$5:$AP$1004,0))))</f>
        <v/>
      </c>
      <c r="E8" s="24" t="str">
        <f aca="false">IF(COUNT(Programação!$AP$5:$AP$1004)&lt;1,"",IF(INDEX(Programação!$F$5:$F$1004,MATCH(1,Programação!$AP$5:$AP$1004,0))="","",INDEX(Programação!$F$5:$F$1004,MATCH(1,Programação!$AP$5:$AP$1004,0))))</f>
        <v>Substituir pneu 1º eixo LE</v>
      </c>
      <c r="F8" s="22" t="str">
        <f aca="false">IF(COUNT(Programação!$AP$5:$AP$1004)&lt;1,"",IF(INDEX(Programação!$G$5:$G$1004,MATCH(1,Programação!$AP$5:$AP$1004,0))="","",INDEX(Programação!$G$5:$G$1004,MATCH(1,Programação!$AP$5:$AP$1004,0))))</f>
        <v>Corretiva</v>
      </c>
      <c r="G8" s="24" t="str">
        <f aca="false">IF(COUNT(Programação!$AP$5:$AP$1004)&lt;1,"",IF(INDEX(Programação!$U$5:$U$1004,MATCH(1,Programação!$AP$5:$AP$1004,0))="","",INDEX(Programação!$U$5:$U$1004,MATCH(1,Programação!$AP$5:$AP$1004,0))))</f>
        <v>Apenas HH · devido desgaste</v>
      </c>
      <c r="H8" s="22" t="n">
        <f aca="false">IF(COUNT(Programação!$AP$5:$AP$1004)&lt;1,"",MATCH(1,Programação!$AP$5:$AP$1004,0)+4)</f>
        <v>194</v>
      </c>
    </row>
    <row r="9" customFormat="false" ht="15.75" hidden="false" customHeight="true" outlineLevel="0" collapsed="false">
      <c r="A9" s="22" t="str">
        <f aca="false">IF(COUNT(Programação!$AP$5:$AP$1004)&lt;2,"",IF(INDEX(Programação!$AM$5:$AM$1004,MATCH(2,Programação!$AP$5:$AP$1004,0))="","",INDEX(Programação!$AM$5:$AM$1004,MATCH(2,Programação!$AP$5:$AP$1004,0))))</f>
        <v/>
      </c>
      <c r="B9" s="22" t="str">
        <f aca="false">IF(COUNT(Programação!$AP$5:$AP$1004)&lt;2,"",IF(INDEX(Programação!$C$5:$C$1004,MATCH(2,Programação!$AP$5:$AP$1004,0))="","",INDEX(Programação!$C$5:$C$1004,MATCH(2,Programação!$AP$5:$AP$1004,0))))</f>
        <v>007306</v>
      </c>
      <c r="C9" s="22" t="str">
        <f aca="false">IF(COUNT(Programação!$AP$5:$AP$1004)&lt;2,"",IF(INDEX(Programação!$D$5:$D$1004,MATCH(2,Programação!$AP$5:$AP$1004,0))="","",INDEX(Programação!$D$5:$D$1004,MATCH(2,Programação!$AP$5:$AP$1004,0))))</f>
        <v>F-1038</v>
      </c>
      <c r="D9" s="22" t="str">
        <f aca="false">IF(COUNT(Programação!$AP$5:$AP$1004)&lt;2,"",IF(INDEX(Programação!$AN$5:$AN$1004,MATCH(2,Programação!$AP$5:$AP$1004,0))="","",INDEX(Programação!$AN$5:$AN$1004,MATCH(2,Programação!$AP$5:$AP$1004,0))))</f>
        <v/>
      </c>
      <c r="E9" s="24" t="str">
        <f aca="false">IF(COUNT(Programação!$AP$5:$AP$1004)&lt;2,"",IF(INDEX(Programação!$F$5:$F$1004,MATCH(2,Programação!$AP$5:$AP$1004,0))="","",INDEX(Programação!$F$5:$F$1004,MATCH(2,Programação!$AP$5:$AP$1004,0))))</f>
        <v>Lubrificar graxeiros da quinta roda entre os bitrens</v>
      </c>
      <c r="F9" s="22" t="str">
        <f aca="false">IF(COUNT(Programação!$AP$5:$AP$1004)&lt;2,"",IF(INDEX(Programação!$G$5:$G$1004,MATCH(2,Programação!$AP$5:$AP$1004,0))="","",INDEX(Programação!$G$5:$G$1004,MATCH(2,Programação!$AP$5:$AP$1004,0))))</f>
        <v>Corretiva</v>
      </c>
      <c r="G9" s="24" t="str">
        <f aca="false">IF(COUNT(Programação!$AP$5:$AP$1004)&lt;2,"",IF(INDEX(Programação!$U$5:$U$1004,MATCH(2,Programação!$AP$5:$AP$1004,0))="","",INDEX(Programação!$U$5:$U$1004,MATCH(2,Programação!$AP$5:$AP$1004,0))))</f>
        <v>Apenas HH</v>
      </c>
      <c r="H9" s="22" t="n">
        <f aca="false">IF(COUNT(Programação!$AP$5:$AP$1004)&lt;2,"",MATCH(2,Programação!$AP$5:$AP$1004,0)+4)</f>
        <v>195</v>
      </c>
    </row>
    <row r="10" customFormat="false" ht="15.75" hidden="false" customHeight="true" outlineLevel="0" collapsed="false">
      <c r="A10" s="22" t="str">
        <f aca="false">IF(COUNT(Programação!$AP$5:$AP$1004)&lt;3,"",IF(INDEX(Programação!$AM$5:$AM$1004,MATCH(3,Programação!$AP$5:$AP$1004,0))="","",INDEX(Programação!$AM$5:$AM$1004,MATCH(3,Programação!$AP$5:$AP$1004,0))))</f>
        <v/>
      </c>
      <c r="B10" s="22" t="str">
        <f aca="false">IF(COUNT(Programação!$AP$5:$AP$1004)&lt;3,"",IF(INDEX(Programação!$C$5:$C$1004,MATCH(3,Programação!$AP$5:$AP$1004,0))="","",INDEX(Programação!$C$5:$C$1004,MATCH(3,Programação!$AP$5:$AP$1004,0))))</f>
        <v>007307</v>
      </c>
      <c r="C10" s="22" t="str">
        <f aca="false">IF(COUNT(Programação!$AP$5:$AP$1004)&lt;3,"",IF(INDEX(Programação!$D$5:$D$1004,MATCH(3,Programação!$AP$5:$AP$1004,0))="","",INDEX(Programação!$D$5:$D$1004,MATCH(3,Programação!$AP$5:$AP$1004,0))))</f>
        <v>F-1038</v>
      </c>
      <c r="D10" s="22" t="str">
        <f aca="false">IF(COUNT(Programação!$AP$5:$AP$1004)&lt;3,"",IF(INDEX(Programação!$AN$5:$AN$1004,MATCH(3,Programação!$AP$5:$AP$1004,0))="","",INDEX(Programação!$AN$5:$AN$1004,MATCH(3,Programação!$AP$5:$AP$1004,0))))</f>
        <v/>
      </c>
      <c r="E10" s="24" t="str">
        <f aca="false">IF(COUNT(Programação!$AP$5:$AP$1004)&lt;3,"",IF(INDEX(Programação!$F$5:$F$1004,MATCH(3,Programação!$AP$5:$AP$1004,0))="","",INDEX(Programação!$F$5:$F$1004,MATCH(3,Programação!$AP$5:$AP$1004,0))))</f>
        <v>Corrigir trinca no lastro</v>
      </c>
      <c r="F10" s="22" t="str">
        <f aca="false">IF(COUNT(Programação!$AP$5:$AP$1004)&lt;3,"",IF(INDEX(Programação!$G$5:$G$1004,MATCH(3,Programação!$AP$5:$AP$1004,0))="","",INDEX(Programação!$G$5:$G$1004,MATCH(3,Programação!$AP$5:$AP$1004,0))))</f>
        <v>Corretiva</v>
      </c>
      <c r="G10" s="24" t="str">
        <f aca="false">IF(COUNT(Programação!$AP$5:$AP$1004)&lt;3,"",IF(INDEX(Programação!$U$5:$U$1004,MATCH(3,Programação!$AP$5:$AP$1004,0))="","",INDEX(Programação!$U$5:$U$1004,MATCH(3,Programação!$AP$5:$AP$1004,0))))</f>
        <v>Apenas HH</v>
      </c>
      <c r="H10" s="22" t="n">
        <f aca="false">IF(COUNT(Programação!$AP$5:$AP$1004)&lt;3,"",MATCH(3,Programação!$AP$5:$AP$1004,0)+4)</f>
        <v>196</v>
      </c>
    </row>
    <row r="11" customFormat="false" ht="15.75" hidden="false" customHeight="true" outlineLevel="0" collapsed="false">
      <c r="A11" s="22" t="str">
        <f aca="false">IF(COUNT(Programação!$AP$5:$AP$1004)&lt;4,"",IF(INDEX(Programação!$AM$5:$AM$1004,MATCH(4,Programação!$AP$5:$AP$1004,0))="","",INDEX(Programação!$AM$5:$AM$1004,MATCH(4,Programação!$AP$5:$AP$1004,0))))</f>
        <v/>
      </c>
      <c r="B11" s="22" t="str">
        <f aca="false">IF(COUNT(Programação!$AP$5:$AP$1004)&lt;4,"",IF(INDEX(Programação!$C$5:$C$1004,MATCH(4,Programação!$AP$5:$AP$1004,0))="","",INDEX(Programação!$C$5:$C$1004,MATCH(4,Programação!$AP$5:$AP$1004,0))))</f>
        <v>007308</v>
      </c>
      <c r="C11" s="22" t="str">
        <f aca="false">IF(COUNT(Programação!$AP$5:$AP$1004)&lt;4,"",IF(INDEX(Programação!$D$5:$D$1004,MATCH(4,Programação!$AP$5:$AP$1004,0))="","",INDEX(Programação!$D$5:$D$1004,MATCH(4,Programação!$AP$5:$AP$1004,0))))</f>
        <v>F-1038</v>
      </c>
      <c r="D11" s="22" t="str">
        <f aca="false">IF(COUNT(Programação!$AP$5:$AP$1004)&lt;4,"",IF(INDEX(Programação!$AN$5:$AN$1004,MATCH(4,Programação!$AP$5:$AP$1004,0))="","",INDEX(Programação!$AN$5:$AN$1004,MATCH(4,Programação!$AP$5:$AP$1004,0))))</f>
        <v/>
      </c>
      <c r="E11" s="24" t="str">
        <f aca="false">IF(COUNT(Programação!$AP$5:$AP$1004)&lt;4,"",IF(INDEX(Programação!$F$5:$F$1004,MATCH(4,Programação!$AP$5:$AP$1004,0))="","",INDEX(Programação!$F$5:$F$1004,MATCH(4,Programação!$AP$5:$AP$1004,0))))</f>
        <v>Reapertar parafusos da tampa do cubo 1º eixo LD</v>
      </c>
      <c r="F11" s="22" t="str">
        <f aca="false">IF(COUNT(Programação!$AP$5:$AP$1004)&lt;4,"",IF(INDEX(Programação!$G$5:$G$1004,MATCH(4,Programação!$AP$5:$AP$1004,0))="","",INDEX(Programação!$G$5:$G$1004,MATCH(4,Programação!$AP$5:$AP$1004,0))))</f>
        <v>Corretiva</v>
      </c>
      <c r="G11" s="24" t="str">
        <f aca="false">IF(COUNT(Programação!$AP$5:$AP$1004)&lt;4,"",IF(INDEX(Programação!$U$5:$U$1004,MATCH(4,Programação!$AP$5:$AP$1004,0))="","",INDEX(Programação!$U$5:$U$1004,MATCH(4,Programação!$AP$5:$AP$1004,0))))</f>
        <v>Apenas HH</v>
      </c>
      <c r="H11" s="22" t="n">
        <f aca="false">IF(COUNT(Programação!$AP$5:$AP$1004)&lt;4,"",MATCH(4,Programação!$AP$5:$AP$1004,0)+4)</f>
        <v>197</v>
      </c>
    </row>
    <row r="12" customFormat="false" ht="15.75" hidden="false" customHeight="true" outlineLevel="0" collapsed="false">
      <c r="A12" s="22" t="str">
        <f aca="false">IF(COUNT(Programação!$AP$5:$AP$1004)&lt;5,"",IF(INDEX(Programação!$AM$5:$AM$1004,MATCH(5,Programação!$AP$5:$AP$1004,0))="","",INDEX(Programação!$AM$5:$AM$1004,MATCH(5,Programação!$AP$5:$AP$1004,0))))</f>
        <v/>
      </c>
      <c r="B12" s="22" t="str">
        <f aca="false">IF(COUNT(Programação!$AP$5:$AP$1004)&lt;5,"",IF(INDEX(Programação!$C$5:$C$1004,MATCH(5,Programação!$AP$5:$AP$1004,0))="","",INDEX(Programação!$C$5:$C$1004,MATCH(5,Programação!$AP$5:$AP$1004,0))))</f>
        <v>007310</v>
      </c>
      <c r="C12" s="22" t="str">
        <f aca="false">IF(COUNT(Programação!$AP$5:$AP$1004)&lt;5,"",IF(INDEX(Programação!$D$5:$D$1004,MATCH(5,Programação!$AP$5:$AP$1004,0))="","",INDEX(Programação!$D$5:$D$1004,MATCH(5,Programação!$AP$5:$AP$1004,0))))</f>
        <v>F-1038</v>
      </c>
      <c r="D12" s="22" t="str">
        <f aca="false">IF(COUNT(Programação!$AP$5:$AP$1004)&lt;5,"",IF(INDEX(Programação!$AN$5:$AN$1004,MATCH(5,Programação!$AP$5:$AP$1004,0))="","",INDEX(Programação!$AN$5:$AN$1004,MATCH(5,Programação!$AP$5:$AP$1004,0))))</f>
        <v/>
      </c>
      <c r="E12" s="24" t="str">
        <f aca="false">IF(COUNT(Programação!$AP$5:$AP$1004)&lt;5,"",IF(INDEX(Programação!$F$5:$F$1004,MATCH(5,Programação!$AP$5:$AP$1004,0))="","",INDEX(Programação!$F$5:$F$1004,MATCH(5,Programação!$AP$5:$AP$1004,0))))</f>
        <v>Regular freios 1º eixo LD</v>
      </c>
      <c r="F12" s="22" t="str">
        <f aca="false">IF(COUNT(Programação!$AP$5:$AP$1004)&lt;5,"",IF(INDEX(Programação!$G$5:$G$1004,MATCH(5,Programação!$AP$5:$AP$1004,0))="","",INDEX(Programação!$G$5:$G$1004,MATCH(5,Programação!$AP$5:$AP$1004,0))))</f>
        <v>Corretiva</v>
      </c>
      <c r="G12" s="24" t="str">
        <f aca="false">IF(COUNT(Programação!$AP$5:$AP$1004)&lt;5,"",IF(INDEX(Programação!$U$5:$U$1004,MATCH(5,Programação!$AP$5:$AP$1004,0))="","",INDEX(Programação!$U$5:$U$1004,MATCH(5,Programação!$AP$5:$AP$1004,0))))</f>
        <v>Apenas HH</v>
      </c>
      <c r="H12" s="22" t="n">
        <f aca="false">IF(COUNT(Programação!$AP$5:$AP$1004)&lt;5,"",MATCH(5,Programação!$AP$5:$AP$1004,0)+4)</f>
        <v>198</v>
      </c>
    </row>
    <row r="13" customFormat="false" ht="15.75" hidden="false" customHeight="true" outlineLevel="0" collapsed="false">
      <c r="A13" s="22" t="str">
        <f aca="false">IF(COUNT(Programação!$AP$5:$AP$1004)&lt;6,"",IF(INDEX(Programação!$AM$5:$AM$1004,MATCH(6,Programação!$AP$5:$AP$1004,0))="","",INDEX(Programação!$AM$5:$AM$1004,MATCH(6,Programação!$AP$5:$AP$1004,0))))</f>
        <v/>
      </c>
      <c r="B13" s="22" t="str">
        <f aca="false">IF(COUNT(Programação!$AP$5:$AP$1004)&lt;6,"",IF(INDEX(Programação!$C$5:$C$1004,MATCH(6,Programação!$AP$5:$AP$1004,0))="","",INDEX(Programação!$C$5:$C$1004,MATCH(6,Programação!$AP$5:$AP$1004,0))))</f>
        <v>007313</v>
      </c>
      <c r="C13" s="22" t="str">
        <f aca="false">IF(COUNT(Programação!$AP$5:$AP$1004)&lt;6,"",IF(INDEX(Programação!$D$5:$D$1004,MATCH(6,Programação!$AP$5:$AP$1004,0))="","",INDEX(Programação!$D$5:$D$1004,MATCH(6,Programação!$AP$5:$AP$1004,0))))</f>
        <v>F-1038</v>
      </c>
      <c r="D13" s="22" t="str">
        <f aca="false">IF(COUNT(Programação!$AP$5:$AP$1004)&lt;6,"",IF(INDEX(Programação!$AN$5:$AN$1004,MATCH(6,Programação!$AP$5:$AP$1004,0))="","",INDEX(Programação!$AN$5:$AN$1004,MATCH(6,Programação!$AP$5:$AP$1004,0))))</f>
        <v/>
      </c>
      <c r="E13" s="24" t="str">
        <f aca="false">IF(COUNT(Programação!$AP$5:$AP$1004)&lt;6,"",IF(INDEX(Programação!$F$5:$F$1004,MATCH(6,Programação!$AP$5:$AP$1004,0))="","",INDEX(Programação!$F$5:$F$1004,MATCH(6,Programação!$AP$5:$AP$1004,0))))</f>
        <v>Fixar grade de proteção do ciclista LD</v>
      </c>
      <c r="F13" s="22" t="str">
        <f aca="false">IF(COUNT(Programação!$AP$5:$AP$1004)&lt;6,"",IF(INDEX(Programação!$G$5:$G$1004,MATCH(6,Programação!$AP$5:$AP$1004,0))="","",INDEX(Programação!$G$5:$G$1004,MATCH(6,Programação!$AP$5:$AP$1004,0))))</f>
        <v>Corretiva</v>
      </c>
      <c r="G13" s="24" t="str">
        <f aca="false">IF(COUNT(Programação!$AP$5:$AP$1004)&lt;6,"",IF(INDEX(Programação!$U$5:$U$1004,MATCH(6,Programação!$AP$5:$AP$1004,0))="","",INDEX(Programação!$U$5:$U$1004,MATCH(6,Programação!$AP$5:$AP$1004,0))))</f>
        <v>Apenas HH</v>
      </c>
      <c r="H13" s="22" t="n">
        <f aca="false">IF(COUNT(Programação!$AP$5:$AP$1004)&lt;6,"",MATCH(6,Programação!$AP$5:$AP$1004,0)+4)</f>
        <v>199</v>
      </c>
    </row>
    <row r="14" customFormat="false" ht="15.75" hidden="false" customHeight="true" outlineLevel="0" collapsed="false">
      <c r="A14" s="22" t="str">
        <f aca="false">IF(COUNT(Programação!$AP$5:$AP$1004)&lt;7,"",IF(INDEX(Programação!$AM$5:$AM$1004,MATCH(7,Programação!$AP$5:$AP$1004,0))="","",INDEX(Programação!$AM$5:$AM$1004,MATCH(7,Programação!$AP$5:$AP$1004,0))))</f>
        <v/>
      </c>
      <c r="B14" s="22" t="str">
        <f aca="false">IF(COUNT(Programação!$AP$5:$AP$1004)&lt;7,"",IF(INDEX(Programação!$C$5:$C$1004,MATCH(7,Programação!$AP$5:$AP$1004,0))="","",INDEX(Programação!$C$5:$C$1004,MATCH(7,Programação!$AP$5:$AP$1004,0))))</f>
        <v>007316</v>
      </c>
      <c r="C14" s="22" t="str">
        <f aca="false">IF(COUNT(Programação!$AP$5:$AP$1004)&lt;7,"",IF(INDEX(Programação!$D$5:$D$1004,MATCH(7,Programação!$AP$5:$AP$1004,0))="","",INDEX(Programação!$D$5:$D$1004,MATCH(7,Programação!$AP$5:$AP$1004,0))))</f>
        <v>F-1038</v>
      </c>
      <c r="D14" s="22" t="str">
        <f aca="false">IF(COUNT(Programação!$AP$5:$AP$1004)&lt;7,"",IF(INDEX(Programação!$AN$5:$AN$1004,MATCH(7,Programação!$AP$5:$AP$1004,0))="","",INDEX(Programação!$AN$5:$AN$1004,MATCH(7,Programação!$AP$5:$AP$1004,0))))</f>
        <v/>
      </c>
      <c r="E14" s="24" t="str">
        <f aca="false">IF(COUNT(Programação!$AP$5:$AP$1004)&lt;7,"",IF(INDEX(Programação!$F$5:$F$1004,MATCH(7,Programação!$AP$5:$AP$1004,0))="","",INDEX(Programação!$F$5:$F$1004,MATCH(7,Programação!$AP$5:$AP$1004,0))))</f>
        <v>Reposicionar pinos da balança 2º e 3º eixo LD</v>
      </c>
      <c r="F14" s="22" t="str">
        <f aca="false">IF(COUNT(Programação!$AP$5:$AP$1004)&lt;7,"",IF(INDEX(Programação!$G$5:$G$1004,MATCH(7,Programação!$AP$5:$AP$1004,0))="","",INDEX(Programação!$G$5:$G$1004,MATCH(7,Programação!$AP$5:$AP$1004,0))))</f>
        <v>Corretiva</v>
      </c>
      <c r="G14" s="24" t="str">
        <f aca="false">IF(COUNT(Programação!$AP$5:$AP$1004)&lt;7,"",IF(INDEX(Programação!$U$5:$U$1004,MATCH(7,Programação!$AP$5:$AP$1004,0))="","",INDEX(Programação!$U$5:$U$1004,MATCH(7,Programação!$AP$5:$AP$1004,0))))</f>
        <v>Apenas HH</v>
      </c>
      <c r="H14" s="22" t="n">
        <f aca="false">IF(COUNT(Programação!$AP$5:$AP$1004)&lt;7,"",MATCH(7,Programação!$AP$5:$AP$1004,0)+4)</f>
        <v>202</v>
      </c>
    </row>
    <row r="15" customFormat="false" ht="15.75" hidden="false" customHeight="true" outlineLevel="0" collapsed="false">
      <c r="A15" s="22" t="str">
        <f aca="false">IF(COUNT(Programação!$AP$5:$AP$1004)&lt;8,"",IF(INDEX(Programação!$AM$5:$AM$1004,MATCH(8,Programação!$AP$5:$AP$1004,0))="","",INDEX(Programação!$AM$5:$AM$1004,MATCH(8,Programação!$AP$5:$AP$1004,0))))</f>
        <v/>
      </c>
      <c r="B15" s="22" t="str">
        <f aca="false">IF(COUNT(Programação!$AP$5:$AP$1004)&lt;8,"",IF(INDEX(Programação!$C$5:$C$1004,MATCH(8,Programação!$AP$5:$AP$1004,0))="","",INDEX(Programação!$C$5:$C$1004,MATCH(8,Programação!$AP$5:$AP$1004,0))))</f>
        <v>007317</v>
      </c>
      <c r="C15" s="22" t="str">
        <f aca="false">IF(COUNT(Programação!$AP$5:$AP$1004)&lt;8,"",IF(INDEX(Programação!$D$5:$D$1004,MATCH(8,Programação!$AP$5:$AP$1004,0))="","",INDEX(Programação!$D$5:$D$1004,MATCH(8,Programação!$AP$5:$AP$1004,0))))</f>
        <v>F-1038</v>
      </c>
      <c r="D15" s="22" t="str">
        <f aca="false">IF(COUNT(Programação!$AP$5:$AP$1004)&lt;8,"",IF(INDEX(Programação!$AN$5:$AN$1004,MATCH(8,Programação!$AP$5:$AP$1004,0))="","",INDEX(Programação!$AN$5:$AN$1004,MATCH(8,Programação!$AP$5:$AP$1004,0))))</f>
        <v/>
      </c>
      <c r="E15" s="24" t="str">
        <f aca="false">IF(COUNT(Programação!$AP$5:$AP$1004)&lt;8,"",IF(INDEX(Programação!$F$5:$F$1004,MATCH(8,Programação!$AP$5:$AP$1004,0))="","",INDEX(Programação!$F$5:$F$1004,MATCH(8,Programação!$AP$5:$AP$1004,0))))</f>
        <v>Fixar para-lamas folgados 2º eixo LD</v>
      </c>
      <c r="F15" s="22" t="str">
        <f aca="false">IF(COUNT(Programação!$AP$5:$AP$1004)&lt;8,"",IF(INDEX(Programação!$G$5:$G$1004,MATCH(8,Programação!$AP$5:$AP$1004,0))="","",INDEX(Programação!$G$5:$G$1004,MATCH(8,Programação!$AP$5:$AP$1004,0))))</f>
        <v>Corretiva</v>
      </c>
      <c r="G15" s="24" t="str">
        <f aca="false">IF(COUNT(Programação!$AP$5:$AP$1004)&lt;8,"",IF(INDEX(Programação!$U$5:$U$1004,MATCH(8,Programação!$AP$5:$AP$1004,0))="","",INDEX(Programação!$U$5:$U$1004,MATCH(8,Programação!$AP$5:$AP$1004,0))))</f>
        <v>Apenas HH</v>
      </c>
      <c r="H15" s="22" t="n">
        <f aca="false">IF(COUNT(Programação!$AP$5:$AP$1004)&lt;8,"",MATCH(8,Programação!$AP$5:$AP$1004,0)+4)</f>
        <v>200</v>
      </c>
    </row>
    <row r="16" customFormat="false" ht="15.75" hidden="false" customHeight="true" outlineLevel="0" collapsed="false">
      <c r="A16" s="22" t="str">
        <f aca="false">IF(COUNT(Programação!$AP$5:$AP$1004)&lt;9,"",IF(INDEX(Programação!$AM$5:$AM$1004,MATCH(9,Programação!$AP$5:$AP$1004,0))="","",INDEX(Programação!$AM$5:$AM$1004,MATCH(9,Programação!$AP$5:$AP$1004,0))))</f>
        <v/>
      </c>
      <c r="B16" s="22" t="str">
        <f aca="false">IF(COUNT(Programação!$AP$5:$AP$1004)&lt;9,"",IF(INDEX(Programação!$C$5:$C$1004,MATCH(9,Programação!$AP$5:$AP$1004,0))="","",INDEX(Programação!$C$5:$C$1004,MATCH(9,Programação!$AP$5:$AP$1004,0))))</f>
        <v>007318</v>
      </c>
      <c r="C16" s="22" t="str">
        <f aca="false">IF(COUNT(Programação!$AP$5:$AP$1004)&lt;9,"",IF(INDEX(Programação!$D$5:$D$1004,MATCH(9,Programação!$AP$5:$AP$1004,0))="","",INDEX(Programação!$D$5:$D$1004,MATCH(9,Programação!$AP$5:$AP$1004,0))))</f>
        <v>F-1038</v>
      </c>
      <c r="D16" s="22" t="str">
        <f aca="false">IF(COUNT(Programação!$AP$5:$AP$1004)&lt;9,"",IF(INDEX(Programação!$AN$5:$AN$1004,MATCH(9,Programação!$AP$5:$AP$1004,0))="","",INDEX(Programação!$AN$5:$AN$1004,MATCH(9,Programação!$AP$5:$AP$1004,0))))</f>
        <v/>
      </c>
      <c r="E16" s="24" t="str">
        <f aca="false">IF(COUNT(Programação!$AP$5:$AP$1004)&lt;9,"",IF(INDEX(Programação!$F$5:$F$1004,MATCH(9,Programação!$AP$5:$AP$1004,0))="","",INDEX(Programação!$F$5:$F$1004,MATCH(9,Programação!$AP$5:$AP$1004,0))))</f>
        <v>Fixar para-lamas folgados LE</v>
      </c>
      <c r="F16" s="22" t="str">
        <f aca="false">IF(COUNT(Programação!$AP$5:$AP$1004)&lt;9,"",IF(INDEX(Programação!$G$5:$G$1004,MATCH(9,Programação!$AP$5:$AP$1004,0))="","",INDEX(Programação!$G$5:$G$1004,MATCH(9,Programação!$AP$5:$AP$1004,0))))</f>
        <v>Corretiva</v>
      </c>
      <c r="G16" s="24" t="str">
        <f aca="false">IF(COUNT(Programação!$AP$5:$AP$1004)&lt;9,"",IF(INDEX(Programação!$U$5:$U$1004,MATCH(9,Programação!$AP$5:$AP$1004,0))="","",INDEX(Programação!$U$5:$U$1004,MATCH(9,Programação!$AP$5:$AP$1004,0))))</f>
        <v>Apenas HH</v>
      </c>
      <c r="H16" s="22" t="n">
        <f aca="false">IF(COUNT(Programação!$AP$5:$AP$1004)&lt;9,"",MATCH(9,Programação!$AP$5:$AP$1004,0)+4)</f>
        <v>201</v>
      </c>
    </row>
    <row r="17" customFormat="false" ht="15.75" hidden="false" customHeight="true" outlineLevel="0" collapsed="false">
      <c r="A17" s="22" t="str">
        <f aca="false">IF(COUNT(Programação!$AP$5:$AP$1004)&lt;10,"",IF(INDEX(Programação!$AM$5:$AM$1004,MATCH(10,Programação!$AP$5:$AP$1004,0))="","",INDEX(Programação!$AM$5:$AM$1004,MATCH(10,Programação!$AP$5:$AP$1004,0))))</f>
        <v/>
      </c>
      <c r="B17" s="22" t="str">
        <f aca="false">IF(COUNT(Programação!$AP$5:$AP$1004)&lt;10,"",IF(INDEX(Programação!$C$5:$C$1004,MATCH(10,Programação!$AP$5:$AP$1004,0))="","",INDEX(Programação!$C$5:$C$1004,MATCH(10,Programação!$AP$5:$AP$1004,0))))</f>
        <v>007319</v>
      </c>
      <c r="C17" s="22" t="str">
        <f aca="false">IF(COUNT(Programação!$AP$5:$AP$1004)&lt;10,"",IF(INDEX(Programação!$D$5:$D$1004,MATCH(10,Programação!$AP$5:$AP$1004,0))="","",INDEX(Programação!$D$5:$D$1004,MATCH(10,Programação!$AP$5:$AP$1004,0))))</f>
        <v>F-1038</v>
      </c>
      <c r="D17" s="22" t="str">
        <f aca="false">IF(COUNT(Programação!$AP$5:$AP$1004)&lt;10,"",IF(INDEX(Programação!$AN$5:$AN$1004,MATCH(10,Programação!$AP$5:$AP$1004,0))="","",INDEX(Programação!$AN$5:$AN$1004,MATCH(10,Programação!$AP$5:$AP$1004,0))))</f>
        <v/>
      </c>
      <c r="E17" s="24" t="str">
        <f aca="false">IF(COUNT(Programação!$AP$5:$AP$1004)&lt;10,"",IF(INDEX(Programação!$F$5:$F$1004,MATCH(10,Programação!$AP$5:$AP$1004,0))="","",INDEX(Programação!$F$5:$F$1004,MATCH(10,Programação!$AP$5:$AP$1004,0))))</f>
        <v>Corrigir travessa avariada ao lado direito da quinta roda</v>
      </c>
      <c r="F17" s="22" t="str">
        <f aca="false">IF(COUNT(Programação!$AP$5:$AP$1004)&lt;10,"",IF(INDEX(Programação!$G$5:$G$1004,MATCH(10,Programação!$AP$5:$AP$1004,0))="","",INDEX(Programação!$G$5:$G$1004,MATCH(10,Programação!$AP$5:$AP$1004,0))))</f>
        <v>Corretiva</v>
      </c>
      <c r="G17" s="24" t="str">
        <f aca="false">IF(COUNT(Programação!$AP$5:$AP$1004)&lt;10,"",IF(INDEX(Programação!$U$5:$U$1004,MATCH(10,Programação!$AP$5:$AP$1004,0))="","",INDEX(Programação!$U$5:$U$1004,MATCH(10,Programação!$AP$5:$AP$1004,0))))</f>
        <v>Apenas HH</v>
      </c>
      <c r="H17" s="22" t="n">
        <f aca="false">IF(COUNT(Programação!$AP$5:$AP$1004)&lt;10,"",MATCH(10,Programação!$AP$5:$AP$1004,0)+4)</f>
        <v>203</v>
      </c>
    </row>
    <row r="18" customFormat="false" ht="15.75" hidden="false" customHeight="true" outlineLevel="0" collapsed="false">
      <c r="A18" s="22" t="str">
        <f aca="false">IF(COUNT(Programação!$AP$5:$AP$1004)&lt;11,"",IF(INDEX(Programação!$AM$5:$AM$1004,MATCH(11,Programação!$AP$5:$AP$1004,0))="","",INDEX(Programação!$AM$5:$AM$1004,MATCH(11,Programação!$AP$5:$AP$1004,0))))</f>
        <v/>
      </c>
      <c r="B18" s="22" t="str">
        <f aca="false">IF(COUNT(Programação!$AP$5:$AP$1004)&lt;11,"",IF(INDEX(Programação!$C$5:$C$1004,MATCH(11,Programação!$AP$5:$AP$1004,0))="","",INDEX(Programação!$C$5:$C$1004,MATCH(11,Programação!$AP$5:$AP$1004,0))))</f>
        <v>007320</v>
      </c>
      <c r="C18" s="22" t="str">
        <f aca="false">IF(COUNT(Programação!$AP$5:$AP$1004)&lt;11,"",IF(INDEX(Programação!$D$5:$D$1004,MATCH(11,Programação!$AP$5:$AP$1004,0))="","",INDEX(Programação!$D$5:$D$1004,MATCH(11,Programação!$AP$5:$AP$1004,0))))</f>
        <v>F-1039</v>
      </c>
      <c r="D18" s="22" t="str">
        <f aca="false">IF(COUNT(Programação!$AP$5:$AP$1004)&lt;11,"",IF(INDEX(Programação!$AN$5:$AN$1004,MATCH(11,Programação!$AP$5:$AP$1004,0))="","",INDEX(Programação!$AN$5:$AN$1004,MATCH(11,Programação!$AP$5:$AP$1004,0))))</f>
        <v/>
      </c>
      <c r="E18" s="24" t="str">
        <f aca="false">IF(COUNT(Programação!$AP$5:$AP$1004)&lt;11,"",IF(INDEX(Programação!$F$5:$F$1004,MATCH(11,Programação!$AP$5:$AP$1004,0))="","",INDEX(Programação!$F$5:$F$1004,MATCH(11,Programação!$AP$5:$AP$1004,0))))</f>
        <v>Repor estepe faltante da carreta</v>
      </c>
      <c r="F18" s="22" t="str">
        <f aca="false">IF(COUNT(Programação!$AP$5:$AP$1004)&lt;11,"",IF(INDEX(Programação!$G$5:$G$1004,MATCH(11,Programação!$AP$5:$AP$1004,0))="","",INDEX(Programação!$G$5:$G$1004,MATCH(11,Programação!$AP$5:$AP$1004,0))))</f>
        <v>Corretiva</v>
      </c>
      <c r="G18" s="24" t="str">
        <f aca="false">IF(COUNT(Programação!$AP$5:$AP$1004)&lt;11,"",IF(INDEX(Programação!$U$5:$U$1004,MATCH(11,Programação!$AP$5:$AP$1004,0))="","",INDEX(Programação!$U$5:$U$1004,MATCH(11,Programação!$AP$5:$AP$1004,0))))</f>
        <v>Apenas HH</v>
      </c>
      <c r="H18" s="22" t="n">
        <f aca="false">IF(COUNT(Programação!$AP$5:$AP$1004)&lt;11,"",MATCH(11,Programação!$AP$5:$AP$1004,0)+4)</f>
        <v>204</v>
      </c>
    </row>
    <row r="19" customFormat="false" ht="15.75" hidden="false" customHeight="true" outlineLevel="0" collapsed="false">
      <c r="A19" s="22" t="str">
        <f aca="false">IF(COUNT(Programação!$AP$5:$AP$1004)&lt;12,"",IF(INDEX(Programação!$AM$5:$AM$1004,MATCH(12,Programação!$AP$5:$AP$1004,0))="","",INDEX(Programação!$AM$5:$AM$1004,MATCH(12,Programação!$AP$5:$AP$1004,0))))</f>
        <v/>
      </c>
      <c r="B19" s="22" t="str">
        <f aca="false">IF(COUNT(Programação!$AP$5:$AP$1004)&lt;12,"",IF(INDEX(Programação!$C$5:$C$1004,MATCH(12,Programação!$AP$5:$AP$1004,0))="","",INDEX(Programação!$C$5:$C$1004,MATCH(12,Programação!$AP$5:$AP$1004,0))))</f>
        <v>007321</v>
      </c>
      <c r="C19" s="22" t="str">
        <f aca="false">IF(COUNT(Programação!$AP$5:$AP$1004)&lt;12,"",IF(INDEX(Programação!$D$5:$D$1004,MATCH(12,Programação!$AP$5:$AP$1004,0))="","",INDEX(Programação!$D$5:$D$1004,MATCH(12,Programação!$AP$5:$AP$1004,0))))</f>
        <v>F-1039</v>
      </c>
      <c r="D19" s="22" t="str">
        <f aca="false">IF(COUNT(Programação!$AP$5:$AP$1004)&lt;12,"",IF(INDEX(Programação!$AN$5:$AN$1004,MATCH(12,Programação!$AP$5:$AP$1004,0))="","",INDEX(Programação!$AN$5:$AN$1004,MATCH(12,Programação!$AP$5:$AP$1004,0))))</f>
        <v/>
      </c>
      <c r="E19" s="24" t="str">
        <f aca="false">IF(COUNT(Programação!$AP$5:$AP$1004)&lt;12,"",IF(INDEX(Programação!$F$5:$F$1004,MATCH(12,Programação!$AP$5:$AP$1004,0))="","",INDEX(Programação!$F$5:$F$1004,MATCH(12,Programação!$AP$5:$AP$1004,0))))</f>
        <v>Repor porca de roda faltante 2º eixo LD</v>
      </c>
      <c r="F19" s="22" t="str">
        <f aca="false">IF(COUNT(Programação!$AP$5:$AP$1004)&lt;12,"",IF(INDEX(Programação!$G$5:$G$1004,MATCH(12,Programação!$AP$5:$AP$1004,0))="","",INDEX(Programação!$G$5:$G$1004,MATCH(12,Programação!$AP$5:$AP$1004,0))))</f>
        <v>Corretiva</v>
      </c>
      <c r="G19" s="24" t="str">
        <f aca="false">IF(COUNT(Programação!$AP$5:$AP$1004)&lt;12,"",IF(INDEX(Programação!$U$5:$U$1004,MATCH(12,Programação!$AP$5:$AP$1004,0))="","",INDEX(Programação!$U$5:$U$1004,MATCH(12,Programação!$AP$5:$AP$1004,0))))</f>
        <v>Apenas HH</v>
      </c>
      <c r="H19" s="22" t="n">
        <f aca="false">IF(COUNT(Programação!$AP$5:$AP$1004)&lt;12,"",MATCH(12,Programação!$AP$5:$AP$1004,0)+4)</f>
        <v>205</v>
      </c>
    </row>
    <row r="20" customFormat="false" ht="15.75" hidden="false" customHeight="true" outlineLevel="0" collapsed="false">
      <c r="A20" s="22" t="str">
        <f aca="false">IF(COUNT(Programação!$AP$5:$AP$1004)&lt;13,"",IF(INDEX(Programação!$AM$5:$AM$1004,MATCH(13,Programação!$AP$5:$AP$1004,0))="","",INDEX(Programação!$AM$5:$AM$1004,MATCH(13,Programação!$AP$5:$AP$1004,0))))</f>
        <v/>
      </c>
      <c r="B20" s="22" t="str">
        <f aca="false">IF(COUNT(Programação!$AP$5:$AP$1004)&lt;13,"",IF(INDEX(Programação!$C$5:$C$1004,MATCH(13,Programação!$AP$5:$AP$1004,0))="","",INDEX(Programação!$C$5:$C$1004,MATCH(13,Programação!$AP$5:$AP$1004,0))))</f>
        <v>007322</v>
      </c>
      <c r="C20" s="22" t="str">
        <f aca="false">IF(COUNT(Programação!$AP$5:$AP$1004)&lt;13,"",IF(INDEX(Programação!$D$5:$D$1004,MATCH(13,Programação!$AP$5:$AP$1004,0))="","",INDEX(Programação!$D$5:$D$1004,MATCH(13,Programação!$AP$5:$AP$1004,0))))</f>
        <v>F-1039</v>
      </c>
      <c r="D20" s="22" t="str">
        <f aca="false">IF(COUNT(Programação!$AP$5:$AP$1004)&lt;13,"",IF(INDEX(Programação!$AN$5:$AN$1004,MATCH(13,Programação!$AP$5:$AP$1004,0))="","",INDEX(Programação!$AN$5:$AN$1004,MATCH(13,Programação!$AP$5:$AP$1004,0))))</f>
        <v/>
      </c>
      <c r="E20" s="24" t="str">
        <f aca="false">IF(COUNT(Programação!$AP$5:$AP$1004)&lt;13,"",IF(INDEX(Programação!$F$5:$F$1004,MATCH(13,Programação!$AP$5:$AP$1004,0))="","",INDEX(Programação!$F$5:$F$1004,MATCH(13,Programação!$AP$5:$AP$1004,0))))</f>
        <v>Substituir tampa do cubo 3º eixo LE</v>
      </c>
      <c r="F20" s="22" t="str">
        <f aca="false">IF(COUNT(Programação!$AP$5:$AP$1004)&lt;13,"",IF(INDEX(Programação!$G$5:$G$1004,MATCH(13,Programação!$AP$5:$AP$1004,0))="","",INDEX(Programação!$G$5:$G$1004,MATCH(13,Programação!$AP$5:$AP$1004,0))))</f>
        <v>Corretiva</v>
      </c>
      <c r="G20" s="24" t="str">
        <f aca="false">IF(COUNT(Programação!$AP$5:$AP$1004)&lt;13,"",IF(INDEX(Programação!$U$5:$U$1004,MATCH(13,Programação!$AP$5:$AP$1004,0))="","",INDEX(Programação!$U$5:$U$1004,MATCH(13,Programação!$AP$5:$AP$1004,0))))</f>
        <v>Apenas HH</v>
      </c>
      <c r="H20" s="22" t="n">
        <f aca="false">IF(COUNT(Programação!$AP$5:$AP$1004)&lt;13,"",MATCH(13,Programação!$AP$5:$AP$1004,0)+4)</f>
        <v>206</v>
      </c>
    </row>
    <row r="21" customFormat="false" ht="15.75" hidden="false" customHeight="true" outlineLevel="0" collapsed="false">
      <c r="A21" s="22" t="str">
        <f aca="false">IF(COUNT(Programação!$AP$5:$AP$1004)&lt;14,"",IF(INDEX(Programação!$AM$5:$AM$1004,MATCH(14,Programação!$AP$5:$AP$1004,0))="","",INDEX(Programação!$AM$5:$AM$1004,MATCH(14,Programação!$AP$5:$AP$1004,0))))</f>
        <v/>
      </c>
      <c r="B21" s="22" t="str">
        <f aca="false">IF(COUNT(Programação!$AP$5:$AP$1004)&lt;14,"",IF(INDEX(Programação!$C$5:$C$1004,MATCH(14,Programação!$AP$5:$AP$1004,0))="","",INDEX(Programação!$C$5:$C$1004,MATCH(14,Programação!$AP$5:$AP$1004,0))))</f>
        <v>007323</v>
      </c>
      <c r="C21" s="22" t="str">
        <f aca="false">IF(COUNT(Programação!$AP$5:$AP$1004)&lt;14,"",IF(INDEX(Programação!$D$5:$D$1004,MATCH(14,Programação!$AP$5:$AP$1004,0))="","",INDEX(Programação!$D$5:$D$1004,MATCH(14,Programação!$AP$5:$AP$1004,0))))</f>
        <v>F-1039</v>
      </c>
      <c r="D21" s="22" t="str">
        <f aca="false">IF(COUNT(Programação!$AP$5:$AP$1004)&lt;14,"",IF(INDEX(Programação!$AN$5:$AN$1004,MATCH(14,Programação!$AP$5:$AP$1004,0))="","",INDEX(Programação!$AN$5:$AN$1004,MATCH(14,Programação!$AP$5:$AP$1004,0))))</f>
        <v/>
      </c>
      <c r="E21" s="24" t="str">
        <f aca="false">IF(COUNT(Programação!$AP$5:$AP$1004)&lt;14,"",IF(INDEX(Programação!$F$5:$F$1004,MATCH(14,Programação!$AP$5:$AP$1004,0))="","",INDEX(Programação!$F$5:$F$1004,MATCH(14,Programação!$AP$5:$AP$1004,0))))</f>
        <v>Substituir grade traseira com apoio faltante no LE</v>
      </c>
      <c r="F21" s="22" t="str">
        <f aca="false">IF(COUNT(Programação!$AP$5:$AP$1004)&lt;14,"",IF(INDEX(Programação!$G$5:$G$1004,MATCH(14,Programação!$AP$5:$AP$1004,0))="","",INDEX(Programação!$G$5:$G$1004,MATCH(14,Programação!$AP$5:$AP$1004,0))))</f>
        <v>Corretiva</v>
      </c>
      <c r="G21" s="24" t="str">
        <f aca="false">IF(COUNT(Programação!$AP$5:$AP$1004)&lt;14,"",IF(INDEX(Programação!$U$5:$U$1004,MATCH(14,Programação!$AP$5:$AP$1004,0))="","",INDEX(Programação!$U$5:$U$1004,MATCH(14,Programação!$AP$5:$AP$1004,0))))</f>
        <v>Apenas HH</v>
      </c>
      <c r="H21" s="22" t="n">
        <f aca="false">IF(COUNT(Programação!$AP$5:$AP$1004)&lt;14,"",MATCH(14,Programação!$AP$5:$AP$1004,0)+4)</f>
        <v>207</v>
      </c>
    </row>
    <row r="22" customFormat="false" ht="15.75" hidden="false" customHeight="true" outlineLevel="0" collapsed="false">
      <c r="A22" s="22" t="str">
        <f aca="false">IF(COUNT(Programação!$AP$5:$AP$1004)&lt;15,"",IF(INDEX(Programação!$AM$5:$AM$1004,MATCH(15,Programação!$AP$5:$AP$1004,0))="","",INDEX(Programação!$AM$5:$AM$1004,MATCH(15,Programação!$AP$5:$AP$1004,0))))</f>
        <v/>
      </c>
      <c r="B22" s="22" t="str">
        <f aca="false">IF(COUNT(Programação!$AP$5:$AP$1004)&lt;15,"",IF(INDEX(Programação!$C$5:$C$1004,MATCH(15,Programação!$AP$5:$AP$1004,0))="","",INDEX(Programação!$C$5:$C$1004,MATCH(15,Programação!$AP$5:$AP$1004,0))))</f>
        <v>007324</v>
      </c>
      <c r="C22" s="22" t="str">
        <f aca="false">IF(COUNT(Programação!$AP$5:$AP$1004)&lt;15,"",IF(INDEX(Programação!$D$5:$D$1004,MATCH(15,Programação!$AP$5:$AP$1004,0))="","",INDEX(Programação!$D$5:$D$1004,MATCH(15,Programação!$AP$5:$AP$1004,0))))</f>
        <v>F-1039</v>
      </c>
      <c r="D22" s="22" t="str">
        <f aca="false">IF(COUNT(Programação!$AP$5:$AP$1004)&lt;15,"",IF(INDEX(Programação!$AN$5:$AN$1004,MATCH(15,Programação!$AP$5:$AP$1004,0))="","",INDEX(Programação!$AN$5:$AN$1004,MATCH(15,Programação!$AP$5:$AP$1004,0))))</f>
        <v/>
      </c>
      <c r="E22" s="24" t="str">
        <f aca="false">IF(COUNT(Programação!$AP$5:$AP$1004)&lt;15,"",IF(INDEX(Programação!$F$5:$F$1004,MATCH(15,Programação!$AP$5:$AP$1004,0))="","",INDEX(Programação!$F$5:$F$1004,MATCH(15,Programação!$AP$5:$AP$1004,0))))</f>
        <v>Corrigir trincas no lastro da carreta</v>
      </c>
      <c r="F22" s="22" t="str">
        <f aca="false">IF(COUNT(Programação!$AP$5:$AP$1004)&lt;15,"",IF(INDEX(Programação!$G$5:$G$1004,MATCH(15,Programação!$AP$5:$AP$1004,0))="","",INDEX(Programação!$G$5:$G$1004,MATCH(15,Programação!$AP$5:$AP$1004,0))))</f>
        <v>Corretiva</v>
      </c>
      <c r="G22" s="24" t="str">
        <f aca="false">IF(COUNT(Programação!$AP$5:$AP$1004)&lt;15,"",IF(INDEX(Programação!$U$5:$U$1004,MATCH(15,Programação!$AP$5:$AP$1004,0))="","",INDEX(Programação!$U$5:$U$1004,MATCH(15,Programação!$AP$5:$AP$1004,0))))</f>
        <v>Apenas HH</v>
      </c>
      <c r="H22" s="22" t="n">
        <f aca="false">IF(COUNT(Programação!$AP$5:$AP$1004)&lt;15,"",MATCH(15,Programação!$AP$5:$AP$1004,0)+4)</f>
        <v>208</v>
      </c>
    </row>
    <row r="23" customFormat="false" ht="15.75" hidden="false" customHeight="true" outlineLevel="0" collapsed="false">
      <c r="A23" s="22" t="str">
        <f aca="false">IF(COUNT(Programação!$AP$5:$AP$1004)&lt;16,"",IF(INDEX(Programação!$AM$5:$AM$1004,MATCH(16,Programação!$AP$5:$AP$1004,0))="","",INDEX(Programação!$AM$5:$AM$1004,MATCH(16,Programação!$AP$5:$AP$1004,0))))</f>
        <v/>
      </c>
      <c r="B23" s="22" t="str">
        <f aca="false">IF(COUNT(Programação!$AP$5:$AP$1004)&lt;16,"",IF(INDEX(Programação!$C$5:$C$1004,MATCH(16,Programação!$AP$5:$AP$1004,0))="","",INDEX(Programação!$C$5:$C$1004,MATCH(16,Programação!$AP$5:$AP$1004,0))))</f>
        <v>007325</v>
      </c>
      <c r="C23" s="22" t="str">
        <f aca="false">IF(COUNT(Programação!$AP$5:$AP$1004)&lt;16,"",IF(INDEX(Programação!$D$5:$D$1004,MATCH(16,Programação!$AP$5:$AP$1004,0))="","",INDEX(Programação!$D$5:$D$1004,MATCH(16,Programação!$AP$5:$AP$1004,0))))</f>
        <v>F-1039</v>
      </c>
      <c r="D23" s="22" t="str">
        <f aca="false">IF(COUNT(Programação!$AP$5:$AP$1004)&lt;16,"",IF(INDEX(Programação!$AN$5:$AN$1004,MATCH(16,Programação!$AP$5:$AP$1004,0))="","",INDEX(Programação!$AN$5:$AN$1004,MATCH(16,Programação!$AP$5:$AP$1004,0))))</f>
        <v/>
      </c>
      <c r="E23" s="24" t="str">
        <f aca="false">IF(COUNT(Programação!$AP$5:$AP$1004)&lt;16,"",IF(INDEX(Programação!$F$5:$F$1004,MATCH(16,Programação!$AP$5:$AP$1004,0))="","",INDEX(Programação!$F$5:$F$1004,MATCH(16,Programação!$AP$5:$AP$1004,0))))</f>
        <v>Corrigir iluminação meia-luz dianteira LD</v>
      </c>
      <c r="F23" s="22" t="str">
        <f aca="false">IF(COUNT(Programação!$AP$5:$AP$1004)&lt;16,"",IF(INDEX(Programação!$G$5:$G$1004,MATCH(16,Programação!$AP$5:$AP$1004,0))="","",INDEX(Programação!$G$5:$G$1004,MATCH(16,Programação!$AP$5:$AP$1004,0))))</f>
        <v>Corretiva</v>
      </c>
      <c r="G23" s="24" t="str">
        <f aca="false">IF(COUNT(Programação!$AP$5:$AP$1004)&lt;16,"",IF(INDEX(Programação!$U$5:$U$1004,MATCH(16,Programação!$AP$5:$AP$1004,0))="","",INDEX(Programação!$U$5:$U$1004,MATCH(16,Programação!$AP$5:$AP$1004,0))))</f>
        <v>Apenas HH</v>
      </c>
      <c r="H23" s="22" t="n">
        <f aca="false">IF(COUNT(Programação!$AP$5:$AP$1004)&lt;16,"",MATCH(16,Programação!$AP$5:$AP$1004,0)+4)</f>
        <v>209</v>
      </c>
    </row>
    <row r="24" customFormat="false" ht="15.75" hidden="false" customHeight="true" outlineLevel="0" collapsed="false">
      <c r="A24" s="22" t="str">
        <f aca="false">IF(COUNT(Programação!$AP$5:$AP$1004)&lt;17,"",IF(INDEX(Programação!$AM$5:$AM$1004,MATCH(17,Programação!$AP$5:$AP$1004,0))="","",INDEX(Programação!$AM$5:$AM$1004,MATCH(17,Programação!$AP$5:$AP$1004,0))))</f>
        <v/>
      </c>
      <c r="B24" s="22" t="str">
        <f aca="false">IF(COUNT(Programação!$AP$5:$AP$1004)&lt;17,"",IF(INDEX(Programação!$C$5:$C$1004,MATCH(17,Programação!$AP$5:$AP$1004,0))="","",INDEX(Programação!$C$5:$C$1004,MATCH(17,Programação!$AP$5:$AP$1004,0))))</f>
        <v>007326</v>
      </c>
      <c r="C24" s="22" t="str">
        <f aca="false">IF(COUNT(Programação!$AP$5:$AP$1004)&lt;17,"",IF(INDEX(Programação!$D$5:$D$1004,MATCH(17,Programação!$AP$5:$AP$1004,0))="","",INDEX(Programação!$D$5:$D$1004,MATCH(17,Programação!$AP$5:$AP$1004,0))))</f>
        <v>F-1039</v>
      </c>
      <c r="D24" s="22" t="str">
        <f aca="false">IF(COUNT(Programação!$AP$5:$AP$1004)&lt;17,"",IF(INDEX(Programação!$AN$5:$AN$1004,MATCH(17,Programação!$AP$5:$AP$1004,0))="","",INDEX(Programação!$AN$5:$AN$1004,MATCH(17,Programação!$AP$5:$AP$1004,0))))</f>
        <v/>
      </c>
      <c r="E24" s="24" t="str">
        <f aca="false">IF(COUNT(Programação!$AP$5:$AP$1004)&lt;17,"",IF(INDEX(Programação!$F$5:$F$1004,MATCH(17,Programação!$AP$5:$AP$1004,0))="","",INDEX(Programação!$F$5:$F$1004,MATCH(17,Programação!$AP$5:$AP$1004,0))))</f>
        <v>Corrigir parafusos do para-choque traseiro LD</v>
      </c>
      <c r="F24" s="22" t="str">
        <f aca="false">IF(COUNT(Programação!$AP$5:$AP$1004)&lt;17,"",IF(INDEX(Programação!$G$5:$G$1004,MATCH(17,Programação!$AP$5:$AP$1004,0))="","",INDEX(Programação!$G$5:$G$1004,MATCH(17,Programação!$AP$5:$AP$1004,0))))</f>
        <v>Corretiva</v>
      </c>
      <c r="G24" s="24" t="str">
        <f aca="false">IF(COUNT(Programação!$AP$5:$AP$1004)&lt;17,"",IF(INDEX(Programação!$U$5:$U$1004,MATCH(17,Programação!$AP$5:$AP$1004,0))="","",INDEX(Programação!$U$5:$U$1004,MATCH(17,Programação!$AP$5:$AP$1004,0))))</f>
        <v>Apenas HH</v>
      </c>
      <c r="H24" s="22" t="n">
        <f aca="false">IF(COUNT(Programação!$AP$5:$AP$1004)&lt;17,"",MATCH(17,Programação!$AP$5:$AP$1004,0)+4)</f>
        <v>210</v>
      </c>
    </row>
    <row r="25" customFormat="false" ht="15.75" hidden="false" customHeight="true" outlineLevel="0" collapsed="false">
      <c r="A25" s="22" t="str">
        <f aca="false">IF(COUNT(Programação!$AP$5:$AP$1004)&lt;18,"",IF(INDEX(Programação!$AM$5:$AM$1004,MATCH(18,Programação!$AP$5:$AP$1004,0))="","",INDEX(Programação!$AM$5:$AM$1004,MATCH(18,Programação!$AP$5:$AP$1004,0))))</f>
        <v/>
      </c>
      <c r="B25" s="22" t="str">
        <f aca="false">IF(COUNT(Programação!$AP$5:$AP$1004)&lt;18,"",IF(INDEX(Programação!$C$5:$C$1004,MATCH(18,Programação!$AP$5:$AP$1004,0))="","",INDEX(Programação!$C$5:$C$1004,MATCH(18,Programação!$AP$5:$AP$1004,0))))</f>
        <v>007328</v>
      </c>
      <c r="C25" s="22" t="str">
        <f aca="false">IF(COUNT(Programação!$AP$5:$AP$1004)&lt;18,"",IF(INDEX(Programação!$D$5:$D$1004,MATCH(18,Programação!$AP$5:$AP$1004,0))="","",INDEX(Programação!$D$5:$D$1004,MATCH(18,Programação!$AP$5:$AP$1004,0))))</f>
        <v>F-1039</v>
      </c>
      <c r="D25" s="22" t="str">
        <f aca="false">IF(COUNT(Programação!$AP$5:$AP$1004)&lt;18,"",IF(INDEX(Programação!$AN$5:$AN$1004,MATCH(18,Programação!$AP$5:$AP$1004,0))="","",INDEX(Programação!$AN$5:$AN$1004,MATCH(18,Programação!$AP$5:$AP$1004,0))))</f>
        <v/>
      </c>
      <c r="E25" s="24" t="str">
        <f aca="false">IF(COUNT(Programação!$AP$5:$AP$1004)&lt;18,"",IF(INDEX(Programação!$F$5:$F$1004,MATCH(18,Programação!$AP$5:$AP$1004,0))="","",INDEX(Programação!$F$5:$F$1004,MATCH(18,Programação!$AP$5:$AP$1004,0))))</f>
        <v>Fixar para-lamas folgados LD e LE</v>
      </c>
      <c r="F25" s="22" t="str">
        <f aca="false">IF(COUNT(Programação!$AP$5:$AP$1004)&lt;18,"",IF(INDEX(Programação!$G$5:$G$1004,MATCH(18,Programação!$AP$5:$AP$1004,0))="","",INDEX(Programação!$G$5:$G$1004,MATCH(18,Programação!$AP$5:$AP$1004,0))))</f>
        <v>Corretiva</v>
      </c>
      <c r="G25" s="24" t="str">
        <f aca="false">IF(COUNT(Programação!$AP$5:$AP$1004)&lt;18,"",IF(INDEX(Programação!$U$5:$U$1004,MATCH(18,Programação!$AP$5:$AP$1004,0))="","",INDEX(Programação!$U$5:$U$1004,MATCH(18,Programação!$AP$5:$AP$1004,0))))</f>
        <v>Apenas HH</v>
      </c>
      <c r="H25" s="22" t="n">
        <f aca="false">IF(COUNT(Programação!$AP$5:$AP$1004)&lt;18,"",MATCH(18,Programação!$AP$5:$AP$1004,0)+4)</f>
        <v>211</v>
      </c>
    </row>
    <row r="26" customFormat="false" ht="15.75" hidden="false" customHeight="true" outlineLevel="0" collapsed="false">
      <c r="A26" s="22" t="str">
        <f aca="false">IF(COUNT(Programação!$AP$5:$AP$1004)&lt;19,"",IF(INDEX(Programação!$AM$5:$AM$1004,MATCH(19,Programação!$AP$5:$AP$1004,0))="","",INDEX(Programação!$AM$5:$AM$1004,MATCH(19,Programação!$AP$5:$AP$1004,0))))</f>
        <v/>
      </c>
      <c r="B26" s="22" t="str">
        <f aca="false">IF(COUNT(Programação!$AP$5:$AP$1004)&lt;19,"",IF(INDEX(Programação!$C$5:$C$1004,MATCH(19,Programação!$AP$5:$AP$1004,0))="","",INDEX(Programação!$C$5:$C$1004,MATCH(19,Programação!$AP$5:$AP$1004,0))))</f>
        <v>007330</v>
      </c>
      <c r="C26" s="22" t="str">
        <f aca="false">IF(COUNT(Programação!$AP$5:$AP$1004)&lt;19,"",IF(INDEX(Programação!$D$5:$D$1004,MATCH(19,Programação!$AP$5:$AP$1004,0))="","",INDEX(Programação!$D$5:$D$1004,MATCH(19,Programação!$AP$5:$AP$1004,0))))</f>
        <v>F-1039</v>
      </c>
      <c r="D26" s="22" t="str">
        <f aca="false">IF(COUNT(Programação!$AP$5:$AP$1004)&lt;19,"",IF(INDEX(Programação!$AN$5:$AN$1004,MATCH(19,Programação!$AP$5:$AP$1004,0))="","",INDEX(Programação!$AN$5:$AN$1004,MATCH(19,Programação!$AP$5:$AP$1004,0))))</f>
        <v/>
      </c>
      <c r="E26" s="24" t="str">
        <f aca="false">IF(COUNT(Programação!$AP$5:$AP$1004)&lt;19,"",IF(INDEX(Programação!$F$5:$F$1004,MATCH(19,Programação!$AP$5:$AP$1004,0))="","",INDEX(Programação!$F$5:$F$1004,MATCH(19,Programação!$AP$5:$AP$1004,0))))</f>
        <v>Reapertar tirante folgado 3º eixo LE</v>
      </c>
      <c r="F26" s="22" t="str">
        <f aca="false">IF(COUNT(Programação!$AP$5:$AP$1004)&lt;19,"",IF(INDEX(Programação!$G$5:$G$1004,MATCH(19,Programação!$AP$5:$AP$1004,0))="","",INDEX(Programação!$G$5:$G$1004,MATCH(19,Programação!$AP$5:$AP$1004,0))))</f>
        <v>Corretiva</v>
      </c>
      <c r="G26" s="24" t="str">
        <f aca="false">IF(COUNT(Programação!$AP$5:$AP$1004)&lt;19,"",IF(INDEX(Programação!$U$5:$U$1004,MATCH(19,Programação!$AP$5:$AP$1004,0))="","",INDEX(Programação!$U$5:$U$1004,MATCH(19,Programação!$AP$5:$AP$1004,0))))</f>
        <v>Apenas HH</v>
      </c>
      <c r="H26" s="22" t="n">
        <f aca="false">IF(COUNT(Programação!$AP$5:$AP$1004)&lt;19,"",MATCH(19,Programação!$AP$5:$AP$1004,0)+4)</f>
        <v>212</v>
      </c>
    </row>
    <row r="27" customFormat="false" ht="15.75" hidden="false" customHeight="true" outlineLevel="0" collapsed="false">
      <c r="A27" s="22" t="str">
        <f aca="false">IF(COUNT(Programação!$AP$5:$AP$1004)&lt;20,"",IF(INDEX(Programação!$AM$5:$AM$1004,MATCH(20,Programação!$AP$5:$AP$1004,0))="","",INDEX(Programação!$AM$5:$AM$1004,MATCH(20,Programação!$AP$5:$AP$1004,0))))</f>
        <v/>
      </c>
      <c r="B27" s="22" t="str">
        <f aca="false">IF(COUNT(Programação!$AP$5:$AP$1004)&lt;20,"",IF(INDEX(Programação!$C$5:$C$1004,MATCH(20,Programação!$AP$5:$AP$1004,0))="","",INDEX(Programação!$C$5:$C$1004,MATCH(20,Programação!$AP$5:$AP$1004,0))))</f>
        <v>007011</v>
      </c>
      <c r="C27" s="22" t="str">
        <f aca="false">IF(COUNT(Programação!$AP$5:$AP$1004)&lt;20,"",IF(INDEX(Programação!$D$5:$D$1004,MATCH(20,Programação!$AP$5:$AP$1004,0))="","",INDEX(Programação!$D$5:$D$1004,MATCH(20,Programação!$AP$5:$AP$1004,0))))</f>
        <v>F-425</v>
      </c>
      <c r="D27" s="22" t="str">
        <f aca="false">IF(COUNT(Programação!$AP$5:$AP$1004)&lt;20,"",IF(INDEX(Programação!$AN$5:$AN$1004,MATCH(20,Programação!$AP$5:$AP$1004,0))="","",INDEX(Programação!$AN$5:$AN$1004,MATCH(20,Programação!$AP$5:$AP$1004,0))))</f>
        <v/>
      </c>
      <c r="E27" s="24" t="str">
        <f aca="false">IF(COUNT(Programação!$AP$5:$AP$1004)&lt;20,"",IF(INDEX(Programação!$F$5:$F$1004,MATCH(20,Programação!$AP$5:$AP$1004,0))="","",INDEX(Programação!$F$5:$F$1004,MATCH(20,Programação!$AP$5:$AP$1004,0))))</f>
        <v>Realizar preventiva da frota F-425</v>
      </c>
      <c r="F27" s="22" t="str">
        <f aca="false">IF(COUNT(Programação!$AP$5:$AP$1004)&lt;20,"",IF(INDEX(Programação!$G$5:$G$1004,MATCH(20,Programação!$AP$5:$AP$1004,0))="","",INDEX(Programação!$G$5:$G$1004,MATCH(20,Programação!$AP$5:$AP$1004,0))))</f>
        <v>Preventiva</v>
      </c>
      <c r="G27" s="24" t="str">
        <f aca="false">IF(COUNT(Programação!$AP$5:$AP$1004)&lt;20,"",IF(INDEX(Programação!$U$5:$U$1004,MATCH(20,Programação!$AP$5:$AP$1004,0))="","",INDEX(Programação!$U$5:$U$1004,MATCH(20,Programação!$AP$5:$AP$1004,0))))</f>
        <v>Local: Matriz · Para programar · OS informadas: 007011, 007012, 007013 · ⚠️ Aguardando identificação da OS correspondente · Origem: WhatsApp 02/09</v>
      </c>
      <c r="H27" s="22" t="n">
        <f aca="false">IF(COUNT(Programação!$AP$5:$AP$1004)&lt;20,"",MATCH(20,Programação!$AP$5:$AP$1004,0)+4)</f>
        <v>260</v>
      </c>
    </row>
    <row r="28" customFormat="false" ht="15.75" hidden="false" customHeight="true" outlineLevel="0" collapsed="false">
      <c r="A28" s="22" t="str">
        <f aca="false">IF(COUNT(Programação!$AP$5:$AP$1004)&lt;21,"",IF(INDEX(Programação!$AM$5:$AM$1004,MATCH(21,Programação!$AP$5:$AP$1004,0))="","",INDEX(Programação!$AM$5:$AM$1004,MATCH(21,Programação!$AP$5:$AP$1004,0))))</f>
        <v/>
      </c>
      <c r="B28" s="22" t="str">
        <f aca="false">IF(COUNT(Programação!$AP$5:$AP$1004)&lt;21,"",IF(INDEX(Programação!$C$5:$C$1004,MATCH(21,Programação!$AP$5:$AP$1004,0))="","",INDEX(Programação!$C$5:$C$1004,MATCH(21,Programação!$AP$5:$AP$1004,0))))</f>
        <v/>
      </c>
      <c r="C28" s="22" t="str">
        <f aca="false">IF(COUNT(Programação!$AP$5:$AP$1004)&lt;21,"",IF(INDEX(Programação!$D$5:$D$1004,MATCH(21,Programação!$AP$5:$AP$1004,0))="","",INDEX(Programação!$D$5:$D$1004,MATCH(21,Programação!$AP$5:$AP$1004,0))))</f>
        <v>F-425</v>
      </c>
      <c r="D28" s="22" t="str">
        <f aca="false">IF(COUNT(Programação!$AP$5:$AP$1004)&lt;21,"",IF(INDEX(Programação!$AN$5:$AN$1004,MATCH(21,Programação!$AP$5:$AP$1004,0))="","",INDEX(Programação!$AN$5:$AN$1004,MATCH(21,Programação!$AP$5:$AP$1004,0))))</f>
        <v/>
      </c>
      <c r="E28" s="24" t="str">
        <f aca="false">IF(COUNT(Programação!$AP$5:$AP$1004)&lt;21,"",IF(INDEX(Programação!$F$5:$F$1004,MATCH(21,Programação!$AP$5:$AP$1004,0))="","",INDEX(Programação!$F$5:$F$1004,MATCH(21,Programação!$AP$5:$AP$1004,0))))</f>
        <v>Verificar pendências na rota de inspeção de setembro</v>
      </c>
      <c r="F28" s="22" t="str">
        <f aca="false">IF(COUNT(Programação!$AP$5:$AP$1004)&lt;21,"",IF(INDEX(Programação!$G$5:$G$1004,MATCH(21,Programação!$AP$5:$AP$1004,0))="","",INDEX(Programação!$G$5:$G$1004,MATCH(21,Programação!$AP$5:$AP$1004,0))))</f>
        <v>Inspeção</v>
      </c>
      <c r="G28" s="24" t="str">
        <f aca="false">IF(COUNT(Programação!$AP$5:$AP$1004)&lt;21,"",IF(INDEX(Programação!$U$5:$U$1004,MATCH(21,Programação!$AP$5:$AP$1004,0))="","",INDEX(Programação!$U$5:$U$1004,MATCH(21,Programação!$AP$5:$AP$1004,0))))</f>
        <v>Verificar na rota de inspeção de setembro — sem pendências mapeadas</v>
      </c>
      <c r="H28" s="22" t="n">
        <f aca="false">IF(COUNT(Programação!$AP$5:$AP$1004)&lt;21,"",MATCH(21,Programação!$AP$5:$AP$1004,0)+4)</f>
        <v>240</v>
      </c>
    </row>
    <row r="29" customFormat="false" ht="15.75" hidden="false" customHeight="true" outlineLevel="0" collapsed="false">
      <c r="A29" s="22" t="str">
        <f aca="false">IF(COUNT(Programação!$AP$5:$AP$1004)&lt;22,"",IF(INDEX(Programação!$AM$5:$AM$1004,MATCH(22,Programação!$AP$5:$AP$1004,0))="","",INDEX(Programação!$AM$5:$AM$1004,MATCH(22,Programação!$AP$5:$AP$1004,0))))</f>
        <v/>
      </c>
      <c r="B29" s="22" t="str">
        <f aca="false">IF(COUNT(Programação!$AP$5:$AP$1004)&lt;22,"",IF(INDEX(Programação!$C$5:$C$1004,MATCH(22,Programação!$AP$5:$AP$1004,0))="","",INDEX(Programação!$C$5:$C$1004,MATCH(22,Programação!$AP$5:$AP$1004,0))))</f>
        <v/>
      </c>
      <c r="C29" s="22" t="str">
        <f aca="false">IF(COUNT(Programação!$AP$5:$AP$1004)&lt;22,"",IF(INDEX(Programação!$D$5:$D$1004,MATCH(22,Programação!$AP$5:$AP$1004,0))="","",INDEX(Programação!$D$5:$D$1004,MATCH(22,Programação!$AP$5:$AP$1004,0))))</f>
        <v>F-433</v>
      </c>
      <c r="D29" s="22" t="str">
        <f aca="false">IF(COUNT(Programação!$AP$5:$AP$1004)&lt;22,"",IF(INDEX(Programação!$AN$5:$AN$1004,MATCH(22,Programação!$AP$5:$AP$1004,0))="","",INDEX(Programação!$AN$5:$AN$1004,MATCH(22,Programação!$AP$5:$AP$1004,0))))</f>
        <v/>
      </c>
      <c r="E29" s="24" t="str">
        <f aca="false">IF(COUNT(Programação!$AP$5:$AP$1004)&lt;22,"",IF(INDEX(Programação!$F$5:$F$1004,MATCH(22,Programação!$AP$5:$AP$1004,0))="","",INDEX(Programação!$F$5:$F$1004,MATCH(22,Programação!$AP$5:$AP$1004,0))))</f>
        <v>Verificar pendências na rota de inspeção de setembro</v>
      </c>
      <c r="F29" s="22" t="str">
        <f aca="false">IF(COUNT(Programação!$AP$5:$AP$1004)&lt;22,"",IF(INDEX(Programação!$G$5:$G$1004,MATCH(22,Programação!$AP$5:$AP$1004,0))="","",INDEX(Programação!$G$5:$G$1004,MATCH(22,Programação!$AP$5:$AP$1004,0))))</f>
        <v>Inspeção</v>
      </c>
      <c r="G29" s="24" t="str">
        <f aca="false">IF(COUNT(Programação!$AP$5:$AP$1004)&lt;22,"",IF(INDEX(Programação!$U$5:$U$1004,MATCH(22,Programação!$AP$5:$AP$1004,0))="","",INDEX(Programação!$U$5:$U$1004,MATCH(22,Programação!$AP$5:$AP$1004,0))))</f>
        <v>Verificar na rota de inspeção de setembro — sem pendências mapeadas</v>
      </c>
      <c r="H29" s="22" t="n">
        <f aca="false">IF(COUNT(Programação!$AP$5:$AP$1004)&lt;22,"",MATCH(22,Programação!$AP$5:$AP$1004,0)+4)</f>
        <v>242</v>
      </c>
    </row>
    <row r="30" customFormat="false" ht="15.75" hidden="false" customHeight="true" outlineLevel="0" collapsed="false">
      <c r="A30" s="22" t="str">
        <f aca="false">IF(COUNT(Programação!$AP$5:$AP$1004)&lt;23,"",IF(INDEX(Programação!$AM$5:$AM$1004,MATCH(23,Programação!$AP$5:$AP$1004,0))="","",INDEX(Programação!$AM$5:$AM$1004,MATCH(23,Programação!$AP$5:$AP$1004,0))))</f>
        <v/>
      </c>
      <c r="B30" s="22" t="str">
        <f aca="false">IF(COUNT(Programação!$AP$5:$AP$1004)&lt;23,"",IF(INDEX(Programação!$C$5:$C$1004,MATCH(23,Programação!$AP$5:$AP$1004,0))="","",INDEX(Programação!$C$5:$C$1004,MATCH(23,Programação!$AP$5:$AP$1004,0))))</f>
        <v/>
      </c>
      <c r="C30" s="22" t="str">
        <f aca="false">IF(COUNT(Programação!$AP$5:$AP$1004)&lt;23,"",IF(INDEX(Programação!$D$5:$D$1004,MATCH(23,Programação!$AP$5:$AP$1004,0))="","",INDEX(Programação!$D$5:$D$1004,MATCH(23,Programação!$AP$5:$AP$1004,0))))</f>
        <v>F-621</v>
      </c>
      <c r="D30" s="22" t="str">
        <f aca="false">IF(COUNT(Programação!$AP$5:$AP$1004)&lt;23,"",IF(INDEX(Programação!$AN$5:$AN$1004,MATCH(23,Programação!$AP$5:$AP$1004,0))="","",INDEX(Programação!$AN$5:$AN$1004,MATCH(23,Programação!$AP$5:$AP$1004,0))))</f>
        <v/>
      </c>
      <c r="E30" s="24" t="str">
        <f aca="false">IF(COUNT(Programação!$AP$5:$AP$1004)&lt;23,"",IF(INDEX(Programação!$F$5:$F$1004,MATCH(23,Programação!$AP$5:$AP$1004,0))="","",INDEX(Programação!$F$5:$F$1004,MATCH(23,Programação!$AP$5:$AP$1004,0))))</f>
        <v>Verificar pendências na rota de inspeção de setembro</v>
      </c>
      <c r="F30" s="22" t="str">
        <f aca="false">IF(COUNT(Programação!$AP$5:$AP$1004)&lt;23,"",IF(INDEX(Programação!$G$5:$G$1004,MATCH(23,Programação!$AP$5:$AP$1004,0))="","",INDEX(Programação!$G$5:$G$1004,MATCH(23,Programação!$AP$5:$AP$1004,0))))</f>
        <v>Inspeção</v>
      </c>
      <c r="G30" s="24" t="str">
        <f aca="false">IF(COUNT(Programação!$AP$5:$AP$1004)&lt;23,"",IF(INDEX(Programação!$U$5:$U$1004,MATCH(23,Programação!$AP$5:$AP$1004,0))="","",INDEX(Programação!$U$5:$U$1004,MATCH(23,Programação!$AP$5:$AP$1004,0))))</f>
        <v>Verificar na rota de inspeção de setembro — sem pendências mapeadas</v>
      </c>
      <c r="H30" s="22" t="n">
        <f aca="false">IF(COUNT(Programação!$AP$5:$AP$1004)&lt;23,"",MATCH(23,Programação!$AP$5:$AP$1004,0)+4)</f>
        <v>241</v>
      </c>
    </row>
    <row r="31" customFormat="false" ht="15.75" hidden="false" customHeight="true" outlineLevel="0" collapsed="false">
      <c r="A31" s="22" t="str">
        <f aca="false">IF(COUNT(Programação!$AP$5:$AP$1004)&lt;24,"",IF(INDEX(Programação!$AM$5:$AM$1004,MATCH(24,Programação!$AP$5:$AP$1004,0))="","",INDEX(Programação!$AM$5:$AM$1004,MATCH(24,Programação!$AP$5:$AP$1004,0))))</f>
        <v/>
      </c>
      <c r="B31" s="22" t="str">
        <f aca="false">IF(COUNT(Programação!$AP$5:$AP$1004)&lt;24,"",IF(INDEX(Programação!$C$5:$C$1004,MATCH(24,Programação!$AP$5:$AP$1004,0))="","",INDEX(Programação!$C$5:$C$1004,MATCH(24,Programação!$AP$5:$AP$1004,0))))</f>
        <v/>
      </c>
      <c r="C31" s="22" t="str">
        <f aca="false">IF(COUNT(Programação!$AP$5:$AP$1004)&lt;24,"",IF(INDEX(Programação!$D$5:$D$1004,MATCH(24,Programação!$AP$5:$AP$1004,0))="","",INDEX(Programação!$D$5:$D$1004,MATCH(24,Programação!$AP$5:$AP$1004,0))))</f>
        <v>F-745</v>
      </c>
      <c r="D31" s="22" t="str">
        <f aca="false">IF(COUNT(Programação!$AP$5:$AP$1004)&lt;24,"",IF(INDEX(Programação!$AN$5:$AN$1004,MATCH(24,Programação!$AP$5:$AP$1004,0))="","",INDEX(Programação!$AN$5:$AN$1004,MATCH(24,Programação!$AP$5:$AP$1004,0))))</f>
        <v/>
      </c>
      <c r="E31" s="24" t="str">
        <f aca="false">IF(COUNT(Programação!$AP$5:$AP$1004)&lt;24,"",IF(INDEX(Programação!$F$5:$F$1004,MATCH(24,Programação!$AP$5:$AP$1004,0))="","",INDEX(Programação!$F$5:$F$1004,MATCH(24,Programação!$AP$5:$AP$1004,0))))</f>
        <v>Verificar pendências na rota de inspeção de setembro</v>
      </c>
      <c r="F31" s="22" t="str">
        <f aca="false">IF(COUNT(Programação!$AP$5:$AP$1004)&lt;24,"",IF(INDEX(Programação!$G$5:$G$1004,MATCH(24,Programação!$AP$5:$AP$1004,0))="","",INDEX(Programação!$G$5:$G$1004,MATCH(24,Programação!$AP$5:$AP$1004,0))))</f>
        <v>Inspeção</v>
      </c>
      <c r="G31" s="24" t="str">
        <f aca="false">IF(COUNT(Programação!$AP$5:$AP$1004)&lt;24,"",IF(INDEX(Programação!$U$5:$U$1004,MATCH(24,Programação!$AP$5:$AP$1004,0))="","",INDEX(Programação!$U$5:$U$1004,MATCH(24,Programação!$AP$5:$AP$1004,0))))</f>
        <v>Verificar na rota de inspeção de setembro — sem pendências mapeadas</v>
      </c>
      <c r="H31" s="22" t="n">
        <f aca="false">IF(COUNT(Programação!$AP$5:$AP$1004)&lt;24,"",MATCH(24,Programação!$AP$5:$AP$1004,0)+4)</f>
        <v>244</v>
      </c>
    </row>
    <row r="32" customFormat="false" ht="15.75" hidden="false" customHeight="true" outlineLevel="0" collapsed="false">
      <c r="A32" s="22" t="str">
        <f aca="false">IF(COUNT(Programação!$AP$5:$AP$1004)&lt;25,"",IF(INDEX(Programação!$AM$5:$AM$1004,MATCH(25,Programação!$AP$5:$AP$1004,0))="","",INDEX(Programação!$AM$5:$AM$1004,MATCH(25,Programação!$AP$5:$AP$1004,0))))</f>
        <v/>
      </c>
      <c r="B32" s="22" t="str">
        <f aca="false">IF(COUNT(Programação!$AP$5:$AP$1004)&lt;25,"",IF(INDEX(Programação!$C$5:$C$1004,MATCH(25,Programação!$AP$5:$AP$1004,0))="","",INDEX(Programação!$C$5:$C$1004,MATCH(25,Programação!$AP$5:$AP$1004,0))))</f>
        <v/>
      </c>
      <c r="C32" s="22" t="str">
        <f aca="false">IF(COUNT(Programação!$AP$5:$AP$1004)&lt;25,"",IF(INDEX(Programação!$D$5:$D$1004,MATCH(25,Programação!$AP$5:$AP$1004,0))="","",INDEX(Programação!$D$5:$D$1004,MATCH(25,Programação!$AP$5:$AP$1004,0))))</f>
        <v>F-817</v>
      </c>
      <c r="D32" s="22" t="str">
        <f aca="false">IF(COUNT(Programação!$AP$5:$AP$1004)&lt;25,"",IF(INDEX(Programação!$AN$5:$AN$1004,MATCH(25,Programação!$AP$5:$AP$1004,0))="","",INDEX(Programação!$AN$5:$AN$1004,MATCH(25,Programação!$AP$5:$AP$1004,0))))</f>
        <v/>
      </c>
      <c r="E32" s="24" t="str">
        <f aca="false">IF(COUNT(Programação!$AP$5:$AP$1004)&lt;25,"",IF(INDEX(Programação!$F$5:$F$1004,MATCH(25,Programação!$AP$5:$AP$1004,0))="","",INDEX(Programação!$F$5:$F$1004,MATCH(25,Programação!$AP$5:$AP$1004,0))))</f>
        <v>Verificar pendências na rota de inspeção de setembro</v>
      </c>
      <c r="F32" s="22" t="str">
        <f aca="false">IF(COUNT(Programação!$AP$5:$AP$1004)&lt;25,"",IF(INDEX(Programação!$G$5:$G$1004,MATCH(25,Programação!$AP$5:$AP$1004,0))="","",INDEX(Programação!$G$5:$G$1004,MATCH(25,Programação!$AP$5:$AP$1004,0))))</f>
        <v>Inspeção</v>
      </c>
      <c r="G32" s="24" t="str">
        <f aca="false">IF(COUNT(Programação!$AP$5:$AP$1004)&lt;25,"",IF(INDEX(Programação!$U$5:$U$1004,MATCH(25,Programação!$AP$5:$AP$1004,0))="","",INDEX(Programação!$U$5:$U$1004,MATCH(25,Programação!$AP$5:$AP$1004,0))))</f>
        <v>Verificar na rota de inspeção de setembro — sem pendências mapeadas</v>
      </c>
      <c r="H32" s="22" t="n">
        <f aca="false">IF(COUNT(Programação!$AP$5:$AP$1004)&lt;25,"",MATCH(25,Programação!$AP$5:$AP$1004,0)+4)</f>
        <v>243</v>
      </c>
    </row>
    <row r="33" customFormat="false" ht="15.75" hidden="false" customHeight="true" outlineLevel="0" collapsed="false">
      <c r="A33" s="22" t="str">
        <f aca="false">IF(COUNT(Programação!$AP$5:$AP$1004)&lt;26,"",IF(INDEX(Programação!$AM$5:$AM$1004,MATCH(26,Programação!$AP$5:$AP$1004,0))="","",INDEX(Programação!$AM$5:$AM$1004,MATCH(26,Programação!$AP$5:$AP$1004,0))))</f>
        <v/>
      </c>
      <c r="B33" s="22" t="str">
        <f aca="false">IF(COUNT(Programação!$AP$5:$AP$1004)&lt;26,"",IF(INDEX(Programação!$C$5:$C$1004,MATCH(26,Programação!$AP$5:$AP$1004,0))="","",INDEX(Programação!$C$5:$C$1004,MATCH(26,Programação!$AP$5:$AP$1004,0))))</f>
        <v>021390</v>
      </c>
      <c r="C33" s="22" t="str">
        <f aca="false">IF(COUNT(Programação!$AP$5:$AP$1004)&lt;26,"",IF(INDEX(Programação!$D$5:$D$1004,MATCH(26,Programação!$AP$5:$AP$1004,0))="","",INDEX(Programação!$D$5:$D$1004,MATCH(26,Programação!$AP$5:$AP$1004,0))))</f>
        <v>F-938</v>
      </c>
      <c r="D33" s="22" t="str">
        <f aca="false">IF(COUNT(Programação!$AP$5:$AP$1004)&lt;26,"",IF(INDEX(Programação!$AN$5:$AN$1004,MATCH(26,Programação!$AP$5:$AP$1004,0))="","",INDEX(Programação!$AN$5:$AN$1004,MATCH(26,Programação!$AP$5:$AP$1004,0))))</f>
        <v/>
      </c>
      <c r="E33" s="24" t="str">
        <f aca="false">IF(COUNT(Programação!$AP$5:$AP$1004)&lt;26,"",IF(INDEX(Programação!$F$5:$F$1004,MATCH(26,Programação!$AP$5:$AP$1004,0))="","",INDEX(Programação!$F$5:$F$1004,MATCH(26,Programação!$AP$5:$AP$1004,0))))</f>
        <v>Desobstruir esguichos dos limpadores de para-brisas</v>
      </c>
      <c r="F33" s="22" t="str">
        <f aca="false">IF(COUNT(Programação!$AP$5:$AP$1004)&lt;26,"",IF(INDEX(Programação!$G$5:$G$1004,MATCH(26,Programação!$AP$5:$AP$1004,0))="","",INDEX(Programação!$G$5:$G$1004,MATCH(26,Programação!$AP$5:$AP$1004,0))))</f>
        <v>Corretiva</v>
      </c>
      <c r="G33" s="24" t="str">
        <f aca="false">IF(COUNT(Programação!$AP$5:$AP$1004)&lt;26,"",IF(INDEX(Programação!$U$5:$U$1004,MATCH(26,Programação!$AP$5:$AP$1004,0))="","",INDEX(Programação!$U$5:$U$1004,MATCH(26,Programação!$AP$5:$AP$1004,0))))</f>
        <v/>
      </c>
      <c r="H33" s="22" t="n">
        <f aca="false">IF(COUNT(Programação!$AP$5:$AP$1004)&lt;26,"",MATCH(26,Programação!$AP$5:$AP$1004,0)+4)</f>
        <v>245</v>
      </c>
    </row>
    <row r="34" customFormat="false" ht="15.75" hidden="false" customHeight="true" outlineLevel="0" collapsed="false">
      <c r="A34" s="22" t="str">
        <f aca="false">IF(COUNT(Programação!$AP$5:$AP$1004)&lt;27,"",IF(INDEX(Programação!$AM$5:$AM$1004,MATCH(27,Programação!$AP$5:$AP$1004,0))="","",INDEX(Programação!$AM$5:$AM$1004,MATCH(27,Programação!$AP$5:$AP$1004,0))))</f>
        <v/>
      </c>
      <c r="B34" s="22" t="str">
        <f aca="false">IF(COUNT(Programação!$AP$5:$AP$1004)&lt;27,"",IF(INDEX(Programação!$C$5:$C$1004,MATCH(27,Programação!$AP$5:$AP$1004,0))="","",INDEX(Programação!$C$5:$C$1004,MATCH(27,Programação!$AP$5:$AP$1004,0))))</f>
        <v>021394</v>
      </c>
      <c r="C34" s="22" t="str">
        <f aca="false">IF(COUNT(Programação!$AP$5:$AP$1004)&lt;27,"",IF(INDEX(Programação!$D$5:$D$1004,MATCH(27,Programação!$AP$5:$AP$1004,0))="","",INDEX(Programação!$D$5:$D$1004,MATCH(27,Programação!$AP$5:$AP$1004,0))))</f>
        <v>F-938</v>
      </c>
      <c r="D34" s="22" t="str">
        <f aca="false">IF(COUNT(Programação!$AP$5:$AP$1004)&lt;27,"",IF(INDEX(Programação!$AN$5:$AN$1004,MATCH(27,Programação!$AP$5:$AP$1004,0))="","",INDEX(Programação!$AN$5:$AN$1004,MATCH(27,Programação!$AP$5:$AP$1004,0))))</f>
        <v/>
      </c>
      <c r="E34" s="24" t="str">
        <f aca="false">IF(COUNT(Programação!$AP$5:$AP$1004)&lt;27,"",IF(INDEX(Programação!$F$5:$F$1004,MATCH(27,Programação!$AP$5:$AP$1004,0))="","",INDEX(Programação!$F$5:$F$1004,MATCH(27,Programação!$AP$5:$AP$1004,0))))</f>
        <v>Instalar lameiras dianteiras</v>
      </c>
      <c r="F34" s="22" t="str">
        <f aca="false">IF(COUNT(Programação!$AP$5:$AP$1004)&lt;27,"",IF(INDEX(Programação!$G$5:$G$1004,MATCH(27,Programação!$AP$5:$AP$1004,0))="","",INDEX(Programação!$G$5:$G$1004,MATCH(27,Programação!$AP$5:$AP$1004,0))))</f>
        <v>Corretiva</v>
      </c>
      <c r="G34" s="24" t="str">
        <f aca="false">IF(COUNT(Programação!$AP$5:$AP$1004)&lt;27,"",IF(INDEX(Programação!$U$5:$U$1004,MATCH(27,Programação!$AP$5:$AP$1004,0))="","",INDEX(Programação!$U$5:$U$1004,MATCH(27,Programação!$AP$5:$AP$1004,0))))</f>
        <v/>
      </c>
      <c r="H34" s="22" t="n">
        <f aca="false">IF(COUNT(Programação!$AP$5:$AP$1004)&lt;27,"",MATCH(27,Programação!$AP$5:$AP$1004,0)+4)</f>
        <v>246</v>
      </c>
    </row>
    <row r="35" customFormat="false" ht="15.75" hidden="false" customHeight="true" outlineLevel="0" collapsed="false">
      <c r="A35" s="22" t="str">
        <f aca="false">IF(COUNT(Programação!$AP$5:$AP$1004)&lt;28,"",IF(INDEX(Programação!$AM$5:$AM$1004,MATCH(28,Programação!$AP$5:$AP$1004,0))="","",INDEX(Programação!$AM$5:$AM$1004,MATCH(28,Programação!$AP$5:$AP$1004,0))))</f>
        <v/>
      </c>
      <c r="B35" s="22" t="str">
        <f aca="false">IF(COUNT(Programação!$AP$5:$AP$1004)&lt;28,"",IF(INDEX(Programação!$C$5:$C$1004,MATCH(28,Programação!$AP$5:$AP$1004,0))="","",INDEX(Programação!$C$5:$C$1004,MATCH(28,Programação!$AP$5:$AP$1004,0))))</f>
        <v>021396</v>
      </c>
      <c r="C35" s="22" t="str">
        <f aca="false">IF(COUNT(Programação!$AP$5:$AP$1004)&lt;28,"",IF(INDEX(Programação!$D$5:$D$1004,MATCH(28,Programação!$AP$5:$AP$1004,0))="","",INDEX(Programação!$D$5:$D$1004,MATCH(28,Programação!$AP$5:$AP$1004,0))))</f>
        <v>F-938</v>
      </c>
      <c r="D35" s="22" t="str">
        <f aca="false">IF(COUNT(Programação!$AP$5:$AP$1004)&lt;28,"",IF(INDEX(Programação!$AN$5:$AN$1004,MATCH(28,Programação!$AP$5:$AP$1004,0))="","",INDEX(Programação!$AN$5:$AN$1004,MATCH(28,Programação!$AP$5:$AP$1004,0))))</f>
        <v/>
      </c>
      <c r="E35" s="24" t="str">
        <f aca="false">IF(COUNT(Programação!$AP$5:$AP$1004)&lt;28,"",IF(INDEX(Programação!$F$5:$F$1004,MATCH(28,Programação!$AP$5:$AP$1004,0))="","",INDEX(Programação!$F$5:$F$1004,MATCH(28,Programação!$AP$5:$AP$1004,0))))</f>
        <v>Instalar indicadores de porcas folgadas nas rodas</v>
      </c>
      <c r="F35" s="22" t="str">
        <f aca="false">IF(COUNT(Programação!$AP$5:$AP$1004)&lt;28,"",IF(INDEX(Programação!$G$5:$G$1004,MATCH(28,Programação!$AP$5:$AP$1004,0))="","",INDEX(Programação!$G$5:$G$1004,MATCH(28,Programação!$AP$5:$AP$1004,0))))</f>
        <v>Corretiva</v>
      </c>
      <c r="G35" s="24" t="str">
        <f aca="false">IF(COUNT(Programação!$AP$5:$AP$1004)&lt;28,"",IF(INDEX(Programação!$U$5:$U$1004,MATCH(28,Programação!$AP$5:$AP$1004,0))="","",INDEX(Programação!$U$5:$U$1004,MATCH(28,Programação!$AP$5:$AP$1004,0))))</f>
        <v/>
      </c>
      <c r="H35" s="22" t="n">
        <f aca="false">IF(COUNT(Programação!$AP$5:$AP$1004)&lt;28,"",MATCH(28,Programação!$AP$5:$AP$1004,0)+4)</f>
        <v>247</v>
      </c>
    </row>
    <row r="36" customFormat="false" ht="15.75" hidden="false" customHeight="true" outlineLevel="0" collapsed="false">
      <c r="A36" s="22" t="str">
        <f aca="false">IF(COUNT(Programação!$AP$5:$AP$1004)&lt;29,"",IF(INDEX(Programação!$AM$5:$AM$1004,MATCH(29,Programação!$AP$5:$AP$1004,0))="","",INDEX(Programação!$AM$5:$AM$1004,MATCH(29,Programação!$AP$5:$AP$1004,0))))</f>
        <v/>
      </c>
      <c r="B36" s="22" t="str">
        <f aca="false">IF(COUNT(Programação!$AP$5:$AP$1004)&lt;29,"",IF(INDEX(Programação!$C$5:$C$1004,MATCH(29,Programação!$AP$5:$AP$1004,0))="","",INDEX(Programação!$C$5:$C$1004,MATCH(29,Programação!$AP$5:$AP$1004,0))))</f>
        <v>021397</v>
      </c>
      <c r="C36" s="22" t="str">
        <f aca="false">IF(COUNT(Programação!$AP$5:$AP$1004)&lt;29,"",IF(INDEX(Programação!$D$5:$D$1004,MATCH(29,Programação!$AP$5:$AP$1004,0))="","",INDEX(Programação!$D$5:$D$1004,MATCH(29,Programação!$AP$5:$AP$1004,0))))</f>
        <v>F-938</v>
      </c>
      <c r="D36" s="22" t="str">
        <f aca="false">IF(COUNT(Programação!$AP$5:$AP$1004)&lt;29,"",IF(INDEX(Programação!$AN$5:$AN$1004,MATCH(29,Programação!$AP$5:$AP$1004,0))="","",INDEX(Programação!$AN$5:$AN$1004,MATCH(29,Programação!$AP$5:$AP$1004,0))))</f>
        <v/>
      </c>
      <c r="E36" s="24" t="str">
        <f aca="false">IF(COUNT(Programação!$AP$5:$AP$1004)&lt;29,"",IF(INDEX(Programação!$F$5:$F$1004,MATCH(29,Programação!$AP$5:$AP$1004,0))="","",INDEX(Programação!$F$5:$F$1004,MATCH(29,Programação!$AP$5:$AP$1004,0))))</f>
        <v>Regular freios do terceiro eixo LE e LD</v>
      </c>
      <c r="F36" s="22" t="str">
        <f aca="false">IF(COUNT(Programação!$AP$5:$AP$1004)&lt;29,"",IF(INDEX(Programação!$G$5:$G$1004,MATCH(29,Programação!$AP$5:$AP$1004,0))="","",INDEX(Programação!$G$5:$G$1004,MATCH(29,Programação!$AP$5:$AP$1004,0))))</f>
        <v>Corretiva</v>
      </c>
      <c r="G36" s="24" t="str">
        <f aca="false">IF(COUNT(Programação!$AP$5:$AP$1004)&lt;29,"",IF(INDEX(Programação!$U$5:$U$1004,MATCH(29,Programação!$AP$5:$AP$1004,0))="","",INDEX(Programação!$U$5:$U$1004,MATCH(29,Programação!$AP$5:$AP$1004,0))))</f>
        <v/>
      </c>
      <c r="H36" s="22" t="n">
        <f aca="false">IF(COUNT(Programação!$AP$5:$AP$1004)&lt;29,"",MATCH(29,Programação!$AP$5:$AP$1004,0)+4)</f>
        <v>248</v>
      </c>
    </row>
    <row r="37" customFormat="false" ht="15.75" hidden="false" customHeight="true" outlineLevel="0" collapsed="false">
      <c r="A37" s="22" t="str">
        <f aca="false">IF(COUNT(Programação!$AP$5:$AP$1004)&lt;30,"",IF(INDEX(Programação!$AM$5:$AM$1004,MATCH(30,Programação!$AP$5:$AP$1004,0))="","",INDEX(Programação!$AM$5:$AM$1004,MATCH(30,Programação!$AP$5:$AP$1004,0))))</f>
        <v/>
      </c>
      <c r="B37" s="22" t="str">
        <f aca="false">IF(COUNT(Programação!$AP$5:$AP$1004)&lt;30,"",IF(INDEX(Programação!$C$5:$C$1004,MATCH(30,Programação!$AP$5:$AP$1004,0))="","",INDEX(Programação!$C$5:$C$1004,MATCH(30,Programação!$AP$5:$AP$1004,0))))</f>
        <v>007166</v>
      </c>
      <c r="C37" s="22" t="str">
        <f aca="false">IF(COUNT(Programação!$AP$5:$AP$1004)&lt;30,"",IF(INDEX(Programação!$D$5:$D$1004,MATCH(30,Programação!$AP$5:$AP$1004,0))="","",INDEX(Programação!$D$5:$D$1004,MATCH(30,Programação!$AP$5:$AP$1004,0))))</f>
        <v>F-964</v>
      </c>
      <c r="D37" s="22" t="str">
        <f aca="false">IF(COUNT(Programação!$AP$5:$AP$1004)&lt;30,"",IF(INDEX(Programação!$AN$5:$AN$1004,MATCH(30,Programação!$AP$5:$AP$1004,0))="","",INDEX(Programação!$AN$5:$AN$1004,MATCH(30,Programação!$AP$5:$AP$1004,0))))</f>
        <v/>
      </c>
      <c r="E37" s="24" t="str">
        <f aca="false">IF(COUNT(Programação!$AP$5:$AP$1004)&lt;30,"",IF(INDEX(Programação!$F$5:$F$1004,MATCH(30,Programação!$AP$5:$AP$1004,0))="","",INDEX(Programação!$F$5:$F$1004,MATCH(30,Programação!$AP$5:$AP$1004,0))))</f>
        <v>Substituir anéis de vedação das unidades</v>
      </c>
      <c r="F37" s="22" t="str">
        <f aca="false">IF(COUNT(Programação!$AP$5:$AP$1004)&lt;30,"",IF(INDEX(Programação!$G$5:$G$1004,MATCH(30,Programação!$AP$5:$AP$1004,0))="","",INDEX(Programação!$G$5:$G$1004,MATCH(30,Programação!$AP$5:$AP$1004,0))))</f>
        <v>Corretiva</v>
      </c>
      <c r="G37" s="24" t="str">
        <f aca="false">IF(COUNT(Programação!$AP$5:$AP$1004)&lt;30,"",IF(INDEX(Programação!$U$5:$U$1004,MATCH(30,Programação!$AP$5:$AP$1004,0))="","",INDEX(Programação!$U$5:$U$1004,MATCH(30,Programação!$AP$5:$AP$1004,0))))</f>
        <v>OS 7166 · devido vazamento nas unidades · peças A 023 997 64 48 (6 unidades) e A 023 997 65 48 · ⚠️ texto veio cortado do PDF de inspeção</v>
      </c>
      <c r="H37" s="22" t="n">
        <f aca="false">IF(COUNT(Programação!$AP$5:$AP$1004)&lt;30,"",MATCH(30,Programação!$AP$5:$AP$1004,0)+4)</f>
        <v>151</v>
      </c>
    </row>
    <row r="38" customFormat="false" ht="15.75" hidden="false" customHeight="true" outlineLevel="0" collapsed="false">
      <c r="A38" s="22" t="str">
        <f aca="false">IF(COUNT(Programação!$AP$5:$AP$1004)&lt;31,"",IF(INDEX(Programação!$AM$5:$AM$1004,MATCH(31,Programação!$AP$5:$AP$1004,0))="","",INDEX(Programação!$AM$5:$AM$1004,MATCH(31,Programação!$AP$5:$AP$1004,0))))</f>
        <v/>
      </c>
      <c r="B38" s="22" t="str">
        <f aca="false">IF(COUNT(Programação!$AP$5:$AP$1004)&lt;31,"",IF(INDEX(Programação!$C$5:$C$1004,MATCH(31,Programação!$AP$5:$AP$1004,0))="","",INDEX(Programação!$C$5:$C$1004,MATCH(31,Programação!$AP$5:$AP$1004,0))))</f>
        <v>007168</v>
      </c>
      <c r="C38" s="22" t="str">
        <f aca="false">IF(COUNT(Programação!$AP$5:$AP$1004)&lt;31,"",IF(INDEX(Programação!$D$5:$D$1004,MATCH(31,Programação!$AP$5:$AP$1004,0))="","",INDEX(Programação!$D$5:$D$1004,MATCH(31,Programação!$AP$5:$AP$1004,0))))</f>
        <v>F-964</v>
      </c>
      <c r="D38" s="22" t="str">
        <f aca="false">IF(COUNT(Programação!$AP$5:$AP$1004)&lt;31,"",IF(INDEX(Programação!$AN$5:$AN$1004,MATCH(31,Programação!$AP$5:$AP$1004,0))="","",INDEX(Programação!$AN$5:$AN$1004,MATCH(31,Programação!$AP$5:$AP$1004,0))))</f>
        <v/>
      </c>
      <c r="E38" s="24" t="str">
        <f aca="false">IF(COUNT(Programação!$AP$5:$AP$1004)&lt;31,"",IF(INDEX(Programação!$F$5:$F$1004,MATCH(31,Programação!$AP$5:$AP$1004,0))="","",INDEX(Programação!$F$5:$F$1004,MATCH(31,Programação!$AP$5:$AP$1004,0))))</f>
        <v>Repor espelho retrovisor inferior LE</v>
      </c>
      <c r="F38" s="22" t="str">
        <f aca="false">IF(COUNT(Programação!$AP$5:$AP$1004)&lt;31,"",IF(INDEX(Programação!$G$5:$G$1004,MATCH(31,Programação!$AP$5:$AP$1004,0))="","",INDEX(Programação!$G$5:$G$1004,MATCH(31,Programação!$AP$5:$AP$1004,0))))</f>
        <v>Corretiva</v>
      </c>
      <c r="G38" s="24" t="str">
        <f aca="false">IF(COUNT(Programação!$AP$5:$AP$1004)&lt;31,"",IF(INDEX(Programação!$U$5:$U$1004,MATCH(31,Programação!$AP$5:$AP$1004,0))="","",INDEX(Programação!$U$5:$U$1004,MATCH(31,Programação!$AP$5:$AP$1004,0))))</f>
        <v>OS 7168 · peças A 000 810 24 79 e A 002 811 31 33 (retrovisor auxiliar completo)</v>
      </c>
      <c r="H38" s="22" t="n">
        <f aca="false">IF(COUNT(Programação!$AP$5:$AP$1004)&lt;31,"",MATCH(31,Programação!$AP$5:$AP$1004,0)+4)</f>
        <v>155</v>
      </c>
    </row>
    <row r="39" customFormat="false" ht="15.75" hidden="false" customHeight="true" outlineLevel="0" collapsed="false">
      <c r="A39" s="22" t="str">
        <f aca="false">IF(COUNT(Programação!$AP$5:$AP$1004)&lt;32,"",IF(INDEX(Programação!$AM$5:$AM$1004,MATCH(32,Programação!$AP$5:$AP$1004,0))="","",INDEX(Programação!$AM$5:$AM$1004,MATCH(32,Programação!$AP$5:$AP$1004,0))))</f>
        <v/>
      </c>
      <c r="B39" s="22" t="str">
        <f aca="false">IF(COUNT(Programação!$AP$5:$AP$1004)&lt;32,"",IF(INDEX(Programação!$C$5:$C$1004,MATCH(32,Programação!$AP$5:$AP$1004,0))="","",INDEX(Programação!$C$5:$C$1004,MATCH(32,Programação!$AP$5:$AP$1004,0))))</f>
        <v>007168</v>
      </c>
      <c r="C39" s="22" t="str">
        <f aca="false">IF(COUNT(Programação!$AP$5:$AP$1004)&lt;32,"",IF(INDEX(Programação!$D$5:$D$1004,MATCH(32,Programação!$AP$5:$AP$1004,0))="","",INDEX(Programação!$D$5:$D$1004,MATCH(32,Programação!$AP$5:$AP$1004,0))))</f>
        <v>F-964</v>
      </c>
      <c r="D39" s="22" t="str">
        <f aca="false">IF(COUNT(Programação!$AP$5:$AP$1004)&lt;32,"",IF(INDEX(Programação!$AN$5:$AN$1004,MATCH(32,Programação!$AP$5:$AP$1004,0))="","",INDEX(Programação!$AN$5:$AN$1004,MATCH(32,Programação!$AP$5:$AP$1004,0))))</f>
        <v/>
      </c>
      <c r="E39" s="24" t="str">
        <f aca="false">IF(COUNT(Programação!$AP$5:$AP$1004)&lt;32,"",IF(INDEX(Programação!$F$5:$F$1004,MATCH(32,Programação!$AP$5:$AP$1004,0))="","",INDEX(Programação!$F$5:$F$1004,MATCH(32,Programação!$AP$5:$AP$1004,0))))</f>
        <v>Repor acabamento das abraçadeiras do retrovisor LD</v>
      </c>
      <c r="F39" s="22" t="str">
        <f aca="false">IF(COUNT(Programação!$AP$5:$AP$1004)&lt;32,"",IF(INDEX(Programação!$G$5:$G$1004,MATCH(32,Programação!$AP$5:$AP$1004,0))="","",INDEX(Programação!$G$5:$G$1004,MATCH(32,Programação!$AP$5:$AP$1004,0))))</f>
        <v>Corretiva</v>
      </c>
      <c r="G39" s="24" t="str">
        <f aca="false">IF(COUNT(Programação!$AP$5:$AP$1004)&lt;32,"",IF(INDEX(Programação!$U$5:$U$1004,MATCH(32,Programação!$AP$5:$AP$1004,0))="","",INDEX(Programação!$U$5:$U$1004,MATCH(32,Programação!$AP$5:$AP$1004,0))))</f>
        <v>OS 7168 · A 000 811 36 07</v>
      </c>
      <c r="H39" s="22" t="n">
        <f aca="false">IF(COUNT(Programação!$AP$5:$AP$1004)&lt;32,"",MATCH(32,Programação!$AP$5:$AP$1004,0)+4)</f>
        <v>163</v>
      </c>
    </row>
    <row r="40" customFormat="false" ht="15.75" hidden="false" customHeight="true" outlineLevel="0" collapsed="false">
      <c r="A40" s="22" t="str">
        <f aca="false">IF(COUNT(Programação!$AP$5:$AP$1004)&lt;33,"",IF(INDEX(Programação!$AM$5:$AM$1004,MATCH(33,Programação!$AP$5:$AP$1004,0))="","",INDEX(Programação!$AM$5:$AM$1004,MATCH(33,Programação!$AP$5:$AP$1004,0))))</f>
        <v/>
      </c>
      <c r="B40" s="22" t="str">
        <f aca="false">IF(COUNT(Programação!$AP$5:$AP$1004)&lt;33,"",IF(INDEX(Programação!$C$5:$C$1004,MATCH(33,Programação!$AP$5:$AP$1004,0))="","",INDEX(Programação!$C$5:$C$1004,MATCH(33,Programação!$AP$5:$AP$1004,0))))</f>
        <v>007168</v>
      </c>
      <c r="C40" s="22" t="str">
        <f aca="false">IF(COUNT(Programação!$AP$5:$AP$1004)&lt;33,"",IF(INDEX(Programação!$D$5:$D$1004,MATCH(33,Programação!$AP$5:$AP$1004,0))="","",INDEX(Programação!$D$5:$D$1004,MATCH(33,Programação!$AP$5:$AP$1004,0))))</f>
        <v>F-964</v>
      </c>
      <c r="D40" s="22" t="str">
        <f aca="false">IF(COUNT(Programação!$AP$5:$AP$1004)&lt;33,"",IF(INDEX(Programação!$AN$5:$AN$1004,MATCH(33,Programação!$AP$5:$AP$1004,0))="","",INDEX(Programação!$AN$5:$AN$1004,MATCH(33,Programação!$AP$5:$AP$1004,0))))</f>
        <v/>
      </c>
      <c r="E40" s="24" t="str">
        <f aca="false">IF(COUNT(Programação!$AP$5:$AP$1004)&lt;33,"",IF(INDEX(Programação!$F$5:$F$1004,MATCH(33,Programação!$AP$5:$AP$1004,0))="","",INDEX(Programação!$F$5:$F$1004,MATCH(33,Programação!$AP$5:$AP$1004,0))))</f>
        <v>Repor acabamento inferior do braço do retrovisor LD</v>
      </c>
      <c r="F40" s="22" t="str">
        <f aca="false">IF(COUNT(Programação!$AP$5:$AP$1004)&lt;33,"",IF(INDEX(Programação!$G$5:$G$1004,MATCH(33,Programação!$AP$5:$AP$1004,0))="","",INDEX(Programação!$G$5:$G$1004,MATCH(33,Programação!$AP$5:$AP$1004,0))))</f>
        <v>Corretiva</v>
      </c>
      <c r="G40" s="24" t="str">
        <f aca="false">IF(COUNT(Programação!$AP$5:$AP$1004)&lt;33,"",IF(INDEX(Programação!$U$5:$U$1004,MATCH(33,Programação!$AP$5:$AP$1004,0))="","",INDEX(Programação!$U$5:$U$1004,MATCH(33,Programação!$AP$5:$AP$1004,0))))</f>
        <v>OS 7168 · A 000 811 04 61</v>
      </c>
      <c r="H40" s="22" t="n">
        <f aca="false">IF(COUNT(Programação!$AP$5:$AP$1004)&lt;33,"",MATCH(33,Programação!$AP$5:$AP$1004,0)+4)</f>
        <v>165</v>
      </c>
    </row>
    <row r="41" customFormat="false" ht="15.75" hidden="false" customHeight="true" outlineLevel="0" collapsed="false">
      <c r="A41" s="22" t="str">
        <f aca="false">IF(COUNT(Programação!$AP$5:$AP$1004)&lt;34,"",IF(INDEX(Programação!$AM$5:$AM$1004,MATCH(34,Programação!$AP$5:$AP$1004,0))="","",INDEX(Programação!$AM$5:$AM$1004,MATCH(34,Programação!$AP$5:$AP$1004,0))))</f>
        <v/>
      </c>
      <c r="B41" s="22" t="str">
        <f aca="false">IF(COUNT(Programação!$AP$5:$AP$1004)&lt;34,"",IF(INDEX(Programação!$C$5:$C$1004,MATCH(34,Programação!$AP$5:$AP$1004,0))="","",INDEX(Programação!$C$5:$C$1004,MATCH(34,Programação!$AP$5:$AP$1004,0))))</f>
        <v>007168</v>
      </c>
      <c r="C41" s="22" t="str">
        <f aca="false">IF(COUNT(Programação!$AP$5:$AP$1004)&lt;34,"",IF(INDEX(Programação!$D$5:$D$1004,MATCH(34,Programação!$AP$5:$AP$1004,0))="","",INDEX(Programação!$D$5:$D$1004,MATCH(34,Programação!$AP$5:$AP$1004,0))))</f>
        <v>F-964</v>
      </c>
      <c r="D41" s="22" t="str">
        <f aca="false">IF(COUNT(Programação!$AP$5:$AP$1004)&lt;34,"",IF(INDEX(Programação!$AN$5:$AN$1004,MATCH(34,Programação!$AP$5:$AP$1004,0))="","",INDEX(Programação!$AN$5:$AN$1004,MATCH(34,Programação!$AP$5:$AP$1004,0))))</f>
        <v/>
      </c>
      <c r="E41" s="24" t="str">
        <f aca="false">IF(COUNT(Programação!$AP$5:$AP$1004)&lt;34,"",IF(INDEX(Programação!$F$5:$F$1004,MATCH(34,Programação!$AP$5:$AP$1004,0))="","",INDEX(Programação!$F$5:$F$1004,MATCH(34,Programação!$AP$5:$AP$1004,0))))</f>
        <v>Repor borracha de vedação da porta LD</v>
      </c>
      <c r="F41" s="22" t="str">
        <f aca="false">IF(COUNT(Programação!$AP$5:$AP$1004)&lt;34,"",IF(INDEX(Programação!$G$5:$G$1004,MATCH(34,Programação!$AP$5:$AP$1004,0))="","",INDEX(Programação!$G$5:$G$1004,MATCH(34,Programação!$AP$5:$AP$1004,0))))</f>
        <v>Corretiva</v>
      </c>
      <c r="G41" s="24" t="str">
        <f aca="false">IF(COUNT(Programação!$AP$5:$AP$1004)&lt;34,"",IF(INDEX(Programação!$U$5:$U$1004,MATCH(34,Programação!$AP$5:$AP$1004,0))="","",INDEX(Programação!$U$5:$U$1004,MATCH(34,Programação!$AP$5:$AP$1004,0))))</f>
        <v>OS 7168 · peça A 958 721 00 80 (2 unidades)</v>
      </c>
      <c r="H41" s="22" t="n">
        <f aca="false">IF(COUNT(Programação!$AP$5:$AP$1004)&lt;34,"",MATCH(34,Programação!$AP$5:$AP$1004,0)+4)</f>
        <v>167</v>
      </c>
    </row>
    <row r="42" customFormat="false" ht="15.75" hidden="false" customHeight="true" outlineLevel="0" collapsed="false">
      <c r="A42" s="22" t="str">
        <f aca="false">IF(COUNT(Programação!$AP$5:$AP$1004)&lt;35,"",IF(INDEX(Programação!$AM$5:$AM$1004,MATCH(35,Programação!$AP$5:$AP$1004,0))="","",INDEX(Programação!$AM$5:$AM$1004,MATCH(35,Programação!$AP$5:$AP$1004,0))))</f>
        <v/>
      </c>
      <c r="B42" s="22" t="str">
        <f aca="false">IF(COUNT(Programação!$AP$5:$AP$1004)&lt;35,"",IF(INDEX(Programação!$C$5:$C$1004,MATCH(35,Programação!$AP$5:$AP$1004,0))="","",INDEX(Programação!$C$5:$C$1004,MATCH(35,Programação!$AP$5:$AP$1004,0))))</f>
        <v>007171</v>
      </c>
      <c r="C42" s="22" t="str">
        <f aca="false">IF(COUNT(Programação!$AP$5:$AP$1004)&lt;35,"",IF(INDEX(Programação!$D$5:$D$1004,MATCH(35,Programação!$AP$5:$AP$1004,0))="","",INDEX(Programação!$D$5:$D$1004,MATCH(35,Programação!$AP$5:$AP$1004,0))))</f>
        <v>F-964</v>
      </c>
      <c r="D42" s="22" t="str">
        <f aca="false">IF(COUNT(Programação!$AP$5:$AP$1004)&lt;35,"",IF(INDEX(Programação!$AN$5:$AN$1004,MATCH(35,Programação!$AP$5:$AP$1004,0))="","",INDEX(Programação!$AN$5:$AN$1004,MATCH(35,Programação!$AP$5:$AP$1004,0))))</f>
        <v/>
      </c>
      <c r="E42" s="24" t="str">
        <f aca="false">IF(COUNT(Programação!$AP$5:$AP$1004)&lt;35,"",IF(INDEX(Programação!$F$5:$F$1004,MATCH(35,Programação!$AP$5:$AP$1004,0))="","",INDEX(Programação!$F$5:$F$1004,MATCH(35,Programação!$AP$5:$AP$1004,0))))</f>
        <v>Corrigir instalação elétrica da tomada 12V e do acendedor de cigarros</v>
      </c>
      <c r="F42" s="22" t="str">
        <f aca="false">IF(COUNT(Programação!$AP$5:$AP$1004)&lt;35,"",IF(INDEX(Programação!$G$5:$G$1004,MATCH(35,Programação!$AP$5:$AP$1004,0))="","",INDEX(Programação!$G$5:$G$1004,MATCH(35,Programação!$AP$5:$AP$1004,0))))</f>
        <v>Corretiva</v>
      </c>
      <c r="G42" s="24" t="str">
        <f aca="false">IF(COUNT(Programação!$AP$5:$AP$1004)&lt;35,"",IF(INDEX(Programação!$U$5:$U$1004,MATCH(35,Programação!$AP$5:$AP$1004,0))="","",INDEX(Programação!$U$5:$U$1004,MATCH(35,Programação!$AP$5:$AP$1004,0))))</f>
        <v>OS 7171 · serviço interno Matriz/A 694 820 01 53/A 696 825 01 54</v>
      </c>
      <c r="H42" s="22" t="n">
        <f aca="false">IF(COUNT(Programação!$AP$5:$AP$1004)&lt;35,"",MATCH(35,Programação!$AP$5:$AP$1004,0)+4)</f>
        <v>157</v>
      </c>
    </row>
    <row r="43" customFormat="false" ht="15.75" hidden="false" customHeight="true" outlineLevel="0" collapsed="false">
      <c r="A43" s="22" t="str">
        <f aca="false">IF(COUNT(Programação!$AP$5:$AP$1004)&lt;36,"",IF(INDEX(Programação!$AM$5:$AM$1004,MATCH(36,Programação!$AP$5:$AP$1004,0))="","",INDEX(Programação!$AM$5:$AM$1004,MATCH(36,Programação!$AP$5:$AP$1004,0))))</f>
        <v/>
      </c>
      <c r="B43" s="22" t="str">
        <f aca="false">IF(COUNT(Programação!$AP$5:$AP$1004)&lt;36,"",IF(INDEX(Programação!$C$5:$C$1004,MATCH(36,Programação!$AP$5:$AP$1004,0))="","",INDEX(Programação!$C$5:$C$1004,MATCH(36,Programação!$AP$5:$AP$1004,0))))</f>
        <v>007185</v>
      </c>
      <c r="C43" s="22" t="str">
        <f aca="false">IF(COUNT(Programação!$AP$5:$AP$1004)&lt;36,"",IF(INDEX(Programação!$D$5:$D$1004,MATCH(36,Programação!$AP$5:$AP$1004,0))="","",INDEX(Programação!$D$5:$D$1004,MATCH(36,Programação!$AP$5:$AP$1004,0))))</f>
        <v>F-964</v>
      </c>
      <c r="D43" s="22" t="str">
        <f aca="false">IF(COUNT(Programação!$AP$5:$AP$1004)&lt;36,"",IF(INDEX(Programação!$AN$5:$AN$1004,MATCH(36,Programação!$AP$5:$AP$1004,0))="","",INDEX(Programação!$AN$5:$AN$1004,MATCH(36,Programação!$AP$5:$AP$1004,0))))</f>
        <v/>
      </c>
      <c r="E43" s="24" t="str">
        <f aca="false">IF(COUNT(Programação!$AP$5:$AP$1004)&lt;36,"",IF(INDEX(Programação!$F$5:$F$1004,MATCH(36,Programação!$AP$5:$AP$1004,0))="","",INDEX(Programação!$F$5:$F$1004,MATCH(36,Programação!$AP$5:$AP$1004,0))))</f>
        <v>Recuperar barra de direção curta com desgaste</v>
      </c>
      <c r="F43" s="22" t="str">
        <f aca="false">IF(COUNT(Programação!$AP$5:$AP$1004)&lt;36,"",IF(INDEX(Programação!$G$5:$G$1004,MATCH(36,Programação!$AP$5:$AP$1004,0))="","",INDEX(Programação!$G$5:$G$1004,MATCH(36,Programação!$AP$5:$AP$1004,0))))</f>
        <v>Corretiva</v>
      </c>
      <c r="G43" s="24" t="str">
        <f aca="false">IF(COUNT(Programação!$AP$5:$AP$1004)&lt;36,"",IF(INDEX(Programação!$U$5:$U$1004,MATCH(36,Programação!$AP$5:$AP$1004,0))="","",INDEX(Programação!$U$5:$U$1004,MATCH(36,Programação!$AP$5:$AP$1004,0))))</f>
        <v>OS 7185 · serviço empresa especializada</v>
      </c>
      <c r="H43" s="22" t="n">
        <f aca="false">IF(COUNT(Programação!$AP$5:$AP$1004)&lt;36,"",MATCH(36,Programação!$AP$5:$AP$1004,0)+4)</f>
        <v>153</v>
      </c>
    </row>
    <row r="44" customFormat="false" ht="15.75" hidden="false" customHeight="true" outlineLevel="0" collapsed="false">
      <c r="A44" s="22" t="str">
        <f aca="false">IF(COUNT(Programação!$AP$5:$AP$1004)&lt;37,"",IF(INDEX(Programação!$AM$5:$AM$1004,MATCH(37,Programação!$AP$5:$AP$1004,0))="","",INDEX(Programação!$AM$5:$AM$1004,MATCH(37,Programação!$AP$5:$AP$1004,0))))</f>
        <v/>
      </c>
      <c r="B44" s="22" t="str">
        <f aca="false">IF(COUNT(Programação!$AP$5:$AP$1004)&lt;37,"",IF(INDEX(Programação!$C$5:$C$1004,MATCH(37,Programação!$AP$5:$AP$1004,0))="","",INDEX(Programação!$C$5:$C$1004,MATCH(37,Programação!$AP$5:$AP$1004,0))))</f>
        <v>007185</v>
      </c>
      <c r="C44" s="22" t="str">
        <f aca="false">IF(COUNT(Programação!$AP$5:$AP$1004)&lt;37,"",IF(INDEX(Programação!$D$5:$D$1004,MATCH(37,Programação!$AP$5:$AP$1004,0))="","",INDEX(Programação!$D$5:$D$1004,MATCH(37,Programação!$AP$5:$AP$1004,0))))</f>
        <v>F-964</v>
      </c>
      <c r="D44" s="22" t="str">
        <f aca="false">IF(COUNT(Programação!$AP$5:$AP$1004)&lt;37,"",IF(INDEX(Programação!$AN$5:$AN$1004,MATCH(37,Programação!$AP$5:$AP$1004,0))="","",INDEX(Programação!$AN$5:$AN$1004,MATCH(37,Programação!$AP$5:$AP$1004,0))))</f>
        <v/>
      </c>
      <c r="E44" s="24" t="str">
        <f aca="false">IF(COUNT(Programação!$AP$5:$AP$1004)&lt;37,"",IF(INDEX(Programação!$F$5:$F$1004,MATCH(37,Programação!$AP$5:$AP$1004,0))="","",INDEX(Programação!$F$5:$F$1004,MATCH(37,Programação!$AP$5:$AP$1004,0))))</f>
        <v>Recuperar barra de direção longa com desgaste</v>
      </c>
      <c r="F44" s="22" t="str">
        <f aca="false">IF(COUNT(Programação!$AP$5:$AP$1004)&lt;37,"",IF(INDEX(Programação!$G$5:$G$1004,MATCH(37,Programação!$AP$5:$AP$1004,0))="","",INDEX(Programação!$G$5:$G$1004,MATCH(37,Programação!$AP$5:$AP$1004,0))))</f>
        <v>Corretiva</v>
      </c>
      <c r="G44" s="24" t="str">
        <f aca="false">IF(COUNT(Programação!$AP$5:$AP$1004)&lt;37,"",IF(INDEX(Programação!$U$5:$U$1004,MATCH(37,Programação!$AP$5:$AP$1004,0))="","",INDEX(Programação!$U$5:$U$1004,MATCH(37,Programação!$AP$5:$AP$1004,0))))</f>
        <v>OS 7185 · serviço empresa especializada</v>
      </c>
      <c r="H44" s="22" t="n">
        <f aca="false">IF(COUNT(Programação!$AP$5:$AP$1004)&lt;37,"",MATCH(37,Programação!$AP$5:$AP$1004,0)+4)</f>
        <v>154</v>
      </c>
    </row>
    <row r="45" customFormat="false" ht="15.75" hidden="false" customHeight="true" outlineLevel="0" collapsed="false">
      <c r="A45" s="22" t="str">
        <f aca="false">IF(COUNT(Programação!$AP$5:$AP$1004)&lt;38,"",IF(INDEX(Programação!$AM$5:$AM$1004,MATCH(38,Programação!$AP$5:$AP$1004,0))="","",INDEX(Programação!$AM$5:$AM$1004,MATCH(38,Programação!$AP$5:$AP$1004,0))))</f>
        <v/>
      </c>
      <c r="B45" s="22" t="str">
        <f aca="false">IF(COUNT(Programação!$AP$5:$AP$1004)&lt;38,"",IF(INDEX(Programação!$C$5:$C$1004,MATCH(38,Programação!$AP$5:$AP$1004,0))="","",INDEX(Programação!$C$5:$C$1004,MATCH(38,Programação!$AP$5:$AP$1004,0))))</f>
        <v>007185</v>
      </c>
      <c r="C45" s="22" t="str">
        <f aca="false">IF(COUNT(Programação!$AP$5:$AP$1004)&lt;38,"",IF(INDEX(Programação!$D$5:$D$1004,MATCH(38,Programação!$AP$5:$AP$1004,0))="","",INDEX(Programação!$D$5:$D$1004,MATCH(38,Programação!$AP$5:$AP$1004,0))))</f>
        <v>F-964</v>
      </c>
      <c r="D45" s="22" t="str">
        <f aca="false">IF(COUNT(Programação!$AP$5:$AP$1004)&lt;38,"",IF(INDEX(Programação!$AN$5:$AN$1004,MATCH(38,Programação!$AP$5:$AP$1004,0))="","",INDEX(Programação!$AN$5:$AN$1004,MATCH(38,Programação!$AP$5:$AP$1004,0))))</f>
        <v/>
      </c>
      <c r="E45" s="24" t="str">
        <f aca="false">IF(COUNT(Programação!$AP$5:$AP$1004)&lt;38,"",IF(INDEX(Programação!$F$5:$F$1004,MATCH(38,Programação!$AP$5:$AP$1004,0))="","",INDEX(Programação!$F$5:$F$1004,MATCH(38,Programação!$AP$5:$AP$1004,0))))</f>
        <v>Corrigir feixes de molas dianteiros: LE com mais molas</v>
      </c>
      <c r="F45" s="22" t="str">
        <f aca="false">IF(COUNT(Programação!$AP$5:$AP$1004)&lt;38,"",IF(INDEX(Programação!$G$5:$G$1004,MATCH(38,Programação!$AP$5:$AP$1004,0))="","",INDEX(Programação!$G$5:$G$1004,MATCH(38,Programação!$AP$5:$AP$1004,0))))</f>
        <v>Corretiva</v>
      </c>
      <c r="G45" s="24" t="str">
        <f aca="false">IF(COUNT(Programação!$AP$5:$AP$1004)&lt;38,"",IF(INDEX(Programação!$U$5:$U$1004,MATCH(38,Programação!$AP$5:$AP$1004,0))="","",INDEX(Programação!$U$5:$U$1004,MATCH(38,Programação!$AP$5:$AP$1004,0))))</f>
        <v>OS 7185 · serviço empresa especializada · devido transporte da lança do munck</v>
      </c>
      <c r="H45" s="22" t="n">
        <f aca="false">IF(COUNT(Programação!$AP$5:$AP$1004)&lt;38,"",MATCH(38,Programação!$AP$5:$AP$1004,0)+4)</f>
        <v>159</v>
      </c>
    </row>
    <row r="46" customFormat="false" ht="15.75" hidden="false" customHeight="true" outlineLevel="0" collapsed="false">
      <c r="A46" s="22" t="str">
        <f aca="false">IF(COUNT(Programação!$AP$5:$AP$1004)&lt;39,"",IF(INDEX(Programação!$AM$5:$AM$1004,MATCH(39,Programação!$AP$5:$AP$1004,0))="","",INDEX(Programação!$AM$5:$AM$1004,MATCH(39,Programação!$AP$5:$AP$1004,0))))</f>
        <v/>
      </c>
      <c r="B46" s="22" t="str">
        <f aca="false">IF(COUNT(Programação!$AP$5:$AP$1004)&lt;39,"",IF(INDEX(Programação!$C$5:$C$1004,MATCH(39,Programação!$AP$5:$AP$1004,0))="","",INDEX(Programação!$C$5:$C$1004,MATCH(39,Programação!$AP$5:$AP$1004,0))))</f>
        <v>007185</v>
      </c>
      <c r="C46" s="22" t="str">
        <f aca="false">IF(COUNT(Programação!$AP$5:$AP$1004)&lt;39,"",IF(INDEX(Programação!$D$5:$D$1004,MATCH(39,Programação!$AP$5:$AP$1004,0))="","",INDEX(Programação!$D$5:$D$1004,MATCH(39,Programação!$AP$5:$AP$1004,0))))</f>
        <v>F-964</v>
      </c>
      <c r="D46" s="22" t="str">
        <f aca="false">IF(COUNT(Programação!$AP$5:$AP$1004)&lt;39,"",IF(INDEX(Programação!$AN$5:$AN$1004,MATCH(39,Programação!$AP$5:$AP$1004,0))="","",INDEX(Programação!$AN$5:$AN$1004,MATCH(39,Programação!$AP$5:$AP$1004,0))))</f>
        <v/>
      </c>
      <c r="E46" s="24" t="str">
        <f aca="false">IF(COUNT(Programação!$AP$5:$AP$1004)&lt;39,"",IF(INDEX(Programação!$F$5:$F$1004,MATCH(39,Programação!$AP$5:$AP$1004,0))="","",INDEX(Programação!$F$5:$F$1004,MATCH(39,Programação!$AP$5:$AP$1004,0))))</f>
        <v>Substituir buchas da barra estabilizadora dianteira</v>
      </c>
      <c r="F46" s="22" t="str">
        <f aca="false">IF(COUNT(Programação!$AP$5:$AP$1004)&lt;39,"",IF(INDEX(Programação!$G$5:$G$1004,MATCH(39,Programação!$AP$5:$AP$1004,0))="","",INDEX(Programação!$G$5:$G$1004,MATCH(39,Programação!$AP$5:$AP$1004,0))))</f>
        <v>Corretiva</v>
      </c>
      <c r="G46" s="24" t="str">
        <f aca="false">IF(COUNT(Programação!$AP$5:$AP$1004)&lt;39,"",IF(INDEX(Programação!$U$5:$U$1004,MATCH(39,Programação!$AP$5:$AP$1004,0))="","",INDEX(Programação!$U$5:$U$1004,MATCH(39,Programação!$AP$5:$AP$1004,0))))</f>
        <v>OS 7185 · serviço empresa especializada</v>
      </c>
      <c r="H46" s="22" t="n">
        <f aca="false">IF(COUNT(Programação!$AP$5:$AP$1004)&lt;39,"",MATCH(39,Programação!$AP$5:$AP$1004,0)+4)</f>
        <v>170</v>
      </c>
    </row>
    <row r="47" customFormat="false" ht="15.75" hidden="false" customHeight="true" outlineLevel="0" collapsed="false">
      <c r="A47" s="22" t="str">
        <f aca="false">IF(COUNT(Programação!$AP$5:$AP$1004)&lt;40,"",IF(INDEX(Programação!$AM$5:$AM$1004,MATCH(40,Programação!$AP$5:$AP$1004,0))="","",INDEX(Programação!$AM$5:$AM$1004,MATCH(40,Programação!$AP$5:$AP$1004,0))))</f>
        <v/>
      </c>
      <c r="B47" s="22" t="str">
        <f aca="false">IF(COUNT(Programação!$AP$5:$AP$1004)&lt;40,"",IF(INDEX(Programação!$C$5:$C$1004,MATCH(40,Programação!$AP$5:$AP$1004,0))="","",INDEX(Programação!$C$5:$C$1004,MATCH(40,Programação!$AP$5:$AP$1004,0))))</f>
        <v>007189</v>
      </c>
      <c r="C47" s="22" t="str">
        <f aca="false">IF(COUNT(Programação!$AP$5:$AP$1004)&lt;40,"",IF(INDEX(Programação!$D$5:$D$1004,MATCH(40,Programação!$AP$5:$AP$1004,0))="","",INDEX(Programação!$D$5:$D$1004,MATCH(40,Programação!$AP$5:$AP$1004,0))))</f>
        <v>F-964</v>
      </c>
      <c r="D47" s="22" t="str">
        <f aca="false">IF(COUNT(Programação!$AP$5:$AP$1004)&lt;40,"",IF(INDEX(Programação!$AN$5:$AN$1004,MATCH(40,Programação!$AP$5:$AP$1004,0))="","",INDEX(Programação!$AN$5:$AN$1004,MATCH(40,Programação!$AP$5:$AP$1004,0))))</f>
        <v/>
      </c>
      <c r="E47" s="24" t="str">
        <f aca="false">IF(COUNT(Programação!$AP$5:$AP$1004)&lt;40,"",IF(INDEX(Programação!$F$5:$F$1004,MATCH(40,Programação!$AP$5:$AP$1004,0))="","",INDEX(Programação!$F$5:$F$1004,MATCH(40,Programação!$AP$5:$AP$1004,0))))</f>
        <v>Repor parafuso de fixação do painel frontal</v>
      </c>
      <c r="F47" s="22" t="str">
        <f aca="false">IF(COUNT(Programação!$AP$5:$AP$1004)&lt;40,"",IF(INDEX(Programação!$G$5:$G$1004,MATCH(40,Programação!$AP$5:$AP$1004,0))="","",INDEX(Programação!$G$5:$G$1004,MATCH(40,Programação!$AP$5:$AP$1004,0))))</f>
        <v>Corretiva</v>
      </c>
      <c r="G47" s="24" t="str">
        <f aca="false">IF(COUNT(Programação!$AP$5:$AP$1004)&lt;40,"",IF(INDEX(Programação!$U$5:$U$1004,MATCH(40,Programação!$AP$5:$AP$1004,0))="","",INDEX(Programação!$U$5:$U$1004,MATCH(40,Programação!$AP$5:$AP$1004,0))))</f>
        <v>OS 7189 · serviço interno Matriz</v>
      </c>
      <c r="H47" s="22" t="n">
        <f aca="false">IF(COUNT(Programação!$AP$5:$AP$1004)&lt;40,"",MATCH(40,Programação!$AP$5:$AP$1004,0)+4)</f>
        <v>156</v>
      </c>
    </row>
    <row r="48" customFormat="false" ht="15.75" hidden="false" customHeight="true" outlineLevel="0" collapsed="false">
      <c r="A48" s="22" t="str">
        <f aca="false">IF(COUNT(Programação!$AP$5:$AP$1004)&lt;41,"",IF(INDEX(Programação!$AM$5:$AM$1004,MATCH(41,Programação!$AP$5:$AP$1004,0))="","",INDEX(Programação!$AM$5:$AM$1004,MATCH(41,Programação!$AP$5:$AP$1004,0))))</f>
        <v/>
      </c>
      <c r="B48" s="22" t="str">
        <f aca="false">IF(COUNT(Programação!$AP$5:$AP$1004)&lt;41,"",IF(INDEX(Programação!$C$5:$C$1004,MATCH(41,Programação!$AP$5:$AP$1004,0))="","",INDEX(Programação!$C$5:$C$1004,MATCH(41,Programação!$AP$5:$AP$1004,0))))</f>
        <v>007190</v>
      </c>
      <c r="C48" s="22" t="str">
        <f aca="false">IF(COUNT(Programação!$AP$5:$AP$1004)&lt;41,"",IF(INDEX(Programação!$D$5:$D$1004,MATCH(41,Programação!$AP$5:$AP$1004,0))="","",INDEX(Programação!$D$5:$D$1004,MATCH(41,Programação!$AP$5:$AP$1004,0))))</f>
        <v>F-964</v>
      </c>
      <c r="D48" s="22" t="str">
        <f aca="false">IF(COUNT(Programação!$AP$5:$AP$1004)&lt;41,"",IF(INDEX(Programação!$AN$5:$AN$1004,MATCH(41,Programação!$AP$5:$AP$1004,0))="","",INDEX(Programação!$AN$5:$AN$1004,MATCH(41,Programação!$AP$5:$AP$1004,0))))</f>
        <v/>
      </c>
      <c r="E48" s="24" t="str">
        <f aca="false">IF(COUNT(Programação!$AP$5:$AP$1004)&lt;41,"",IF(INDEX(Programação!$F$5:$F$1004,MATCH(41,Programação!$AP$5:$AP$1004,0))="","",INDEX(Programação!$F$5:$F$1004,MATCH(41,Programação!$AP$5:$AP$1004,0))))</f>
        <v>Retirar espelhos das rodas traseiras</v>
      </c>
      <c r="F48" s="22" t="str">
        <f aca="false">IF(COUNT(Programação!$AP$5:$AP$1004)&lt;41,"",IF(INDEX(Programação!$G$5:$G$1004,MATCH(41,Programação!$AP$5:$AP$1004,0))="","",INDEX(Programação!$G$5:$G$1004,MATCH(41,Programação!$AP$5:$AP$1004,0))))</f>
        <v>Corretiva</v>
      </c>
      <c r="G48" s="24" t="str">
        <f aca="false">IF(COUNT(Programação!$AP$5:$AP$1004)&lt;41,"",IF(INDEX(Programação!$U$5:$U$1004,MATCH(41,Programação!$AP$5:$AP$1004,0))="","",INDEX(Programação!$U$5:$U$1004,MATCH(41,Programação!$AP$5:$AP$1004,0))))</f>
        <v>OS 7190 · especialmente o LE · para melhor visualização do desgaste das lonas de freio · serviço interno Matriz · ⚠️ texto veio cortado do PDF de inspeção</v>
      </c>
      <c r="H48" s="22" t="n">
        <f aca="false">IF(COUNT(Programação!$AP$5:$AP$1004)&lt;41,"",MATCH(41,Programação!$AP$5:$AP$1004,0)+4)</f>
        <v>160</v>
      </c>
    </row>
    <row r="49" customFormat="false" ht="15.75" hidden="false" customHeight="true" outlineLevel="0" collapsed="false">
      <c r="A49" s="22" t="str">
        <f aca="false">IF(COUNT(Programação!$AP$5:$AP$1004)&lt;42,"",IF(INDEX(Programação!$AM$5:$AM$1004,MATCH(42,Programação!$AP$5:$AP$1004,0))="","",INDEX(Programação!$AM$5:$AM$1004,MATCH(42,Programação!$AP$5:$AP$1004,0))))</f>
        <v/>
      </c>
      <c r="B49" s="22" t="str">
        <f aca="false">IF(COUNT(Programação!$AP$5:$AP$1004)&lt;42,"",IF(INDEX(Programação!$C$5:$C$1004,MATCH(42,Programação!$AP$5:$AP$1004,0))="","",INDEX(Programação!$C$5:$C$1004,MATCH(42,Programação!$AP$5:$AP$1004,0))))</f>
        <v>007192</v>
      </c>
      <c r="C49" s="22" t="str">
        <f aca="false">IF(COUNT(Programação!$AP$5:$AP$1004)&lt;42,"",IF(INDEX(Programação!$D$5:$D$1004,MATCH(42,Programação!$AP$5:$AP$1004,0))="","",INDEX(Programação!$D$5:$D$1004,MATCH(42,Programação!$AP$5:$AP$1004,0))))</f>
        <v>F-964</v>
      </c>
      <c r="D49" s="22" t="str">
        <f aca="false">IF(COUNT(Programação!$AP$5:$AP$1004)&lt;42,"",IF(INDEX(Programação!$AN$5:$AN$1004,MATCH(42,Programação!$AP$5:$AP$1004,0))="","",INDEX(Programação!$AN$5:$AN$1004,MATCH(42,Programação!$AP$5:$AP$1004,0))))</f>
        <v/>
      </c>
      <c r="E49" s="24" t="str">
        <f aca="false">IF(COUNT(Programação!$AP$5:$AP$1004)&lt;42,"",IF(INDEX(Programação!$F$5:$F$1004,MATCH(42,Programação!$AP$5:$AP$1004,0))="","",INDEX(Programação!$F$5:$F$1004,MATCH(42,Programação!$AP$5:$AP$1004,0))))</f>
        <v>Repor parafuso da bieleta traseira LE</v>
      </c>
      <c r="F49" s="22" t="str">
        <f aca="false">IF(COUNT(Programação!$AP$5:$AP$1004)&lt;42,"",IF(INDEX(Programação!$G$5:$G$1004,MATCH(42,Programação!$AP$5:$AP$1004,0))="","",INDEX(Programação!$G$5:$G$1004,MATCH(42,Programação!$AP$5:$AP$1004,0))))</f>
        <v>Corretiva</v>
      </c>
      <c r="G49" s="24" t="str">
        <f aca="false">IF(COUNT(Programação!$AP$5:$AP$1004)&lt;42,"",IF(INDEX(Programação!$U$5:$U$1004,MATCH(42,Programação!$AP$5:$AP$1004,0))="","",INDEX(Programação!$U$5:$U$1004,MATCH(42,Programação!$AP$5:$AP$1004,0))))</f>
        <v>fixação com a barra estabilizadora · OS 7192 · serviço interno Matriz</v>
      </c>
      <c r="H49" s="22" t="n">
        <f aca="false">IF(COUNT(Programação!$AP$5:$AP$1004)&lt;42,"",MATCH(42,Programação!$AP$5:$AP$1004,0)+4)</f>
        <v>162</v>
      </c>
    </row>
    <row r="50" customFormat="false" ht="15.75" hidden="false" customHeight="true" outlineLevel="0" collapsed="false">
      <c r="A50" s="22" t="str">
        <f aca="false">IF(COUNT(Programação!$AP$5:$AP$1004)&lt;43,"",IF(INDEX(Programação!$AM$5:$AM$1004,MATCH(43,Programação!$AP$5:$AP$1004,0))="","",INDEX(Programação!$AM$5:$AM$1004,MATCH(43,Programação!$AP$5:$AP$1004,0))))</f>
        <v/>
      </c>
      <c r="B50" s="22" t="str">
        <f aca="false">IF(COUNT(Programação!$AP$5:$AP$1004)&lt;43,"",IF(INDEX(Programação!$C$5:$C$1004,MATCH(43,Programação!$AP$5:$AP$1004,0))="","",INDEX(Programação!$C$5:$C$1004,MATCH(43,Programação!$AP$5:$AP$1004,0))))</f>
        <v>007193</v>
      </c>
      <c r="C50" s="22" t="str">
        <f aca="false">IF(COUNT(Programação!$AP$5:$AP$1004)&lt;43,"",IF(INDEX(Programação!$D$5:$D$1004,MATCH(43,Programação!$AP$5:$AP$1004,0))="","",INDEX(Programação!$D$5:$D$1004,MATCH(43,Programação!$AP$5:$AP$1004,0))))</f>
        <v>F-964</v>
      </c>
      <c r="D50" s="22" t="str">
        <f aca="false">IF(COUNT(Programação!$AP$5:$AP$1004)&lt;43,"",IF(INDEX(Programação!$AN$5:$AN$1004,MATCH(43,Programação!$AP$5:$AP$1004,0))="","",INDEX(Programação!$AN$5:$AN$1004,MATCH(43,Programação!$AP$5:$AP$1004,0))))</f>
        <v/>
      </c>
      <c r="E50" s="24" t="str">
        <f aca="false">IF(COUNT(Programação!$AP$5:$AP$1004)&lt;43,"",IF(INDEX(Programação!$F$5:$F$1004,MATCH(43,Programação!$AP$5:$AP$1004,0))="","",INDEX(Programação!$F$5:$F$1004,MATCH(43,Programação!$AP$5:$AP$1004,0))))</f>
        <v>Retirar borracha inferior da cabine</v>
      </c>
      <c r="F50" s="22" t="str">
        <f aca="false">IF(COUNT(Programação!$AP$5:$AP$1004)&lt;43,"",IF(INDEX(Programação!$G$5:$G$1004,MATCH(43,Programação!$AP$5:$AP$1004,0))="","",INDEX(Programação!$G$5:$G$1004,MATCH(43,Programação!$AP$5:$AP$1004,0))))</f>
        <v>Corretiva</v>
      </c>
      <c r="G50" s="24" t="str">
        <f aca="false">IF(COUNT(Programação!$AP$5:$AP$1004)&lt;43,"",IF(INDEX(Programação!$U$5:$U$1004,MATCH(43,Programação!$AP$5:$AP$1004,0))="","",INDEX(Programação!$U$5:$U$1004,MATCH(43,Programação!$AP$5:$AP$1004,0))))</f>
        <v>OS 7193 · devido atrito com o reservatório de arrefecimento · serviço interno Matriz · ⚠️ texto veio cortado do PDF de inspeção</v>
      </c>
      <c r="H50" s="22" t="n">
        <f aca="false">IF(COUNT(Programação!$AP$5:$AP$1004)&lt;43,"",MATCH(43,Programação!$AP$5:$AP$1004,0)+4)</f>
        <v>158</v>
      </c>
    </row>
    <row r="51" customFormat="false" ht="15.75" hidden="false" customHeight="true" outlineLevel="0" collapsed="false">
      <c r="A51" s="22" t="str">
        <f aca="false">IF(COUNT(Programação!$AP$5:$AP$1004)&lt;44,"",IF(INDEX(Programação!$AM$5:$AM$1004,MATCH(44,Programação!$AP$5:$AP$1004,0))="","",INDEX(Programação!$AM$5:$AM$1004,MATCH(44,Programação!$AP$5:$AP$1004,0))))</f>
        <v/>
      </c>
      <c r="B51" s="22" t="str">
        <f aca="false">IF(COUNT(Programação!$AP$5:$AP$1004)&lt;44,"",IF(INDEX(Programação!$C$5:$C$1004,MATCH(44,Programação!$AP$5:$AP$1004,0))="","",INDEX(Programação!$C$5:$C$1004,MATCH(44,Programação!$AP$5:$AP$1004,0))))</f>
        <v>007195</v>
      </c>
      <c r="C51" s="22" t="str">
        <f aca="false">IF(COUNT(Programação!$AP$5:$AP$1004)&lt;44,"",IF(INDEX(Programação!$D$5:$D$1004,MATCH(44,Programação!$AP$5:$AP$1004,0))="","",INDEX(Programação!$D$5:$D$1004,MATCH(44,Programação!$AP$5:$AP$1004,0))))</f>
        <v>F-964</v>
      </c>
      <c r="D51" s="22" t="str">
        <f aca="false">IF(COUNT(Programação!$AP$5:$AP$1004)&lt;44,"",IF(INDEX(Programação!$AN$5:$AN$1004,MATCH(44,Programação!$AP$5:$AP$1004,0))="","",INDEX(Programação!$AN$5:$AN$1004,MATCH(44,Programação!$AP$5:$AP$1004,0))))</f>
        <v/>
      </c>
      <c r="E51" s="24" t="str">
        <f aca="false">IF(COUNT(Programação!$AP$5:$AP$1004)&lt;44,"",IF(INDEX(Programação!$F$5:$F$1004,MATCH(44,Programação!$AP$5:$AP$1004,0))="","",INDEX(Programação!$F$5:$F$1004,MATCH(44,Programação!$AP$5:$AP$1004,0))))</f>
        <v>Reapertar parafusos de fixação do paralama dianteiro LD</v>
      </c>
      <c r="F51" s="22" t="str">
        <f aca="false">IF(COUNT(Programação!$AP$5:$AP$1004)&lt;44,"",IF(INDEX(Programação!$G$5:$G$1004,MATCH(44,Programação!$AP$5:$AP$1004,0))="","",INDEX(Programação!$G$5:$G$1004,MATCH(44,Programação!$AP$5:$AP$1004,0))))</f>
        <v>Corretiva</v>
      </c>
      <c r="G51" s="24" t="str">
        <f aca="false">IF(COUNT(Programação!$AP$5:$AP$1004)&lt;44,"",IF(INDEX(Programação!$U$5:$U$1004,MATCH(44,Programação!$AP$5:$AP$1004,0))="","",INDEX(Programação!$U$5:$U$1004,MATCH(44,Programação!$AP$5:$AP$1004,0))))</f>
        <v>OS 7195 · serviço interno Matriz</v>
      </c>
      <c r="H51" s="22" t="n">
        <f aca="false">IF(COUNT(Programação!$AP$5:$AP$1004)&lt;44,"",MATCH(44,Programação!$AP$5:$AP$1004,0)+4)</f>
        <v>166</v>
      </c>
    </row>
    <row r="52" customFormat="false" ht="15.75" hidden="false" customHeight="true" outlineLevel="0" collapsed="false">
      <c r="A52" s="22" t="str">
        <f aca="false">IF(COUNT(Programação!$AP$5:$AP$1004)&lt;45,"",IF(INDEX(Programação!$AM$5:$AM$1004,MATCH(45,Programação!$AP$5:$AP$1004,0))="","",INDEX(Programação!$AM$5:$AM$1004,MATCH(45,Programação!$AP$5:$AP$1004,0))))</f>
        <v/>
      </c>
      <c r="B52" s="22" t="str">
        <f aca="false">IF(COUNT(Programação!$AP$5:$AP$1004)&lt;45,"",IF(INDEX(Programação!$C$5:$C$1004,MATCH(45,Programação!$AP$5:$AP$1004,0))="","",INDEX(Programação!$C$5:$C$1004,MATCH(45,Programação!$AP$5:$AP$1004,0))))</f>
        <v>007196</v>
      </c>
      <c r="C52" s="22" t="str">
        <f aca="false">IF(COUNT(Programação!$AP$5:$AP$1004)&lt;45,"",IF(INDEX(Programação!$D$5:$D$1004,MATCH(45,Programação!$AP$5:$AP$1004,0))="","",INDEX(Programação!$D$5:$D$1004,MATCH(45,Programação!$AP$5:$AP$1004,0))))</f>
        <v>F-964</v>
      </c>
      <c r="D52" s="22" t="str">
        <f aca="false">IF(COUNT(Programação!$AP$5:$AP$1004)&lt;45,"",IF(INDEX(Programação!$AN$5:$AN$1004,MATCH(45,Programação!$AP$5:$AP$1004,0))="","",INDEX(Programação!$AN$5:$AN$1004,MATCH(45,Programação!$AP$5:$AP$1004,0))))</f>
        <v/>
      </c>
      <c r="E52" s="24" t="str">
        <f aca="false">IF(COUNT(Programação!$AP$5:$AP$1004)&lt;45,"",IF(INDEX(Programação!$F$5:$F$1004,MATCH(45,Programação!$AP$5:$AP$1004,0))="","",INDEX(Programação!$F$5:$F$1004,MATCH(45,Programação!$AP$5:$AP$1004,0))))</f>
        <v>Fixar acabamento da tomada OBD</v>
      </c>
      <c r="F52" s="22" t="str">
        <f aca="false">IF(COUNT(Programação!$AP$5:$AP$1004)&lt;45,"",IF(INDEX(Programação!$G$5:$G$1004,MATCH(45,Programação!$AP$5:$AP$1004,0))="","",INDEX(Programação!$G$5:$G$1004,MATCH(45,Programação!$AP$5:$AP$1004,0))))</f>
        <v>Corretiva</v>
      </c>
      <c r="G52" s="24" t="str">
        <f aca="false">IF(COUNT(Programação!$AP$5:$AP$1004)&lt;45,"",IF(INDEX(Programação!$U$5:$U$1004,MATCH(45,Programação!$AP$5:$AP$1004,0))="","",INDEX(Programação!$U$5:$U$1004,MATCH(45,Programação!$AP$5:$AP$1004,0))))</f>
        <v>OS 7196 · serviço interno Matriz</v>
      </c>
      <c r="H52" s="22" t="n">
        <f aca="false">IF(COUNT(Programação!$AP$5:$AP$1004)&lt;45,"",MATCH(45,Programação!$AP$5:$AP$1004,0)+4)</f>
        <v>168</v>
      </c>
    </row>
    <row r="53" customFormat="false" ht="15.75" hidden="false" customHeight="true" outlineLevel="0" collapsed="false">
      <c r="A53" s="22" t="str">
        <f aca="false">IF(COUNT(Programação!$AP$5:$AP$1004)&lt;46,"",IF(INDEX(Programação!$AM$5:$AM$1004,MATCH(46,Programação!$AP$5:$AP$1004,0))="","",INDEX(Programação!$AM$5:$AM$1004,MATCH(46,Programação!$AP$5:$AP$1004,0))))</f>
        <v/>
      </c>
      <c r="B53" s="22" t="str">
        <f aca="false">IF(COUNT(Programação!$AP$5:$AP$1004)&lt;46,"",IF(INDEX(Programação!$C$5:$C$1004,MATCH(46,Programação!$AP$5:$AP$1004,0))="","",INDEX(Programação!$C$5:$C$1004,MATCH(46,Programação!$AP$5:$AP$1004,0))))</f>
        <v>007197</v>
      </c>
      <c r="C53" s="22" t="str">
        <f aca="false">IF(COUNT(Programação!$AP$5:$AP$1004)&lt;46,"",IF(INDEX(Programação!$D$5:$D$1004,MATCH(46,Programação!$AP$5:$AP$1004,0))="","",INDEX(Programação!$D$5:$D$1004,MATCH(46,Programação!$AP$5:$AP$1004,0))))</f>
        <v>F-964</v>
      </c>
      <c r="D53" s="22" t="str">
        <f aca="false">IF(COUNT(Programação!$AP$5:$AP$1004)&lt;46,"",IF(INDEX(Programação!$AN$5:$AN$1004,MATCH(46,Programação!$AP$5:$AP$1004,0))="","",INDEX(Programação!$AN$5:$AN$1004,MATCH(46,Programação!$AP$5:$AP$1004,0))))</f>
        <v/>
      </c>
      <c r="E53" s="24" t="str">
        <f aca="false">IF(COUNT(Programação!$AP$5:$AP$1004)&lt;46,"",IF(INDEX(Programação!$F$5:$F$1004,MATCH(46,Programação!$AP$5:$AP$1004,0))="","",INDEX(Programação!$F$5:$F$1004,MATCH(46,Programação!$AP$5:$AP$1004,0))))</f>
        <v>Retirar manta inferior da cabine</v>
      </c>
      <c r="F53" s="22" t="str">
        <f aca="false">IF(COUNT(Programação!$AP$5:$AP$1004)&lt;46,"",IF(INDEX(Programação!$G$5:$G$1004,MATCH(46,Programação!$AP$5:$AP$1004,0))="","",INDEX(Programação!$G$5:$G$1004,MATCH(46,Programação!$AP$5:$AP$1004,0))))</f>
        <v>Corretiva</v>
      </c>
      <c r="G53" s="24" t="str">
        <f aca="false">IF(COUNT(Programação!$AP$5:$AP$1004)&lt;46,"",IF(INDEX(Programação!$U$5:$U$1004,MATCH(46,Programação!$AP$5:$AP$1004,0))="","",INDEX(Programação!$U$5:$U$1004,MATCH(46,Programação!$AP$5:$AP$1004,0))))</f>
        <v>OS 7197 · serviço interno Matriz</v>
      </c>
      <c r="H53" s="22" t="n">
        <f aca="false">IF(COUNT(Programação!$AP$5:$AP$1004)&lt;46,"",MATCH(46,Programação!$AP$5:$AP$1004,0)+4)</f>
        <v>169</v>
      </c>
    </row>
    <row r="54" customFormat="false" ht="15.75" hidden="false" customHeight="true" outlineLevel="0" collapsed="false">
      <c r="A54" s="22" t="str">
        <f aca="false">IF(COUNT(Programação!$AP$5:$AP$1004)&lt;47,"",IF(INDEX(Programação!$AM$5:$AM$1004,MATCH(47,Programação!$AP$5:$AP$1004,0))="","",INDEX(Programação!$AM$5:$AM$1004,MATCH(47,Programação!$AP$5:$AP$1004,0))))</f>
        <v/>
      </c>
      <c r="B54" s="22" t="str">
        <f aca="false">IF(COUNT(Programação!$AP$5:$AP$1004)&lt;47,"",IF(INDEX(Programação!$C$5:$C$1004,MATCH(47,Programação!$AP$5:$AP$1004,0))="","",INDEX(Programação!$C$5:$C$1004,MATCH(47,Programação!$AP$5:$AP$1004,0))))</f>
        <v>007205</v>
      </c>
      <c r="C54" s="22" t="str">
        <f aca="false">IF(COUNT(Programação!$AP$5:$AP$1004)&lt;47,"",IF(INDEX(Programação!$D$5:$D$1004,MATCH(47,Programação!$AP$5:$AP$1004,0))="","",INDEX(Programação!$D$5:$D$1004,MATCH(47,Programação!$AP$5:$AP$1004,0))))</f>
        <v>F-964</v>
      </c>
      <c r="D54" s="22" t="str">
        <f aca="false">IF(COUNT(Programação!$AP$5:$AP$1004)&lt;47,"",IF(INDEX(Programação!$AN$5:$AN$1004,MATCH(47,Programação!$AP$5:$AP$1004,0))="","",INDEX(Programação!$AN$5:$AN$1004,MATCH(47,Programação!$AP$5:$AP$1004,0))))</f>
        <v/>
      </c>
      <c r="E54" s="24" t="str">
        <f aca="false">IF(COUNT(Programação!$AP$5:$AP$1004)&lt;47,"",IF(INDEX(Programação!$F$5:$F$1004,MATCH(47,Programação!$AP$5:$AP$1004,0))="","",INDEX(Programação!$F$5:$F$1004,MATCH(47,Programação!$AP$5:$AP$1004,0))))</f>
        <v>Regular freios segundo eixo LD</v>
      </c>
      <c r="F54" s="22" t="str">
        <f aca="false">IF(COUNT(Programação!$AP$5:$AP$1004)&lt;47,"",IF(INDEX(Programação!$G$5:$G$1004,MATCH(47,Programação!$AP$5:$AP$1004,0))="","",INDEX(Programação!$G$5:$G$1004,MATCH(47,Programação!$AP$5:$AP$1004,0))))</f>
        <v>Corretiva</v>
      </c>
      <c r="G54" s="24" t="str">
        <f aca="false">IF(COUNT(Programação!$AP$5:$AP$1004)&lt;47,"",IF(INDEX(Programação!$U$5:$U$1004,MATCH(47,Programação!$AP$5:$AP$1004,0))="","",INDEX(Programação!$U$5:$U$1004,MATCH(47,Programação!$AP$5:$AP$1004,0))))</f>
        <v>OS 7205 · serviço interno Matriz</v>
      </c>
      <c r="H54" s="22" t="n">
        <f aca="false">IF(COUNT(Programação!$AP$5:$AP$1004)&lt;47,"",MATCH(47,Programação!$AP$5:$AP$1004,0)+4)</f>
        <v>161</v>
      </c>
    </row>
    <row r="55" customFormat="false" ht="15.75" hidden="false" customHeight="true" outlineLevel="0" collapsed="false">
      <c r="A55" s="22" t="str">
        <f aca="false">IF(COUNT(Programação!$AP$5:$AP$1004)&lt;48,"",IF(INDEX(Programação!$AM$5:$AM$1004,MATCH(48,Programação!$AP$5:$AP$1004,0))="","",INDEX(Programação!$AM$5:$AM$1004,MATCH(48,Programação!$AP$5:$AP$1004,0))))</f>
        <v/>
      </c>
      <c r="B55" s="22" t="str">
        <f aca="false">IF(COUNT(Programação!$AP$5:$AP$1004)&lt;48,"",IF(INDEX(Programação!$C$5:$C$1004,MATCH(48,Programação!$AP$5:$AP$1004,0))="","",INDEX(Programação!$C$5:$C$1004,MATCH(48,Programação!$AP$5:$AP$1004,0))))</f>
        <v/>
      </c>
      <c r="C55" s="22" t="str">
        <f aca="false">IF(COUNT(Programação!$AP$5:$AP$1004)&lt;48,"",IF(INDEX(Programação!$D$5:$D$1004,MATCH(48,Programação!$AP$5:$AP$1004,0))="","",INDEX(Programação!$D$5:$D$1004,MATCH(48,Programação!$AP$5:$AP$1004,0))))</f>
        <v>F-964</v>
      </c>
      <c r="D55" s="22" t="str">
        <f aca="false">IF(COUNT(Programação!$AP$5:$AP$1004)&lt;48,"",IF(INDEX(Programação!$AN$5:$AN$1004,MATCH(48,Programação!$AP$5:$AP$1004,0))="","",INDEX(Programação!$AN$5:$AN$1004,MATCH(48,Programação!$AP$5:$AP$1004,0))))</f>
        <v/>
      </c>
      <c r="E55" s="24" t="str">
        <f aca="false">IF(COUNT(Programação!$AP$5:$AP$1004)&lt;48,"",IF(INDEX(Programação!$F$5:$F$1004,MATCH(48,Programação!$AP$5:$AP$1004,0))="","",INDEX(Programação!$F$5:$F$1004,MATCH(48,Programação!$AP$5:$AP$1004,0))))</f>
        <v>Verificado vestígio de óleo no reservatório de ar, ficando em observação recuperar o compressor pneumático</v>
      </c>
      <c r="F55" s="22" t="str">
        <f aca="false">IF(COUNT(Programação!$AP$5:$AP$1004)&lt;48,"",IF(INDEX(Programação!$G$5:$G$1004,MATCH(48,Programação!$AP$5:$AP$1004,0))="","",INDEX(Programação!$G$5:$G$1004,MATCH(48,Programação!$AP$5:$AP$1004,0))))</f>
        <v>Corretiva</v>
      </c>
      <c r="G55" s="24" t="str">
        <f aca="false">IF(COUNT(Programação!$AP$5:$AP$1004)&lt;48,"",IF(INDEX(Programação!$U$5:$U$1004,MATCH(48,Programação!$AP$5:$AP$1004,0))="","",INDEX(Programação!$U$5:$U$1004,MATCH(48,Programação!$AP$5:$AP$1004,0))))</f>
        <v/>
      </c>
      <c r="H55" s="22" t="n">
        <f aca="false">IF(COUNT(Programação!$AP$5:$AP$1004)&lt;48,"",MATCH(48,Programação!$AP$5:$AP$1004,0)+4)</f>
        <v>140</v>
      </c>
    </row>
    <row r="56" customFormat="false" ht="15.75" hidden="false" customHeight="true" outlineLevel="0" collapsed="false">
      <c r="A56" s="22" t="str">
        <f aca="false">IF(COUNT(Programação!$AP$5:$AP$1004)&lt;49,"",IF(INDEX(Programação!$AM$5:$AM$1004,MATCH(49,Programação!$AP$5:$AP$1004,0))="","",INDEX(Programação!$AM$5:$AM$1004,MATCH(49,Programação!$AP$5:$AP$1004,0))))</f>
        <v/>
      </c>
      <c r="B56" s="22" t="str">
        <f aca="false">IF(COUNT(Programação!$AP$5:$AP$1004)&lt;49,"",IF(INDEX(Programação!$C$5:$C$1004,MATCH(49,Programação!$AP$5:$AP$1004,0))="","",INDEX(Programação!$C$5:$C$1004,MATCH(49,Programação!$AP$5:$AP$1004,0))))</f>
        <v/>
      </c>
      <c r="C56" s="22" t="str">
        <f aca="false">IF(COUNT(Programação!$AP$5:$AP$1004)&lt;49,"",IF(INDEX(Programação!$D$5:$D$1004,MATCH(49,Programação!$AP$5:$AP$1004,0))="","",INDEX(Programação!$D$5:$D$1004,MATCH(49,Programação!$AP$5:$AP$1004,0))))</f>
        <v>F-964</v>
      </c>
      <c r="D56" s="22" t="str">
        <f aca="false">IF(COUNT(Programação!$AP$5:$AP$1004)&lt;49,"",IF(INDEX(Programação!$AN$5:$AN$1004,MATCH(49,Programação!$AP$5:$AP$1004,0))="","",INDEX(Programação!$AN$5:$AN$1004,MATCH(49,Programação!$AP$5:$AP$1004,0))))</f>
        <v/>
      </c>
      <c r="E56" s="24" t="str">
        <f aca="false">IF(COUNT(Programação!$AP$5:$AP$1004)&lt;49,"",IF(INDEX(Programação!$F$5:$F$1004,MATCH(49,Programação!$AP$5:$AP$1004,0))="","",INDEX(Programação!$F$5:$F$1004,MATCH(49,Programação!$AP$5:$AP$1004,0))))</f>
        <v>Realizar lavagem para verificação de vazamento de óleo diesel na dianteira do motor LE</v>
      </c>
      <c r="F56" s="22" t="str">
        <f aca="false">IF(COUNT(Programação!$AP$5:$AP$1004)&lt;49,"",IF(INDEX(Programação!$G$5:$G$1004,MATCH(49,Programação!$AP$5:$AP$1004,0))="","",INDEX(Programação!$G$5:$G$1004,MATCH(49,Programação!$AP$5:$AP$1004,0))))</f>
        <v>Corretiva</v>
      </c>
      <c r="G56" s="24" t="str">
        <f aca="false">IF(COUNT(Programação!$AP$5:$AP$1004)&lt;49,"",IF(INDEX(Programação!$U$5:$U$1004,MATCH(49,Programação!$AP$5:$AP$1004,0))="","",INDEX(Programação!$U$5:$U$1004,MATCH(49,Programação!$AP$5:$AP$1004,0))))</f>
        <v/>
      </c>
      <c r="H56" s="22" t="n">
        <f aca="false">IF(COUNT(Programação!$AP$5:$AP$1004)&lt;49,"",MATCH(49,Programação!$AP$5:$AP$1004,0)+4)</f>
        <v>141</v>
      </c>
    </row>
    <row r="57" customFormat="false" ht="15.75" hidden="false" customHeight="true" outlineLevel="0" collapsed="false">
      <c r="A57" s="22" t="str">
        <f aca="false">IF(COUNT(Programação!$AP$5:$AP$1004)&lt;50,"",IF(INDEX(Programação!$AM$5:$AM$1004,MATCH(50,Programação!$AP$5:$AP$1004,0))="","",INDEX(Programação!$AM$5:$AM$1004,MATCH(50,Programação!$AP$5:$AP$1004,0))))</f>
        <v/>
      </c>
      <c r="B57" s="22" t="str">
        <f aca="false">IF(COUNT(Programação!$AP$5:$AP$1004)&lt;50,"",IF(INDEX(Programação!$C$5:$C$1004,MATCH(50,Programação!$AP$5:$AP$1004,0))="","",INDEX(Programação!$C$5:$C$1004,MATCH(50,Programação!$AP$5:$AP$1004,0))))</f>
        <v/>
      </c>
      <c r="C57" s="22" t="str">
        <f aca="false">IF(COUNT(Programação!$AP$5:$AP$1004)&lt;50,"",IF(INDEX(Programação!$D$5:$D$1004,MATCH(50,Programação!$AP$5:$AP$1004,0))="","",INDEX(Programação!$D$5:$D$1004,MATCH(50,Programação!$AP$5:$AP$1004,0))))</f>
        <v>F-964</v>
      </c>
      <c r="D57" s="22" t="str">
        <f aca="false">IF(COUNT(Programação!$AP$5:$AP$1004)&lt;50,"",IF(INDEX(Programação!$AN$5:$AN$1004,MATCH(50,Programação!$AP$5:$AP$1004,0))="","",INDEX(Programação!$AN$5:$AN$1004,MATCH(50,Programação!$AP$5:$AP$1004,0))))</f>
        <v/>
      </c>
      <c r="E57" s="24" t="str">
        <f aca="false">IF(COUNT(Programação!$AP$5:$AP$1004)&lt;50,"",IF(INDEX(Programação!$F$5:$F$1004,MATCH(50,Programação!$AP$5:$AP$1004,0))="","",INDEX(Programação!$F$5:$F$1004,MATCH(50,Programação!$AP$5:$AP$1004,0))))</f>
        <v>Realizar lavagem e verificar vazamento nas juntas das tampas de válvulas, se é escorrido do vazamento de óleo diesel</v>
      </c>
      <c r="F57" s="22" t="str">
        <f aca="false">IF(COUNT(Programação!$AP$5:$AP$1004)&lt;50,"",IF(INDEX(Programação!$G$5:$G$1004,MATCH(50,Programação!$AP$5:$AP$1004,0))="","",INDEX(Programação!$G$5:$G$1004,MATCH(50,Programação!$AP$5:$AP$1004,0))))</f>
        <v>Corretiva</v>
      </c>
      <c r="G57" s="24" t="str">
        <f aca="false">IF(COUNT(Programação!$AP$5:$AP$1004)&lt;50,"",IF(INDEX(Programação!$U$5:$U$1004,MATCH(50,Programação!$AP$5:$AP$1004,0))="","",INDEX(Programação!$U$5:$U$1004,MATCH(50,Programação!$AP$5:$AP$1004,0))))</f>
        <v/>
      </c>
      <c r="H57" s="22" t="n">
        <f aca="false">IF(COUNT(Programação!$AP$5:$AP$1004)&lt;50,"",MATCH(50,Programação!$AP$5:$AP$1004,0)+4)</f>
        <v>142</v>
      </c>
    </row>
    <row r="58" customFormat="false" ht="15.75" hidden="false" customHeight="true" outlineLevel="0" collapsed="false">
      <c r="A58" s="22" t="str">
        <f aca="false">IF(COUNT(Programação!$AP$5:$AP$1004)&lt;51,"",IF(INDEX(Programação!$AM$5:$AM$1004,MATCH(51,Programação!$AP$5:$AP$1004,0))="","",INDEX(Programação!$AM$5:$AM$1004,MATCH(51,Programação!$AP$5:$AP$1004,0))))</f>
        <v/>
      </c>
      <c r="B58" s="22" t="str">
        <f aca="false">IF(COUNT(Programação!$AP$5:$AP$1004)&lt;51,"",IF(INDEX(Programação!$C$5:$C$1004,MATCH(51,Programação!$AP$5:$AP$1004,0))="","",INDEX(Programação!$C$5:$C$1004,MATCH(51,Programação!$AP$5:$AP$1004,0))))</f>
        <v/>
      </c>
      <c r="C58" s="22" t="str">
        <f aca="false">IF(COUNT(Programação!$AP$5:$AP$1004)&lt;51,"",IF(INDEX(Programação!$D$5:$D$1004,MATCH(51,Programação!$AP$5:$AP$1004,0))="","",INDEX(Programação!$D$5:$D$1004,MATCH(51,Programação!$AP$5:$AP$1004,0))))</f>
        <v>F-964</v>
      </c>
      <c r="D58" s="22" t="str">
        <f aca="false">IF(COUNT(Programação!$AP$5:$AP$1004)&lt;51,"",IF(INDEX(Programação!$AN$5:$AN$1004,MATCH(51,Programação!$AP$5:$AP$1004,0))="","",INDEX(Programação!$AN$5:$AN$1004,MATCH(51,Programação!$AP$5:$AP$1004,0))))</f>
        <v/>
      </c>
      <c r="E58" s="24" t="str">
        <f aca="false">IF(COUNT(Programação!$AP$5:$AP$1004)&lt;51,"",IF(INDEX(Programação!$F$5:$F$1004,MATCH(51,Programação!$AP$5:$AP$1004,0))="","",INDEX(Programação!$F$5:$F$1004,MATCH(51,Programação!$AP$5:$AP$1004,0))))</f>
        <v>Corrigir engate das marchas: substituir pino de bloqueio de marcha, realizar testes e concluir diagnóstico</v>
      </c>
      <c r="F58" s="22" t="str">
        <f aca="false">IF(COUNT(Programação!$AP$5:$AP$1004)&lt;51,"",IF(INDEX(Programação!$G$5:$G$1004,MATCH(51,Programação!$AP$5:$AP$1004,0))="","",INDEX(Programação!$G$5:$G$1004,MATCH(51,Programação!$AP$5:$AP$1004,0))))</f>
        <v>Corretiva</v>
      </c>
      <c r="G58" s="24" t="str">
        <f aca="false">IF(COUNT(Programação!$AP$5:$AP$1004)&lt;51,"",IF(INDEX(Programação!$U$5:$U$1004,MATCH(51,Programação!$AP$5:$AP$1004,0))="","",INDEX(Programação!$U$5:$U$1004,MATCH(51,Programação!$AP$5:$AP$1004,0))))</f>
        <v/>
      </c>
      <c r="H58" s="22" t="n">
        <f aca="false">IF(COUNT(Programação!$AP$5:$AP$1004)&lt;51,"",MATCH(51,Programação!$AP$5:$AP$1004,0)+4)</f>
        <v>143</v>
      </c>
    </row>
    <row r="59" customFormat="false" ht="15.75" hidden="false" customHeight="true" outlineLevel="0" collapsed="false">
      <c r="A59" s="22" t="str">
        <f aca="false">IF(COUNT(Programação!$AP$5:$AP$1004)&lt;52,"",IF(INDEX(Programação!$AM$5:$AM$1004,MATCH(52,Programação!$AP$5:$AP$1004,0))="","",INDEX(Programação!$AM$5:$AM$1004,MATCH(52,Programação!$AP$5:$AP$1004,0))))</f>
        <v/>
      </c>
      <c r="B59" s="22" t="str">
        <f aca="false">IF(COUNT(Programação!$AP$5:$AP$1004)&lt;52,"",IF(INDEX(Programação!$C$5:$C$1004,MATCH(52,Programação!$AP$5:$AP$1004,0))="","",INDEX(Programação!$C$5:$C$1004,MATCH(52,Programação!$AP$5:$AP$1004,0))))</f>
        <v/>
      </c>
      <c r="C59" s="22" t="str">
        <f aca="false">IF(COUNT(Programação!$AP$5:$AP$1004)&lt;52,"",IF(INDEX(Programação!$D$5:$D$1004,MATCH(52,Programação!$AP$5:$AP$1004,0))="","",INDEX(Programação!$D$5:$D$1004,MATCH(52,Programação!$AP$5:$AP$1004,0))))</f>
        <v>F-964</v>
      </c>
      <c r="D59" s="22" t="str">
        <f aca="false">IF(COUNT(Programação!$AP$5:$AP$1004)&lt;52,"",IF(INDEX(Programação!$AN$5:$AN$1004,MATCH(52,Programação!$AP$5:$AP$1004,0))="","",INDEX(Programação!$AN$5:$AN$1004,MATCH(52,Programação!$AP$5:$AP$1004,0))))</f>
        <v/>
      </c>
      <c r="E59" s="24" t="str">
        <f aca="false">IF(COUNT(Programação!$AP$5:$AP$1004)&lt;52,"",IF(INDEX(Programação!$F$5:$F$1004,MATCH(52,Programação!$AP$5:$AP$1004,0))="","",INDEX(Programação!$F$5:$F$1004,MATCH(52,Programação!$AP$5:$AP$1004,0))))</f>
        <v>Substituir mangote superior do radiador ressecado</v>
      </c>
      <c r="F59" s="22" t="str">
        <f aca="false">IF(COUNT(Programação!$AP$5:$AP$1004)&lt;52,"",IF(INDEX(Programação!$G$5:$G$1004,MATCH(52,Programação!$AP$5:$AP$1004,0))="","",INDEX(Programação!$G$5:$G$1004,MATCH(52,Programação!$AP$5:$AP$1004,0))))</f>
        <v>Corretiva</v>
      </c>
      <c r="G59" s="24" t="str">
        <f aca="false">IF(COUNT(Programação!$AP$5:$AP$1004)&lt;52,"",IF(INDEX(Programação!$U$5:$U$1004,MATCH(52,Programação!$AP$5:$AP$1004,0))="","",INDEX(Programação!$U$5:$U$1004,MATCH(52,Programação!$AP$5:$AP$1004,0))))</f>
        <v/>
      </c>
      <c r="H59" s="22" t="n">
        <f aca="false">IF(COUNT(Programação!$AP$5:$AP$1004)&lt;52,"",MATCH(52,Programação!$AP$5:$AP$1004,0)+4)</f>
        <v>144</v>
      </c>
    </row>
    <row r="60" customFormat="false" ht="15.75" hidden="false" customHeight="true" outlineLevel="0" collapsed="false">
      <c r="A60" s="22" t="str">
        <f aca="false">IF(COUNT(Programação!$AP$5:$AP$1004)&lt;53,"",IF(INDEX(Programação!$AM$5:$AM$1004,MATCH(53,Programação!$AP$5:$AP$1004,0))="","",INDEX(Programação!$AM$5:$AM$1004,MATCH(53,Programação!$AP$5:$AP$1004,0))))</f>
        <v/>
      </c>
      <c r="B60" s="22" t="str">
        <f aca="false">IF(COUNT(Programação!$AP$5:$AP$1004)&lt;53,"",IF(INDEX(Programação!$C$5:$C$1004,MATCH(53,Programação!$AP$5:$AP$1004,0))="","",INDEX(Programação!$C$5:$C$1004,MATCH(53,Programação!$AP$5:$AP$1004,0))))</f>
        <v/>
      </c>
      <c r="C60" s="22" t="str">
        <f aca="false">IF(COUNT(Programação!$AP$5:$AP$1004)&lt;53,"",IF(INDEX(Programação!$D$5:$D$1004,MATCH(53,Programação!$AP$5:$AP$1004,0))="","",INDEX(Programação!$D$5:$D$1004,MATCH(53,Programação!$AP$5:$AP$1004,0))))</f>
        <v>F-964</v>
      </c>
      <c r="D60" s="22" t="str">
        <f aca="false">IF(COUNT(Programação!$AP$5:$AP$1004)&lt;53,"",IF(INDEX(Programação!$AN$5:$AN$1004,MATCH(53,Programação!$AP$5:$AP$1004,0))="","",INDEX(Programação!$AN$5:$AN$1004,MATCH(53,Programação!$AP$5:$AP$1004,0))))</f>
        <v/>
      </c>
      <c r="E60" s="24" t="str">
        <f aca="false">IF(COUNT(Programação!$AP$5:$AP$1004)&lt;53,"",IF(INDEX(Programação!$F$5:$F$1004,MATCH(53,Programação!$AP$5:$AP$1004,0))="","",INDEX(Programação!$F$5:$F$1004,MATCH(53,Programação!$AP$5:$AP$1004,0))))</f>
        <v>Substituir farol LE avariado</v>
      </c>
      <c r="F60" s="22" t="str">
        <f aca="false">IF(COUNT(Programação!$AP$5:$AP$1004)&lt;53,"",IF(INDEX(Programação!$G$5:$G$1004,MATCH(53,Programação!$AP$5:$AP$1004,0))="","",INDEX(Programação!$G$5:$G$1004,MATCH(53,Programação!$AP$5:$AP$1004,0))))</f>
        <v>Corretiva</v>
      </c>
      <c r="G60" s="24" t="str">
        <f aca="false">IF(COUNT(Programação!$AP$5:$AP$1004)&lt;53,"",IF(INDEX(Programação!$U$5:$U$1004,MATCH(53,Programação!$AP$5:$AP$1004,0))="","",INDEX(Programação!$U$5:$U$1004,MATCH(53,Programação!$AP$5:$AP$1004,0))))</f>
        <v/>
      </c>
      <c r="H60" s="22" t="n">
        <f aca="false">IF(COUNT(Programação!$AP$5:$AP$1004)&lt;53,"",MATCH(53,Programação!$AP$5:$AP$1004,0)+4)</f>
        <v>145</v>
      </c>
    </row>
    <row r="61" customFormat="false" ht="15.75" hidden="false" customHeight="true" outlineLevel="0" collapsed="false">
      <c r="A61" s="22" t="str">
        <f aca="false">IF(COUNT(Programação!$AP$5:$AP$1004)&lt;54,"",IF(INDEX(Programação!$AM$5:$AM$1004,MATCH(54,Programação!$AP$5:$AP$1004,0))="","",INDEX(Programação!$AM$5:$AM$1004,MATCH(54,Programação!$AP$5:$AP$1004,0))))</f>
        <v/>
      </c>
      <c r="B61" s="22" t="str">
        <f aca="false">IF(COUNT(Programação!$AP$5:$AP$1004)&lt;54,"",IF(INDEX(Programação!$C$5:$C$1004,MATCH(54,Programação!$AP$5:$AP$1004,0))="","",INDEX(Programação!$C$5:$C$1004,MATCH(54,Programação!$AP$5:$AP$1004,0))))</f>
        <v/>
      </c>
      <c r="C61" s="22" t="str">
        <f aca="false">IF(COUNT(Programação!$AP$5:$AP$1004)&lt;54,"",IF(INDEX(Programação!$D$5:$D$1004,MATCH(54,Programação!$AP$5:$AP$1004,0))="","",INDEX(Programação!$D$5:$D$1004,MATCH(54,Programação!$AP$5:$AP$1004,0))))</f>
        <v>F-964</v>
      </c>
      <c r="D61" s="22" t="str">
        <f aca="false">IF(COUNT(Programação!$AP$5:$AP$1004)&lt;54,"",IF(INDEX(Programação!$AN$5:$AN$1004,MATCH(54,Programação!$AP$5:$AP$1004,0))="","",INDEX(Programação!$AN$5:$AN$1004,MATCH(54,Programação!$AP$5:$AP$1004,0))))</f>
        <v/>
      </c>
      <c r="E61" s="24" t="str">
        <f aca="false">IF(COUNT(Programação!$AP$5:$AP$1004)&lt;54,"",IF(INDEX(Programação!$F$5:$F$1004,MATCH(54,Programação!$AP$5:$AP$1004,0))="","",INDEX(Programação!$F$5:$F$1004,MATCH(54,Programação!$AP$5:$AP$1004,0))))</f>
        <v>Fixar lanterna do pisca LE</v>
      </c>
      <c r="F61" s="22" t="str">
        <f aca="false">IF(COUNT(Programação!$AP$5:$AP$1004)&lt;54,"",IF(INDEX(Programação!$G$5:$G$1004,MATCH(54,Programação!$AP$5:$AP$1004,0))="","",INDEX(Programação!$G$5:$G$1004,MATCH(54,Programação!$AP$5:$AP$1004,0))))</f>
        <v>Corretiva</v>
      </c>
      <c r="G61" s="24" t="str">
        <f aca="false">IF(COUNT(Programação!$AP$5:$AP$1004)&lt;54,"",IF(INDEX(Programação!$U$5:$U$1004,MATCH(54,Programação!$AP$5:$AP$1004,0))="","",INDEX(Programação!$U$5:$U$1004,MATCH(54,Programação!$AP$5:$AP$1004,0))))</f>
        <v/>
      </c>
      <c r="H61" s="22" t="n">
        <f aca="false">IF(COUNT(Programação!$AP$5:$AP$1004)&lt;54,"",MATCH(54,Programação!$AP$5:$AP$1004,0)+4)</f>
        <v>146</v>
      </c>
    </row>
    <row r="62" customFormat="false" ht="15.75" hidden="false" customHeight="true" outlineLevel="0" collapsed="false">
      <c r="A62" s="22" t="str">
        <f aca="false">IF(COUNT(Programação!$AP$5:$AP$1004)&lt;55,"",IF(INDEX(Programação!$AM$5:$AM$1004,MATCH(55,Programação!$AP$5:$AP$1004,0))="","",INDEX(Programação!$AM$5:$AM$1004,MATCH(55,Programação!$AP$5:$AP$1004,0))))</f>
        <v/>
      </c>
      <c r="B62" s="22" t="str">
        <f aca="false">IF(COUNT(Programação!$AP$5:$AP$1004)&lt;55,"",IF(INDEX(Programação!$C$5:$C$1004,MATCH(55,Programação!$AP$5:$AP$1004,0))="","",INDEX(Programação!$C$5:$C$1004,MATCH(55,Programação!$AP$5:$AP$1004,0))))</f>
        <v/>
      </c>
      <c r="C62" s="22" t="str">
        <f aca="false">IF(COUNT(Programação!$AP$5:$AP$1004)&lt;55,"",IF(INDEX(Programação!$D$5:$D$1004,MATCH(55,Programação!$AP$5:$AP$1004,0))="","",INDEX(Programação!$D$5:$D$1004,MATCH(55,Programação!$AP$5:$AP$1004,0))))</f>
        <v>F-964</v>
      </c>
      <c r="D62" s="22" t="str">
        <f aca="false">IF(COUNT(Programação!$AP$5:$AP$1004)&lt;55,"",IF(INDEX(Programação!$AN$5:$AN$1004,MATCH(55,Programação!$AP$5:$AP$1004,0))="","",INDEX(Programação!$AN$5:$AN$1004,MATCH(55,Programação!$AP$5:$AP$1004,0))))</f>
        <v/>
      </c>
      <c r="E62" s="24" t="str">
        <f aca="false">IF(COUNT(Programação!$AP$5:$AP$1004)&lt;55,"",IF(INDEX(Programação!$F$5:$F$1004,MATCH(55,Programação!$AP$5:$AP$1004,0))="","",INDEX(Programação!$F$5:$F$1004,MATCH(55,Programação!$AP$5:$AP$1004,0))))</f>
        <v>Instalar lanternas traseiras e placa de trânsito</v>
      </c>
      <c r="F62" s="22" t="str">
        <f aca="false">IF(COUNT(Programação!$AP$5:$AP$1004)&lt;55,"",IF(INDEX(Programação!$G$5:$G$1004,MATCH(55,Programação!$AP$5:$AP$1004,0))="","",INDEX(Programação!$G$5:$G$1004,MATCH(55,Programação!$AP$5:$AP$1004,0))))</f>
        <v>Corretiva</v>
      </c>
      <c r="G62" s="24" t="str">
        <f aca="false">IF(COUNT(Programação!$AP$5:$AP$1004)&lt;55,"",IF(INDEX(Programação!$U$5:$U$1004,MATCH(55,Programação!$AP$5:$AP$1004,0))="","",INDEX(Programação!$U$5:$U$1004,MATCH(55,Programação!$AP$5:$AP$1004,0))))</f>
        <v/>
      </c>
      <c r="H62" s="22" t="n">
        <f aca="false">IF(COUNT(Programação!$AP$5:$AP$1004)&lt;55,"",MATCH(55,Programação!$AP$5:$AP$1004,0)+4)</f>
        <v>147</v>
      </c>
    </row>
    <row r="63" customFormat="false" ht="15.75" hidden="false" customHeight="true" outlineLevel="0" collapsed="false">
      <c r="A63" s="22" t="str">
        <f aca="false">IF(COUNT(Programação!$AP$5:$AP$1004)&lt;56,"",IF(INDEX(Programação!$AM$5:$AM$1004,MATCH(56,Programação!$AP$5:$AP$1004,0))="","",INDEX(Programação!$AM$5:$AM$1004,MATCH(56,Programação!$AP$5:$AP$1004,0))))</f>
        <v/>
      </c>
      <c r="B63" s="22" t="str">
        <f aca="false">IF(COUNT(Programação!$AP$5:$AP$1004)&lt;56,"",IF(INDEX(Programação!$C$5:$C$1004,MATCH(56,Programação!$AP$5:$AP$1004,0))="","",INDEX(Programação!$C$5:$C$1004,MATCH(56,Programação!$AP$5:$AP$1004,0))))</f>
        <v/>
      </c>
      <c r="C63" s="22" t="str">
        <f aca="false">IF(COUNT(Programação!$AP$5:$AP$1004)&lt;56,"",IF(INDEX(Programação!$D$5:$D$1004,MATCH(56,Programação!$AP$5:$AP$1004,0))="","",INDEX(Programação!$D$5:$D$1004,MATCH(56,Programação!$AP$5:$AP$1004,0))))</f>
        <v>F-964</v>
      </c>
      <c r="D63" s="22" t="str">
        <f aca="false">IF(COUNT(Programação!$AP$5:$AP$1004)&lt;56,"",IF(INDEX(Programação!$AN$5:$AN$1004,MATCH(56,Programação!$AP$5:$AP$1004,0))="","",INDEX(Programação!$AN$5:$AN$1004,MATCH(56,Programação!$AP$5:$AP$1004,0))))</f>
        <v/>
      </c>
      <c r="E63" s="24" t="str">
        <f aca="false">IF(COUNT(Programação!$AP$5:$AP$1004)&lt;56,"",IF(INDEX(Programação!$F$5:$F$1004,MATCH(56,Programação!$AP$5:$AP$1004,0))="","",INDEX(Programação!$F$5:$F$1004,MATCH(56,Programação!$AP$5:$AP$1004,0))))</f>
        <v>Fixar base do chicote elétrico e das mangueiras da carreta</v>
      </c>
      <c r="F63" s="22" t="str">
        <f aca="false">IF(COUNT(Programação!$AP$5:$AP$1004)&lt;56,"",IF(INDEX(Programação!$G$5:$G$1004,MATCH(56,Programação!$AP$5:$AP$1004,0))="","",INDEX(Programação!$G$5:$G$1004,MATCH(56,Programação!$AP$5:$AP$1004,0))))</f>
        <v>Corretiva</v>
      </c>
      <c r="G63" s="24" t="str">
        <f aca="false">IF(COUNT(Programação!$AP$5:$AP$1004)&lt;56,"",IF(INDEX(Programação!$U$5:$U$1004,MATCH(56,Programação!$AP$5:$AP$1004,0))="","",INDEX(Programação!$U$5:$U$1004,MATCH(56,Programação!$AP$5:$AP$1004,0))))</f>
        <v/>
      </c>
      <c r="H63" s="22" t="n">
        <f aca="false">IF(COUNT(Programação!$AP$5:$AP$1004)&lt;56,"",MATCH(56,Programação!$AP$5:$AP$1004,0)+4)</f>
        <v>148</v>
      </c>
    </row>
    <row r="64" customFormat="false" ht="15.75" hidden="false" customHeight="true" outlineLevel="0" collapsed="false">
      <c r="A64" s="22" t="str">
        <f aca="false">IF(COUNT(Programação!$AP$5:$AP$1004)&lt;57,"",IF(INDEX(Programação!$AM$5:$AM$1004,MATCH(57,Programação!$AP$5:$AP$1004,0))="","",INDEX(Programação!$AM$5:$AM$1004,MATCH(57,Programação!$AP$5:$AP$1004,0))))</f>
        <v/>
      </c>
      <c r="B64" s="22" t="str">
        <f aca="false">IF(COUNT(Programação!$AP$5:$AP$1004)&lt;57,"",IF(INDEX(Programação!$C$5:$C$1004,MATCH(57,Programação!$AP$5:$AP$1004,0))="","",INDEX(Programação!$C$5:$C$1004,MATCH(57,Programação!$AP$5:$AP$1004,0))))</f>
        <v/>
      </c>
      <c r="C64" s="22" t="str">
        <f aca="false">IF(COUNT(Programação!$AP$5:$AP$1004)&lt;57,"",IF(INDEX(Programação!$D$5:$D$1004,MATCH(57,Programação!$AP$5:$AP$1004,0))="","",INDEX(Programação!$D$5:$D$1004,MATCH(57,Programação!$AP$5:$AP$1004,0))))</f>
        <v>F-964</v>
      </c>
      <c r="D64" s="22" t="str">
        <f aca="false">IF(COUNT(Programação!$AP$5:$AP$1004)&lt;57,"",IF(INDEX(Programação!$AN$5:$AN$1004,MATCH(57,Programação!$AP$5:$AP$1004,0))="","",INDEX(Programação!$AN$5:$AN$1004,MATCH(57,Programação!$AP$5:$AP$1004,0))))</f>
        <v/>
      </c>
      <c r="E64" s="24" t="str">
        <f aca="false">IF(COUNT(Programação!$AP$5:$AP$1004)&lt;57,"",IF(INDEX(Programação!$F$5:$F$1004,MATCH(57,Programação!$AP$5:$AP$1004,0))="","",INDEX(Programação!$F$5:$F$1004,MATCH(57,Programação!$AP$5:$AP$1004,0))))</f>
        <v>Fixar tubo de enchimento frontal</v>
      </c>
      <c r="F64" s="22" t="str">
        <f aca="false">IF(COUNT(Programação!$AP$5:$AP$1004)&lt;57,"",IF(INDEX(Programação!$G$5:$G$1004,MATCH(57,Programação!$AP$5:$AP$1004,0))="","",INDEX(Programação!$G$5:$G$1004,MATCH(57,Programação!$AP$5:$AP$1004,0))))</f>
        <v>Corretiva</v>
      </c>
      <c r="G64" s="24" t="str">
        <f aca="false">IF(COUNT(Programação!$AP$5:$AP$1004)&lt;57,"",IF(INDEX(Programação!$U$5:$U$1004,MATCH(57,Programação!$AP$5:$AP$1004,0))="","",INDEX(Programação!$U$5:$U$1004,MATCH(57,Programação!$AP$5:$AP$1004,0))))</f>
        <v>evitando danificar o mesmo com atrito da ventoinha</v>
      </c>
      <c r="H64" s="22" t="n">
        <f aca="false">IF(COUNT(Programação!$AP$5:$AP$1004)&lt;57,"",MATCH(57,Programação!$AP$5:$AP$1004,0)+4)</f>
        <v>149</v>
      </c>
    </row>
    <row r="65" customFormat="false" ht="15.75" hidden="false" customHeight="true" outlineLevel="0" collapsed="false">
      <c r="A65" s="22" t="str">
        <f aca="false">IF(COUNT(Programação!$AP$5:$AP$1004)&lt;58,"",IF(INDEX(Programação!$AM$5:$AM$1004,MATCH(58,Programação!$AP$5:$AP$1004,0))="","",INDEX(Programação!$AM$5:$AM$1004,MATCH(58,Programação!$AP$5:$AP$1004,0))))</f>
        <v/>
      </c>
      <c r="B65" s="22" t="str">
        <f aca="false">IF(COUNT(Programação!$AP$5:$AP$1004)&lt;58,"",IF(INDEX(Programação!$C$5:$C$1004,MATCH(58,Programação!$AP$5:$AP$1004,0))="","",INDEX(Programação!$C$5:$C$1004,MATCH(58,Programação!$AP$5:$AP$1004,0))))</f>
        <v/>
      </c>
      <c r="C65" s="22" t="str">
        <f aca="false">IF(COUNT(Programação!$AP$5:$AP$1004)&lt;58,"",IF(INDEX(Programação!$D$5:$D$1004,MATCH(58,Programação!$AP$5:$AP$1004,0))="","",INDEX(Programação!$D$5:$D$1004,MATCH(58,Programação!$AP$5:$AP$1004,0))))</f>
        <v>F-964</v>
      </c>
      <c r="D65" s="22" t="str">
        <f aca="false">IF(COUNT(Programação!$AP$5:$AP$1004)&lt;58,"",IF(INDEX(Programação!$AN$5:$AN$1004,MATCH(58,Programação!$AP$5:$AP$1004,0))="","",INDEX(Programação!$AN$5:$AN$1004,MATCH(58,Programação!$AP$5:$AP$1004,0))))</f>
        <v/>
      </c>
      <c r="E65" s="24" t="str">
        <f aca="false">IF(COUNT(Programação!$AP$5:$AP$1004)&lt;58,"",IF(INDEX(Programação!$F$5:$F$1004,MATCH(58,Programação!$AP$5:$AP$1004,0))="","",INDEX(Programação!$F$5:$F$1004,MATCH(58,Programação!$AP$5:$AP$1004,0))))</f>
        <v>Reposicionar e instalar cardan do veículo</v>
      </c>
      <c r="F65" s="22" t="str">
        <f aca="false">IF(COUNT(Programação!$AP$5:$AP$1004)&lt;58,"",IF(INDEX(Programação!$G$5:$G$1004,MATCH(58,Programação!$AP$5:$AP$1004,0))="","",INDEX(Programação!$G$5:$G$1004,MATCH(58,Programação!$AP$5:$AP$1004,0))))</f>
        <v>Corretiva</v>
      </c>
      <c r="G65" s="24" t="str">
        <f aca="false">IF(COUNT(Programação!$AP$5:$AP$1004)&lt;58,"",IF(INDEX(Programação!$U$5:$U$1004,MATCH(58,Programação!$AP$5:$AP$1004,0))="","",INDEX(Programação!$U$5:$U$1004,MATCH(58,Programação!$AP$5:$AP$1004,0))))</f>
        <v/>
      </c>
      <c r="H65" s="22" t="n">
        <f aca="false">IF(COUNT(Programação!$AP$5:$AP$1004)&lt;58,"",MATCH(58,Programação!$AP$5:$AP$1004,0)+4)</f>
        <v>150</v>
      </c>
    </row>
    <row r="66" customFormat="false" ht="15.75" hidden="false" customHeight="true" outlineLevel="0" collapsed="false">
      <c r="A66" s="22" t="str">
        <f aca="false">IF(COUNT(Programação!$AP$5:$AP$1004)&lt;59,"",IF(INDEX(Programação!$AM$5:$AM$1004,MATCH(59,Programação!$AP$5:$AP$1004,0))="","",INDEX(Programação!$AM$5:$AM$1004,MATCH(59,Programação!$AP$5:$AP$1004,0))))</f>
        <v/>
      </c>
      <c r="B66" s="22" t="str">
        <f aca="false">IF(COUNT(Programação!$AP$5:$AP$1004)&lt;59,"",IF(INDEX(Programação!$C$5:$C$1004,MATCH(59,Programação!$AP$5:$AP$1004,0))="","",INDEX(Programação!$C$5:$C$1004,MATCH(59,Programação!$AP$5:$AP$1004,0))))</f>
        <v/>
      </c>
      <c r="C66" s="22" t="str">
        <f aca="false">IF(COUNT(Programação!$AP$5:$AP$1004)&lt;59,"",IF(INDEX(Programação!$D$5:$D$1004,MATCH(59,Programação!$AP$5:$AP$1004,0))="","",INDEX(Programação!$D$5:$D$1004,MATCH(59,Programação!$AP$5:$AP$1004,0))))</f>
        <v>F-964</v>
      </c>
      <c r="D66" s="22" t="str">
        <f aca="false">IF(COUNT(Programação!$AP$5:$AP$1004)&lt;59,"",IF(INDEX(Programação!$AN$5:$AN$1004,MATCH(59,Programação!$AP$5:$AP$1004,0))="","",INDEX(Programação!$AN$5:$AN$1004,MATCH(59,Programação!$AP$5:$AP$1004,0))))</f>
        <v/>
      </c>
      <c r="E66" s="24" t="str">
        <f aca="false">IF(COUNT(Programação!$AP$5:$AP$1004)&lt;59,"",IF(INDEX(Programação!$F$5:$F$1004,MATCH(59,Programação!$AP$5:$AP$1004,0))="","",INDEX(Programação!$F$5:$F$1004,MATCH(59,Programação!$AP$5:$AP$1004,0))))</f>
        <v>Lavar conjunto do filtro racor e verificar vazamento</v>
      </c>
      <c r="F66" s="22" t="str">
        <f aca="false">IF(COUNT(Programação!$AP$5:$AP$1004)&lt;59,"",IF(INDEX(Programação!$G$5:$G$1004,MATCH(59,Programação!$AP$5:$AP$1004,0))="","",INDEX(Programação!$G$5:$G$1004,MATCH(59,Programação!$AP$5:$AP$1004,0))))</f>
        <v>Corretiva</v>
      </c>
      <c r="G66" s="24" t="str">
        <f aca="false">IF(COUNT(Programação!$AP$5:$AP$1004)&lt;59,"",IF(INDEX(Programação!$U$5:$U$1004,MATCH(59,Programação!$AP$5:$AP$1004,0))="","",INDEX(Programação!$U$5:$U$1004,MATCH(59,Programação!$AP$5:$AP$1004,0))))</f>
        <v>Peça A 000 470 24 90 · realizar acompanhamento</v>
      </c>
      <c r="H66" s="22" t="n">
        <f aca="false">IF(COUNT(Programação!$AP$5:$AP$1004)&lt;59,"",MATCH(59,Programação!$AP$5:$AP$1004,0)+4)</f>
        <v>152</v>
      </c>
    </row>
    <row r="67" customFormat="false" ht="15.75" hidden="false" customHeight="true" outlineLevel="0" collapsed="false">
      <c r="A67" s="22" t="str">
        <f aca="false">IF(COUNT(Programação!$AP$5:$AP$1004)&lt;60,"",IF(INDEX(Programação!$AM$5:$AM$1004,MATCH(60,Programação!$AP$5:$AP$1004,0))="","",INDEX(Programação!$AM$5:$AM$1004,MATCH(60,Programação!$AP$5:$AP$1004,0))))</f>
        <v/>
      </c>
      <c r="B67" s="22" t="str">
        <f aca="false">IF(COUNT(Programação!$AP$5:$AP$1004)&lt;60,"",IF(INDEX(Programação!$C$5:$C$1004,MATCH(60,Programação!$AP$5:$AP$1004,0))="","",INDEX(Programação!$C$5:$C$1004,MATCH(60,Programação!$AP$5:$AP$1004,0))))</f>
        <v/>
      </c>
      <c r="C67" s="22" t="str">
        <f aca="false">IF(COUNT(Programação!$AP$5:$AP$1004)&lt;60,"",IF(INDEX(Programação!$D$5:$D$1004,MATCH(60,Programação!$AP$5:$AP$1004,0))="","",INDEX(Programação!$D$5:$D$1004,MATCH(60,Programação!$AP$5:$AP$1004,0))))</f>
        <v>F-964</v>
      </c>
      <c r="D67" s="22" t="str">
        <f aca="false">IF(COUNT(Programação!$AP$5:$AP$1004)&lt;60,"",IF(INDEX(Programação!$AN$5:$AN$1004,MATCH(60,Programação!$AP$5:$AP$1004,0))="","",INDEX(Programação!$AN$5:$AN$1004,MATCH(60,Programação!$AP$5:$AP$1004,0))))</f>
        <v/>
      </c>
      <c r="E67" s="24" t="str">
        <f aca="false">IF(COUNT(Programação!$AP$5:$AP$1004)&lt;60,"",IF(INDEX(Programação!$F$5:$F$1004,MATCH(60,Programação!$AP$5:$AP$1004,0))="","",INDEX(Programação!$F$5:$F$1004,MATCH(60,Programação!$AP$5:$AP$1004,0))))</f>
        <v>Substituir janela de inspeção frontal</v>
      </c>
      <c r="F67" s="22" t="str">
        <f aca="false">IF(COUNT(Programação!$AP$5:$AP$1004)&lt;60,"",IF(INDEX(Programação!$G$5:$G$1004,MATCH(60,Programação!$AP$5:$AP$1004,0))="","",INDEX(Programação!$G$5:$G$1004,MATCH(60,Programação!$AP$5:$AP$1004,0))))</f>
        <v>Corretiva</v>
      </c>
      <c r="G67" s="24" t="str">
        <f aca="false">IF(COUNT(Programação!$AP$5:$AP$1004)&lt;60,"",IF(INDEX(Programação!$U$5:$U$1004,MATCH(60,Programação!$AP$5:$AP$1004,0))="","",INDEX(Programação!$U$5:$U$1004,MATCH(60,Programação!$AP$5:$AP$1004,0))))</f>
        <v>A 940 888 11 23</v>
      </c>
      <c r="H67" s="22" t="n">
        <f aca="false">IF(COUNT(Programação!$AP$5:$AP$1004)&lt;60,"",MATCH(60,Programação!$AP$5:$AP$1004,0)+4)</f>
        <v>164</v>
      </c>
    </row>
    <row r="68" customFormat="false" ht="15.75" hidden="false" customHeight="true" outlineLevel="0" collapsed="false">
      <c r="A68" s="22" t="str">
        <f aca="false">IF(COUNT(Programação!$AP$5:$AP$1004)&lt;61,"",IF(INDEX(Programação!$AM$5:$AM$1004,MATCH(61,Programação!$AP$5:$AP$1004,0))="","",INDEX(Programação!$AM$5:$AM$1004,MATCH(61,Programação!$AP$5:$AP$1004,0))))</f>
        <v/>
      </c>
      <c r="B68" s="22" t="str">
        <f aca="false">IF(COUNT(Programação!$AP$5:$AP$1004)&lt;61,"",IF(INDEX(Programação!$C$5:$C$1004,MATCH(61,Programação!$AP$5:$AP$1004,0))="","",INDEX(Programação!$C$5:$C$1004,MATCH(61,Programação!$AP$5:$AP$1004,0))))</f>
        <v/>
      </c>
      <c r="C68" s="22" t="str">
        <f aca="false">IF(COUNT(Programação!$AP$5:$AP$1004)&lt;61,"",IF(INDEX(Programação!$D$5:$D$1004,MATCH(61,Programação!$AP$5:$AP$1004,0))="","",INDEX(Programação!$D$5:$D$1004,MATCH(61,Programação!$AP$5:$AP$1004,0))))</f>
        <v>F-964</v>
      </c>
      <c r="D68" s="22" t="str">
        <f aca="false">IF(COUNT(Programação!$AP$5:$AP$1004)&lt;61,"",IF(INDEX(Programação!$AN$5:$AN$1004,MATCH(61,Programação!$AP$5:$AP$1004,0))="","",INDEX(Programação!$AN$5:$AN$1004,MATCH(61,Programação!$AP$5:$AP$1004,0))))</f>
        <v/>
      </c>
      <c r="E68" s="24" t="str">
        <f aca="false">IF(COUNT(Programação!$AP$5:$AP$1004)&lt;61,"",IF(INDEX(Programação!$F$5:$F$1004,MATCH(61,Programação!$AP$5:$AP$1004,0))="","",INDEX(Programação!$F$5:$F$1004,MATCH(61,Programação!$AP$5:$AP$1004,0))))</f>
        <v>Substituir letreiro do modelo Axor "3344"</v>
      </c>
      <c r="F68" s="22" t="str">
        <f aca="false">IF(COUNT(Programação!$AP$5:$AP$1004)&lt;61,"",IF(INDEX(Programação!$G$5:$G$1004,MATCH(61,Programação!$AP$5:$AP$1004,0))="","",INDEX(Programação!$G$5:$G$1004,MATCH(61,Programação!$AP$5:$AP$1004,0))))</f>
        <v>Corretiva</v>
      </c>
      <c r="G68" s="24" t="str">
        <f aca="false">IF(COUNT(Programação!$AP$5:$AP$1004)&lt;61,"",IF(INDEX(Programação!$U$5:$U$1004,MATCH(61,Programação!$AP$5:$AP$1004,0))="","",INDEX(Programação!$U$5:$U$1004,MATCH(61,Programação!$AP$5:$AP$1004,0))))</f>
        <v>Peça A 943 817 13 14 · certificar com fornecedor</v>
      </c>
      <c r="H68" s="22" t="n">
        <f aca="false">IF(COUNT(Programação!$AP$5:$AP$1004)&lt;61,"",MATCH(61,Programação!$AP$5:$AP$1004,0)+4)</f>
        <v>171</v>
      </c>
    </row>
    <row r="69" customFormat="false" ht="15.75" hidden="false" customHeight="true" outlineLevel="0" collapsed="false">
      <c r="A69" s="22" t="str">
        <f aca="false">IF(COUNT(Programação!$AP$5:$AP$1004)&lt;62,"",IF(INDEX(Programação!$AM$5:$AM$1004,MATCH(62,Programação!$AP$5:$AP$1004,0))="","",INDEX(Programação!$AM$5:$AM$1004,MATCH(62,Programação!$AP$5:$AP$1004,0))))</f>
        <v/>
      </c>
      <c r="B69" s="22" t="str">
        <f aca="false">IF(COUNT(Programação!$AP$5:$AP$1004)&lt;62,"",IF(INDEX(Programação!$C$5:$C$1004,MATCH(62,Programação!$AP$5:$AP$1004,0))="","",INDEX(Programação!$C$5:$C$1004,MATCH(62,Programação!$AP$5:$AP$1004,0))))</f>
        <v/>
      </c>
      <c r="C69" s="22" t="str">
        <f aca="false">IF(COUNT(Programação!$AP$5:$AP$1004)&lt;62,"",IF(INDEX(Programação!$D$5:$D$1004,MATCH(62,Programação!$AP$5:$AP$1004,0))="","",INDEX(Programação!$D$5:$D$1004,MATCH(62,Programação!$AP$5:$AP$1004,0))))</f>
        <v>F-964</v>
      </c>
      <c r="D69" s="22" t="str">
        <f aca="false">IF(COUNT(Programação!$AP$5:$AP$1004)&lt;62,"",IF(INDEX(Programação!$AN$5:$AN$1004,MATCH(62,Programação!$AP$5:$AP$1004,0))="","",INDEX(Programação!$AN$5:$AN$1004,MATCH(62,Programação!$AP$5:$AP$1004,0))))</f>
        <v/>
      </c>
      <c r="E69" s="24" t="str">
        <f aca="false">IF(COUNT(Programação!$AP$5:$AP$1004)&lt;62,"",IF(INDEX(Programação!$F$5:$F$1004,MATCH(62,Programação!$AP$5:$AP$1004,0))="","",INDEX(Programação!$F$5:$F$1004,MATCH(62,Programação!$AP$5:$AP$1004,0))))</f>
        <v>Recuperar pisante do estribo LD avariado</v>
      </c>
      <c r="F69" s="22" t="str">
        <f aca="false">IF(COUNT(Programação!$AP$5:$AP$1004)&lt;62,"",IF(INDEX(Programação!$G$5:$G$1004,MATCH(62,Programação!$AP$5:$AP$1004,0))="","",INDEX(Programação!$G$5:$G$1004,MATCH(62,Programação!$AP$5:$AP$1004,0))))</f>
        <v>Corretiva</v>
      </c>
      <c r="G69" s="24" t="str">
        <f aca="false">IF(COUNT(Programação!$AP$5:$AP$1004)&lt;62,"",IF(INDEX(Programação!$U$5:$U$1004,MATCH(62,Programação!$AP$5:$AP$1004,0))="","",INDEX(Programação!$U$5:$U$1004,MATCH(62,Programação!$AP$5:$AP$1004,0))))</f>
        <v>serviço interno Matriz</v>
      </c>
      <c r="H69" s="22" t="n">
        <f aca="false">IF(COUNT(Programação!$AP$5:$AP$1004)&lt;62,"",MATCH(62,Programação!$AP$5:$AP$1004,0)+4)</f>
        <v>172</v>
      </c>
    </row>
    <row r="70" customFormat="false" ht="15.75" hidden="false" customHeight="true" outlineLevel="0" collapsed="false">
      <c r="A70" s="22" t="str">
        <f aca="false">IF(COUNT(Programação!$AP$5:$AP$1004)&lt;63,"",IF(INDEX(Programação!$AM$5:$AM$1004,MATCH(63,Programação!$AP$5:$AP$1004,0))="","",INDEX(Programação!$AM$5:$AM$1004,MATCH(63,Programação!$AP$5:$AP$1004,0))))</f>
        <v/>
      </c>
      <c r="B70" s="22" t="str">
        <f aca="false">IF(COUNT(Programação!$AP$5:$AP$1004)&lt;63,"",IF(INDEX(Programação!$C$5:$C$1004,MATCH(63,Programação!$AP$5:$AP$1004,0))="","",INDEX(Programação!$C$5:$C$1004,MATCH(63,Programação!$AP$5:$AP$1004,0))))</f>
        <v>007475</v>
      </c>
      <c r="C70" s="22" t="str">
        <f aca="false">IF(COUNT(Programação!$AP$5:$AP$1004)&lt;63,"",IF(INDEX(Programação!$D$5:$D$1004,MATCH(63,Programação!$AP$5:$AP$1004,0))="","",INDEX(Programação!$D$5:$D$1004,MATCH(63,Programação!$AP$5:$AP$1004,0))))</f>
        <v>F-967</v>
      </c>
      <c r="D70" s="22" t="str">
        <f aca="false">IF(COUNT(Programação!$AP$5:$AP$1004)&lt;63,"",IF(INDEX(Programação!$AN$5:$AN$1004,MATCH(63,Programação!$AP$5:$AP$1004,0))="","",INDEX(Programação!$AN$5:$AN$1004,MATCH(63,Programação!$AP$5:$AP$1004,0))))</f>
        <v>Petro</v>
      </c>
      <c r="E70" s="24" t="str">
        <f aca="false">IF(COUNT(Programação!$AP$5:$AP$1004)&lt;63,"",IF(INDEX(Programação!$F$5:$F$1004,MATCH(63,Programação!$AP$5:$AP$1004,0))="","",INDEX(Programação!$F$5:$F$1004,MATCH(63,Programação!$AP$5:$AP$1004,0))))</f>
        <v>Verificar falha no painel do módulo FR</v>
      </c>
      <c r="F70" s="22" t="str">
        <f aca="false">IF(COUNT(Programação!$AP$5:$AP$1004)&lt;63,"",IF(INDEX(Programação!$G$5:$G$1004,MATCH(63,Programação!$AP$5:$AP$1004,0))="","",INDEX(Programação!$G$5:$G$1004,MATCH(63,Programação!$AP$5:$AP$1004,0))))</f>
        <v>Corretiva</v>
      </c>
      <c r="G70" s="24" t="str">
        <f aca="false">IF(COUNT(Programação!$AP$5:$AP$1004)&lt;63,"",IF(INDEX(Programação!$U$5:$U$1004,MATCH(63,Programação!$AP$5:$AP$1004,0))="","",INDEX(Programação!$U$5:$U$1004,MATCH(63,Programação!$AP$5:$AP$1004,0))))</f>
        <v>limitações de funcionamento</v>
      </c>
      <c r="H70" s="22" t="n">
        <f aca="false">IF(COUNT(Programação!$AP$5:$AP$1004)&lt;63,"",MATCH(63,Programação!$AP$5:$AP$1004,0)+4)</f>
        <v>339</v>
      </c>
    </row>
    <row r="71" customFormat="false" ht="15.75" hidden="false" customHeight="true" outlineLevel="0" collapsed="false">
      <c r="A71" s="22" t="str">
        <f aca="false">IF(COUNT(Programação!$AP$5:$AP$1004)&lt;64,"",IF(INDEX(Programação!$AM$5:$AM$1004,MATCH(64,Programação!$AP$5:$AP$1004,0))="","",INDEX(Programação!$AM$5:$AM$1004,MATCH(64,Programação!$AP$5:$AP$1004,0))))</f>
        <v/>
      </c>
      <c r="B71" s="22" t="str">
        <f aca="false">IF(COUNT(Programação!$AP$5:$AP$1004)&lt;64,"",IF(INDEX(Programação!$C$5:$C$1004,MATCH(64,Programação!$AP$5:$AP$1004,0))="","",INDEX(Programação!$C$5:$C$1004,MATCH(64,Programação!$AP$5:$AP$1004,0))))</f>
        <v>007476</v>
      </c>
      <c r="C71" s="22" t="str">
        <f aca="false">IF(COUNT(Programação!$AP$5:$AP$1004)&lt;64,"",IF(INDEX(Programação!$D$5:$D$1004,MATCH(64,Programação!$AP$5:$AP$1004,0))="","",INDEX(Programação!$D$5:$D$1004,MATCH(64,Programação!$AP$5:$AP$1004,0))))</f>
        <v>F-967</v>
      </c>
      <c r="D71" s="22" t="str">
        <f aca="false">IF(COUNT(Programação!$AP$5:$AP$1004)&lt;64,"",IF(INDEX(Programação!$AN$5:$AN$1004,MATCH(64,Programação!$AP$5:$AP$1004,0))="","",INDEX(Programação!$AN$5:$AN$1004,MATCH(64,Programação!$AP$5:$AP$1004,0))))</f>
        <v>Petro</v>
      </c>
      <c r="E71" s="24" t="str">
        <f aca="false">IF(COUNT(Programação!$AP$5:$AP$1004)&lt;64,"",IF(INDEX(Programação!$F$5:$F$1004,MATCH(64,Programação!$AP$5:$AP$1004,0))="","",INDEX(Programação!$F$5:$F$1004,MATCH(64,Programação!$AP$5:$AP$1004,0))))</f>
        <v>Recarregar baterias para testar falha elétrica</v>
      </c>
      <c r="F71" s="22" t="str">
        <f aca="false">IF(COUNT(Programação!$AP$5:$AP$1004)&lt;64,"",IF(INDEX(Programação!$G$5:$G$1004,MATCH(64,Programação!$AP$5:$AP$1004,0))="","",INDEX(Programação!$G$5:$G$1004,MATCH(64,Programação!$AP$5:$AP$1004,0))))</f>
        <v>Corretiva</v>
      </c>
      <c r="G71" s="24" t="str">
        <f aca="false">IF(COUNT(Programação!$AP$5:$AP$1004)&lt;64,"",IF(INDEX(Programação!$U$5:$U$1004,MATCH(64,Programação!$AP$5:$AP$1004,0))="","",INDEX(Programação!$U$5:$U$1004,MATCH(64,Programação!$AP$5:$AP$1004,0))))</f>
        <v/>
      </c>
      <c r="H71" s="22" t="n">
        <f aca="false">IF(COUNT(Programação!$AP$5:$AP$1004)&lt;64,"",MATCH(64,Programação!$AP$5:$AP$1004,0)+4)</f>
        <v>340</v>
      </c>
    </row>
    <row r="72" customFormat="false" ht="15.75" hidden="false" customHeight="true" outlineLevel="0" collapsed="false">
      <c r="A72" s="22" t="str">
        <f aca="false">IF(COUNT(Programação!$AP$5:$AP$1004)&lt;65,"",IF(INDEX(Programação!$AM$5:$AM$1004,MATCH(65,Programação!$AP$5:$AP$1004,0))="","",INDEX(Programação!$AM$5:$AM$1004,MATCH(65,Programação!$AP$5:$AP$1004,0))))</f>
        <v/>
      </c>
      <c r="B72" s="22" t="str">
        <f aca="false">IF(COUNT(Programação!$AP$5:$AP$1004)&lt;65,"",IF(INDEX(Programação!$C$5:$C$1004,MATCH(65,Programação!$AP$5:$AP$1004,0))="","",INDEX(Programação!$C$5:$C$1004,MATCH(65,Programação!$AP$5:$AP$1004,0))))</f>
        <v>007477</v>
      </c>
      <c r="C72" s="22" t="str">
        <f aca="false">IF(COUNT(Programação!$AP$5:$AP$1004)&lt;65,"",IF(INDEX(Programação!$D$5:$D$1004,MATCH(65,Programação!$AP$5:$AP$1004,0))="","",INDEX(Programação!$D$5:$D$1004,MATCH(65,Programação!$AP$5:$AP$1004,0))))</f>
        <v>F-967</v>
      </c>
      <c r="D72" s="22" t="str">
        <f aca="false">IF(COUNT(Programação!$AP$5:$AP$1004)&lt;65,"",IF(INDEX(Programação!$AN$5:$AN$1004,MATCH(65,Programação!$AP$5:$AP$1004,0))="","",INDEX(Programação!$AN$5:$AN$1004,MATCH(65,Programação!$AP$5:$AP$1004,0))))</f>
        <v>Petro</v>
      </c>
      <c r="E72" s="24" t="str">
        <f aca="false">IF(COUNT(Programação!$AP$5:$AP$1004)&lt;65,"",IF(INDEX(Programação!$F$5:$F$1004,MATCH(65,Programação!$AP$5:$AP$1004,0))="","",INDEX(Programação!$F$5:$F$1004,MATCH(65,Programação!$AP$5:$AP$1004,0))))</f>
        <v>Corrigir quantidade de molas nos feixes dianteiros LD e LE</v>
      </c>
      <c r="F72" s="22" t="str">
        <f aca="false">IF(COUNT(Programação!$AP$5:$AP$1004)&lt;65,"",IF(INDEX(Programação!$G$5:$G$1004,MATCH(65,Programação!$AP$5:$AP$1004,0))="","",INDEX(Programação!$G$5:$G$1004,MATCH(65,Programação!$AP$5:$AP$1004,0))))</f>
        <v>Corretiva</v>
      </c>
      <c r="G72" s="24" t="str">
        <f aca="false">IF(COUNT(Programação!$AP$5:$AP$1004)&lt;65,"",IF(INDEX(Programação!$U$5:$U$1004,MATCH(65,Programação!$AP$5:$AP$1004,0))="","",INDEX(Programação!$U$5:$U$1004,MATCH(65,Programação!$AP$5:$AP$1004,0))))</f>
        <v/>
      </c>
      <c r="H72" s="22" t="n">
        <f aca="false">IF(COUNT(Programação!$AP$5:$AP$1004)&lt;65,"",MATCH(65,Programação!$AP$5:$AP$1004,0)+4)</f>
        <v>341</v>
      </c>
    </row>
    <row r="73" customFormat="false" ht="15.75" hidden="false" customHeight="true" outlineLevel="0" collapsed="false">
      <c r="A73" s="22" t="str">
        <f aca="false">IF(COUNT(Programação!$AP$5:$AP$1004)&lt;66,"",IF(INDEX(Programação!$AM$5:$AM$1004,MATCH(66,Programação!$AP$5:$AP$1004,0))="","",INDEX(Programação!$AM$5:$AM$1004,MATCH(66,Programação!$AP$5:$AP$1004,0))))</f>
        <v/>
      </c>
      <c r="B73" s="22" t="str">
        <f aca="false">IF(COUNT(Programação!$AP$5:$AP$1004)&lt;66,"",IF(INDEX(Programação!$C$5:$C$1004,MATCH(66,Programação!$AP$5:$AP$1004,0))="","",INDEX(Programação!$C$5:$C$1004,MATCH(66,Programação!$AP$5:$AP$1004,0))))</f>
        <v>007478</v>
      </c>
      <c r="C73" s="22" t="str">
        <f aca="false">IF(COUNT(Programação!$AP$5:$AP$1004)&lt;66,"",IF(INDEX(Programação!$D$5:$D$1004,MATCH(66,Programação!$AP$5:$AP$1004,0))="","",INDEX(Programação!$D$5:$D$1004,MATCH(66,Programação!$AP$5:$AP$1004,0))))</f>
        <v>F-967</v>
      </c>
      <c r="D73" s="22" t="str">
        <f aca="false">IF(COUNT(Programação!$AP$5:$AP$1004)&lt;66,"",IF(INDEX(Programação!$AN$5:$AN$1004,MATCH(66,Programação!$AP$5:$AP$1004,0))="","",INDEX(Programação!$AN$5:$AN$1004,MATCH(66,Programação!$AP$5:$AP$1004,0))))</f>
        <v>Petro</v>
      </c>
      <c r="E73" s="24" t="str">
        <f aca="false">IF(COUNT(Programação!$AP$5:$AP$1004)&lt;66,"",IF(INDEX(Programação!$F$5:$F$1004,MATCH(66,Programação!$AP$5:$AP$1004,0))="","",INDEX(Programação!$F$5:$F$1004,MATCH(66,Programação!$AP$5:$AP$1004,0))))</f>
        <v>Recuperar estrutura da placa traseira</v>
      </c>
      <c r="F73" s="22" t="str">
        <f aca="false">IF(COUNT(Programação!$AP$5:$AP$1004)&lt;66,"",IF(INDEX(Programação!$G$5:$G$1004,MATCH(66,Programação!$AP$5:$AP$1004,0))="","",INDEX(Programação!$G$5:$G$1004,MATCH(66,Programação!$AP$5:$AP$1004,0))))</f>
        <v>Corretiva</v>
      </c>
      <c r="G73" s="24" t="str">
        <f aca="false">IF(COUNT(Programação!$AP$5:$AP$1004)&lt;66,"",IF(INDEX(Programação!$U$5:$U$1004,MATCH(66,Programação!$AP$5:$AP$1004,0))="","",INDEX(Programação!$U$5:$U$1004,MATCH(66,Programação!$AP$5:$AP$1004,0))))</f>
        <v/>
      </c>
      <c r="H73" s="22" t="n">
        <f aca="false">IF(COUNT(Programação!$AP$5:$AP$1004)&lt;66,"",MATCH(66,Programação!$AP$5:$AP$1004,0)+4)</f>
        <v>342</v>
      </c>
    </row>
    <row r="74" customFormat="false" ht="15.75" hidden="false" customHeight="true" outlineLevel="0" collapsed="false">
      <c r="A74" s="22" t="str">
        <f aca="false">IF(COUNT(Programação!$AP$5:$AP$1004)&lt;67,"",IF(INDEX(Programação!$AM$5:$AM$1004,MATCH(67,Programação!$AP$5:$AP$1004,0))="","",INDEX(Programação!$AM$5:$AM$1004,MATCH(67,Programação!$AP$5:$AP$1004,0))))</f>
        <v/>
      </c>
      <c r="B74" s="22" t="str">
        <f aca="false">IF(COUNT(Programação!$AP$5:$AP$1004)&lt;67,"",IF(INDEX(Programação!$C$5:$C$1004,MATCH(67,Programação!$AP$5:$AP$1004,0))="","",INDEX(Programação!$C$5:$C$1004,MATCH(67,Programação!$AP$5:$AP$1004,0))))</f>
        <v>007479</v>
      </c>
      <c r="C74" s="22" t="str">
        <f aca="false">IF(COUNT(Programação!$AP$5:$AP$1004)&lt;67,"",IF(INDEX(Programação!$D$5:$D$1004,MATCH(67,Programação!$AP$5:$AP$1004,0))="","",INDEX(Programação!$D$5:$D$1004,MATCH(67,Programação!$AP$5:$AP$1004,0))))</f>
        <v>F-967</v>
      </c>
      <c r="D74" s="22" t="str">
        <f aca="false">IF(COUNT(Programação!$AP$5:$AP$1004)&lt;67,"",IF(INDEX(Programação!$AN$5:$AN$1004,MATCH(67,Programação!$AP$5:$AP$1004,0))="","",INDEX(Programação!$AN$5:$AN$1004,MATCH(67,Programação!$AP$5:$AP$1004,0))))</f>
        <v>Petro</v>
      </c>
      <c r="E74" s="24" t="str">
        <f aca="false">IF(COUNT(Programação!$AP$5:$AP$1004)&lt;67,"",IF(INDEX(Programação!$F$5:$F$1004,MATCH(67,Programação!$AP$5:$AP$1004,0))="","",INDEX(Programação!$F$5:$F$1004,MATCH(67,Programação!$AP$5:$AP$1004,0))))</f>
        <v>Fixar tampa inferior da caixa de fusíveis</v>
      </c>
      <c r="F74" s="22" t="str">
        <f aca="false">IF(COUNT(Programação!$AP$5:$AP$1004)&lt;67,"",IF(INDEX(Programação!$G$5:$G$1004,MATCH(67,Programação!$AP$5:$AP$1004,0))="","",INDEX(Programação!$G$5:$G$1004,MATCH(67,Programação!$AP$5:$AP$1004,0))))</f>
        <v>Corretiva</v>
      </c>
      <c r="G74" s="24" t="str">
        <f aca="false">IF(COUNT(Programação!$AP$5:$AP$1004)&lt;67,"",IF(INDEX(Programação!$U$5:$U$1004,MATCH(67,Programação!$AP$5:$AP$1004,0))="","",INDEX(Programação!$U$5:$U$1004,MATCH(67,Programação!$AP$5:$AP$1004,0))))</f>
        <v/>
      </c>
      <c r="H74" s="22" t="n">
        <f aca="false">IF(COUNT(Programação!$AP$5:$AP$1004)&lt;67,"",MATCH(67,Programação!$AP$5:$AP$1004,0)+4)</f>
        <v>343</v>
      </c>
    </row>
    <row r="75" customFormat="false" ht="15.75" hidden="false" customHeight="true" outlineLevel="0" collapsed="false">
      <c r="A75" s="22" t="str">
        <f aca="false">IF(COUNT(Programação!$AP$5:$AP$1004)&lt;68,"",IF(INDEX(Programação!$AM$5:$AM$1004,MATCH(68,Programação!$AP$5:$AP$1004,0))="","",INDEX(Programação!$AM$5:$AM$1004,MATCH(68,Programação!$AP$5:$AP$1004,0))))</f>
        <v/>
      </c>
      <c r="B75" s="22" t="str">
        <f aca="false">IF(COUNT(Programação!$AP$5:$AP$1004)&lt;68,"",IF(INDEX(Programação!$C$5:$C$1004,MATCH(68,Programação!$AP$5:$AP$1004,0))="","",INDEX(Programação!$C$5:$C$1004,MATCH(68,Programação!$AP$5:$AP$1004,0))))</f>
        <v>007480</v>
      </c>
      <c r="C75" s="22" t="str">
        <f aca="false">IF(COUNT(Programação!$AP$5:$AP$1004)&lt;68,"",IF(INDEX(Programação!$D$5:$D$1004,MATCH(68,Programação!$AP$5:$AP$1004,0))="","",INDEX(Programação!$D$5:$D$1004,MATCH(68,Programação!$AP$5:$AP$1004,0))))</f>
        <v>F-967</v>
      </c>
      <c r="D75" s="22" t="str">
        <f aca="false">IF(COUNT(Programação!$AP$5:$AP$1004)&lt;68,"",IF(INDEX(Programação!$AN$5:$AN$1004,MATCH(68,Programação!$AP$5:$AP$1004,0))="","",INDEX(Programação!$AN$5:$AN$1004,MATCH(68,Programação!$AP$5:$AP$1004,0))))</f>
        <v>Petro</v>
      </c>
      <c r="E75" s="24" t="str">
        <f aca="false">IF(COUNT(Programação!$AP$5:$AP$1004)&lt;68,"",IF(INDEX(Programação!$F$5:$F$1004,MATCH(68,Programação!$AP$5:$AP$1004,0))="","",INDEX(Programação!$F$5:$F$1004,MATCH(68,Programação!$AP$5:$AP$1004,0))))</f>
        <v>Repor acabamento do pega-mão do forro da porta do motorista</v>
      </c>
      <c r="F75" s="22" t="str">
        <f aca="false">IF(COUNT(Programação!$AP$5:$AP$1004)&lt;68,"",IF(INDEX(Programação!$G$5:$G$1004,MATCH(68,Programação!$AP$5:$AP$1004,0))="","",INDEX(Programação!$G$5:$G$1004,MATCH(68,Programação!$AP$5:$AP$1004,0))))</f>
        <v>Corretiva</v>
      </c>
      <c r="G75" s="24" t="str">
        <f aca="false">IF(COUNT(Programação!$AP$5:$AP$1004)&lt;68,"",IF(INDEX(Programação!$U$5:$U$1004,MATCH(68,Programação!$AP$5:$AP$1004,0))="","",INDEX(Programação!$U$5:$U$1004,MATCH(68,Programação!$AP$5:$AP$1004,0))))</f>
        <v>peça A 940 722 01 08</v>
      </c>
      <c r="H75" s="22" t="n">
        <f aca="false">IF(COUNT(Programação!$AP$5:$AP$1004)&lt;68,"",MATCH(68,Programação!$AP$5:$AP$1004,0)+4)</f>
        <v>344</v>
      </c>
    </row>
    <row r="76" customFormat="false" ht="15.75" hidden="false" customHeight="true" outlineLevel="0" collapsed="false">
      <c r="A76" s="22" t="str">
        <f aca="false">IF(COUNT(Programação!$AP$5:$AP$1004)&lt;69,"",IF(INDEX(Programação!$AM$5:$AM$1004,MATCH(69,Programação!$AP$5:$AP$1004,0))="","",INDEX(Programação!$AM$5:$AM$1004,MATCH(69,Programação!$AP$5:$AP$1004,0))))</f>
        <v/>
      </c>
      <c r="B76" s="22" t="str">
        <f aca="false">IF(COUNT(Programação!$AP$5:$AP$1004)&lt;69,"",IF(INDEX(Programação!$C$5:$C$1004,MATCH(69,Programação!$AP$5:$AP$1004,0))="","",INDEX(Programação!$C$5:$C$1004,MATCH(69,Programação!$AP$5:$AP$1004,0))))</f>
        <v>007481</v>
      </c>
      <c r="C76" s="22" t="str">
        <f aca="false">IF(COUNT(Programação!$AP$5:$AP$1004)&lt;69,"",IF(INDEX(Programação!$D$5:$D$1004,MATCH(69,Programação!$AP$5:$AP$1004,0))="","",INDEX(Programação!$D$5:$D$1004,MATCH(69,Programação!$AP$5:$AP$1004,0))))</f>
        <v>F-967</v>
      </c>
      <c r="D76" s="22" t="str">
        <f aca="false">IF(COUNT(Programação!$AP$5:$AP$1004)&lt;69,"",IF(INDEX(Programação!$AN$5:$AN$1004,MATCH(69,Programação!$AP$5:$AP$1004,0))="","",INDEX(Programação!$AN$5:$AN$1004,MATCH(69,Programação!$AP$5:$AP$1004,0))))</f>
        <v>Petro</v>
      </c>
      <c r="E76" s="24" t="str">
        <f aca="false">IF(COUNT(Programação!$AP$5:$AP$1004)&lt;69,"",IF(INDEX(Programação!$F$5:$F$1004,MATCH(69,Programação!$AP$5:$AP$1004,0))="","",INDEX(Programação!$F$5:$F$1004,MATCH(69,Programação!$AP$5:$AP$1004,0))))</f>
        <v>Repor para-choque traseiro</v>
      </c>
      <c r="F76" s="22" t="str">
        <f aca="false">IF(COUNT(Programação!$AP$5:$AP$1004)&lt;69,"",IF(INDEX(Programação!$G$5:$G$1004,MATCH(69,Programação!$AP$5:$AP$1004,0))="","",INDEX(Programação!$G$5:$G$1004,MATCH(69,Programação!$AP$5:$AP$1004,0))))</f>
        <v>Corretiva</v>
      </c>
      <c r="G76" s="24" t="str">
        <f aca="false">IF(COUNT(Programação!$AP$5:$AP$1004)&lt;69,"",IF(INDEX(Programação!$U$5:$U$1004,MATCH(69,Programação!$AP$5:$AP$1004,0))="","",INDEX(Programação!$U$5:$U$1004,MATCH(69,Programação!$AP$5:$AP$1004,0))))</f>
        <v/>
      </c>
      <c r="H76" s="22" t="n">
        <f aca="false">IF(COUNT(Programação!$AP$5:$AP$1004)&lt;69,"",MATCH(69,Programação!$AP$5:$AP$1004,0)+4)</f>
        <v>345</v>
      </c>
    </row>
    <row r="77" customFormat="false" ht="15.75" hidden="false" customHeight="true" outlineLevel="0" collapsed="false">
      <c r="A77" s="22" t="str">
        <f aca="false">IF(COUNT(Programação!$AP$5:$AP$1004)&lt;70,"",IF(INDEX(Programação!$AM$5:$AM$1004,MATCH(70,Programação!$AP$5:$AP$1004,0))="","",INDEX(Programação!$AM$5:$AM$1004,MATCH(70,Programação!$AP$5:$AP$1004,0))))</f>
        <v/>
      </c>
      <c r="B77" s="22" t="str">
        <f aca="false">IF(COUNT(Programação!$AP$5:$AP$1004)&lt;70,"",IF(INDEX(Programação!$C$5:$C$1004,MATCH(70,Programação!$AP$5:$AP$1004,0))="","",INDEX(Programação!$C$5:$C$1004,MATCH(70,Programação!$AP$5:$AP$1004,0))))</f>
        <v>007482</v>
      </c>
      <c r="C77" s="22" t="str">
        <f aca="false">IF(COUNT(Programação!$AP$5:$AP$1004)&lt;70,"",IF(INDEX(Programação!$D$5:$D$1004,MATCH(70,Programação!$AP$5:$AP$1004,0))="","",INDEX(Programação!$D$5:$D$1004,MATCH(70,Programação!$AP$5:$AP$1004,0))))</f>
        <v>F-967</v>
      </c>
      <c r="D77" s="22" t="str">
        <f aca="false">IF(COUNT(Programação!$AP$5:$AP$1004)&lt;70,"",IF(INDEX(Programação!$AN$5:$AN$1004,MATCH(70,Programação!$AP$5:$AP$1004,0))="","",INDEX(Programação!$AN$5:$AN$1004,MATCH(70,Programação!$AP$5:$AP$1004,0))))</f>
        <v>Petro</v>
      </c>
      <c r="E77" s="24" t="str">
        <f aca="false">IF(COUNT(Programação!$AP$5:$AP$1004)&lt;70,"",IF(INDEX(Programação!$F$5:$F$1004,MATCH(70,Programação!$AP$5:$AP$1004,0))="","",INDEX(Programação!$F$5:$F$1004,MATCH(70,Programação!$AP$5:$AP$1004,0))))</f>
        <v>Fixar paralama superior dianteiro LD com base quebrada</v>
      </c>
      <c r="F77" s="22" t="str">
        <f aca="false">IF(COUNT(Programação!$AP$5:$AP$1004)&lt;70,"",IF(INDEX(Programação!$G$5:$G$1004,MATCH(70,Programação!$AP$5:$AP$1004,0))="","",INDEX(Programação!$G$5:$G$1004,MATCH(70,Programação!$AP$5:$AP$1004,0))))</f>
        <v>Corretiva</v>
      </c>
      <c r="G77" s="24" t="str">
        <f aca="false">IF(COUNT(Programação!$AP$5:$AP$1004)&lt;70,"",IF(INDEX(Programação!$U$5:$U$1004,MATCH(70,Programação!$AP$5:$AP$1004,0))="","",INDEX(Programação!$U$5:$U$1004,MATCH(70,Programação!$AP$5:$AP$1004,0))))</f>
        <v/>
      </c>
      <c r="H77" s="22" t="n">
        <f aca="false">IF(COUNT(Programação!$AP$5:$AP$1004)&lt;70,"",MATCH(70,Programação!$AP$5:$AP$1004,0)+4)</f>
        <v>346</v>
      </c>
    </row>
    <row r="78" customFormat="false" ht="15.75" hidden="false" customHeight="true" outlineLevel="0" collapsed="false">
      <c r="A78" s="22" t="str">
        <f aca="false">IF(COUNT(Programação!$AP$5:$AP$1004)&lt;71,"",IF(INDEX(Programação!$AM$5:$AM$1004,MATCH(71,Programação!$AP$5:$AP$1004,0))="","",INDEX(Programação!$AM$5:$AM$1004,MATCH(71,Programação!$AP$5:$AP$1004,0))))</f>
        <v/>
      </c>
      <c r="B78" s="22" t="str">
        <f aca="false">IF(COUNT(Programação!$AP$5:$AP$1004)&lt;71,"",IF(INDEX(Programação!$C$5:$C$1004,MATCH(71,Programação!$AP$5:$AP$1004,0))="","",INDEX(Programação!$C$5:$C$1004,MATCH(71,Programação!$AP$5:$AP$1004,0))))</f>
        <v>007483</v>
      </c>
      <c r="C78" s="22" t="str">
        <f aca="false">IF(COUNT(Programação!$AP$5:$AP$1004)&lt;71,"",IF(INDEX(Programação!$D$5:$D$1004,MATCH(71,Programação!$AP$5:$AP$1004,0))="","",INDEX(Programação!$D$5:$D$1004,MATCH(71,Programação!$AP$5:$AP$1004,0))))</f>
        <v>F-967</v>
      </c>
      <c r="D78" s="22" t="str">
        <f aca="false">IF(COUNT(Programação!$AP$5:$AP$1004)&lt;71,"",IF(INDEX(Programação!$AN$5:$AN$1004,MATCH(71,Programação!$AP$5:$AP$1004,0))="","",INDEX(Programação!$AN$5:$AN$1004,MATCH(71,Programação!$AP$5:$AP$1004,0))))</f>
        <v>Petro</v>
      </c>
      <c r="E78" s="24" t="str">
        <f aca="false">IF(COUNT(Programação!$AP$5:$AP$1004)&lt;71,"",IF(INDEX(Programação!$F$5:$F$1004,MATCH(71,Programação!$AP$5:$AP$1004,0))="","",INDEX(Programação!$F$5:$F$1004,MATCH(71,Programação!$AP$5:$AP$1004,0))))</f>
        <v>Recuperar tapeçaria interna e dos bancos</v>
      </c>
      <c r="F78" s="22" t="str">
        <f aca="false">IF(COUNT(Programação!$AP$5:$AP$1004)&lt;71,"",IF(INDEX(Programação!$G$5:$G$1004,MATCH(71,Programação!$AP$5:$AP$1004,0))="","",INDEX(Programação!$G$5:$G$1004,MATCH(71,Programação!$AP$5:$AP$1004,0))))</f>
        <v>Corretiva</v>
      </c>
      <c r="G78" s="24" t="str">
        <f aca="false">IF(COUNT(Programação!$AP$5:$AP$1004)&lt;71,"",IF(INDEX(Programação!$U$5:$U$1004,MATCH(71,Programação!$AP$5:$AP$1004,0))="","",INDEX(Programação!$U$5:$U$1004,MATCH(71,Programação!$AP$5:$AP$1004,0))))</f>
        <v/>
      </c>
      <c r="H78" s="22" t="n">
        <f aca="false">IF(COUNT(Programação!$AP$5:$AP$1004)&lt;71,"",MATCH(71,Programação!$AP$5:$AP$1004,0)+4)</f>
        <v>347</v>
      </c>
    </row>
    <row r="79" customFormat="false" ht="15.75" hidden="false" customHeight="true" outlineLevel="0" collapsed="false">
      <c r="A79" s="22" t="str">
        <f aca="false">IF(COUNT(Programação!$AP$5:$AP$1004)&lt;72,"",IF(INDEX(Programação!$AM$5:$AM$1004,MATCH(72,Programação!$AP$5:$AP$1004,0))="","",INDEX(Programação!$AM$5:$AM$1004,MATCH(72,Programação!$AP$5:$AP$1004,0))))</f>
        <v/>
      </c>
      <c r="B79" s="22" t="str">
        <f aca="false">IF(COUNT(Programação!$AP$5:$AP$1004)&lt;72,"",IF(INDEX(Programação!$C$5:$C$1004,MATCH(72,Programação!$AP$5:$AP$1004,0))="","",INDEX(Programação!$C$5:$C$1004,MATCH(72,Programação!$AP$5:$AP$1004,0))))</f>
        <v>007484</v>
      </c>
      <c r="C79" s="22" t="str">
        <f aca="false">IF(COUNT(Programação!$AP$5:$AP$1004)&lt;72,"",IF(INDEX(Programação!$D$5:$D$1004,MATCH(72,Programação!$AP$5:$AP$1004,0))="","",INDEX(Programação!$D$5:$D$1004,MATCH(72,Programação!$AP$5:$AP$1004,0))))</f>
        <v>F-967</v>
      </c>
      <c r="D79" s="22" t="str">
        <f aca="false">IF(COUNT(Programação!$AP$5:$AP$1004)&lt;72,"",IF(INDEX(Programação!$AN$5:$AN$1004,MATCH(72,Programação!$AP$5:$AP$1004,0))="","",INDEX(Programação!$AN$5:$AN$1004,MATCH(72,Programação!$AP$5:$AP$1004,0))))</f>
        <v>Petro</v>
      </c>
      <c r="E79" s="24" t="str">
        <f aca="false">IF(COUNT(Programação!$AP$5:$AP$1004)&lt;72,"",IF(INDEX(Programação!$F$5:$F$1004,MATCH(72,Programação!$AP$5:$AP$1004,0))="","",INDEX(Programação!$F$5:$F$1004,MATCH(72,Programação!$AP$5:$AP$1004,0))))</f>
        <v>Recuperar alças de subir na cabine LD e LE</v>
      </c>
      <c r="F79" s="22" t="str">
        <f aca="false">IF(COUNT(Programação!$AP$5:$AP$1004)&lt;72,"",IF(INDEX(Programação!$G$5:$G$1004,MATCH(72,Programação!$AP$5:$AP$1004,0))="","",INDEX(Programação!$G$5:$G$1004,MATCH(72,Programação!$AP$5:$AP$1004,0))))</f>
        <v>Corretiva</v>
      </c>
      <c r="G79" s="24" t="str">
        <f aca="false">IF(COUNT(Programação!$AP$5:$AP$1004)&lt;72,"",IF(INDEX(Programação!$U$5:$U$1004,MATCH(72,Programação!$AP$5:$AP$1004,0))="","",INDEX(Programação!$U$5:$U$1004,MATCH(72,Programação!$AP$5:$AP$1004,0))))</f>
        <v/>
      </c>
      <c r="H79" s="22" t="n">
        <f aca="false">IF(COUNT(Programação!$AP$5:$AP$1004)&lt;72,"",MATCH(72,Programação!$AP$5:$AP$1004,0)+4)</f>
        <v>348</v>
      </c>
    </row>
    <row r="80" customFormat="false" ht="15.75" hidden="false" customHeight="true" outlineLevel="0" collapsed="false">
      <c r="A80" s="22" t="str">
        <f aca="false">IF(COUNT(Programação!$AP$5:$AP$1004)&lt;73,"",IF(INDEX(Programação!$AM$5:$AM$1004,MATCH(73,Programação!$AP$5:$AP$1004,0))="","",INDEX(Programação!$AM$5:$AM$1004,MATCH(73,Programação!$AP$5:$AP$1004,0))))</f>
        <v/>
      </c>
      <c r="B80" s="22" t="str">
        <f aca="false">IF(COUNT(Programação!$AP$5:$AP$1004)&lt;73,"",IF(INDEX(Programação!$C$5:$C$1004,MATCH(73,Programação!$AP$5:$AP$1004,0))="","",INDEX(Programação!$C$5:$C$1004,MATCH(73,Programação!$AP$5:$AP$1004,0))))</f>
        <v>007485</v>
      </c>
      <c r="C80" s="22" t="str">
        <f aca="false">IF(COUNT(Programação!$AP$5:$AP$1004)&lt;73,"",IF(INDEX(Programação!$D$5:$D$1004,MATCH(73,Programação!$AP$5:$AP$1004,0))="","",INDEX(Programação!$D$5:$D$1004,MATCH(73,Programação!$AP$5:$AP$1004,0))))</f>
        <v>F-967</v>
      </c>
      <c r="D80" s="22" t="str">
        <f aca="false">IF(COUNT(Programação!$AP$5:$AP$1004)&lt;73,"",IF(INDEX(Programação!$AN$5:$AN$1004,MATCH(73,Programação!$AP$5:$AP$1004,0))="","",INDEX(Programação!$AN$5:$AN$1004,MATCH(73,Programação!$AP$5:$AP$1004,0))))</f>
        <v>Petro</v>
      </c>
      <c r="E80" s="24" t="str">
        <f aca="false">IF(COUNT(Programação!$AP$5:$AP$1004)&lt;73,"",IF(INDEX(Programação!$F$5:$F$1004,MATCH(73,Programação!$AP$5:$AP$1004,0))="","",INDEX(Programação!$F$5:$F$1004,MATCH(73,Programação!$AP$5:$AP$1004,0))))</f>
        <v>Reinstalar cabo de segurança da cabine</v>
      </c>
      <c r="F80" s="22" t="str">
        <f aca="false">IF(COUNT(Programação!$AP$5:$AP$1004)&lt;73,"",IF(INDEX(Programação!$G$5:$G$1004,MATCH(73,Programação!$AP$5:$AP$1004,0))="","",INDEX(Programação!$G$5:$G$1004,MATCH(73,Programação!$AP$5:$AP$1004,0))))</f>
        <v>Corretiva</v>
      </c>
      <c r="G80" s="24" t="str">
        <f aca="false">IF(COUNT(Programação!$AP$5:$AP$1004)&lt;73,"",IF(INDEX(Programação!$U$5:$U$1004,MATCH(73,Programação!$AP$5:$AP$1004,0))="","",INDEX(Programação!$U$5:$U$1004,MATCH(73,Programação!$AP$5:$AP$1004,0))))</f>
        <v/>
      </c>
      <c r="H80" s="22" t="n">
        <f aca="false">IF(COUNT(Programação!$AP$5:$AP$1004)&lt;73,"",MATCH(73,Programação!$AP$5:$AP$1004,0)+4)</f>
        <v>349</v>
      </c>
    </row>
    <row r="81" customFormat="false" ht="15.75" hidden="false" customHeight="true" outlineLevel="0" collapsed="false">
      <c r="A81" s="22" t="str">
        <f aca="false">IF(COUNT(Programação!$AP$5:$AP$1004)&lt;74,"",IF(INDEX(Programação!$AM$5:$AM$1004,MATCH(74,Programação!$AP$5:$AP$1004,0))="","",INDEX(Programação!$AM$5:$AM$1004,MATCH(74,Programação!$AP$5:$AP$1004,0))))</f>
        <v/>
      </c>
      <c r="B81" s="22" t="str">
        <f aca="false">IF(COUNT(Programação!$AP$5:$AP$1004)&lt;74,"",IF(INDEX(Programação!$C$5:$C$1004,MATCH(74,Programação!$AP$5:$AP$1004,0))="","",INDEX(Programação!$C$5:$C$1004,MATCH(74,Programação!$AP$5:$AP$1004,0))))</f>
        <v>007462</v>
      </c>
      <c r="C81" s="22" t="str">
        <f aca="false">IF(COUNT(Programação!$AP$5:$AP$1004)&lt;74,"",IF(INDEX(Programação!$D$5:$D$1004,MATCH(74,Programação!$AP$5:$AP$1004,0))="","",INDEX(Programação!$D$5:$D$1004,MATCH(74,Programação!$AP$5:$AP$1004,0))))</f>
        <v>F-968</v>
      </c>
      <c r="D81" s="22" t="str">
        <f aca="false">IF(COUNT(Programação!$AP$5:$AP$1004)&lt;74,"",IF(INDEX(Programação!$AN$5:$AN$1004,MATCH(74,Programação!$AP$5:$AP$1004,0))="","",INDEX(Programação!$AN$5:$AN$1004,MATCH(74,Programação!$AP$5:$AP$1004,0))))</f>
        <v>Petro</v>
      </c>
      <c r="E81" s="24" t="str">
        <f aca="false">IF(COUNT(Programação!$AP$5:$AP$1004)&lt;74,"",IF(INDEX(Programação!$F$5:$F$1004,MATCH(74,Programação!$AP$5:$AP$1004,0))="","",INDEX(Programação!$F$5:$F$1004,MATCH(74,Programação!$AP$5:$AP$1004,0))))</f>
        <v>funcionar e verificar vazamento na junta do trocador de calor LD)</v>
      </c>
      <c r="F81" s="22" t="str">
        <f aca="false">IF(COUNT(Programação!$AP$5:$AP$1004)&lt;74,"",IF(INDEX(Programação!$G$5:$G$1004,MATCH(74,Programação!$AP$5:$AP$1004,0))="","",INDEX(Programação!$G$5:$G$1004,MATCH(74,Programação!$AP$5:$AP$1004,0))))</f>
        <v>Corretiva</v>
      </c>
      <c r="G81" s="24" t="str">
        <f aca="false">IF(COUNT(Programação!$AP$5:$AP$1004)&lt;74,"",IF(INDEX(Programação!$U$5:$U$1004,MATCH(74,Programação!$AP$5:$AP$1004,0))="","",INDEX(Programação!$U$5:$U$1004,MATCH(74,Programação!$AP$5:$AP$1004,0))))</f>
        <v>⚠️ VERIFICAR, o texto chegou cortado e falta o começo da frase · ⚠️ VERIFICAR o texto da atividade — texto cortado na origem — não fecha parêntese</v>
      </c>
      <c r="H81" s="22" t="n">
        <f aca="false">IF(COUNT(Programação!$AP$5:$AP$1004)&lt;74,"",MATCH(74,Programação!$AP$5:$AP$1004,0)+4)</f>
        <v>326</v>
      </c>
    </row>
    <row r="82" customFormat="false" ht="15.75" hidden="false" customHeight="true" outlineLevel="0" collapsed="false">
      <c r="A82" s="22" t="str">
        <f aca="false">IF(COUNT(Programação!$AP$5:$AP$1004)&lt;75,"",IF(INDEX(Programação!$AM$5:$AM$1004,MATCH(75,Programação!$AP$5:$AP$1004,0))="","",INDEX(Programação!$AM$5:$AM$1004,MATCH(75,Programação!$AP$5:$AP$1004,0))))</f>
        <v/>
      </c>
      <c r="B82" s="22" t="str">
        <f aca="false">IF(COUNT(Programação!$AP$5:$AP$1004)&lt;75,"",IF(INDEX(Programação!$C$5:$C$1004,MATCH(75,Programação!$AP$5:$AP$1004,0))="","",INDEX(Programação!$C$5:$C$1004,MATCH(75,Programação!$AP$5:$AP$1004,0))))</f>
        <v>007463</v>
      </c>
      <c r="C82" s="22" t="str">
        <f aca="false">IF(COUNT(Programação!$AP$5:$AP$1004)&lt;75,"",IF(INDEX(Programação!$D$5:$D$1004,MATCH(75,Programação!$AP$5:$AP$1004,0))="","",INDEX(Programação!$D$5:$D$1004,MATCH(75,Programação!$AP$5:$AP$1004,0))))</f>
        <v>F-968</v>
      </c>
      <c r="D82" s="22" t="str">
        <f aca="false">IF(COUNT(Programação!$AP$5:$AP$1004)&lt;75,"",IF(INDEX(Programação!$AN$5:$AN$1004,MATCH(75,Programação!$AP$5:$AP$1004,0))="","",INDEX(Programação!$AN$5:$AN$1004,MATCH(75,Programação!$AP$5:$AP$1004,0))))</f>
        <v>Petro</v>
      </c>
      <c r="E82" s="24" t="str">
        <f aca="false">IF(COUNT(Programação!$AP$5:$AP$1004)&lt;75,"",IF(INDEX(Programação!$F$5:$F$1004,MATCH(75,Programação!$AP$5:$AP$1004,0))="","",INDEX(Programação!$F$5:$F$1004,MATCH(75,Programação!$AP$5:$AP$1004,0))))</f>
        <v>Realizar lavagem e verificar vazamento nos tubos de lubrificação da turbina</v>
      </c>
      <c r="F82" s="22" t="str">
        <f aca="false">IF(COUNT(Programação!$AP$5:$AP$1004)&lt;75,"",IF(INDEX(Programação!$G$5:$G$1004,MATCH(75,Programação!$AP$5:$AP$1004,0))="","",INDEX(Programação!$G$5:$G$1004,MATCH(75,Programação!$AP$5:$AP$1004,0))))</f>
        <v>Corretiva</v>
      </c>
      <c r="G82" s="24" t="str">
        <f aca="false">IF(COUNT(Programação!$AP$5:$AP$1004)&lt;75,"",IF(INDEX(Programação!$U$5:$U$1004,MATCH(75,Programação!$AP$5:$AP$1004,0))="","",INDEX(Programação!$U$5:$U$1004,MATCH(75,Programação!$AP$5:$AP$1004,0))))</f>
        <v/>
      </c>
      <c r="H82" s="22" t="n">
        <f aca="false">IF(COUNT(Programação!$AP$5:$AP$1004)&lt;75,"",MATCH(75,Programação!$AP$5:$AP$1004,0)+4)</f>
        <v>327</v>
      </c>
    </row>
    <row r="83" customFormat="false" ht="15.75" hidden="false" customHeight="true" outlineLevel="0" collapsed="false">
      <c r="A83" s="22" t="str">
        <f aca="false">IF(COUNT(Programação!$AP$5:$AP$1004)&lt;76,"",IF(INDEX(Programação!$AM$5:$AM$1004,MATCH(76,Programação!$AP$5:$AP$1004,0))="","",INDEX(Programação!$AM$5:$AM$1004,MATCH(76,Programação!$AP$5:$AP$1004,0))))</f>
        <v/>
      </c>
      <c r="B83" s="22" t="str">
        <f aca="false">IF(COUNT(Programação!$AP$5:$AP$1004)&lt;76,"",IF(INDEX(Programação!$C$5:$C$1004,MATCH(76,Programação!$AP$5:$AP$1004,0))="","",INDEX(Programação!$C$5:$C$1004,MATCH(76,Programação!$AP$5:$AP$1004,0))))</f>
        <v>007464</v>
      </c>
      <c r="C83" s="22" t="str">
        <f aca="false">IF(COUNT(Programação!$AP$5:$AP$1004)&lt;76,"",IF(INDEX(Programação!$D$5:$D$1004,MATCH(76,Programação!$AP$5:$AP$1004,0))="","",INDEX(Programação!$D$5:$D$1004,MATCH(76,Programação!$AP$5:$AP$1004,0))))</f>
        <v>F-968</v>
      </c>
      <c r="D83" s="22" t="str">
        <f aca="false">IF(COUNT(Programação!$AP$5:$AP$1004)&lt;76,"",IF(INDEX(Programação!$AN$5:$AN$1004,MATCH(76,Programação!$AP$5:$AP$1004,0))="","",INDEX(Programação!$AN$5:$AN$1004,MATCH(76,Programação!$AP$5:$AP$1004,0))))</f>
        <v>Petro</v>
      </c>
      <c r="E83" s="24" t="str">
        <f aca="false">IF(COUNT(Programação!$AP$5:$AP$1004)&lt;76,"",IF(INDEX(Programação!$F$5:$F$1004,MATCH(76,Programação!$AP$5:$AP$1004,0))="","",INDEX(Programação!$F$5:$F$1004,MATCH(76,Programação!$AP$5:$AP$1004,0))))</f>
        <v>Isolar chicote de iluminação do implemento</v>
      </c>
      <c r="F83" s="22" t="str">
        <f aca="false">IF(COUNT(Programação!$AP$5:$AP$1004)&lt;76,"",IF(INDEX(Programação!$G$5:$G$1004,MATCH(76,Programação!$AP$5:$AP$1004,0))="","",INDEX(Programação!$G$5:$G$1004,MATCH(76,Programação!$AP$5:$AP$1004,0))))</f>
        <v>Corretiva</v>
      </c>
      <c r="G83" s="24" t="str">
        <f aca="false">IF(COUNT(Programação!$AP$5:$AP$1004)&lt;76,"",IF(INDEX(Programação!$U$5:$U$1004,MATCH(76,Programação!$AP$5:$AP$1004,0))="","",INDEX(Programação!$U$5:$U$1004,MATCH(76,Programação!$AP$5:$AP$1004,0))))</f>
        <v/>
      </c>
      <c r="H83" s="22" t="n">
        <f aca="false">IF(COUNT(Programação!$AP$5:$AP$1004)&lt;76,"",MATCH(76,Programação!$AP$5:$AP$1004,0)+4)</f>
        <v>328</v>
      </c>
    </row>
    <row r="84" customFormat="false" ht="15.75" hidden="false" customHeight="true" outlineLevel="0" collapsed="false">
      <c r="A84" s="22" t="str">
        <f aca="false">IF(COUNT(Programação!$AP$5:$AP$1004)&lt;77,"",IF(INDEX(Programação!$AM$5:$AM$1004,MATCH(77,Programação!$AP$5:$AP$1004,0))="","",INDEX(Programação!$AM$5:$AM$1004,MATCH(77,Programação!$AP$5:$AP$1004,0))))</f>
        <v/>
      </c>
      <c r="B84" s="22" t="str">
        <f aca="false">IF(COUNT(Programação!$AP$5:$AP$1004)&lt;77,"",IF(INDEX(Programação!$C$5:$C$1004,MATCH(77,Programação!$AP$5:$AP$1004,0))="","",INDEX(Programação!$C$5:$C$1004,MATCH(77,Programação!$AP$5:$AP$1004,0))))</f>
        <v>007465</v>
      </c>
      <c r="C84" s="22" t="str">
        <f aca="false">IF(COUNT(Programação!$AP$5:$AP$1004)&lt;77,"",IF(INDEX(Programação!$D$5:$D$1004,MATCH(77,Programação!$AP$5:$AP$1004,0))="","",INDEX(Programação!$D$5:$D$1004,MATCH(77,Programação!$AP$5:$AP$1004,0))))</f>
        <v>F-968</v>
      </c>
      <c r="D84" s="22" t="str">
        <f aca="false">IF(COUNT(Programação!$AP$5:$AP$1004)&lt;77,"",IF(INDEX(Programação!$AN$5:$AN$1004,MATCH(77,Programação!$AP$5:$AP$1004,0))="","",INDEX(Programação!$AN$5:$AN$1004,MATCH(77,Programação!$AP$5:$AP$1004,0))))</f>
        <v>Petro</v>
      </c>
      <c r="E84" s="24" t="str">
        <f aca="false">IF(COUNT(Programação!$AP$5:$AP$1004)&lt;77,"",IF(INDEX(Programação!$F$5:$F$1004,MATCH(77,Programação!$AP$5:$AP$1004,0))="","",INDEX(Programação!$F$5:$F$1004,MATCH(77,Programação!$AP$5:$AP$1004,0))))</f>
        <v>Corrigir porta do passageiro com dificuldade de travar</v>
      </c>
      <c r="F84" s="22" t="str">
        <f aca="false">IF(COUNT(Programação!$AP$5:$AP$1004)&lt;77,"",IF(INDEX(Programação!$G$5:$G$1004,MATCH(77,Programação!$AP$5:$AP$1004,0))="","",INDEX(Programação!$G$5:$G$1004,MATCH(77,Programação!$AP$5:$AP$1004,0))))</f>
        <v>Corretiva</v>
      </c>
      <c r="G84" s="24" t="str">
        <f aca="false">IF(COUNT(Programação!$AP$5:$AP$1004)&lt;77,"",IF(INDEX(Programação!$U$5:$U$1004,MATCH(77,Programação!$AP$5:$AP$1004,0))="","",INDEX(Programação!$U$5:$U$1004,MATCH(77,Programação!$AP$5:$AP$1004,0))))</f>
        <v/>
      </c>
      <c r="H84" s="22" t="n">
        <f aca="false">IF(COUNT(Programação!$AP$5:$AP$1004)&lt;77,"",MATCH(77,Programação!$AP$5:$AP$1004,0)+4)</f>
        <v>329</v>
      </c>
    </row>
    <row r="85" customFormat="false" ht="15.75" hidden="false" customHeight="true" outlineLevel="0" collapsed="false">
      <c r="A85" s="22" t="str">
        <f aca="false">IF(COUNT(Programação!$AP$5:$AP$1004)&lt;78,"",IF(INDEX(Programação!$AM$5:$AM$1004,MATCH(78,Programação!$AP$5:$AP$1004,0))="","",INDEX(Programação!$AM$5:$AM$1004,MATCH(78,Programação!$AP$5:$AP$1004,0))))</f>
        <v/>
      </c>
      <c r="B85" s="22" t="str">
        <f aca="false">IF(COUNT(Programação!$AP$5:$AP$1004)&lt;78,"",IF(INDEX(Programação!$C$5:$C$1004,MATCH(78,Programação!$AP$5:$AP$1004,0))="","",INDEX(Programação!$C$5:$C$1004,MATCH(78,Programação!$AP$5:$AP$1004,0))))</f>
        <v>007466</v>
      </c>
      <c r="C85" s="22" t="str">
        <f aca="false">IF(COUNT(Programação!$AP$5:$AP$1004)&lt;78,"",IF(INDEX(Programação!$D$5:$D$1004,MATCH(78,Programação!$AP$5:$AP$1004,0))="","",INDEX(Programação!$D$5:$D$1004,MATCH(78,Programação!$AP$5:$AP$1004,0))))</f>
        <v>F-968</v>
      </c>
      <c r="D85" s="22" t="str">
        <f aca="false">IF(COUNT(Programação!$AP$5:$AP$1004)&lt;78,"",IF(INDEX(Programação!$AN$5:$AN$1004,MATCH(78,Programação!$AP$5:$AP$1004,0))="","",INDEX(Programação!$AN$5:$AN$1004,MATCH(78,Programação!$AP$5:$AP$1004,0))))</f>
        <v>Petro</v>
      </c>
      <c r="E85" s="24" t="str">
        <f aca="false">IF(COUNT(Programação!$AP$5:$AP$1004)&lt;78,"",IF(INDEX(Programação!$F$5:$F$1004,MATCH(78,Programação!$AP$5:$AP$1004,0))="","",INDEX(Programação!$F$5:$F$1004,MATCH(78,Programação!$AP$5:$AP$1004,0))))</f>
        <v>Regular freio segundo eixo LD</v>
      </c>
      <c r="F85" s="22" t="str">
        <f aca="false">IF(COUNT(Programação!$AP$5:$AP$1004)&lt;78,"",IF(INDEX(Programação!$G$5:$G$1004,MATCH(78,Programação!$AP$5:$AP$1004,0))="","",INDEX(Programação!$G$5:$G$1004,MATCH(78,Programação!$AP$5:$AP$1004,0))))</f>
        <v>Corretiva</v>
      </c>
      <c r="G85" s="24" t="str">
        <f aca="false">IF(COUNT(Programação!$AP$5:$AP$1004)&lt;78,"",IF(INDEX(Programação!$U$5:$U$1004,MATCH(78,Programação!$AP$5:$AP$1004,0))="","",INDEX(Programação!$U$5:$U$1004,MATCH(78,Programação!$AP$5:$AP$1004,0))))</f>
        <v/>
      </c>
      <c r="H85" s="22" t="n">
        <f aca="false">IF(COUNT(Programação!$AP$5:$AP$1004)&lt;78,"",MATCH(78,Programação!$AP$5:$AP$1004,0)+4)</f>
        <v>330</v>
      </c>
    </row>
    <row r="86" customFormat="false" ht="15.75" hidden="false" customHeight="true" outlineLevel="0" collapsed="false">
      <c r="A86" s="22" t="str">
        <f aca="false">IF(COUNT(Programação!$AP$5:$AP$1004)&lt;79,"",IF(INDEX(Programação!$AM$5:$AM$1004,MATCH(79,Programação!$AP$5:$AP$1004,0))="","",INDEX(Programação!$AM$5:$AM$1004,MATCH(79,Programação!$AP$5:$AP$1004,0))))</f>
        <v/>
      </c>
      <c r="B86" s="22" t="str">
        <f aca="false">IF(COUNT(Programação!$AP$5:$AP$1004)&lt;79,"",IF(INDEX(Programação!$C$5:$C$1004,MATCH(79,Programação!$AP$5:$AP$1004,0))="","",INDEX(Programação!$C$5:$C$1004,MATCH(79,Programação!$AP$5:$AP$1004,0))))</f>
        <v>007467</v>
      </c>
      <c r="C86" s="22" t="str">
        <f aca="false">IF(COUNT(Programação!$AP$5:$AP$1004)&lt;79,"",IF(INDEX(Programação!$D$5:$D$1004,MATCH(79,Programação!$AP$5:$AP$1004,0))="","",INDEX(Programação!$D$5:$D$1004,MATCH(79,Programação!$AP$5:$AP$1004,0))))</f>
        <v>F-968</v>
      </c>
      <c r="D86" s="22" t="str">
        <f aca="false">IF(COUNT(Programação!$AP$5:$AP$1004)&lt;79,"",IF(INDEX(Programação!$AN$5:$AN$1004,MATCH(79,Programação!$AP$5:$AP$1004,0))="","",INDEX(Programação!$AN$5:$AN$1004,MATCH(79,Programação!$AP$5:$AP$1004,0))))</f>
        <v>Petro</v>
      </c>
      <c r="E86" s="24" t="str">
        <f aca="false">IF(COUNT(Programação!$AP$5:$AP$1004)&lt;79,"",IF(INDEX(Programação!$F$5:$F$1004,MATCH(79,Programação!$AP$5:$AP$1004,0))="","",INDEX(Programação!$F$5:$F$1004,MATCH(79,Programação!$AP$5:$AP$1004,0))))</f>
        <v>Fixar painel e acabamento frontal, repor parafusos</v>
      </c>
      <c r="F86" s="22" t="str">
        <f aca="false">IF(COUNT(Programação!$AP$5:$AP$1004)&lt;79,"",IF(INDEX(Programação!$G$5:$G$1004,MATCH(79,Programação!$AP$5:$AP$1004,0))="","",INDEX(Programação!$G$5:$G$1004,MATCH(79,Programação!$AP$5:$AP$1004,0))))</f>
        <v>Corretiva</v>
      </c>
      <c r="G86" s="24" t="str">
        <f aca="false">IF(COUNT(Programação!$AP$5:$AP$1004)&lt;79,"",IF(INDEX(Programação!$U$5:$U$1004,MATCH(79,Programação!$AP$5:$AP$1004,0))="","",INDEX(Programação!$U$5:$U$1004,MATCH(79,Programação!$AP$5:$AP$1004,0))))</f>
        <v/>
      </c>
      <c r="H86" s="22" t="n">
        <f aca="false">IF(COUNT(Programação!$AP$5:$AP$1004)&lt;79,"",MATCH(79,Programação!$AP$5:$AP$1004,0)+4)</f>
        <v>331</v>
      </c>
    </row>
    <row r="87" customFormat="false" ht="15.75" hidden="false" customHeight="true" outlineLevel="0" collapsed="false">
      <c r="A87" s="22" t="str">
        <f aca="false">IF(COUNT(Programação!$AP$5:$AP$1004)&lt;80,"",IF(INDEX(Programação!$AM$5:$AM$1004,MATCH(80,Programação!$AP$5:$AP$1004,0))="","",INDEX(Programação!$AM$5:$AM$1004,MATCH(80,Programação!$AP$5:$AP$1004,0))))</f>
        <v/>
      </c>
      <c r="B87" s="22" t="str">
        <f aca="false">IF(COUNT(Programação!$AP$5:$AP$1004)&lt;80,"",IF(INDEX(Programação!$C$5:$C$1004,MATCH(80,Programação!$AP$5:$AP$1004,0))="","",INDEX(Programação!$C$5:$C$1004,MATCH(80,Programação!$AP$5:$AP$1004,0))))</f>
        <v>007468</v>
      </c>
      <c r="C87" s="22" t="str">
        <f aca="false">IF(COUNT(Programação!$AP$5:$AP$1004)&lt;80,"",IF(INDEX(Programação!$D$5:$D$1004,MATCH(80,Programação!$AP$5:$AP$1004,0))="","",INDEX(Programação!$D$5:$D$1004,MATCH(80,Programação!$AP$5:$AP$1004,0))))</f>
        <v>F-968</v>
      </c>
      <c r="D87" s="22" t="str">
        <f aca="false">IF(COUNT(Programação!$AP$5:$AP$1004)&lt;80,"",IF(INDEX(Programação!$AN$5:$AN$1004,MATCH(80,Programação!$AP$5:$AP$1004,0))="","",INDEX(Programação!$AN$5:$AN$1004,MATCH(80,Programação!$AP$5:$AP$1004,0))))</f>
        <v>Petro</v>
      </c>
      <c r="E87" s="24" t="str">
        <f aca="false">IF(COUNT(Programação!$AP$5:$AP$1004)&lt;80,"",IF(INDEX(Programação!$F$5:$F$1004,MATCH(80,Programação!$AP$5:$AP$1004,0))="","",INDEX(Programação!$F$5:$F$1004,MATCH(80,Programação!$AP$5:$AP$1004,0))))</f>
        <v>Repor parafuso de fixação do tubo de saída da turbina</v>
      </c>
      <c r="F87" s="22" t="str">
        <f aca="false">IF(COUNT(Programação!$AP$5:$AP$1004)&lt;80,"",IF(INDEX(Programação!$G$5:$G$1004,MATCH(80,Programação!$AP$5:$AP$1004,0))="","",INDEX(Programação!$G$5:$G$1004,MATCH(80,Programação!$AP$5:$AP$1004,0))))</f>
        <v>Corretiva</v>
      </c>
      <c r="G87" s="24" t="str">
        <f aca="false">IF(COUNT(Programação!$AP$5:$AP$1004)&lt;80,"",IF(INDEX(Programação!$U$5:$U$1004,MATCH(80,Programação!$AP$5:$AP$1004,0))="","",INDEX(Programação!$U$5:$U$1004,MATCH(80,Programação!$AP$5:$AP$1004,0))))</f>
        <v>alimentação do intercooler</v>
      </c>
      <c r="H87" s="22" t="n">
        <f aca="false">IF(COUNT(Programação!$AP$5:$AP$1004)&lt;80,"",MATCH(80,Programação!$AP$5:$AP$1004,0)+4)</f>
        <v>332</v>
      </c>
    </row>
    <row r="88" customFormat="false" ht="15.75" hidden="false" customHeight="true" outlineLevel="0" collapsed="false">
      <c r="A88" s="22" t="str">
        <f aca="false">IF(COUNT(Programação!$AP$5:$AP$1004)&lt;81,"",IF(INDEX(Programação!$AM$5:$AM$1004,MATCH(81,Programação!$AP$5:$AP$1004,0))="","",INDEX(Programação!$AM$5:$AM$1004,MATCH(81,Programação!$AP$5:$AP$1004,0))))</f>
        <v/>
      </c>
      <c r="B88" s="22" t="str">
        <f aca="false">IF(COUNT(Programação!$AP$5:$AP$1004)&lt;81,"",IF(INDEX(Programação!$C$5:$C$1004,MATCH(81,Programação!$AP$5:$AP$1004,0))="","",INDEX(Programação!$C$5:$C$1004,MATCH(81,Programação!$AP$5:$AP$1004,0))))</f>
        <v>007469</v>
      </c>
      <c r="C88" s="22" t="str">
        <f aca="false">IF(COUNT(Programação!$AP$5:$AP$1004)&lt;81,"",IF(INDEX(Programação!$D$5:$D$1004,MATCH(81,Programação!$AP$5:$AP$1004,0))="","",INDEX(Programação!$D$5:$D$1004,MATCH(81,Programação!$AP$5:$AP$1004,0))))</f>
        <v>F-968</v>
      </c>
      <c r="D88" s="22" t="str">
        <f aca="false">IF(COUNT(Programação!$AP$5:$AP$1004)&lt;81,"",IF(INDEX(Programação!$AN$5:$AN$1004,MATCH(81,Programação!$AP$5:$AP$1004,0))="","",INDEX(Programação!$AN$5:$AN$1004,MATCH(81,Programação!$AP$5:$AP$1004,0))))</f>
        <v>Petro</v>
      </c>
      <c r="E88" s="24" t="str">
        <f aca="false">IF(COUNT(Programação!$AP$5:$AP$1004)&lt;81,"",IF(INDEX(Programação!$F$5:$F$1004,MATCH(81,Programação!$AP$5:$AP$1004,0))="","",INDEX(Programação!$F$5:$F$1004,MATCH(81,Programação!$AP$5:$AP$1004,0))))</f>
        <v>Fixar paralama dianteiro LD</v>
      </c>
      <c r="F88" s="22" t="str">
        <f aca="false">IF(COUNT(Programação!$AP$5:$AP$1004)&lt;81,"",IF(INDEX(Programação!$G$5:$G$1004,MATCH(81,Programação!$AP$5:$AP$1004,0))="","",INDEX(Programação!$G$5:$G$1004,MATCH(81,Programação!$AP$5:$AP$1004,0))))</f>
        <v>Corretiva</v>
      </c>
      <c r="G88" s="24" t="str">
        <f aca="false">IF(COUNT(Programação!$AP$5:$AP$1004)&lt;81,"",IF(INDEX(Programação!$U$5:$U$1004,MATCH(81,Programação!$AP$5:$AP$1004,0))="","",INDEX(Programação!$U$5:$U$1004,MATCH(81,Programação!$AP$5:$AP$1004,0))))</f>
        <v/>
      </c>
      <c r="H88" s="22" t="n">
        <f aca="false">IF(COUNT(Programação!$AP$5:$AP$1004)&lt;81,"",MATCH(81,Programação!$AP$5:$AP$1004,0)+4)</f>
        <v>333</v>
      </c>
    </row>
    <row r="89" customFormat="false" ht="15.75" hidden="false" customHeight="true" outlineLevel="0" collapsed="false">
      <c r="A89" s="22" t="str">
        <f aca="false">IF(COUNT(Programação!$AP$5:$AP$1004)&lt;82,"",IF(INDEX(Programação!$AM$5:$AM$1004,MATCH(82,Programação!$AP$5:$AP$1004,0))="","",INDEX(Programação!$AM$5:$AM$1004,MATCH(82,Programação!$AP$5:$AP$1004,0))))</f>
        <v/>
      </c>
      <c r="B89" s="22" t="str">
        <f aca="false">IF(COUNT(Programação!$AP$5:$AP$1004)&lt;82,"",IF(INDEX(Programação!$C$5:$C$1004,MATCH(82,Programação!$AP$5:$AP$1004,0))="","",INDEX(Programação!$C$5:$C$1004,MATCH(82,Programação!$AP$5:$AP$1004,0))))</f>
        <v>007470</v>
      </c>
      <c r="C89" s="22" t="str">
        <f aca="false">IF(COUNT(Programação!$AP$5:$AP$1004)&lt;82,"",IF(INDEX(Programação!$D$5:$D$1004,MATCH(82,Programação!$AP$5:$AP$1004,0))="","",INDEX(Programação!$D$5:$D$1004,MATCH(82,Programação!$AP$5:$AP$1004,0))))</f>
        <v>F-968</v>
      </c>
      <c r="D89" s="22" t="str">
        <f aca="false">IF(COUNT(Programação!$AP$5:$AP$1004)&lt;82,"",IF(INDEX(Programação!$AN$5:$AN$1004,MATCH(82,Programação!$AP$5:$AP$1004,0))="","",INDEX(Programação!$AN$5:$AN$1004,MATCH(82,Programação!$AP$5:$AP$1004,0))))</f>
        <v>Petro</v>
      </c>
      <c r="E89" s="24" t="str">
        <f aca="false">IF(COUNT(Programação!$AP$5:$AP$1004)&lt;82,"",IF(INDEX(Programação!$F$5:$F$1004,MATCH(82,Programação!$AP$5:$AP$1004,0))="","",INDEX(Programação!$F$5:$F$1004,MATCH(82,Programação!$AP$5:$AP$1004,0))))</f>
        <v>Sanar vazamento de diesel no aferidor de combustível</v>
      </c>
      <c r="F89" s="22" t="str">
        <f aca="false">IF(COUNT(Programação!$AP$5:$AP$1004)&lt;82,"",IF(INDEX(Programação!$G$5:$G$1004,MATCH(82,Programação!$AP$5:$AP$1004,0))="","",INDEX(Programação!$G$5:$G$1004,MATCH(82,Programação!$AP$5:$AP$1004,0))))</f>
        <v>Corretiva</v>
      </c>
      <c r="G89" s="24" t="str">
        <f aca="false">IF(COUNT(Programação!$AP$5:$AP$1004)&lt;82,"",IF(INDEX(Programação!$U$5:$U$1004,MATCH(82,Programação!$AP$5:$AP$1004,0))="","",INDEX(Programação!$U$5:$U$1004,MATCH(82,Programação!$AP$5:$AP$1004,0))))</f>
        <v/>
      </c>
      <c r="H89" s="22" t="n">
        <f aca="false">IF(COUNT(Programação!$AP$5:$AP$1004)&lt;82,"",MATCH(82,Programação!$AP$5:$AP$1004,0)+4)</f>
        <v>334</v>
      </c>
    </row>
    <row r="90" customFormat="false" ht="15.75" hidden="false" customHeight="true" outlineLevel="0" collapsed="false">
      <c r="A90" s="22" t="str">
        <f aca="false">IF(COUNT(Programação!$AP$5:$AP$1004)&lt;83,"",IF(INDEX(Programação!$AM$5:$AM$1004,MATCH(83,Programação!$AP$5:$AP$1004,0))="","",INDEX(Programação!$AM$5:$AM$1004,MATCH(83,Programação!$AP$5:$AP$1004,0))))</f>
        <v/>
      </c>
      <c r="B90" s="22" t="str">
        <f aca="false">IF(COUNT(Programação!$AP$5:$AP$1004)&lt;83,"",IF(INDEX(Programação!$C$5:$C$1004,MATCH(83,Programação!$AP$5:$AP$1004,0))="","",INDEX(Programação!$C$5:$C$1004,MATCH(83,Programação!$AP$5:$AP$1004,0))))</f>
        <v>007471</v>
      </c>
      <c r="C90" s="22" t="str">
        <f aca="false">IF(COUNT(Programação!$AP$5:$AP$1004)&lt;83,"",IF(INDEX(Programação!$D$5:$D$1004,MATCH(83,Programação!$AP$5:$AP$1004,0))="","",INDEX(Programação!$D$5:$D$1004,MATCH(83,Programação!$AP$5:$AP$1004,0))))</f>
        <v>F-968</v>
      </c>
      <c r="D90" s="22" t="str">
        <f aca="false">IF(COUNT(Programação!$AP$5:$AP$1004)&lt;83,"",IF(INDEX(Programação!$AN$5:$AN$1004,MATCH(83,Programação!$AP$5:$AP$1004,0))="","",INDEX(Programação!$AN$5:$AN$1004,MATCH(83,Programação!$AP$5:$AP$1004,0))))</f>
        <v>Petro</v>
      </c>
      <c r="E90" s="24" t="str">
        <f aca="false">IF(COUNT(Programação!$AP$5:$AP$1004)&lt;83,"",IF(INDEX(Programação!$F$5:$F$1004,MATCH(83,Programação!$AP$5:$AP$1004,0))="","",INDEX(Programação!$F$5:$F$1004,MATCH(83,Programação!$AP$5:$AP$1004,0))))</f>
        <v>Recuperar acabamento da alça de subir na cabine LD e LE</v>
      </c>
      <c r="F90" s="22" t="str">
        <f aca="false">IF(COUNT(Programação!$AP$5:$AP$1004)&lt;83,"",IF(INDEX(Programação!$G$5:$G$1004,MATCH(83,Programação!$AP$5:$AP$1004,0))="","",INDEX(Programação!$G$5:$G$1004,MATCH(83,Programação!$AP$5:$AP$1004,0))))</f>
        <v>Corretiva</v>
      </c>
      <c r="G90" s="24" t="str">
        <f aca="false">IF(COUNT(Programação!$AP$5:$AP$1004)&lt;83,"",IF(INDEX(Programação!$U$5:$U$1004,MATCH(83,Programação!$AP$5:$AP$1004,0))="","",INDEX(Programação!$U$5:$U$1004,MATCH(83,Programação!$AP$5:$AP$1004,0))))</f>
        <v/>
      </c>
      <c r="H90" s="22" t="n">
        <f aca="false">IF(COUNT(Programação!$AP$5:$AP$1004)&lt;83,"",MATCH(83,Programação!$AP$5:$AP$1004,0)+4)</f>
        <v>335</v>
      </c>
    </row>
    <row r="91" customFormat="false" ht="15.75" hidden="false" customHeight="true" outlineLevel="0" collapsed="false">
      <c r="A91" s="22" t="str">
        <f aca="false">IF(COUNT(Programação!$AP$5:$AP$1004)&lt;84,"",IF(INDEX(Programação!$AM$5:$AM$1004,MATCH(84,Programação!$AP$5:$AP$1004,0))="","",INDEX(Programação!$AM$5:$AM$1004,MATCH(84,Programação!$AP$5:$AP$1004,0))))</f>
        <v/>
      </c>
      <c r="B91" s="22" t="str">
        <f aca="false">IF(COUNT(Programação!$AP$5:$AP$1004)&lt;84,"",IF(INDEX(Programação!$C$5:$C$1004,MATCH(84,Programação!$AP$5:$AP$1004,0))="","",INDEX(Programação!$C$5:$C$1004,MATCH(84,Programação!$AP$5:$AP$1004,0))))</f>
        <v>007472</v>
      </c>
      <c r="C91" s="22" t="str">
        <f aca="false">IF(COUNT(Programação!$AP$5:$AP$1004)&lt;84,"",IF(INDEX(Programação!$D$5:$D$1004,MATCH(84,Programação!$AP$5:$AP$1004,0))="","",INDEX(Programação!$D$5:$D$1004,MATCH(84,Programação!$AP$5:$AP$1004,0))))</f>
        <v>F-968</v>
      </c>
      <c r="D91" s="22" t="str">
        <f aca="false">IF(COUNT(Programação!$AP$5:$AP$1004)&lt;84,"",IF(INDEX(Programação!$AN$5:$AN$1004,MATCH(84,Programação!$AP$5:$AP$1004,0))="","",INDEX(Programação!$AN$5:$AN$1004,MATCH(84,Programação!$AP$5:$AP$1004,0))))</f>
        <v>Petro</v>
      </c>
      <c r="E91" s="24" t="str">
        <f aca="false">IF(COUNT(Programação!$AP$5:$AP$1004)&lt;84,"",IF(INDEX(Programação!$F$5:$F$1004,MATCH(84,Programação!$AP$5:$AP$1004,0))="","",INDEX(Programação!$F$5:$F$1004,MATCH(84,Programação!$AP$5:$AP$1004,0))))</f>
        <v>Corrigir paralama traseiro LD</v>
      </c>
      <c r="F91" s="22" t="str">
        <f aca="false">IF(COUNT(Programação!$AP$5:$AP$1004)&lt;84,"",IF(INDEX(Programação!$G$5:$G$1004,MATCH(84,Programação!$AP$5:$AP$1004,0))="","",INDEX(Programação!$G$5:$G$1004,MATCH(84,Programação!$AP$5:$AP$1004,0))))</f>
        <v>Corretiva</v>
      </c>
      <c r="G91" s="24" t="str">
        <f aca="false">IF(COUNT(Programação!$AP$5:$AP$1004)&lt;84,"",IF(INDEX(Programação!$U$5:$U$1004,MATCH(84,Programação!$AP$5:$AP$1004,0))="","",INDEX(Programação!$U$5:$U$1004,MATCH(84,Programação!$AP$5:$AP$1004,0))))</f>
        <v/>
      </c>
      <c r="H91" s="22" t="n">
        <f aca="false">IF(COUNT(Programação!$AP$5:$AP$1004)&lt;84,"",MATCH(84,Programação!$AP$5:$AP$1004,0)+4)</f>
        <v>336</v>
      </c>
    </row>
    <row r="92" customFormat="false" ht="15.75" hidden="false" customHeight="true" outlineLevel="0" collapsed="false">
      <c r="A92" s="22" t="str">
        <f aca="false">IF(COUNT(Programação!$AP$5:$AP$1004)&lt;85,"",IF(INDEX(Programação!$AM$5:$AM$1004,MATCH(85,Programação!$AP$5:$AP$1004,0))="","",INDEX(Programação!$AM$5:$AM$1004,MATCH(85,Programação!$AP$5:$AP$1004,0))))</f>
        <v/>
      </c>
      <c r="B92" s="22" t="str">
        <f aca="false">IF(COUNT(Programação!$AP$5:$AP$1004)&lt;85,"",IF(INDEX(Programação!$C$5:$C$1004,MATCH(85,Programação!$AP$5:$AP$1004,0))="","",INDEX(Programação!$C$5:$C$1004,MATCH(85,Programação!$AP$5:$AP$1004,0))))</f>
        <v>007473</v>
      </c>
      <c r="C92" s="22" t="str">
        <f aca="false">IF(COUNT(Programação!$AP$5:$AP$1004)&lt;85,"",IF(INDEX(Programação!$D$5:$D$1004,MATCH(85,Programação!$AP$5:$AP$1004,0))="","",INDEX(Programação!$D$5:$D$1004,MATCH(85,Programação!$AP$5:$AP$1004,0))))</f>
        <v>F-968</v>
      </c>
      <c r="D92" s="22" t="str">
        <f aca="false">IF(COUNT(Programação!$AP$5:$AP$1004)&lt;85,"",IF(INDEX(Programação!$AN$5:$AN$1004,MATCH(85,Programação!$AP$5:$AP$1004,0))="","",INDEX(Programação!$AN$5:$AN$1004,MATCH(85,Programação!$AP$5:$AP$1004,0))))</f>
        <v>Petro</v>
      </c>
      <c r="E92" s="24" t="str">
        <f aca="false">IF(COUNT(Programação!$AP$5:$AP$1004)&lt;85,"",IF(INDEX(Programação!$F$5:$F$1004,MATCH(85,Programação!$AP$5:$AP$1004,0))="","",INDEX(Programação!$F$5:$F$1004,MATCH(85,Programação!$AP$5:$AP$1004,0))))</f>
        <v>Instalar lanternas e placa traseira</v>
      </c>
      <c r="F92" s="22" t="str">
        <f aca="false">IF(COUNT(Programação!$AP$5:$AP$1004)&lt;85,"",IF(INDEX(Programação!$G$5:$G$1004,MATCH(85,Programação!$AP$5:$AP$1004,0))="","",INDEX(Programação!$G$5:$G$1004,MATCH(85,Programação!$AP$5:$AP$1004,0))))</f>
        <v>Corretiva</v>
      </c>
      <c r="G92" s="24" t="str">
        <f aca="false">IF(COUNT(Programação!$AP$5:$AP$1004)&lt;85,"",IF(INDEX(Programação!$U$5:$U$1004,MATCH(85,Programação!$AP$5:$AP$1004,0))="","",INDEX(Programação!$U$5:$U$1004,MATCH(85,Programação!$AP$5:$AP$1004,0))))</f>
        <v>estão dentro da cabine</v>
      </c>
      <c r="H92" s="22" t="n">
        <f aca="false">IF(COUNT(Programação!$AP$5:$AP$1004)&lt;85,"",MATCH(85,Programação!$AP$5:$AP$1004,0)+4)</f>
        <v>337</v>
      </c>
    </row>
    <row r="93" customFormat="false" ht="15.75" hidden="false" customHeight="true" outlineLevel="0" collapsed="false">
      <c r="A93" s="22" t="str">
        <f aca="false">IF(COUNT(Programação!$AP$5:$AP$1004)&lt;86,"",IF(INDEX(Programação!$AM$5:$AM$1004,MATCH(86,Programação!$AP$5:$AP$1004,0))="","",INDEX(Programação!$AM$5:$AM$1004,MATCH(86,Programação!$AP$5:$AP$1004,0))))</f>
        <v/>
      </c>
      <c r="B93" s="22" t="str">
        <f aca="false">IF(COUNT(Programação!$AP$5:$AP$1004)&lt;86,"",IF(INDEX(Programação!$C$5:$C$1004,MATCH(86,Programação!$AP$5:$AP$1004,0))="","",INDEX(Programação!$C$5:$C$1004,MATCH(86,Programação!$AP$5:$AP$1004,0))))</f>
        <v>007474</v>
      </c>
      <c r="C93" s="22" t="str">
        <f aca="false">IF(COUNT(Programação!$AP$5:$AP$1004)&lt;86,"",IF(INDEX(Programação!$D$5:$D$1004,MATCH(86,Programação!$AP$5:$AP$1004,0))="","",INDEX(Programação!$D$5:$D$1004,MATCH(86,Programação!$AP$5:$AP$1004,0))))</f>
        <v>F-968</v>
      </c>
      <c r="D93" s="22" t="str">
        <f aca="false">IF(COUNT(Programação!$AP$5:$AP$1004)&lt;86,"",IF(INDEX(Programação!$AN$5:$AN$1004,MATCH(86,Programação!$AP$5:$AP$1004,0))="","",INDEX(Programação!$AN$5:$AN$1004,MATCH(86,Programação!$AP$5:$AP$1004,0))))</f>
        <v>Petro</v>
      </c>
      <c r="E93" s="24" t="str">
        <f aca="false">IF(COUNT(Programação!$AP$5:$AP$1004)&lt;86,"",IF(INDEX(Programação!$F$5:$F$1004,MATCH(86,Programação!$AP$5:$AP$1004,0))="","",INDEX(Programação!$F$5:$F$1004,MATCH(86,Programação!$AP$5:$AP$1004,0))))</f>
        <v>Realizar limpeza nos bornes das baterias e fixar tampa das mesmas</v>
      </c>
      <c r="F93" s="22" t="str">
        <f aca="false">IF(COUNT(Programação!$AP$5:$AP$1004)&lt;86,"",IF(INDEX(Programação!$G$5:$G$1004,MATCH(86,Programação!$AP$5:$AP$1004,0))="","",INDEX(Programação!$G$5:$G$1004,MATCH(86,Programação!$AP$5:$AP$1004,0))))</f>
        <v>Corretiva</v>
      </c>
      <c r="G93" s="24" t="str">
        <f aca="false">IF(COUNT(Programação!$AP$5:$AP$1004)&lt;86,"",IF(INDEX(Programação!$U$5:$U$1004,MATCH(86,Programação!$AP$5:$AP$1004,0))="","",INDEX(Programação!$U$5:$U$1004,MATCH(86,Programação!$AP$5:$AP$1004,0))))</f>
        <v/>
      </c>
      <c r="H93" s="22" t="n">
        <f aca="false">IF(COUNT(Programação!$AP$5:$AP$1004)&lt;86,"",MATCH(86,Programação!$AP$5:$AP$1004,0)+4)</f>
        <v>338</v>
      </c>
    </row>
    <row r="94" customFormat="false" ht="15.75" hidden="false" customHeight="true" outlineLevel="0" collapsed="false">
      <c r="A94" s="22" t="str">
        <f aca="false">IF(COUNT(Programação!$AP$5:$AP$1004)&lt;87,"",IF(INDEX(Programação!$AM$5:$AM$1004,MATCH(87,Programação!$AP$5:$AP$1004,0))="","",INDEX(Programação!$AM$5:$AM$1004,MATCH(87,Programação!$AP$5:$AP$1004,0))))</f>
        <v/>
      </c>
      <c r="B94" s="22" t="str">
        <f aca="false">IF(COUNT(Programação!$AP$5:$AP$1004)&lt;87,"",IF(INDEX(Programação!$C$5:$C$1004,MATCH(87,Programação!$AP$5:$AP$1004,0))="","",INDEX(Programação!$C$5:$C$1004,MATCH(87,Programação!$AP$5:$AP$1004,0))))</f>
        <v/>
      </c>
      <c r="C94" s="22" t="str">
        <f aca="false">IF(COUNT(Programação!$AP$5:$AP$1004)&lt;87,"",IF(INDEX(Programação!$D$5:$D$1004,MATCH(87,Programação!$AP$5:$AP$1004,0))="","",INDEX(Programação!$D$5:$D$1004,MATCH(87,Programação!$AP$5:$AP$1004,0))))</f>
        <v>F-968</v>
      </c>
      <c r="D94" s="22" t="str">
        <f aca="false">IF(COUNT(Programação!$AP$5:$AP$1004)&lt;87,"",IF(INDEX(Programação!$AN$5:$AN$1004,MATCH(87,Programação!$AP$5:$AP$1004,0))="","",INDEX(Programação!$AN$5:$AN$1004,MATCH(87,Programação!$AP$5:$AP$1004,0))))</f>
        <v>Petro</v>
      </c>
      <c r="E94" s="24" t="str">
        <f aca="false">IF(COUNT(Programação!$AP$5:$AP$1004)&lt;87,"",IF(INDEX(Programação!$F$5:$F$1004,MATCH(87,Programação!$AP$5:$AP$1004,0))="","",INDEX(Programação!$F$5:$F$1004,MATCH(87,Programação!$AP$5:$AP$1004,0))))</f>
        <v>Bater e validar as pendências da inspeção realizada em Mossoró</v>
      </c>
      <c r="F94" s="22" t="str">
        <f aca="false">IF(COUNT(Programação!$AP$5:$AP$1004)&lt;87,"",IF(INDEX(Programação!$G$5:$G$1004,MATCH(87,Programação!$AP$5:$AP$1004,0))="","",INDEX(Programação!$G$5:$G$1004,MATCH(87,Programação!$AP$5:$AP$1004,0))))</f>
        <v>Inspeção</v>
      </c>
      <c r="G94" s="24" t="str">
        <f aca="false">IF(COUNT(Programação!$AP$5:$AP$1004)&lt;87,"",IF(INDEX(Programação!$U$5:$U$1004,MATCH(87,Programação!$AP$5:$AP$1004,0))="","",INDEX(Programação!$U$5:$U$1004,MATCH(87,Programação!$AP$5:$AP$1004,0))))</f>
        <v/>
      </c>
      <c r="H94" s="22" t="n">
        <f aca="false">IF(COUNT(Programação!$AP$5:$AP$1004)&lt;87,"",MATCH(87,Programação!$AP$5:$AP$1004,0)+4)</f>
        <v>239</v>
      </c>
    </row>
    <row r="95" customFormat="false" ht="15.75" hidden="false" customHeight="true" outlineLevel="0" collapsed="false">
      <c r="A95" s="22" t="str">
        <f aca="false">IF(COUNT(Programação!$AP$5:$AP$1004)&lt;88,"",IF(INDEX(Programação!$AM$5:$AM$1004,MATCH(88,Programação!$AP$5:$AP$1004,0))="","",INDEX(Programação!$AM$5:$AM$1004,MATCH(88,Programação!$AP$5:$AP$1004,0))))</f>
        <v/>
      </c>
      <c r="B95" s="22" t="str">
        <f aca="false">IF(COUNT(Programação!$AP$5:$AP$1004)&lt;88,"",IF(INDEX(Programação!$C$5:$C$1004,MATCH(88,Programação!$AP$5:$AP$1004,0))="","",INDEX(Programação!$C$5:$C$1004,MATCH(88,Programação!$AP$5:$AP$1004,0))))</f>
        <v>007397</v>
      </c>
      <c r="C95" s="22" t="str">
        <f aca="false">IF(COUNT(Programação!$AP$5:$AP$1004)&lt;88,"",IF(INDEX(Programação!$D$5:$D$1004,MATCH(88,Programação!$AP$5:$AP$1004,0))="","",INDEX(Programação!$D$5:$D$1004,MATCH(88,Programação!$AP$5:$AP$1004,0))))</f>
        <v>F-972</v>
      </c>
      <c r="D95" s="22" t="str">
        <f aca="false">IF(COUNT(Programação!$AP$5:$AP$1004)&lt;88,"",IF(INDEX(Programação!$AN$5:$AN$1004,MATCH(88,Programação!$AP$5:$AP$1004,0))="","",INDEX(Programação!$AN$5:$AN$1004,MATCH(88,Programação!$AP$5:$AP$1004,0))))</f>
        <v>Petro</v>
      </c>
      <c r="E95" s="24" t="str">
        <f aca="false">IF(COUNT(Programação!$AP$5:$AP$1004)&lt;88,"",IF(INDEX(Programação!$F$5:$F$1004,MATCH(88,Programação!$AP$5:$AP$1004,0))="","",INDEX(Programação!$F$5:$F$1004,MATCH(88,Programação!$AP$5:$AP$1004,0))))</f>
        <v>SUBSTITUIR JUNTA DAS TAMPAS DE VALVULA COM VAZAMENTO</v>
      </c>
      <c r="F95" s="22" t="str">
        <f aca="false">IF(COUNT(Programação!$AP$5:$AP$1004)&lt;88,"",IF(INDEX(Programação!$G$5:$G$1004,MATCH(88,Programação!$AP$5:$AP$1004,0))="","",INDEX(Programação!$G$5:$G$1004,MATCH(88,Programação!$AP$5:$AP$1004,0))))</f>
        <v>Corretiva</v>
      </c>
      <c r="G95" s="24" t="str">
        <f aca="false">IF(COUNT(Programação!$AP$5:$AP$1004)&lt;88,"",IF(INDEX(Programação!$U$5:$U$1004,MATCH(88,Programação!$AP$5:$AP$1004,0))="","",INDEX(Programação!$U$5:$U$1004,MATCH(88,Programação!$AP$5:$AP$1004,0))))</f>
        <v/>
      </c>
      <c r="H95" s="22" t="n">
        <f aca="false">IF(COUNT(Programação!$AP$5:$AP$1004)&lt;88,"",MATCH(88,Programação!$AP$5:$AP$1004,0)+4)</f>
        <v>261</v>
      </c>
    </row>
    <row r="96" customFormat="false" ht="15.75" hidden="false" customHeight="true" outlineLevel="0" collapsed="false">
      <c r="A96" s="22" t="str">
        <f aca="false">IF(COUNT(Programação!$AP$5:$AP$1004)&lt;89,"",IF(INDEX(Programação!$AM$5:$AM$1004,MATCH(89,Programação!$AP$5:$AP$1004,0))="","",INDEX(Programação!$AM$5:$AM$1004,MATCH(89,Programação!$AP$5:$AP$1004,0))))</f>
        <v/>
      </c>
      <c r="B96" s="22" t="str">
        <f aca="false">IF(COUNT(Programação!$AP$5:$AP$1004)&lt;89,"",IF(INDEX(Programação!$C$5:$C$1004,MATCH(89,Programação!$AP$5:$AP$1004,0))="","",INDEX(Programação!$C$5:$C$1004,MATCH(89,Programação!$AP$5:$AP$1004,0))))</f>
        <v>007400</v>
      </c>
      <c r="C96" s="22" t="str">
        <f aca="false">IF(COUNT(Programação!$AP$5:$AP$1004)&lt;89,"",IF(INDEX(Programação!$D$5:$D$1004,MATCH(89,Programação!$AP$5:$AP$1004,0))="","",INDEX(Programação!$D$5:$D$1004,MATCH(89,Programação!$AP$5:$AP$1004,0))))</f>
        <v>F-972</v>
      </c>
      <c r="D96" s="22" t="str">
        <f aca="false">IF(COUNT(Programação!$AP$5:$AP$1004)&lt;89,"",IF(INDEX(Programação!$AN$5:$AN$1004,MATCH(89,Programação!$AP$5:$AP$1004,0))="","",INDEX(Programação!$AN$5:$AN$1004,MATCH(89,Programação!$AP$5:$AP$1004,0))))</f>
        <v>Petro</v>
      </c>
      <c r="E96" s="24" t="str">
        <f aca="false">IF(COUNT(Programação!$AP$5:$AP$1004)&lt;89,"",IF(INDEX(Programação!$F$5:$F$1004,MATCH(89,Programação!$AP$5:$AP$1004,0))="","",INDEX(Programação!$F$5:$F$1004,MATCH(89,Programação!$AP$5:$AP$1004,0))))</f>
        <v>SUBSTITUIR MANGUEIRA DO TUBO DO RADIADOR COM VAZAMENTO</v>
      </c>
      <c r="F96" s="22" t="str">
        <f aca="false">IF(COUNT(Programação!$AP$5:$AP$1004)&lt;89,"",IF(INDEX(Programação!$G$5:$G$1004,MATCH(89,Programação!$AP$5:$AP$1004,0))="","",INDEX(Programação!$G$5:$G$1004,MATCH(89,Programação!$AP$5:$AP$1004,0))))</f>
        <v>Corretiva</v>
      </c>
      <c r="G96" s="24" t="str">
        <f aca="false">IF(COUNT(Programação!$AP$5:$AP$1004)&lt;89,"",IF(INDEX(Programação!$U$5:$U$1004,MATCH(89,Programação!$AP$5:$AP$1004,0))="","",INDEX(Programação!$U$5:$U$1004,MATCH(89,Programação!$AP$5:$AP$1004,0))))</f>
        <v/>
      </c>
      <c r="H96" s="22" t="n">
        <f aca="false">IF(COUNT(Programação!$AP$5:$AP$1004)&lt;89,"",MATCH(89,Programação!$AP$5:$AP$1004,0)+4)</f>
        <v>262</v>
      </c>
    </row>
    <row r="97" customFormat="false" ht="15.75" hidden="false" customHeight="true" outlineLevel="0" collapsed="false">
      <c r="A97" s="22" t="str">
        <f aca="false">IF(COUNT(Programação!$AP$5:$AP$1004)&lt;90,"",IF(INDEX(Programação!$AM$5:$AM$1004,MATCH(90,Programação!$AP$5:$AP$1004,0))="","",INDEX(Programação!$AM$5:$AM$1004,MATCH(90,Programação!$AP$5:$AP$1004,0))))</f>
        <v/>
      </c>
      <c r="B97" s="22" t="str">
        <f aca="false">IF(COUNT(Programação!$AP$5:$AP$1004)&lt;90,"",IF(INDEX(Programação!$C$5:$C$1004,MATCH(90,Programação!$AP$5:$AP$1004,0))="","",INDEX(Programação!$C$5:$C$1004,MATCH(90,Programação!$AP$5:$AP$1004,0))))</f>
        <v>007400</v>
      </c>
      <c r="C97" s="22" t="str">
        <f aca="false">IF(COUNT(Programação!$AP$5:$AP$1004)&lt;90,"",IF(INDEX(Programação!$D$5:$D$1004,MATCH(90,Programação!$AP$5:$AP$1004,0))="","",INDEX(Programação!$D$5:$D$1004,MATCH(90,Programação!$AP$5:$AP$1004,0))))</f>
        <v>F-972</v>
      </c>
      <c r="D97" s="22" t="str">
        <f aca="false">IF(COUNT(Programação!$AP$5:$AP$1004)&lt;90,"",IF(INDEX(Programação!$AN$5:$AN$1004,MATCH(90,Programação!$AP$5:$AP$1004,0))="","",INDEX(Programação!$AN$5:$AN$1004,MATCH(90,Programação!$AP$5:$AP$1004,0))))</f>
        <v>Petro</v>
      </c>
      <c r="E97" s="24" t="str">
        <f aca="false">IF(COUNT(Programação!$AP$5:$AP$1004)&lt;90,"",IF(INDEX(Programação!$F$5:$F$1004,MATCH(90,Programação!$AP$5:$AP$1004,0))="","",INDEX(Programação!$F$5:$F$1004,MATCH(90,Programação!$AP$5:$AP$1004,0))))</f>
        <v>SUBSTITUIR MANGOTE INFERIOR DO RADIADOR RESSECADO E COM VAZAMENTO</v>
      </c>
      <c r="F97" s="22" t="str">
        <f aca="false">IF(COUNT(Programação!$AP$5:$AP$1004)&lt;90,"",IF(INDEX(Programação!$G$5:$G$1004,MATCH(90,Programação!$AP$5:$AP$1004,0))="","",INDEX(Programação!$G$5:$G$1004,MATCH(90,Programação!$AP$5:$AP$1004,0))))</f>
        <v>Corretiva</v>
      </c>
      <c r="G97" s="24" t="str">
        <f aca="false">IF(COUNT(Programação!$AP$5:$AP$1004)&lt;90,"",IF(INDEX(Programação!$U$5:$U$1004,MATCH(90,Programação!$AP$5:$AP$1004,0))="","",INDEX(Programação!$U$5:$U$1004,MATCH(90,Programação!$AP$5:$AP$1004,0))))</f>
        <v/>
      </c>
      <c r="H97" s="22" t="n">
        <f aca="false">IF(COUNT(Programação!$AP$5:$AP$1004)&lt;90,"",MATCH(90,Programação!$AP$5:$AP$1004,0)+4)</f>
        <v>263</v>
      </c>
    </row>
    <row r="98" customFormat="false" ht="15.75" hidden="false" customHeight="true" outlineLevel="0" collapsed="false">
      <c r="A98" s="22" t="str">
        <f aca="false">IF(COUNT(Programação!$AP$5:$AP$1004)&lt;91,"",IF(INDEX(Programação!$AM$5:$AM$1004,MATCH(91,Programação!$AP$5:$AP$1004,0))="","",INDEX(Programação!$AM$5:$AM$1004,MATCH(91,Programação!$AP$5:$AP$1004,0))))</f>
        <v/>
      </c>
      <c r="B98" s="22" t="str">
        <f aca="false">IF(COUNT(Programação!$AP$5:$AP$1004)&lt;91,"",IF(INDEX(Programação!$C$5:$C$1004,MATCH(91,Programação!$AP$5:$AP$1004,0))="","",INDEX(Programação!$C$5:$C$1004,MATCH(91,Programação!$AP$5:$AP$1004,0))))</f>
        <v>007401</v>
      </c>
      <c r="C98" s="22" t="str">
        <f aca="false">IF(COUNT(Programação!$AP$5:$AP$1004)&lt;91,"",IF(INDEX(Programação!$D$5:$D$1004,MATCH(91,Programação!$AP$5:$AP$1004,0))="","",INDEX(Programação!$D$5:$D$1004,MATCH(91,Programação!$AP$5:$AP$1004,0))))</f>
        <v>F-972</v>
      </c>
      <c r="D98" s="22" t="str">
        <f aca="false">IF(COUNT(Programação!$AP$5:$AP$1004)&lt;91,"",IF(INDEX(Programação!$AN$5:$AN$1004,MATCH(91,Programação!$AP$5:$AP$1004,0))="","",INDEX(Programação!$AN$5:$AN$1004,MATCH(91,Programação!$AP$5:$AP$1004,0))))</f>
        <v>Petro</v>
      </c>
      <c r="E98" s="24" t="str">
        <f aca="false">IF(COUNT(Programação!$AP$5:$AP$1004)&lt;91,"",IF(INDEX(Programação!$F$5:$F$1004,MATCH(91,Programação!$AP$5:$AP$1004,0))="","",INDEX(Programação!$F$5:$F$1004,MATCH(91,Programação!$AP$5:$AP$1004,0))))</f>
        <v>SUBSTITUIR JUNTA DA TAMPA DO CUBO DE RODA DIANTEIRO LD COM VAZAMENTO</v>
      </c>
      <c r="F98" s="22" t="str">
        <f aca="false">IF(COUNT(Programação!$AP$5:$AP$1004)&lt;91,"",IF(INDEX(Programação!$G$5:$G$1004,MATCH(91,Programação!$AP$5:$AP$1004,0))="","",INDEX(Programação!$G$5:$G$1004,MATCH(91,Programação!$AP$5:$AP$1004,0))))</f>
        <v>Corretiva</v>
      </c>
      <c r="G98" s="24" t="str">
        <f aca="false">IF(COUNT(Programação!$AP$5:$AP$1004)&lt;91,"",IF(INDEX(Programação!$U$5:$U$1004,MATCH(91,Programação!$AP$5:$AP$1004,0))="","",INDEX(Programação!$U$5:$U$1004,MATCH(91,Programação!$AP$5:$AP$1004,0))))</f>
        <v/>
      </c>
      <c r="H98" s="22" t="n">
        <f aca="false">IF(COUNT(Programação!$AP$5:$AP$1004)&lt;91,"",MATCH(91,Programação!$AP$5:$AP$1004,0)+4)</f>
        <v>264</v>
      </c>
    </row>
    <row r="99" customFormat="false" ht="15.75" hidden="false" customHeight="true" outlineLevel="0" collapsed="false">
      <c r="A99" s="22" t="str">
        <f aca="false">IF(COUNT(Programação!$AP$5:$AP$1004)&lt;92,"",IF(INDEX(Programação!$AM$5:$AM$1004,MATCH(92,Programação!$AP$5:$AP$1004,0))="","",INDEX(Programação!$AM$5:$AM$1004,MATCH(92,Programação!$AP$5:$AP$1004,0))))</f>
        <v/>
      </c>
      <c r="B99" s="22" t="str">
        <f aca="false">IF(COUNT(Programação!$AP$5:$AP$1004)&lt;92,"",IF(INDEX(Programação!$C$5:$C$1004,MATCH(92,Programação!$AP$5:$AP$1004,0))="","",INDEX(Programação!$C$5:$C$1004,MATCH(92,Programação!$AP$5:$AP$1004,0))))</f>
        <v>007402</v>
      </c>
      <c r="C99" s="22" t="str">
        <f aca="false">IF(COUNT(Programação!$AP$5:$AP$1004)&lt;92,"",IF(INDEX(Programação!$D$5:$D$1004,MATCH(92,Programação!$AP$5:$AP$1004,0))="","",INDEX(Programação!$D$5:$D$1004,MATCH(92,Programação!$AP$5:$AP$1004,0))))</f>
        <v>F-972</v>
      </c>
      <c r="D99" s="22" t="str">
        <f aca="false">IF(COUNT(Programação!$AP$5:$AP$1004)&lt;92,"",IF(INDEX(Programação!$AN$5:$AN$1004,MATCH(92,Programação!$AP$5:$AP$1004,0))="","",INDEX(Programação!$AN$5:$AN$1004,MATCH(92,Programação!$AP$5:$AP$1004,0))))</f>
        <v>Petro</v>
      </c>
      <c r="E99" s="24" t="str">
        <f aca="false">IF(COUNT(Programação!$AP$5:$AP$1004)&lt;92,"",IF(INDEX(Programação!$F$5:$F$1004,MATCH(92,Programação!$AP$5:$AP$1004,0))="","",INDEX(Programação!$F$5:$F$1004,MATCH(92,Programação!$AP$5:$AP$1004,0))))</f>
        <v>SUBSTITUIR LANTERNA LATERAL LD</v>
      </c>
      <c r="F99" s="22" t="str">
        <f aca="false">IF(COUNT(Programação!$AP$5:$AP$1004)&lt;92,"",IF(INDEX(Programação!$G$5:$G$1004,MATCH(92,Programação!$AP$5:$AP$1004,0))="","",INDEX(Programação!$G$5:$G$1004,MATCH(92,Programação!$AP$5:$AP$1004,0))))</f>
        <v>Corretiva</v>
      </c>
      <c r="G99" s="24" t="str">
        <f aca="false">IF(COUNT(Programação!$AP$5:$AP$1004)&lt;92,"",IF(INDEX(Programação!$U$5:$U$1004,MATCH(92,Programação!$AP$5:$AP$1004,0))="","",INDEX(Programação!$U$5:$U$1004,MATCH(92,Programação!$AP$5:$AP$1004,0))))</f>
        <v/>
      </c>
      <c r="H99" s="22" t="n">
        <f aca="false">IF(COUNT(Programação!$AP$5:$AP$1004)&lt;92,"",MATCH(92,Programação!$AP$5:$AP$1004,0)+4)</f>
        <v>265</v>
      </c>
    </row>
    <row r="100" customFormat="false" ht="15.75" hidden="false" customHeight="true" outlineLevel="0" collapsed="false">
      <c r="A100" s="22" t="str">
        <f aca="false">IF(COUNT(Programação!$AP$5:$AP$1004)&lt;93,"",IF(INDEX(Programação!$AM$5:$AM$1004,MATCH(93,Programação!$AP$5:$AP$1004,0))="","",INDEX(Programação!$AM$5:$AM$1004,MATCH(93,Programação!$AP$5:$AP$1004,0))))</f>
        <v/>
      </c>
      <c r="B100" s="22" t="str">
        <f aca="false">IF(COUNT(Programação!$AP$5:$AP$1004)&lt;93,"",IF(INDEX(Programação!$C$5:$C$1004,MATCH(93,Programação!$AP$5:$AP$1004,0))="","",INDEX(Programação!$C$5:$C$1004,MATCH(93,Programação!$AP$5:$AP$1004,0))))</f>
        <v>007403</v>
      </c>
      <c r="C100" s="22" t="str">
        <f aca="false">IF(COUNT(Programação!$AP$5:$AP$1004)&lt;93,"",IF(INDEX(Programação!$D$5:$D$1004,MATCH(93,Programação!$AP$5:$AP$1004,0))="","",INDEX(Programação!$D$5:$D$1004,MATCH(93,Programação!$AP$5:$AP$1004,0))))</f>
        <v>F-972</v>
      </c>
      <c r="D100" s="22" t="str">
        <f aca="false">IF(COUNT(Programação!$AP$5:$AP$1004)&lt;93,"",IF(INDEX(Programação!$AN$5:$AN$1004,MATCH(93,Programação!$AP$5:$AP$1004,0))="","",INDEX(Programação!$AN$5:$AN$1004,MATCH(93,Programação!$AP$5:$AP$1004,0))))</f>
        <v>Petro</v>
      </c>
      <c r="E100" s="24" t="str">
        <f aca="false">IF(COUNT(Programação!$AP$5:$AP$1004)&lt;93,"",IF(INDEX(Programação!$F$5:$F$1004,MATCH(93,Programação!$AP$5:$AP$1004,0))="","",INDEX(Programação!$F$5:$F$1004,MATCH(93,Programação!$AP$5:$AP$1004,0))))</f>
        <v>SUBSTITUIR TAMPA DE ABASTECIMENTO DE OLÉO COM VEDAÇÃO GASTA</v>
      </c>
      <c r="F100" s="22" t="str">
        <f aca="false">IF(COUNT(Programação!$AP$5:$AP$1004)&lt;93,"",IF(INDEX(Programação!$G$5:$G$1004,MATCH(93,Programação!$AP$5:$AP$1004,0))="","",INDEX(Programação!$G$5:$G$1004,MATCH(93,Programação!$AP$5:$AP$1004,0))))</f>
        <v>Corretiva</v>
      </c>
      <c r="G100" s="24" t="str">
        <f aca="false">IF(COUNT(Programação!$AP$5:$AP$1004)&lt;93,"",IF(INDEX(Programação!$U$5:$U$1004,MATCH(93,Programação!$AP$5:$AP$1004,0))="","",INDEX(Programação!$U$5:$U$1004,MATCH(93,Programação!$AP$5:$AP$1004,0))))</f>
        <v/>
      </c>
      <c r="H100" s="22" t="n">
        <f aca="false">IF(COUNT(Programação!$AP$5:$AP$1004)&lt;93,"",MATCH(93,Programação!$AP$5:$AP$1004,0)+4)</f>
        <v>266</v>
      </c>
    </row>
    <row r="101" customFormat="false" ht="15.75" hidden="false" customHeight="true" outlineLevel="0" collapsed="false">
      <c r="A101" s="22" t="str">
        <f aca="false">IF(COUNT(Programação!$AP$5:$AP$1004)&lt;94,"",IF(INDEX(Programação!$AM$5:$AM$1004,MATCH(94,Programação!$AP$5:$AP$1004,0))="","",INDEX(Programação!$AM$5:$AM$1004,MATCH(94,Programação!$AP$5:$AP$1004,0))))</f>
        <v/>
      </c>
      <c r="B101" s="22" t="str">
        <f aca="false">IF(COUNT(Programação!$AP$5:$AP$1004)&lt;94,"",IF(INDEX(Programação!$C$5:$C$1004,MATCH(94,Programação!$AP$5:$AP$1004,0))="","",INDEX(Programação!$C$5:$C$1004,MATCH(94,Programação!$AP$5:$AP$1004,0))))</f>
        <v>007404</v>
      </c>
      <c r="C101" s="22" t="str">
        <f aca="false">IF(COUNT(Programação!$AP$5:$AP$1004)&lt;94,"",IF(INDEX(Programação!$D$5:$D$1004,MATCH(94,Programação!$AP$5:$AP$1004,0))="","",INDEX(Programação!$D$5:$D$1004,MATCH(94,Programação!$AP$5:$AP$1004,0))))</f>
        <v>F-972</v>
      </c>
      <c r="D101" s="22" t="str">
        <f aca="false">IF(COUNT(Programação!$AP$5:$AP$1004)&lt;94,"",IF(INDEX(Programação!$AN$5:$AN$1004,MATCH(94,Programação!$AP$5:$AP$1004,0))="","",INDEX(Programação!$AN$5:$AN$1004,MATCH(94,Programação!$AP$5:$AP$1004,0))))</f>
        <v>Petro</v>
      </c>
      <c r="E101" s="24" t="str">
        <f aca="false">IF(COUNT(Programação!$AP$5:$AP$1004)&lt;94,"",IF(INDEX(Programação!$F$5:$F$1004,MATCH(94,Programação!$AP$5:$AP$1004,0))="","",INDEX(Programação!$F$5:$F$1004,MATCH(94,Programação!$AP$5:$AP$1004,0))))</f>
        <v>SUBSTITUIR BUCHAS DA BARRA ESTABILIZADORA DIANTEIRA GASTAS</v>
      </c>
      <c r="F101" s="22" t="str">
        <f aca="false">IF(COUNT(Programação!$AP$5:$AP$1004)&lt;94,"",IF(INDEX(Programação!$G$5:$G$1004,MATCH(94,Programação!$AP$5:$AP$1004,0))="","",INDEX(Programação!$G$5:$G$1004,MATCH(94,Programação!$AP$5:$AP$1004,0))))</f>
        <v>Corretiva</v>
      </c>
      <c r="G101" s="24" t="str">
        <f aca="false">IF(COUNT(Programação!$AP$5:$AP$1004)&lt;94,"",IF(INDEX(Programação!$U$5:$U$1004,MATCH(94,Programação!$AP$5:$AP$1004,0))="","",INDEX(Programação!$U$5:$U$1004,MATCH(94,Programação!$AP$5:$AP$1004,0))))</f>
        <v/>
      </c>
      <c r="H101" s="22" t="n">
        <f aca="false">IF(COUNT(Programação!$AP$5:$AP$1004)&lt;94,"",MATCH(94,Programação!$AP$5:$AP$1004,0)+4)</f>
        <v>267</v>
      </c>
    </row>
    <row r="102" customFormat="false" ht="15.75" hidden="false" customHeight="true" outlineLevel="0" collapsed="false">
      <c r="A102" s="22" t="str">
        <f aca="false">IF(COUNT(Programação!$AP$5:$AP$1004)&lt;95,"",IF(INDEX(Programação!$AM$5:$AM$1004,MATCH(95,Programação!$AP$5:$AP$1004,0))="","",INDEX(Programação!$AM$5:$AM$1004,MATCH(95,Programação!$AP$5:$AP$1004,0))))</f>
        <v/>
      </c>
      <c r="B102" s="22" t="str">
        <f aca="false">IF(COUNT(Programação!$AP$5:$AP$1004)&lt;95,"",IF(INDEX(Programação!$C$5:$C$1004,MATCH(95,Programação!$AP$5:$AP$1004,0))="","",INDEX(Programação!$C$5:$C$1004,MATCH(95,Programação!$AP$5:$AP$1004,0))))</f>
        <v>007405</v>
      </c>
      <c r="C102" s="22" t="str">
        <f aca="false">IF(COUNT(Programação!$AP$5:$AP$1004)&lt;95,"",IF(INDEX(Programação!$D$5:$D$1004,MATCH(95,Programação!$AP$5:$AP$1004,0))="","",INDEX(Programação!$D$5:$D$1004,MATCH(95,Programação!$AP$5:$AP$1004,0))))</f>
        <v>F-972</v>
      </c>
      <c r="D102" s="22" t="str">
        <f aca="false">IF(COUNT(Programação!$AP$5:$AP$1004)&lt;95,"",IF(INDEX(Programação!$AN$5:$AN$1004,MATCH(95,Programação!$AP$5:$AP$1004,0))="","",INDEX(Programação!$AN$5:$AN$1004,MATCH(95,Programação!$AP$5:$AP$1004,0))))</f>
        <v>Petro</v>
      </c>
      <c r="E102" s="24" t="str">
        <f aca="false">IF(COUNT(Programação!$AP$5:$AP$1004)&lt;95,"",IF(INDEX(Programação!$F$5:$F$1004,MATCH(95,Programação!$AP$5:$AP$1004,0))="","",INDEX(Programação!$F$5:$F$1004,MATCH(95,Programação!$AP$5:$AP$1004,0))))</f>
        <v>SUBSTITUIR PALHETAS DO LIMPADOR DE PARABRISA</v>
      </c>
      <c r="F102" s="22" t="str">
        <f aca="false">IF(COUNT(Programação!$AP$5:$AP$1004)&lt;95,"",IF(INDEX(Programação!$G$5:$G$1004,MATCH(95,Programação!$AP$5:$AP$1004,0))="","",INDEX(Programação!$G$5:$G$1004,MATCH(95,Programação!$AP$5:$AP$1004,0))))</f>
        <v>Corretiva</v>
      </c>
      <c r="G102" s="24" t="str">
        <f aca="false">IF(COUNT(Programação!$AP$5:$AP$1004)&lt;95,"",IF(INDEX(Programação!$U$5:$U$1004,MATCH(95,Programação!$AP$5:$AP$1004,0))="","",INDEX(Programação!$U$5:$U$1004,MATCH(95,Programação!$AP$5:$AP$1004,0))))</f>
        <v/>
      </c>
      <c r="H102" s="22" t="n">
        <f aca="false">IF(COUNT(Programação!$AP$5:$AP$1004)&lt;95,"",MATCH(95,Programação!$AP$5:$AP$1004,0)+4)</f>
        <v>268</v>
      </c>
    </row>
    <row r="103" customFormat="false" ht="15.75" hidden="false" customHeight="true" outlineLevel="0" collapsed="false">
      <c r="A103" s="22" t="str">
        <f aca="false">IF(COUNT(Programação!$AP$5:$AP$1004)&lt;96,"",IF(INDEX(Programação!$AM$5:$AM$1004,MATCH(96,Programação!$AP$5:$AP$1004,0))="","",INDEX(Programação!$AM$5:$AM$1004,MATCH(96,Programação!$AP$5:$AP$1004,0))))</f>
        <v/>
      </c>
      <c r="B103" s="22" t="str">
        <f aca="false">IF(COUNT(Programação!$AP$5:$AP$1004)&lt;96,"",IF(INDEX(Programação!$C$5:$C$1004,MATCH(96,Programação!$AP$5:$AP$1004,0))="","",INDEX(Programação!$C$5:$C$1004,MATCH(96,Programação!$AP$5:$AP$1004,0))))</f>
        <v>007406</v>
      </c>
      <c r="C103" s="22" t="str">
        <f aca="false">IF(COUNT(Programação!$AP$5:$AP$1004)&lt;96,"",IF(INDEX(Programação!$D$5:$D$1004,MATCH(96,Programação!$AP$5:$AP$1004,0))="","",INDEX(Programação!$D$5:$D$1004,MATCH(96,Programação!$AP$5:$AP$1004,0))))</f>
        <v>F-972</v>
      </c>
      <c r="D103" s="22" t="str">
        <f aca="false">IF(COUNT(Programação!$AP$5:$AP$1004)&lt;96,"",IF(INDEX(Programação!$AN$5:$AN$1004,MATCH(96,Programação!$AP$5:$AP$1004,0))="","",INDEX(Programação!$AN$5:$AN$1004,MATCH(96,Programação!$AP$5:$AP$1004,0))))</f>
        <v>Petro</v>
      </c>
      <c r="E103" s="24" t="str">
        <f aca="false">IF(COUNT(Programação!$AP$5:$AP$1004)&lt;96,"",IF(INDEX(Programação!$F$5:$F$1004,MATCH(96,Programação!$AP$5:$AP$1004,0))="","",INDEX(Programação!$F$5:$F$1004,MATCH(96,Programação!$AP$5:$AP$1004,0))))</f>
        <v>SUBSTITUIR BORRACHA DE VEDAÇÃO DA PORTA</v>
      </c>
      <c r="F103" s="22" t="str">
        <f aca="false">IF(COUNT(Programação!$AP$5:$AP$1004)&lt;96,"",IF(INDEX(Programação!$G$5:$G$1004,MATCH(96,Programação!$AP$5:$AP$1004,0))="","",INDEX(Programação!$G$5:$G$1004,MATCH(96,Programação!$AP$5:$AP$1004,0))))</f>
        <v>Corretiva</v>
      </c>
      <c r="G103" s="24" t="str">
        <f aca="false">IF(COUNT(Programação!$AP$5:$AP$1004)&lt;96,"",IF(INDEX(Programação!$U$5:$U$1004,MATCH(96,Programação!$AP$5:$AP$1004,0))="","",INDEX(Programação!$U$5:$U$1004,MATCH(96,Programação!$AP$5:$AP$1004,0))))</f>
        <v/>
      </c>
      <c r="H103" s="22" t="n">
        <f aca="false">IF(COUNT(Programação!$AP$5:$AP$1004)&lt;96,"",MATCH(96,Programação!$AP$5:$AP$1004,0)+4)</f>
        <v>269</v>
      </c>
    </row>
    <row r="104" customFormat="false" ht="15.75" hidden="false" customHeight="true" outlineLevel="0" collapsed="false">
      <c r="A104" s="22" t="str">
        <f aca="false">IF(COUNT(Programação!$AP$5:$AP$1004)&lt;97,"",IF(INDEX(Programação!$AM$5:$AM$1004,MATCH(97,Programação!$AP$5:$AP$1004,0))="","",INDEX(Programação!$AM$5:$AM$1004,MATCH(97,Programação!$AP$5:$AP$1004,0))))</f>
        <v/>
      </c>
      <c r="B104" s="22" t="str">
        <f aca="false">IF(COUNT(Programação!$AP$5:$AP$1004)&lt;97,"",IF(INDEX(Programação!$C$5:$C$1004,MATCH(97,Programação!$AP$5:$AP$1004,0))="","",INDEX(Programação!$C$5:$C$1004,MATCH(97,Programação!$AP$5:$AP$1004,0))))</f>
        <v>007407</v>
      </c>
      <c r="C104" s="22" t="str">
        <f aca="false">IF(COUNT(Programação!$AP$5:$AP$1004)&lt;97,"",IF(INDEX(Programação!$D$5:$D$1004,MATCH(97,Programação!$AP$5:$AP$1004,0))="","",INDEX(Programação!$D$5:$D$1004,MATCH(97,Programação!$AP$5:$AP$1004,0))))</f>
        <v>F-972</v>
      </c>
      <c r="D104" s="22" t="str">
        <f aca="false">IF(COUNT(Programação!$AP$5:$AP$1004)&lt;97,"",IF(INDEX(Programação!$AN$5:$AN$1004,MATCH(97,Programação!$AP$5:$AP$1004,0))="","",INDEX(Programação!$AN$5:$AN$1004,MATCH(97,Programação!$AP$5:$AP$1004,0))))</f>
        <v>Petro</v>
      </c>
      <c r="E104" s="24" t="str">
        <f aca="false">IF(COUNT(Programação!$AP$5:$AP$1004)&lt;97,"",IF(INDEX(Programação!$F$5:$F$1004,MATCH(97,Programação!$AP$5:$AP$1004,0))="","",INDEX(Programação!$F$5:$F$1004,MATCH(97,Programação!$AP$5:$AP$1004,0))))</f>
        <v>SUBSTITUIR JANELA DE INSPEÇÃO FRONTAL</v>
      </c>
      <c r="F104" s="22" t="str">
        <f aca="false">IF(COUNT(Programação!$AP$5:$AP$1004)&lt;97,"",IF(INDEX(Programação!$G$5:$G$1004,MATCH(97,Programação!$AP$5:$AP$1004,0))="","",INDEX(Programação!$G$5:$G$1004,MATCH(97,Programação!$AP$5:$AP$1004,0))))</f>
        <v>Corretiva</v>
      </c>
      <c r="G104" s="24" t="str">
        <f aca="false">IF(COUNT(Programação!$AP$5:$AP$1004)&lt;97,"",IF(INDEX(Programação!$U$5:$U$1004,MATCH(97,Programação!$AP$5:$AP$1004,0))="","",INDEX(Programação!$U$5:$U$1004,MATCH(97,Programação!$AP$5:$AP$1004,0))))</f>
        <v/>
      </c>
      <c r="H104" s="22" t="n">
        <f aca="false">IF(COUNT(Programação!$AP$5:$AP$1004)&lt;97,"",MATCH(97,Programação!$AP$5:$AP$1004,0)+4)</f>
        <v>270</v>
      </c>
    </row>
    <row r="105" customFormat="false" ht="15.75" hidden="false" customHeight="true" outlineLevel="0" collapsed="false">
      <c r="A105" s="22" t="str">
        <f aca="false">IF(COUNT(Programação!$AP$5:$AP$1004)&lt;98,"",IF(INDEX(Programação!$AM$5:$AM$1004,MATCH(98,Programação!$AP$5:$AP$1004,0))="","",INDEX(Programação!$AM$5:$AM$1004,MATCH(98,Programação!$AP$5:$AP$1004,0))))</f>
        <v/>
      </c>
      <c r="B105" s="22" t="str">
        <f aca="false">IF(COUNT(Programação!$AP$5:$AP$1004)&lt;98,"",IF(INDEX(Programação!$C$5:$C$1004,MATCH(98,Programação!$AP$5:$AP$1004,0))="","",INDEX(Programação!$C$5:$C$1004,MATCH(98,Programação!$AP$5:$AP$1004,0))))</f>
        <v>007408</v>
      </c>
      <c r="C105" s="22" t="str">
        <f aca="false">IF(COUNT(Programação!$AP$5:$AP$1004)&lt;98,"",IF(INDEX(Programação!$D$5:$D$1004,MATCH(98,Programação!$AP$5:$AP$1004,0))="","",INDEX(Programação!$D$5:$D$1004,MATCH(98,Programação!$AP$5:$AP$1004,0))))</f>
        <v>F-972</v>
      </c>
      <c r="D105" s="22" t="str">
        <f aca="false">IF(COUNT(Programação!$AP$5:$AP$1004)&lt;98,"",IF(INDEX(Programação!$AN$5:$AN$1004,MATCH(98,Programação!$AP$5:$AP$1004,0))="","",INDEX(Programação!$AN$5:$AN$1004,MATCH(98,Programação!$AP$5:$AP$1004,0))))</f>
        <v>Petro</v>
      </c>
      <c r="E105" s="24" t="str">
        <f aca="false">IF(COUNT(Programação!$AP$5:$AP$1004)&lt;98,"",IF(INDEX(Programação!$F$5:$F$1004,MATCH(98,Programação!$AP$5:$AP$1004,0))="","",INDEX(Programação!$F$5:$F$1004,MATCH(98,Programação!$AP$5:$AP$1004,0))))</f>
        <v>REPOR ACABAMENTO DO PUXADOR DA PORTA LE</v>
      </c>
      <c r="F105" s="22" t="str">
        <f aca="false">IF(COUNT(Programação!$AP$5:$AP$1004)&lt;98,"",IF(INDEX(Programação!$G$5:$G$1004,MATCH(98,Programação!$AP$5:$AP$1004,0))="","",INDEX(Programação!$G$5:$G$1004,MATCH(98,Programação!$AP$5:$AP$1004,0))))</f>
        <v>Corretiva</v>
      </c>
      <c r="G105" s="24" t="str">
        <f aca="false">IF(COUNT(Programação!$AP$5:$AP$1004)&lt;98,"",IF(INDEX(Programação!$U$5:$U$1004,MATCH(98,Programação!$AP$5:$AP$1004,0))="","",INDEX(Programação!$U$5:$U$1004,MATCH(98,Programação!$AP$5:$AP$1004,0))))</f>
        <v/>
      </c>
      <c r="H105" s="22" t="n">
        <f aca="false">IF(COUNT(Programação!$AP$5:$AP$1004)&lt;98,"",MATCH(98,Programação!$AP$5:$AP$1004,0)+4)</f>
        <v>271</v>
      </c>
    </row>
    <row r="106" customFormat="false" ht="15.75" hidden="false" customHeight="true" outlineLevel="0" collapsed="false">
      <c r="A106" s="22" t="str">
        <f aca="false">IF(COUNT(Programação!$AP$5:$AP$1004)&lt;99,"",IF(INDEX(Programação!$AM$5:$AM$1004,MATCH(99,Programação!$AP$5:$AP$1004,0))="","",INDEX(Programação!$AM$5:$AM$1004,MATCH(99,Programação!$AP$5:$AP$1004,0))))</f>
        <v/>
      </c>
      <c r="B106" s="22" t="str">
        <f aca="false">IF(COUNT(Programação!$AP$5:$AP$1004)&lt;99,"",IF(INDEX(Programação!$C$5:$C$1004,MATCH(99,Programação!$AP$5:$AP$1004,0))="","",INDEX(Programação!$C$5:$C$1004,MATCH(99,Programação!$AP$5:$AP$1004,0))))</f>
        <v>007440</v>
      </c>
      <c r="C106" s="22" t="str">
        <f aca="false">IF(COUNT(Programação!$AP$5:$AP$1004)&lt;99,"",IF(INDEX(Programação!$D$5:$D$1004,MATCH(99,Programação!$AP$5:$AP$1004,0))="","",INDEX(Programação!$D$5:$D$1004,MATCH(99,Programação!$AP$5:$AP$1004,0))))</f>
        <v>F-972</v>
      </c>
      <c r="D106" s="22" t="str">
        <f aca="false">IF(COUNT(Programação!$AP$5:$AP$1004)&lt;99,"",IF(INDEX(Programação!$AN$5:$AN$1004,MATCH(99,Programação!$AP$5:$AP$1004,0))="","",INDEX(Programação!$AN$5:$AN$1004,MATCH(99,Programação!$AP$5:$AP$1004,0))))</f>
        <v>Petro</v>
      </c>
      <c r="E106" s="24" t="str">
        <f aca="false">IF(COUNT(Programação!$AP$5:$AP$1004)&lt;99,"",IF(INDEX(Programação!$F$5:$F$1004,MATCH(99,Programação!$AP$5:$AP$1004,0))="","",INDEX(Programação!$F$5:$F$1004,MATCH(99,Programação!$AP$5:$AP$1004,0))))</f>
        <v>Registro das baterias ruim, substituir</v>
      </c>
      <c r="F106" s="22" t="str">
        <f aca="false">IF(COUNT(Programação!$AP$5:$AP$1004)&lt;99,"",IF(INDEX(Programação!$G$5:$G$1004,MATCH(99,Programação!$AP$5:$AP$1004,0))="","",INDEX(Programação!$G$5:$G$1004,MATCH(99,Programação!$AP$5:$AP$1004,0))))</f>
        <v>Corretiva</v>
      </c>
      <c r="G106" s="24" t="str">
        <f aca="false">IF(COUNT(Programação!$AP$5:$AP$1004)&lt;99,"",IF(INDEX(Programação!$U$5:$U$1004,MATCH(99,Programação!$AP$5:$AP$1004,0))="","",INDEX(Programação!$U$5:$U$1004,MATCH(99,Programação!$AP$5:$AP$1004,0))))</f>
        <v/>
      </c>
      <c r="H106" s="22" t="n">
        <f aca="false">IF(COUNT(Programação!$AP$5:$AP$1004)&lt;99,"",MATCH(99,Programação!$AP$5:$AP$1004,0)+4)</f>
        <v>304</v>
      </c>
    </row>
    <row r="107" customFormat="false" ht="15.75" hidden="false" customHeight="true" outlineLevel="0" collapsed="false">
      <c r="A107" s="22" t="str">
        <f aca="false">IF(COUNT(Programação!$AP$5:$AP$1004)&lt;100,"",IF(INDEX(Programação!$AM$5:$AM$1004,MATCH(100,Programação!$AP$5:$AP$1004,0))="","",INDEX(Programação!$AM$5:$AM$1004,MATCH(100,Programação!$AP$5:$AP$1004,0))))</f>
        <v/>
      </c>
      <c r="B107" s="22" t="str">
        <f aca="false">IF(COUNT(Programação!$AP$5:$AP$1004)&lt;100,"",IF(INDEX(Programação!$C$5:$C$1004,MATCH(100,Programação!$AP$5:$AP$1004,0))="","",INDEX(Programação!$C$5:$C$1004,MATCH(100,Programação!$AP$5:$AP$1004,0))))</f>
        <v>007441</v>
      </c>
      <c r="C107" s="22" t="str">
        <f aca="false">IF(COUNT(Programação!$AP$5:$AP$1004)&lt;100,"",IF(INDEX(Programação!$D$5:$D$1004,MATCH(100,Programação!$AP$5:$AP$1004,0))="","",INDEX(Programação!$D$5:$D$1004,MATCH(100,Programação!$AP$5:$AP$1004,0))))</f>
        <v>F-972</v>
      </c>
      <c r="D107" s="22" t="str">
        <f aca="false">IF(COUNT(Programação!$AP$5:$AP$1004)&lt;100,"",IF(INDEX(Programação!$AN$5:$AN$1004,MATCH(100,Programação!$AP$5:$AP$1004,0))="","",INDEX(Programação!$AN$5:$AN$1004,MATCH(100,Programação!$AP$5:$AP$1004,0))))</f>
        <v>Petro</v>
      </c>
      <c r="E107" s="24" t="str">
        <f aca="false">IF(COUNT(Programação!$AP$5:$AP$1004)&lt;100,"",IF(INDEX(Programação!$F$5:$F$1004,MATCH(100,Programação!$AP$5:$AP$1004,0))="","",INDEX(Programação!$F$5:$F$1004,MATCH(100,Programação!$AP$5:$AP$1004,0))))</f>
        <v>Diagnosticar e corrigir falha registrada no módulo FR</v>
      </c>
      <c r="F107" s="22" t="str">
        <f aca="false">IF(COUNT(Programação!$AP$5:$AP$1004)&lt;100,"",IF(INDEX(Programação!$G$5:$G$1004,MATCH(100,Programação!$AP$5:$AP$1004,0))="","",INDEX(Programação!$G$5:$G$1004,MATCH(100,Programação!$AP$5:$AP$1004,0))))</f>
        <v>Corretiva</v>
      </c>
      <c r="G107" s="24" t="str">
        <f aca="false">IF(COUNT(Programação!$AP$5:$AP$1004)&lt;100,"",IF(INDEX(Programação!$U$5:$U$1004,MATCH(100,Programação!$AP$5:$AP$1004,0))="","",INDEX(Programação!$U$5:$U$1004,MATCH(100,Programação!$AP$5:$AP$1004,0))))</f>
        <v>limitações de funcionamento</v>
      </c>
      <c r="H107" s="22" t="n">
        <f aca="false">IF(COUNT(Programação!$AP$5:$AP$1004)&lt;100,"",MATCH(100,Programação!$AP$5:$AP$1004,0)+4)</f>
        <v>305</v>
      </c>
    </row>
    <row r="108" customFormat="false" ht="15.75" hidden="false" customHeight="true" outlineLevel="0" collapsed="false">
      <c r="A108" s="22" t="str">
        <f aca="false">IF(COUNT(Programação!$AP$5:$AP$1004)&lt;101,"",IF(INDEX(Programação!$AM$5:$AM$1004,MATCH(101,Programação!$AP$5:$AP$1004,0))="","",INDEX(Programação!$AM$5:$AM$1004,MATCH(101,Programação!$AP$5:$AP$1004,0))))</f>
        <v/>
      </c>
      <c r="B108" s="22" t="str">
        <f aca="false">IF(COUNT(Programação!$AP$5:$AP$1004)&lt;101,"",IF(INDEX(Programação!$C$5:$C$1004,MATCH(101,Programação!$AP$5:$AP$1004,0))="","",INDEX(Programação!$C$5:$C$1004,MATCH(101,Programação!$AP$5:$AP$1004,0))))</f>
        <v>007442</v>
      </c>
      <c r="C108" s="22" t="str">
        <f aca="false">IF(COUNT(Programação!$AP$5:$AP$1004)&lt;101,"",IF(INDEX(Programação!$D$5:$D$1004,MATCH(101,Programação!$AP$5:$AP$1004,0))="","",INDEX(Programação!$D$5:$D$1004,MATCH(101,Programação!$AP$5:$AP$1004,0))))</f>
        <v>F-972</v>
      </c>
      <c r="D108" s="22" t="str">
        <f aca="false">IF(COUNT(Programação!$AP$5:$AP$1004)&lt;101,"",IF(INDEX(Programação!$AN$5:$AN$1004,MATCH(101,Programação!$AP$5:$AP$1004,0))="","",INDEX(Programação!$AN$5:$AN$1004,MATCH(101,Programação!$AP$5:$AP$1004,0))))</f>
        <v>Petro</v>
      </c>
      <c r="E108" s="24" t="str">
        <f aca="false">IF(COUNT(Programação!$AP$5:$AP$1004)&lt;101,"",IF(INDEX(Programação!$F$5:$F$1004,MATCH(101,Programação!$AP$5:$AP$1004,0))="","",INDEX(Programação!$F$5:$F$1004,MATCH(101,Programação!$AP$5:$AP$1004,0))))</f>
        <v>Realizar lavagem do motor na parte traseira e verificar vazamento de óleo</v>
      </c>
      <c r="F108" s="22" t="str">
        <f aca="false">IF(COUNT(Programação!$AP$5:$AP$1004)&lt;101,"",IF(INDEX(Programação!$G$5:$G$1004,MATCH(101,Programação!$AP$5:$AP$1004,0))="","",INDEX(Programação!$G$5:$G$1004,MATCH(101,Programação!$AP$5:$AP$1004,0))))</f>
        <v>Corretiva</v>
      </c>
      <c r="G108" s="24" t="str">
        <f aca="false">IF(COUNT(Programação!$AP$5:$AP$1004)&lt;101,"",IF(INDEX(Programação!$U$5:$U$1004,MATCH(101,Programação!$AP$5:$AP$1004,0))="","",INDEX(Programação!$U$5:$U$1004,MATCH(101,Programação!$AP$5:$AP$1004,0))))</f>
        <v>podendo ser escorrido das tampas de válvulas</v>
      </c>
      <c r="H108" s="22" t="n">
        <f aca="false">IF(COUNT(Programação!$AP$5:$AP$1004)&lt;101,"",MATCH(101,Programação!$AP$5:$AP$1004,0)+4)</f>
        <v>306</v>
      </c>
    </row>
    <row r="109" customFormat="false" ht="15.75" hidden="false" customHeight="true" outlineLevel="0" collapsed="false">
      <c r="A109" s="22" t="str">
        <f aca="false">IF(COUNT(Programação!$AP$5:$AP$1004)&lt;102,"",IF(INDEX(Programação!$AM$5:$AM$1004,MATCH(102,Programação!$AP$5:$AP$1004,0))="","",INDEX(Programação!$AM$5:$AM$1004,MATCH(102,Programação!$AP$5:$AP$1004,0))))</f>
        <v/>
      </c>
      <c r="B109" s="22" t="str">
        <f aca="false">IF(COUNT(Programação!$AP$5:$AP$1004)&lt;102,"",IF(INDEX(Programação!$C$5:$C$1004,MATCH(102,Programação!$AP$5:$AP$1004,0))="","",INDEX(Programação!$C$5:$C$1004,MATCH(102,Programação!$AP$5:$AP$1004,0))))</f>
        <v>007443</v>
      </c>
      <c r="C109" s="22" t="str">
        <f aca="false">IF(COUNT(Programação!$AP$5:$AP$1004)&lt;102,"",IF(INDEX(Programação!$D$5:$D$1004,MATCH(102,Programação!$AP$5:$AP$1004,0))="","",INDEX(Programação!$D$5:$D$1004,MATCH(102,Programação!$AP$5:$AP$1004,0))))</f>
        <v>F-972</v>
      </c>
      <c r="D109" s="22" t="str">
        <f aca="false">IF(COUNT(Programação!$AP$5:$AP$1004)&lt;102,"",IF(INDEX(Programação!$AN$5:$AN$1004,MATCH(102,Programação!$AP$5:$AP$1004,0))="","",INDEX(Programação!$AN$5:$AN$1004,MATCH(102,Programação!$AP$5:$AP$1004,0))))</f>
        <v>Petro</v>
      </c>
      <c r="E109" s="24" t="str">
        <f aca="false">IF(COUNT(Programação!$AP$5:$AP$1004)&lt;102,"",IF(INDEX(Programação!$F$5:$F$1004,MATCH(102,Programação!$AP$5:$AP$1004,0))="","",INDEX(Programação!$F$5:$F$1004,MATCH(102,Programação!$AP$5:$AP$1004,0))))</f>
        <v>Revestir mangueira de retorno do reservatório</v>
      </c>
      <c r="F109" s="22" t="str">
        <f aca="false">IF(COUNT(Programação!$AP$5:$AP$1004)&lt;102,"",IF(INDEX(Programação!$G$5:$G$1004,MATCH(102,Programação!$AP$5:$AP$1004,0))="","",INDEX(Programação!$G$5:$G$1004,MATCH(102,Programação!$AP$5:$AP$1004,0))))</f>
        <v>Corretiva</v>
      </c>
      <c r="G109" s="24" t="str">
        <f aca="false">IF(COUNT(Programação!$AP$5:$AP$1004)&lt;102,"",IF(INDEX(Programação!$U$5:$U$1004,MATCH(102,Programação!$AP$5:$AP$1004,0))="","",INDEX(Programação!$U$5:$U$1004,MATCH(102,Programação!$AP$5:$AP$1004,0))))</f>
        <v>devido atrito com a cabine</v>
      </c>
      <c r="H109" s="22" t="n">
        <f aca="false">IF(COUNT(Programação!$AP$5:$AP$1004)&lt;102,"",MATCH(102,Programação!$AP$5:$AP$1004,0)+4)</f>
        <v>307</v>
      </c>
    </row>
    <row r="110" customFormat="false" ht="15.75" hidden="false" customHeight="true" outlineLevel="0" collapsed="false">
      <c r="A110" s="22" t="str">
        <f aca="false">IF(COUNT(Programação!$AP$5:$AP$1004)&lt;103,"",IF(INDEX(Programação!$AM$5:$AM$1004,MATCH(103,Programação!$AP$5:$AP$1004,0))="","",INDEX(Programação!$AM$5:$AM$1004,MATCH(103,Programação!$AP$5:$AP$1004,0))))</f>
        <v/>
      </c>
      <c r="B110" s="22" t="str">
        <f aca="false">IF(COUNT(Programação!$AP$5:$AP$1004)&lt;103,"",IF(INDEX(Programação!$C$5:$C$1004,MATCH(103,Programação!$AP$5:$AP$1004,0))="","",INDEX(Programação!$C$5:$C$1004,MATCH(103,Programação!$AP$5:$AP$1004,0))))</f>
        <v>007444</v>
      </c>
      <c r="C110" s="22" t="str">
        <f aca="false">IF(COUNT(Programação!$AP$5:$AP$1004)&lt;103,"",IF(INDEX(Programação!$D$5:$D$1004,MATCH(103,Programação!$AP$5:$AP$1004,0))="","",INDEX(Programação!$D$5:$D$1004,MATCH(103,Programação!$AP$5:$AP$1004,0))))</f>
        <v>F-972</v>
      </c>
      <c r="D110" s="22" t="str">
        <f aca="false">IF(COUNT(Programação!$AP$5:$AP$1004)&lt;103,"",IF(INDEX(Programação!$AN$5:$AN$1004,MATCH(103,Programação!$AP$5:$AP$1004,0))="","",INDEX(Programação!$AN$5:$AN$1004,MATCH(103,Programação!$AP$5:$AP$1004,0))))</f>
        <v>Petro</v>
      </c>
      <c r="E110" s="24" t="str">
        <f aca="false">IF(COUNT(Programação!$AP$5:$AP$1004)&lt;103,"",IF(INDEX(Programação!$F$5:$F$1004,MATCH(103,Programação!$AP$5:$AP$1004,0))="","",INDEX(Programação!$F$5:$F$1004,MATCH(103,Programação!$AP$5:$AP$1004,0))))</f>
        <v>Retirar borracha inferior da cabine</v>
      </c>
      <c r="F110" s="22" t="str">
        <f aca="false">IF(COUNT(Programação!$AP$5:$AP$1004)&lt;103,"",IF(INDEX(Programação!$G$5:$G$1004,MATCH(103,Programação!$AP$5:$AP$1004,0))="","",INDEX(Programação!$G$5:$G$1004,MATCH(103,Programação!$AP$5:$AP$1004,0))))</f>
        <v>Corretiva</v>
      </c>
      <c r="G110" s="24" t="str">
        <f aca="false">IF(COUNT(Programação!$AP$5:$AP$1004)&lt;103,"",IF(INDEX(Programação!$U$5:$U$1004,MATCH(103,Programação!$AP$5:$AP$1004,0))="","",INDEX(Programação!$U$5:$U$1004,MATCH(103,Programação!$AP$5:$AP$1004,0))))</f>
        <v>devido atrito com o reservatório d'água, podendo danificar o mesmo</v>
      </c>
      <c r="H110" s="22" t="n">
        <f aca="false">IF(COUNT(Programação!$AP$5:$AP$1004)&lt;103,"",MATCH(103,Programação!$AP$5:$AP$1004,0)+4)</f>
        <v>308</v>
      </c>
    </row>
    <row r="111" customFormat="false" ht="15.75" hidden="false" customHeight="true" outlineLevel="0" collapsed="false">
      <c r="A111" s="22" t="str">
        <f aca="false">IF(COUNT(Programação!$AP$5:$AP$1004)&lt;104,"",IF(INDEX(Programação!$AM$5:$AM$1004,MATCH(104,Programação!$AP$5:$AP$1004,0))="","",INDEX(Programação!$AM$5:$AM$1004,MATCH(104,Programação!$AP$5:$AP$1004,0))))</f>
        <v/>
      </c>
      <c r="B111" s="22" t="str">
        <f aca="false">IF(COUNT(Programação!$AP$5:$AP$1004)&lt;104,"",IF(INDEX(Programação!$C$5:$C$1004,MATCH(104,Programação!$AP$5:$AP$1004,0))="","",INDEX(Programação!$C$5:$C$1004,MATCH(104,Programação!$AP$5:$AP$1004,0))))</f>
        <v>007445</v>
      </c>
      <c r="C111" s="22" t="str">
        <f aca="false">IF(COUNT(Programação!$AP$5:$AP$1004)&lt;104,"",IF(INDEX(Programação!$D$5:$D$1004,MATCH(104,Programação!$AP$5:$AP$1004,0))="","",INDEX(Programação!$D$5:$D$1004,MATCH(104,Programação!$AP$5:$AP$1004,0))))</f>
        <v>F-972</v>
      </c>
      <c r="D111" s="22" t="str">
        <f aca="false">IF(COUNT(Programação!$AP$5:$AP$1004)&lt;104,"",IF(INDEX(Programação!$AN$5:$AN$1004,MATCH(104,Programação!$AP$5:$AP$1004,0))="","",INDEX(Programação!$AN$5:$AN$1004,MATCH(104,Programação!$AP$5:$AP$1004,0))))</f>
        <v>Petro</v>
      </c>
      <c r="E111" s="24" t="str">
        <f aca="false">IF(COUNT(Programação!$AP$5:$AP$1004)&lt;104,"",IF(INDEX(Programação!$F$5:$F$1004,MATCH(104,Programação!$AP$5:$AP$1004,0))="","",INDEX(Programação!$F$5:$F$1004,MATCH(104,Programação!$AP$5:$AP$1004,0))))</f>
        <v>Realizar lavagem do filtro racor e verificar vazamento</v>
      </c>
      <c r="F111" s="22" t="str">
        <f aca="false">IF(COUNT(Programação!$AP$5:$AP$1004)&lt;104,"",IF(INDEX(Programação!$G$5:$G$1004,MATCH(104,Programação!$AP$5:$AP$1004,0))="","",INDEX(Programação!$G$5:$G$1004,MATCH(104,Programação!$AP$5:$AP$1004,0))))</f>
        <v>Corretiva</v>
      </c>
      <c r="G111" s="24" t="str">
        <f aca="false">IF(COUNT(Programação!$AP$5:$AP$1004)&lt;104,"",IF(INDEX(Programação!$U$5:$U$1004,MATCH(104,Programação!$AP$5:$AP$1004,0))="","",INDEX(Programação!$U$5:$U$1004,MATCH(104,Programação!$AP$5:$AP$1004,0))))</f>
        <v>ou necessidade de substituição do conjunto</v>
      </c>
      <c r="H111" s="22" t="n">
        <f aca="false">IF(COUNT(Programação!$AP$5:$AP$1004)&lt;104,"",MATCH(104,Programação!$AP$5:$AP$1004,0)+4)</f>
        <v>309</v>
      </c>
    </row>
    <row r="112" customFormat="false" ht="15.75" hidden="false" customHeight="true" outlineLevel="0" collapsed="false">
      <c r="A112" s="22" t="str">
        <f aca="false">IF(COUNT(Programação!$AP$5:$AP$1004)&lt;105,"",IF(INDEX(Programação!$AM$5:$AM$1004,MATCH(105,Programação!$AP$5:$AP$1004,0))="","",INDEX(Programação!$AM$5:$AM$1004,MATCH(105,Programação!$AP$5:$AP$1004,0))))</f>
        <v/>
      </c>
      <c r="B112" s="22" t="str">
        <f aca="false">IF(COUNT(Programação!$AP$5:$AP$1004)&lt;105,"",IF(INDEX(Programação!$C$5:$C$1004,MATCH(105,Programação!$AP$5:$AP$1004,0))="","",INDEX(Programação!$C$5:$C$1004,MATCH(105,Programação!$AP$5:$AP$1004,0))))</f>
        <v>007446</v>
      </c>
      <c r="C112" s="22" t="str">
        <f aca="false">IF(COUNT(Programação!$AP$5:$AP$1004)&lt;105,"",IF(INDEX(Programação!$D$5:$D$1004,MATCH(105,Programação!$AP$5:$AP$1004,0))="","",INDEX(Programação!$D$5:$D$1004,MATCH(105,Programação!$AP$5:$AP$1004,0))))</f>
        <v>F-972</v>
      </c>
      <c r="D112" s="22" t="str">
        <f aca="false">IF(COUNT(Programação!$AP$5:$AP$1004)&lt;105,"",IF(INDEX(Programação!$AN$5:$AN$1004,MATCH(105,Programação!$AP$5:$AP$1004,0))="","",INDEX(Programação!$AN$5:$AN$1004,MATCH(105,Programação!$AP$5:$AP$1004,0))))</f>
        <v>Petro</v>
      </c>
      <c r="E112" s="24" t="str">
        <f aca="false">IF(COUNT(Programação!$AP$5:$AP$1004)&lt;105,"",IF(INDEX(Programação!$F$5:$F$1004,MATCH(105,Programação!$AP$5:$AP$1004,0))="","",INDEX(Programação!$F$5:$F$1004,MATCH(105,Programação!$AP$5:$AP$1004,0))))</f>
        <v>Realizar lavagem da parte inferior do reservatório de óleo hidráulico e da caixa de direção</v>
      </c>
      <c r="F112" s="22" t="str">
        <f aca="false">IF(COUNT(Programação!$AP$5:$AP$1004)&lt;105,"",IF(INDEX(Programação!$G$5:$G$1004,MATCH(105,Programação!$AP$5:$AP$1004,0))="","",INDEX(Programação!$G$5:$G$1004,MATCH(105,Programação!$AP$5:$AP$1004,0))))</f>
        <v>Corretiva</v>
      </c>
      <c r="G112" s="24" t="str">
        <f aca="false">IF(COUNT(Programação!$AP$5:$AP$1004)&lt;105,"",IF(INDEX(Programação!$U$5:$U$1004,MATCH(105,Programação!$AP$5:$AP$1004,0))="","",INDEX(Programação!$U$5:$U$1004,MATCH(105,Programação!$AP$5:$AP$1004,0))))</f>
        <v>para verificação de vazamento</v>
      </c>
      <c r="H112" s="22" t="n">
        <f aca="false">IF(COUNT(Programação!$AP$5:$AP$1004)&lt;105,"",MATCH(105,Programação!$AP$5:$AP$1004,0)+4)</f>
        <v>310</v>
      </c>
    </row>
    <row r="113" customFormat="false" ht="15.75" hidden="false" customHeight="true" outlineLevel="0" collapsed="false">
      <c r="A113" s="22" t="str">
        <f aca="false">IF(COUNT(Programação!$AP$5:$AP$1004)&lt;106,"",IF(INDEX(Programação!$AM$5:$AM$1004,MATCH(106,Programação!$AP$5:$AP$1004,0))="","",INDEX(Programação!$AM$5:$AM$1004,MATCH(106,Programação!$AP$5:$AP$1004,0))))</f>
        <v/>
      </c>
      <c r="B113" s="22" t="str">
        <f aca="false">IF(COUNT(Programação!$AP$5:$AP$1004)&lt;106,"",IF(INDEX(Programação!$C$5:$C$1004,MATCH(106,Programação!$AP$5:$AP$1004,0))="","",INDEX(Programação!$C$5:$C$1004,MATCH(106,Programação!$AP$5:$AP$1004,0))))</f>
        <v>007447</v>
      </c>
      <c r="C113" s="22" t="str">
        <f aca="false">IF(COUNT(Programação!$AP$5:$AP$1004)&lt;106,"",IF(INDEX(Programação!$D$5:$D$1004,MATCH(106,Programação!$AP$5:$AP$1004,0))="","",INDEX(Programação!$D$5:$D$1004,MATCH(106,Programação!$AP$5:$AP$1004,0))))</f>
        <v>F-972</v>
      </c>
      <c r="D113" s="22" t="str">
        <f aca="false">IF(COUNT(Programação!$AP$5:$AP$1004)&lt;106,"",IF(INDEX(Programação!$AN$5:$AN$1004,MATCH(106,Programação!$AP$5:$AP$1004,0))="","",INDEX(Programação!$AN$5:$AN$1004,MATCH(106,Programação!$AP$5:$AP$1004,0))))</f>
        <v>Petro</v>
      </c>
      <c r="E113" s="24" t="str">
        <f aca="false">IF(COUNT(Programação!$AP$5:$AP$1004)&lt;106,"",IF(INDEX(Programação!$F$5:$F$1004,MATCH(106,Programação!$AP$5:$AP$1004,0))="","",INDEX(Programação!$F$5:$F$1004,MATCH(106,Programação!$AP$5:$AP$1004,0))))</f>
        <v>Realizar lavagem no diferencial do terceiro eixo</v>
      </c>
      <c r="F113" s="22" t="str">
        <f aca="false">IF(COUNT(Programação!$AP$5:$AP$1004)&lt;106,"",IF(INDEX(Programação!$G$5:$G$1004,MATCH(106,Programação!$AP$5:$AP$1004,0))="","",INDEX(Programação!$G$5:$G$1004,MATCH(106,Programação!$AP$5:$AP$1004,0))))</f>
        <v>Corretiva</v>
      </c>
      <c r="G113" s="24" t="str">
        <f aca="false">IF(COUNT(Programação!$AP$5:$AP$1004)&lt;106,"",IF(INDEX(Programação!$U$5:$U$1004,MATCH(106,Programação!$AP$5:$AP$1004,0))="","",INDEX(Programação!$U$5:$U$1004,MATCH(106,Programação!$AP$5:$AP$1004,0))))</f>
        <v>para verificação de vazamento na vedação do diferencial ou retentor</v>
      </c>
      <c r="H113" s="22" t="n">
        <f aca="false">IF(COUNT(Programação!$AP$5:$AP$1004)&lt;106,"",MATCH(106,Programação!$AP$5:$AP$1004,0)+4)</f>
        <v>311</v>
      </c>
    </row>
    <row r="114" customFormat="false" ht="15.75" hidden="false" customHeight="true" outlineLevel="0" collapsed="false">
      <c r="A114" s="22" t="str">
        <f aca="false">IF(COUNT(Programação!$AP$5:$AP$1004)&lt;107,"",IF(INDEX(Programação!$AM$5:$AM$1004,MATCH(107,Programação!$AP$5:$AP$1004,0))="","",INDEX(Programação!$AM$5:$AM$1004,MATCH(107,Programação!$AP$5:$AP$1004,0))))</f>
        <v/>
      </c>
      <c r="B114" s="22" t="str">
        <f aca="false">IF(COUNT(Programação!$AP$5:$AP$1004)&lt;107,"",IF(INDEX(Programação!$C$5:$C$1004,MATCH(107,Programação!$AP$5:$AP$1004,0))="","",INDEX(Programação!$C$5:$C$1004,MATCH(107,Programação!$AP$5:$AP$1004,0))))</f>
        <v>007448</v>
      </c>
      <c r="C114" s="22" t="str">
        <f aca="false">IF(COUNT(Programação!$AP$5:$AP$1004)&lt;107,"",IF(INDEX(Programação!$D$5:$D$1004,MATCH(107,Programação!$AP$5:$AP$1004,0))="","",INDEX(Programação!$D$5:$D$1004,MATCH(107,Programação!$AP$5:$AP$1004,0))))</f>
        <v>F-972</v>
      </c>
      <c r="D114" s="22" t="str">
        <f aca="false">IF(COUNT(Programação!$AP$5:$AP$1004)&lt;107,"",IF(INDEX(Programação!$AN$5:$AN$1004,MATCH(107,Programação!$AP$5:$AP$1004,0))="","",INDEX(Programação!$AN$5:$AN$1004,MATCH(107,Programação!$AP$5:$AP$1004,0))))</f>
        <v>Petro</v>
      </c>
      <c r="E114" s="24" t="str">
        <f aca="false">IF(COUNT(Programação!$AP$5:$AP$1004)&lt;107,"",IF(INDEX(Programação!$F$5:$F$1004,MATCH(107,Programação!$AP$5:$AP$1004,0))="","",INDEX(Programação!$F$5:$F$1004,MATCH(107,Programação!$AP$5:$AP$1004,0))))</f>
        <v>Repor lanternas traseiras e placa de trânsito</v>
      </c>
      <c r="F114" s="22" t="str">
        <f aca="false">IF(COUNT(Programação!$AP$5:$AP$1004)&lt;107,"",IF(INDEX(Programação!$G$5:$G$1004,MATCH(107,Programação!$AP$5:$AP$1004,0))="","",INDEX(Programação!$G$5:$G$1004,MATCH(107,Programação!$AP$5:$AP$1004,0))))</f>
        <v>Corretiva</v>
      </c>
      <c r="G114" s="24" t="str">
        <f aca="false">IF(COUNT(Programação!$AP$5:$AP$1004)&lt;107,"",IF(INDEX(Programação!$U$5:$U$1004,MATCH(107,Programação!$AP$5:$AP$1004,0))="","",INDEX(Programação!$U$5:$U$1004,MATCH(107,Programação!$AP$5:$AP$1004,0))))</f>
        <v/>
      </c>
      <c r="H114" s="22" t="n">
        <f aca="false">IF(COUNT(Programação!$AP$5:$AP$1004)&lt;107,"",MATCH(107,Programação!$AP$5:$AP$1004,0)+4)</f>
        <v>312</v>
      </c>
    </row>
    <row r="115" customFormat="false" ht="15.75" hidden="false" customHeight="true" outlineLevel="0" collapsed="false">
      <c r="A115" s="22" t="str">
        <f aca="false">IF(COUNT(Programação!$AP$5:$AP$1004)&lt;108,"",IF(INDEX(Programação!$AM$5:$AM$1004,MATCH(108,Programação!$AP$5:$AP$1004,0))="","",INDEX(Programação!$AM$5:$AM$1004,MATCH(108,Programação!$AP$5:$AP$1004,0))))</f>
        <v/>
      </c>
      <c r="B115" s="22" t="str">
        <f aca="false">IF(COUNT(Programação!$AP$5:$AP$1004)&lt;108,"",IF(INDEX(Programação!$C$5:$C$1004,MATCH(108,Programação!$AP$5:$AP$1004,0))="","",INDEX(Programação!$C$5:$C$1004,MATCH(108,Programação!$AP$5:$AP$1004,0))))</f>
        <v>007449</v>
      </c>
      <c r="C115" s="22" t="str">
        <f aca="false">IF(COUNT(Programação!$AP$5:$AP$1004)&lt;108,"",IF(INDEX(Programação!$D$5:$D$1004,MATCH(108,Programação!$AP$5:$AP$1004,0))="","",INDEX(Programação!$D$5:$D$1004,MATCH(108,Programação!$AP$5:$AP$1004,0))))</f>
        <v>F-972</v>
      </c>
      <c r="D115" s="22" t="str">
        <f aca="false">IF(COUNT(Programação!$AP$5:$AP$1004)&lt;108,"",IF(INDEX(Programação!$AN$5:$AN$1004,MATCH(108,Programação!$AP$5:$AP$1004,0))="","",INDEX(Programação!$AN$5:$AN$1004,MATCH(108,Programação!$AP$5:$AP$1004,0))))</f>
        <v>Petro</v>
      </c>
      <c r="E115" s="24" t="str">
        <f aca="false">IF(COUNT(Programação!$AP$5:$AP$1004)&lt;108,"",IF(INDEX(Programação!$F$5:$F$1004,MATCH(108,Programação!$AP$5:$AP$1004,0))="","",INDEX(Programação!$F$5:$F$1004,MATCH(108,Programação!$AP$5:$AP$1004,0))))</f>
        <v>Corrigir iluminação corujinha do teto LD</v>
      </c>
      <c r="F115" s="22" t="str">
        <f aca="false">IF(COUNT(Programação!$AP$5:$AP$1004)&lt;108,"",IF(INDEX(Programação!$G$5:$G$1004,MATCH(108,Programação!$AP$5:$AP$1004,0))="","",INDEX(Programação!$G$5:$G$1004,MATCH(108,Programação!$AP$5:$AP$1004,0))))</f>
        <v>Corretiva</v>
      </c>
      <c r="G115" s="24" t="str">
        <f aca="false">IF(COUNT(Programação!$AP$5:$AP$1004)&lt;108,"",IF(INDEX(Programação!$U$5:$U$1004,MATCH(108,Programação!$AP$5:$AP$1004,0))="","",INDEX(Programação!$U$5:$U$1004,MATCH(108,Programação!$AP$5:$AP$1004,0))))</f>
        <v/>
      </c>
      <c r="H115" s="22" t="n">
        <f aca="false">IF(COUNT(Programação!$AP$5:$AP$1004)&lt;108,"",MATCH(108,Programação!$AP$5:$AP$1004,0)+4)</f>
        <v>313</v>
      </c>
    </row>
    <row r="116" customFormat="false" ht="15.75" hidden="false" customHeight="true" outlineLevel="0" collapsed="false">
      <c r="A116" s="22" t="str">
        <f aca="false">IF(COUNT(Programação!$AP$5:$AP$1004)&lt;109,"",IF(INDEX(Programação!$AM$5:$AM$1004,MATCH(109,Programação!$AP$5:$AP$1004,0))="","",INDEX(Programação!$AM$5:$AM$1004,MATCH(109,Programação!$AP$5:$AP$1004,0))))</f>
        <v/>
      </c>
      <c r="B116" s="22" t="str">
        <f aca="false">IF(COUNT(Programação!$AP$5:$AP$1004)&lt;109,"",IF(INDEX(Programação!$C$5:$C$1004,MATCH(109,Programação!$AP$5:$AP$1004,0))="","",INDEX(Programação!$C$5:$C$1004,MATCH(109,Programação!$AP$5:$AP$1004,0))))</f>
        <v>007450</v>
      </c>
      <c r="C116" s="22" t="str">
        <f aca="false">IF(COUNT(Programação!$AP$5:$AP$1004)&lt;109,"",IF(INDEX(Programação!$D$5:$D$1004,MATCH(109,Programação!$AP$5:$AP$1004,0))="","",INDEX(Programação!$D$5:$D$1004,MATCH(109,Programação!$AP$5:$AP$1004,0))))</f>
        <v>F-972</v>
      </c>
      <c r="D116" s="22" t="str">
        <f aca="false">IF(COUNT(Programação!$AP$5:$AP$1004)&lt;109,"",IF(INDEX(Programação!$AN$5:$AN$1004,MATCH(109,Programação!$AP$5:$AP$1004,0))="","",INDEX(Programação!$AN$5:$AN$1004,MATCH(109,Programação!$AP$5:$AP$1004,0))))</f>
        <v>Petro</v>
      </c>
      <c r="E116" s="24" t="str">
        <f aca="false">IF(COUNT(Programação!$AP$5:$AP$1004)&lt;109,"",IF(INDEX(Programação!$F$5:$F$1004,MATCH(109,Programação!$AP$5:$AP$1004,0))="","",INDEX(Programação!$F$5:$F$1004,MATCH(109,Programação!$AP$5:$AP$1004,0))))</f>
        <v>Corrigir iluminação da meia luz dos faróis</v>
      </c>
      <c r="F116" s="22" t="str">
        <f aca="false">IF(COUNT(Programação!$AP$5:$AP$1004)&lt;109,"",IF(INDEX(Programação!$G$5:$G$1004,MATCH(109,Programação!$AP$5:$AP$1004,0))="","",INDEX(Programação!$G$5:$G$1004,MATCH(109,Programação!$AP$5:$AP$1004,0))))</f>
        <v>Corretiva</v>
      </c>
      <c r="G116" s="24" t="str">
        <f aca="false">IF(COUNT(Programação!$AP$5:$AP$1004)&lt;109,"",IF(INDEX(Programação!$U$5:$U$1004,MATCH(109,Programação!$AP$5:$AP$1004,0))="","",INDEX(Programação!$U$5:$U$1004,MATCH(109,Programação!$AP$5:$AP$1004,0))))</f>
        <v/>
      </c>
      <c r="H116" s="22" t="n">
        <f aca="false">IF(COUNT(Programação!$AP$5:$AP$1004)&lt;109,"",MATCH(109,Programação!$AP$5:$AP$1004,0)+4)</f>
        <v>314</v>
      </c>
    </row>
    <row r="117" customFormat="false" ht="15.75" hidden="false" customHeight="true" outlineLevel="0" collapsed="false">
      <c r="A117" s="22" t="str">
        <f aca="false">IF(COUNT(Programação!$AP$5:$AP$1004)&lt;110,"",IF(INDEX(Programação!$AM$5:$AM$1004,MATCH(110,Programação!$AP$5:$AP$1004,0))="","",INDEX(Programação!$AM$5:$AM$1004,MATCH(110,Programação!$AP$5:$AP$1004,0))))</f>
        <v/>
      </c>
      <c r="B117" s="22" t="str">
        <f aca="false">IF(COUNT(Programação!$AP$5:$AP$1004)&lt;110,"",IF(INDEX(Programação!$C$5:$C$1004,MATCH(110,Programação!$AP$5:$AP$1004,0))="","",INDEX(Programação!$C$5:$C$1004,MATCH(110,Programação!$AP$5:$AP$1004,0))))</f>
        <v>007451</v>
      </c>
      <c r="C117" s="22" t="str">
        <f aca="false">IF(COUNT(Programação!$AP$5:$AP$1004)&lt;110,"",IF(INDEX(Programação!$D$5:$D$1004,MATCH(110,Programação!$AP$5:$AP$1004,0))="","",INDEX(Programação!$D$5:$D$1004,MATCH(110,Programação!$AP$5:$AP$1004,0))))</f>
        <v>F-972</v>
      </c>
      <c r="D117" s="22" t="str">
        <f aca="false">IF(COUNT(Programação!$AP$5:$AP$1004)&lt;110,"",IF(INDEX(Programação!$AN$5:$AN$1004,MATCH(110,Programação!$AP$5:$AP$1004,0))="","",INDEX(Programação!$AN$5:$AN$1004,MATCH(110,Programação!$AP$5:$AP$1004,0))))</f>
        <v>Petro</v>
      </c>
      <c r="E117" s="24" t="str">
        <f aca="false">IF(COUNT(Programação!$AP$5:$AP$1004)&lt;110,"",IF(INDEX(Programação!$F$5:$F$1004,MATCH(110,Programação!$AP$5:$AP$1004,0))="","",INDEX(Programação!$F$5:$F$1004,MATCH(110,Programação!$AP$5:$AP$1004,0))))</f>
        <v>Fixar ou retirar chicote elétrico solto na dianteira LD</v>
      </c>
      <c r="F117" s="22" t="str">
        <f aca="false">IF(COUNT(Programação!$AP$5:$AP$1004)&lt;110,"",IF(INDEX(Programação!$G$5:$G$1004,MATCH(110,Programação!$AP$5:$AP$1004,0))="","",INDEX(Programação!$G$5:$G$1004,MATCH(110,Programação!$AP$5:$AP$1004,0))))</f>
        <v>Corretiva</v>
      </c>
      <c r="G117" s="24" t="str">
        <f aca="false">IF(COUNT(Programação!$AP$5:$AP$1004)&lt;110,"",IF(INDEX(Programação!$U$5:$U$1004,MATCH(110,Programação!$AP$5:$AP$1004,0))="","",INDEX(Programação!$U$5:$U$1004,MATCH(110,Programação!$AP$5:$AP$1004,0))))</f>
        <v/>
      </c>
      <c r="H117" s="22" t="n">
        <f aca="false">IF(COUNT(Programação!$AP$5:$AP$1004)&lt;110,"",MATCH(110,Programação!$AP$5:$AP$1004,0)+4)</f>
        <v>315</v>
      </c>
    </row>
    <row r="118" customFormat="false" ht="15.75" hidden="false" customHeight="true" outlineLevel="0" collapsed="false">
      <c r="A118" s="22" t="str">
        <f aca="false">IF(COUNT(Programação!$AP$5:$AP$1004)&lt;111,"",IF(INDEX(Programação!$AM$5:$AM$1004,MATCH(111,Programação!$AP$5:$AP$1004,0))="","",INDEX(Programação!$AM$5:$AM$1004,MATCH(111,Programação!$AP$5:$AP$1004,0))))</f>
        <v/>
      </c>
      <c r="B118" s="22" t="str">
        <f aca="false">IF(COUNT(Programação!$AP$5:$AP$1004)&lt;111,"",IF(INDEX(Programação!$C$5:$C$1004,MATCH(111,Programação!$AP$5:$AP$1004,0))="","",INDEX(Programação!$C$5:$C$1004,MATCH(111,Programação!$AP$5:$AP$1004,0))))</f>
        <v>007452</v>
      </c>
      <c r="C118" s="22" t="str">
        <f aca="false">IF(COUNT(Programação!$AP$5:$AP$1004)&lt;111,"",IF(INDEX(Programação!$D$5:$D$1004,MATCH(111,Programação!$AP$5:$AP$1004,0))="","",INDEX(Programação!$D$5:$D$1004,MATCH(111,Programação!$AP$5:$AP$1004,0))))</f>
        <v>F-972</v>
      </c>
      <c r="D118" s="22" t="str">
        <f aca="false">IF(COUNT(Programação!$AP$5:$AP$1004)&lt;111,"",IF(INDEX(Programação!$AN$5:$AN$1004,MATCH(111,Programação!$AP$5:$AP$1004,0))="","",INDEX(Programação!$AN$5:$AN$1004,MATCH(111,Programação!$AP$5:$AP$1004,0))))</f>
        <v>Petro</v>
      </c>
      <c r="E118" s="24" t="str">
        <f aca="false">IF(COUNT(Programação!$AP$5:$AP$1004)&lt;111,"",IF(INDEX(Programação!$F$5:$F$1004,MATCH(111,Programação!$AP$5:$AP$1004,0))="","",INDEX(Programação!$F$5:$F$1004,MATCH(111,Programação!$AP$5:$AP$1004,0))))</f>
        <v>Fixar lanterna do pisca dianteiro LD e corrigir iluminação</v>
      </c>
      <c r="F118" s="22" t="str">
        <f aca="false">IF(COUNT(Programação!$AP$5:$AP$1004)&lt;111,"",IF(INDEX(Programação!$G$5:$G$1004,MATCH(111,Programação!$AP$5:$AP$1004,0))="","",INDEX(Programação!$G$5:$G$1004,MATCH(111,Programação!$AP$5:$AP$1004,0))))</f>
        <v>Corretiva</v>
      </c>
      <c r="G118" s="24" t="str">
        <f aca="false">IF(COUNT(Programação!$AP$5:$AP$1004)&lt;111,"",IF(INDEX(Programação!$U$5:$U$1004,MATCH(111,Programação!$AP$5:$AP$1004,0))="","",INDEX(Programação!$U$5:$U$1004,MATCH(111,Programação!$AP$5:$AP$1004,0))))</f>
        <v/>
      </c>
      <c r="H118" s="22" t="n">
        <f aca="false">IF(COUNT(Programação!$AP$5:$AP$1004)&lt;111,"",MATCH(111,Programação!$AP$5:$AP$1004,0)+4)</f>
        <v>316</v>
      </c>
    </row>
    <row r="119" customFormat="false" ht="15.75" hidden="false" customHeight="true" outlineLevel="0" collapsed="false">
      <c r="A119" s="22" t="str">
        <f aca="false">IF(COUNT(Programação!$AP$5:$AP$1004)&lt;112,"",IF(INDEX(Programação!$AM$5:$AM$1004,MATCH(112,Programação!$AP$5:$AP$1004,0))="","",INDEX(Programação!$AM$5:$AM$1004,MATCH(112,Programação!$AP$5:$AP$1004,0))))</f>
        <v/>
      </c>
      <c r="B119" s="22" t="str">
        <f aca="false">IF(COUNT(Programação!$AP$5:$AP$1004)&lt;112,"",IF(INDEX(Programação!$C$5:$C$1004,MATCH(112,Programação!$AP$5:$AP$1004,0))="","",INDEX(Programação!$C$5:$C$1004,MATCH(112,Programação!$AP$5:$AP$1004,0))))</f>
        <v>007453</v>
      </c>
      <c r="C119" s="22" t="str">
        <f aca="false">IF(COUNT(Programação!$AP$5:$AP$1004)&lt;112,"",IF(INDEX(Programação!$D$5:$D$1004,MATCH(112,Programação!$AP$5:$AP$1004,0))="","",INDEX(Programação!$D$5:$D$1004,MATCH(112,Programação!$AP$5:$AP$1004,0))))</f>
        <v>F-972</v>
      </c>
      <c r="D119" s="22" t="str">
        <f aca="false">IF(COUNT(Programação!$AP$5:$AP$1004)&lt;112,"",IF(INDEX(Programação!$AN$5:$AN$1004,MATCH(112,Programação!$AP$5:$AP$1004,0))="","",INDEX(Programação!$AN$5:$AN$1004,MATCH(112,Programação!$AP$5:$AP$1004,0))))</f>
        <v>Petro</v>
      </c>
      <c r="E119" s="24" t="str">
        <f aca="false">IF(COUNT(Programação!$AP$5:$AP$1004)&lt;112,"",IF(INDEX(Programação!$F$5:$F$1004,MATCH(112,Programação!$AP$5:$AP$1004,0))="","",INDEX(Programação!$F$5:$F$1004,MATCH(112,Programação!$AP$5:$AP$1004,0))))</f>
        <v>Fixar tubo de enchimento de óleo</v>
      </c>
      <c r="F119" s="22" t="str">
        <f aca="false">IF(COUNT(Programação!$AP$5:$AP$1004)&lt;112,"",IF(INDEX(Programação!$G$5:$G$1004,MATCH(112,Programação!$AP$5:$AP$1004,0))="","",INDEX(Programação!$G$5:$G$1004,MATCH(112,Programação!$AP$5:$AP$1004,0))))</f>
        <v>Corretiva</v>
      </c>
      <c r="G119" s="24" t="str">
        <f aca="false">IF(COUNT(Programação!$AP$5:$AP$1004)&lt;112,"",IF(INDEX(Programação!$U$5:$U$1004,MATCH(112,Programação!$AP$5:$AP$1004,0))="","",INDEX(Programação!$U$5:$U$1004,MATCH(112,Programação!$AP$5:$AP$1004,0))))</f>
        <v>evitando danificar com atrito da ventoinha</v>
      </c>
      <c r="H119" s="22" t="n">
        <f aca="false">IF(COUNT(Programação!$AP$5:$AP$1004)&lt;112,"",MATCH(112,Programação!$AP$5:$AP$1004,0)+4)</f>
        <v>317</v>
      </c>
    </row>
    <row r="120" customFormat="false" ht="15.75" hidden="false" customHeight="true" outlineLevel="0" collapsed="false">
      <c r="A120" s="22" t="str">
        <f aca="false">IF(COUNT(Programação!$AP$5:$AP$1004)&lt;113,"",IF(INDEX(Programação!$AM$5:$AM$1004,MATCH(113,Programação!$AP$5:$AP$1004,0))="","",INDEX(Programação!$AM$5:$AM$1004,MATCH(113,Programação!$AP$5:$AP$1004,0))))</f>
        <v/>
      </c>
      <c r="B120" s="22" t="str">
        <f aca="false">IF(COUNT(Programação!$AP$5:$AP$1004)&lt;113,"",IF(INDEX(Programação!$C$5:$C$1004,MATCH(113,Programação!$AP$5:$AP$1004,0))="","",INDEX(Programação!$C$5:$C$1004,MATCH(113,Programação!$AP$5:$AP$1004,0))))</f>
        <v>007454</v>
      </c>
      <c r="C120" s="22" t="str">
        <f aca="false">IF(COUNT(Programação!$AP$5:$AP$1004)&lt;113,"",IF(INDEX(Programação!$D$5:$D$1004,MATCH(113,Programação!$AP$5:$AP$1004,0))="","",INDEX(Programação!$D$5:$D$1004,MATCH(113,Programação!$AP$5:$AP$1004,0))))</f>
        <v>F-972</v>
      </c>
      <c r="D120" s="22" t="str">
        <f aca="false">IF(COUNT(Programação!$AP$5:$AP$1004)&lt;113,"",IF(INDEX(Programação!$AN$5:$AN$1004,MATCH(113,Programação!$AP$5:$AP$1004,0))="","",INDEX(Programação!$AN$5:$AN$1004,MATCH(113,Programação!$AP$5:$AP$1004,0))))</f>
        <v>Petro</v>
      </c>
      <c r="E120" s="24" t="str">
        <f aca="false">IF(COUNT(Programação!$AP$5:$AP$1004)&lt;113,"",IF(INDEX(Programação!$F$5:$F$1004,MATCH(113,Programação!$AP$5:$AP$1004,0))="","",INDEX(Programação!$F$5:$F$1004,MATCH(113,Programação!$AP$5:$AP$1004,0))))</f>
        <v>Fixar retrovisores folgados LD e LE</v>
      </c>
      <c r="F120" s="22" t="str">
        <f aca="false">IF(COUNT(Programação!$AP$5:$AP$1004)&lt;113,"",IF(INDEX(Programação!$G$5:$G$1004,MATCH(113,Programação!$AP$5:$AP$1004,0))="","",INDEX(Programação!$G$5:$G$1004,MATCH(113,Programação!$AP$5:$AP$1004,0))))</f>
        <v>Corretiva</v>
      </c>
      <c r="G120" s="24" t="str">
        <f aca="false">IF(COUNT(Programação!$AP$5:$AP$1004)&lt;113,"",IF(INDEX(Programação!$U$5:$U$1004,MATCH(113,Programação!$AP$5:$AP$1004,0))="","",INDEX(Programação!$U$5:$U$1004,MATCH(113,Programação!$AP$5:$AP$1004,0))))</f>
        <v/>
      </c>
      <c r="H120" s="22" t="n">
        <f aca="false">IF(COUNT(Programação!$AP$5:$AP$1004)&lt;113,"",MATCH(113,Programação!$AP$5:$AP$1004,0)+4)</f>
        <v>318</v>
      </c>
    </row>
    <row r="121" customFormat="false" ht="15.75" hidden="false" customHeight="true" outlineLevel="0" collapsed="false">
      <c r="A121" s="22" t="str">
        <f aca="false">IF(COUNT(Programação!$AP$5:$AP$1004)&lt;114,"",IF(INDEX(Programação!$AM$5:$AM$1004,MATCH(114,Programação!$AP$5:$AP$1004,0))="","",INDEX(Programação!$AM$5:$AM$1004,MATCH(114,Programação!$AP$5:$AP$1004,0))))</f>
        <v/>
      </c>
      <c r="B121" s="22" t="str">
        <f aca="false">IF(COUNT(Programação!$AP$5:$AP$1004)&lt;114,"",IF(INDEX(Programação!$C$5:$C$1004,MATCH(114,Programação!$AP$5:$AP$1004,0))="","",INDEX(Programação!$C$5:$C$1004,MATCH(114,Programação!$AP$5:$AP$1004,0))))</f>
        <v>007455</v>
      </c>
      <c r="C121" s="22" t="str">
        <f aca="false">IF(COUNT(Programação!$AP$5:$AP$1004)&lt;114,"",IF(INDEX(Programação!$D$5:$D$1004,MATCH(114,Programação!$AP$5:$AP$1004,0))="","",INDEX(Programação!$D$5:$D$1004,MATCH(114,Programação!$AP$5:$AP$1004,0))))</f>
        <v>F-972</v>
      </c>
      <c r="D121" s="22" t="str">
        <f aca="false">IF(COUNT(Programação!$AP$5:$AP$1004)&lt;114,"",IF(INDEX(Programação!$AN$5:$AN$1004,MATCH(114,Programação!$AP$5:$AP$1004,0))="","",INDEX(Programação!$AN$5:$AN$1004,MATCH(114,Programação!$AP$5:$AP$1004,0))))</f>
        <v>Petro</v>
      </c>
      <c r="E121" s="24" t="str">
        <f aca="false">IF(COUNT(Programação!$AP$5:$AP$1004)&lt;114,"",IF(INDEX(Programação!$F$5:$F$1004,MATCH(114,Programação!$AP$5:$AP$1004,0))="","",INDEX(Programação!$F$5:$F$1004,MATCH(114,Programação!$AP$5:$AP$1004,0))))</f>
        <v>Fixar paralama traseiro LE</v>
      </c>
      <c r="F121" s="22" t="str">
        <f aca="false">IF(COUNT(Programação!$AP$5:$AP$1004)&lt;114,"",IF(INDEX(Programação!$G$5:$G$1004,MATCH(114,Programação!$AP$5:$AP$1004,0))="","",INDEX(Programação!$G$5:$G$1004,MATCH(114,Programação!$AP$5:$AP$1004,0))))</f>
        <v>Corretiva</v>
      </c>
      <c r="G121" s="24" t="str">
        <f aca="false">IF(COUNT(Programação!$AP$5:$AP$1004)&lt;114,"",IF(INDEX(Programação!$U$5:$U$1004,MATCH(114,Programação!$AP$5:$AP$1004,0))="","",INDEX(Programação!$U$5:$U$1004,MATCH(114,Programação!$AP$5:$AP$1004,0))))</f>
        <v/>
      </c>
      <c r="H121" s="22" t="n">
        <f aca="false">IF(COUNT(Programação!$AP$5:$AP$1004)&lt;114,"",MATCH(114,Programação!$AP$5:$AP$1004,0)+4)</f>
        <v>319</v>
      </c>
    </row>
    <row r="122" customFormat="false" ht="15.75" hidden="false" customHeight="true" outlineLevel="0" collapsed="false">
      <c r="A122" s="22" t="str">
        <f aca="false">IF(COUNT(Programação!$AP$5:$AP$1004)&lt;115,"",IF(INDEX(Programação!$AM$5:$AM$1004,MATCH(115,Programação!$AP$5:$AP$1004,0))="","",INDEX(Programação!$AM$5:$AM$1004,MATCH(115,Programação!$AP$5:$AP$1004,0))))</f>
        <v/>
      </c>
      <c r="B122" s="22" t="str">
        <f aca="false">IF(COUNT(Programação!$AP$5:$AP$1004)&lt;115,"",IF(INDEX(Programação!$C$5:$C$1004,MATCH(115,Programação!$AP$5:$AP$1004,0))="","",INDEX(Programação!$C$5:$C$1004,MATCH(115,Programação!$AP$5:$AP$1004,0))))</f>
        <v>007456</v>
      </c>
      <c r="C122" s="22" t="str">
        <f aca="false">IF(COUNT(Programação!$AP$5:$AP$1004)&lt;115,"",IF(INDEX(Programação!$D$5:$D$1004,MATCH(115,Programação!$AP$5:$AP$1004,0))="","",INDEX(Programação!$D$5:$D$1004,MATCH(115,Programação!$AP$5:$AP$1004,0))))</f>
        <v>F-972</v>
      </c>
      <c r="D122" s="22" t="str">
        <f aca="false">IF(COUNT(Programação!$AP$5:$AP$1004)&lt;115,"",IF(INDEX(Programação!$AN$5:$AN$1004,MATCH(115,Programação!$AP$5:$AP$1004,0))="","",INDEX(Programação!$AN$5:$AN$1004,MATCH(115,Programação!$AP$5:$AP$1004,0))))</f>
        <v>Petro</v>
      </c>
      <c r="E122" s="24" t="str">
        <f aca="false">IF(COUNT(Programação!$AP$5:$AP$1004)&lt;115,"",IF(INDEX(Programação!$F$5:$F$1004,MATCH(115,Programação!$AP$5:$AP$1004,0))="","",INDEX(Programação!$F$5:$F$1004,MATCH(115,Programação!$AP$5:$AP$1004,0))))</f>
        <v>Fixar tampa frontal, repor parafusos</v>
      </c>
      <c r="F122" s="22" t="str">
        <f aca="false">IF(COUNT(Programação!$AP$5:$AP$1004)&lt;115,"",IF(INDEX(Programação!$G$5:$G$1004,MATCH(115,Programação!$AP$5:$AP$1004,0))="","",INDEX(Programação!$G$5:$G$1004,MATCH(115,Programação!$AP$5:$AP$1004,0))))</f>
        <v>Corretiva</v>
      </c>
      <c r="G122" s="24" t="str">
        <f aca="false">IF(COUNT(Programação!$AP$5:$AP$1004)&lt;115,"",IF(INDEX(Programação!$U$5:$U$1004,MATCH(115,Programação!$AP$5:$AP$1004,0))="","",INDEX(Programação!$U$5:$U$1004,MATCH(115,Programação!$AP$5:$AP$1004,0))))</f>
        <v/>
      </c>
      <c r="H122" s="22" t="n">
        <f aca="false">IF(COUNT(Programação!$AP$5:$AP$1004)&lt;115,"",MATCH(115,Programação!$AP$5:$AP$1004,0)+4)</f>
        <v>320</v>
      </c>
    </row>
    <row r="123" customFormat="false" ht="15.75" hidden="false" customHeight="true" outlineLevel="0" collapsed="false">
      <c r="A123" s="22" t="str">
        <f aca="false">IF(COUNT(Programação!$AP$5:$AP$1004)&lt;116,"",IF(INDEX(Programação!$AM$5:$AM$1004,MATCH(116,Programação!$AP$5:$AP$1004,0))="","",INDEX(Programação!$AM$5:$AM$1004,MATCH(116,Programação!$AP$5:$AP$1004,0))))</f>
        <v/>
      </c>
      <c r="B123" s="22" t="str">
        <f aca="false">IF(COUNT(Programação!$AP$5:$AP$1004)&lt;116,"",IF(INDEX(Programação!$C$5:$C$1004,MATCH(116,Programação!$AP$5:$AP$1004,0))="","",INDEX(Programação!$C$5:$C$1004,MATCH(116,Programação!$AP$5:$AP$1004,0))))</f>
        <v>007457</v>
      </c>
      <c r="C123" s="22" t="str">
        <f aca="false">IF(COUNT(Programação!$AP$5:$AP$1004)&lt;116,"",IF(INDEX(Programação!$D$5:$D$1004,MATCH(116,Programação!$AP$5:$AP$1004,0))="","",INDEX(Programação!$D$5:$D$1004,MATCH(116,Programação!$AP$5:$AP$1004,0))))</f>
        <v>F-972</v>
      </c>
      <c r="D123" s="22" t="str">
        <f aca="false">IF(COUNT(Programação!$AP$5:$AP$1004)&lt;116,"",IF(INDEX(Programação!$AN$5:$AN$1004,MATCH(116,Programação!$AP$5:$AP$1004,0))="","",INDEX(Programação!$AN$5:$AN$1004,MATCH(116,Programação!$AP$5:$AP$1004,0))))</f>
        <v>Petro</v>
      </c>
      <c r="E123" s="24" t="str">
        <f aca="false">IF(COUNT(Programação!$AP$5:$AP$1004)&lt;116,"",IF(INDEX(Programação!$F$5:$F$1004,MATCH(116,Programação!$AP$5:$AP$1004,0))="","",INDEX(Programação!$F$5:$F$1004,MATCH(116,Programação!$AP$5:$AP$1004,0))))</f>
        <v>Fixar base da placa de trânsito dianteira</v>
      </c>
      <c r="F123" s="22" t="str">
        <f aca="false">IF(COUNT(Programação!$AP$5:$AP$1004)&lt;116,"",IF(INDEX(Programação!$G$5:$G$1004,MATCH(116,Programação!$AP$5:$AP$1004,0))="","",INDEX(Programação!$G$5:$G$1004,MATCH(116,Programação!$AP$5:$AP$1004,0))))</f>
        <v>Corretiva</v>
      </c>
      <c r="G123" s="24" t="str">
        <f aca="false">IF(COUNT(Programação!$AP$5:$AP$1004)&lt;116,"",IF(INDEX(Programação!$U$5:$U$1004,MATCH(116,Programação!$AP$5:$AP$1004,0))="","",INDEX(Programação!$U$5:$U$1004,MATCH(116,Programação!$AP$5:$AP$1004,0))))</f>
        <v/>
      </c>
      <c r="H123" s="22" t="n">
        <f aca="false">IF(COUNT(Programação!$AP$5:$AP$1004)&lt;116,"",MATCH(116,Programação!$AP$5:$AP$1004,0)+4)</f>
        <v>321</v>
      </c>
    </row>
    <row r="124" customFormat="false" ht="15.75" hidden="false" customHeight="true" outlineLevel="0" collapsed="false">
      <c r="A124" s="22" t="str">
        <f aca="false">IF(COUNT(Programação!$AP$5:$AP$1004)&lt;117,"",IF(INDEX(Programação!$AM$5:$AM$1004,MATCH(117,Programação!$AP$5:$AP$1004,0))="","",INDEX(Programação!$AM$5:$AM$1004,MATCH(117,Programação!$AP$5:$AP$1004,0))))</f>
        <v/>
      </c>
      <c r="B124" s="22" t="str">
        <f aca="false">IF(COUNT(Programação!$AP$5:$AP$1004)&lt;117,"",IF(INDEX(Programação!$C$5:$C$1004,MATCH(117,Programação!$AP$5:$AP$1004,0))="","",INDEX(Programação!$C$5:$C$1004,MATCH(117,Programação!$AP$5:$AP$1004,0))))</f>
        <v>007458</v>
      </c>
      <c r="C124" s="22" t="str">
        <f aca="false">IF(COUNT(Programação!$AP$5:$AP$1004)&lt;117,"",IF(INDEX(Programação!$D$5:$D$1004,MATCH(117,Programação!$AP$5:$AP$1004,0))="","",INDEX(Programação!$D$5:$D$1004,MATCH(117,Programação!$AP$5:$AP$1004,0))))</f>
        <v>F-972</v>
      </c>
      <c r="D124" s="22" t="str">
        <f aca="false">IF(COUNT(Programação!$AP$5:$AP$1004)&lt;117,"",IF(INDEX(Programação!$AN$5:$AN$1004,MATCH(117,Programação!$AP$5:$AP$1004,0))="","",INDEX(Programação!$AN$5:$AN$1004,MATCH(117,Programação!$AP$5:$AP$1004,0))))</f>
        <v>Petro</v>
      </c>
      <c r="E124" s="24" t="str">
        <f aca="false">IF(COUNT(Programação!$AP$5:$AP$1004)&lt;117,"",IF(INDEX(Programação!$F$5:$F$1004,MATCH(117,Programação!$AP$5:$AP$1004,0))="","",INDEX(Programação!$F$5:$F$1004,MATCH(117,Programação!$AP$5:$AP$1004,0))))</f>
        <v>Fixar acabamento da coluna LE</v>
      </c>
      <c r="F124" s="22" t="str">
        <f aca="false">IF(COUNT(Programação!$AP$5:$AP$1004)&lt;117,"",IF(INDEX(Programação!$G$5:$G$1004,MATCH(117,Programação!$AP$5:$AP$1004,0))="","",INDEX(Programação!$G$5:$G$1004,MATCH(117,Programação!$AP$5:$AP$1004,0))))</f>
        <v>Corretiva</v>
      </c>
      <c r="G124" s="24" t="str">
        <f aca="false">IF(COUNT(Programação!$AP$5:$AP$1004)&lt;117,"",IF(INDEX(Programação!$U$5:$U$1004,MATCH(117,Programação!$AP$5:$AP$1004,0))="","",INDEX(Programação!$U$5:$U$1004,MATCH(117,Programação!$AP$5:$AP$1004,0))))</f>
        <v/>
      </c>
      <c r="H124" s="22" t="n">
        <f aca="false">IF(COUNT(Programação!$AP$5:$AP$1004)&lt;117,"",MATCH(117,Programação!$AP$5:$AP$1004,0)+4)</f>
        <v>322</v>
      </c>
    </row>
    <row r="125" customFormat="false" ht="15.75" hidden="false" customHeight="true" outlineLevel="0" collapsed="false">
      <c r="A125" s="22" t="str">
        <f aca="false">IF(COUNT(Programação!$AP$5:$AP$1004)&lt;118,"",IF(INDEX(Programação!$AM$5:$AM$1004,MATCH(118,Programação!$AP$5:$AP$1004,0))="","",INDEX(Programação!$AM$5:$AM$1004,MATCH(118,Programação!$AP$5:$AP$1004,0))))</f>
        <v/>
      </c>
      <c r="B125" s="22" t="str">
        <f aca="false">IF(COUNT(Programação!$AP$5:$AP$1004)&lt;118,"",IF(INDEX(Programação!$C$5:$C$1004,MATCH(118,Programação!$AP$5:$AP$1004,0))="","",INDEX(Programação!$C$5:$C$1004,MATCH(118,Programação!$AP$5:$AP$1004,0))))</f>
        <v>007459</v>
      </c>
      <c r="C125" s="22" t="str">
        <f aca="false">IF(COUNT(Programação!$AP$5:$AP$1004)&lt;118,"",IF(INDEX(Programação!$D$5:$D$1004,MATCH(118,Programação!$AP$5:$AP$1004,0))="","",INDEX(Programação!$D$5:$D$1004,MATCH(118,Programação!$AP$5:$AP$1004,0))))</f>
        <v>F-972</v>
      </c>
      <c r="D125" s="22" t="str">
        <f aca="false">IF(COUNT(Programação!$AP$5:$AP$1004)&lt;118,"",IF(INDEX(Programação!$AN$5:$AN$1004,MATCH(118,Programação!$AP$5:$AP$1004,0))="","",INDEX(Programação!$AN$5:$AN$1004,MATCH(118,Programação!$AP$5:$AP$1004,0))))</f>
        <v>Petro</v>
      </c>
      <c r="E125" s="24" t="str">
        <f aca="false">IF(COUNT(Programação!$AP$5:$AP$1004)&lt;118,"",IF(INDEX(Programação!$F$5:$F$1004,MATCH(118,Programação!$AP$5:$AP$1004,0))="","",INDEX(Programação!$F$5:$F$1004,MATCH(118,Programação!$AP$5:$AP$1004,0))))</f>
        <v>Corrigir fixação do degrau da escada LD</v>
      </c>
      <c r="F125" s="22" t="str">
        <f aca="false">IF(COUNT(Programação!$AP$5:$AP$1004)&lt;118,"",IF(INDEX(Programação!$G$5:$G$1004,MATCH(118,Programação!$AP$5:$AP$1004,0))="","",INDEX(Programação!$G$5:$G$1004,MATCH(118,Programação!$AP$5:$AP$1004,0))))</f>
        <v>Corretiva</v>
      </c>
      <c r="G125" s="24" t="str">
        <f aca="false">IF(COUNT(Programação!$AP$5:$AP$1004)&lt;118,"",IF(INDEX(Programação!$U$5:$U$1004,MATCH(118,Programação!$AP$5:$AP$1004,0))="","",INDEX(Programação!$U$5:$U$1004,MATCH(118,Programação!$AP$5:$AP$1004,0))))</f>
        <v/>
      </c>
      <c r="H125" s="22" t="n">
        <f aca="false">IF(COUNT(Programação!$AP$5:$AP$1004)&lt;118,"",MATCH(118,Programação!$AP$5:$AP$1004,0)+4)</f>
        <v>323</v>
      </c>
    </row>
    <row r="126" customFormat="false" ht="15.75" hidden="false" customHeight="true" outlineLevel="0" collapsed="false">
      <c r="A126" s="22" t="str">
        <f aca="false">IF(COUNT(Programação!$AP$5:$AP$1004)&lt;119,"",IF(INDEX(Programação!$AM$5:$AM$1004,MATCH(119,Programação!$AP$5:$AP$1004,0))="","",INDEX(Programação!$AM$5:$AM$1004,MATCH(119,Programação!$AP$5:$AP$1004,0))))</f>
        <v/>
      </c>
      <c r="B126" s="22" t="str">
        <f aca="false">IF(COUNT(Programação!$AP$5:$AP$1004)&lt;119,"",IF(INDEX(Programação!$C$5:$C$1004,MATCH(119,Programação!$AP$5:$AP$1004,0))="","",INDEX(Programação!$C$5:$C$1004,MATCH(119,Programação!$AP$5:$AP$1004,0))))</f>
        <v>007460</v>
      </c>
      <c r="C126" s="22" t="str">
        <f aca="false">IF(COUNT(Programação!$AP$5:$AP$1004)&lt;119,"",IF(INDEX(Programação!$D$5:$D$1004,MATCH(119,Programação!$AP$5:$AP$1004,0))="","",INDEX(Programação!$D$5:$D$1004,MATCH(119,Programação!$AP$5:$AP$1004,0))))</f>
        <v>F-972</v>
      </c>
      <c r="D126" s="22" t="str">
        <f aca="false">IF(COUNT(Programação!$AP$5:$AP$1004)&lt;119,"",IF(INDEX(Programação!$AN$5:$AN$1004,MATCH(119,Programação!$AP$5:$AP$1004,0))="","",INDEX(Programação!$AN$5:$AN$1004,MATCH(119,Programação!$AP$5:$AP$1004,0))))</f>
        <v>Petro</v>
      </c>
      <c r="E126" s="24" t="str">
        <f aca="false">IF(COUNT(Programação!$AP$5:$AP$1004)&lt;119,"",IF(INDEX(Programação!$F$5:$F$1004,MATCH(119,Programação!$AP$5:$AP$1004,0))="","",INDEX(Programação!$F$5:$F$1004,MATCH(119,Programação!$AP$5:$AP$1004,0))))</f>
        <v>Recuperar barra de direção longa</v>
      </c>
      <c r="F126" s="22" t="str">
        <f aca="false">IF(COUNT(Programação!$AP$5:$AP$1004)&lt;119,"",IF(INDEX(Programação!$G$5:$G$1004,MATCH(119,Programação!$AP$5:$AP$1004,0))="","",INDEX(Programação!$G$5:$G$1004,MATCH(119,Programação!$AP$5:$AP$1004,0))))</f>
        <v>Corretiva</v>
      </c>
      <c r="G126" s="24" t="str">
        <f aca="false">IF(COUNT(Programação!$AP$5:$AP$1004)&lt;119,"",IF(INDEX(Programação!$U$5:$U$1004,MATCH(119,Programação!$AP$5:$AP$1004,0))="","",INDEX(Programação!$U$5:$U$1004,MATCH(119,Programação!$AP$5:$AP$1004,0))))</f>
        <v/>
      </c>
      <c r="H126" s="22" t="n">
        <f aca="false">IF(COUNT(Programação!$AP$5:$AP$1004)&lt;119,"",MATCH(119,Programação!$AP$5:$AP$1004,0)+4)</f>
        <v>324</v>
      </c>
    </row>
    <row r="127" customFormat="false" ht="15.75" hidden="false" customHeight="true" outlineLevel="0" collapsed="false">
      <c r="A127" s="22" t="str">
        <f aca="false">IF(COUNT(Programação!$AP$5:$AP$1004)&lt;120,"",IF(INDEX(Programação!$AM$5:$AM$1004,MATCH(120,Programação!$AP$5:$AP$1004,0))="","",INDEX(Programação!$AM$5:$AM$1004,MATCH(120,Programação!$AP$5:$AP$1004,0))))</f>
        <v/>
      </c>
      <c r="B127" s="22" t="str">
        <f aca="false">IF(COUNT(Programação!$AP$5:$AP$1004)&lt;120,"",IF(INDEX(Programação!$C$5:$C$1004,MATCH(120,Programação!$AP$5:$AP$1004,0))="","",INDEX(Programação!$C$5:$C$1004,MATCH(120,Programação!$AP$5:$AP$1004,0))))</f>
        <v>007461</v>
      </c>
      <c r="C127" s="22" t="str">
        <f aca="false">IF(COUNT(Programação!$AP$5:$AP$1004)&lt;120,"",IF(INDEX(Programação!$D$5:$D$1004,MATCH(120,Programação!$AP$5:$AP$1004,0))="","",INDEX(Programação!$D$5:$D$1004,MATCH(120,Programação!$AP$5:$AP$1004,0))))</f>
        <v>F-972</v>
      </c>
      <c r="D127" s="22" t="str">
        <f aca="false">IF(COUNT(Programação!$AP$5:$AP$1004)&lt;120,"",IF(INDEX(Programação!$AN$5:$AN$1004,MATCH(120,Programação!$AP$5:$AP$1004,0))="","",INDEX(Programação!$AN$5:$AN$1004,MATCH(120,Programação!$AP$5:$AP$1004,0))))</f>
        <v>Petro</v>
      </c>
      <c r="E127" s="24" t="str">
        <f aca="false">IF(COUNT(Programação!$AP$5:$AP$1004)&lt;120,"",IF(INDEX(Programação!$F$5:$F$1004,MATCH(120,Programação!$AP$5:$AP$1004,0))="","",INDEX(Programação!$F$5:$F$1004,MATCH(120,Programação!$AP$5:$AP$1004,0))))</f>
        <v>Fixar tampa inferior da caixa de fusíveis</v>
      </c>
      <c r="F127" s="22" t="str">
        <f aca="false">IF(COUNT(Programação!$AP$5:$AP$1004)&lt;120,"",IF(INDEX(Programação!$G$5:$G$1004,MATCH(120,Programação!$AP$5:$AP$1004,0))="","",INDEX(Programação!$G$5:$G$1004,MATCH(120,Programação!$AP$5:$AP$1004,0))))</f>
        <v>Corretiva</v>
      </c>
      <c r="G127" s="24" t="str">
        <f aca="false">IF(COUNT(Programação!$AP$5:$AP$1004)&lt;120,"",IF(INDEX(Programação!$U$5:$U$1004,MATCH(120,Programação!$AP$5:$AP$1004,0))="","",INDEX(Programação!$U$5:$U$1004,MATCH(120,Programação!$AP$5:$AP$1004,0))))</f>
        <v/>
      </c>
      <c r="H127" s="22" t="n">
        <f aca="false">IF(COUNT(Programação!$AP$5:$AP$1004)&lt;120,"",MATCH(120,Programação!$AP$5:$AP$1004,0)+4)</f>
        <v>325</v>
      </c>
    </row>
    <row r="128" customFormat="false" ht="15.75" hidden="false" customHeight="true" outlineLevel="0" collapsed="false">
      <c r="A128" s="22" t="str">
        <f aca="false">IF(COUNT(Programação!$AP$5:$AP$1004)&lt;121,"",IF(INDEX(Programação!$AM$5:$AM$1004,MATCH(121,Programação!$AP$5:$AP$1004,0))="","",INDEX(Programação!$AM$5:$AM$1004,MATCH(121,Programação!$AP$5:$AP$1004,0))))</f>
        <v/>
      </c>
      <c r="B128" s="22" t="str">
        <f aca="false">IF(COUNT(Programação!$AP$5:$AP$1004)&lt;121,"",IF(INDEX(Programação!$C$5:$C$1004,MATCH(121,Programação!$AP$5:$AP$1004,0))="","",INDEX(Programação!$C$5:$C$1004,MATCH(121,Programação!$AP$5:$AP$1004,0))))</f>
        <v/>
      </c>
      <c r="C128" s="22" t="str">
        <f aca="false">IF(COUNT(Programação!$AP$5:$AP$1004)&lt;121,"",IF(INDEX(Programação!$D$5:$D$1004,MATCH(121,Programação!$AP$5:$AP$1004,0))="","",INDEX(Programação!$D$5:$D$1004,MATCH(121,Programação!$AP$5:$AP$1004,0))))</f>
        <v/>
      </c>
      <c r="D128" s="22" t="str">
        <f aca="false">IF(COUNT(Programação!$AP$5:$AP$1004)&lt;121,"",IF(INDEX(Programação!$AN$5:$AN$1004,MATCH(121,Programação!$AP$5:$AP$1004,0))="","",INDEX(Programação!$AN$5:$AN$1004,MATCH(121,Programação!$AP$5:$AP$1004,0))))</f>
        <v/>
      </c>
      <c r="E128" s="24" t="str">
        <f aca="false">IF(COUNT(Programação!$AP$5:$AP$1004)&lt;121,"",IF(INDEX(Programação!$F$5:$F$1004,MATCH(121,Programação!$AP$5:$AP$1004,0))="","",INDEX(Programação!$F$5:$F$1004,MATCH(121,Programação!$AP$5:$AP$1004,0))))</f>
        <v/>
      </c>
      <c r="F128" s="22" t="str">
        <f aca="false">IF(COUNT(Programação!$AP$5:$AP$1004)&lt;121,"",IF(INDEX(Programação!$G$5:$G$1004,MATCH(121,Programação!$AP$5:$AP$1004,0))="","",INDEX(Programação!$G$5:$G$1004,MATCH(121,Programação!$AP$5:$AP$1004,0))))</f>
        <v/>
      </c>
      <c r="G128" s="24" t="str">
        <f aca="false">IF(COUNT(Programação!$AP$5:$AP$1004)&lt;121,"",IF(INDEX(Programação!$U$5:$U$1004,MATCH(121,Programação!$AP$5:$AP$1004,0))="","",INDEX(Programação!$U$5:$U$1004,MATCH(121,Programação!$AP$5:$AP$1004,0))))</f>
        <v/>
      </c>
      <c r="H128" s="22" t="str">
        <f aca="false">IF(COUNT(Programação!$AP$5:$AP$1004)&lt;121,"",MATCH(121,Programação!$AP$5:$AP$1004,0)+4)</f>
        <v/>
      </c>
    </row>
    <row r="129" customFormat="false" ht="15.75" hidden="false" customHeight="true" outlineLevel="0" collapsed="false">
      <c r="A129" s="22" t="str">
        <f aca="false">IF(COUNT(Programação!$AP$5:$AP$1004)&lt;122,"",IF(INDEX(Programação!$AM$5:$AM$1004,MATCH(122,Programação!$AP$5:$AP$1004,0))="","",INDEX(Programação!$AM$5:$AM$1004,MATCH(122,Programação!$AP$5:$AP$1004,0))))</f>
        <v/>
      </c>
      <c r="B129" s="22" t="str">
        <f aca="false">IF(COUNT(Programação!$AP$5:$AP$1004)&lt;122,"",IF(INDEX(Programação!$C$5:$C$1004,MATCH(122,Programação!$AP$5:$AP$1004,0))="","",INDEX(Programação!$C$5:$C$1004,MATCH(122,Programação!$AP$5:$AP$1004,0))))</f>
        <v/>
      </c>
      <c r="C129" s="22" t="str">
        <f aca="false">IF(COUNT(Programação!$AP$5:$AP$1004)&lt;122,"",IF(INDEX(Programação!$D$5:$D$1004,MATCH(122,Programação!$AP$5:$AP$1004,0))="","",INDEX(Programação!$D$5:$D$1004,MATCH(122,Programação!$AP$5:$AP$1004,0))))</f>
        <v/>
      </c>
      <c r="D129" s="22" t="str">
        <f aca="false">IF(COUNT(Programação!$AP$5:$AP$1004)&lt;122,"",IF(INDEX(Programação!$AN$5:$AN$1004,MATCH(122,Programação!$AP$5:$AP$1004,0))="","",INDEX(Programação!$AN$5:$AN$1004,MATCH(122,Programação!$AP$5:$AP$1004,0))))</f>
        <v/>
      </c>
      <c r="E129" s="24" t="str">
        <f aca="false">IF(COUNT(Programação!$AP$5:$AP$1004)&lt;122,"",IF(INDEX(Programação!$F$5:$F$1004,MATCH(122,Programação!$AP$5:$AP$1004,0))="","",INDEX(Programação!$F$5:$F$1004,MATCH(122,Programação!$AP$5:$AP$1004,0))))</f>
        <v/>
      </c>
      <c r="F129" s="22" t="str">
        <f aca="false">IF(COUNT(Programação!$AP$5:$AP$1004)&lt;122,"",IF(INDEX(Programação!$G$5:$G$1004,MATCH(122,Programação!$AP$5:$AP$1004,0))="","",INDEX(Programação!$G$5:$G$1004,MATCH(122,Programação!$AP$5:$AP$1004,0))))</f>
        <v/>
      </c>
      <c r="G129" s="24" t="str">
        <f aca="false">IF(COUNT(Programação!$AP$5:$AP$1004)&lt;122,"",IF(INDEX(Programação!$U$5:$U$1004,MATCH(122,Programação!$AP$5:$AP$1004,0))="","",INDEX(Programação!$U$5:$U$1004,MATCH(122,Programação!$AP$5:$AP$1004,0))))</f>
        <v/>
      </c>
      <c r="H129" s="22" t="str">
        <f aca="false">IF(COUNT(Programação!$AP$5:$AP$1004)&lt;122,"",MATCH(122,Programação!$AP$5:$AP$1004,0)+4)</f>
        <v/>
      </c>
    </row>
    <row r="130" customFormat="false" ht="15.75" hidden="false" customHeight="true" outlineLevel="0" collapsed="false">
      <c r="A130" s="22" t="str">
        <f aca="false">IF(COUNT(Programação!$AP$5:$AP$1004)&lt;123,"",IF(INDEX(Programação!$AM$5:$AM$1004,MATCH(123,Programação!$AP$5:$AP$1004,0))="","",INDEX(Programação!$AM$5:$AM$1004,MATCH(123,Programação!$AP$5:$AP$1004,0))))</f>
        <v/>
      </c>
      <c r="B130" s="22" t="str">
        <f aca="false">IF(COUNT(Programação!$AP$5:$AP$1004)&lt;123,"",IF(INDEX(Programação!$C$5:$C$1004,MATCH(123,Programação!$AP$5:$AP$1004,0))="","",INDEX(Programação!$C$5:$C$1004,MATCH(123,Programação!$AP$5:$AP$1004,0))))</f>
        <v/>
      </c>
      <c r="C130" s="22" t="str">
        <f aca="false">IF(COUNT(Programação!$AP$5:$AP$1004)&lt;123,"",IF(INDEX(Programação!$D$5:$D$1004,MATCH(123,Programação!$AP$5:$AP$1004,0))="","",INDEX(Programação!$D$5:$D$1004,MATCH(123,Programação!$AP$5:$AP$1004,0))))</f>
        <v/>
      </c>
      <c r="D130" s="22" t="str">
        <f aca="false">IF(COUNT(Programação!$AP$5:$AP$1004)&lt;123,"",IF(INDEX(Programação!$AN$5:$AN$1004,MATCH(123,Programação!$AP$5:$AP$1004,0))="","",INDEX(Programação!$AN$5:$AN$1004,MATCH(123,Programação!$AP$5:$AP$1004,0))))</f>
        <v/>
      </c>
      <c r="E130" s="24" t="str">
        <f aca="false">IF(COUNT(Programação!$AP$5:$AP$1004)&lt;123,"",IF(INDEX(Programação!$F$5:$F$1004,MATCH(123,Programação!$AP$5:$AP$1004,0))="","",INDEX(Programação!$F$5:$F$1004,MATCH(123,Programação!$AP$5:$AP$1004,0))))</f>
        <v/>
      </c>
      <c r="F130" s="22" t="str">
        <f aca="false">IF(COUNT(Programação!$AP$5:$AP$1004)&lt;123,"",IF(INDEX(Programação!$G$5:$G$1004,MATCH(123,Programação!$AP$5:$AP$1004,0))="","",INDEX(Programação!$G$5:$G$1004,MATCH(123,Programação!$AP$5:$AP$1004,0))))</f>
        <v/>
      </c>
      <c r="G130" s="24" t="str">
        <f aca="false">IF(COUNT(Programação!$AP$5:$AP$1004)&lt;123,"",IF(INDEX(Programação!$U$5:$U$1004,MATCH(123,Programação!$AP$5:$AP$1004,0))="","",INDEX(Programação!$U$5:$U$1004,MATCH(123,Programação!$AP$5:$AP$1004,0))))</f>
        <v/>
      </c>
      <c r="H130" s="22" t="str">
        <f aca="false">IF(COUNT(Programação!$AP$5:$AP$1004)&lt;123,"",MATCH(123,Programação!$AP$5:$AP$1004,0)+4)</f>
        <v/>
      </c>
    </row>
    <row r="131" customFormat="false" ht="15.75" hidden="false" customHeight="true" outlineLevel="0" collapsed="false">
      <c r="A131" s="22" t="str">
        <f aca="false">IF(COUNT(Programação!$AP$5:$AP$1004)&lt;124,"",IF(INDEX(Programação!$AM$5:$AM$1004,MATCH(124,Programação!$AP$5:$AP$1004,0))="","",INDEX(Programação!$AM$5:$AM$1004,MATCH(124,Programação!$AP$5:$AP$1004,0))))</f>
        <v/>
      </c>
      <c r="B131" s="22" t="str">
        <f aca="false">IF(COUNT(Programação!$AP$5:$AP$1004)&lt;124,"",IF(INDEX(Programação!$C$5:$C$1004,MATCH(124,Programação!$AP$5:$AP$1004,0))="","",INDEX(Programação!$C$5:$C$1004,MATCH(124,Programação!$AP$5:$AP$1004,0))))</f>
        <v/>
      </c>
      <c r="C131" s="22" t="str">
        <f aca="false">IF(COUNT(Programação!$AP$5:$AP$1004)&lt;124,"",IF(INDEX(Programação!$D$5:$D$1004,MATCH(124,Programação!$AP$5:$AP$1004,0))="","",INDEX(Programação!$D$5:$D$1004,MATCH(124,Programação!$AP$5:$AP$1004,0))))</f>
        <v/>
      </c>
      <c r="D131" s="22" t="str">
        <f aca="false">IF(COUNT(Programação!$AP$5:$AP$1004)&lt;124,"",IF(INDEX(Programação!$AN$5:$AN$1004,MATCH(124,Programação!$AP$5:$AP$1004,0))="","",INDEX(Programação!$AN$5:$AN$1004,MATCH(124,Programação!$AP$5:$AP$1004,0))))</f>
        <v/>
      </c>
      <c r="E131" s="24" t="str">
        <f aca="false">IF(COUNT(Programação!$AP$5:$AP$1004)&lt;124,"",IF(INDEX(Programação!$F$5:$F$1004,MATCH(124,Programação!$AP$5:$AP$1004,0))="","",INDEX(Programação!$F$5:$F$1004,MATCH(124,Programação!$AP$5:$AP$1004,0))))</f>
        <v/>
      </c>
      <c r="F131" s="22" t="str">
        <f aca="false">IF(COUNT(Programação!$AP$5:$AP$1004)&lt;124,"",IF(INDEX(Programação!$G$5:$G$1004,MATCH(124,Programação!$AP$5:$AP$1004,0))="","",INDEX(Programação!$G$5:$G$1004,MATCH(124,Programação!$AP$5:$AP$1004,0))))</f>
        <v/>
      </c>
      <c r="G131" s="24" t="str">
        <f aca="false">IF(COUNT(Programação!$AP$5:$AP$1004)&lt;124,"",IF(INDEX(Programação!$U$5:$U$1004,MATCH(124,Programação!$AP$5:$AP$1004,0))="","",INDEX(Programação!$U$5:$U$1004,MATCH(124,Programação!$AP$5:$AP$1004,0))))</f>
        <v/>
      </c>
      <c r="H131" s="22" t="str">
        <f aca="false">IF(COUNT(Programação!$AP$5:$AP$1004)&lt;124,"",MATCH(124,Programação!$AP$5:$AP$1004,0)+4)</f>
        <v/>
      </c>
    </row>
    <row r="132" customFormat="false" ht="15.75" hidden="false" customHeight="true" outlineLevel="0" collapsed="false">
      <c r="A132" s="22" t="str">
        <f aca="false">IF(COUNT(Programação!$AP$5:$AP$1004)&lt;125,"",IF(INDEX(Programação!$AM$5:$AM$1004,MATCH(125,Programação!$AP$5:$AP$1004,0))="","",INDEX(Programação!$AM$5:$AM$1004,MATCH(125,Programação!$AP$5:$AP$1004,0))))</f>
        <v/>
      </c>
      <c r="B132" s="22" t="str">
        <f aca="false">IF(COUNT(Programação!$AP$5:$AP$1004)&lt;125,"",IF(INDEX(Programação!$C$5:$C$1004,MATCH(125,Programação!$AP$5:$AP$1004,0))="","",INDEX(Programação!$C$5:$C$1004,MATCH(125,Programação!$AP$5:$AP$1004,0))))</f>
        <v/>
      </c>
      <c r="C132" s="22" t="str">
        <f aca="false">IF(COUNT(Programação!$AP$5:$AP$1004)&lt;125,"",IF(INDEX(Programação!$D$5:$D$1004,MATCH(125,Programação!$AP$5:$AP$1004,0))="","",INDEX(Programação!$D$5:$D$1004,MATCH(125,Programação!$AP$5:$AP$1004,0))))</f>
        <v/>
      </c>
      <c r="D132" s="22" t="str">
        <f aca="false">IF(COUNT(Programação!$AP$5:$AP$1004)&lt;125,"",IF(INDEX(Programação!$AN$5:$AN$1004,MATCH(125,Programação!$AP$5:$AP$1004,0))="","",INDEX(Programação!$AN$5:$AN$1004,MATCH(125,Programação!$AP$5:$AP$1004,0))))</f>
        <v/>
      </c>
      <c r="E132" s="24" t="str">
        <f aca="false">IF(COUNT(Programação!$AP$5:$AP$1004)&lt;125,"",IF(INDEX(Programação!$F$5:$F$1004,MATCH(125,Programação!$AP$5:$AP$1004,0))="","",INDEX(Programação!$F$5:$F$1004,MATCH(125,Programação!$AP$5:$AP$1004,0))))</f>
        <v/>
      </c>
      <c r="F132" s="22" t="str">
        <f aca="false">IF(COUNT(Programação!$AP$5:$AP$1004)&lt;125,"",IF(INDEX(Programação!$G$5:$G$1004,MATCH(125,Programação!$AP$5:$AP$1004,0))="","",INDEX(Programação!$G$5:$G$1004,MATCH(125,Programação!$AP$5:$AP$1004,0))))</f>
        <v/>
      </c>
      <c r="G132" s="24" t="str">
        <f aca="false">IF(COUNT(Programação!$AP$5:$AP$1004)&lt;125,"",IF(INDEX(Programação!$U$5:$U$1004,MATCH(125,Programação!$AP$5:$AP$1004,0))="","",INDEX(Programação!$U$5:$U$1004,MATCH(125,Programação!$AP$5:$AP$1004,0))))</f>
        <v/>
      </c>
      <c r="H132" s="22" t="str">
        <f aca="false">IF(COUNT(Programação!$AP$5:$AP$1004)&lt;125,"",MATCH(125,Programação!$AP$5:$AP$1004,0)+4)</f>
        <v/>
      </c>
    </row>
    <row r="133" customFormat="false" ht="15.75" hidden="false" customHeight="true" outlineLevel="0" collapsed="false">
      <c r="A133" s="22" t="str">
        <f aca="false">IF(COUNT(Programação!$AP$5:$AP$1004)&lt;126,"",IF(INDEX(Programação!$AM$5:$AM$1004,MATCH(126,Programação!$AP$5:$AP$1004,0))="","",INDEX(Programação!$AM$5:$AM$1004,MATCH(126,Programação!$AP$5:$AP$1004,0))))</f>
        <v/>
      </c>
      <c r="B133" s="22" t="str">
        <f aca="false">IF(COUNT(Programação!$AP$5:$AP$1004)&lt;126,"",IF(INDEX(Programação!$C$5:$C$1004,MATCH(126,Programação!$AP$5:$AP$1004,0))="","",INDEX(Programação!$C$5:$C$1004,MATCH(126,Programação!$AP$5:$AP$1004,0))))</f>
        <v/>
      </c>
      <c r="C133" s="22" t="str">
        <f aca="false">IF(COUNT(Programação!$AP$5:$AP$1004)&lt;126,"",IF(INDEX(Programação!$D$5:$D$1004,MATCH(126,Programação!$AP$5:$AP$1004,0))="","",INDEX(Programação!$D$5:$D$1004,MATCH(126,Programação!$AP$5:$AP$1004,0))))</f>
        <v/>
      </c>
      <c r="D133" s="22" t="str">
        <f aca="false">IF(COUNT(Programação!$AP$5:$AP$1004)&lt;126,"",IF(INDEX(Programação!$AN$5:$AN$1004,MATCH(126,Programação!$AP$5:$AP$1004,0))="","",INDEX(Programação!$AN$5:$AN$1004,MATCH(126,Programação!$AP$5:$AP$1004,0))))</f>
        <v/>
      </c>
      <c r="E133" s="24" t="str">
        <f aca="false">IF(COUNT(Programação!$AP$5:$AP$1004)&lt;126,"",IF(INDEX(Programação!$F$5:$F$1004,MATCH(126,Programação!$AP$5:$AP$1004,0))="","",INDEX(Programação!$F$5:$F$1004,MATCH(126,Programação!$AP$5:$AP$1004,0))))</f>
        <v/>
      </c>
      <c r="F133" s="22" t="str">
        <f aca="false">IF(COUNT(Programação!$AP$5:$AP$1004)&lt;126,"",IF(INDEX(Programação!$G$5:$G$1004,MATCH(126,Programação!$AP$5:$AP$1004,0))="","",INDEX(Programação!$G$5:$G$1004,MATCH(126,Programação!$AP$5:$AP$1004,0))))</f>
        <v/>
      </c>
      <c r="G133" s="24" t="str">
        <f aca="false">IF(COUNT(Programação!$AP$5:$AP$1004)&lt;126,"",IF(INDEX(Programação!$U$5:$U$1004,MATCH(126,Programação!$AP$5:$AP$1004,0))="","",INDEX(Programação!$U$5:$U$1004,MATCH(126,Programação!$AP$5:$AP$1004,0))))</f>
        <v/>
      </c>
      <c r="H133" s="22" t="str">
        <f aca="false">IF(COUNT(Programação!$AP$5:$AP$1004)&lt;126,"",MATCH(126,Programação!$AP$5:$AP$1004,0)+4)</f>
        <v/>
      </c>
    </row>
    <row r="134" customFormat="false" ht="15.75" hidden="false" customHeight="true" outlineLevel="0" collapsed="false">
      <c r="A134" s="22" t="str">
        <f aca="false">IF(COUNT(Programação!$AP$5:$AP$1004)&lt;127,"",IF(INDEX(Programação!$AM$5:$AM$1004,MATCH(127,Programação!$AP$5:$AP$1004,0))="","",INDEX(Programação!$AM$5:$AM$1004,MATCH(127,Programação!$AP$5:$AP$1004,0))))</f>
        <v/>
      </c>
      <c r="B134" s="22" t="str">
        <f aca="false">IF(COUNT(Programação!$AP$5:$AP$1004)&lt;127,"",IF(INDEX(Programação!$C$5:$C$1004,MATCH(127,Programação!$AP$5:$AP$1004,0))="","",INDEX(Programação!$C$5:$C$1004,MATCH(127,Programação!$AP$5:$AP$1004,0))))</f>
        <v/>
      </c>
      <c r="C134" s="22" t="str">
        <f aca="false">IF(COUNT(Programação!$AP$5:$AP$1004)&lt;127,"",IF(INDEX(Programação!$D$5:$D$1004,MATCH(127,Programação!$AP$5:$AP$1004,0))="","",INDEX(Programação!$D$5:$D$1004,MATCH(127,Programação!$AP$5:$AP$1004,0))))</f>
        <v/>
      </c>
      <c r="D134" s="22" t="str">
        <f aca="false">IF(COUNT(Programação!$AP$5:$AP$1004)&lt;127,"",IF(INDEX(Programação!$AN$5:$AN$1004,MATCH(127,Programação!$AP$5:$AP$1004,0))="","",INDEX(Programação!$AN$5:$AN$1004,MATCH(127,Programação!$AP$5:$AP$1004,0))))</f>
        <v/>
      </c>
      <c r="E134" s="24" t="str">
        <f aca="false">IF(COUNT(Programação!$AP$5:$AP$1004)&lt;127,"",IF(INDEX(Programação!$F$5:$F$1004,MATCH(127,Programação!$AP$5:$AP$1004,0))="","",INDEX(Programação!$F$5:$F$1004,MATCH(127,Programação!$AP$5:$AP$1004,0))))</f>
        <v/>
      </c>
      <c r="F134" s="22" t="str">
        <f aca="false">IF(COUNT(Programação!$AP$5:$AP$1004)&lt;127,"",IF(INDEX(Programação!$G$5:$G$1004,MATCH(127,Programação!$AP$5:$AP$1004,0))="","",INDEX(Programação!$G$5:$G$1004,MATCH(127,Programação!$AP$5:$AP$1004,0))))</f>
        <v/>
      </c>
      <c r="G134" s="24" t="str">
        <f aca="false">IF(COUNT(Programação!$AP$5:$AP$1004)&lt;127,"",IF(INDEX(Programação!$U$5:$U$1004,MATCH(127,Programação!$AP$5:$AP$1004,0))="","",INDEX(Programação!$U$5:$U$1004,MATCH(127,Programação!$AP$5:$AP$1004,0))))</f>
        <v/>
      </c>
      <c r="H134" s="22" t="str">
        <f aca="false">IF(COUNT(Programação!$AP$5:$AP$1004)&lt;127,"",MATCH(127,Programação!$AP$5:$AP$1004,0)+4)</f>
        <v/>
      </c>
    </row>
    <row r="135" customFormat="false" ht="15.75" hidden="false" customHeight="true" outlineLevel="0" collapsed="false">
      <c r="A135" s="22" t="str">
        <f aca="false">IF(COUNT(Programação!$AP$5:$AP$1004)&lt;128,"",IF(INDEX(Programação!$AM$5:$AM$1004,MATCH(128,Programação!$AP$5:$AP$1004,0))="","",INDEX(Programação!$AM$5:$AM$1004,MATCH(128,Programação!$AP$5:$AP$1004,0))))</f>
        <v/>
      </c>
      <c r="B135" s="22" t="str">
        <f aca="false">IF(COUNT(Programação!$AP$5:$AP$1004)&lt;128,"",IF(INDEX(Programação!$C$5:$C$1004,MATCH(128,Programação!$AP$5:$AP$1004,0))="","",INDEX(Programação!$C$5:$C$1004,MATCH(128,Programação!$AP$5:$AP$1004,0))))</f>
        <v/>
      </c>
      <c r="C135" s="22" t="str">
        <f aca="false">IF(COUNT(Programação!$AP$5:$AP$1004)&lt;128,"",IF(INDEX(Programação!$D$5:$D$1004,MATCH(128,Programação!$AP$5:$AP$1004,0))="","",INDEX(Programação!$D$5:$D$1004,MATCH(128,Programação!$AP$5:$AP$1004,0))))</f>
        <v/>
      </c>
      <c r="D135" s="22" t="str">
        <f aca="false">IF(COUNT(Programação!$AP$5:$AP$1004)&lt;128,"",IF(INDEX(Programação!$AN$5:$AN$1004,MATCH(128,Programação!$AP$5:$AP$1004,0))="","",INDEX(Programação!$AN$5:$AN$1004,MATCH(128,Programação!$AP$5:$AP$1004,0))))</f>
        <v/>
      </c>
      <c r="E135" s="24" t="str">
        <f aca="false">IF(COUNT(Programação!$AP$5:$AP$1004)&lt;128,"",IF(INDEX(Programação!$F$5:$F$1004,MATCH(128,Programação!$AP$5:$AP$1004,0))="","",INDEX(Programação!$F$5:$F$1004,MATCH(128,Programação!$AP$5:$AP$1004,0))))</f>
        <v/>
      </c>
      <c r="F135" s="22" t="str">
        <f aca="false">IF(COUNT(Programação!$AP$5:$AP$1004)&lt;128,"",IF(INDEX(Programação!$G$5:$G$1004,MATCH(128,Programação!$AP$5:$AP$1004,0))="","",INDEX(Programação!$G$5:$G$1004,MATCH(128,Programação!$AP$5:$AP$1004,0))))</f>
        <v/>
      </c>
      <c r="G135" s="24" t="str">
        <f aca="false">IF(COUNT(Programação!$AP$5:$AP$1004)&lt;128,"",IF(INDEX(Programação!$U$5:$U$1004,MATCH(128,Programação!$AP$5:$AP$1004,0))="","",INDEX(Programação!$U$5:$U$1004,MATCH(128,Programação!$AP$5:$AP$1004,0))))</f>
        <v/>
      </c>
      <c r="H135" s="22" t="str">
        <f aca="false">IF(COUNT(Programação!$AP$5:$AP$1004)&lt;128,"",MATCH(128,Programação!$AP$5:$AP$1004,0)+4)</f>
        <v/>
      </c>
    </row>
    <row r="136" customFormat="false" ht="15.75" hidden="false" customHeight="true" outlineLevel="0" collapsed="false">
      <c r="A136" s="22" t="str">
        <f aca="false">IF(COUNT(Programação!$AP$5:$AP$1004)&lt;129,"",IF(INDEX(Programação!$AM$5:$AM$1004,MATCH(129,Programação!$AP$5:$AP$1004,0))="","",INDEX(Programação!$AM$5:$AM$1004,MATCH(129,Programação!$AP$5:$AP$1004,0))))</f>
        <v/>
      </c>
      <c r="B136" s="22" t="str">
        <f aca="false">IF(COUNT(Programação!$AP$5:$AP$1004)&lt;129,"",IF(INDEX(Programação!$C$5:$C$1004,MATCH(129,Programação!$AP$5:$AP$1004,0))="","",INDEX(Programação!$C$5:$C$1004,MATCH(129,Programação!$AP$5:$AP$1004,0))))</f>
        <v/>
      </c>
      <c r="C136" s="22" t="str">
        <f aca="false">IF(COUNT(Programação!$AP$5:$AP$1004)&lt;129,"",IF(INDEX(Programação!$D$5:$D$1004,MATCH(129,Programação!$AP$5:$AP$1004,0))="","",INDEX(Programação!$D$5:$D$1004,MATCH(129,Programação!$AP$5:$AP$1004,0))))</f>
        <v/>
      </c>
      <c r="D136" s="22" t="str">
        <f aca="false">IF(COUNT(Programação!$AP$5:$AP$1004)&lt;129,"",IF(INDEX(Programação!$AN$5:$AN$1004,MATCH(129,Programação!$AP$5:$AP$1004,0))="","",INDEX(Programação!$AN$5:$AN$1004,MATCH(129,Programação!$AP$5:$AP$1004,0))))</f>
        <v/>
      </c>
      <c r="E136" s="24" t="str">
        <f aca="false">IF(COUNT(Programação!$AP$5:$AP$1004)&lt;129,"",IF(INDEX(Programação!$F$5:$F$1004,MATCH(129,Programação!$AP$5:$AP$1004,0))="","",INDEX(Programação!$F$5:$F$1004,MATCH(129,Programação!$AP$5:$AP$1004,0))))</f>
        <v/>
      </c>
      <c r="F136" s="22" t="str">
        <f aca="false">IF(COUNT(Programação!$AP$5:$AP$1004)&lt;129,"",IF(INDEX(Programação!$G$5:$G$1004,MATCH(129,Programação!$AP$5:$AP$1004,0))="","",INDEX(Programação!$G$5:$G$1004,MATCH(129,Programação!$AP$5:$AP$1004,0))))</f>
        <v/>
      </c>
      <c r="G136" s="24" t="str">
        <f aca="false">IF(COUNT(Programação!$AP$5:$AP$1004)&lt;129,"",IF(INDEX(Programação!$U$5:$U$1004,MATCH(129,Programação!$AP$5:$AP$1004,0))="","",INDEX(Programação!$U$5:$U$1004,MATCH(129,Programação!$AP$5:$AP$1004,0))))</f>
        <v/>
      </c>
      <c r="H136" s="22" t="str">
        <f aca="false">IF(COUNT(Programação!$AP$5:$AP$1004)&lt;129,"",MATCH(129,Programação!$AP$5:$AP$1004,0)+4)</f>
        <v/>
      </c>
    </row>
    <row r="137" customFormat="false" ht="15.75" hidden="false" customHeight="true" outlineLevel="0" collapsed="false">
      <c r="A137" s="22" t="str">
        <f aca="false">IF(COUNT(Programação!$AP$5:$AP$1004)&lt;130,"",IF(INDEX(Programação!$AM$5:$AM$1004,MATCH(130,Programação!$AP$5:$AP$1004,0))="","",INDEX(Programação!$AM$5:$AM$1004,MATCH(130,Programação!$AP$5:$AP$1004,0))))</f>
        <v/>
      </c>
      <c r="B137" s="22" t="str">
        <f aca="false">IF(COUNT(Programação!$AP$5:$AP$1004)&lt;130,"",IF(INDEX(Programação!$C$5:$C$1004,MATCH(130,Programação!$AP$5:$AP$1004,0))="","",INDEX(Programação!$C$5:$C$1004,MATCH(130,Programação!$AP$5:$AP$1004,0))))</f>
        <v/>
      </c>
      <c r="C137" s="22" t="str">
        <f aca="false">IF(COUNT(Programação!$AP$5:$AP$1004)&lt;130,"",IF(INDEX(Programação!$D$5:$D$1004,MATCH(130,Programação!$AP$5:$AP$1004,0))="","",INDEX(Programação!$D$5:$D$1004,MATCH(130,Programação!$AP$5:$AP$1004,0))))</f>
        <v/>
      </c>
      <c r="D137" s="22" t="str">
        <f aca="false">IF(COUNT(Programação!$AP$5:$AP$1004)&lt;130,"",IF(INDEX(Programação!$AN$5:$AN$1004,MATCH(130,Programação!$AP$5:$AP$1004,0))="","",INDEX(Programação!$AN$5:$AN$1004,MATCH(130,Programação!$AP$5:$AP$1004,0))))</f>
        <v/>
      </c>
      <c r="E137" s="24" t="str">
        <f aca="false">IF(COUNT(Programação!$AP$5:$AP$1004)&lt;130,"",IF(INDEX(Programação!$F$5:$F$1004,MATCH(130,Programação!$AP$5:$AP$1004,0))="","",INDEX(Programação!$F$5:$F$1004,MATCH(130,Programação!$AP$5:$AP$1004,0))))</f>
        <v/>
      </c>
      <c r="F137" s="22" t="str">
        <f aca="false">IF(COUNT(Programação!$AP$5:$AP$1004)&lt;130,"",IF(INDEX(Programação!$G$5:$G$1004,MATCH(130,Programação!$AP$5:$AP$1004,0))="","",INDEX(Programação!$G$5:$G$1004,MATCH(130,Programação!$AP$5:$AP$1004,0))))</f>
        <v/>
      </c>
      <c r="G137" s="24" t="str">
        <f aca="false">IF(COUNT(Programação!$AP$5:$AP$1004)&lt;130,"",IF(INDEX(Programação!$U$5:$U$1004,MATCH(130,Programação!$AP$5:$AP$1004,0))="","",INDEX(Programação!$U$5:$U$1004,MATCH(130,Programação!$AP$5:$AP$1004,0))))</f>
        <v/>
      </c>
      <c r="H137" s="22" t="str">
        <f aca="false">IF(COUNT(Programação!$AP$5:$AP$1004)&lt;130,"",MATCH(130,Programação!$AP$5:$AP$1004,0)+4)</f>
        <v/>
      </c>
    </row>
    <row r="138" customFormat="false" ht="15.75" hidden="false" customHeight="true" outlineLevel="0" collapsed="false">
      <c r="A138" s="22" t="str">
        <f aca="false">IF(COUNT(Programação!$AP$5:$AP$1004)&lt;131,"",IF(INDEX(Programação!$AM$5:$AM$1004,MATCH(131,Programação!$AP$5:$AP$1004,0))="","",INDEX(Programação!$AM$5:$AM$1004,MATCH(131,Programação!$AP$5:$AP$1004,0))))</f>
        <v/>
      </c>
      <c r="B138" s="22" t="str">
        <f aca="false">IF(COUNT(Programação!$AP$5:$AP$1004)&lt;131,"",IF(INDEX(Programação!$C$5:$C$1004,MATCH(131,Programação!$AP$5:$AP$1004,0))="","",INDEX(Programação!$C$5:$C$1004,MATCH(131,Programação!$AP$5:$AP$1004,0))))</f>
        <v/>
      </c>
      <c r="C138" s="22" t="str">
        <f aca="false">IF(COUNT(Programação!$AP$5:$AP$1004)&lt;131,"",IF(INDEX(Programação!$D$5:$D$1004,MATCH(131,Programação!$AP$5:$AP$1004,0))="","",INDEX(Programação!$D$5:$D$1004,MATCH(131,Programação!$AP$5:$AP$1004,0))))</f>
        <v/>
      </c>
      <c r="D138" s="22" t="str">
        <f aca="false">IF(COUNT(Programação!$AP$5:$AP$1004)&lt;131,"",IF(INDEX(Programação!$AN$5:$AN$1004,MATCH(131,Programação!$AP$5:$AP$1004,0))="","",INDEX(Programação!$AN$5:$AN$1004,MATCH(131,Programação!$AP$5:$AP$1004,0))))</f>
        <v/>
      </c>
      <c r="E138" s="24" t="str">
        <f aca="false">IF(COUNT(Programação!$AP$5:$AP$1004)&lt;131,"",IF(INDEX(Programação!$F$5:$F$1004,MATCH(131,Programação!$AP$5:$AP$1004,0))="","",INDEX(Programação!$F$5:$F$1004,MATCH(131,Programação!$AP$5:$AP$1004,0))))</f>
        <v/>
      </c>
      <c r="F138" s="22" t="str">
        <f aca="false">IF(COUNT(Programação!$AP$5:$AP$1004)&lt;131,"",IF(INDEX(Programação!$G$5:$G$1004,MATCH(131,Programação!$AP$5:$AP$1004,0))="","",INDEX(Programação!$G$5:$G$1004,MATCH(131,Programação!$AP$5:$AP$1004,0))))</f>
        <v/>
      </c>
      <c r="G138" s="24" t="str">
        <f aca="false">IF(COUNT(Programação!$AP$5:$AP$1004)&lt;131,"",IF(INDEX(Programação!$U$5:$U$1004,MATCH(131,Programação!$AP$5:$AP$1004,0))="","",INDEX(Programação!$U$5:$U$1004,MATCH(131,Programação!$AP$5:$AP$1004,0))))</f>
        <v/>
      </c>
      <c r="H138" s="22" t="str">
        <f aca="false">IF(COUNT(Programação!$AP$5:$AP$1004)&lt;131,"",MATCH(131,Programação!$AP$5:$AP$1004,0)+4)</f>
        <v/>
      </c>
    </row>
    <row r="139" customFormat="false" ht="15.75" hidden="false" customHeight="true" outlineLevel="0" collapsed="false">
      <c r="A139" s="22" t="str">
        <f aca="false">IF(COUNT(Programação!$AP$5:$AP$1004)&lt;132,"",IF(INDEX(Programação!$AM$5:$AM$1004,MATCH(132,Programação!$AP$5:$AP$1004,0))="","",INDEX(Programação!$AM$5:$AM$1004,MATCH(132,Programação!$AP$5:$AP$1004,0))))</f>
        <v/>
      </c>
      <c r="B139" s="22" t="str">
        <f aca="false">IF(COUNT(Programação!$AP$5:$AP$1004)&lt;132,"",IF(INDEX(Programação!$C$5:$C$1004,MATCH(132,Programação!$AP$5:$AP$1004,0))="","",INDEX(Programação!$C$5:$C$1004,MATCH(132,Programação!$AP$5:$AP$1004,0))))</f>
        <v/>
      </c>
      <c r="C139" s="22" t="str">
        <f aca="false">IF(COUNT(Programação!$AP$5:$AP$1004)&lt;132,"",IF(INDEX(Programação!$D$5:$D$1004,MATCH(132,Programação!$AP$5:$AP$1004,0))="","",INDEX(Programação!$D$5:$D$1004,MATCH(132,Programação!$AP$5:$AP$1004,0))))</f>
        <v/>
      </c>
      <c r="D139" s="22" t="str">
        <f aca="false">IF(COUNT(Programação!$AP$5:$AP$1004)&lt;132,"",IF(INDEX(Programação!$AN$5:$AN$1004,MATCH(132,Programação!$AP$5:$AP$1004,0))="","",INDEX(Programação!$AN$5:$AN$1004,MATCH(132,Programação!$AP$5:$AP$1004,0))))</f>
        <v/>
      </c>
      <c r="E139" s="24" t="str">
        <f aca="false">IF(COUNT(Programação!$AP$5:$AP$1004)&lt;132,"",IF(INDEX(Programação!$F$5:$F$1004,MATCH(132,Programação!$AP$5:$AP$1004,0))="","",INDEX(Programação!$F$5:$F$1004,MATCH(132,Programação!$AP$5:$AP$1004,0))))</f>
        <v/>
      </c>
      <c r="F139" s="22" t="str">
        <f aca="false">IF(COUNT(Programação!$AP$5:$AP$1004)&lt;132,"",IF(INDEX(Programação!$G$5:$G$1004,MATCH(132,Programação!$AP$5:$AP$1004,0))="","",INDEX(Programação!$G$5:$G$1004,MATCH(132,Programação!$AP$5:$AP$1004,0))))</f>
        <v/>
      </c>
      <c r="G139" s="24" t="str">
        <f aca="false">IF(COUNT(Programação!$AP$5:$AP$1004)&lt;132,"",IF(INDEX(Programação!$U$5:$U$1004,MATCH(132,Programação!$AP$5:$AP$1004,0))="","",INDEX(Programação!$U$5:$U$1004,MATCH(132,Programação!$AP$5:$AP$1004,0))))</f>
        <v/>
      </c>
      <c r="H139" s="22" t="str">
        <f aca="false">IF(COUNT(Programação!$AP$5:$AP$1004)&lt;132,"",MATCH(132,Programação!$AP$5:$AP$1004,0)+4)</f>
        <v/>
      </c>
    </row>
    <row r="140" customFormat="false" ht="15.75" hidden="false" customHeight="true" outlineLevel="0" collapsed="false">
      <c r="A140" s="22" t="str">
        <f aca="false">IF(COUNT(Programação!$AP$5:$AP$1004)&lt;133,"",IF(INDEX(Programação!$AM$5:$AM$1004,MATCH(133,Programação!$AP$5:$AP$1004,0))="","",INDEX(Programação!$AM$5:$AM$1004,MATCH(133,Programação!$AP$5:$AP$1004,0))))</f>
        <v/>
      </c>
      <c r="B140" s="22" t="str">
        <f aca="false">IF(COUNT(Programação!$AP$5:$AP$1004)&lt;133,"",IF(INDEX(Programação!$C$5:$C$1004,MATCH(133,Programação!$AP$5:$AP$1004,0))="","",INDEX(Programação!$C$5:$C$1004,MATCH(133,Programação!$AP$5:$AP$1004,0))))</f>
        <v/>
      </c>
      <c r="C140" s="22" t="str">
        <f aca="false">IF(COUNT(Programação!$AP$5:$AP$1004)&lt;133,"",IF(INDEX(Programação!$D$5:$D$1004,MATCH(133,Programação!$AP$5:$AP$1004,0))="","",INDEX(Programação!$D$5:$D$1004,MATCH(133,Programação!$AP$5:$AP$1004,0))))</f>
        <v/>
      </c>
      <c r="D140" s="22" t="str">
        <f aca="false">IF(COUNT(Programação!$AP$5:$AP$1004)&lt;133,"",IF(INDEX(Programação!$AN$5:$AN$1004,MATCH(133,Programação!$AP$5:$AP$1004,0))="","",INDEX(Programação!$AN$5:$AN$1004,MATCH(133,Programação!$AP$5:$AP$1004,0))))</f>
        <v/>
      </c>
      <c r="E140" s="24" t="str">
        <f aca="false">IF(COUNT(Programação!$AP$5:$AP$1004)&lt;133,"",IF(INDEX(Programação!$F$5:$F$1004,MATCH(133,Programação!$AP$5:$AP$1004,0))="","",INDEX(Programação!$F$5:$F$1004,MATCH(133,Programação!$AP$5:$AP$1004,0))))</f>
        <v/>
      </c>
      <c r="F140" s="22" t="str">
        <f aca="false">IF(COUNT(Programação!$AP$5:$AP$1004)&lt;133,"",IF(INDEX(Programação!$G$5:$G$1004,MATCH(133,Programação!$AP$5:$AP$1004,0))="","",INDEX(Programação!$G$5:$G$1004,MATCH(133,Programação!$AP$5:$AP$1004,0))))</f>
        <v/>
      </c>
      <c r="G140" s="24" t="str">
        <f aca="false">IF(COUNT(Programação!$AP$5:$AP$1004)&lt;133,"",IF(INDEX(Programação!$U$5:$U$1004,MATCH(133,Programação!$AP$5:$AP$1004,0))="","",INDEX(Programação!$U$5:$U$1004,MATCH(133,Programação!$AP$5:$AP$1004,0))))</f>
        <v/>
      </c>
      <c r="H140" s="22" t="str">
        <f aca="false">IF(COUNT(Programação!$AP$5:$AP$1004)&lt;133,"",MATCH(133,Programação!$AP$5:$AP$1004,0)+4)</f>
        <v/>
      </c>
    </row>
    <row r="141" customFormat="false" ht="15.75" hidden="false" customHeight="true" outlineLevel="0" collapsed="false">
      <c r="A141" s="22" t="str">
        <f aca="false">IF(COUNT(Programação!$AP$5:$AP$1004)&lt;134,"",IF(INDEX(Programação!$AM$5:$AM$1004,MATCH(134,Programação!$AP$5:$AP$1004,0))="","",INDEX(Programação!$AM$5:$AM$1004,MATCH(134,Programação!$AP$5:$AP$1004,0))))</f>
        <v/>
      </c>
      <c r="B141" s="22" t="str">
        <f aca="false">IF(COUNT(Programação!$AP$5:$AP$1004)&lt;134,"",IF(INDEX(Programação!$C$5:$C$1004,MATCH(134,Programação!$AP$5:$AP$1004,0))="","",INDEX(Programação!$C$5:$C$1004,MATCH(134,Programação!$AP$5:$AP$1004,0))))</f>
        <v/>
      </c>
      <c r="C141" s="22" t="str">
        <f aca="false">IF(COUNT(Programação!$AP$5:$AP$1004)&lt;134,"",IF(INDEX(Programação!$D$5:$D$1004,MATCH(134,Programação!$AP$5:$AP$1004,0))="","",INDEX(Programação!$D$5:$D$1004,MATCH(134,Programação!$AP$5:$AP$1004,0))))</f>
        <v/>
      </c>
      <c r="D141" s="22" t="str">
        <f aca="false">IF(COUNT(Programação!$AP$5:$AP$1004)&lt;134,"",IF(INDEX(Programação!$AN$5:$AN$1004,MATCH(134,Programação!$AP$5:$AP$1004,0))="","",INDEX(Programação!$AN$5:$AN$1004,MATCH(134,Programação!$AP$5:$AP$1004,0))))</f>
        <v/>
      </c>
      <c r="E141" s="24" t="str">
        <f aca="false">IF(COUNT(Programação!$AP$5:$AP$1004)&lt;134,"",IF(INDEX(Programação!$F$5:$F$1004,MATCH(134,Programação!$AP$5:$AP$1004,0))="","",INDEX(Programação!$F$5:$F$1004,MATCH(134,Programação!$AP$5:$AP$1004,0))))</f>
        <v/>
      </c>
      <c r="F141" s="22" t="str">
        <f aca="false">IF(COUNT(Programação!$AP$5:$AP$1004)&lt;134,"",IF(INDEX(Programação!$G$5:$G$1004,MATCH(134,Programação!$AP$5:$AP$1004,0))="","",INDEX(Programação!$G$5:$G$1004,MATCH(134,Programação!$AP$5:$AP$1004,0))))</f>
        <v/>
      </c>
      <c r="G141" s="24" t="str">
        <f aca="false">IF(COUNT(Programação!$AP$5:$AP$1004)&lt;134,"",IF(INDEX(Programação!$U$5:$U$1004,MATCH(134,Programação!$AP$5:$AP$1004,0))="","",INDEX(Programação!$U$5:$U$1004,MATCH(134,Programação!$AP$5:$AP$1004,0))))</f>
        <v/>
      </c>
      <c r="H141" s="22" t="str">
        <f aca="false">IF(COUNT(Programação!$AP$5:$AP$1004)&lt;134,"",MATCH(134,Programação!$AP$5:$AP$1004,0)+4)</f>
        <v/>
      </c>
    </row>
    <row r="142" customFormat="false" ht="15.75" hidden="false" customHeight="true" outlineLevel="0" collapsed="false">
      <c r="A142" s="22" t="str">
        <f aca="false">IF(COUNT(Programação!$AP$5:$AP$1004)&lt;135,"",IF(INDEX(Programação!$AM$5:$AM$1004,MATCH(135,Programação!$AP$5:$AP$1004,0))="","",INDEX(Programação!$AM$5:$AM$1004,MATCH(135,Programação!$AP$5:$AP$1004,0))))</f>
        <v/>
      </c>
      <c r="B142" s="22" t="str">
        <f aca="false">IF(COUNT(Programação!$AP$5:$AP$1004)&lt;135,"",IF(INDEX(Programação!$C$5:$C$1004,MATCH(135,Programação!$AP$5:$AP$1004,0))="","",INDEX(Programação!$C$5:$C$1004,MATCH(135,Programação!$AP$5:$AP$1004,0))))</f>
        <v/>
      </c>
      <c r="C142" s="22" t="str">
        <f aca="false">IF(COUNT(Programação!$AP$5:$AP$1004)&lt;135,"",IF(INDEX(Programação!$D$5:$D$1004,MATCH(135,Programação!$AP$5:$AP$1004,0))="","",INDEX(Programação!$D$5:$D$1004,MATCH(135,Programação!$AP$5:$AP$1004,0))))</f>
        <v/>
      </c>
      <c r="D142" s="22" t="str">
        <f aca="false">IF(COUNT(Programação!$AP$5:$AP$1004)&lt;135,"",IF(INDEX(Programação!$AN$5:$AN$1004,MATCH(135,Programação!$AP$5:$AP$1004,0))="","",INDEX(Programação!$AN$5:$AN$1004,MATCH(135,Programação!$AP$5:$AP$1004,0))))</f>
        <v/>
      </c>
      <c r="E142" s="24" t="str">
        <f aca="false">IF(COUNT(Programação!$AP$5:$AP$1004)&lt;135,"",IF(INDEX(Programação!$F$5:$F$1004,MATCH(135,Programação!$AP$5:$AP$1004,0))="","",INDEX(Programação!$F$5:$F$1004,MATCH(135,Programação!$AP$5:$AP$1004,0))))</f>
        <v/>
      </c>
      <c r="F142" s="22" t="str">
        <f aca="false">IF(COUNT(Programação!$AP$5:$AP$1004)&lt;135,"",IF(INDEX(Programação!$G$5:$G$1004,MATCH(135,Programação!$AP$5:$AP$1004,0))="","",INDEX(Programação!$G$5:$G$1004,MATCH(135,Programação!$AP$5:$AP$1004,0))))</f>
        <v/>
      </c>
      <c r="G142" s="24" t="str">
        <f aca="false">IF(COUNT(Programação!$AP$5:$AP$1004)&lt;135,"",IF(INDEX(Programação!$U$5:$U$1004,MATCH(135,Programação!$AP$5:$AP$1004,0))="","",INDEX(Programação!$U$5:$U$1004,MATCH(135,Programação!$AP$5:$AP$1004,0))))</f>
        <v/>
      </c>
      <c r="H142" s="22" t="str">
        <f aca="false">IF(COUNT(Programação!$AP$5:$AP$1004)&lt;135,"",MATCH(135,Programação!$AP$5:$AP$1004,0)+4)</f>
        <v/>
      </c>
    </row>
    <row r="143" customFormat="false" ht="15.75" hidden="false" customHeight="true" outlineLevel="0" collapsed="false">
      <c r="A143" s="22" t="str">
        <f aca="false">IF(COUNT(Programação!$AP$5:$AP$1004)&lt;136,"",IF(INDEX(Programação!$AM$5:$AM$1004,MATCH(136,Programação!$AP$5:$AP$1004,0))="","",INDEX(Programação!$AM$5:$AM$1004,MATCH(136,Programação!$AP$5:$AP$1004,0))))</f>
        <v/>
      </c>
      <c r="B143" s="22" t="str">
        <f aca="false">IF(COUNT(Programação!$AP$5:$AP$1004)&lt;136,"",IF(INDEX(Programação!$C$5:$C$1004,MATCH(136,Programação!$AP$5:$AP$1004,0))="","",INDEX(Programação!$C$5:$C$1004,MATCH(136,Programação!$AP$5:$AP$1004,0))))</f>
        <v/>
      </c>
      <c r="C143" s="22" t="str">
        <f aca="false">IF(COUNT(Programação!$AP$5:$AP$1004)&lt;136,"",IF(INDEX(Programação!$D$5:$D$1004,MATCH(136,Programação!$AP$5:$AP$1004,0))="","",INDEX(Programação!$D$5:$D$1004,MATCH(136,Programação!$AP$5:$AP$1004,0))))</f>
        <v/>
      </c>
      <c r="D143" s="22" t="str">
        <f aca="false">IF(COUNT(Programação!$AP$5:$AP$1004)&lt;136,"",IF(INDEX(Programação!$AN$5:$AN$1004,MATCH(136,Programação!$AP$5:$AP$1004,0))="","",INDEX(Programação!$AN$5:$AN$1004,MATCH(136,Programação!$AP$5:$AP$1004,0))))</f>
        <v/>
      </c>
      <c r="E143" s="24" t="str">
        <f aca="false">IF(COUNT(Programação!$AP$5:$AP$1004)&lt;136,"",IF(INDEX(Programação!$F$5:$F$1004,MATCH(136,Programação!$AP$5:$AP$1004,0))="","",INDEX(Programação!$F$5:$F$1004,MATCH(136,Programação!$AP$5:$AP$1004,0))))</f>
        <v/>
      </c>
      <c r="F143" s="22" t="str">
        <f aca="false">IF(COUNT(Programação!$AP$5:$AP$1004)&lt;136,"",IF(INDEX(Programação!$G$5:$G$1004,MATCH(136,Programação!$AP$5:$AP$1004,0))="","",INDEX(Programação!$G$5:$G$1004,MATCH(136,Programação!$AP$5:$AP$1004,0))))</f>
        <v/>
      </c>
      <c r="G143" s="24" t="str">
        <f aca="false">IF(COUNT(Programação!$AP$5:$AP$1004)&lt;136,"",IF(INDEX(Programação!$U$5:$U$1004,MATCH(136,Programação!$AP$5:$AP$1004,0))="","",INDEX(Programação!$U$5:$U$1004,MATCH(136,Programação!$AP$5:$AP$1004,0))))</f>
        <v/>
      </c>
      <c r="H143" s="22" t="str">
        <f aca="false">IF(COUNT(Programação!$AP$5:$AP$1004)&lt;136,"",MATCH(136,Programação!$AP$5:$AP$1004,0)+4)</f>
        <v/>
      </c>
    </row>
    <row r="144" customFormat="false" ht="15.75" hidden="false" customHeight="true" outlineLevel="0" collapsed="false">
      <c r="A144" s="22" t="str">
        <f aca="false">IF(COUNT(Programação!$AP$5:$AP$1004)&lt;137,"",IF(INDEX(Programação!$AM$5:$AM$1004,MATCH(137,Programação!$AP$5:$AP$1004,0))="","",INDEX(Programação!$AM$5:$AM$1004,MATCH(137,Programação!$AP$5:$AP$1004,0))))</f>
        <v/>
      </c>
      <c r="B144" s="22" t="str">
        <f aca="false">IF(COUNT(Programação!$AP$5:$AP$1004)&lt;137,"",IF(INDEX(Programação!$C$5:$C$1004,MATCH(137,Programação!$AP$5:$AP$1004,0))="","",INDEX(Programação!$C$5:$C$1004,MATCH(137,Programação!$AP$5:$AP$1004,0))))</f>
        <v/>
      </c>
      <c r="C144" s="22" t="str">
        <f aca="false">IF(COUNT(Programação!$AP$5:$AP$1004)&lt;137,"",IF(INDEX(Programação!$D$5:$D$1004,MATCH(137,Programação!$AP$5:$AP$1004,0))="","",INDEX(Programação!$D$5:$D$1004,MATCH(137,Programação!$AP$5:$AP$1004,0))))</f>
        <v/>
      </c>
      <c r="D144" s="22" t="str">
        <f aca="false">IF(COUNT(Programação!$AP$5:$AP$1004)&lt;137,"",IF(INDEX(Programação!$AN$5:$AN$1004,MATCH(137,Programação!$AP$5:$AP$1004,0))="","",INDEX(Programação!$AN$5:$AN$1004,MATCH(137,Programação!$AP$5:$AP$1004,0))))</f>
        <v/>
      </c>
      <c r="E144" s="24" t="str">
        <f aca="false">IF(COUNT(Programação!$AP$5:$AP$1004)&lt;137,"",IF(INDEX(Programação!$F$5:$F$1004,MATCH(137,Programação!$AP$5:$AP$1004,0))="","",INDEX(Programação!$F$5:$F$1004,MATCH(137,Programação!$AP$5:$AP$1004,0))))</f>
        <v/>
      </c>
      <c r="F144" s="22" t="str">
        <f aca="false">IF(COUNT(Programação!$AP$5:$AP$1004)&lt;137,"",IF(INDEX(Programação!$G$5:$G$1004,MATCH(137,Programação!$AP$5:$AP$1004,0))="","",INDEX(Programação!$G$5:$G$1004,MATCH(137,Programação!$AP$5:$AP$1004,0))))</f>
        <v/>
      </c>
      <c r="G144" s="24" t="str">
        <f aca="false">IF(COUNT(Programação!$AP$5:$AP$1004)&lt;137,"",IF(INDEX(Programação!$U$5:$U$1004,MATCH(137,Programação!$AP$5:$AP$1004,0))="","",INDEX(Programação!$U$5:$U$1004,MATCH(137,Programação!$AP$5:$AP$1004,0))))</f>
        <v/>
      </c>
      <c r="H144" s="22" t="str">
        <f aca="false">IF(COUNT(Programação!$AP$5:$AP$1004)&lt;137,"",MATCH(137,Programação!$AP$5:$AP$1004,0)+4)</f>
        <v/>
      </c>
    </row>
    <row r="145" customFormat="false" ht="15.75" hidden="false" customHeight="true" outlineLevel="0" collapsed="false">
      <c r="A145" s="22" t="str">
        <f aca="false">IF(COUNT(Programação!$AP$5:$AP$1004)&lt;138,"",IF(INDEX(Programação!$AM$5:$AM$1004,MATCH(138,Programação!$AP$5:$AP$1004,0))="","",INDEX(Programação!$AM$5:$AM$1004,MATCH(138,Programação!$AP$5:$AP$1004,0))))</f>
        <v/>
      </c>
      <c r="B145" s="22" t="str">
        <f aca="false">IF(COUNT(Programação!$AP$5:$AP$1004)&lt;138,"",IF(INDEX(Programação!$C$5:$C$1004,MATCH(138,Programação!$AP$5:$AP$1004,0))="","",INDEX(Programação!$C$5:$C$1004,MATCH(138,Programação!$AP$5:$AP$1004,0))))</f>
        <v/>
      </c>
      <c r="C145" s="22" t="str">
        <f aca="false">IF(COUNT(Programação!$AP$5:$AP$1004)&lt;138,"",IF(INDEX(Programação!$D$5:$D$1004,MATCH(138,Programação!$AP$5:$AP$1004,0))="","",INDEX(Programação!$D$5:$D$1004,MATCH(138,Programação!$AP$5:$AP$1004,0))))</f>
        <v/>
      </c>
      <c r="D145" s="22" t="str">
        <f aca="false">IF(COUNT(Programação!$AP$5:$AP$1004)&lt;138,"",IF(INDEX(Programação!$AN$5:$AN$1004,MATCH(138,Programação!$AP$5:$AP$1004,0))="","",INDEX(Programação!$AN$5:$AN$1004,MATCH(138,Programação!$AP$5:$AP$1004,0))))</f>
        <v/>
      </c>
      <c r="E145" s="24" t="str">
        <f aca="false">IF(COUNT(Programação!$AP$5:$AP$1004)&lt;138,"",IF(INDEX(Programação!$F$5:$F$1004,MATCH(138,Programação!$AP$5:$AP$1004,0))="","",INDEX(Programação!$F$5:$F$1004,MATCH(138,Programação!$AP$5:$AP$1004,0))))</f>
        <v/>
      </c>
      <c r="F145" s="22" t="str">
        <f aca="false">IF(COUNT(Programação!$AP$5:$AP$1004)&lt;138,"",IF(INDEX(Programação!$G$5:$G$1004,MATCH(138,Programação!$AP$5:$AP$1004,0))="","",INDEX(Programação!$G$5:$G$1004,MATCH(138,Programação!$AP$5:$AP$1004,0))))</f>
        <v/>
      </c>
      <c r="G145" s="24" t="str">
        <f aca="false">IF(COUNT(Programação!$AP$5:$AP$1004)&lt;138,"",IF(INDEX(Programação!$U$5:$U$1004,MATCH(138,Programação!$AP$5:$AP$1004,0))="","",INDEX(Programação!$U$5:$U$1004,MATCH(138,Programação!$AP$5:$AP$1004,0))))</f>
        <v/>
      </c>
      <c r="H145" s="22" t="str">
        <f aca="false">IF(COUNT(Programação!$AP$5:$AP$1004)&lt;138,"",MATCH(138,Programação!$AP$5:$AP$1004,0)+4)</f>
        <v/>
      </c>
    </row>
    <row r="146" customFormat="false" ht="15.75" hidden="false" customHeight="true" outlineLevel="0" collapsed="false">
      <c r="A146" s="22" t="str">
        <f aca="false">IF(COUNT(Programação!$AP$5:$AP$1004)&lt;139,"",IF(INDEX(Programação!$AM$5:$AM$1004,MATCH(139,Programação!$AP$5:$AP$1004,0))="","",INDEX(Programação!$AM$5:$AM$1004,MATCH(139,Programação!$AP$5:$AP$1004,0))))</f>
        <v/>
      </c>
      <c r="B146" s="22" t="str">
        <f aca="false">IF(COUNT(Programação!$AP$5:$AP$1004)&lt;139,"",IF(INDEX(Programação!$C$5:$C$1004,MATCH(139,Programação!$AP$5:$AP$1004,0))="","",INDEX(Programação!$C$5:$C$1004,MATCH(139,Programação!$AP$5:$AP$1004,0))))</f>
        <v/>
      </c>
      <c r="C146" s="22" t="str">
        <f aca="false">IF(COUNT(Programação!$AP$5:$AP$1004)&lt;139,"",IF(INDEX(Programação!$D$5:$D$1004,MATCH(139,Programação!$AP$5:$AP$1004,0))="","",INDEX(Programação!$D$5:$D$1004,MATCH(139,Programação!$AP$5:$AP$1004,0))))</f>
        <v/>
      </c>
      <c r="D146" s="22" t="str">
        <f aca="false">IF(COUNT(Programação!$AP$5:$AP$1004)&lt;139,"",IF(INDEX(Programação!$AN$5:$AN$1004,MATCH(139,Programação!$AP$5:$AP$1004,0))="","",INDEX(Programação!$AN$5:$AN$1004,MATCH(139,Programação!$AP$5:$AP$1004,0))))</f>
        <v/>
      </c>
      <c r="E146" s="24" t="str">
        <f aca="false">IF(COUNT(Programação!$AP$5:$AP$1004)&lt;139,"",IF(INDEX(Programação!$F$5:$F$1004,MATCH(139,Programação!$AP$5:$AP$1004,0))="","",INDEX(Programação!$F$5:$F$1004,MATCH(139,Programação!$AP$5:$AP$1004,0))))</f>
        <v/>
      </c>
      <c r="F146" s="22" t="str">
        <f aca="false">IF(COUNT(Programação!$AP$5:$AP$1004)&lt;139,"",IF(INDEX(Programação!$G$5:$G$1004,MATCH(139,Programação!$AP$5:$AP$1004,0))="","",INDEX(Programação!$G$5:$G$1004,MATCH(139,Programação!$AP$5:$AP$1004,0))))</f>
        <v/>
      </c>
      <c r="G146" s="24" t="str">
        <f aca="false">IF(COUNT(Programação!$AP$5:$AP$1004)&lt;139,"",IF(INDEX(Programação!$U$5:$U$1004,MATCH(139,Programação!$AP$5:$AP$1004,0))="","",INDEX(Programação!$U$5:$U$1004,MATCH(139,Programação!$AP$5:$AP$1004,0))))</f>
        <v/>
      </c>
      <c r="H146" s="22" t="str">
        <f aca="false">IF(COUNT(Programação!$AP$5:$AP$1004)&lt;139,"",MATCH(139,Programação!$AP$5:$AP$1004,0)+4)</f>
        <v/>
      </c>
    </row>
    <row r="147" customFormat="false" ht="15.75" hidden="false" customHeight="true" outlineLevel="0" collapsed="false">
      <c r="A147" s="22" t="str">
        <f aca="false">IF(COUNT(Programação!$AP$5:$AP$1004)&lt;140,"",IF(INDEX(Programação!$AM$5:$AM$1004,MATCH(140,Programação!$AP$5:$AP$1004,0))="","",INDEX(Programação!$AM$5:$AM$1004,MATCH(140,Programação!$AP$5:$AP$1004,0))))</f>
        <v/>
      </c>
      <c r="B147" s="22" t="str">
        <f aca="false">IF(COUNT(Programação!$AP$5:$AP$1004)&lt;140,"",IF(INDEX(Programação!$C$5:$C$1004,MATCH(140,Programação!$AP$5:$AP$1004,0))="","",INDEX(Programação!$C$5:$C$1004,MATCH(140,Programação!$AP$5:$AP$1004,0))))</f>
        <v/>
      </c>
      <c r="C147" s="22" t="str">
        <f aca="false">IF(COUNT(Programação!$AP$5:$AP$1004)&lt;140,"",IF(INDEX(Programação!$D$5:$D$1004,MATCH(140,Programação!$AP$5:$AP$1004,0))="","",INDEX(Programação!$D$5:$D$1004,MATCH(140,Programação!$AP$5:$AP$1004,0))))</f>
        <v/>
      </c>
      <c r="D147" s="22" t="str">
        <f aca="false">IF(COUNT(Programação!$AP$5:$AP$1004)&lt;140,"",IF(INDEX(Programação!$AN$5:$AN$1004,MATCH(140,Programação!$AP$5:$AP$1004,0))="","",INDEX(Programação!$AN$5:$AN$1004,MATCH(140,Programação!$AP$5:$AP$1004,0))))</f>
        <v/>
      </c>
      <c r="E147" s="24" t="str">
        <f aca="false">IF(COUNT(Programação!$AP$5:$AP$1004)&lt;140,"",IF(INDEX(Programação!$F$5:$F$1004,MATCH(140,Programação!$AP$5:$AP$1004,0))="","",INDEX(Programação!$F$5:$F$1004,MATCH(140,Programação!$AP$5:$AP$1004,0))))</f>
        <v/>
      </c>
      <c r="F147" s="22" t="str">
        <f aca="false">IF(COUNT(Programação!$AP$5:$AP$1004)&lt;140,"",IF(INDEX(Programação!$G$5:$G$1004,MATCH(140,Programação!$AP$5:$AP$1004,0))="","",INDEX(Programação!$G$5:$G$1004,MATCH(140,Programação!$AP$5:$AP$1004,0))))</f>
        <v/>
      </c>
      <c r="G147" s="24" t="str">
        <f aca="false">IF(COUNT(Programação!$AP$5:$AP$1004)&lt;140,"",IF(INDEX(Programação!$U$5:$U$1004,MATCH(140,Programação!$AP$5:$AP$1004,0))="","",INDEX(Programação!$U$5:$U$1004,MATCH(140,Programação!$AP$5:$AP$1004,0))))</f>
        <v/>
      </c>
      <c r="H147" s="22" t="str">
        <f aca="false">IF(COUNT(Programação!$AP$5:$AP$1004)&lt;140,"",MATCH(140,Programação!$AP$5:$AP$1004,0)+4)</f>
        <v/>
      </c>
    </row>
    <row r="148" customFormat="false" ht="15.75" hidden="false" customHeight="true" outlineLevel="0" collapsed="false">
      <c r="A148" s="22" t="str">
        <f aca="false">IF(COUNT(Programação!$AP$5:$AP$1004)&lt;141,"",IF(INDEX(Programação!$AM$5:$AM$1004,MATCH(141,Programação!$AP$5:$AP$1004,0))="","",INDEX(Programação!$AM$5:$AM$1004,MATCH(141,Programação!$AP$5:$AP$1004,0))))</f>
        <v/>
      </c>
      <c r="B148" s="22" t="str">
        <f aca="false">IF(COUNT(Programação!$AP$5:$AP$1004)&lt;141,"",IF(INDEX(Programação!$C$5:$C$1004,MATCH(141,Programação!$AP$5:$AP$1004,0))="","",INDEX(Programação!$C$5:$C$1004,MATCH(141,Programação!$AP$5:$AP$1004,0))))</f>
        <v/>
      </c>
      <c r="C148" s="22" t="str">
        <f aca="false">IF(COUNT(Programação!$AP$5:$AP$1004)&lt;141,"",IF(INDEX(Programação!$D$5:$D$1004,MATCH(141,Programação!$AP$5:$AP$1004,0))="","",INDEX(Programação!$D$5:$D$1004,MATCH(141,Programação!$AP$5:$AP$1004,0))))</f>
        <v/>
      </c>
      <c r="D148" s="22" t="str">
        <f aca="false">IF(COUNT(Programação!$AP$5:$AP$1004)&lt;141,"",IF(INDEX(Programação!$AN$5:$AN$1004,MATCH(141,Programação!$AP$5:$AP$1004,0))="","",INDEX(Programação!$AN$5:$AN$1004,MATCH(141,Programação!$AP$5:$AP$1004,0))))</f>
        <v/>
      </c>
      <c r="E148" s="24" t="str">
        <f aca="false">IF(COUNT(Programação!$AP$5:$AP$1004)&lt;141,"",IF(INDEX(Programação!$F$5:$F$1004,MATCH(141,Programação!$AP$5:$AP$1004,0))="","",INDEX(Programação!$F$5:$F$1004,MATCH(141,Programação!$AP$5:$AP$1004,0))))</f>
        <v/>
      </c>
      <c r="F148" s="22" t="str">
        <f aca="false">IF(COUNT(Programação!$AP$5:$AP$1004)&lt;141,"",IF(INDEX(Programação!$G$5:$G$1004,MATCH(141,Programação!$AP$5:$AP$1004,0))="","",INDEX(Programação!$G$5:$G$1004,MATCH(141,Programação!$AP$5:$AP$1004,0))))</f>
        <v/>
      </c>
      <c r="G148" s="24" t="str">
        <f aca="false">IF(COUNT(Programação!$AP$5:$AP$1004)&lt;141,"",IF(INDEX(Programação!$U$5:$U$1004,MATCH(141,Programação!$AP$5:$AP$1004,0))="","",INDEX(Programação!$U$5:$U$1004,MATCH(141,Programação!$AP$5:$AP$1004,0))))</f>
        <v/>
      </c>
      <c r="H148" s="22" t="str">
        <f aca="false">IF(COUNT(Programação!$AP$5:$AP$1004)&lt;141,"",MATCH(141,Programação!$AP$5:$AP$1004,0)+4)</f>
        <v/>
      </c>
    </row>
    <row r="149" customFormat="false" ht="15.75" hidden="false" customHeight="true" outlineLevel="0" collapsed="false">
      <c r="A149" s="22" t="str">
        <f aca="false">IF(COUNT(Programação!$AP$5:$AP$1004)&lt;142,"",IF(INDEX(Programação!$AM$5:$AM$1004,MATCH(142,Programação!$AP$5:$AP$1004,0))="","",INDEX(Programação!$AM$5:$AM$1004,MATCH(142,Programação!$AP$5:$AP$1004,0))))</f>
        <v/>
      </c>
      <c r="B149" s="22" t="str">
        <f aca="false">IF(COUNT(Programação!$AP$5:$AP$1004)&lt;142,"",IF(INDEX(Programação!$C$5:$C$1004,MATCH(142,Programação!$AP$5:$AP$1004,0))="","",INDEX(Programação!$C$5:$C$1004,MATCH(142,Programação!$AP$5:$AP$1004,0))))</f>
        <v/>
      </c>
      <c r="C149" s="22" t="str">
        <f aca="false">IF(COUNT(Programação!$AP$5:$AP$1004)&lt;142,"",IF(INDEX(Programação!$D$5:$D$1004,MATCH(142,Programação!$AP$5:$AP$1004,0))="","",INDEX(Programação!$D$5:$D$1004,MATCH(142,Programação!$AP$5:$AP$1004,0))))</f>
        <v/>
      </c>
      <c r="D149" s="22" t="str">
        <f aca="false">IF(COUNT(Programação!$AP$5:$AP$1004)&lt;142,"",IF(INDEX(Programação!$AN$5:$AN$1004,MATCH(142,Programação!$AP$5:$AP$1004,0))="","",INDEX(Programação!$AN$5:$AN$1004,MATCH(142,Programação!$AP$5:$AP$1004,0))))</f>
        <v/>
      </c>
      <c r="E149" s="24" t="str">
        <f aca="false">IF(COUNT(Programação!$AP$5:$AP$1004)&lt;142,"",IF(INDEX(Programação!$F$5:$F$1004,MATCH(142,Programação!$AP$5:$AP$1004,0))="","",INDEX(Programação!$F$5:$F$1004,MATCH(142,Programação!$AP$5:$AP$1004,0))))</f>
        <v/>
      </c>
      <c r="F149" s="22" t="str">
        <f aca="false">IF(COUNT(Programação!$AP$5:$AP$1004)&lt;142,"",IF(INDEX(Programação!$G$5:$G$1004,MATCH(142,Programação!$AP$5:$AP$1004,0))="","",INDEX(Programação!$G$5:$G$1004,MATCH(142,Programação!$AP$5:$AP$1004,0))))</f>
        <v/>
      </c>
      <c r="G149" s="24" t="str">
        <f aca="false">IF(COUNT(Programação!$AP$5:$AP$1004)&lt;142,"",IF(INDEX(Programação!$U$5:$U$1004,MATCH(142,Programação!$AP$5:$AP$1004,0))="","",INDEX(Programação!$U$5:$U$1004,MATCH(142,Programação!$AP$5:$AP$1004,0))))</f>
        <v/>
      </c>
      <c r="H149" s="22" t="str">
        <f aca="false">IF(COUNT(Programação!$AP$5:$AP$1004)&lt;142,"",MATCH(142,Programação!$AP$5:$AP$1004,0)+4)</f>
        <v/>
      </c>
    </row>
    <row r="150" customFormat="false" ht="15.75" hidden="false" customHeight="true" outlineLevel="0" collapsed="false">
      <c r="A150" s="22" t="str">
        <f aca="false">IF(COUNT(Programação!$AP$5:$AP$1004)&lt;143,"",IF(INDEX(Programação!$AM$5:$AM$1004,MATCH(143,Programação!$AP$5:$AP$1004,0))="","",INDEX(Programação!$AM$5:$AM$1004,MATCH(143,Programação!$AP$5:$AP$1004,0))))</f>
        <v/>
      </c>
      <c r="B150" s="22" t="str">
        <f aca="false">IF(COUNT(Programação!$AP$5:$AP$1004)&lt;143,"",IF(INDEX(Programação!$C$5:$C$1004,MATCH(143,Programação!$AP$5:$AP$1004,0))="","",INDEX(Programação!$C$5:$C$1004,MATCH(143,Programação!$AP$5:$AP$1004,0))))</f>
        <v/>
      </c>
      <c r="C150" s="22" t="str">
        <f aca="false">IF(COUNT(Programação!$AP$5:$AP$1004)&lt;143,"",IF(INDEX(Programação!$D$5:$D$1004,MATCH(143,Programação!$AP$5:$AP$1004,0))="","",INDEX(Programação!$D$5:$D$1004,MATCH(143,Programação!$AP$5:$AP$1004,0))))</f>
        <v/>
      </c>
      <c r="D150" s="22" t="str">
        <f aca="false">IF(COUNT(Programação!$AP$5:$AP$1004)&lt;143,"",IF(INDEX(Programação!$AN$5:$AN$1004,MATCH(143,Programação!$AP$5:$AP$1004,0))="","",INDEX(Programação!$AN$5:$AN$1004,MATCH(143,Programação!$AP$5:$AP$1004,0))))</f>
        <v/>
      </c>
      <c r="E150" s="24" t="str">
        <f aca="false">IF(COUNT(Programação!$AP$5:$AP$1004)&lt;143,"",IF(INDEX(Programação!$F$5:$F$1004,MATCH(143,Programação!$AP$5:$AP$1004,0))="","",INDEX(Programação!$F$5:$F$1004,MATCH(143,Programação!$AP$5:$AP$1004,0))))</f>
        <v/>
      </c>
      <c r="F150" s="22" t="str">
        <f aca="false">IF(COUNT(Programação!$AP$5:$AP$1004)&lt;143,"",IF(INDEX(Programação!$G$5:$G$1004,MATCH(143,Programação!$AP$5:$AP$1004,0))="","",INDEX(Programação!$G$5:$G$1004,MATCH(143,Programação!$AP$5:$AP$1004,0))))</f>
        <v/>
      </c>
      <c r="G150" s="24" t="str">
        <f aca="false">IF(COUNT(Programação!$AP$5:$AP$1004)&lt;143,"",IF(INDEX(Programação!$U$5:$U$1004,MATCH(143,Programação!$AP$5:$AP$1004,0))="","",INDEX(Programação!$U$5:$U$1004,MATCH(143,Programação!$AP$5:$AP$1004,0))))</f>
        <v/>
      </c>
      <c r="H150" s="22" t="str">
        <f aca="false">IF(COUNT(Programação!$AP$5:$AP$1004)&lt;143,"",MATCH(143,Programação!$AP$5:$AP$1004,0)+4)</f>
        <v/>
      </c>
    </row>
    <row r="151" customFormat="false" ht="15.75" hidden="false" customHeight="true" outlineLevel="0" collapsed="false">
      <c r="A151" s="22" t="str">
        <f aca="false">IF(COUNT(Programação!$AP$5:$AP$1004)&lt;144,"",IF(INDEX(Programação!$AM$5:$AM$1004,MATCH(144,Programação!$AP$5:$AP$1004,0))="","",INDEX(Programação!$AM$5:$AM$1004,MATCH(144,Programação!$AP$5:$AP$1004,0))))</f>
        <v/>
      </c>
      <c r="B151" s="22" t="str">
        <f aca="false">IF(COUNT(Programação!$AP$5:$AP$1004)&lt;144,"",IF(INDEX(Programação!$C$5:$C$1004,MATCH(144,Programação!$AP$5:$AP$1004,0))="","",INDEX(Programação!$C$5:$C$1004,MATCH(144,Programação!$AP$5:$AP$1004,0))))</f>
        <v/>
      </c>
      <c r="C151" s="22" t="str">
        <f aca="false">IF(COUNT(Programação!$AP$5:$AP$1004)&lt;144,"",IF(INDEX(Programação!$D$5:$D$1004,MATCH(144,Programação!$AP$5:$AP$1004,0))="","",INDEX(Programação!$D$5:$D$1004,MATCH(144,Programação!$AP$5:$AP$1004,0))))</f>
        <v/>
      </c>
      <c r="D151" s="22" t="str">
        <f aca="false">IF(COUNT(Programação!$AP$5:$AP$1004)&lt;144,"",IF(INDEX(Programação!$AN$5:$AN$1004,MATCH(144,Programação!$AP$5:$AP$1004,0))="","",INDEX(Programação!$AN$5:$AN$1004,MATCH(144,Programação!$AP$5:$AP$1004,0))))</f>
        <v/>
      </c>
      <c r="E151" s="24" t="str">
        <f aca="false">IF(COUNT(Programação!$AP$5:$AP$1004)&lt;144,"",IF(INDEX(Programação!$F$5:$F$1004,MATCH(144,Programação!$AP$5:$AP$1004,0))="","",INDEX(Programação!$F$5:$F$1004,MATCH(144,Programação!$AP$5:$AP$1004,0))))</f>
        <v/>
      </c>
      <c r="F151" s="22" t="str">
        <f aca="false">IF(COUNT(Programação!$AP$5:$AP$1004)&lt;144,"",IF(INDEX(Programação!$G$5:$G$1004,MATCH(144,Programação!$AP$5:$AP$1004,0))="","",INDEX(Programação!$G$5:$G$1004,MATCH(144,Programação!$AP$5:$AP$1004,0))))</f>
        <v/>
      </c>
      <c r="G151" s="24" t="str">
        <f aca="false">IF(COUNT(Programação!$AP$5:$AP$1004)&lt;144,"",IF(INDEX(Programação!$U$5:$U$1004,MATCH(144,Programação!$AP$5:$AP$1004,0))="","",INDEX(Programação!$U$5:$U$1004,MATCH(144,Programação!$AP$5:$AP$1004,0))))</f>
        <v/>
      </c>
      <c r="H151" s="22" t="str">
        <f aca="false">IF(COUNT(Programação!$AP$5:$AP$1004)&lt;144,"",MATCH(144,Programação!$AP$5:$AP$1004,0)+4)</f>
        <v/>
      </c>
    </row>
    <row r="152" customFormat="false" ht="15.75" hidden="false" customHeight="true" outlineLevel="0" collapsed="false">
      <c r="A152" s="22" t="str">
        <f aca="false">IF(COUNT(Programação!$AP$5:$AP$1004)&lt;145,"",IF(INDEX(Programação!$AM$5:$AM$1004,MATCH(145,Programação!$AP$5:$AP$1004,0))="","",INDEX(Programação!$AM$5:$AM$1004,MATCH(145,Programação!$AP$5:$AP$1004,0))))</f>
        <v/>
      </c>
      <c r="B152" s="22" t="str">
        <f aca="false">IF(COUNT(Programação!$AP$5:$AP$1004)&lt;145,"",IF(INDEX(Programação!$C$5:$C$1004,MATCH(145,Programação!$AP$5:$AP$1004,0))="","",INDEX(Programação!$C$5:$C$1004,MATCH(145,Programação!$AP$5:$AP$1004,0))))</f>
        <v/>
      </c>
      <c r="C152" s="22" t="str">
        <f aca="false">IF(COUNT(Programação!$AP$5:$AP$1004)&lt;145,"",IF(INDEX(Programação!$D$5:$D$1004,MATCH(145,Programação!$AP$5:$AP$1004,0))="","",INDEX(Programação!$D$5:$D$1004,MATCH(145,Programação!$AP$5:$AP$1004,0))))</f>
        <v/>
      </c>
      <c r="D152" s="22" t="str">
        <f aca="false">IF(COUNT(Programação!$AP$5:$AP$1004)&lt;145,"",IF(INDEX(Programação!$AN$5:$AN$1004,MATCH(145,Programação!$AP$5:$AP$1004,0))="","",INDEX(Programação!$AN$5:$AN$1004,MATCH(145,Programação!$AP$5:$AP$1004,0))))</f>
        <v/>
      </c>
      <c r="E152" s="24" t="str">
        <f aca="false">IF(COUNT(Programação!$AP$5:$AP$1004)&lt;145,"",IF(INDEX(Programação!$F$5:$F$1004,MATCH(145,Programação!$AP$5:$AP$1004,0))="","",INDEX(Programação!$F$5:$F$1004,MATCH(145,Programação!$AP$5:$AP$1004,0))))</f>
        <v/>
      </c>
      <c r="F152" s="22" t="str">
        <f aca="false">IF(COUNT(Programação!$AP$5:$AP$1004)&lt;145,"",IF(INDEX(Programação!$G$5:$G$1004,MATCH(145,Programação!$AP$5:$AP$1004,0))="","",INDEX(Programação!$G$5:$G$1004,MATCH(145,Programação!$AP$5:$AP$1004,0))))</f>
        <v/>
      </c>
      <c r="G152" s="24" t="str">
        <f aca="false">IF(COUNT(Programação!$AP$5:$AP$1004)&lt;145,"",IF(INDEX(Programação!$U$5:$U$1004,MATCH(145,Programação!$AP$5:$AP$1004,0))="","",INDEX(Programação!$U$5:$U$1004,MATCH(145,Programação!$AP$5:$AP$1004,0))))</f>
        <v/>
      </c>
      <c r="H152" s="22" t="str">
        <f aca="false">IF(COUNT(Programação!$AP$5:$AP$1004)&lt;145,"",MATCH(145,Programação!$AP$5:$AP$1004,0)+4)</f>
        <v/>
      </c>
    </row>
    <row r="153" customFormat="false" ht="15.75" hidden="false" customHeight="true" outlineLevel="0" collapsed="false">
      <c r="A153" s="22" t="str">
        <f aca="false">IF(COUNT(Programação!$AP$5:$AP$1004)&lt;146,"",IF(INDEX(Programação!$AM$5:$AM$1004,MATCH(146,Programação!$AP$5:$AP$1004,0))="","",INDEX(Programação!$AM$5:$AM$1004,MATCH(146,Programação!$AP$5:$AP$1004,0))))</f>
        <v/>
      </c>
      <c r="B153" s="22" t="str">
        <f aca="false">IF(COUNT(Programação!$AP$5:$AP$1004)&lt;146,"",IF(INDEX(Programação!$C$5:$C$1004,MATCH(146,Programação!$AP$5:$AP$1004,0))="","",INDEX(Programação!$C$5:$C$1004,MATCH(146,Programação!$AP$5:$AP$1004,0))))</f>
        <v/>
      </c>
      <c r="C153" s="22" t="str">
        <f aca="false">IF(COUNT(Programação!$AP$5:$AP$1004)&lt;146,"",IF(INDEX(Programação!$D$5:$D$1004,MATCH(146,Programação!$AP$5:$AP$1004,0))="","",INDEX(Programação!$D$5:$D$1004,MATCH(146,Programação!$AP$5:$AP$1004,0))))</f>
        <v/>
      </c>
      <c r="D153" s="22" t="str">
        <f aca="false">IF(COUNT(Programação!$AP$5:$AP$1004)&lt;146,"",IF(INDEX(Programação!$AN$5:$AN$1004,MATCH(146,Programação!$AP$5:$AP$1004,0))="","",INDEX(Programação!$AN$5:$AN$1004,MATCH(146,Programação!$AP$5:$AP$1004,0))))</f>
        <v/>
      </c>
      <c r="E153" s="24" t="str">
        <f aca="false">IF(COUNT(Programação!$AP$5:$AP$1004)&lt;146,"",IF(INDEX(Programação!$F$5:$F$1004,MATCH(146,Programação!$AP$5:$AP$1004,0))="","",INDEX(Programação!$F$5:$F$1004,MATCH(146,Programação!$AP$5:$AP$1004,0))))</f>
        <v/>
      </c>
      <c r="F153" s="22" t="str">
        <f aca="false">IF(COUNT(Programação!$AP$5:$AP$1004)&lt;146,"",IF(INDEX(Programação!$G$5:$G$1004,MATCH(146,Programação!$AP$5:$AP$1004,0))="","",INDEX(Programação!$G$5:$G$1004,MATCH(146,Programação!$AP$5:$AP$1004,0))))</f>
        <v/>
      </c>
      <c r="G153" s="24" t="str">
        <f aca="false">IF(COUNT(Programação!$AP$5:$AP$1004)&lt;146,"",IF(INDEX(Programação!$U$5:$U$1004,MATCH(146,Programação!$AP$5:$AP$1004,0))="","",INDEX(Programação!$U$5:$U$1004,MATCH(146,Programação!$AP$5:$AP$1004,0))))</f>
        <v/>
      </c>
      <c r="H153" s="22" t="str">
        <f aca="false">IF(COUNT(Programação!$AP$5:$AP$1004)&lt;146,"",MATCH(146,Programação!$AP$5:$AP$1004,0)+4)</f>
        <v/>
      </c>
    </row>
    <row r="154" customFormat="false" ht="15.75" hidden="false" customHeight="true" outlineLevel="0" collapsed="false">
      <c r="A154" s="22" t="str">
        <f aca="false">IF(COUNT(Programação!$AP$5:$AP$1004)&lt;147,"",IF(INDEX(Programação!$AM$5:$AM$1004,MATCH(147,Programação!$AP$5:$AP$1004,0))="","",INDEX(Programação!$AM$5:$AM$1004,MATCH(147,Programação!$AP$5:$AP$1004,0))))</f>
        <v/>
      </c>
      <c r="B154" s="22" t="str">
        <f aca="false">IF(COUNT(Programação!$AP$5:$AP$1004)&lt;147,"",IF(INDEX(Programação!$C$5:$C$1004,MATCH(147,Programação!$AP$5:$AP$1004,0))="","",INDEX(Programação!$C$5:$C$1004,MATCH(147,Programação!$AP$5:$AP$1004,0))))</f>
        <v/>
      </c>
      <c r="C154" s="22" t="str">
        <f aca="false">IF(COUNT(Programação!$AP$5:$AP$1004)&lt;147,"",IF(INDEX(Programação!$D$5:$D$1004,MATCH(147,Programação!$AP$5:$AP$1004,0))="","",INDEX(Programação!$D$5:$D$1004,MATCH(147,Programação!$AP$5:$AP$1004,0))))</f>
        <v/>
      </c>
      <c r="D154" s="22" t="str">
        <f aca="false">IF(COUNT(Programação!$AP$5:$AP$1004)&lt;147,"",IF(INDEX(Programação!$AN$5:$AN$1004,MATCH(147,Programação!$AP$5:$AP$1004,0))="","",INDEX(Programação!$AN$5:$AN$1004,MATCH(147,Programação!$AP$5:$AP$1004,0))))</f>
        <v/>
      </c>
      <c r="E154" s="24" t="str">
        <f aca="false">IF(COUNT(Programação!$AP$5:$AP$1004)&lt;147,"",IF(INDEX(Programação!$F$5:$F$1004,MATCH(147,Programação!$AP$5:$AP$1004,0))="","",INDEX(Programação!$F$5:$F$1004,MATCH(147,Programação!$AP$5:$AP$1004,0))))</f>
        <v/>
      </c>
      <c r="F154" s="22" t="str">
        <f aca="false">IF(COUNT(Programação!$AP$5:$AP$1004)&lt;147,"",IF(INDEX(Programação!$G$5:$G$1004,MATCH(147,Programação!$AP$5:$AP$1004,0))="","",INDEX(Programação!$G$5:$G$1004,MATCH(147,Programação!$AP$5:$AP$1004,0))))</f>
        <v/>
      </c>
      <c r="G154" s="24" t="str">
        <f aca="false">IF(COUNT(Programação!$AP$5:$AP$1004)&lt;147,"",IF(INDEX(Programação!$U$5:$U$1004,MATCH(147,Programação!$AP$5:$AP$1004,0))="","",INDEX(Programação!$U$5:$U$1004,MATCH(147,Programação!$AP$5:$AP$1004,0))))</f>
        <v/>
      </c>
      <c r="H154" s="22" t="str">
        <f aca="false">IF(COUNT(Programação!$AP$5:$AP$1004)&lt;147,"",MATCH(147,Programação!$AP$5:$AP$1004,0)+4)</f>
        <v/>
      </c>
    </row>
    <row r="155" customFormat="false" ht="15.75" hidden="false" customHeight="true" outlineLevel="0" collapsed="false">
      <c r="A155" s="22" t="str">
        <f aca="false">IF(COUNT(Programação!$AP$5:$AP$1004)&lt;148,"",IF(INDEX(Programação!$AM$5:$AM$1004,MATCH(148,Programação!$AP$5:$AP$1004,0))="","",INDEX(Programação!$AM$5:$AM$1004,MATCH(148,Programação!$AP$5:$AP$1004,0))))</f>
        <v/>
      </c>
      <c r="B155" s="22" t="str">
        <f aca="false">IF(COUNT(Programação!$AP$5:$AP$1004)&lt;148,"",IF(INDEX(Programação!$C$5:$C$1004,MATCH(148,Programação!$AP$5:$AP$1004,0))="","",INDEX(Programação!$C$5:$C$1004,MATCH(148,Programação!$AP$5:$AP$1004,0))))</f>
        <v/>
      </c>
      <c r="C155" s="22" t="str">
        <f aca="false">IF(COUNT(Programação!$AP$5:$AP$1004)&lt;148,"",IF(INDEX(Programação!$D$5:$D$1004,MATCH(148,Programação!$AP$5:$AP$1004,0))="","",INDEX(Programação!$D$5:$D$1004,MATCH(148,Programação!$AP$5:$AP$1004,0))))</f>
        <v/>
      </c>
      <c r="D155" s="22" t="str">
        <f aca="false">IF(COUNT(Programação!$AP$5:$AP$1004)&lt;148,"",IF(INDEX(Programação!$AN$5:$AN$1004,MATCH(148,Programação!$AP$5:$AP$1004,0))="","",INDEX(Programação!$AN$5:$AN$1004,MATCH(148,Programação!$AP$5:$AP$1004,0))))</f>
        <v/>
      </c>
      <c r="E155" s="24" t="str">
        <f aca="false">IF(COUNT(Programação!$AP$5:$AP$1004)&lt;148,"",IF(INDEX(Programação!$F$5:$F$1004,MATCH(148,Programação!$AP$5:$AP$1004,0))="","",INDEX(Programação!$F$5:$F$1004,MATCH(148,Programação!$AP$5:$AP$1004,0))))</f>
        <v/>
      </c>
      <c r="F155" s="22" t="str">
        <f aca="false">IF(COUNT(Programação!$AP$5:$AP$1004)&lt;148,"",IF(INDEX(Programação!$G$5:$G$1004,MATCH(148,Programação!$AP$5:$AP$1004,0))="","",INDEX(Programação!$G$5:$G$1004,MATCH(148,Programação!$AP$5:$AP$1004,0))))</f>
        <v/>
      </c>
      <c r="G155" s="24" t="str">
        <f aca="false">IF(COUNT(Programação!$AP$5:$AP$1004)&lt;148,"",IF(INDEX(Programação!$U$5:$U$1004,MATCH(148,Programação!$AP$5:$AP$1004,0))="","",INDEX(Programação!$U$5:$U$1004,MATCH(148,Programação!$AP$5:$AP$1004,0))))</f>
        <v/>
      </c>
      <c r="H155" s="22" t="str">
        <f aca="false">IF(COUNT(Programação!$AP$5:$AP$1004)&lt;148,"",MATCH(148,Programação!$AP$5:$AP$1004,0)+4)</f>
        <v/>
      </c>
    </row>
    <row r="156" customFormat="false" ht="15.75" hidden="false" customHeight="true" outlineLevel="0" collapsed="false">
      <c r="A156" s="22" t="str">
        <f aca="false">IF(COUNT(Programação!$AP$5:$AP$1004)&lt;149,"",IF(INDEX(Programação!$AM$5:$AM$1004,MATCH(149,Programação!$AP$5:$AP$1004,0))="","",INDEX(Programação!$AM$5:$AM$1004,MATCH(149,Programação!$AP$5:$AP$1004,0))))</f>
        <v/>
      </c>
      <c r="B156" s="22" t="str">
        <f aca="false">IF(COUNT(Programação!$AP$5:$AP$1004)&lt;149,"",IF(INDEX(Programação!$C$5:$C$1004,MATCH(149,Programação!$AP$5:$AP$1004,0))="","",INDEX(Programação!$C$5:$C$1004,MATCH(149,Programação!$AP$5:$AP$1004,0))))</f>
        <v/>
      </c>
      <c r="C156" s="22" t="str">
        <f aca="false">IF(COUNT(Programação!$AP$5:$AP$1004)&lt;149,"",IF(INDEX(Programação!$D$5:$D$1004,MATCH(149,Programação!$AP$5:$AP$1004,0))="","",INDEX(Programação!$D$5:$D$1004,MATCH(149,Programação!$AP$5:$AP$1004,0))))</f>
        <v/>
      </c>
      <c r="D156" s="22" t="str">
        <f aca="false">IF(COUNT(Programação!$AP$5:$AP$1004)&lt;149,"",IF(INDEX(Programação!$AN$5:$AN$1004,MATCH(149,Programação!$AP$5:$AP$1004,0))="","",INDEX(Programação!$AN$5:$AN$1004,MATCH(149,Programação!$AP$5:$AP$1004,0))))</f>
        <v/>
      </c>
      <c r="E156" s="24" t="str">
        <f aca="false">IF(COUNT(Programação!$AP$5:$AP$1004)&lt;149,"",IF(INDEX(Programação!$F$5:$F$1004,MATCH(149,Programação!$AP$5:$AP$1004,0))="","",INDEX(Programação!$F$5:$F$1004,MATCH(149,Programação!$AP$5:$AP$1004,0))))</f>
        <v/>
      </c>
      <c r="F156" s="22" t="str">
        <f aca="false">IF(COUNT(Programação!$AP$5:$AP$1004)&lt;149,"",IF(INDEX(Programação!$G$5:$G$1004,MATCH(149,Programação!$AP$5:$AP$1004,0))="","",INDEX(Programação!$G$5:$G$1004,MATCH(149,Programação!$AP$5:$AP$1004,0))))</f>
        <v/>
      </c>
      <c r="G156" s="24" t="str">
        <f aca="false">IF(COUNT(Programação!$AP$5:$AP$1004)&lt;149,"",IF(INDEX(Programação!$U$5:$U$1004,MATCH(149,Programação!$AP$5:$AP$1004,0))="","",INDEX(Programação!$U$5:$U$1004,MATCH(149,Programação!$AP$5:$AP$1004,0))))</f>
        <v/>
      </c>
      <c r="H156" s="22" t="str">
        <f aca="false">IF(COUNT(Programação!$AP$5:$AP$1004)&lt;149,"",MATCH(149,Programação!$AP$5:$AP$1004,0)+4)</f>
        <v/>
      </c>
    </row>
    <row r="157" customFormat="false" ht="15.75" hidden="false" customHeight="true" outlineLevel="0" collapsed="false">
      <c r="A157" s="22" t="str">
        <f aca="false">IF(COUNT(Programação!$AP$5:$AP$1004)&lt;150,"",IF(INDEX(Programação!$AM$5:$AM$1004,MATCH(150,Programação!$AP$5:$AP$1004,0))="","",INDEX(Programação!$AM$5:$AM$1004,MATCH(150,Programação!$AP$5:$AP$1004,0))))</f>
        <v/>
      </c>
      <c r="B157" s="22" t="str">
        <f aca="false">IF(COUNT(Programação!$AP$5:$AP$1004)&lt;150,"",IF(INDEX(Programação!$C$5:$C$1004,MATCH(150,Programação!$AP$5:$AP$1004,0))="","",INDEX(Programação!$C$5:$C$1004,MATCH(150,Programação!$AP$5:$AP$1004,0))))</f>
        <v/>
      </c>
      <c r="C157" s="22" t="str">
        <f aca="false">IF(COUNT(Programação!$AP$5:$AP$1004)&lt;150,"",IF(INDEX(Programação!$D$5:$D$1004,MATCH(150,Programação!$AP$5:$AP$1004,0))="","",INDEX(Programação!$D$5:$D$1004,MATCH(150,Programação!$AP$5:$AP$1004,0))))</f>
        <v/>
      </c>
      <c r="D157" s="22" t="str">
        <f aca="false">IF(COUNT(Programação!$AP$5:$AP$1004)&lt;150,"",IF(INDEX(Programação!$AN$5:$AN$1004,MATCH(150,Programação!$AP$5:$AP$1004,0))="","",INDEX(Programação!$AN$5:$AN$1004,MATCH(150,Programação!$AP$5:$AP$1004,0))))</f>
        <v/>
      </c>
      <c r="E157" s="24" t="str">
        <f aca="false">IF(COUNT(Programação!$AP$5:$AP$1004)&lt;150,"",IF(INDEX(Programação!$F$5:$F$1004,MATCH(150,Programação!$AP$5:$AP$1004,0))="","",INDEX(Programação!$F$5:$F$1004,MATCH(150,Programação!$AP$5:$AP$1004,0))))</f>
        <v/>
      </c>
      <c r="F157" s="22" t="str">
        <f aca="false">IF(COUNT(Programação!$AP$5:$AP$1004)&lt;150,"",IF(INDEX(Programação!$G$5:$G$1004,MATCH(150,Programação!$AP$5:$AP$1004,0))="","",INDEX(Programação!$G$5:$G$1004,MATCH(150,Programação!$AP$5:$AP$1004,0))))</f>
        <v/>
      </c>
      <c r="G157" s="24" t="str">
        <f aca="false">IF(COUNT(Programação!$AP$5:$AP$1004)&lt;150,"",IF(INDEX(Programação!$U$5:$U$1004,MATCH(150,Programação!$AP$5:$AP$1004,0))="","",INDEX(Programação!$U$5:$U$1004,MATCH(150,Programação!$AP$5:$AP$1004,0))))</f>
        <v/>
      </c>
      <c r="H157" s="22" t="str">
        <f aca="false">IF(COUNT(Programação!$AP$5:$AP$1004)&lt;150,"",MATCH(150,Programação!$AP$5:$AP$1004,0)+4)</f>
        <v/>
      </c>
    </row>
    <row r="158" customFormat="false" ht="15.75" hidden="false" customHeight="true" outlineLevel="0" collapsed="false">
      <c r="A158" s="22" t="str">
        <f aca="false">IF(COUNT(Programação!$AP$5:$AP$1004)&lt;151,"",IF(INDEX(Programação!$AM$5:$AM$1004,MATCH(151,Programação!$AP$5:$AP$1004,0))="","",INDEX(Programação!$AM$5:$AM$1004,MATCH(151,Programação!$AP$5:$AP$1004,0))))</f>
        <v/>
      </c>
      <c r="B158" s="22" t="str">
        <f aca="false">IF(COUNT(Programação!$AP$5:$AP$1004)&lt;151,"",IF(INDEX(Programação!$C$5:$C$1004,MATCH(151,Programação!$AP$5:$AP$1004,0))="","",INDEX(Programação!$C$5:$C$1004,MATCH(151,Programação!$AP$5:$AP$1004,0))))</f>
        <v/>
      </c>
      <c r="C158" s="22" t="str">
        <f aca="false">IF(COUNT(Programação!$AP$5:$AP$1004)&lt;151,"",IF(INDEX(Programação!$D$5:$D$1004,MATCH(151,Programação!$AP$5:$AP$1004,0))="","",INDEX(Programação!$D$5:$D$1004,MATCH(151,Programação!$AP$5:$AP$1004,0))))</f>
        <v/>
      </c>
      <c r="D158" s="22" t="str">
        <f aca="false">IF(COUNT(Programação!$AP$5:$AP$1004)&lt;151,"",IF(INDEX(Programação!$AN$5:$AN$1004,MATCH(151,Programação!$AP$5:$AP$1004,0))="","",INDEX(Programação!$AN$5:$AN$1004,MATCH(151,Programação!$AP$5:$AP$1004,0))))</f>
        <v/>
      </c>
      <c r="E158" s="24" t="str">
        <f aca="false">IF(COUNT(Programação!$AP$5:$AP$1004)&lt;151,"",IF(INDEX(Programação!$F$5:$F$1004,MATCH(151,Programação!$AP$5:$AP$1004,0))="","",INDEX(Programação!$F$5:$F$1004,MATCH(151,Programação!$AP$5:$AP$1004,0))))</f>
        <v/>
      </c>
      <c r="F158" s="22" t="str">
        <f aca="false">IF(COUNT(Programação!$AP$5:$AP$1004)&lt;151,"",IF(INDEX(Programação!$G$5:$G$1004,MATCH(151,Programação!$AP$5:$AP$1004,0))="","",INDEX(Programação!$G$5:$G$1004,MATCH(151,Programação!$AP$5:$AP$1004,0))))</f>
        <v/>
      </c>
      <c r="G158" s="24" t="str">
        <f aca="false">IF(COUNT(Programação!$AP$5:$AP$1004)&lt;151,"",IF(INDEX(Programação!$U$5:$U$1004,MATCH(151,Programação!$AP$5:$AP$1004,0))="","",INDEX(Programação!$U$5:$U$1004,MATCH(151,Programação!$AP$5:$AP$1004,0))))</f>
        <v/>
      </c>
      <c r="H158" s="22" t="str">
        <f aca="false">IF(COUNT(Programação!$AP$5:$AP$1004)&lt;151,"",MATCH(151,Programação!$AP$5:$AP$1004,0)+4)</f>
        <v/>
      </c>
    </row>
    <row r="159" customFormat="false" ht="15.75" hidden="false" customHeight="true" outlineLevel="0" collapsed="false">
      <c r="A159" s="22" t="str">
        <f aca="false">IF(COUNT(Programação!$AP$5:$AP$1004)&lt;152,"",IF(INDEX(Programação!$AM$5:$AM$1004,MATCH(152,Programação!$AP$5:$AP$1004,0))="","",INDEX(Programação!$AM$5:$AM$1004,MATCH(152,Programação!$AP$5:$AP$1004,0))))</f>
        <v/>
      </c>
      <c r="B159" s="22" t="str">
        <f aca="false">IF(COUNT(Programação!$AP$5:$AP$1004)&lt;152,"",IF(INDEX(Programação!$C$5:$C$1004,MATCH(152,Programação!$AP$5:$AP$1004,0))="","",INDEX(Programação!$C$5:$C$1004,MATCH(152,Programação!$AP$5:$AP$1004,0))))</f>
        <v/>
      </c>
      <c r="C159" s="22" t="str">
        <f aca="false">IF(COUNT(Programação!$AP$5:$AP$1004)&lt;152,"",IF(INDEX(Programação!$D$5:$D$1004,MATCH(152,Programação!$AP$5:$AP$1004,0))="","",INDEX(Programação!$D$5:$D$1004,MATCH(152,Programação!$AP$5:$AP$1004,0))))</f>
        <v/>
      </c>
      <c r="D159" s="22" t="str">
        <f aca="false">IF(COUNT(Programação!$AP$5:$AP$1004)&lt;152,"",IF(INDEX(Programação!$AN$5:$AN$1004,MATCH(152,Programação!$AP$5:$AP$1004,0))="","",INDEX(Programação!$AN$5:$AN$1004,MATCH(152,Programação!$AP$5:$AP$1004,0))))</f>
        <v/>
      </c>
      <c r="E159" s="24" t="str">
        <f aca="false">IF(COUNT(Programação!$AP$5:$AP$1004)&lt;152,"",IF(INDEX(Programação!$F$5:$F$1004,MATCH(152,Programação!$AP$5:$AP$1004,0))="","",INDEX(Programação!$F$5:$F$1004,MATCH(152,Programação!$AP$5:$AP$1004,0))))</f>
        <v/>
      </c>
      <c r="F159" s="22" t="str">
        <f aca="false">IF(COUNT(Programação!$AP$5:$AP$1004)&lt;152,"",IF(INDEX(Programação!$G$5:$G$1004,MATCH(152,Programação!$AP$5:$AP$1004,0))="","",INDEX(Programação!$G$5:$G$1004,MATCH(152,Programação!$AP$5:$AP$1004,0))))</f>
        <v/>
      </c>
      <c r="G159" s="24" t="str">
        <f aca="false">IF(COUNT(Programação!$AP$5:$AP$1004)&lt;152,"",IF(INDEX(Programação!$U$5:$U$1004,MATCH(152,Programação!$AP$5:$AP$1004,0))="","",INDEX(Programação!$U$5:$U$1004,MATCH(152,Programação!$AP$5:$AP$1004,0))))</f>
        <v/>
      </c>
      <c r="H159" s="22" t="str">
        <f aca="false">IF(COUNT(Programação!$AP$5:$AP$1004)&lt;152,"",MATCH(152,Programação!$AP$5:$AP$1004,0)+4)</f>
        <v/>
      </c>
    </row>
    <row r="160" customFormat="false" ht="15.75" hidden="false" customHeight="true" outlineLevel="0" collapsed="false">
      <c r="A160" s="22" t="str">
        <f aca="false">IF(COUNT(Programação!$AP$5:$AP$1004)&lt;153,"",IF(INDEX(Programação!$AM$5:$AM$1004,MATCH(153,Programação!$AP$5:$AP$1004,0))="","",INDEX(Programação!$AM$5:$AM$1004,MATCH(153,Programação!$AP$5:$AP$1004,0))))</f>
        <v/>
      </c>
      <c r="B160" s="22" t="str">
        <f aca="false">IF(COUNT(Programação!$AP$5:$AP$1004)&lt;153,"",IF(INDEX(Programação!$C$5:$C$1004,MATCH(153,Programação!$AP$5:$AP$1004,0))="","",INDEX(Programação!$C$5:$C$1004,MATCH(153,Programação!$AP$5:$AP$1004,0))))</f>
        <v/>
      </c>
      <c r="C160" s="22" t="str">
        <f aca="false">IF(COUNT(Programação!$AP$5:$AP$1004)&lt;153,"",IF(INDEX(Programação!$D$5:$D$1004,MATCH(153,Programação!$AP$5:$AP$1004,0))="","",INDEX(Programação!$D$5:$D$1004,MATCH(153,Programação!$AP$5:$AP$1004,0))))</f>
        <v/>
      </c>
      <c r="D160" s="22" t="str">
        <f aca="false">IF(COUNT(Programação!$AP$5:$AP$1004)&lt;153,"",IF(INDEX(Programação!$AN$5:$AN$1004,MATCH(153,Programação!$AP$5:$AP$1004,0))="","",INDEX(Programação!$AN$5:$AN$1004,MATCH(153,Programação!$AP$5:$AP$1004,0))))</f>
        <v/>
      </c>
      <c r="E160" s="24" t="str">
        <f aca="false">IF(COUNT(Programação!$AP$5:$AP$1004)&lt;153,"",IF(INDEX(Programação!$F$5:$F$1004,MATCH(153,Programação!$AP$5:$AP$1004,0))="","",INDEX(Programação!$F$5:$F$1004,MATCH(153,Programação!$AP$5:$AP$1004,0))))</f>
        <v/>
      </c>
      <c r="F160" s="22" t="str">
        <f aca="false">IF(COUNT(Programação!$AP$5:$AP$1004)&lt;153,"",IF(INDEX(Programação!$G$5:$G$1004,MATCH(153,Programação!$AP$5:$AP$1004,0))="","",INDEX(Programação!$G$5:$G$1004,MATCH(153,Programação!$AP$5:$AP$1004,0))))</f>
        <v/>
      </c>
      <c r="G160" s="24" t="str">
        <f aca="false">IF(COUNT(Programação!$AP$5:$AP$1004)&lt;153,"",IF(INDEX(Programação!$U$5:$U$1004,MATCH(153,Programação!$AP$5:$AP$1004,0))="","",INDEX(Programação!$U$5:$U$1004,MATCH(153,Programação!$AP$5:$AP$1004,0))))</f>
        <v/>
      </c>
      <c r="H160" s="22" t="str">
        <f aca="false">IF(COUNT(Programação!$AP$5:$AP$1004)&lt;153,"",MATCH(153,Programação!$AP$5:$AP$1004,0)+4)</f>
        <v/>
      </c>
    </row>
    <row r="161" customFormat="false" ht="15.75" hidden="false" customHeight="true" outlineLevel="0" collapsed="false">
      <c r="A161" s="22" t="str">
        <f aca="false">IF(COUNT(Programação!$AP$5:$AP$1004)&lt;154,"",IF(INDEX(Programação!$AM$5:$AM$1004,MATCH(154,Programação!$AP$5:$AP$1004,0))="","",INDEX(Programação!$AM$5:$AM$1004,MATCH(154,Programação!$AP$5:$AP$1004,0))))</f>
        <v/>
      </c>
      <c r="B161" s="22" t="str">
        <f aca="false">IF(COUNT(Programação!$AP$5:$AP$1004)&lt;154,"",IF(INDEX(Programação!$C$5:$C$1004,MATCH(154,Programação!$AP$5:$AP$1004,0))="","",INDEX(Programação!$C$5:$C$1004,MATCH(154,Programação!$AP$5:$AP$1004,0))))</f>
        <v/>
      </c>
      <c r="C161" s="22" t="str">
        <f aca="false">IF(COUNT(Programação!$AP$5:$AP$1004)&lt;154,"",IF(INDEX(Programação!$D$5:$D$1004,MATCH(154,Programação!$AP$5:$AP$1004,0))="","",INDEX(Programação!$D$5:$D$1004,MATCH(154,Programação!$AP$5:$AP$1004,0))))</f>
        <v/>
      </c>
      <c r="D161" s="22" t="str">
        <f aca="false">IF(COUNT(Programação!$AP$5:$AP$1004)&lt;154,"",IF(INDEX(Programação!$AN$5:$AN$1004,MATCH(154,Programação!$AP$5:$AP$1004,0))="","",INDEX(Programação!$AN$5:$AN$1004,MATCH(154,Programação!$AP$5:$AP$1004,0))))</f>
        <v/>
      </c>
      <c r="E161" s="24" t="str">
        <f aca="false">IF(COUNT(Programação!$AP$5:$AP$1004)&lt;154,"",IF(INDEX(Programação!$F$5:$F$1004,MATCH(154,Programação!$AP$5:$AP$1004,0))="","",INDEX(Programação!$F$5:$F$1004,MATCH(154,Programação!$AP$5:$AP$1004,0))))</f>
        <v/>
      </c>
      <c r="F161" s="22" t="str">
        <f aca="false">IF(COUNT(Programação!$AP$5:$AP$1004)&lt;154,"",IF(INDEX(Programação!$G$5:$G$1004,MATCH(154,Programação!$AP$5:$AP$1004,0))="","",INDEX(Programação!$G$5:$G$1004,MATCH(154,Programação!$AP$5:$AP$1004,0))))</f>
        <v/>
      </c>
      <c r="G161" s="24" t="str">
        <f aca="false">IF(COUNT(Programação!$AP$5:$AP$1004)&lt;154,"",IF(INDEX(Programação!$U$5:$U$1004,MATCH(154,Programação!$AP$5:$AP$1004,0))="","",INDEX(Programação!$U$5:$U$1004,MATCH(154,Programação!$AP$5:$AP$1004,0))))</f>
        <v/>
      </c>
      <c r="H161" s="22" t="str">
        <f aca="false">IF(COUNT(Programação!$AP$5:$AP$1004)&lt;154,"",MATCH(154,Programação!$AP$5:$AP$1004,0)+4)</f>
        <v/>
      </c>
    </row>
    <row r="162" customFormat="false" ht="15.75" hidden="false" customHeight="true" outlineLevel="0" collapsed="false">
      <c r="A162" s="22" t="str">
        <f aca="false">IF(COUNT(Programação!$AP$5:$AP$1004)&lt;155,"",IF(INDEX(Programação!$AM$5:$AM$1004,MATCH(155,Programação!$AP$5:$AP$1004,0))="","",INDEX(Programação!$AM$5:$AM$1004,MATCH(155,Programação!$AP$5:$AP$1004,0))))</f>
        <v/>
      </c>
      <c r="B162" s="22" t="str">
        <f aca="false">IF(COUNT(Programação!$AP$5:$AP$1004)&lt;155,"",IF(INDEX(Programação!$C$5:$C$1004,MATCH(155,Programação!$AP$5:$AP$1004,0))="","",INDEX(Programação!$C$5:$C$1004,MATCH(155,Programação!$AP$5:$AP$1004,0))))</f>
        <v/>
      </c>
      <c r="C162" s="22" t="str">
        <f aca="false">IF(COUNT(Programação!$AP$5:$AP$1004)&lt;155,"",IF(INDEX(Programação!$D$5:$D$1004,MATCH(155,Programação!$AP$5:$AP$1004,0))="","",INDEX(Programação!$D$5:$D$1004,MATCH(155,Programação!$AP$5:$AP$1004,0))))</f>
        <v/>
      </c>
      <c r="D162" s="22" t="str">
        <f aca="false">IF(COUNT(Programação!$AP$5:$AP$1004)&lt;155,"",IF(INDEX(Programação!$AN$5:$AN$1004,MATCH(155,Programação!$AP$5:$AP$1004,0))="","",INDEX(Programação!$AN$5:$AN$1004,MATCH(155,Programação!$AP$5:$AP$1004,0))))</f>
        <v/>
      </c>
      <c r="E162" s="24" t="str">
        <f aca="false">IF(COUNT(Programação!$AP$5:$AP$1004)&lt;155,"",IF(INDEX(Programação!$F$5:$F$1004,MATCH(155,Programação!$AP$5:$AP$1004,0))="","",INDEX(Programação!$F$5:$F$1004,MATCH(155,Programação!$AP$5:$AP$1004,0))))</f>
        <v/>
      </c>
      <c r="F162" s="22" t="str">
        <f aca="false">IF(COUNT(Programação!$AP$5:$AP$1004)&lt;155,"",IF(INDEX(Programação!$G$5:$G$1004,MATCH(155,Programação!$AP$5:$AP$1004,0))="","",INDEX(Programação!$G$5:$G$1004,MATCH(155,Programação!$AP$5:$AP$1004,0))))</f>
        <v/>
      </c>
      <c r="G162" s="24" t="str">
        <f aca="false">IF(COUNT(Programação!$AP$5:$AP$1004)&lt;155,"",IF(INDEX(Programação!$U$5:$U$1004,MATCH(155,Programação!$AP$5:$AP$1004,0))="","",INDEX(Programação!$U$5:$U$1004,MATCH(155,Programação!$AP$5:$AP$1004,0))))</f>
        <v/>
      </c>
      <c r="H162" s="22" t="str">
        <f aca="false">IF(COUNT(Programação!$AP$5:$AP$1004)&lt;155,"",MATCH(155,Programação!$AP$5:$AP$1004,0)+4)</f>
        <v/>
      </c>
    </row>
    <row r="163" customFormat="false" ht="15.75" hidden="false" customHeight="true" outlineLevel="0" collapsed="false">
      <c r="A163" s="22" t="str">
        <f aca="false">IF(COUNT(Programação!$AP$5:$AP$1004)&lt;156,"",IF(INDEX(Programação!$AM$5:$AM$1004,MATCH(156,Programação!$AP$5:$AP$1004,0))="","",INDEX(Programação!$AM$5:$AM$1004,MATCH(156,Programação!$AP$5:$AP$1004,0))))</f>
        <v/>
      </c>
      <c r="B163" s="22" t="str">
        <f aca="false">IF(COUNT(Programação!$AP$5:$AP$1004)&lt;156,"",IF(INDEX(Programação!$C$5:$C$1004,MATCH(156,Programação!$AP$5:$AP$1004,0))="","",INDEX(Programação!$C$5:$C$1004,MATCH(156,Programação!$AP$5:$AP$1004,0))))</f>
        <v/>
      </c>
      <c r="C163" s="22" t="str">
        <f aca="false">IF(COUNT(Programação!$AP$5:$AP$1004)&lt;156,"",IF(INDEX(Programação!$D$5:$D$1004,MATCH(156,Programação!$AP$5:$AP$1004,0))="","",INDEX(Programação!$D$5:$D$1004,MATCH(156,Programação!$AP$5:$AP$1004,0))))</f>
        <v/>
      </c>
      <c r="D163" s="22" t="str">
        <f aca="false">IF(COUNT(Programação!$AP$5:$AP$1004)&lt;156,"",IF(INDEX(Programação!$AN$5:$AN$1004,MATCH(156,Programação!$AP$5:$AP$1004,0))="","",INDEX(Programação!$AN$5:$AN$1004,MATCH(156,Programação!$AP$5:$AP$1004,0))))</f>
        <v/>
      </c>
      <c r="E163" s="24" t="str">
        <f aca="false">IF(COUNT(Programação!$AP$5:$AP$1004)&lt;156,"",IF(INDEX(Programação!$F$5:$F$1004,MATCH(156,Programação!$AP$5:$AP$1004,0))="","",INDEX(Programação!$F$5:$F$1004,MATCH(156,Programação!$AP$5:$AP$1004,0))))</f>
        <v/>
      </c>
      <c r="F163" s="22" t="str">
        <f aca="false">IF(COUNT(Programação!$AP$5:$AP$1004)&lt;156,"",IF(INDEX(Programação!$G$5:$G$1004,MATCH(156,Programação!$AP$5:$AP$1004,0))="","",INDEX(Programação!$G$5:$G$1004,MATCH(156,Programação!$AP$5:$AP$1004,0))))</f>
        <v/>
      </c>
      <c r="G163" s="24" t="str">
        <f aca="false">IF(COUNT(Programação!$AP$5:$AP$1004)&lt;156,"",IF(INDEX(Programação!$U$5:$U$1004,MATCH(156,Programação!$AP$5:$AP$1004,0))="","",INDEX(Programação!$U$5:$U$1004,MATCH(156,Programação!$AP$5:$AP$1004,0))))</f>
        <v/>
      </c>
      <c r="H163" s="22" t="str">
        <f aca="false">IF(COUNT(Programação!$AP$5:$AP$1004)&lt;156,"",MATCH(156,Programação!$AP$5:$AP$1004,0)+4)</f>
        <v/>
      </c>
    </row>
    <row r="164" customFormat="false" ht="15.75" hidden="false" customHeight="true" outlineLevel="0" collapsed="false">
      <c r="A164" s="22" t="str">
        <f aca="false">IF(COUNT(Programação!$AP$5:$AP$1004)&lt;157,"",IF(INDEX(Programação!$AM$5:$AM$1004,MATCH(157,Programação!$AP$5:$AP$1004,0))="","",INDEX(Programação!$AM$5:$AM$1004,MATCH(157,Programação!$AP$5:$AP$1004,0))))</f>
        <v/>
      </c>
      <c r="B164" s="22" t="str">
        <f aca="false">IF(COUNT(Programação!$AP$5:$AP$1004)&lt;157,"",IF(INDEX(Programação!$C$5:$C$1004,MATCH(157,Programação!$AP$5:$AP$1004,0))="","",INDEX(Programação!$C$5:$C$1004,MATCH(157,Programação!$AP$5:$AP$1004,0))))</f>
        <v/>
      </c>
      <c r="C164" s="22" t="str">
        <f aca="false">IF(COUNT(Programação!$AP$5:$AP$1004)&lt;157,"",IF(INDEX(Programação!$D$5:$D$1004,MATCH(157,Programação!$AP$5:$AP$1004,0))="","",INDEX(Programação!$D$5:$D$1004,MATCH(157,Programação!$AP$5:$AP$1004,0))))</f>
        <v/>
      </c>
      <c r="D164" s="22" t="str">
        <f aca="false">IF(COUNT(Programação!$AP$5:$AP$1004)&lt;157,"",IF(INDEX(Programação!$AN$5:$AN$1004,MATCH(157,Programação!$AP$5:$AP$1004,0))="","",INDEX(Programação!$AN$5:$AN$1004,MATCH(157,Programação!$AP$5:$AP$1004,0))))</f>
        <v/>
      </c>
      <c r="E164" s="24" t="str">
        <f aca="false">IF(COUNT(Programação!$AP$5:$AP$1004)&lt;157,"",IF(INDEX(Programação!$F$5:$F$1004,MATCH(157,Programação!$AP$5:$AP$1004,0))="","",INDEX(Programação!$F$5:$F$1004,MATCH(157,Programação!$AP$5:$AP$1004,0))))</f>
        <v/>
      </c>
      <c r="F164" s="22" t="str">
        <f aca="false">IF(COUNT(Programação!$AP$5:$AP$1004)&lt;157,"",IF(INDEX(Programação!$G$5:$G$1004,MATCH(157,Programação!$AP$5:$AP$1004,0))="","",INDEX(Programação!$G$5:$G$1004,MATCH(157,Programação!$AP$5:$AP$1004,0))))</f>
        <v/>
      </c>
      <c r="G164" s="24" t="str">
        <f aca="false">IF(COUNT(Programação!$AP$5:$AP$1004)&lt;157,"",IF(INDEX(Programação!$U$5:$U$1004,MATCH(157,Programação!$AP$5:$AP$1004,0))="","",INDEX(Programação!$U$5:$U$1004,MATCH(157,Programação!$AP$5:$AP$1004,0))))</f>
        <v/>
      </c>
      <c r="H164" s="22" t="str">
        <f aca="false">IF(COUNT(Programação!$AP$5:$AP$1004)&lt;157,"",MATCH(157,Programação!$AP$5:$AP$1004,0)+4)</f>
        <v/>
      </c>
    </row>
    <row r="165" customFormat="false" ht="15.75" hidden="false" customHeight="true" outlineLevel="0" collapsed="false">
      <c r="A165" s="22" t="str">
        <f aca="false">IF(COUNT(Programação!$AP$5:$AP$1004)&lt;158,"",IF(INDEX(Programação!$AM$5:$AM$1004,MATCH(158,Programação!$AP$5:$AP$1004,0))="","",INDEX(Programação!$AM$5:$AM$1004,MATCH(158,Programação!$AP$5:$AP$1004,0))))</f>
        <v/>
      </c>
      <c r="B165" s="22" t="str">
        <f aca="false">IF(COUNT(Programação!$AP$5:$AP$1004)&lt;158,"",IF(INDEX(Programação!$C$5:$C$1004,MATCH(158,Programação!$AP$5:$AP$1004,0))="","",INDEX(Programação!$C$5:$C$1004,MATCH(158,Programação!$AP$5:$AP$1004,0))))</f>
        <v/>
      </c>
      <c r="C165" s="22" t="str">
        <f aca="false">IF(COUNT(Programação!$AP$5:$AP$1004)&lt;158,"",IF(INDEX(Programação!$D$5:$D$1004,MATCH(158,Programação!$AP$5:$AP$1004,0))="","",INDEX(Programação!$D$5:$D$1004,MATCH(158,Programação!$AP$5:$AP$1004,0))))</f>
        <v/>
      </c>
      <c r="D165" s="22" t="str">
        <f aca="false">IF(COUNT(Programação!$AP$5:$AP$1004)&lt;158,"",IF(INDEX(Programação!$AN$5:$AN$1004,MATCH(158,Programação!$AP$5:$AP$1004,0))="","",INDEX(Programação!$AN$5:$AN$1004,MATCH(158,Programação!$AP$5:$AP$1004,0))))</f>
        <v/>
      </c>
      <c r="E165" s="24" t="str">
        <f aca="false">IF(COUNT(Programação!$AP$5:$AP$1004)&lt;158,"",IF(INDEX(Programação!$F$5:$F$1004,MATCH(158,Programação!$AP$5:$AP$1004,0))="","",INDEX(Programação!$F$5:$F$1004,MATCH(158,Programação!$AP$5:$AP$1004,0))))</f>
        <v/>
      </c>
      <c r="F165" s="22" t="str">
        <f aca="false">IF(COUNT(Programação!$AP$5:$AP$1004)&lt;158,"",IF(INDEX(Programação!$G$5:$G$1004,MATCH(158,Programação!$AP$5:$AP$1004,0))="","",INDEX(Programação!$G$5:$G$1004,MATCH(158,Programação!$AP$5:$AP$1004,0))))</f>
        <v/>
      </c>
      <c r="G165" s="24" t="str">
        <f aca="false">IF(COUNT(Programação!$AP$5:$AP$1004)&lt;158,"",IF(INDEX(Programação!$U$5:$U$1004,MATCH(158,Programação!$AP$5:$AP$1004,0))="","",INDEX(Programação!$U$5:$U$1004,MATCH(158,Programação!$AP$5:$AP$1004,0))))</f>
        <v/>
      </c>
      <c r="H165" s="22" t="str">
        <f aca="false">IF(COUNT(Programação!$AP$5:$AP$1004)&lt;158,"",MATCH(158,Programação!$AP$5:$AP$1004,0)+4)</f>
        <v/>
      </c>
    </row>
    <row r="166" customFormat="false" ht="15.75" hidden="false" customHeight="true" outlineLevel="0" collapsed="false">
      <c r="A166" s="22" t="str">
        <f aca="false">IF(COUNT(Programação!$AP$5:$AP$1004)&lt;159,"",IF(INDEX(Programação!$AM$5:$AM$1004,MATCH(159,Programação!$AP$5:$AP$1004,0))="","",INDEX(Programação!$AM$5:$AM$1004,MATCH(159,Programação!$AP$5:$AP$1004,0))))</f>
        <v/>
      </c>
      <c r="B166" s="22" t="str">
        <f aca="false">IF(COUNT(Programação!$AP$5:$AP$1004)&lt;159,"",IF(INDEX(Programação!$C$5:$C$1004,MATCH(159,Programação!$AP$5:$AP$1004,0))="","",INDEX(Programação!$C$5:$C$1004,MATCH(159,Programação!$AP$5:$AP$1004,0))))</f>
        <v/>
      </c>
      <c r="C166" s="22" t="str">
        <f aca="false">IF(COUNT(Programação!$AP$5:$AP$1004)&lt;159,"",IF(INDEX(Programação!$D$5:$D$1004,MATCH(159,Programação!$AP$5:$AP$1004,0))="","",INDEX(Programação!$D$5:$D$1004,MATCH(159,Programação!$AP$5:$AP$1004,0))))</f>
        <v/>
      </c>
      <c r="D166" s="22" t="str">
        <f aca="false">IF(COUNT(Programação!$AP$5:$AP$1004)&lt;159,"",IF(INDEX(Programação!$AN$5:$AN$1004,MATCH(159,Programação!$AP$5:$AP$1004,0))="","",INDEX(Programação!$AN$5:$AN$1004,MATCH(159,Programação!$AP$5:$AP$1004,0))))</f>
        <v/>
      </c>
      <c r="E166" s="24" t="str">
        <f aca="false">IF(COUNT(Programação!$AP$5:$AP$1004)&lt;159,"",IF(INDEX(Programação!$F$5:$F$1004,MATCH(159,Programação!$AP$5:$AP$1004,0))="","",INDEX(Programação!$F$5:$F$1004,MATCH(159,Programação!$AP$5:$AP$1004,0))))</f>
        <v/>
      </c>
      <c r="F166" s="22" t="str">
        <f aca="false">IF(COUNT(Programação!$AP$5:$AP$1004)&lt;159,"",IF(INDEX(Programação!$G$5:$G$1004,MATCH(159,Programação!$AP$5:$AP$1004,0))="","",INDEX(Programação!$G$5:$G$1004,MATCH(159,Programação!$AP$5:$AP$1004,0))))</f>
        <v/>
      </c>
      <c r="G166" s="24" t="str">
        <f aca="false">IF(COUNT(Programação!$AP$5:$AP$1004)&lt;159,"",IF(INDEX(Programação!$U$5:$U$1004,MATCH(159,Programação!$AP$5:$AP$1004,0))="","",INDEX(Programação!$U$5:$U$1004,MATCH(159,Programação!$AP$5:$AP$1004,0))))</f>
        <v/>
      </c>
      <c r="H166" s="22" t="str">
        <f aca="false">IF(COUNT(Programação!$AP$5:$AP$1004)&lt;159,"",MATCH(159,Programação!$AP$5:$AP$1004,0)+4)</f>
        <v/>
      </c>
    </row>
    <row r="167" customFormat="false" ht="15.75" hidden="false" customHeight="true" outlineLevel="0" collapsed="false">
      <c r="A167" s="22" t="str">
        <f aca="false">IF(COUNT(Programação!$AP$5:$AP$1004)&lt;160,"",IF(INDEX(Programação!$AM$5:$AM$1004,MATCH(160,Programação!$AP$5:$AP$1004,0))="","",INDEX(Programação!$AM$5:$AM$1004,MATCH(160,Programação!$AP$5:$AP$1004,0))))</f>
        <v/>
      </c>
      <c r="B167" s="22" t="str">
        <f aca="false">IF(COUNT(Programação!$AP$5:$AP$1004)&lt;160,"",IF(INDEX(Programação!$C$5:$C$1004,MATCH(160,Programação!$AP$5:$AP$1004,0))="","",INDEX(Programação!$C$5:$C$1004,MATCH(160,Programação!$AP$5:$AP$1004,0))))</f>
        <v/>
      </c>
      <c r="C167" s="22" t="str">
        <f aca="false">IF(COUNT(Programação!$AP$5:$AP$1004)&lt;160,"",IF(INDEX(Programação!$D$5:$D$1004,MATCH(160,Programação!$AP$5:$AP$1004,0))="","",INDEX(Programação!$D$5:$D$1004,MATCH(160,Programação!$AP$5:$AP$1004,0))))</f>
        <v/>
      </c>
      <c r="D167" s="22" t="str">
        <f aca="false">IF(COUNT(Programação!$AP$5:$AP$1004)&lt;160,"",IF(INDEX(Programação!$AN$5:$AN$1004,MATCH(160,Programação!$AP$5:$AP$1004,0))="","",INDEX(Programação!$AN$5:$AN$1004,MATCH(160,Programação!$AP$5:$AP$1004,0))))</f>
        <v/>
      </c>
      <c r="E167" s="24" t="str">
        <f aca="false">IF(COUNT(Programação!$AP$5:$AP$1004)&lt;160,"",IF(INDEX(Programação!$F$5:$F$1004,MATCH(160,Programação!$AP$5:$AP$1004,0))="","",INDEX(Programação!$F$5:$F$1004,MATCH(160,Programação!$AP$5:$AP$1004,0))))</f>
        <v/>
      </c>
      <c r="F167" s="22" t="str">
        <f aca="false">IF(COUNT(Programação!$AP$5:$AP$1004)&lt;160,"",IF(INDEX(Programação!$G$5:$G$1004,MATCH(160,Programação!$AP$5:$AP$1004,0))="","",INDEX(Programação!$G$5:$G$1004,MATCH(160,Programação!$AP$5:$AP$1004,0))))</f>
        <v/>
      </c>
      <c r="G167" s="24" t="str">
        <f aca="false">IF(COUNT(Programação!$AP$5:$AP$1004)&lt;160,"",IF(INDEX(Programação!$U$5:$U$1004,MATCH(160,Programação!$AP$5:$AP$1004,0))="","",INDEX(Programação!$U$5:$U$1004,MATCH(160,Programação!$AP$5:$AP$1004,0))))</f>
        <v/>
      </c>
      <c r="H167" s="22" t="str">
        <f aca="false">IF(COUNT(Programação!$AP$5:$AP$1004)&lt;160,"",MATCH(160,Programação!$AP$5:$AP$1004,0)+4)</f>
        <v/>
      </c>
    </row>
    <row r="168" customFormat="false" ht="15.75" hidden="false" customHeight="true" outlineLevel="0" collapsed="false">
      <c r="A168" s="22" t="str">
        <f aca="false">IF(COUNT(Programação!$AP$5:$AP$1004)&lt;161,"",IF(INDEX(Programação!$AM$5:$AM$1004,MATCH(161,Programação!$AP$5:$AP$1004,0))="","",INDEX(Programação!$AM$5:$AM$1004,MATCH(161,Programação!$AP$5:$AP$1004,0))))</f>
        <v/>
      </c>
      <c r="B168" s="22" t="str">
        <f aca="false">IF(COUNT(Programação!$AP$5:$AP$1004)&lt;161,"",IF(INDEX(Programação!$C$5:$C$1004,MATCH(161,Programação!$AP$5:$AP$1004,0))="","",INDEX(Programação!$C$5:$C$1004,MATCH(161,Programação!$AP$5:$AP$1004,0))))</f>
        <v/>
      </c>
      <c r="C168" s="22" t="str">
        <f aca="false">IF(COUNT(Programação!$AP$5:$AP$1004)&lt;161,"",IF(INDEX(Programação!$D$5:$D$1004,MATCH(161,Programação!$AP$5:$AP$1004,0))="","",INDEX(Programação!$D$5:$D$1004,MATCH(161,Programação!$AP$5:$AP$1004,0))))</f>
        <v/>
      </c>
      <c r="D168" s="22" t="str">
        <f aca="false">IF(COUNT(Programação!$AP$5:$AP$1004)&lt;161,"",IF(INDEX(Programação!$AN$5:$AN$1004,MATCH(161,Programação!$AP$5:$AP$1004,0))="","",INDEX(Programação!$AN$5:$AN$1004,MATCH(161,Programação!$AP$5:$AP$1004,0))))</f>
        <v/>
      </c>
      <c r="E168" s="24" t="str">
        <f aca="false">IF(COUNT(Programação!$AP$5:$AP$1004)&lt;161,"",IF(INDEX(Programação!$F$5:$F$1004,MATCH(161,Programação!$AP$5:$AP$1004,0))="","",INDEX(Programação!$F$5:$F$1004,MATCH(161,Programação!$AP$5:$AP$1004,0))))</f>
        <v/>
      </c>
      <c r="F168" s="22" t="str">
        <f aca="false">IF(COUNT(Programação!$AP$5:$AP$1004)&lt;161,"",IF(INDEX(Programação!$G$5:$G$1004,MATCH(161,Programação!$AP$5:$AP$1004,0))="","",INDEX(Programação!$G$5:$G$1004,MATCH(161,Programação!$AP$5:$AP$1004,0))))</f>
        <v/>
      </c>
      <c r="G168" s="24" t="str">
        <f aca="false">IF(COUNT(Programação!$AP$5:$AP$1004)&lt;161,"",IF(INDEX(Programação!$U$5:$U$1004,MATCH(161,Programação!$AP$5:$AP$1004,0))="","",INDEX(Programação!$U$5:$U$1004,MATCH(161,Programação!$AP$5:$AP$1004,0))))</f>
        <v/>
      </c>
      <c r="H168" s="22" t="str">
        <f aca="false">IF(COUNT(Programação!$AP$5:$AP$1004)&lt;161,"",MATCH(161,Programação!$AP$5:$AP$1004,0)+4)</f>
        <v/>
      </c>
    </row>
    <row r="169" customFormat="false" ht="15.75" hidden="false" customHeight="true" outlineLevel="0" collapsed="false">
      <c r="A169" s="22" t="str">
        <f aca="false">IF(COUNT(Programação!$AP$5:$AP$1004)&lt;162,"",IF(INDEX(Programação!$AM$5:$AM$1004,MATCH(162,Programação!$AP$5:$AP$1004,0))="","",INDEX(Programação!$AM$5:$AM$1004,MATCH(162,Programação!$AP$5:$AP$1004,0))))</f>
        <v/>
      </c>
      <c r="B169" s="22" t="str">
        <f aca="false">IF(COUNT(Programação!$AP$5:$AP$1004)&lt;162,"",IF(INDEX(Programação!$C$5:$C$1004,MATCH(162,Programação!$AP$5:$AP$1004,0))="","",INDEX(Programação!$C$5:$C$1004,MATCH(162,Programação!$AP$5:$AP$1004,0))))</f>
        <v/>
      </c>
      <c r="C169" s="22" t="str">
        <f aca="false">IF(COUNT(Programação!$AP$5:$AP$1004)&lt;162,"",IF(INDEX(Programação!$D$5:$D$1004,MATCH(162,Programação!$AP$5:$AP$1004,0))="","",INDEX(Programação!$D$5:$D$1004,MATCH(162,Programação!$AP$5:$AP$1004,0))))</f>
        <v/>
      </c>
      <c r="D169" s="22" t="str">
        <f aca="false">IF(COUNT(Programação!$AP$5:$AP$1004)&lt;162,"",IF(INDEX(Programação!$AN$5:$AN$1004,MATCH(162,Programação!$AP$5:$AP$1004,0))="","",INDEX(Programação!$AN$5:$AN$1004,MATCH(162,Programação!$AP$5:$AP$1004,0))))</f>
        <v/>
      </c>
      <c r="E169" s="24" t="str">
        <f aca="false">IF(COUNT(Programação!$AP$5:$AP$1004)&lt;162,"",IF(INDEX(Programação!$F$5:$F$1004,MATCH(162,Programação!$AP$5:$AP$1004,0))="","",INDEX(Programação!$F$5:$F$1004,MATCH(162,Programação!$AP$5:$AP$1004,0))))</f>
        <v/>
      </c>
      <c r="F169" s="22" t="str">
        <f aca="false">IF(COUNT(Programação!$AP$5:$AP$1004)&lt;162,"",IF(INDEX(Programação!$G$5:$G$1004,MATCH(162,Programação!$AP$5:$AP$1004,0))="","",INDEX(Programação!$G$5:$G$1004,MATCH(162,Programação!$AP$5:$AP$1004,0))))</f>
        <v/>
      </c>
      <c r="G169" s="24" t="str">
        <f aca="false">IF(COUNT(Programação!$AP$5:$AP$1004)&lt;162,"",IF(INDEX(Programação!$U$5:$U$1004,MATCH(162,Programação!$AP$5:$AP$1004,0))="","",INDEX(Programação!$U$5:$U$1004,MATCH(162,Programação!$AP$5:$AP$1004,0))))</f>
        <v/>
      </c>
      <c r="H169" s="22" t="str">
        <f aca="false">IF(COUNT(Programação!$AP$5:$AP$1004)&lt;162,"",MATCH(162,Programação!$AP$5:$AP$1004,0)+4)</f>
        <v/>
      </c>
    </row>
    <row r="170" customFormat="false" ht="15.75" hidden="false" customHeight="true" outlineLevel="0" collapsed="false">
      <c r="A170" s="22" t="str">
        <f aca="false">IF(COUNT(Programação!$AP$5:$AP$1004)&lt;163,"",IF(INDEX(Programação!$AM$5:$AM$1004,MATCH(163,Programação!$AP$5:$AP$1004,0))="","",INDEX(Programação!$AM$5:$AM$1004,MATCH(163,Programação!$AP$5:$AP$1004,0))))</f>
        <v/>
      </c>
      <c r="B170" s="22" t="str">
        <f aca="false">IF(COUNT(Programação!$AP$5:$AP$1004)&lt;163,"",IF(INDEX(Programação!$C$5:$C$1004,MATCH(163,Programação!$AP$5:$AP$1004,0))="","",INDEX(Programação!$C$5:$C$1004,MATCH(163,Programação!$AP$5:$AP$1004,0))))</f>
        <v/>
      </c>
      <c r="C170" s="22" t="str">
        <f aca="false">IF(COUNT(Programação!$AP$5:$AP$1004)&lt;163,"",IF(INDEX(Programação!$D$5:$D$1004,MATCH(163,Programação!$AP$5:$AP$1004,0))="","",INDEX(Programação!$D$5:$D$1004,MATCH(163,Programação!$AP$5:$AP$1004,0))))</f>
        <v/>
      </c>
      <c r="D170" s="22" t="str">
        <f aca="false">IF(COUNT(Programação!$AP$5:$AP$1004)&lt;163,"",IF(INDEX(Programação!$AN$5:$AN$1004,MATCH(163,Programação!$AP$5:$AP$1004,0))="","",INDEX(Programação!$AN$5:$AN$1004,MATCH(163,Programação!$AP$5:$AP$1004,0))))</f>
        <v/>
      </c>
      <c r="E170" s="24" t="str">
        <f aca="false">IF(COUNT(Programação!$AP$5:$AP$1004)&lt;163,"",IF(INDEX(Programação!$F$5:$F$1004,MATCH(163,Programação!$AP$5:$AP$1004,0))="","",INDEX(Programação!$F$5:$F$1004,MATCH(163,Programação!$AP$5:$AP$1004,0))))</f>
        <v/>
      </c>
      <c r="F170" s="22" t="str">
        <f aca="false">IF(COUNT(Programação!$AP$5:$AP$1004)&lt;163,"",IF(INDEX(Programação!$G$5:$G$1004,MATCH(163,Programação!$AP$5:$AP$1004,0))="","",INDEX(Programação!$G$5:$G$1004,MATCH(163,Programação!$AP$5:$AP$1004,0))))</f>
        <v/>
      </c>
      <c r="G170" s="24" t="str">
        <f aca="false">IF(COUNT(Programação!$AP$5:$AP$1004)&lt;163,"",IF(INDEX(Programação!$U$5:$U$1004,MATCH(163,Programação!$AP$5:$AP$1004,0))="","",INDEX(Programação!$U$5:$U$1004,MATCH(163,Programação!$AP$5:$AP$1004,0))))</f>
        <v/>
      </c>
      <c r="H170" s="22" t="str">
        <f aca="false">IF(COUNT(Programação!$AP$5:$AP$1004)&lt;163,"",MATCH(163,Programação!$AP$5:$AP$1004,0)+4)</f>
        <v/>
      </c>
    </row>
    <row r="171" customFormat="false" ht="15.75" hidden="false" customHeight="true" outlineLevel="0" collapsed="false">
      <c r="A171" s="22" t="str">
        <f aca="false">IF(COUNT(Programação!$AP$5:$AP$1004)&lt;164,"",IF(INDEX(Programação!$AM$5:$AM$1004,MATCH(164,Programação!$AP$5:$AP$1004,0))="","",INDEX(Programação!$AM$5:$AM$1004,MATCH(164,Programação!$AP$5:$AP$1004,0))))</f>
        <v/>
      </c>
      <c r="B171" s="22" t="str">
        <f aca="false">IF(COUNT(Programação!$AP$5:$AP$1004)&lt;164,"",IF(INDEX(Programação!$C$5:$C$1004,MATCH(164,Programação!$AP$5:$AP$1004,0))="","",INDEX(Programação!$C$5:$C$1004,MATCH(164,Programação!$AP$5:$AP$1004,0))))</f>
        <v/>
      </c>
      <c r="C171" s="22" t="str">
        <f aca="false">IF(COUNT(Programação!$AP$5:$AP$1004)&lt;164,"",IF(INDEX(Programação!$D$5:$D$1004,MATCH(164,Programação!$AP$5:$AP$1004,0))="","",INDEX(Programação!$D$5:$D$1004,MATCH(164,Programação!$AP$5:$AP$1004,0))))</f>
        <v/>
      </c>
      <c r="D171" s="22" t="str">
        <f aca="false">IF(COUNT(Programação!$AP$5:$AP$1004)&lt;164,"",IF(INDEX(Programação!$AN$5:$AN$1004,MATCH(164,Programação!$AP$5:$AP$1004,0))="","",INDEX(Programação!$AN$5:$AN$1004,MATCH(164,Programação!$AP$5:$AP$1004,0))))</f>
        <v/>
      </c>
      <c r="E171" s="24" t="str">
        <f aca="false">IF(COUNT(Programação!$AP$5:$AP$1004)&lt;164,"",IF(INDEX(Programação!$F$5:$F$1004,MATCH(164,Programação!$AP$5:$AP$1004,0))="","",INDEX(Programação!$F$5:$F$1004,MATCH(164,Programação!$AP$5:$AP$1004,0))))</f>
        <v/>
      </c>
      <c r="F171" s="22" t="str">
        <f aca="false">IF(COUNT(Programação!$AP$5:$AP$1004)&lt;164,"",IF(INDEX(Programação!$G$5:$G$1004,MATCH(164,Programação!$AP$5:$AP$1004,0))="","",INDEX(Programação!$G$5:$G$1004,MATCH(164,Programação!$AP$5:$AP$1004,0))))</f>
        <v/>
      </c>
      <c r="G171" s="24" t="str">
        <f aca="false">IF(COUNT(Programação!$AP$5:$AP$1004)&lt;164,"",IF(INDEX(Programação!$U$5:$U$1004,MATCH(164,Programação!$AP$5:$AP$1004,0))="","",INDEX(Programação!$U$5:$U$1004,MATCH(164,Programação!$AP$5:$AP$1004,0))))</f>
        <v/>
      </c>
      <c r="H171" s="22" t="str">
        <f aca="false">IF(COUNT(Programação!$AP$5:$AP$1004)&lt;164,"",MATCH(164,Programação!$AP$5:$AP$1004,0)+4)</f>
        <v/>
      </c>
    </row>
    <row r="172" customFormat="false" ht="15.75" hidden="false" customHeight="true" outlineLevel="0" collapsed="false">
      <c r="A172" s="22" t="str">
        <f aca="false">IF(COUNT(Programação!$AP$5:$AP$1004)&lt;165,"",IF(INDEX(Programação!$AM$5:$AM$1004,MATCH(165,Programação!$AP$5:$AP$1004,0))="","",INDEX(Programação!$AM$5:$AM$1004,MATCH(165,Programação!$AP$5:$AP$1004,0))))</f>
        <v/>
      </c>
      <c r="B172" s="22" t="str">
        <f aca="false">IF(COUNT(Programação!$AP$5:$AP$1004)&lt;165,"",IF(INDEX(Programação!$C$5:$C$1004,MATCH(165,Programação!$AP$5:$AP$1004,0))="","",INDEX(Programação!$C$5:$C$1004,MATCH(165,Programação!$AP$5:$AP$1004,0))))</f>
        <v/>
      </c>
      <c r="C172" s="22" t="str">
        <f aca="false">IF(COUNT(Programação!$AP$5:$AP$1004)&lt;165,"",IF(INDEX(Programação!$D$5:$D$1004,MATCH(165,Programação!$AP$5:$AP$1004,0))="","",INDEX(Programação!$D$5:$D$1004,MATCH(165,Programação!$AP$5:$AP$1004,0))))</f>
        <v/>
      </c>
      <c r="D172" s="22" t="str">
        <f aca="false">IF(COUNT(Programação!$AP$5:$AP$1004)&lt;165,"",IF(INDEX(Programação!$AN$5:$AN$1004,MATCH(165,Programação!$AP$5:$AP$1004,0))="","",INDEX(Programação!$AN$5:$AN$1004,MATCH(165,Programação!$AP$5:$AP$1004,0))))</f>
        <v/>
      </c>
      <c r="E172" s="24" t="str">
        <f aca="false">IF(COUNT(Programação!$AP$5:$AP$1004)&lt;165,"",IF(INDEX(Programação!$F$5:$F$1004,MATCH(165,Programação!$AP$5:$AP$1004,0))="","",INDEX(Programação!$F$5:$F$1004,MATCH(165,Programação!$AP$5:$AP$1004,0))))</f>
        <v/>
      </c>
      <c r="F172" s="22" t="str">
        <f aca="false">IF(COUNT(Programação!$AP$5:$AP$1004)&lt;165,"",IF(INDEX(Programação!$G$5:$G$1004,MATCH(165,Programação!$AP$5:$AP$1004,0))="","",INDEX(Programação!$G$5:$G$1004,MATCH(165,Programação!$AP$5:$AP$1004,0))))</f>
        <v/>
      </c>
      <c r="G172" s="24" t="str">
        <f aca="false">IF(COUNT(Programação!$AP$5:$AP$1004)&lt;165,"",IF(INDEX(Programação!$U$5:$U$1004,MATCH(165,Programação!$AP$5:$AP$1004,0))="","",INDEX(Programação!$U$5:$U$1004,MATCH(165,Programação!$AP$5:$AP$1004,0))))</f>
        <v/>
      </c>
      <c r="H172" s="22" t="str">
        <f aca="false">IF(COUNT(Programação!$AP$5:$AP$1004)&lt;165,"",MATCH(165,Programação!$AP$5:$AP$1004,0)+4)</f>
        <v/>
      </c>
    </row>
    <row r="173" customFormat="false" ht="15.75" hidden="false" customHeight="true" outlineLevel="0" collapsed="false">
      <c r="A173" s="22" t="str">
        <f aca="false">IF(COUNT(Programação!$AP$5:$AP$1004)&lt;166,"",IF(INDEX(Programação!$AM$5:$AM$1004,MATCH(166,Programação!$AP$5:$AP$1004,0))="","",INDEX(Programação!$AM$5:$AM$1004,MATCH(166,Programação!$AP$5:$AP$1004,0))))</f>
        <v/>
      </c>
      <c r="B173" s="22" t="str">
        <f aca="false">IF(COUNT(Programação!$AP$5:$AP$1004)&lt;166,"",IF(INDEX(Programação!$C$5:$C$1004,MATCH(166,Programação!$AP$5:$AP$1004,0))="","",INDEX(Programação!$C$5:$C$1004,MATCH(166,Programação!$AP$5:$AP$1004,0))))</f>
        <v/>
      </c>
      <c r="C173" s="22" t="str">
        <f aca="false">IF(COUNT(Programação!$AP$5:$AP$1004)&lt;166,"",IF(INDEX(Programação!$D$5:$D$1004,MATCH(166,Programação!$AP$5:$AP$1004,0))="","",INDEX(Programação!$D$5:$D$1004,MATCH(166,Programação!$AP$5:$AP$1004,0))))</f>
        <v/>
      </c>
      <c r="D173" s="22" t="str">
        <f aca="false">IF(COUNT(Programação!$AP$5:$AP$1004)&lt;166,"",IF(INDEX(Programação!$AN$5:$AN$1004,MATCH(166,Programação!$AP$5:$AP$1004,0))="","",INDEX(Programação!$AN$5:$AN$1004,MATCH(166,Programação!$AP$5:$AP$1004,0))))</f>
        <v/>
      </c>
      <c r="E173" s="24" t="str">
        <f aca="false">IF(COUNT(Programação!$AP$5:$AP$1004)&lt;166,"",IF(INDEX(Programação!$F$5:$F$1004,MATCH(166,Programação!$AP$5:$AP$1004,0))="","",INDEX(Programação!$F$5:$F$1004,MATCH(166,Programação!$AP$5:$AP$1004,0))))</f>
        <v/>
      </c>
      <c r="F173" s="22" t="str">
        <f aca="false">IF(COUNT(Programação!$AP$5:$AP$1004)&lt;166,"",IF(INDEX(Programação!$G$5:$G$1004,MATCH(166,Programação!$AP$5:$AP$1004,0))="","",INDEX(Programação!$G$5:$G$1004,MATCH(166,Programação!$AP$5:$AP$1004,0))))</f>
        <v/>
      </c>
      <c r="G173" s="24" t="str">
        <f aca="false">IF(COUNT(Programação!$AP$5:$AP$1004)&lt;166,"",IF(INDEX(Programação!$U$5:$U$1004,MATCH(166,Programação!$AP$5:$AP$1004,0))="","",INDEX(Programação!$U$5:$U$1004,MATCH(166,Programação!$AP$5:$AP$1004,0))))</f>
        <v/>
      </c>
      <c r="H173" s="22" t="str">
        <f aca="false">IF(COUNT(Programação!$AP$5:$AP$1004)&lt;166,"",MATCH(166,Programação!$AP$5:$AP$1004,0)+4)</f>
        <v/>
      </c>
    </row>
    <row r="174" customFormat="false" ht="15.75" hidden="false" customHeight="true" outlineLevel="0" collapsed="false">
      <c r="A174" s="22" t="str">
        <f aca="false">IF(COUNT(Programação!$AP$5:$AP$1004)&lt;167,"",IF(INDEX(Programação!$AM$5:$AM$1004,MATCH(167,Programação!$AP$5:$AP$1004,0))="","",INDEX(Programação!$AM$5:$AM$1004,MATCH(167,Programação!$AP$5:$AP$1004,0))))</f>
        <v/>
      </c>
      <c r="B174" s="22" t="str">
        <f aca="false">IF(COUNT(Programação!$AP$5:$AP$1004)&lt;167,"",IF(INDEX(Programação!$C$5:$C$1004,MATCH(167,Programação!$AP$5:$AP$1004,0))="","",INDEX(Programação!$C$5:$C$1004,MATCH(167,Programação!$AP$5:$AP$1004,0))))</f>
        <v/>
      </c>
      <c r="C174" s="22" t="str">
        <f aca="false">IF(COUNT(Programação!$AP$5:$AP$1004)&lt;167,"",IF(INDEX(Programação!$D$5:$D$1004,MATCH(167,Programação!$AP$5:$AP$1004,0))="","",INDEX(Programação!$D$5:$D$1004,MATCH(167,Programação!$AP$5:$AP$1004,0))))</f>
        <v/>
      </c>
      <c r="D174" s="22" t="str">
        <f aca="false">IF(COUNT(Programação!$AP$5:$AP$1004)&lt;167,"",IF(INDEX(Programação!$AN$5:$AN$1004,MATCH(167,Programação!$AP$5:$AP$1004,0))="","",INDEX(Programação!$AN$5:$AN$1004,MATCH(167,Programação!$AP$5:$AP$1004,0))))</f>
        <v/>
      </c>
      <c r="E174" s="24" t="str">
        <f aca="false">IF(COUNT(Programação!$AP$5:$AP$1004)&lt;167,"",IF(INDEX(Programação!$F$5:$F$1004,MATCH(167,Programação!$AP$5:$AP$1004,0))="","",INDEX(Programação!$F$5:$F$1004,MATCH(167,Programação!$AP$5:$AP$1004,0))))</f>
        <v/>
      </c>
      <c r="F174" s="22" t="str">
        <f aca="false">IF(COUNT(Programação!$AP$5:$AP$1004)&lt;167,"",IF(INDEX(Programação!$G$5:$G$1004,MATCH(167,Programação!$AP$5:$AP$1004,0))="","",INDEX(Programação!$G$5:$G$1004,MATCH(167,Programação!$AP$5:$AP$1004,0))))</f>
        <v/>
      </c>
      <c r="G174" s="24" t="str">
        <f aca="false">IF(COUNT(Programação!$AP$5:$AP$1004)&lt;167,"",IF(INDEX(Programação!$U$5:$U$1004,MATCH(167,Programação!$AP$5:$AP$1004,0))="","",INDEX(Programação!$U$5:$U$1004,MATCH(167,Programação!$AP$5:$AP$1004,0))))</f>
        <v/>
      </c>
      <c r="H174" s="22" t="str">
        <f aca="false">IF(COUNT(Programação!$AP$5:$AP$1004)&lt;167,"",MATCH(167,Programação!$AP$5:$AP$1004,0)+4)</f>
        <v/>
      </c>
    </row>
    <row r="175" customFormat="false" ht="15.75" hidden="false" customHeight="true" outlineLevel="0" collapsed="false">
      <c r="A175" s="22" t="str">
        <f aca="false">IF(COUNT(Programação!$AP$5:$AP$1004)&lt;168,"",IF(INDEX(Programação!$AM$5:$AM$1004,MATCH(168,Programação!$AP$5:$AP$1004,0))="","",INDEX(Programação!$AM$5:$AM$1004,MATCH(168,Programação!$AP$5:$AP$1004,0))))</f>
        <v/>
      </c>
      <c r="B175" s="22" t="str">
        <f aca="false">IF(COUNT(Programação!$AP$5:$AP$1004)&lt;168,"",IF(INDEX(Programação!$C$5:$C$1004,MATCH(168,Programação!$AP$5:$AP$1004,0))="","",INDEX(Programação!$C$5:$C$1004,MATCH(168,Programação!$AP$5:$AP$1004,0))))</f>
        <v/>
      </c>
      <c r="C175" s="22" t="str">
        <f aca="false">IF(COUNT(Programação!$AP$5:$AP$1004)&lt;168,"",IF(INDEX(Programação!$D$5:$D$1004,MATCH(168,Programação!$AP$5:$AP$1004,0))="","",INDEX(Programação!$D$5:$D$1004,MATCH(168,Programação!$AP$5:$AP$1004,0))))</f>
        <v/>
      </c>
      <c r="D175" s="22" t="str">
        <f aca="false">IF(COUNT(Programação!$AP$5:$AP$1004)&lt;168,"",IF(INDEX(Programação!$AN$5:$AN$1004,MATCH(168,Programação!$AP$5:$AP$1004,0))="","",INDEX(Programação!$AN$5:$AN$1004,MATCH(168,Programação!$AP$5:$AP$1004,0))))</f>
        <v/>
      </c>
      <c r="E175" s="24" t="str">
        <f aca="false">IF(COUNT(Programação!$AP$5:$AP$1004)&lt;168,"",IF(INDEX(Programação!$F$5:$F$1004,MATCH(168,Programação!$AP$5:$AP$1004,0))="","",INDEX(Programação!$F$5:$F$1004,MATCH(168,Programação!$AP$5:$AP$1004,0))))</f>
        <v/>
      </c>
      <c r="F175" s="22" t="str">
        <f aca="false">IF(COUNT(Programação!$AP$5:$AP$1004)&lt;168,"",IF(INDEX(Programação!$G$5:$G$1004,MATCH(168,Programação!$AP$5:$AP$1004,0))="","",INDEX(Programação!$G$5:$G$1004,MATCH(168,Programação!$AP$5:$AP$1004,0))))</f>
        <v/>
      </c>
      <c r="G175" s="24" t="str">
        <f aca="false">IF(COUNT(Programação!$AP$5:$AP$1004)&lt;168,"",IF(INDEX(Programação!$U$5:$U$1004,MATCH(168,Programação!$AP$5:$AP$1004,0))="","",INDEX(Programação!$U$5:$U$1004,MATCH(168,Programação!$AP$5:$AP$1004,0))))</f>
        <v/>
      </c>
      <c r="H175" s="22" t="str">
        <f aca="false">IF(COUNT(Programação!$AP$5:$AP$1004)&lt;168,"",MATCH(168,Programação!$AP$5:$AP$1004,0)+4)</f>
        <v/>
      </c>
    </row>
    <row r="176" customFormat="false" ht="15.75" hidden="false" customHeight="true" outlineLevel="0" collapsed="false">
      <c r="A176" s="22" t="str">
        <f aca="false">IF(COUNT(Programação!$AP$5:$AP$1004)&lt;169,"",IF(INDEX(Programação!$AM$5:$AM$1004,MATCH(169,Programação!$AP$5:$AP$1004,0))="","",INDEX(Programação!$AM$5:$AM$1004,MATCH(169,Programação!$AP$5:$AP$1004,0))))</f>
        <v/>
      </c>
      <c r="B176" s="22" t="str">
        <f aca="false">IF(COUNT(Programação!$AP$5:$AP$1004)&lt;169,"",IF(INDEX(Programação!$C$5:$C$1004,MATCH(169,Programação!$AP$5:$AP$1004,0))="","",INDEX(Programação!$C$5:$C$1004,MATCH(169,Programação!$AP$5:$AP$1004,0))))</f>
        <v/>
      </c>
      <c r="C176" s="22" t="str">
        <f aca="false">IF(COUNT(Programação!$AP$5:$AP$1004)&lt;169,"",IF(INDEX(Programação!$D$5:$D$1004,MATCH(169,Programação!$AP$5:$AP$1004,0))="","",INDEX(Programação!$D$5:$D$1004,MATCH(169,Programação!$AP$5:$AP$1004,0))))</f>
        <v/>
      </c>
      <c r="D176" s="22" t="str">
        <f aca="false">IF(COUNT(Programação!$AP$5:$AP$1004)&lt;169,"",IF(INDEX(Programação!$AN$5:$AN$1004,MATCH(169,Programação!$AP$5:$AP$1004,0))="","",INDEX(Programação!$AN$5:$AN$1004,MATCH(169,Programação!$AP$5:$AP$1004,0))))</f>
        <v/>
      </c>
      <c r="E176" s="24" t="str">
        <f aca="false">IF(COUNT(Programação!$AP$5:$AP$1004)&lt;169,"",IF(INDEX(Programação!$F$5:$F$1004,MATCH(169,Programação!$AP$5:$AP$1004,0))="","",INDEX(Programação!$F$5:$F$1004,MATCH(169,Programação!$AP$5:$AP$1004,0))))</f>
        <v/>
      </c>
      <c r="F176" s="22" t="str">
        <f aca="false">IF(COUNT(Programação!$AP$5:$AP$1004)&lt;169,"",IF(INDEX(Programação!$G$5:$G$1004,MATCH(169,Programação!$AP$5:$AP$1004,0))="","",INDEX(Programação!$G$5:$G$1004,MATCH(169,Programação!$AP$5:$AP$1004,0))))</f>
        <v/>
      </c>
      <c r="G176" s="24" t="str">
        <f aca="false">IF(COUNT(Programação!$AP$5:$AP$1004)&lt;169,"",IF(INDEX(Programação!$U$5:$U$1004,MATCH(169,Programação!$AP$5:$AP$1004,0))="","",INDEX(Programação!$U$5:$U$1004,MATCH(169,Programação!$AP$5:$AP$1004,0))))</f>
        <v/>
      </c>
      <c r="H176" s="22" t="str">
        <f aca="false">IF(COUNT(Programação!$AP$5:$AP$1004)&lt;169,"",MATCH(169,Programação!$AP$5:$AP$1004,0)+4)</f>
        <v/>
      </c>
    </row>
    <row r="177" customFormat="false" ht="15.75" hidden="false" customHeight="true" outlineLevel="0" collapsed="false">
      <c r="A177" s="22" t="str">
        <f aca="false">IF(COUNT(Programação!$AP$5:$AP$1004)&lt;170,"",IF(INDEX(Programação!$AM$5:$AM$1004,MATCH(170,Programação!$AP$5:$AP$1004,0))="","",INDEX(Programação!$AM$5:$AM$1004,MATCH(170,Programação!$AP$5:$AP$1004,0))))</f>
        <v/>
      </c>
      <c r="B177" s="22" t="str">
        <f aca="false">IF(COUNT(Programação!$AP$5:$AP$1004)&lt;170,"",IF(INDEX(Programação!$C$5:$C$1004,MATCH(170,Programação!$AP$5:$AP$1004,0))="","",INDEX(Programação!$C$5:$C$1004,MATCH(170,Programação!$AP$5:$AP$1004,0))))</f>
        <v/>
      </c>
      <c r="C177" s="22" t="str">
        <f aca="false">IF(COUNT(Programação!$AP$5:$AP$1004)&lt;170,"",IF(INDEX(Programação!$D$5:$D$1004,MATCH(170,Programação!$AP$5:$AP$1004,0))="","",INDEX(Programação!$D$5:$D$1004,MATCH(170,Programação!$AP$5:$AP$1004,0))))</f>
        <v/>
      </c>
      <c r="D177" s="22" t="str">
        <f aca="false">IF(COUNT(Programação!$AP$5:$AP$1004)&lt;170,"",IF(INDEX(Programação!$AN$5:$AN$1004,MATCH(170,Programação!$AP$5:$AP$1004,0))="","",INDEX(Programação!$AN$5:$AN$1004,MATCH(170,Programação!$AP$5:$AP$1004,0))))</f>
        <v/>
      </c>
      <c r="E177" s="24" t="str">
        <f aca="false">IF(COUNT(Programação!$AP$5:$AP$1004)&lt;170,"",IF(INDEX(Programação!$F$5:$F$1004,MATCH(170,Programação!$AP$5:$AP$1004,0))="","",INDEX(Programação!$F$5:$F$1004,MATCH(170,Programação!$AP$5:$AP$1004,0))))</f>
        <v/>
      </c>
      <c r="F177" s="22" t="str">
        <f aca="false">IF(COUNT(Programação!$AP$5:$AP$1004)&lt;170,"",IF(INDEX(Programação!$G$5:$G$1004,MATCH(170,Programação!$AP$5:$AP$1004,0))="","",INDEX(Programação!$G$5:$G$1004,MATCH(170,Programação!$AP$5:$AP$1004,0))))</f>
        <v/>
      </c>
      <c r="G177" s="24" t="str">
        <f aca="false">IF(COUNT(Programação!$AP$5:$AP$1004)&lt;170,"",IF(INDEX(Programação!$U$5:$U$1004,MATCH(170,Programação!$AP$5:$AP$1004,0))="","",INDEX(Programação!$U$5:$U$1004,MATCH(170,Programação!$AP$5:$AP$1004,0))))</f>
        <v/>
      </c>
      <c r="H177" s="22" t="str">
        <f aca="false">IF(COUNT(Programação!$AP$5:$AP$1004)&lt;170,"",MATCH(170,Programação!$AP$5:$AP$1004,0)+4)</f>
        <v/>
      </c>
    </row>
    <row r="178" customFormat="false" ht="15.75" hidden="false" customHeight="true" outlineLevel="0" collapsed="false">
      <c r="A178" s="22" t="str">
        <f aca="false">IF(COUNT(Programação!$AP$5:$AP$1004)&lt;171,"",IF(INDEX(Programação!$AM$5:$AM$1004,MATCH(171,Programação!$AP$5:$AP$1004,0))="","",INDEX(Programação!$AM$5:$AM$1004,MATCH(171,Programação!$AP$5:$AP$1004,0))))</f>
        <v/>
      </c>
      <c r="B178" s="22" t="str">
        <f aca="false">IF(COUNT(Programação!$AP$5:$AP$1004)&lt;171,"",IF(INDEX(Programação!$C$5:$C$1004,MATCH(171,Programação!$AP$5:$AP$1004,0))="","",INDEX(Programação!$C$5:$C$1004,MATCH(171,Programação!$AP$5:$AP$1004,0))))</f>
        <v/>
      </c>
      <c r="C178" s="22" t="str">
        <f aca="false">IF(COUNT(Programação!$AP$5:$AP$1004)&lt;171,"",IF(INDEX(Programação!$D$5:$D$1004,MATCH(171,Programação!$AP$5:$AP$1004,0))="","",INDEX(Programação!$D$5:$D$1004,MATCH(171,Programação!$AP$5:$AP$1004,0))))</f>
        <v/>
      </c>
      <c r="D178" s="22" t="str">
        <f aca="false">IF(COUNT(Programação!$AP$5:$AP$1004)&lt;171,"",IF(INDEX(Programação!$AN$5:$AN$1004,MATCH(171,Programação!$AP$5:$AP$1004,0))="","",INDEX(Programação!$AN$5:$AN$1004,MATCH(171,Programação!$AP$5:$AP$1004,0))))</f>
        <v/>
      </c>
      <c r="E178" s="24" t="str">
        <f aca="false">IF(COUNT(Programação!$AP$5:$AP$1004)&lt;171,"",IF(INDEX(Programação!$F$5:$F$1004,MATCH(171,Programação!$AP$5:$AP$1004,0))="","",INDEX(Programação!$F$5:$F$1004,MATCH(171,Programação!$AP$5:$AP$1004,0))))</f>
        <v/>
      </c>
      <c r="F178" s="22" t="str">
        <f aca="false">IF(COUNT(Programação!$AP$5:$AP$1004)&lt;171,"",IF(INDEX(Programação!$G$5:$G$1004,MATCH(171,Programação!$AP$5:$AP$1004,0))="","",INDEX(Programação!$G$5:$G$1004,MATCH(171,Programação!$AP$5:$AP$1004,0))))</f>
        <v/>
      </c>
      <c r="G178" s="24" t="str">
        <f aca="false">IF(COUNT(Programação!$AP$5:$AP$1004)&lt;171,"",IF(INDEX(Programação!$U$5:$U$1004,MATCH(171,Programação!$AP$5:$AP$1004,0))="","",INDEX(Programação!$U$5:$U$1004,MATCH(171,Programação!$AP$5:$AP$1004,0))))</f>
        <v/>
      </c>
      <c r="H178" s="22" t="str">
        <f aca="false">IF(COUNT(Programação!$AP$5:$AP$1004)&lt;171,"",MATCH(171,Programação!$AP$5:$AP$1004,0)+4)</f>
        <v/>
      </c>
    </row>
    <row r="179" customFormat="false" ht="15.75" hidden="false" customHeight="true" outlineLevel="0" collapsed="false">
      <c r="A179" s="22" t="str">
        <f aca="false">IF(COUNT(Programação!$AP$5:$AP$1004)&lt;172,"",IF(INDEX(Programação!$AM$5:$AM$1004,MATCH(172,Programação!$AP$5:$AP$1004,0))="","",INDEX(Programação!$AM$5:$AM$1004,MATCH(172,Programação!$AP$5:$AP$1004,0))))</f>
        <v/>
      </c>
      <c r="B179" s="22" t="str">
        <f aca="false">IF(COUNT(Programação!$AP$5:$AP$1004)&lt;172,"",IF(INDEX(Programação!$C$5:$C$1004,MATCH(172,Programação!$AP$5:$AP$1004,0))="","",INDEX(Programação!$C$5:$C$1004,MATCH(172,Programação!$AP$5:$AP$1004,0))))</f>
        <v/>
      </c>
      <c r="C179" s="22" t="str">
        <f aca="false">IF(COUNT(Programação!$AP$5:$AP$1004)&lt;172,"",IF(INDEX(Programação!$D$5:$D$1004,MATCH(172,Programação!$AP$5:$AP$1004,0))="","",INDEX(Programação!$D$5:$D$1004,MATCH(172,Programação!$AP$5:$AP$1004,0))))</f>
        <v/>
      </c>
      <c r="D179" s="22" t="str">
        <f aca="false">IF(COUNT(Programação!$AP$5:$AP$1004)&lt;172,"",IF(INDEX(Programação!$AN$5:$AN$1004,MATCH(172,Programação!$AP$5:$AP$1004,0))="","",INDEX(Programação!$AN$5:$AN$1004,MATCH(172,Programação!$AP$5:$AP$1004,0))))</f>
        <v/>
      </c>
      <c r="E179" s="24" t="str">
        <f aca="false">IF(COUNT(Programação!$AP$5:$AP$1004)&lt;172,"",IF(INDEX(Programação!$F$5:$F$1004,MATCH(172,Programação!$AP$5:$AP$1004,0))="","",INDEX(Programação!$F$5:$F$1004,MATCH(172,Programação!$AP$5:$AP$1004,0))))</f>
        <v/>
      </c>
      <c r="F179" s="22" t="str">
        <f aca="false">IF(COUNT(Programação!$AP$5:$AP$1004)&lt;172,"",IF(INDEX(Programação!$G$5:$G$1004,MATCH(172,Programação!$AP$5:$AP$1004,0))="","",INDEX(Programação!$G$5:$G$1004,MATCH(172,Programação!$AP$5:$AP$1004,0))))</f>
        <v/>
      </c>
      <c r="G179" s="24" t="str">
        <f aca="false">IF(COUNT(Programação!$AP$5:$AP$1004)&lt;172,"",IF(INDEX(Programação!$U$5:$U$1004,MATCH(172,Programação!$AP$5:$AP$1004,0))="","",INDEX(Programação!$U$5:$U$1004,MATCH(172,Programação!$AP$5:$AP$1004,0))))</f>
        <v/>
      </c>
      <c r="H179" s="22" t="str">
        <f aca="false">IF(COUNT(Programação!$AP$5:$AP$1004)&lt;172,"",MATCH(172,Programação!$AP$5:$AP$1004,0)+4)</f>
        <v/>
      </c>
    </row>
    <row r="180" customFormat="false" ht="15.75" hidden="false" customHeight="true" outlineLevel="0" collapsed="false">
      <c r="A180" s="22" t="str">
        <f aca="false">IF(COUNT(Programação!$AP$5:$AP$1004)&lt;173,"",IF(INDEX(Programação!$AM$5:$AM$1004,MATCH(173,Programação!$AP$5:$AP$1004,0))="","",INDEX(Programação!$AM$5:$AM$1004,MATCH(173,Programação!$AP$5:$AP$1004,0))))</f>
        <v/>
      </c>
      <c r="B180" s="22" t="str">
        <f aca="false">IF(COUNT(Programação!$AP$5:$AP$1004)&lt;173,"",IF(INDEX(Programação!$C$5:$C$1004,MATCH(173,Programação!$AP$5:$AP$1004,0))="","",INDEX(Programação!$C$5:$C$1004,MATCH(173,Programação!$AP$5:$AP$1004,0))))</f>
        <v/>
      </c>
      <c r="C180" s="22" t="str">
        <f aca="false">IF(COUNT(Programação!$AP$5:$AP$1004)&lt;173,"",IF(INDEX(Programação!$D$5:$D$1004,MATCH(173,Programação!$AP$5:$AP$1004,0))="","",INDEX(Programação!$D$5:$D$1004,MATCH(173,Programação!$AP$5:$AP$1004,0))))</f>
        <v/>
      </c>
      <c r="D180" s="22" t="str">
        <f aca="false">IF(COUNT(Programação!$AP$5:$AP$1004)&lt;173,"",IF(INDEX(Programação!$AN$5:$AN$1004,MATCH(173,Programação!$AP$5:$AP$1004,0))="","",INDEX(Programação!$AN$5:$AN$1004,MATCH(173,Programação!$AP$5:$AP$1004,0))))</f>
        <v/>
      </c>
      <c r="E180" s="24" t="str">
        <f aca="false">IF(COUNT(Programação!$AP$5:$AP$1004)&lt;173,"",IF(INDEX(Programação!$F$5:$F$1004,MATCH(173,Programação!$AP$5:$AP$1004,0))="","",INDEX(Programação!$F$5:$F$1004,MATCH(173,Programação!$AP$5:$AP$1004,0))))</f>
        <v/>
      </c>
      <c r="F180" s="22" t="str">
        <f aca="false">IF(COUNT(Programação!$AP$5:$AP$1004)&lt;173,"",IF(INDEX(Programação!$G$5:$G$1004,MATCH(173,Programação!$AP$5:$AP$1004,0))="","",INDEX(Programação!$G$5:$G$1004,MATCH(173,Programação!$AP$5:$AP$1004,0))))</f>
        <v/>
      </c>
      <c r="G180" s="24" t="str">
        <f aca="false">IF(COUNT(Programação!$AP$5:$AP$1004)&lt;173,"",IF(INDEX(Programação!$U$5:$U$1004,MATCH(173,Programação!$AP$5:$AP$1004,0))="","",INDEX(Programação!$U$5:$U$1004,MATCH(173,Programação!$AP$5:$AP$1004,0))))</f>
        <v/>
      </c>
      <c r="H180" s="22" t="str">
        <f aca="false">IF(COUNT(Programação!$AP$5:$AP$1004)&lt;173,"",MATCH(173,Programação!$AP$5:$AP$1004,0)+4)</f>
        <v/>
      </c>
    </row>
    <row r="181" customFormat="false" ht="15.75" hidden="false" customHeight="true" outlineLevel="0" collapsed="false">
      <c r="A181" s="22" t="str">
        <f aca="false">IF(COUNT(Programação!$AP$5:$AP$1004)&lt;174,"",IF(INDEX(Programação!$AM$5:$AM$1004,MATCH(174,Programação!$AP$5:$AP$1004,0))="","",INDEX(Programação!$AM$5:$AM$1004,MATCH(174,Programação!$AP$5:$AP$1004,0))))</f>
        <v/>
      </c>
      <c r="B181" s="22" t="str">
        <f aca="false">IF(COUNT(Programação!$AP$5:$AP$1004)&lt;174,"",IF(INDEX(Programação!$C$5:$C$1004,MATCH(174,Programação!$AP$5:$AP$1004,0))="","",INDEX(Programação!$C$5:$C$1004,MATCH(174,Programação!$AP$5:$AP$1004,0))))</f>
        <v/>
      </c>
      <c r="C181" s="22" t="str">
        <f aca="false">IF(COUNT(Programação!$AP$5:$AP$1004)&lt;174,"",IF(INDEX(Programação!$D$5:$D$1004,MATCH(174,Programação!$AP$5:$AP$1004,0))="","",INDEX(Programação!$D$5:$D$1004,MATCH(174,Programação!$AP$5:$AP$1004,0))))</f>
        <v/>
      </c>
      <c r="D181" s="22" t="str">
        <f aca="false">IF(COUNT(Programação!$AP$5:$AP$1004)&lt;174,"",IF(INDEX(Programação!$AN$5:$AN$1004,MATCH(174,Programação!$AP$5:$AP$1004,0))="","",INDEX(Programação!$AN$5:$AN$1004,MATCH(174,Programação!$AP$5:$AP$1004,0))))</f>
        <v/>
      </c>
      <c r="E181" s="24" t="str">
        <f aca="false">IF(COUNT(Programação!$AP$5:$AP$1004)&lt;174,"",IF(INDEX(Programação!$F$5:$F$1004,MATCH(174,Programação!$AP$5:$AP$1004,0))="","",INDEX(Programação!$F$5:$F$1004,MATCH(174,Programação!$AP$5:$AP$1004,0))))</f>
        <v/>
      </c>
      <c r="F181" s="22" t="str">
        <f aca="false">IF(COUNT(Programação!$AP$5:$AP$1004)&lt;174,"",IF(INDEX(Programação!$G$5:$G$1004,MATCH(174,Programação!$AP$5:$AP$1004,0))="","",INDEX(Programação!$G$5:$G$1004,MATCH(174,Programação!$AP$5:$AP$1004,0))))</f>
        <v/>
      </c>
      <c r="G181" s="24" t="str">
        <f aca="false">IF(COUNT(Programação!$AP$5:$AP$1004)&lt;174,"",IF(INDEX(Programação!$U$5:$U$1004,MATCH(174,Programação!$AP$5:$AP$1004,0))="","",INDEX(Programação!$U$5:$U$1004,MATCH(174,Programação!$AP$5:$AP$1004,0))))</f>
        <v/>
      </c>
      <c r="H181" s="22" t="str">
        <f aca="false">IF(COUNT(Programação!$AP$5:$AP$1004)&lt;174,"",MATCH(174,Programação!$AP$5:$AP$1004,0)+4)</f>
        <v/>
      </c>
    </row>
    <row r="182" customFormat="false" ht="15.75" hidden="false" customHeight="true" outlineLevel="0" collapsed="false">
      <c r="A182" s="22" t="str">
        <f aca="false">IF(COUNT(Programação!$AP$5:$AP$1004)&lt;175,"",IF(INDEX(Programação!$AM$5:$AM$1004,MATCH(175,Programação!$AP$5:$AP$1004,0))="","",INDEX(Programação!$AM$5:$AM$1004,MATCH(175,Programação!$AP$5:$AP$1004,0))))</f>
        <v/>
      </c>
      <c r="B182" s="22" t="str">
        <f aca="false">IF(COUNT(Programação!$AP$5:$AP$1004)&lt;175,"",IF(INDEX(Programação!$C$5:$C$1004,MATCH(175,Programação!$AP$5:$AP$1004,0))="","",INDEX(Programação!$C$5:$C$1004,MATCH(175,Programação!$AP$5:$AP$1004,0))))</f>
        <v/>
      </c>
      <c r="C182" s="22" t="str">
        <f aca="false">IF(COUNT(Programação!$AP$5:$AP$1004)&lt;175,"",IF(INDEX(Programação!$D$5:$D$1004,MATCH(175,Programação!$AP$5:$AP$1004,0))="","",INDEX(Programação!$D$5:$D$1004,MATCH(175,Programação!$AP$5:$AP$1004,0))))</f>
        <v/>
      </c>
      <c r="D182" s="22" t="str">
        <f aca="false">IF(COUNT(Programação!$AP$5:$AP$1004)&lt;175,"",IF(INDEX(Programação!$AN$5:$AN$1004,MATCH(175,Programação!$AP$5:$AP$1004,0))="","",INDEX(Programação!$AN$5:$AN$1004,MATCH(175,Programação!$AP$5:$AP$1004,0))))</f>
        <v/>
      </c>
      <c r="E182" s="24" t="str">
        <f aca="false">IF(COUNT(Programação!$AP$5:$AP$1004)&lt;175,"",IF(INDEX(Programação!$F$5:$F$1004,MATCH(175,Programação!$AP$5:$AP$1004,0))="","",INDEX(Programação!$F$5:$F$1004,MATCH(175,Programação!$AP$5:$AP$1004,0))))</f>
        <v/>
      </c>
      <c r="F182" s="22" t="str">
        <f aca="false">IF(COUNT(Programação!$AP$5:$AP$1004)&lt;175,"",IF(INDEX(Programação!$G$5:$G$1004,MATCH(175,Programação!$AP$5:$AP$1004,0))="","",INDEX(Programação!$G$5:$G$1004,MATCH(175,Programação!$AP$5:$AP$1004,0))))</f>
        <v/>
      </c>
      <c r="G182" s="24" t="str">
        <f aca="false">IF(COUNT(Programação!$AP$5:$AP$1004)&lt;175,"",IF(INDEX(Programação!$U$5:$U$1004,MATCH(175,Programação!$AP$5:$AP$1004,0))="","",INDEX(Programação!$U$5:$U$1004,MATCH(175,Programação!$AP$5:$AP$1004,0))))</f>
        <v/>
      </c>
      <c r="H182" s="22" t="str">
        <f aca="false">IF(COUNT(Programação!$AP$5:$AP$1004)&lt;175,"",MATCH(175,Programação!$AP$5:$AP$1004,0)+4)</f>
        <v/>
      </c>
    </row>
    <row r="183" customFormat="false" ht="15.75" hidden="false" customHeight="true" outlineLevel="0" collapsed="false">
      <c r="A183" s="22" t="str">
        <f aca="false">IF(COUNT(Programação!$AP$5:$AP$1004)&lt;176,"",IF(INDEX(Programação!$AM$5:$AM$1004,MATCH(176,Programação!$AP$5:$AP$1004,0))="","",INDEX(Programação!$AM$5:$AM$1004,MATCH(176,Programação!$AP$5:$AP$1004,0))))</f>
        <v/>
      </c>
      <c r="B183" s="22" t="str">
        <f aca="false">IF(COUNT(Programação!$AP$5:$AP$1004)&lt;176,"",IF(INDEX(Programação!$C$5:$C$1004,MATCH(176,Programação!$AP$5:$AP$1004,0))="","",INDEX(Programação!$C$5:$C$1004,MATCH(176,Programação!$AP$5:$AP$1004,0))))</f>
        <v/>
      </c>
      <c r="C183" s="22" t="str">
        <f aca="false">IF(COUNT(Programação!$AP$5:$AP$1004)&lt;176,"",IF(INDEX(Programação!$D$5:$D$1004,MATCH(176,Programação!$AP$5:$AP$1004,0))="","",INDEX(Programação!$D$5:$D$1004,MATCH(176,Programação!$AP$5:$AP$1004,0))))</f>
        <v/>
      </c>
      <c r="D183" s="22" t="str">
        <f aca="false">IF(COUNT(Programação!$AP$5:$AP$1004)&lt;176,"",IF(INDEX(Programação!$AN$5:$AN$1004,MATCH(176,Programação!$AP$5:$AP$1004,0))="","",INDEX(Programação!$AN$5:$AN$1004,MATCH(176,Programação!$AP$5:$AP$1004,0))))</f>
        <v/>
      </c>
      <c r="E183" s="24" t="str">
        <f aca="false">IF(COUNT(Programação!$AP$5:$AP$1004)&lt;176,"",IF(INDEX(Programação!$F$5:$F$1004,MATCH(176,Programação!$AP$5:$AP$1004,0))="","",INDEX(Programação!$F$5:$F$1004,MATCH(176,Programação!$AP$5:$AP$1004,0))))</f>
        <v/>
      </c>
      <c r="F183" s="22" t="str">
        <f aca="false">IF(COUNT(Programação!$AP$5:$AP$1004)&lt;176,"",IF(INDEX(Programação!$G$5:$G$1004,MATCH(176,Programação!$AP$5:$AP$1004,0))="","",INDEX(Programação!$G$5:$G$1004,MATCH(176,Programação!$AP$5:$AP$1004,0))))</f>
        <v/>
      </c>
      <c r="G183" s="24" t="str">
        <f aca="false">IF(COUNT(Programação!$AP$5:$AP$1004)&lt;176,"",IF(INDEX(Programação!$U$5:$U$1004,MATCH(176,Programação!$AP$5:$AP$1004,0))="","",INDEX(Programação!$U$5:$U$1004,MATCH(176,Programação!$AP$5:$AP$1004,0))))</f>
        <v/>
      </c>
      <c r="H183" s="22" t="str">
        <f aca="false">IF(COUNT(Programação!$AP$5:$AP$1004)&lt;176,"",MATCH(176,Programação!$AP$5:$AP$1004,0)+4)</f>
        <v/>
      </c>
    </row>
    <row r="184" customFormat="false" ht="15.75" hidden="false" customHeight="true" outlineLevel="0" collapsed="false">
      <c r="A184" s="22" t="str">
        <f aca="false">IF(COUNT(Programação!$AP$5:$AP$1004)&lt;177,"",IF(INDEX(Programação!$AM$5:$AM$1004,MATCH(177,Programação!$AP$5:$AP$1004,0))="","",INDEX(Programação!$AM$5:$AM$1004,MATCH(177,Programação!$AP$5:$AP$1004,0))))</f>
        <v/>
      </c>
      <c r="B184" s="22" t="str">
        <f aca="false">IF(COUNT(Programação!$AP$5:$AP$1004)&lt;177,"",IF(INDEX(Programação!$C$5:$C$1004,MATCH(177,Programação!$AP$5:$AP$1004,0))="","",INDEX(Programação!$C$5:$C$1004,MATCH(177,Programação!$AP$5:$AP$1004,0))))</f>
        <v/>
      </c>
      <c r="C184" s="22" t="str">
        <f aca="false">IF(COUNT(Programação!$AP$5:$AP$1004)&lt;177,"",IF(INDEX(Programação!$D$5:$D$1004,MATCH(177,Programação!$AP$5:$AP$1004,0))="","",INDEX(Programação!$D$5:$D$1004,MATCH(177,Programação!$AP$5:$AP$1004,0))))</f>
        <v/>
      </c>
      <c r="D184" s="22" t="str">
        <f aca="false">IF(COUNT(Programação!$AP$5:$AP$1004)&lt;177,"",IF(INDEX(Programação!$AN$5:$AN$1004,MATCH(177,Programação!$AP$5:$AP$1004,0))="","",INDEX(Programação!$AN$5:$AN$1004,MATCH(177,Programação!$AP$5:$AP$1004,0))))</f>
        <v/>
      </c>
      <c r="E184" s="24" t="str">
        <f aca="false">IF(COUNT(Programação!$AP$5:$AP$1004)&lt;177,"",IF(INDEX(Programação!$F$5:$F$1004,MATCH(177,Programação!$AP$5:$AP$1004,0))="","",INDEX(Programação!$F$5:$F$1004,MATCH(177,Programação!$AP$5:$AP$1004,0))))</f>
        <v/>
      </c>
      <c r="F184" s="22" t="str">
        <f aca="false">IF(COUNT(Programação!$AP$5:$AP$1004)&lt;177,"",IF(INDEX(Programação!$G$5:$G$1004,MATCH(177,Programação!$AP$5:$AP$1004,0))="","",INDEX(Programação!$G$5:$G$1004,MATCH(177,Programação!$AP$5:$AP$1004,0))))</f>
        <v/>
      </c>
      <c r="G184" s="24" t="str">
        <f aca="false">IF(COUNT(Programação!$AP$5:$AP$1004)&lt;177,"",IF(INDEX(Programação!$U$5:$U$1004,MATCH(177,Programação!$AP$5:$AP$1004,0))="","",INDEX(Programação!$U$5:$U$1004,MATCH(177,Programação!$AP$5:$AP$1004,0))))</f>
        <v/>
      </c>
      <c r="H184" s="22" t="str">
        <f aca="false">IF(COUNT(Programação!$AP$5:$AP$1004)&lt;177,"",MATCH(177,Programação!$AP$5:$AP$1004,0)+4)</f>
        <v/>
      </c>
    </row>
    <row r="185" customFormat="false" ht="15.75" hidden="false" customHeight="true" outlineLevel="0" collapsed="false">
      <c r="A185" s="22" t="str">
        <f aca="false">IF(COUNT(Programação!$AP$5:$AP$1004)&lt;178,"",IF(INDEX(Programação!$AM$5:$AM$1004,MATCH(178,Programação!$AP$5:$AP$1004,0))="","",INDEX(Programação!$AM$5:$AM$1004,MATCH(178,Programação!$AP$5:$AP$1004,0))))</f>
        <v/>
      </c>
      <c r="B185" s="22" t="str">
        <f aca="false">IF(COUNT(Programação!$AP$5:$AP$1004)&lt;178,"",IF(INDEX(Programação!$C$5:$C$1004,MATCH(178,Programação!$AP$5:$AP$1004,0))="","",INDEX(Programação!$C$5:$C$1004,MATCH(178,Programação!$AP$5:$AP$1004,0))))</f>
        <v/>
      </c>
      <c r="C185" s="22" t="str">
        <f aca="false">IF(COUNT(Programação!$AP$5:$AP$1004)&lt;178,"",IF(INDEX(Programação!$D$5:$D$1004,MATCH(178,Programação!$AP$5:$AP$1004,0))="","",INDEX(Programação!$D$5:$D$1004,MATCH(178,Programação!$AP$5:$AP$1004,0))))</f>
        <v/>
      </c>
      <c r="D185" s="22" t="str">
        <f aca="false">IF(COUNT(Programação!$AP$5:$AP$1004)&lt;178,"",IF(INDEX(Programação!$AN$5:$AN$1004,MATCH(178,Programação!$AP$5:$AP$1004,0))="","",INDEX(Programação!$AN$5:$AN$1004,MATCH(178,Programação!$AP$5:$AP$1004,0))))</f>
        <v/>
      </c>
      <c r="E185" s="24" t="str">
        <f aca="false">IF(COUNT(Programação!$AP$5:$AP$1004)&lt;178,"",IF(INDEX(Programação!$F$5:$F$1004,MATCH(178,Programação!$AP$5:$AP$1004,0))="","",INDEX(Programação!$F$5:$F$1004,MATCH(178,Programação!$AP$5:$AP$1004,0))))</f>
        <v/>
      </c>
      <c r="F185" s="22" t="str">
        <f aca="false">IF(COUNT(Programação!$AP$5:$AP$1004)&lt;178,"",IF(INDEX(Programação!$G$5:$G$1004,MATCH(178,Programação!$AP$5:$AP$1004,0))="","",INDEX(Programação!$G$5:$G$1004,MATCH(178,Programação!$AP$5:$AP$1004,0))))</f>
        <v/>
      </c>
      <c r="G185" s="24" t="str">
        <f aca="false">IF(COUNT(Programação!$AP$5:$AP$1004)&lt;178,"",IF(INDEX(Programação!$U$5:$U$1004,MATCH(178,Programação!$AP$5:$AP$1004,0))="","",INDEX(Programação!$U$5:$U$1004,MATCH(178,Programação!$AP$5:$AP$1004,0))))</f>
        <v/>
      </c>
      <c r="H185" s="22" t="str">
        <f aca="false">IF(COUNT(Programação!$AP$5:$AP$1004)&lt;178,"",MATCH(178,Programação!$AP$5:$AP$1004,0)+4)</f>
        <v/>
      </c>
    </row>
    <row r="186" customFormat="false" ht="15.75" hidden="false" customHeight="true" outlineLevel="0" collapsed="false">
      <c r="A186" s="22" t="str">
        <f aca="false">IF(COUNT(Programação!$AP$5:$AP$1004)&lt;179,"",IF(INDEX(Programação!$AM$5:$AM$1004,MATCH(179,Programação!$AP$5:$AP$1004,0))="","",INDEX(Programação!$AM$5:$AM$1004,MATCH(179,Programação!$AP$5:$AP$1004,0))))</f>
        <v/>
      </c>
      <c r="B186" s="22" t="str">
        <f aca="false">IF(COUNT(Programação!$AP$5:$AP$1004)&lt;179,"",IF(INDEX(Programação!$C$5:$C$1004,MATCH(179,Programação!$AP$5:$AP$1004,0))="","",INDEX(Programação!$C$5:$C$1004,MATCH(179,Programação!$AP$5:$AP$1004,0))))</f>
        <v/>
      </c>
      <c r="C186" s="22" t="str">
        <f aca="false">IF(COUNT(Programação!$AP$5:$AP$1004)&lt;179,"",IF(INDEX(Programação!$D$5:$D$1004,MATCH(179,Programação!$AP$5:$AP$1004,0))="","",INDEX(Programação!$D$5:$D$1004,MATCH(179,Programação!$AP$5:$AP$1004,0))))</f>
        <v/>
      </c>
      <c r="D186" s="22" t="str">
        <f aca="false">IF(COUNT(Programação!$AP$5:$AP$1004)&lt;179,"",IF(INDEX(Programação!$AN$5:$AN$1004,MATCH(179,Programação!$AP$5:$AP$1004,0))="","",INDEX(Programação!$AN$5:$AN$1004,MATCH(179,Programação!$AP$5:$AP$1004,0))))</f>
        <v/>
      </c>
      <c r="E186" s="24" t="str">
        <f aca="false">IF(COUNT(Programação!$AP$5:$AP$1004)&lt;179,"",IF(INDEX(Programação!$F$5:$F$1004,MATCH(179,Programação!$AP$5:$AP$1004,0))="","",INDEX(Programação!$F$5:$F$1004,MATCH(179,Programação!$AP$5:$AP$1004,0))))</f>
        <v/>
      </c>
      <c r="F186" s="22" t="str">
        <f aca="false">IF(COUNT(Programação!$AP$5:$AP$1004)&lt;179,"",IF(INDEX(Programação!$G$5:$G$1004,MATCH(179,Programação!$AP$5:$AP$1004,0))="","",INDEX(Programação!$G$5:$G$1004,MATCH(179,Programação!$AP$5:$AP$1004,0))))</f>
        <v/>
      </c>
      <c r="G186" s="24" t="str">
        <f aca="false">IF(COUNT(Programação!$AP$5:$AP$1004)&lt;179,"",IF(INDEX(Programação!$U$5:$U$1004,MATCH(179,Programação!$AP$5:$AP$1004,0))="","",INDEX(Programação!$U$5:$U$1004,MATCH(179,Programação!$AP$5:$AP$1004,0))))</f>
        <v/>
      </c>
      <c r="H186" s="22" t="str">
        <f aca="false">IF(COUNT(Programação!$AP$5:$AP$1004)&lt;179,"",MATCH(179,Programação!$AP$5:$AP$1004,0)+4)</f>
        <v/>
      </c>
    </row>
    <row r="187" customFormat="false" ht="15.75" hidden="false" customHeight="true" outlineLevel="0" collapsed="false">
      <c r="A187" s="22" t="str">
        <f aca="false">IF(COUNT(Programação!$AP$5:$AP$1004)&lt;180,"",IF(INDEX(Programação!$AM$5:$AM$1004,MATCH(180,Programação!$AP$5:$AP$1004,0))="","",INDEX(Programação!$AM$5:$AM$1004,MATCH(180,Programação!$AP$5:$AP$1004,0))))</f>
        <v/>
      </c>
      <c r="B187" s="22" t="str">
        <f aca="false">IF(COUNT(Programação!$AP$5:$AP$1004)&lt;180,"",IF(INDEX(Programação!$C$5:$C$1004,MATCH(180,Programação!$AP$5:$AP$1004,0))="","",INDEX(Programação!$C$5:$C$1004,MATCH(180,Programação!$AP$5:$AP$1004,0))))</f>
        <v/>
      </c>
      <c r="C187" s="22" t="str">
        <f aca="false">IF(COUNT(Programação!$AP$5:$AP$1004)&lt;180,"",IF(INDEX(Programação!$D$5:$D$1004,MATCH(180,Programação!$AP$5:$AP$1004,0))="","",INDEX(Programação!$D$5:$D$1004,MATCH(180,Programação!$AP$5:$AP$1004,0))))</f>
        <v/>
      </c>
      <c r="D187" s="22" t="str">
        <f aca="false">IF(COUNT(Programação!$AP$5:$AP$1004)&lt;180,"",IF(INDEX(Programação!$AN$5:$AN$1004,MATCH(180,Programação!$AP$5:$AP$1004,0))="","",INDEX(Programação!$AN$5:$AN$1004,MATCH(180,Programação!$AP$5:$AP$1004,0))))</f>
        <v/>
      </c>
      <c r="E187" s="24" t="str">
        <f aca="false">IF(COUNT(Programação!$AP$5:$AP$1004)&lt;180,"",IF(INDEX(Programação!$F$5:$F$1004,MATCH(180,Programação!$AP$5:$AP$1004,0))="","",INDEX(Programação!$F$5:$F$1004,MATCH(180,Programação!$AP$5:$AP$1004,0))))</f>
        <v/>
      </c>
      <c r="F187" s="22" t="str">
        <f aca="false">IF(COUNT(Programação!$AP$5:$AP$1004)&lt;180,"",IF(INDEX(Programação!$G$5:$G$1004,MATCH(180,Programação!$AP$5:$AP$1004,0))="","",INDEX(Programação!$G$5:$G$1004,MATCH(180,Programação!$AP$5:$AP$1004,0))))</f>
        <v/>
      </c>
      <c r="G187" s="24" t="str">
        <f aca="false">IF(COUNT(Programação!$AP$5:$AP$1004)&lt;180,"",IF(INDEX(Programação!$U$5:$U$1004,MATCH(180,Programação!$AP$5:$AP$1004,0))="","",INDEX(Programação!$U$5:$U$1004,MATCH(180,Programação!$AP$5:$AP$1004,0))))</f>
        <v/>
      </c>
      <c r="H187" s="22" t="str">
        <f aca="false">IF(COUNT(Programação!$AP$5:$AP$1004)&lt;180,"",MATCH(180,Programação!$AP$5:$AP$1004,0)+4)</f>
        <v/>
      </c>
    </row>
    <row r="188" customFormat="false" ht="15.75" hidden="false" customHeight="true" outlineLevel="0" collapsed="false">
      <c r="A188" s="22" t="str">
        <f aca="false">IF(COUNT(Programação!$AP$5:$AP$1004)&lt;181,"",IF(INDEX(Programação!$AM$5:$AM$1004,MATCH(181,Programação!$AP$5:$AP$1004,0))="","",INDEX(Programação!$AM$5:$AM$1004,MATCH(181,Programação!$AP$5:$AP$1004,0))))</f>
        <v/>
      </c>
      <c r="B188" s="22" t="str">
        <f aca="false">IF(COUNT(Programação!$AP$5:$AP$1004)&lt;181,"",IF(INDEX(Programação!$C$5:$C$1004,MATCH(181,Programação!$AP$5:$AP$1004,0))="","",INDEX(Programação!$C$5:$C$1004,MATCH(181,Programação!$AP$5:$AP$1004,0))))</f>
        <v/>
      </c>
      <c r="C188" s="22" t="str">
        <f aca="false">IF(COUNT(Programação!$AP$5:$AP$1004)&lt;181,"",IF(INDEX(Programação!$D$5:$D$1004,MATCH(181,Programação!$AP$5:$AP$1004,0))="","",INDEX(Programação!$D$5:$D$1004,MATCH(181,Programação!$AP$5:$AP$1004,0))))</f>
        <v/>
      </c>
      <c r="D188" s="22" t="str">
        <f aca="false">IF(COUNT(Programação!$AP$5:$AP$1004)&lt;181,"",IF(INDEX(Programação!$AN$5:$AN$1004,MATCH(181,Programação!$AP$5:$AP$1004,0))="","",INDEX(Programação!$AN$5:$AN$1004,MATCH(181,Programação!$AP$5:$AP$1004,0))))</f>
        <v/>
      </c>
      <c r="E188" s="24" t="str">
        <f aca="false">IF(COUNT(Programação!$AP$5:$AP$1004)&lt;181,"",IF(INDEX(Programação!$F$5:$F$1004,MATCH(181,Programação!$AP$5:$AP$1004,0))="","",INDEX(Programação!$F$5:$F$1004,MATCH(181,Programação!$AP$5:$AP$1004,0))))</f>
        <v/>
      </c>
      <c r="F188" s="22" t="str">
        <f aca="false">IF(COUNT(Programação!$AP$5:$AP$1004)&lt;181,"",IF(INDEX(Programação!$G$5:$G$1004,MATCH(181,Programação!$AP$5:$AP$1004,0))="","",INDEX(Programação!$G$5:$G$1004,MATCH(181,Programação!$AP$5:$AP$1004,0))))</f>
        <v/>
      </c>
      <c r="G188" s="24" t="str">
        <f aca="false">IF(COUNT(Programação!$AP$5:$AP$1004)&lt;181,"",IF(INDEX(Programação!$U$5:$U$1004,MATCH(181,Programação!$AP$5:$AP$1004,0))="","",INDEX(Programação!$U$5:$U$1004,MATCH(181,Programação!$AP$5:$AP$1004,0))))</f>
        <v/>
      </c>
      <c r="H188" s="22" t="str">
        <f aca="false">IF(COUNT(Programação!$AP$5:$AP$1004)&lt;181,"",MATCH(181,Programação!$AP$5:$AP$1004,0)+4)</f>
        <v/>
      </c>
    </row>
    <row r="189" customFormat="false" ht="15.75" hidden="false" customHeight="true" outlineLevel="0" collapsed="false">
      <c r="A189" s="22" t="str">
        <f aca="false">IF(COUNT(Programação!$AP$5:$AP$1004)&lt;182,"",IF(INDEX(Programação!$AM$5:$AM$1004,MATCH(182,Programação!$AP$5:$AP$1004,0))="","",INDEX(Programação!$AM$5:$AM$1004,MATCH(182,Programação!$AP$5:$AP$1004,0))))</f>
        <v/>
      </c>
      <c r="B189" s="22" t="str">
        <f aca="false">IF(COUNT(Programação!$AP$5:$AP$1004)&lt;182,"",IF(INDEX(Programação!$C$5:$C$1004,MATCH(182,Programação!$AP$5:$AP$1004,0))="","",INDEX(Programação!$C$5:$C$1004,MATCH(182,Programação!$AP$5:$AP$1004,0))))</f>
        <v/>
      </c>
      <c r="C189" s="22" t="str">
        <f aca="false">IF(COUNT(Programação!$AP$5:$AP$1004)&lt;182,"",IF(INDEX(Programação!$D$5:$D$1004,MATCH(182,Programação!$AP$5:$AP$1004,0))="","",INDEX(Programação!$D$5:$D$1004,MATCH(182,Programação!$AP$5:$AP$1004,0))))</f>
        <v/>
      </c>
      <c r="D189" s="22" t="str">
        <f aca="false">IF(COUNT(Programação!$AP$5:$AP$1004)&lt;182,"",IF(INDEX(Programação!$AN$5:$AN$1004,MATCH(182,Programação!$AP$5:$AP$1004,0))="","",INDEX(Programação!$AN$5:$AN$1004,MATCH(182,Programação!$AP$5:$AP$1004,0))))</f>
        <v/>
      </c>
      <c r="E189" s="24" t="str">
        <f aca="false">IF(COUNT(Programação!$AP$5:$AP$1004)&lt;182,"",IF(INDEX(Programação!$F$5:$F$1004,MATCH(182,Programação!$AP$5:$AP$1004,0))="","",INDEX(Programação!$F$5:$F$1004,MATCH(182,Programação!$AP$5:$AP$1004,0))))</f>
        <v/>
      </c>
      <c r="F189" s="22" t="str">
        <f aca="false">IF(COUNT(Programação!$AP$5:$AP$1004)&lt;182,"",IF(INDEX(Programação!$G$5:$G$1004,MATCH(182,Programação!$AP$5:$AP$1004,0))="","",INDEX(Programação!$G$5:$G$1004,MATCH(182,Programação!$AP$5:$AP$1004,0))))</f>
        <v/>
      </c>
      <c r="G189" s="24" t="str">
        <f aca="false">IF(COUNT(Programação!$AP$5:$AP$1004)&lt;182,"",IF(INDEX(Programação!$U$5:$U$1004,MATCH(182,Programação!$AP$5:$AP$1004,0))="","",INDEX(Programação!$U$5:$U$1004,MATCH(182,Programação!$AP$5:$AP$1004,0))))</f>
        <v/>
      </c>
      <c r="H189" s="22" t="str">
        <f aca="false">IF(COUNT(Programação!$AP$5:$AP$1004)&lt;182,"",MATCH(182,Programação!$AP$5:$AP$1004,0)+4)</f>
        <v/>
      </c>
    </row>
    <row r="190" customFormat="false" ht="15.75" hidden="false" customHeight="true" outlineLevel="0" collapsed="false">
      <c r="A190" s="22" t="str">
        <f aca="false">IF(COUNT(Programação!$AP$5:$AP$1004)&lt;183,"",IF(INDEX(Programação!$AM$5:$AM$1004,MATCH(183,Programação!$AP$5:$AP$1004,0))="","",INDEX(Programação!$AM$5:$AM$1004,MATCH(183,Programação!$AP$5:$AP$1004,0))))</f>
        <v/>
      </c>
      <c r="B190" s="22" t="str">
        <f aca="false">IF(COUNT(Programação!$AP$5:$AP$1004)&lt;183,"",IF(INDEX(Programação!$C$5:$C$1004,MATCH(183,Programação!$AP$5:$AP$1004,0))="","",INDEX(Programação!$C$5:$C$1004,MATCH(183,Programação!$AP$5:$AP$1004,0))))</f>
        <v/>
      </c>
      <c r="C190" s="22" t="str">
        <f aca="false">IF(COUNT(Programação!$AP$5:$AP$1004)&lt;183,"",IF(INDEX(Programação!$D$5:$D$1004,MATCH(183,Programação!$AP$5:$AP$1004,0))="","",INDEX(Programação!$D$5:$D$1004,MATCH(183,Programação!$AP$5:$AP$1004,0))))</f>
        <v/>
      </c>
      <c r="D190" s="22" t="str">
        <f aca="false">IF(COUNT(Programação!$AP$5:$AP$1004)&lt;183,"",IF(INDEX(Programação!$AN$5:$AN$1004,MATCH(183,Programação!$AP$5:$AP$1004,0))="","",INDEX(Programação!$AN$5:$AN$1004,MATCH(183,Programação!$AP$5:$AP$1004,0))))</f>
        <v/>
      </c>
      <c r="E190" s="24" t="str">
        <f aca="false">IF(COUNT(Programação!$AP$5:$AP$1004)&lt;183,"",IF(INDEX(Programação!$F$5:$F$1004,MATCH(183,Programação!$AP$5:$AP$1004,0))="","",INDEX(Programação!$F$5:$F$1004,MATCH(183,Programação!$AP$5:$AP$1004,0))))</f>
        <v/>
      </c>
      <c r="F190" s="22" t="str">
        <f aca="false">IF(COUNT(Programação!$AP$5:$AP$1004)&lt;183,"",IF(INDEX(Programação!$G$5:$G$1004,MATCH(183,Programação!$AP$5:$AP$1004,0))="","",INDEX(Programação!$G$5:$G$1004,MATCH(183,Programação!$AP$5:$AP$1004,0))))</f>
        <v/>
      </c>
      <c r="G190" s="24" t="str">
        <f aca="false">IF(COUNT(Programação!$AP$5:$AP$1004)&lt;183,"",IF(INDEX(Programação!$U$5:$U$1004,MATCH(183,Programação!$AP$5:$AP$1004,0))="","",INDEX(Programação!$U$5:$U$1004,MATCH(183,Programação!$AP$5:$AP$1004,0))))</f>
        <v/>
      </c>
      <c r="H190" s="22" t="str">
        <f aca="false">IF(COUNT(Programação!$AP$5:$AP$1004)&lt;183,"",MATCH(183,Programação!$AP$5:$AP$1004,0)+4)</f>
        <v/>
      </c>
    </row>
    <row r="191" customFormat="false" ht="15.75" hidden="false" customHeight="true" outlineLevel="0" collapsed="false">
      <c r="A191" s="22" t="str">
        <f aca="false">IF(COUNT(Programação!$AP$5:$AP$1004)&lt;184,"",IF(INDEX(Programação!$AM$5:$AM$1004,MATCH(184,Programação!$AP$5:$AP$1004,0))="","",INDEX(Programação!$AM$5:$AM$1004,MATCH(184,Programação!$AP$5:$AP$1004,0))))</f>
        <v/>
      </c>
      <c r="B191" s="22" t="str">
        <f aca="false">IF(COUNT(Programação!$AP$5:$AP$1004)&lt;184,"",IF(INDEX(Programação!$C$5:$C$1004,MATCH(184,Programação!$AP$5:$AP$1004,0))="","",INDEX(Programação!$C$5:$C$1004,MATCH(184,Programação!$AP$5:$AP$1004,0))))</f>
        <v/>
      </c>
      <c r="C191" s="22" t="str">
        <f aca="false">IF(COUNT(Programação!$AP$5:$AP$1004)&lt;184,"",IF(INDEX(Programação!$D$5:$D$1004,MATCH(184,Programação!$AP$5:$AP$1004,0))="","",INDEX(Programação!$D$5:$D$1004,MATCH(184,Programação!$AP$5:$AP$1004,0))))</f>
        <v/>
      </c>
      <c r="D191" s="22" t="str">
        <f aca="false">IF(COUNT(Programação!$AP$5:$AP$1004)&lt;184,"",IF(INDEX(Programação!$AN$5:$AN$1004,MATCH(184,Programação!$AP$5:$AP$1004,0))="","",INDEX(Programação!$AN$5:$AN$1004,MATCH(184,Programação!$AP$5:$AP$1004,0))))</f>
        <v/>
      </c>
      <c r="E191" s="24" t="str">
        <f aca="false">IF(COUNT(Programação!$AP$5:$AP$1004)&lt;184,"",IF(INDEX(Programação!$F$5:$F$1004,MATCH(184,Programação!$AP$5:$AP$1004,0))="","",INDEX(Programação!$F$5:$F$1004,MATCH(184,Programação!$AP$5:$AP$1004,0))))</f>
        <v/>
      </c>
      <c r="F191" s="22" t="str">
        <f aca="false">IF(COUNT(Programação!$AP$5:$AP$1004)&lt;184,"",IF(INDEX(Programação!$G$5:$G$1004,MATCH(184,Programação!$AP$5:$AP$1004,0))="","",INDEX(Programação!$G$5:$G$1004,MATCH(184,Programação!$AP$5:$AP$1004,0))))</f>
        <v/>
      </c>
      <c r="G191" s="24" t="str">
        <f aca="false">IF(COUNT(Programação!$AP$5:$AP$1004)&lt;184,"",IF(INDEX(Programação!$U$5:$U$1004,MATCH(184,Programação!$AP$5:$AP$1004,0))="","",INDEX(Programação!$U$5:$U$1004,MATCH(184,Programação!$AP$5:$AP$1004,0))))</f>
        <v/>
      </c>
      <c r="H191" s="22" t="str">
        <f aca="false">IF(COUNT(Programação!$AP$5:$AP$1004)&lt;184,"",MATCH(184,Programação!$AP$5:$AP$1004,0)+4)</f>
        <v/>
      </c>
    </row>
    <row r="192" customFormat="false" ht="15.75" hidden="false" customHeight="true" outlineLevel="0" collapsed="false">
      <c r="A192" s="22" t="str">
        <f aca="false">IF(COUNT(Programação!$AP$5:$AP$1004)&lt;185,"",IF(INDEX(Programação!$AM$5:$AM$1004,MATCH(185,Programação!$AP$5:$AP$1004,0))="","",INDEX(Programação!$AM$5:$AM$1004,MATCH(185,Programação!$AP$5:$AP$1004,0))))</f>
        <v/>
      </c>
      <c r="B192" s="22" t="str">
        <f aca="false">IF(COUNT(Programação!$AP$5:$AP$1004)&lt;185,"",IF(INDEX(Programação!$C$5:$C$1004,MATCH(185,Programação!$AP$5:$AP$1004,0))="","",INDEX(Programação!$C$5:$C$1004,MATCH(185,Programação!$AP$5:$AP$1004,0))))</f>
        <v/>
      </c>
      <c r="C192" s="22" t="str">
        <f aca="false">IF(COUNT(Programação!$AP$5:$AP$1004)&lt;185,"",IF(INDEX(Programação!$D$5:$D$1004,MATCH(185,Programação!$AP$5:$AP$1004,0))="","",INDEX(Programação!$D$5:$D$1004,MATCH(185,Programação!$AP$5:$AP$1004,0))))</f>
        <v/>
      </c>
      <c r="D192" s="22" t="str">
        <f aca="false">IF(COUNT(Programação!$AP$5:$AP$1004)&lt;185,"",IF(INDEX(Programação!$AN$5:$AN$1004,MATCH(185,Programação!$AP$5:$AP$1004,0))="","",INDEX(Programação!$AN$5:$AN$1004,MATCH(185,Programação!$AP$5:$AP$1004,0))))</f>
        <v/>
      </c>
      <c r="E192" s="24" t="str">
        <f aca="false">IF(COUNT(Programação!$AP$5:$AP$1004)&lt;185,"",IF(INDEX(Programação!$F$5:$F$1004,MATCH(185,Programação!$AP$5:$AP$1004,0))="","",INDEX(Programação!$F$5:$F$1004,MATCH(185,Programação!$AP$5:$AP$1004,0))))</f>
        <v/>
      </c>
      <c r="F192" s="22" t="str">
        <f aca="false">IF(COUNT(Programação!$AP$5:$AP$1004)&lt;185,"",IF(INDEX(Programação!$G$5:$G$1004,MATCH(185,Programação!$AP$5:$AP$1004,0))="","",INDEX(Programação!$G$5:$G$1004,MATCH(185,Programação!$AP$5:$AP$1004,0))))</f>
        <v/>
      </c>
      <c r="G192" s="24" t="str">
        <f aca="false">IF(COUNT(Programação!$AP$5:$AP$1004)&lt;185,"",IF(INDEX(Programação!$U$5:$U$1004,MATCH(185,Programação!$AP$5:$AP$1004,0))="","",INDEX(Programação!$U$5:$U$1004,MATCH(185,Programação!$AP$5:$AP$1004,0))))</f>
        <v/>
      </c>
      <c r="H192" s="22" t="str">
        <f aca="false">IF(COUNT(Programação!$AP$5:$AP$1004)&lt;185,"",MATCH(185,Programação!$AP$5:$AP$1004,0)+4)</f>
        <v/>
      </c>
    </row>
    <row r="193" customFormat="false" ht="15.75" hidden="false" customHeight="true" outlineLevel="0" collapsed="false">
      <c r="A193" s="22" t="str">
        <f aca="false">IF(COUNT(Programação!$AP$5:$AP$1004)&lt;186,"",IF(INDEX(Programação!$AM$5:$AM$1004,MATCH(186,Programação!$AP$5:$AP$1004,0))="","",INDEX(Programação!$AM$5:$AM$1004,MATCH(186,Programação!$AP$5:$AP$1004,0))))</f>
        <v/>
      </c>
      <c r="B193" s="22" t="str">
        <f aca="false">IF(COUNT(Programação!$AP$5:$AP$1004)&lt;186,"",IF(INDEX(Programação!$C$5:$C$1004,MATCH(186,Programação!$AP$5:$AP$1004,0))="","",INDEX(Programação!$C$5:$C$1004,MATCH(186,Programação!$AP$5:$AP$1004,0))))</f>
        <v/>
      </c>
      <c r="C193" s="22" t="str">
        <f aca="false">IF(COUNT(Programação!$AP$5:$AP$1004)&lt;186,"",IF(INDEX(Programação!$D$5:$D$1004,MATCH(186,Programação!$AP$5:$AP$1004,0))="","",INDEX(Programação!$D$5:$D$1004,MATCH(186,Programação!$AP$5:$AP$1004,0))))</f>
        <v/>
      </c>
      <c r="D193" s="22" t="str">
        <f aca="false">IF(COUNT(Programação!$AP$5:$AP$1004)&lt;186,"",IF(INDEX(Programação!$AN$5:$AN$1004,MATCH(186,Programação!$AP$5:$AP$1004,0))="","",INDEX(Programação!$AN$5:$AN$1004,MATCH(186,Programação!$AP$5:$AP$1004,0))))</f>
        <v/>
      </c>
      <c r="E193" s="24" t="str">
        <f aca="false">IF(COUNT(Programação!$AP$5:$AP$1004)&lt;186,"",IF(INDEX(Programação!$F$5:$F$1004,MATCH(186,Programação!$AP$5:$AP$1004,0))="","",INDEX(Programação!$F$5:$F$1004,MATCH(186,Programação!$AP$5:$AP$1004,0))))</f>
        <v/>
      </c>
      <c r="F193" s="22" t="str">
        <f aca="false">IF(COUNT(Programação!$AP$5:$AP$1004)&lt;186,"",IF(INDEX(Programação!$G$5:$G$1004,MATCH(186,Programação!$AP$5:$AP$1004,0))="","",INDEX(Programação!$G$5:$G$1004,MATCH(186,Programação!$AP$5:$AP$1004,0))))</f>
        <v/>
      </c>
      <c r="G193" s="24" t="str">
        <f aca="false">IF(COUNT(Programação!$AP$5:$AP$1004)&lt;186,"",IF(INDEX(Programação!$U$5:$U$1004,MATCH(186,Programação!$AP$5:$AP$1004,0))="","",INDEX(Programação!$U$5:$U$1004,MATCH(186,Programação!$AP$5:$AP$1004,0))))</f>
        <v/>
      </c>
      <c r="H193" s="22" t="str">
        <f aca="false">IF(COUNT(Programação!$AP$5:$AP$1004)&lt;186,"",MATCH(186,Programação!$AP$5:$AP$1004,0)+4)</f>
        <v/>
      </c>
    </row>
    <row r="194" customFormat="false" ht="15.75" hidden="false" customHeight="true" outlineLevel="0" collapsed="false">
      <c r="A194" s="22" t="str">
        <f aca="false">IF(COUNT(Programação!$AP$5:$AP$1004)&lt;187,"",IF(INDEX(Programação!$AM$5:$AM$1004,MATCH(187,Programação!$AP$5:$AP$1004,0))="","",INDEX(Programação!$AM$5:$AM$1004,MATCH(187,Programação!$AP$5:$AP$1004,0))))</f>
        <v/>
      </c>
      <c r="B194" s="22" t="str">
        <f aca="false">IF(COUNT(Programação!$AP$5:$AP$1004)&lt;187,"",IF(INDEX(Programação!$C$5:$C$1004,MATCH(187,Programação!$AP$5:$AP$1004,0))="","",INDEX(Programação!$C$5:$C$1004,MATCH(187,Programação!$AP$5:$AP$1004,0))))</f>
        <v/>
      </c>
      <c r="C194" s="22" t="str">
        <f aca="false">IF(COUNT(Programação!$AP$5:$AP$1004)&lt;187,"",IF(INDEX(Programação!$D$5:$D$1004,MATCH(187,Programação!$AP$5:$AP$1004,0))="","",INDEX(Programação!$D$5:$D$1004,MATCH(187,Programação!$AP$5:$AP$1004,0))))</f>
        <v/>
      </c>
      <c r="D194" s="22" t="str">
        <f aca="false">IF(COUNT(Programação!$AP$5:$AP$1004)&lt;187,"",IF(INDEX(Programação!$AN$5:$AN$1004,MATCH(187,Programação!$AP$5:$AP$1004,0))="","",INDEX(Programação!$AN$5:$AN$1004,MATCH(187,Programação!$AP$5:$AP$1004,0))))</f>
        <v/>
      </c>
      <c r="E194" s="24" t="str">
        <f aca="false">IF(COUNT(Programação!$AP$5:$AP$1004)&lt;187,"",IF(INDEX(Programação!$F$5:$F$1004,MATCH(187,Programação!$AP$5:$AP$1004,0))="","",INDEX(Programação!$F$5:$F$1004,MATCH(187,Programação!$AP$5:$AP$1004,0))))</f>
        <v/>
      </c>
      <c r="F194" s="22" t="str">
        <f aca="false">IF(COUNT(Programação!$AP$5:$AP$1004)&lt;187,"",IF(INDEX(Programação!$G$5:$G$1004,MATCH(187,Programação!$AP$5:$AP$1004,0))="","",INDEX(Programação!$G$5:$G$1004,MATCH(187,Programação!$AP$5:$AP$1004,0))))</f>
        <v/>
      </c>
      <c r="G194" s="24" t="str">
        <f aca="false">IF(COUNT(Programação!$AP$5:$AP$1004)&lt;187,"",IF(INDEX(Programação!$U$5:$U$1004,MATCH(187,Programação!$AP$5:$AP$1004,0))="","",INDEX(Programação!$U$5:$U$1004,MATCH(187,Programação!$AP$5:$AP$1004,0))))</f>
        <v/>
      </c>
      <c r="H194" s="22" t="str">
        <f aca="false">IF(COUNT(Programação!$AP$5:$AP$1004)&lt;187,"",MATCH(187,Programação!$AP$5:$AP$1004,0)+4)</f>
        <v/>
      </c>
    </row>
    <row r="195" customFormat="false" ht="15.75" hidden="false" customHeight="true" outlineLevel="0" collapsed="false">
      <c r="A195" s="22" t="str">
        <f aca="false">IF(COUNT(Programação!$AP$5:$AP$1004)&lt;188,"",IF(INDEX(Programação!$AM$5:$AM$1004,MATCH(188,Programação!$AP$5:$AP$1004,0))="","",INDEX(Programação!$AM$5:$AM$1004,MATCH(188,Programação!$AP$5:$AP$1004,0))))</f>
        <v/>
      </c>
      <c r="B195" s="22" t="str">
        <f aca="false">IF(COUNT(Programação!$AP$5:$AP$1004)&lt;188,"",IF(INDEX(Programação!$C$5:$C$1004,MATCH(188,Programação!$AP$5:$AP$1004,0))="","",INDEX(Programação!$C$5:$C$1004,MATCH(188,Programação!$AP$5:$AP$1004,0))))</f>
        <v/>
      </c>
      <c r="C195" s="22" t="str">
        <f aca="false">IF(COUNT(Programação!$AP$5:$AP$1004)&lt;188,"",IF(INDEX(Programação!$D$5:$D$1004,MATCH(188,Programação!$AP$5:$AP$1004,0))="","",INDEX(Programação!$D$5:$D$1004,MATCH(188,Programação!$AP$5:$AP$1004,0))))</f>
        <v/>
      </c>
      <c r="D195" s="22" t="str">
        <f aca="false">IF(COUNT(Programação!$AP$5:$AP$1004)&lt;188,"",IF(INDEX(Programação!$AN$5:$AN$1004,MATCH(188,Programação!$AP$5:$AP$1004,0))="","",INDEX(Programação!$AN$5:$AN$1004,MATCH(188,Programação!$AP$5:$AP$1004,0))))</f>
        <v/>
      </c>
      <c r="E195" s="24" t="str">
        <f aca="false">IF(COUNT(Programação!$AP$5:$AP$1004)&lt;188,"",IF(INDEX(Programação!$F$5:$F$1004,MATCH(188,Programação!$AP$5:$AP$1004,0))="","",INDEX(Programação!$F$5:$F$1004,MATCH(188,Programação!$AP$5:$AP$1004,0))))</f>
        <v/>
      </c>
      <c r="F195" s="22" t="str">
        <f aca="false">IF(COUNT(Programação!$AP$5:$AP$1004)&lt;188,"",IF(INDEX(Programação!$G$5:$G$1004,MATCH(188,Programação!$AP$5:$AP$1004,0))="","",INDEX(Programação!$G$5:$G$1004,MATCH(188,Programação!$AP$5:$AP$1004,0))))</f>
        <v/>
      </c>
      <c r="G195" s="24" t="str">
        <f aca="false">IF(COUNT(Programação!$AP$5:$AP$1004)&lt;188,"",IF(INDEX(Programação!$U$5:$U$1004,MATCH(188,Programação!$AP$5:$AP$1004,0))="","",INDEX(Programação!$U$5:$U$1004,MATCH(188,Programação!$AP$5:$AP$1004,0))))</f>
        <v/>
      </c>
      <c r="H195" s="22" t="str">
        <f aca="false">IF(COUNT(Programação!$AP$5:$AP$1004)&lt;188,"",MATCH(188,Programação!$AP$5:$AP$1004,0)+4)</f>
        <v/>
      </c>
    </row>
    <row r="196" customFormat="false" ht="15.75" hidden="false" customHeight="true" outlineLevel="0" collapsed="false">
      <c r="A196" s="22" t="str">
        <f aca="false">IF(COUNT(Programação!$AP$5:$AP$1004)&lt;189,"",IF(INDEX(Programação!$AM$5:$AM$1004,MATCH(189,Programação!$AP$5:$AP$1004,0))="","",INDEX(Programação!$AM$5:$AM$1004,MATCH(189,Programação!$AP$5:$AP$1004,0))))</f>
        <v/>
      </c>
      <c r="B196" s="22" t="str">
        <f aca="false">IF(COUNT(Programação!$AP$5:$AP$1004)&lt;189,"",IF(INDEX(Programação!$C$5:$C$1004,MATCH(189,Programação!$AP$5:$AP$1004,0))="","",INDEX(Programação!$C$5:$C$1004,MATCH(189,Programação!$AP$5:$AP$1004,0))))</f>
        <v/>
      </c>
      <c r="C196" s="22" t="str">
        <f aca="false">IF(COUNT(Programação!$AP$5:$AP$1004)&lt;189,"",IF(INDEX(Programação!$D$5:$D$1004,MATCH(189,Programação!$AP$5:$AP$1004,0))="","",INDEX(Programação!$D$5:$D$1004,MATCH(189,Programação!$AP$5:$AP$1004,0))))</f>
        <v/>
      </c>
      <c r="D196" s="22" t="str">
        <f aca="false">IF(COUNT(Programação!$AP$5:$AP$1004)&lt;189,"",IF(INDEX(Programação!$AN$5:$AN$1004,MATCH(189,Programação!$AP$5:$AP$1004,0))="","",INDEX(Programação!$AN$5:$AN$1004,MATCH(189,Programação!$AP$5:$AP$1004,0))))</f>
        <v/>
      </c>
      <c r="E196" s="24" t="str">
        <f aca="false">IF(COUNT(Programação!$AP$5:$AP$1004)&lt;189,"",IF(INDEX(Programação!$F$5:$F$1004,MATCH(189,Programação!$AP$5:$AP$1004,0))="","",INDEX(Programação!$F$5:$F$1004,MATCH(189,Programação!$AP$5:$AP$1004,0))))</f>
        <v/>
      </c>
      <c r="F196" s="22" t="str">
        <f aca="false">IF(COUNT(Programação!$AP$5:$AP$1004)&lt;189,"",IF(INDEX(Programação!$G$5:$G$1004,MATCH(189,Programação!$AP$5:$AP$1004,0))="","",INDEX(Programação!$G$5:$G$1004,MATCH(189,Programação!$AP$5:$AP$1004,0))))</f>
        <v/>
      </c>
      <c r="G196" s="24" t="str">
        <f aca="false">IF(COUNT(Programação!$AP$5:$AP$1004)&lt;189,"",IF(INDEX(Programação!$U$5:$U$1004,MATCH(189,Programação!$AP$5:$AP$1004,0))="","",INDEX(Programação!$U$5:$U$1004,MATCH(189,Programação!$AP$5:$AP$1004,0))))</f>
        <v/>
      </c>
      <c r="H196" s="22" t="str">
        <f aca="false">IF(COUNT(Programação!$AP$5:$AP$1004)&lt;189,"",MATCH(189,Programação!$AP$5:$AP$1004,0)+4)</f>
        <v/>
      </c>
    </row>
    <row r="197" customFormat="false" ht="15.75" hidden="false" customHeight="true" outlineLevel="0" collapsed="false">
      <c r="A197" s="22" t="str">
        <f aca="false">IF(COUNT(Programação!$AP$5:$AP$1004)&lt;190,"",IF(INDEX(Programação!$AM$5:$AM$1004,MATCH(190,Programação!$AP$5:$AP$1004,0))="","",INDEX(Programação!$AM$5:$AM$1004,MATCH(190,Programação!$AP$5:$AP$1004,0))))</f>
        <v/>
      </c>
      <c r="B197" s="22" t="str">
        <f aca="false">IF(COUNT(Programação!$AP$5:$AP$1004)&lt;190,"",IF(INDEX(Programação!$C$5:$C$1004,MATCH(190,Programação!$AP$5:$AP$1004,0))="","",INDEX(Programação!$C$5:$C$1004,MATCH(190,Programação!$AP$5:$AP$1004,0))))</f>
        <v/>
      </c>
      <c r="C197" s="22" t="str">
        <f aca="false">IF(COUNT(Programação!$AP$5:$AP$1004)&lt;190,"",IF(INDEX(Programação!$D$5:$D$1004,MATCH(190,Programação!$AP$5:$AP$1004,0))="","",INDEX(Programação!$D$5:$D$1004,MATCH(190,Programação!$AP$5:$AP$1004,0))))</f>
        <v/>
      </c>
      <c r="D197" s="22" t="str">
        <f aca="false">IF(COUNT(Programação!$AP$5:$AP$1004)&lt;190,"",IF(INDEX(Programação!$AN$5:$AN$1004,MATCH(190,Programação!$AP$5:$AP$1004,0))="","",INDEX(Programação!$AN$5:$AN$1004,MATCH(190,Programação!$AP$5:$AP$1004,0))))</f>
        <v/>
      </c>
      <c r="E197" s="24" t="str">
        <f aca="false">IF(COUNT(Programação!$AP$5:$AP$1004)&lt;190,"",IF(INDEX(Programação!$F$5:$F$1004,MATCH(190,Programação!$AP$5:$AP$1004,0))="","",INDEX(Programação!$F$5:$F$1004,MATCH(190,Programação!$AP$5:$AP$1004,0))))</f>
        <v/>
      </c>
      <c r="F197" s="22" t="str">
        <f aca="false">IF(COUNT(Programação!$AP$5:$AP$1004)&lt;190,"",IF(INDEX(Programação!$G$5:$G$1004,MATCH(190,Programação!$AP$5:$AP$1004,0))="","",INDEX(Programação!$G$5:$G$1004,MATCH(190,Programação!$AP$5:$AP$1004,0))))</f>
        <v/>
      </c>
      <c r="G197" s="24" t="str">
        <f aca="false">IF(COUNT(Programação!$AP$5:$AP$1004)&lt;190,"",IF(INDEX(Programação!$U$5:$U$1004,MATCH(190,Programação!$AP$5:$AP$1004,0))="","",INDEX(Programação!$U$5:$U$1004,MATCH(190,Programação!$AP$5:$AP$1004,0))))</f>
        <v/>
      </c>
      <c r="H197" s="22" t="str">
        <f aca="false">IF(COUNT(Programação!$AP$5:$AP$1004)&lt;190,"",MATCH(190,Programação!$AP$5:$AP$1004,0)+4)</f>
        <v/>
      </c>
    </row>
    <row r="198" customFormat="false" ht="15.75" hidden="false" customHeight="true" outlineLevel="0" collapsed="false">
      <c r="A198" s="22" t="str">
        <f aca="false">IF(COUNT(Programação!$AP$5:$AP$1004)&lt;191,"",IF(INDEX(Programação!$AM$5:$AM$1004,MATCH(191,Programação!$AP$5:$AP$1004,0))="","",INDEX(Programação!$AM$5:$AM$1004,MATCH(191,Programação!$AP$5:$AP$1004,0))))</f>
        <v/>
      </c>
      <c r="B198" s="22" t="str">
        <f aca="false">IF(COUNT(Programação!$AP$5:$AP$1004)&lt;191,"",IF(INDEX(Programação!$C$5:$C$1004,MATCH(191,Programação!$AP$5:$AP$1004,0))="","",INDEX(Programação!$C$5:$C$1004,MATCH(191,Programação!$AP$5:$AP$1004,0))))</f>
        <v/>
      </c>
      <c r="C198" s="22" t="str">
        <f aca="false">IF(COUNT(Programação!$AP$5:$AP$1004)&lt;191,"",IF(INDEX(Programação!$D$5:$D$1004,MATCH(191,Programação!$AP$5:$AP$1004,0))="","",INDEX(Programação!$D$5:$D$1004,MATCH(191,Programação!$AP$5:$AP$1004,0))))</f>
        <v/>
      </c>
      <c r="D198" s="22" t="str">
        <f aca="false">IF(COUNT(Programação!$AP$5:$AP$1004)&lt;191,"",IF(INDEX(Programação!$AN$5:$AN$1004,MATCH(191,Programação!$AP$5:$AP$1004,0))="","",INDEX(Programação!$AN$5:$AN$1004,MATCH(191,Programação!$AP$5:$AP$1004,0))))</f>
        <v/>
      </c>
      <c r="E198" s="24" t="str">
        <f aca="false">IF(COUNT(Programação!$AP$5:$AP$1004)&lt;191,"",IF(INDEX(Programação!$F$5:$F$1004,MATCH(191,Programação!$AP$5:$AP$1004,0))="","",INDEX(Programação!$F$5:$F$1004,MATCH(191,Programação!$AP$5:$AP$1004,0))))</f>
        <v/>
      </c>
      <c r="F198" s="22" t="str">
        <f aca="false">IF(COUNT(Programação!$AP$5:$AP$1004)&lt;191,"",IF(INDEX(Programação!$G$5:$G$1004,MATCH(191,Programação!$AP$5:$AP$1004,0))="","",INDEX(Programação!$G$5:$G$1004,MATCH(191,Programação!$AP$5:$AP$1004,0))))</f>
        <v/>
      </c>
      <c r="G198" s="24" t="str">
        <f aca="false">IF(COUNT(Programação!$AP$5:$AP$1004)&lt;191,"",IF(INDEX(Programação!$U$5:$U$1004,MATCH(191,Programação!$AP$5:$AP$1004,0))="","",INDEX(Programação!$U$5:$U$1004,MATCH(191,Programação!$AP$5:$AP$1004,0))))</f>
        <v/>
      </c>
      <c r="H198" s="22" t="str">
        <f aca="false">IF(COUNT(Programação!$AP$5:$AP$1004)&lt;191,"",MATCH(191,Programação!$AP$5:$AP$1004,0)+4)</f>
        <v/>
      </c>
    </row>
    <row r="199" customFormat="false" ht="15.75" hidden="false" customHeight="true" outlineLevel="0" collapsed="false">
      <c r="A199" s="22" t="str">
        <f aca="false">IF(COUNT(Programação!$AP$5:$AP$1004)&lt;192,"",IF(INDEX(Programação!$AM$5:$AM$1004,MATCH(192,Programação!$AP$5:$AP$1004,0))="","",INDEX(Programação!$AM$5:$AM$1004,MATCH(192,Programação!$AP$5:$AP$1004,0))))</f>
        <v/>
      </c>
      <c r="B199" s="22" t="str">
        <f aca="false">IF(COUNT(Programação!$AP$5:$AP$1004)&lt;192,"",IF(INDEX(Programação!$C$5:$C$1004,MATCH(192,Programação!$AP$5:$AP$1004,0))="","",INDEX(Programação!$C$5:$C$1004,MATCH(192,Programação!$AP$5:$AP$1004,0))))</f>
        <v/>
      </c>
      <c r="C199" s="22" t="str">
        <f aca="false">IF(COUNT(Programação!$AP$5:$AP$1004)&lt;192,"",IF(INDEX(Programação!$D$5:$D$1004,MATCH(192,Programação!$AP$5:$AP$1004,0))="","",INDEX(Programação!$D$5:$D$1004,MATCH(192,Programação!$AP$5:$AP$1004,0))))</f>
        <v/>
      </c>
      <c r="D199" s="22" t="str">
        <f aca="false">IF(COUNT(Programação!$AP$5:$AP$1004)&lt;192,"",IF(INDEX(Programação!$AN$5:$AN$1004,MATCH(192,Programação!$AP$5:$AP$1004,0))="","",INDEX(Programação!$AN$5:$AN$1004,MATCH(192,Programação!$AP$5:$AP$1004,0))))</f>
        <v/>
      </c>
      <c r="E199" s="24" t="str">
        <f aca="false">IF(COUNT(Programação!$AP$5:$AP$1004)&lt;192,"",IF(INDEX(Programação!$F$5:$F$1004,MATCH(192,Programação!$AP$5:$AP$1004,0))="","",INDEX(Programação!$F$5:$F$1004,MATCH(192,Programação!$AP$5:$AP$1004,0))))</f>
        <v/>
      </c>
      <c r="F199" s="22" t="str">
        <f aca="false">IF(COUNT(Programação!$AP$5:$AP$1004)&lt;192,"",IF(INDEX(Programação!$G$5:$G$1004,MATCH(192,Programação!$AP$5:$AP$1004,0))="","",INDEX(Programação!$G$5:$G$1004,MATCH(192,Programação!$AP$5:$AP$1004,0))))</f>
        <v/>
      </c>
      <c r="G199" s="24" t="str">
        <f aca="false">IF(COUNT(Programação!$AP$5:$AP$1004)&lt;192,"",IF(INDEX(Programação!$U$5:$U$1004,MATCH(192,Programação!$AP$5:$AP$1004,0))="","",INDEX(Programação!$U$5:$U$1004,MATCH(192,Programação!$AP$5:$AP$1004,0))))</f>
        <v/>
      </c>
      <c r="H199" s="22" t="str">
        <f aca="false">IF(COUNT(Programação!$AP$5:$AP$1004)&lt;192,"",MATCH(192,Programação!$AP$5:$AP$1004,0)+4)</f>
        <v/>
      </c>
    </row>
    <row r="200" customFormat="false" ht="15.75" hidden="false" customHeight="true" outlineLevel="0" collapsed="false">
      <c r="A200" s="22" t="str">
        <f aca="false">IF(COUNT(Programação!$AP$5:$AP$1004)&lt;193,"",IF(INDEX(Programação!$AM$5:$AM$1004,MATCH(193,Programação!$AP$5:$AP$1004,0))="","",INDEX(Programação!$AM$5:$AM$1004,MATCH(193,Programação!$AP$5:$AP$1004,0))))</f>
        <v/>
      </c>
      <c r="B200" s="22" t="str">
        <f aca="false">IF(COUNT(Programação!$AP$5:$AP$1004)&lt;193,"",IF(INDEX(Programação!$C$5:$C$1004,MATCH(193,Programação!$AP$5:$AP$1004,0))="","",INDEX(Programação!$C$5:$C$1004,MATCH(193,Programação!$AP$5:$AP$1004,0))))</f>
        <v/>
      </c>
      <c r="C200" s="22" t="str">
        <f aca="false">IF(COUNT(Programação!$AP$5:$AP$1004)&lt;193,"",IF(INDEX(Programação!$D$5:$D$1004,MATCH(193,Programação!$AP$5:$AP$1004,0))="","",INDEX(Programação!$D$5:$D$1004,MATCH(193,Programação!$AP$5:$AP$1004,0))))</f>
        <v/>
      </c>
      <c r="D200" s="22" t="str">
        <f aca="false">IF(COUNT(Programação!$AP$5:$AP$1004)&lt;193,"",IF(INDEX(Programação!$AN$5:$AN$1004,MATCH(193,Programação!$AP$5:$AP$1004,0))="","",INDEX(Programação!$AN$5:$AN$1004,MATCH(193,Programação!$AP$5:$AP$1004,0))))</f>
        <v/>
      </c>
      <c r="E200" s="24" t="str">
        <f aca="false">IF(COUNT(Programação!$AP$5:$AP$1004)&lt;193,"",IF(INDEX(Programação!$F$5:$F$1004,MATCH(193,Programação!$AP$5:$AP$1004,0))="","",INDEX(Programação!$F$5:$F$1004,MATCH(193,Programação!$AP$5:$AP$1004,0))))</f>
        <v/>
      </c>
      <c r="F200" s="22" t="str">
        <f aca="false">IF(COUNT(Programação!$AP$5:$AP$1004)&lt;193,"",IF(INDEX(Programação!$G$5:$G$1004,MATCH(193,Programação!$AP$5:$AP$1004,0))="","",INDEX(Programação!$G$5:$G$1004,MATCH(193,Programação!$AP$5:$AP$1004,0))))</f>
        <v/>
      </c>
      <c r="G200" s="24" t="str">
        <f aca="false">IF(COUNT(Programação!$AP$5:$AP$1004)&lt;193,"",IF(INDEX(Programação!$U$5:$U$1004,MATCH(193,Programação!$AP$5:$AP$1004,0))="","",INDEX(Programação!$U$5:$U$1004,MATCH(193,Programação!$AP$5:$AP$1004,0))))</f>
        <v/>
      </c>
      <c r="H200" s="22" t="str">
        <f aca="false">IF(COUNT(Programação!$AP$5:$AP$1004)&lt;193,"",MATCH(193,Programação!$AP$5:$AP$1004,0)+4)</f>
        <v/>
      </c>
    </row>
    <row r="201" customFormat="false" ht="15.75" hidden="false" customHeight="true" outlineLevel="0" collapsed="false">
      <c r="A201" s="22" t="str">
        <f aca="false">IF(COUNT(Programação!$AP$5:$AP$1004)&lt;194,"",IF(INDEX(Programação!$AM$5:$AM$1004,MATCH(194,Programação!$AP$5:$AP$1004,0))="","",INDEX(Programação!$AM$5:$AM$1004,MATCH(194,Programação!$AP$5:$AP$1004,0))))</f>
        <v/>
      </c>
      <c r="B201" s="22" t="str">
        <f aca="false">IF(COUNT(Programação!$AP$5:$AP$1004)&lt;194,"",IF(INDEX(Programação!$C$5:$C$1004,MATCH(194,Programação!$AP$5:$AP$1004,0))="","",INDEX(Programação!$C$5:$C$1004,MATCH(194,Programação!$AP$5:$AP$1004,0))))</f>
        <v/>
      </c>
      <c r="C201" s="22" t="str">
        <f aca="false">IF(COUNT(Programação!$AP$5:$AP$1004)&lt;194,"",IF(INDEX(Programação!$D$5:$D$1004,MATCH(194,Programação!$AP$5:$AP$1004,0))="","",INDEX(Programação!$D$5:$D$1004,MATCH(194,Programação!$AP$5:$AP$1004,0))))</f>
        <v/>
      </c>
      <c r="D201" s="22" t="str">
        <f aca="false">IF(COUNT(Programação!$AP$5:$AP$1004)&lt;194,"",IF(INDEX(Programação!$AN$5:$AN$1004,MATCH(194,Programação!$AP$5:$AP$1004,0))="","",INDEX(Programação!$AN$5:$AN$1004,MATCH(194,Programação!$AP$5:$AP$1004,0))))</f>
        <v/>
      </c>
      <c r="E201" s="24" t="str">
        <f aca="false">IF(COUNT(Programação!$AP$5:$AP$1004)&lt;194,"",IF(INDEX(Programação!$F$5:$F$1004,MATCH(194,Programação!$AP$5:$AP$1004,0))="","",INDEX(Programação!$F$5:$F$1004,MATCH(194,Programação!$AP$5:$AP$1004,0))))</f>
        <v/>
      </c>
      <c r="F201" s="22" t="str">
        <f aca="false">IF(COUNT(Programação!$AP$5:$AP$1004)&lt;194,"",IF(INDEX(Programação!$G$5:$G$1004,MATCH(194,Programação!$AP$5:$AP$1004,0))="","",INDEX(Programação!$G$5:$G$1004,MATCH(194,Programação!$AP$5:$AP$1004,0))))</f>
        <v/>
      </c>
      <c r="G201" s="24" t="str">
        <f aca="false">IF(COUNT(Programação!$AP$5:$AP$1004)&lt;194,"",IF(INDEX(Programação!$U$5:$U$1004,MATCH(194,Programação!$AP$5:$AP$1004,0))="","",INDEX(Programação!$U$5:$U$1004,MATCH(194,Programação!$AP$5:$AP$1004,0))))</f>
        <v/>
      </c>
      <c r="H201" s="22" t="str">
        <f aca="false">IF(COUNT(Programação!$AP$5:$AP$1004)&lt;194,"",MATCH(194,Programação!$AP$5:$AP$1004,0)+4)</f>
        <v/>
      </c>
    </row>
    <row r="202" customFormat="false" ht="15.75" hidden="false" customHeight="true" outlineLevel="0" collapsed="false">
      <c r="A202" s="22" t="str">
        <f aca="false">IF(COUNT(Programação!$AP$5:$AP$1004)&lt;195,"",IF(INDEX(Programação!$AM$5:$AM$1004,MATCH(195,Programação!$AP$5:$AP$1004,0))="","",INDEX(Programação!$AM$5:$AM$1004,MATCH(195,Programação!$AP$5:$AP$1004,0))))</f>
        <v/>
      </c>
      <c r="B202" s="22" t="str">
        <f aca="false">IF(COUNT(Programação!$AP$5:$AP$1004)&lt;195,"",IF(INDEX(Programação!$C$5:$C$1004,MATCH(195,Programação!$AP$5:$AP$1004,0))="","",INDEX(Programação!$C$5:$C$1004,MATCH(195,Programação!$AP$5:$AP$1004,0))))</f>
        <v/>
      </c>
      <c r="C202" s="22" t="str">
        <f aca="false">IF(COUNT(Programação!$AP$5:$AP$1004)&lt;195,"",IF(INDEX(Programação!$D$5:$D$1004,MATCH(195,Programação!$AP$5:$AP$1004,0))="","",INDEX(Programação!$D$5:$D$1004,MATCH(195,Programação!$AP$5:$AP$1004,0))))</f>
        <v/>
      </c>
      <c r="D202" s="22" t="str">
        <f aca="false">IF(COUNT(Programação!$AP$5:$AP$1004)&lt;195,"",IF(INDEX(Programação!$AN$5:$AN$1004,MATCH(195,Programação!$AP$5:$AP$1004,0))="","",INDEX(Programação!$AN$5:$AN$1004,MATCH(195,Programação!$AP$5:$AP$1004,0))))</f>
        <v/>
      </c>
      <c r="E202" s="24" t="str">
        <f aca="false">IF(COUNT(Programação!$AP$5:$AP$1004)&lt;195,"",IF(INDEX(Programação!$F$5:$F$1004,MATCH(195,Programação!$AP$5:$AP$1004,0))="","",INDEX(Programação!$F$5:$F$1004,MATCH(195,Programação!$AP$5:$AP$1004,0))))</f>
        <v/>
      </c>
      <c r="F202" s="22" t="str">
        <f aca="false">IF(COUNT(Programação!$AP$5:$AP$1004)&lt;195,"",IF(INDEX(Programação!$G$5:$G$1004,MATCH(195,Programação!$AP$5:$AP$1004,0))="","",INDEX(Programação!$G$5:$G$1004,MATCH(195,Programação!$AP$5:$AP$1004,0))))</f>
        <v/>
      </c>
      <c r="G202" s="24" t="str">
        <f aca="false">IF(COUNT(Programação!$AP$5:$AP$1004)&lt;195,"",IF(INDEX(Programação!$U$5:$U$1004,MATCH(195,Programação!$AP$5:$AP$1004,0))="","",INDEX(Programação!$U$5:$U$1004,MATCH(195,Programação!$AP$5:$AP$1004,0))))</f>
        <v/>
      </c>
      <c r="H202" s="22" t="str">
        <f aca="false">IF(COUNT(Programação!$AP$5:$AP$1004)&lt;195,"",MATCH(195,Programação!$AP$5:$AP$1004,0)+4)</f>
        <v/>
      </c>
    </row>
    <row r="203" customFormat="false" ht="15.75" hidden="false" customHeight="true" outlineLevel="0" collapsed="false">
      <c r="A203" s="22" t="str">
        <f aca="false">IF(COUNT(Programação!$AP$5:$AP$1004)&lt;196,"",IF(INDEX(Programação!$AM$5:$AM$1004,MATCH(196,Programação!$AP$5:$AP$1004,0))="","",INDEX(Programação!$AM$5:$AM$1004,MATCH(196,Programação!$AP$5:$AP$1004,0))))</f>
        <v/>
      </c>
      <c r="B203" s="22" t="str">
        <f aca="false">IF(COUNT(Programação!$AP$5:$AP$1004)&lt;196,"",IF(INDEX(Programação!$C$5:$C$1004,MATCH(196,Programação!$AP$5:$AP$1004,0))="","",INDEX(Programação!$C$5:$C$1004,MATCH(196,Programação!$AP$5:$AP$1004,0))))</f>
        <v/>
      </c>
      <c r="C203" s="22" t="str">
        <f aca="false">IF(COUNT(Programação!$AP$5:$AP$1004)&lt;196,"",IF(INDEX(Programação!$D$5:$D$1004,MATCH(196,Programação!$AP$5:$AP$1004,0))="","",INDEX(Programação!$D$5:$D$1004,MATCH(196,Programação!$AP$5:$AP$1004,0))))</f>
        <v/>
      </c>
      <c r="D203" s="22" t="str">
        <f aca="false">IF(COUNT(Programação!$AP$5:$AP$1004)&lt;196,"",IF(INDEX(Programação!$AN$5:$AN$1004,MATCH(196,Programação!$AP$5:$AP$1004,0))="","",INDEX(Programação!$AN$5:$AN$1004,MATCH(196,Programação!$AP$5:$AP$1004,0))))</f>
        <v/>
      </c>
      <c r="E203" s="24" t="str">
        <f aca="false">IF(COUNT(Programação!$AP$5:$AP$1004)&lt;196,"",IF(INDEX(Programação!$F$5:$F$1004,MATCH(196,Programação!$AP$5:$AP$1004,0))="","",INDEX(Programação!$F$5:$F$1004,MATCH(196,Programação!$AP$5:$AP$1004,0))))</f>
        <v/>
      </c>
      <c r="F203" s="22" t="str">
        <f aca="false">IF(COUNT(Programação!$AP$5:$AP$1004)&lt;196,"",IF(INDEX(Programação!$G$5:$G$1004,MATCH(196,Programação!$AP$5:$AP$1004,0))="","",INDEX(Programação!$G$5:$G$1004,MATCH(196,Programação!$AP$5:$AP$1004,0))))</f>
        <v/>
      </c>
      <c r="G203" s="24" t="str">
        <f aca="false">IF(COUNT(Programação!$AP$5:$AP$1004)&lt;196,"",IF(INDEX(Programação!$U$5:$U$1004,MATCH(196,Programação!$AP$5:$AP$1004,0))="","",INDEX(Programação!$U$5:$U$1004,MATCH(196,Programação!$AP$5:$AP$1004,0))))</f>
        <v/>
      </c>
      <c r="H203" s="22" t="str">
        <f aca="false">IF(COUNT(Programação!$AP$5:$AP$1004)&lt;196,"",MATCH(196,Programação!$AP$5:$AP$1004,0)+4)</f>
        <v/>
      </c>
    </row>
    <row r="204" customFormat="false" ht="15.75" hidden="false" customHeight="true" outlineLevel="0" collapsed="false">
      <c r="A204" s="22" t="str">
        <f aca="false">IF(COUNT(Programação!$AP$5:$AP$1004)&lt;197,"",IF(INDEX(Programação!$AM$5:$AM$1004,MATCH(197,Programação!$AP$5:$AP$1004,0))="","",INDEX(Programação!$AM$5:$AM$1004,MATCH(197,Programação!$AP$5:$AP$1004,0))))</f>
        <v/>
      </c>
      <c r="B204" s="22" t="str">
        <f aca="false">IF(COUNT(Programação!$AP$5:$AP$1004)&lt;197,"",IF(INDEX(Programação!$C$5:$C$1004,MATCH(197,Programação!$AP$5:$AP$1004,0))="","",INDEX(Programação!$C$5:$C$1004,MATCH(197,Programação!$AP$5:$AP$1004,0))))</f>
        <v/>
      </c>
      <c r="C204" s="22" t="str">
        <f aca="false">IF(COUNT(Programação!$AP$5:$AP$1004)&lt;197,"",IF(INDEX(Programação!$D$5:$D$1004,MATCH(197,Programação!$AP$5:$AP$1004,0))="","",INDEX(Programação!$D$5:$D$1004,MATCH(197,Programação!$AP$5:$AP$1004,0))))</f>
        <v/>
      </c>
      <c r="D204" s="22" t="str">
        <f aca="false">IF(COUNT(Programação!$AP$5:$AP$1004)&lt;197,"",IF(INDEX(Programação!$AN$5:$AN$1004,MATCH(197,Programação!$AP$5:$AP$1004,0))="","",INDEX(Programação!$AN$5:$AN$1004,MATCH(197,Programação!$AP$5:$AP$1004,0))))</f>
        <v/>
      </c>
      <c r="E204" s="24" t="str">
        <f aca="false">IF(COUNT(Programação!$AP$5:$AP$1004)&lt;197,"",IF(INDEX(Programação!$F$5:$F$1004,MATCH(197,Programação!$AP$5:$AP$1004,0))="","",INDEX(Programação!$F$5:$F$1004,MATCH(197,Programação!$AP$5:$AP$1004,0))))</f>
        <v/>
      </c>
      <c r="F204" s="22" t="str">
        <f aca="false">IF(COUNT(Programação!$AP$5:$AP$1004)&lt;197,"",IF(INDEX(Programação!$G$5:$G$1004,MATCH(197,Programação!$AP$5:$AP$1004,0))="","",INDEX(Programação!$G$5:$G$1004,MATCH(197,Programação!$AP$5:$AP$1004,0))))</f>
        <v/>
      </c>
      <c r="G204" s="24" t="str">
        <f aca="false">IF(COUNT(Programação!$AP$5:$AP$1004)&lt;197,"",IF(INDEX(Programação!$U$5:$U$1004,MATCH(197,Programação!$AP$5:$AP$1004,0))="","",INDEX(Programação!$U$5:$U$1004,MATCH(197,Programação!$AP$5:$AP$1004,0))))</f>
        <v/>
      </c>
      <c r="H204" s="22" t="str">
        <f aca="false">IF(COUNT(Programação!$AP$5:$AP$1004)&lt;197,"",MATCH(197,Programação!$AP$5:$AP$1004,0)+4)</f>
        <v/>
      </c>
    </row>
    <row r="205" customFormat="false" ht="15.75" hidden="false" customHeight="true" outlineLevel="0" collapsed="false">
      <c r="A205" s="22" t="str">
        <f aca="false">IF(COUNT(Programação!$AP$5:$AP$1004)&lt;198,"",IF(INDEX(Programação!$AM$5:$AM$1004,MATCH(198,Programação!$AP$5:$AP$1004,0))="","",INDEX(Programação!$AM$5:$AM$1004,MATCH(198,Programação!$AP$5:$AP$1004,0))))</f>
        <v/>
      </c>
      <c r="B205" s="22" t="str">
        <f aca="false">IF(COUNT(Programação!$AP$5:$AP$1004)&lt;198,"",IF(INDEX(Programação!$C$5:$C$1004,MATCH(198,Programação!$AP$5:$AP$1004,0))="","",INDEX(Programação!$C$5:$C$1004,MATCH(198,Programação!$AP$5:$AP$1004,0))))</f>
        <v/>
      </c>
      <c r="C205" s="22" t="str">
        <f aca="false">IF(COUNT(Programação!$AP$5:$AP$1004)&lt;198,"",IF(INDEX(Programação!$D$5:$D$1004,MATCH(198,Programação!$AP$5:$AP$1004,0))="","",INDEX(Programação!$D$5:$D$1004,MATCH(198,Programação!$AP$5:$AP$1004,0))))</f>
        <v/>
      </c>
      <c r="D205" s="22" t="str">
        <f aca="false">IF(COUNT(Programação!$AP$5:$AP$1004)&lt;198,"",IF(INDEX(Programação!$AN$5:$AN$1004,MATCH(198,Programação!$AP$5:$AP$1004,0))="","",INDEX(Programação!$AN$5:$AN$1004,MATCH(198,Programação!$AP$5:$AP$1004,0))))</f>
        <v/>
      </c>
      <c r="E205" s="24" t="str">
        <f aca="false">IF(COUNT(Programação!$AP$5:$AP$1004)&lt;198,"",IF(INDEX(Programação!$F$5:$F$1004,MATCH(198,Programação!$AP$5:$AP$1004,0))="","",INDEX(Programação!$F$5:$F$1004,MATCH(198,Programação!$AP$5:$AP$1004,0))))</f>
        <v/>
      </c>
      <c r="F205" s="22" t="str">
        <f aca="false">IF(COUNT(Programação!$AP$5:$AP$1004)&lt;198,"",IF(INDEX(Programação!$G$5:$G$1004,MATCH(198,Programação!$AP$5:$AP$1004,0))="","",INDEX(Programação!$G$5:$G$1004,MATCH(198,Programação!$AP$5:$AP$1004,0))))</f>
        <v/>
      </c>
      <c r="G205" s="24" t="str">
        <f aca="false">IF(COUNT(Programação!$AP$5:$AP$1004)&lt;198,"",IF(INDEX(Programação!$U$5:$U$1004,MATCH(198,Programação!$AP$5:$AP$1004,0))="","",INDEX(Programação!$U$5:$U$1004,MATCH(198,Programação!$AP$5:$AP$1004,0))))</f>
        <v/>
      </c>
      <c r="H205" s="22" t="str">
        <f aca="false">IF(COUNT(Programação!$AP$5:$AP$1004)&lt;198,"",MATCH(198,Programação!$AP$5:$AP$1004,0)+4)</f>
        <v/>
      </c>
    </row>
    <row r="206" customFormat="false" ht="15.75" hidden="false" customHeight="true" outlineLevel="0" collapsed="false">
      <c r="A206" s="22" t="str">
        <f aca="false">IF(COUNT(Programação!$AP$5:$AP$1004)&lt;199,"",IF(INDEX(Programação!$AM$5:$AM$1004,MATCH(199,Programação!$AP$5:$AP$1004,0))="","",INDEX(Programação!$AM$5:$AM$1004,MATCH(199,Programação!$AP$5:$AP$1004,0))))</f>
        <v/>
      </c>
      <c r="B206" s="22" t="str">
        <f aca="false">IF(COUNT(Programação!$AP$5:$AP$1004)&lt;199,"",IF(INDEX(Programação!$C$5:$C$1004,MATCH(199,Programação!$AP$5:$AP$1004,0))="","",INDEX(Programação!$C$5:$C$1004,MATCH(199,Programação!$AP$5:$AP$1004,0))))</f>
        <v/>
      </c>
      <c r="C206" s="22" t="str">
        <f aca="false">IF(COUNT(Programação!$AP$5:$AP$1004)&lt;199,"",IF(INDEX(Programação!$D$5:$D$1004,MATCH(199,Programação!$AP$5:$AP$1004,0))="","",INDEX(Programação!$D$5:$D$1004,MATCH(199,Programação!$AP$5:$AP$1004,0))))</f>
        <v/>
      </c>
      <c r="D206" s="22" t="str">
        <f aca="false">IF(COUNT(Programação!$AP$5:$AP$1004)&lt;199,"",IF(INDEX(Programação!$AN$5:$AN$1004,MATCH(199,Programação!$AP$5:$AP$1004,0))="","",INDEX(Programação!$AN$5:$AN$1004,MATCH(199,Programação!$AP$5:$AP$1004,0))))</f>
        <v/>
      </c>
      <c r="E206" s="24" t="str">
        <f aca="false">IF(COUNT(Programação!$AP$5:$AP$1004)&lt;199,"",IF(INDEX(Programação!$F$5:$F$1004,MATCH(199,Programação!$AP$5:$AP$1004,0))="","",INDEX(Programação!$F$5:$F$1004,MATCH(199,Programação!$AP$5:$AP$1004,0))))</f>
        <v/>
      </c>
      <c r="F206" s="22" t="str">
        <f aca="false">IF(COUNT(Programação!$AP$5:$AP$1004)&lt;199,"",IF(INDEX(Programação!$G$5:$G$1004,MATCH(199,Programação!$AP$5:$AP$1004,0))="","",INDEX(Programação!$G$5:$G$1004,MATCH(199,Programação!$AP$5:$AP$1004,0))))</f>
        <v/>
      </c>
      <c r="G206" s="24" t="str">
        <f aca="false">IF(COUNT(Programação!$AP$5:$AP$1004)&lt;199,"",IF(INDEX(Programação!$U$5:$U$1004,MATCH(199,Programação!$AP$5:$AP$1004,0))="","",INDEX(Programação!$U$5:$U$1004,MATCH(199,Programação!$AP$5:$AP$1004,0))))</f>
        <v/>
      </c>
      <c r="H206" s="22" t="str">
        <f aca="false">IF(COUNT(Programação!$AP$5:$AP$1004)&lt;199,"",MATCH(199,Programação!$AP$5:$AP$1004,0)+4)</f>
        <v/>
      </c>
    </row>
    <row r="207" customFormat="false" ht="15.75" hidden="false" customHeight="true" outlineLevel="0" collapsed="false">
      <c r="A207" s="22" t="str">
        <f aca="false">IF(COUNT(Programação!$AP$5:$AP$1004)&lt;200,"",IF(INDEX(Programação!$AM$5:$AM$1004,MATCH(200,Programação!$AP$5:$AP$1004,0))="","",INDEX(Programação!$AM$5:$AM$1004,MATCH(200,Programação!$AP$5:$AP$1004,0))))</f>
        <v/>
      </c>
      <c r="B207" s="22" t="str">
        <f aca="false">IF(COUNT(Programação!$AP$5:$AP$1004)&lt;200,"",IF(INDEX(Programação!$C$5:$C$1004,MATCH(200,Programação!$AP$5:$AP$1004,0))="","",INDEX(Programação!$C$5:$C$1004,MATCH(200,Programação!$AP$5:$AP$1004,0))))</f>
        <v/>
      </c>
      <c r="C207" s="22" t="str">
        <f aca="false">IF(COUNT(Programação!$AP$5:$AP$1004)&lt;200,"",IF(INDEX(Programação!$D$5:$D$1004,MATCH(200,Programação!$AP$5:$AP$1004,0))="","",INDEX(Programação!$D$5:$D$1004,MATCH(200,Programação!$AP$5:$AP$1004,0))))</f>
        <v/>
      </c>
      <c r="D207" s="22" t="str">
        <f aca="false">IF(COUNT(Programação!$AP$5:$AP$1004)&lt;200,"",IF(INDEX(Programação!$AN$5:$AN$1004,MATCH(200,Programação!$AP$5:$AP$1004,0))="","",INDEX(Programação!$AN$5:$AN$1004,MATCH(200,Programação!$AP$5:$AP$1004,0))))</f>
        <v/>
      </c>
      <c r="E207" s="24" t="str">
        <f aca="false">IF(COUNT(Programação!$AP$5:$AP$1004)&lt;200,"",IF(INDEX(Programação!$F$5:$F$1004,MATCH(200,Programação!$AP$5:$AP$1004,0))="","",INDEX(Programação!$F$5:$F$1004,MATCH(200,Programação!$AP$5:$AP$1004,0))))</f>
        <v/>
      </c>
      <c r="F207" s="22" t="str">
        <f aca="false">IF(COUNT(Programação!$AP$5:$AP$1004)&lt;200,"",IF(INDEX(Programação!$G$5:$G$1004,MATCH(200,Programação!$AP$5:$AP$1004,0))="","",INDEX(Programação!$G$5:$G$1004,MATCH(200,Programação!$AP$5:$AP$1004,0))))</f>
        <v/>
      </c>
      <c r="G207" s="24" t="str">
        <f aca="false">IF(COUNT(Programação!$AP$5:$AP$1004)&lt;200,"",IF(INDEX(Programação!$U$5:$U$1004,MATCH(200,Programação!$AP$5:$AP$1004,0))="","",INDEX(Programação!$U$5:$U$1004,MATCH(200,Programação!$AP$5:$AP$1004,0))))</f>
        <v/>
      </c>
      <c r="H207" s="22" t="str">
        <f aca="false">IF(COUNT(Programação!$AP$5:$AP$1004)&lt;200,"",MATCH(200,Programação!$AP$5:$AP$1004,0)+4)</f>
        <v/>
      </c>
    </row>
    <row r="208" customFormat="false" ht="15" hidden="false" customHeight="false" outlineLevel="0" collapsed="false">
      <c r="A208" s="29" t="str">
        <f aca="false">IF(COUNT(Programação!$AP$5:$AP$1004)&lt;=200,"","⚠ a carteira tem "&amp;COUNT(Programação!$AP$5:$AP$1004)&amp;" atividades e esta lista mostra 200 — veja o resto na Programação")</f>
        <v/>
      </c>
      <c r="B208" s="29"/>
      <c r="C208" s="29"/>
      <c r="D208" s="29"/>
      <c r="E208" s="29"/>
      <c r="F208" s="29"/>
      <c r="G208" s="29"/>
      <c r="H208" s="29"/>
    </row>
  </sheetData>
  <mergeCells count="12">
    <mergeCell ref="A1:H1"/>
    <mergeCell ref="A4:B4"/>
    <mergeCell ref="C4:D4"/>
    <mergeCell ref="E4:F4"/>
    <mergeCell ref="G4:H4"/>
    <mergeCell ref="A5:B5"/>
    <mergeCell ref="C5:D5"/>
    <mergeCell ref="E5:F5"/>
    <mergeCell ref="G5:H5"/>
    <mergeCell ref="A6:C6"/>
    <mergeCell ref="D6:H6"/>
    <mergeCell ref="A208:H208"/>
  </mergeCells>
  <conditionalFormatting sqref="A8:H207">
    <cfRule type="expression" priority="2" aboveAverage="0" equalAverage="0" bottom="0" percent="0" rank="0" text="" dxfId="54">
      <formula>AND($C8&lt;&gt;"",$C8&lt;&gt;$C7)</formula>
    </cfRule>
  </conditionalFormatting>
  <conditionalFormatting sqref="A8:A207">
    <cfRule type="expression" priority="3" aboveAverage="0" equalAverage="0" bottom="0" percent="0" rank="0" text="" dxfId="47">
      <formula>$A8="P1"</formula>
    </cfRule>
  </conditionalFormatting>
  <conditionalFormatting sqref="B8:B207">
    <cfRule type="expression" priority="4" aboveAverage="0" equalAverage="0" bottom="0" percent="0" rank="0" text="" dxfId="47">
      <formula>AND($E8&lt;&gt;"",$B8="")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J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7"/>
  </cols>
  <sheetData>
    <row r="1" customFormat="false" ht="30" hidden="false" customHeight="true" outlineLevel="0" collapsed="false">
      <c r="A1" s="1" t="s">
        <v>881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56" t="s">
        <v>882</v>
      </c>
      <c r="B3" s="56"/>
      <c r="C3" s="57" t="s">
        <v>494</v>
      </c>
      <c r="D3" s="58" t="str">
        <f aca="false">IFERROR(T(VLOOKUP($C$3,Listas!$B$5:$H$120,7,0)),"")</f>
        <v/>
      </c>
      <c r="E3" s="58"/>
    </row>
    <row r="5" customFormat="false" ht="21.75" hidden="false" customHeight="true" outlineLevel="0" collapsed="false">
      <c r="A5" s="12" t="s">
        <v>883</v>
      </c>
      <c r="B5" s="12"/>
      <c r="C5" s="12" t="s">
        <v>875</v>
      </c>
      <c r="D5" s="12"/>
      <c r="E5" s="12" t="s">
        <v>884</v>
      </c>
      <c r="F5" s="12"/>
      <c r="G5" s="12" t="s">
        <v>885</v>
      </c>
      <c r="H5" s="12"/>
      <c r="I5" s="12" t="s">
        <v>886</v>
      </c>
      <c r="J5" s="12"/>
    </row>
    <row r="6" customFormat="false" ht="27.75" hidden="false" customHeight="true" outlineLevel="0" collapsed="false">
      <c r="A6" s="51" t="n">
        <f aca="false">COUNTIF(Programação!$AQ$5:$AQ$1004,1)-COUNTIFS(Programação!$AQ$5:$AQ$1004,1,Programação!$AT$5:$AT$1004,"&lt;&gt;")-COUNTIFS(Programação!$AQ$5:$AQ$1004,1,Programação!$R$5:$R$1004,"Cancelada")</f>
        <v>0</v>
      </c>
      <c r="B6" s="51"/>
      <c r="C6" s="52" t="n">
        <f aca="false">COUNTIF(Programação!$AQ$5:$AQ$1004,1)-COUNTIFS(Programação!$AQ$5:$AQ$1004,1,Programação!$C$5:$C$1004,"&lt;&gt;")</f>
        <v>0</v>
      </c>
      <c r="D6" s="52"/>
      <c r="E6" s="54" t="n">
        <f aca="false">COUNTIFS(Programação!$AQ$5:$AQ$1004,1,Programação!$B$5:$B$1004,"VENCIDA")</f>
        <v>0</v>
      </c>
      <c r="F6" s="54"/>
      <c r="G6" s="53" t="n">
        <f aca="false">COUNTIFS(Programação!$AQ$5:$AQ$1004,1,Programação!$AT$5:$AT$1004,"&lt;&gt;")</f>
        <v>10</v>
      </c>
      <c r="H6" s="53"/>
      <c r="I6" s="59" t="n">
        <f aca="false">COUNTIF(Programação!$AQ$5:$AQ$1004,1)</f>
        <v>10</v>
      </c>
      <c r="J6" s="59"/>
    </row>
    <row r="7" customFormat="false" ht="15" hidden="false" customHeight="false" outlineLevel="0" collapsed="false">
      <c r="A7" s="20" t="s">
        <v>880</v>
      </c>
      <c r="B7" s="20" t="s">
        <v>37</v>
      </c>
      <c r="C7" s="20" t="s">
        <v>18</v>
      </c>
      <c r="D7" s="20" t="s">
        <v>19</v>
      </c>
      <c r="E7" s="20" t="s">
        <v>20</v>
      </c>
      <c r="F7" s="20" t="s">
        <v>43</v>
      </c>
      <c r="G7" s="20" t="s">
        <v>46</v>
      </c>
      <c r="H7" s="20" t="s">
        <v>23</v>
      </c>
      <c r="I7" s="20" t="s">
        <v>25</v>
      </c>
    </row>
    <row r="8" customFormat="false" ht="15.75" hidden="false" customHeight="true" outlineLevel="0" collapsed="false">
      <c r="A8" s="22" t="str">
        <f aca="false">IF(COUNTIF(Programação!$AQ$5:$AQ$1004,1)&lt;1,"",IF(INDEX(Programação!$AM$5:$AM$1004,MATCH(1,Programação!$AR$5:$AR$1004,0))="","",INDEX(Programação!$AM$5:$AM$1004,MATCH(1,Programação!$AR$5:$AR$1004,0))))</f>
        <v/>
      </c>
      <c r="B8" s="22" t="str">
        <f aca="false">IF(COUNTIF(Programação!$AQ$5:$AQ$1004,1)&lt;1,"",IF(INDEX(Programação!$C$5:$C$1004,MATCH(1,Programação!$AR$5:$AR$1004,0))="","",INDEX(Programação!$C$5:$C$1004,MATCH(1,Programação!$AR$5:$AR$1004,0))))</f>
        <v>007305</v>
      </c>
      <c r="C8" s="24" t="str">
        <f aca="false">IF(COUNTIF(Programação!$AQ$5:$AQ$1004,1)&lt;1,"",IF(INDEX(Programação!$E$5:$E$1004,MATCH(1,Programação!$AR$5:$AR$1004,0))="","",INDEX(Programação!$E$5:$E$1004,MATCH(1,Programação!$AR$5:$AR$1004,0))))</f>
        <v>Pendências de inspeção</v>
      </c>
      <c r="D8" s="24" t="str">
        <f aca="false">IF(COUNTIF(Programação!$AQ$5:$AQ$1004,1)&lt;1,"",IF(INDEX(Programação!$F$5:$F$1004,MATCH(1,Programação!$AR$5:$AR$1004,0))="","",INDEX(Programação!$F$5:$F$1004,MATCH(1,Programação!$AR$5:$AR$1004,0))))</f>
        <v>Substituir pneu 1º eixo LE</v>
      </c>
      <c r="E8" s="24" t="str">
        <f aca="false">IF(COUNTIF(Programação!$AQ$5:$AQ$1004,1)&lt;1,"",IF(INDEX(Programação!$AG$5:$AG$1004,MATCH(1,Programação!$AR$5:$AR$1004,0))="","",INDEX(Programação!$AG$5:$AG$1004,MATCH(1,Programação!$AR$5:$AR$1004,0))))</f>
        <v/>
      </c>
      <c r="F8" s="22" t="str">
        <f aca="false">IF(COUNTIF(Programação!$AQ$5:$AQ$1004,1)&lt;1,"",IF(INDEX(Programação!$L$5:$L$1004,MATCH(1,Programação!$AR$5:$AR$1004,0))="","",INDEX(Programação!$L$5:$L$1004,MATCH(1,Programação!$AR$5:$AR$1004,0))))</f>
        <v/>
      </c>
      <c r="G8" s="25" t="str">
        <f aca="false">IF(COUNTIF(Programação!$AQ$5:$AQ$1004,1)&lt;1,"",IF(INDEX(Programação!$P$5:$P$1004,MATCH(1,Programação!$AR$5:$AR$1004,0))="","",INDEX(Programação!$P$5:$P$1004,MATCH(1,Programação!$AR$5:$AR$1004,0))))</f>
        <v/>
      </c>
      <c r="H8" s="22" t="str">
        <f aca="false">IF(COUNTIF(Programação!$AQ$5:$AQ$1004,1)&lt;1,"",IF(INDEX(Programação!$B$5:$B$1004,MATCH(1,Programação!$AR$5:$AR$1004,0))="","",INDEX(Programação!$B$5:$B$1004,MATCH(1,Programação!$AR$5:$AR$1004,0))))</f>
        <v>Na carteira</v>
      </c>
      <c r="I8" s="22" t="n">
        <f aca="false">IF(COUNTIF(Programação!$AQ$5:$AQ$1004,1)&lt;1,"",MATCH(1,Programação!$AR$5:$AR$1004,0)+4)</f>
        <v>194</v>
      </c>
    </row>
    <row r="9" customFormat="false" ht="15.75" hidden="false" customHeight="true" outlineLevel="0" collapsed="false">
      <c r="A9" s="22" t="str">
        <f aca="false">IF(COUNTIF(Programação!$AQ$5:$AQ$1004,1)&lt;2,"",IF(INDEX(Programação!$AM$5:$AM$1004,MATCH(2,Programação!$AR$5:$AR$1004,0))="","",INDEX(Programação!$AM$5:$AM$1004,MATCH(2,Programação!$AR$5:$AR$1004,0))))</f>
        <v/>
      </c>
      <c r="B9" s="22" t="str">
        <f aca="false">IF(COUNTIF(Programação!$AQ$5:$AQ$1004,1)&lt;2,"",IF(INDEX(Programação!$C$5:$C$1004,MATCH(2,Programação!$AR$5:$AR$1004,0))="","",INDEX(Programação!$C$5:$C$1004,MATCH(2,Programação!$AR$5:$AR$1004,0))))</f>
        <v>007306</v>
      </c>
      <c r="C9" s="24" t="str">
        <f aca="false">IF(COUNTIF(Programação!$AQ$5:$AQ$1004,1)&lt;2,"",IF(INDEX(Programação!$E$5:$E$1004,MATCH(2,Programação!$AR$5:$AR$1004,0))="","",INDEX(Programação!$E$5:$E$1004,MATCH(2,Programação!$AR$5:$AR$1004,0))))</f>
        <v>Pendências de inspeção</v>
      </c>
      <c r="D9" s="24" t="str">
        <f aca="false">IF(COUNTIF(Programação!$AQ$5:$AQ$1004,1)&lt;2,"",IF(INDEX(Programação!$F$5:$F$1004,MATCH(2,Programação!$AR$5:$AR$1004,0))="","",INDEX(Programação!$F$5:$F$1004,MATCH(2,Programação!$AR$5:$AR$1004,0))))</f>
        <v>Lubrificar graxeiros da quinta roda entre os bitrens</v>
      </c>
      <c r="E9" s="24" t="str">
        <f aca="false">IF(COUNTIF(Programação!$AQ$5:$AQ$1004,1)&lt;2,"",IF(INDEX(Programação!$AG$5:$AG$1004,MATCH(2,Programação!$AR$5:$AR$1004,0))="","",INDEX(Programação!$AG$5:$AG$1004,MATCH(2,Programação!$AR$5:$AR$1004,0))))</f>
        <v/>
      </c>
      <c r="F9" s="22" t="str">
        <f aca="false">IF(COUNTIF(Programação!$AQ$5:$AQ$1004,1)&lt;2,"",IF(INDEX(Programação!$L$5:$L$1004,MATCH(2,Programação!$AR$5:$AR$1004,0))="","",INDEX(Programação!$L$5:$L$1004,MATCH(2,Programação!$AR$5:$AR$1004,0))))</f>
        <v/>
      </c>
      <c r="G9" s="25" t="str">
        <f aca="false">IF(COUNTIF(Programação!$AQ$5:$AQ$1004,1)&lt;2,"",IF(INDEX(Programação!$P$5:$P$1004,MATCH(2,Programação!$AR$5:$AR$1004,0))="","",INDEX(Programação!$P$5:$P$1004,MATCH(2,Programação!$AR$5:$AR$1004,0))))</f>
        <v/>
      </c>
      <c r="H9" s="22" t="str">
        <f aca="false">IF(COUNTIF(Programação!$AQ$5:$AQ$1004,1)&lt;2,"",IF(INDEX(Programação!$B$5:$B$1004,MATCH(2,Programação!$AR$5:$AR$1004,0))="","",INDEX(Programação!$B$5:$B$1004,MATCH(2,Programação!$AR$5:$AR$1004,0))))</f>
        <v>Na carteira</v>
      </c>
      <c r="I9" s="22" t="n">
        <f aca="false">IF(COUNTIF(Programação!$AQ$5:$AQ$1004,1)&lt;2,"",MATCH(2,Programação!$AR$5:$AR$1004,0)+4)</f>
        <v>195</v>
      </c>
    </row>
    <row r="10" customFormat="false" ht="15.75" hidden="false" customHeight="true" outlineLevel="0" collapsed="false">
      <c r="A10" s="22" t="str">
        <f aca="false">IF(COUNTIF(Programação!$AQ$5:$AQ$1004,1)&lt;3,"",IF(INDEX(Programação!$AM$5:$AM$1004,MATCH(3,Programação!$AR$5:$AR$1004,0))="","",INDEX(Programação!$AM$5:$AM$1004,MATCH(3,Programação!$AR$5:$AR$1004,0))))</f>
        <v/>
      </c>
      <c r="B10" s="22" t="str">
        <f aca="false">IF(COUNTIF(Programação!$AQ$5:$AQ$1004,1)&lt;3,"",IF(INDEX(Programação!$C$5:$C$1004,MATCH(3,Programação!$AR$5:$AR$1004,0))="","",INDEX(Programação!$C$5:$C$1004,MATCH(3,Programação!$AR$5:$AR$1004,0))))</f>
        <v>007307</v>
      </c>
      <c r="C10" s="24" t="str">
        <f aca="false">IF(COUNTIF(Programação!$AQ$5:$AQ$1004,1)&lt;3,"",IF(INDEX(Programação!$E$5:$E$1004,MATCH(3,Programação!$AR$5:$AR$1004,0))="","",INDEX(Programação!$E$5:$E$1004,MATCH(3,Programação!$AR$5:$AR$1004,0))))</f>
        <v>Pendências de inspeção</v>
      </c>
      <c r="D10" s="24" t="str">
        <f aca="false">IF(COUNTIF(Programação!$AQ$5:$AQ$1004,1)&lt;3,"",IF(INDEX(Programação!$F$5:$F$1004,MATCH(3,Programação!$AR$5:$AR$1004,0))="","",INDEX(Programação!$F$5:$F$1004,MATCH(3,Programação!$AR$5:$AR$1004,0))))</f>
        <v>Corrigir trinca no lastro</v>
      </c>
      <c r="E10" s="24" t="str">
        <f aca="false">IF(COUNTIF(Programação!$AQ$5:$AQ$1004,1)&lt;3,"",IF(INDEX(Programação!$AG$5:$AG$1004,MATCH(3,Programação!$AR$5:$AR$1004,0))="","",INDEX(Programação!$AG$5:$AG$1004,MATCH(3,Programação!$AR$5:$AR$1004,0))))</f>
        <v/>
      </c>
      <c r="F10" s="22" t="str">
        <f aca="false">IF(COUNTIF(Programação!$AQ$5:$AQ$1004,1)&lt;3,"",IF(INDEX(Programação!$L$5:$L$1004,MATCH(3,Programação!$AR$5:$AR$1004,0))="","",INDEX(Programação!$L$5:$L$1004,MATCH(3,Programação!$AR$5:$AR$1004,0))))</f>
        <v/>
      </c>
      <c r="G10" s="25" t="str">
        <f aca="false">IF(COUNTIF(Programação!$AQ$5:$AQ$1004,1)&lt;3,"",IF(INDEX(Programação!$P$5:$P$1004,MATCH(3,Programação!$AR$5:$AR$1004,0))="","",INDEX(Programação!$P$5:$P$1004,MATCH(3,Programação!$AR$5:$AR$1004,0))))</f>
        <v/>
      </c>
      <c r="H10" s="22" t="str">
        <f aca="false">IF(COUNTIF(Programação!$AQ$5:$AQ$1004,1)&lt;3,"",IF(INDEX(Programação!$B$5:$B$1004,MATCH(3,Programação!$AR$5:$AR$1004,0))="","",INDEX(Programação!$B$5:$B$1004,MATCH(3,Programação!$AR$5:$AR$1004,0))))</f>
        <v>Na carteira</v>
      </c>
      <c r="I10" s="22" t="n">
        <f aca="false">IF(COUNTIF(Programação!$AQ$5:$AQ$1004,1)&lt;3,"",MATCH(3,Programação!$AR$5:$AR$1004,0)+4)</f>
        <v>196</v>
      </c>
    </row>
    <row r="11" customFormat="false" ht="15.75" hidden="false" customHeight="true" outlineLevel="0" collapsed="false">
      <c r="A11" s="22" t="str">
        <f aca="false">IF(COUNTIF(Programação!$AQ$5:$AQ$1004,1)&lt;4,"",IF(INDEX(Programação!$AM$5:$AM$1004,MATCH(4,Programação!$AR$5:$AR$1004,0))="","",INDEX(Programação!$AM$5:$AM$1004,MATCH(4,Programação!$AR$5:$AR$1004,0))))</f>
        <v/>
      </c>
      <c r="B11" s="22" t="str">
        <f aca="false">IF(COUNTIF(Programação!$AQ$5:$AQ$1004,1)&lt;4,"",IF(INDEX(Programação!$C$5:$C$1004,MATCH(4,Programação!$AR$5:$AR$1004,0))="","",INDEX(Programação!$C$5:$C$1004,MATCH(4,Programação!$AR$5:$AR$1004,0))))</f>
        <v>007308</v>
      </c>
      <c r="C11" s="24" t="str">
        <f aca="false">IF(COUNTIF(Programação!$AQ$5:$AQ$1004,1)&lt;4,"",IF(INDEX(Programação!$E$5:$E$1004,MATCH(4,Programação!$AR$5:$AR$1004,0))="","",INDEX(Programação!$E$5:$E$1004,MATCH(4,Programação!$AR$5:$AR$1004,0))))</f>
        <v>Pendências de inspeção</v>
      </c>
      <c r="D11" s="24" t="str">
        <f aca="false">IF(COUNTIF(Programação!$AQ$5:$AQ$1004,1)&lt;4,"",IF(INDEX(Programação!$F$5:$F$1004,MATCH(4,Programação!$AR$5:$AR$1004,0))="","",INDEX(Programação!$F$5:$F$1004,MATCH(4,Programação!$AR$5:$AR$1004,0))))</f>
        <v>Reapertar parafusos da tampa do cubo 1º eixo LD</v>
      </c>
      <c r="E11" s="24" t="str">
        <f aca="false">IF(COUNTIF(Programação!$AQ$5:$AQ$1004,1)&lt;4,"",IF(INDEX(Programação!$AG$5:$AG$1004,MATCH(4,Programação!$AR$5:$AR$1004,0))="","",INDEX(Programação!$AG$5:$AG$1004,MATCH(4,Programação!$AR$5:$AR$1004,0))))</f>
        <v/>
      </c>
      <c r="F11" s="22" t="str">
        <f aca="false">IF(COUNTIF(Programação!$AQ$5:$AQ$1004,1)&lt;4,"",IF(INDEX(Programação!$L$5:$L$1004,MATCH(4,Programação!$AR$5:$AR$1004,0))="","",INDEX(Programação!$L$5:$L$1004,MATCH(4,Programação!$AR$5:$AR$1004,0))))</f>
        <v/>
      </c>
      <c r="G11" s="25" t="str">
        <f aca="false">IF(COUNTIF(Programação!$AQ$5:$AQ$1004,1)&lt;4,"",IF(INDEX(Programação!$P$5:$P$1004,MATCH(4,Programação!$AR$5:$AR$1004,0))="","",INDEX(Programação!$P$5:$P$1004,MATCH(4,Programação!$AR$5:$AR$1004,0))))</f>
        <v/>
      </c>
      <c r="H11" s="22" t="str">
        <f aca="false">IF(COUNTIF(Programação!$AQ$5:$AQ$1004,1)&lt;4,"",IF(INDEX(Programação!$B$5:$B$1004,MATCH(4,Programação!$AR$5:$AR$1004,0))="","",INDEX(Programação!$B$5:$B$1004,MATCH(4,Programação!$AR$5:$AR$1004,0))))</f>
        <v>Na carteira</v>
      </c>
      <c r="I11" s="22" t="n">
        <f aca="false">IF(COUNTIF(Programação!$AQ$5:$AQ$1004,1)&lt;4,"",MATCH(4,Programação!$AR$5:$AR$1004,0)+4)</f>
        <v>197</v>
      </c>
    </row>
    <row r="12" customFormat="false" ht="15.75" hidden="false" customHeight="true" outlineLevel="0" collapsed="false">
      <c r="A12" s="22" t="str">
        <f aca="false">IF(COUNTIF(Programação!$AQ$5:$AQ$1004,1)&lt;5,"",IF(INDEX(Programação!$AM$5:$AM$1004,MATCH(5,Programação!$AR$5:$AR$1004,0))="","",INDEX(Programação!$AM$5:$AM$1004,MATCH(5,Programação!$AR$5:$AR$1004,0))))</f>
        <v/>
      </c>
      <c r="B12" s="22" t="str">
        <f aca="false">IF(COUNTIF(Programação!$AQ$5:$AQ$1004,1)&lt;5,"",IF(INDEX(Programação!$C$5:$C$1004,MATCH(5,Programação!$AR$5:$AR$1004,0))="","",INDEX(Programação!$C$5:$C$1004,MATCH(5,Programação!$AR$5:$AR$1004,0))))</f>
        <v>007310</v>
      </c>
      <c r="C12" s="24" t="str">
        <f aca="false">IF(COUNTIF(Programação!$AQ$5:$AQ$1004,1)&lt;5,"",IF(INDEX(Programação!$E$5:$E$1004,MATCH(5,Programação!$AR$5:$AR$1004,0))="","",INDEX(Programação!$E$5:$E$1004,MATCH(5,Programação!$AR$5:$AR$1004,0))))</f>
        <v>Pendências de inspeção</v>
      </c>
      <c r="D12" s="24" t="str">
        <f aca="false">IF(COUNTIF(Programação!$AQ$5:$AQ$1004,1)&lt;5,"",IF(INDEX(Programação!$F$5:$F$1004,MATCH(5,Programação!$AR$5:$AR$1004,0))="","",INDEX(Programação!$F$5:$F$1004,MATCH(5,Programação!$AR$5:$AR$1004,0))))</f>
        <v>Regular freios 1º eixo LD</v>
      </c>
      <c r="E12" s="24" t="str">
        <f aca="false">IF(COUNTIF(Programação!$AQ$5:$AQ$1004,1)&lt;5,"",IF(INDEX(Programação!$AG$5:$AG$1004,MATCH(5,Programação!$AR$5:$AR$1004,0))="","",INDEX(Programação!$AG$5:$AG$1004,MATCH(5,Programação!$AR$5:$AR$1004,0))))</f>
        <v/>
      </c>
      <c r="F12" s="22" t="str">
        <f aca="false">IF(COUNTIF(Programação!$AQ$5:$AQ$1004,1)&lt;5,"",IF(INDEX(Programação!$L$5:$L$1004,MATCH(5,Programação!$AR$5:$AR$1004,0))="","",INDEX(Programação!$L$5:$L$1004,MATCH(5,Programação!$AR$5:$AR$1004,0))))</f>
        <v/>
      </c>
      <c r="G12" s="25" t="str">
        <f aca="false">IF(COUNTIF(Programação!$AQ$5:$AQ$1004,1)&lt;5,"",IF(INDEX(Programação!$P$5:$P$1004,MATCH(5,Programação!$AR$5:$AR$1004,0))="","",INDEX(Programação!$P$5:$P$1004,MATCH(5,Programação!$AR$5:$AR$1004,0))))</f>
        <v/>
      </c>
      <c r="H12" s="22" t="str">
        <f aca="false">IF(COUNTIF(Programação!$AQ$5:$AQ$1004,1)&lt;5,"",IF(INDEX(Programação!$B$5:$B$1004,MATCH(5,Programação!$AR$5:$AR$1004,0))="","",INDEX(Programação!$B$5:$B$1004,MATCH(5,Programação!$AR$5:$AR$1004,0))))</f>
        <v>Na carteira</v>
      </c>
      <c r="I12" s="22" t="n">
        <f aca="false">IF(COUNTIF(Programação!$AQ$5:$AQ$1004,1)&lt;5,"",MATCH(5,Programação!$AR$5:$AR$1004,0)+4)</f>
        <v>198</v>
      </c>
    </row>
    <row r="13" customFormat="false" ht="15.75" hidden="false" customHeight="true" outlineLevel="0" collapsed="false">
      <c r="A13" s="22" t="str">
        <f aca="false">IF(COUNTIF(Programação!$AQ$5:$AQ$1004,1)&lt;6,"",IF(INDEX(Programação!$AM$5:$AM$1004,MATCH(6,Programação!$AR$5:$AR$1004,0))="","",INDEX(Programação!$AM$5:$AM$1004,MATCH(6,Programação!$AR$5:$AR$1004,0))))</f>
        <v/>
      </c>
      <c r="B13" s="22" t="str">
        <f aca="false">IF(COUNTIF(Programação!$AQ$5:$AQ$1004,1)&lt;6,"",IF(INDEX(Programação!$C$5:$C$1004,MATCH(6,Programação!$AR$5:$AR$1004,0))="","",INDEX(Programação!$C$5:$C$1004,MATCH(6,Programação!$AR$5:$AR$1004,0))))</f>
        <v>007313</v>
      </c>
      <c r="C13" s="24" t="str">
        <f aca="false">IF(COUNTIF(Programação!$AQ$5:$AQ$1004,1)&lt;6,"",IF(INDEX(Programação!$E$5:$E$1004,MATCH(6,Programação!$AR$5:$AR$1004,0))="","",INDEX(Programação!$E$5:$E$1004,MATCH(6,Programação!$AR$5:$AR$1004,0))))</f>
        <v>Pendências de inspeção</v>
      </c>
      <c r="D13" s="24" t="str">
        <f aca="false">IF(COUNTIF(Programação!$AQ$5:$AQ$1004,1)&lt;6,"",IF(INDEX(Programação!$F$5:$F$1004,MATCH(6,Programação!$AR$5:$AR$1004,0))="","",INDEX(Programação!$F$5:$F$1004,MATCH(6,Programação!$AR$5:$AR$1004,0))))</f>
        <v>Fixar grade de proteção do ciclista LD</v>
      </c>
      <c r="E13" s="24" t="str">
        <f aca="false">IF(COUNTIF(Programação!$AQ$5:$AQ$1004,1)&lt;6,"",IF(INDEX(Programação!$AG$5:$AG$1004,MATCH(6,Programação!$AR$5:$AR$1004,0))="","",INDEX(Programação!$AG$5:$AG$1004,MATCH(6,Programação!$AR$5:$AR$1004,0))))</f>
        <v/>
      </c>
      <c r="F13" s="22" t="str">
        <f aca="false">IF(COUNTIF(Programação!$AQ$5:$AQ$1004,1)&lt;6,"",IF(INDEX(Programação!$L$5:$L$1004,MATCH(6,Programação!$AR$5:$AR$1004,0))="","",INDEX(Programação!$L$5:$L$1004,MATCH(6,Programação!$AR$5:$AR$1004,0))))</f>
        <v/>
      </c>
      <c r="G13" s="25" t="str">
        <f aca="false">IF(COUNTIF(Programação!$AQ$5:$AQ$1004,1)&lt;6,"",IF(INDEX(Programação!$P$5:$P$1004,MATCH(6,Programação!$AR$5:$AR$1004,0))="","",INDEX(Programação!$P$5:$P$1004,MATCH(6,Programação!$AR$5:$AR$1004,0))))</f>
        <v/>
      </c>
      <c r="H13" s="22" t="str">
        <f aca="false">IF(COUNTIF(Programação!$AQ$5:$AQ$1004,1)&lt;6,"",IF(INDEX(Programação!$B$5:$B$1004,MATCH(6,Programação!$AR$5:$AR$1004,0))="","",INDEX(Programação!$B$5:$B$1004,MATCH(6,Programação!$AR$5:$AR$1004,0))))</f>
        <v>Na carteira</v>
      </c>
      <c r="I13" s="22" t="n">
        <f aca="false">IF(COUNTIF(Programação!$AQ$5:$AQ$1004,1)&lt;6,"",MATCH(6,Programação!$AR$5:$AR$1004,0)+4)</f>
        <v>199</v>
      </c>
    </row>
    <row r="14" customFormat="false" ht="15.75" hidden="false" customHeight="true" outlineLevel="0" collapsed="false">
      <c r="A14" s="22" t="str">
        <f aca="false">IF(COUNTIF(Programação!$AQ$5:$AQ$1004,1)&lt;7,"",IF(INDEX(Programação!$AM$5:$AM$1004,MATCH(7,Programação!$AR$5:$AR$1004,0))="","",INDEX(Programação!$AM$5:$AM$1004,MATCH(7,Programação!$AR$5:$AR$1004,0))))</f>
        <v/>
      </c>
      <c r="B14" s="22" t="str">
        <f aca="false">IF(COUNTIF(Programação!$AQ$5:$AQ$1004,1)&lt;7,"",IF(INDEX(Programação!$C$5:$C$1004,MATCH(7,Programação!$AR$5:$AR$1004,0))="","",INDEX(Programação!$C$5:$C$1004,MATCH(7,Programação!$AR$5:$AR$1004,0))))</f>
        <v>007317</v>
      </c>
      <c r="C14" s="24" t="str">
        <f aca="false">IF(COUNTIF(Programação!$AQ$5:$AQ$1004,1)&lt;7,"",IF(INDEX(Programação!$E$5:$E$1004,MATCH(7,Programação!$AR$5:$AR$1004,0))="","",INDEX(Programação!$E$5:$E$1004,MATCH(7,Programação!$AR$5:$AR$1004,0))))</f>
        <v>Pendências de inspeção</v>
      </c>
      <c r="D14" s="24" t="str">
        <f aca="false">IF(COUNTIF(Programação!$AQ$5:$AQ$1004,1)&lt;7,"",IF(INDEX(Programação!$F$5:$F$1004,MATCH(7,Programação!$AR$5:$AR$1004,0))="","",INDEX(Programação!$F$5:$F$1004,MATCH(7,Programação!$AR$5:$AR$1004,0))))</f>
        <v>Fixar para-lamas folgados 2º eixo LD</v>
      </c>
      <c r="E14" s="24" t="str">
        <f aca="false">IF(COUNTIF(Programação!$AQ$5:$AQ$1004,1)&lt;7,"",IF(INDEX(Programação!$AG$5:$AG$1004,MATCH(7,Programação!$AR$5:$AR$1004,0))="","",INDEX(Programação!$AG$5:$AG$1004,MATCH(7,Programação!$AR$5:$AR$1004,0))))</f>
        <v/>
      </c>
      <c r="F14" s="22" t="str">
        <f aca="false">IF(COUNTIF(Programação!$AQ$5:$AQ$1004,1)&lt;7,"",IF(INDEX(Programação!$L$5:$L$1004,MATCH(7,Programação!$AR$5:$AR$1004,0))="","",INDEX(Programação!$L$5:$L$1004,MATCH(7,Programação!$AR$5:$AR$1004,0))))</f>
        <v/>
      </c>
      <c r="G14" s="25" t="str">
        <f aca="false">IF(COUNTIF(Programação!$AQ$5:$AQ$1004,1)&lt;7,"",IF(INDEX(Programação!$P$5:$P$1004,MATCH(7,Programação!$AR$5:$AR$1004,0))="","",INDEX(Programação!$P$5:$P$1004,MATCH(7,Programação!$AR$5:$AR$1004,0))))</f>
        <v/>
      </c>
      <c r="H14" s="22" t="str">
        <f aca="false">IF(COUNTIF(Programação!$AQ$5:$AQ$1004,1)&lt;7,"",IF(INDEX(Programação!$B$5:$B$1004,MATCH(7,Programação!$AR$5:$AR$1004,0))="","",INDEX(Programação!$B$5:$B$1004,MATCH(7,Programação!$AR$5:$AR$1004,0))))</f>
        <v>Na carteira</v>
      </c>
      <c r="I14" s="22" t="n">
        <f aca="false">IF(COUNTIF(Programação!$AQ$5:$AQ$1004,1)&lt;7,"",MATCH(7,Programação!$AR$5:$AR$1004,0)+4)</f>
        <v>200</v>
      </c>
    </row>
    <row r="15" customFormat="false" ht="15.75" hidden="false" customHeight="true" outlineLevel="0" collapsed="false">
      <c r="A15" s="22" t="str">
        <f aca="false">IF(COUNTIF(Programação!$AQ$5:$AQ$1004,1)&lt;8,"",IF(INDEX(Programação!$AM$5:$AM$1004,MATCH(8,Programação!$AR$5:$AR$1004,0))="","",INDEX(Programação!$AM$5:$AM$1004,MATCH(8,Programação!$AR$5:$AR$1004,0))))</f>
        <v/>
      </c>
      <c r="B15" s="22" t="str">
        <f aca="false">IF(COUNTIF(Programação!$AQ$5:$AQ$1004,1)&lt;8,"",IF(INDEX(Programação!$C$5:$C$1004,MATCH(8,Programação!$AR$5:$AR$1004,0))="","",INDEX(Programação!$C$5:$C$1004,MATCH(8,Programação!$AR$5:$AR$1004,0))))</f>
        <v>007318</v>
      </c>
      <c r="C15" s="24" t="str">
        <f aca="false">IF(COUNTIF(Programação!$AQ$5:$AQ$1004,1)&lt;8,"",IF(INDEX(Programação!$E$5:$E$1004,MATCH(8,Programação!$AR$5:$AR$1004,0))="","",INDEX(Programação!$E$5:$E$1004,MATCH(8,Programação!$AR$5:$AR$1004,0))))</f>
        <v>Pendências de inspeção</v>
      </c>
      <c r="D15" s="24" t="str">
        <f aca="false">IF(COUNTIF(Programação!$AQ$5:$AQ$1004,1)&lt;8,"",IF(INDEX(Programação!$F$5:$F$1004,MATCH(8,Programação!$AR$5:$AR$1004,0))="","",INDEX(Programação!$F$5:$F$1004,MATCH(8,Programação!$AR$5:$AR$1004,0))))</f>
        <v>Fixar para-lamas folgados LE</v>
      </c>
      <c r="E15" s="24" t="str">
        <f aca="false">IF(COUNTIF(Programação!$AQ$5:$AQ$1004,1)&lt;8,"",IF(INDEX(Programação!$AG$5:$AG$1004,MATCH(8,Programação!$AR$5:$AR$1004,0))="","",INDEX(Programação!$AG$5:$AG$1004,MATCH(8,Programação!$AR$5:$AR$1004,0))))</f>
        <v/>
      </c>
      <c r="F15" s="22" t="str">
        <f aca="false">IF(COUNTIF(Programação!$AQ$5:$AQ$1004,1)&lt;8,"",IF(INDEX(Programação!$L$5:$L$1004,MATCH(8,Programação!$AR$5:$AR$1004,0))="","",INDEX(Programação!$L$5:$L$1004,MATCH(8,Programação!$AR$5:$AR$1004,0))))</f>
        <v/>
      </c>
      <c r="G15" s="25" t="str">
        <f aca="false">IF(COUNTIF(Programação!$AQ$5:$AQ$1004,1)&lt;8,"",IF(INDEX(Programação!$P$5:$P$1004,MATCH(8,Programação!$AR$5:$AR$1004,0))="","",INDEX(Programação!$P$5:$P$1004,MATCH(8,Programação!$AR$5:$AR$1004,0))))</f>
        <v/>
      </c>
      <c r="H15" s="22" t="str">
        <f aca="false">IF(COUNTIF(Programação!$AQ$5:$AQ$1004,1)&lt;8,"",IF(INDEX(Programação!$B$5:$B$1004,MATCH(8,Programação!$AR$5:$AR$1004,0))="","",INDEX(Programação!$B$5:$B$1004,MATCH(8,Programação!$AR$5:$AR$1004,0))))</f>
        <v>Na carteira</v>
      </c>
      <c r="I15" s="22" t="n">
        <f aca="false">IF(COUNTIF(Programação!$AQ$5:$AQ$1004,1)&lt;8,"",MATCH(8,Programação!$AR$5:$AR$1004,0)+4)</f>
        <v>201</v>
      </c>
    </row>
    <row r="16" customFormat="false" ht="15.75" hidden="false" customHeight="true" outlineLevel="0" collapsed="false">
      <c r="A16" s="22" t="str">
        <f aca="false">IF(COUNTIF(Programação!$AQ$5:$AQ$1004,1)&lt;9,"",IF(INDEX(Programação!$AM$5:$AM$1004,MATCH(9,Programação!$AR$5:$AR$1004,0))="","",INDEX(Programação!$AM$5:$AM$1004,MATCH(9,Programação!$AR$5:$AR$1004,0))))</f>
        <v/>
      </c>
      <c r="B16" s="22" t="str">
        <f aca="false">IF(COUNTIF(Programação!$AQ$5:$AQ$1004,1)&lt;9,"",IF(INDEX(Programação!$C$5:$C$1004,MATCH(9,Programação!$AR$5:$AR$1004,0))="","",INDEX(Programação!$C$5:$C$1004,MATCH(9,Programação!$AR$5:$AR$1004,0))))</f>
        <v>007316</v>
      </c>
      <c r="C16" s="24" t="str">
        <f aca="false">IF(COUNTIF(Programação!$AQ$5:$AQ$1004,1)&lt;9,"",IF(INDEX(Programação!$E$5:$E$1004,MATCH(9,Programação!$AR$5:$AR$1004,0))="","",INDEX(Programação!$E$5:$E$1004,MATCH(9,Programação!$AR$5:$AR$1004,0))))</f>
        <v>Pendências de inspeção</v>
      </c>
      <c r="D16" s="24" t="str">
        <f aca="false">IF(COUNTIF(Programação!$AQ$5:$AQ$1004,1)&lt;9,"",IF(INDEX(Programação!$F$5:$F$1004,MATCH(9,Programação!$AR$5:$AR$1004,0))="","",INDEX(Programação!$F$5:$F$1004,MATCH(9,Programação!$AR$5:$AR$1004,0))))</f>
        <v>Reposicionar pinos da balança 2º e 3º eixo LD</v>
      </c>
      <c r="E16" s="24" t="str">
        <f aca="false">IF(COUNTIF(Programação!$AQ$5:$AQ$1004,1)&lt;9,"",IF(INDEX(Programação!$AG$5:$AG$1004,MATCH(9,Programação!$AR$5:$AR$1004,0))="","",INDEX(Programação!$AG$5:$AG$1004,MATCH(9,Programação!$AR$5:$AR$1004,0))))</f>
        <v/>
      </c>
      <c r="F16" s="22" t="str">
        <f aca="false">IF(COUNTIF(Programação!$AQ$5:$AQ$1004,1)&lt;9,"",IF(INDEX(Programação!$L$5:$L$1004,MATCH(9,Programação!$AR$5:$AR$1004,0))="","",INDEX(Programação!$L$5:$L$1004,MATCH(9,Programação!$AR$5:$AR$1004,0))))</f>
        <v/>
      </c>
      <c r="G16" s="25" t="str">
        <f aca="false">IF(COUNTIF(Programação!$AQ$5:$AQ$1004,1)&lt;9,"",IF(INDEX(Programação!$P$5:$P$1004,MATCH(9,Programação!$AR$5:$AR$1004,0))="","",INDEX(Programação!$P$5:$P$1004,MATCH(9,Programação!$AR$5:$AR$1004,0))))</f>
        <v/>
      </c>
      <c r="H16" s="22" t="str">
        <f aca="false">IF(COUNTIF(Programação!$AQ$5:$AQ$1004,1)&lt;9,"",IF(INDEX(Programação!$B$5:$B$1004,MATCH(9,Programação!$AR$5:$AR$1004,0))="","",INDEX(Programação!$B$5:$B$1004,MATCH(9,Programação!$AR$5:$AR$1004,0))))</f>
        <v>Na carteira</v>
      </c>
      <c r="I16" s="22" t="n">
        <f aca="false">IF(COUNTIF(Programação!$AQ$5:$AQ$1004,1)&lt;9,"",MATCH(9,Programação!$AR$5:$AR$1004,0)+4)</f>
        <v>202</v>
      </c>
    </row>
    <row r="17" customFormat="false" ht="15.75" hidden="false" customHeight="true" outlineLevel="0" collapsed="false">
      <c r="A17" s="22" t="str">
        <f aca="false">IF(COUNTIF(Programação!$AQ$5:$AQ$1004,1)&lt;10,"",IF(INDEX(Programação!$AM$5:$AM$1004,MATCH(10,Programação!$AR$5:$AR$1004,0))="","",INDEX(Programação!$AM$5:$AM$1004,MATCH(10,Programação!$AR$5:$AR$1004,0))))</f>
        <v/>
      </c>
      <c r="B17" s="22" t="str">
        <f aca="false">IF(COUNTIF(Programação!$AQ$5:$AQ$1004,1)&lt;10,"",IF(INDEX(Programação!$C$5:$C$1004,MATCH(10,Programação!$AR$5:$AR$1004,0))="","",INDEX(Programação!$C$5:$C$1004,MATCH(10,Programação!$AR$5:$AR$1004,0))))</f>
        <v>007319</v>
      </c>
      <c r="C17" s="24" t="str">
        <f aca="false">IF(COUNTIF(Programação!$AQ$5:$AQ$1004,1)&lt;10,"",IF(INDEX(Programação!$E$5:$E$1004,MATCH(10,Programação!$AR$5:$AR$1004,0))="","",INDEX(Programação!$E$5:$E$1004,MATCH(10,Programação!$AR$5:$AR$1004,0))))</f>
        <v>Pendências de inspeção</v>
      </c>
      <c r="D17" s="24" t="str">
        <f aca="false">IF(COUNTIF(Programação!$AQ$5:$AQ$1004,1)&lt;10,"",IF(INDEX(Programação!$F$5:$F$1004,MATCH(10,Programação!$AR$5:$AR$1004,0))="","",INDEX(Programação!$F$5:$F$1004,MATCH(10,Programação!$AR$5:$AR$1004,0))))</f>
        <v>Corrigir travessa avariada ao lado direito da quinta roda</v>
      </c>
      <c r="E17" s="24" t="str">
        <f aca="false">IF(COUNTIF(Programação!$AQ$5:$AQ$1004,1)&lt;10,"",IF(INDEX(Programação!$AG$5:$AG$1004,MATCH(10,Programação!$AR$5:$AR$1004,0))="","",INDEX(Programação!$AG$5:$AG$1004,MATCH(10,Programação!$AR$5:$AR$1004,0))))</f>
        <v/>
      </c>
      <c r="F17" s="22" t="str">
        <f aca="false">IF(COUNTIF(Programação!$AQ$5:$AQ$1004,1)&lt;10,"",IF(INDEX(Programação!$L$5:$L$1004,MATCH(10,Programação!$AR$5:$AR$1004,0))="","",INDEX(Programação!$L$5:$L$1004,MATCH(10,Programação!$AR$5:$AR$1004,0))))</f>
        <v/>
      </c>
      <c r="G17" s="25" t="str">
        <f aca="false">IF(COUNTIF(Programação!$AQ$5:$AQ$1004,1)&lt;10,"",IF(INDEX(Programação!$P$5:$P$1004,MATCH(10,Programação!$AR$5:$AR$1004,0))="","",INDEX(Programação!$P$5:$P$1004,MATCH(10,Programação!$AR$5:$AR$1004,0))))</f>
        <v/>
      </c>
      <c r="H17" s="22" t="str">
        <f aca="false">IF(COUNTIF(Programação!$AQ$5:$AQ$1004,1)&lt;10,"",IF(INDEX(Programação!$B$5:$B$1004,MATCH(10,Programação!$AR$5:$AR$1004,0))="","",INDEX(Programação!$B$5:$B$1004,MATCH(10,Programação!$AR$5:$AR$1004,0))))</f>
        <v>Na carteira</v>
      </c>
      <c r="I17" s="22" t="n">
        <f aca="false">IF(COUNTIF(Programação!$AQ$5:$AQ$1004,1)&lt;10,"",MATCH(10,Programação!$AR$5:$AR$1004,0)+4)</f>
        <v>203</v>
      </c>
    </row>
    <row r="18" customFormat="false" ht="15.75" hidden="false" customHeight="true" outlineLevel="0" collapsed="false">
      <c r="A18" s="22" t="str">
        <f aca="false">IF(COUNTIF(Programação!$AQ$5:$AQ$1004,1)&lt;11,"",IF(INDEX(Programação!$AM$5:$AM$1004,MATCH(11,Programação!$AR$5:$AR$1004,0))="","",INDEX(Programação!$AM$5:$AM$1004,MATCH(11,Programação!$AR$5:$AR$1004,0))))</f>
        <v/>
      </c>
      <c r="B18" s="22" t="str">
        <f aca="false">IF(COUNTIF(Programação!$AQ$5:$AQ$1004,1)&lt;11,"",IF(INDEX(Programação!$C$5:$C$1004,MATCH(11,Programação!$AR$5:$AR$1004,0))="","",INDEX(Programação!$C$5:$C$1004,MATCH(11,Programação!$AR$5:$AR$1004,0))))</f>
        <v/>
      </c>
      <c r="C18" s="24" t="str">
        <f aca="false">IF(COUNTIF(Programação!$AQ$5:$AQ$1004,1)&lt;11,"",IF(INDEX(Programação!$E$5:$E$1004,MATCH(11,Programação!$AR$5:$AR$1004,0))="","",INDEX(Programação!$E$5:$E$1004,MATCH(11,Programação!$AR$5:$AR$1004,0))))</f>
        <v/>
      </c>
      <c r="D18" s="24" t="str">
        <f aca="false">IF(COUNTIF(Programação!$AQ$5:$AQ$1004,1)&lt;11,"",IF(INDEX(Programação!$F$5:$F$1004,MATCH(11,Programação!$AR$5:$AR$1004,0))="","",INDEX(Programação!$F$5:$F$1004,MATCH(11,Programação!$AR$5:$AR$1004,0))))</f>
        <v/>
      </c>
      <c r="E18" s="24" t="str">
        <f aca="false">IF(COUNTIF(Programação!$AQ$5:$AQ$1004,1)&lt;11,"",IF(INDEX(Programação!$AG$5:$AG$1004,MATCH(11,Programação!$AR$5:$AR$1004,0))="","",INDEX(Programação!$AG$5:$AG$1004,MATCH(11,Programação!$AR$5:$AR$1004,0))))</f>
        <v/>
      </c>
      <c r="F18" s="22" t="str">
        <f aca="false">IF(COUNTIF(Programação!$AQ$5:$AQ$1004,1)&lt;11,"",IF(INDEX(Programação!$L$5:$L$1004,MATCH(11,Programação!$AR$5:$AR$1004,0))="","",INDEX(Programação!$L$5:$L$1004,MATCH(11,Programação!$AR$5:$AR$1004,0))))</f>
        <v/>
      </c>
      <c r="G18" s="25" t="str">
        <f aca="false">IF(COUNTIF(Programação!$AQ$5:$AQ$1004,1)&lt;11,"",IF(INDEX(Programação!$P$5:$P$1004,MATCH(11,Programação!$AR$5:$AR$1004,0))="","",INDEX(Programação!$P$5:$P$1004,MATCH(11,Programação!$AR$5:$AR$1004,0))))</f>
        <v/>
      </c>
      <c r="H18" s="22" t="str">
        <f aca="false">IF(COUNTIF(Programação!$AQ$5:$AQ$1004,1)&lt;11,"",IF(INDEX(Programação!$B$5:$B$1004,MATCH(11,Programação!$AR$5:$AR$1004,0))="","",INDEX(Programação!$B$5:$B$1004,MATCH(11,Programação!$AR$5:$AR$1004,0))))</f>
        <v/>
      </c>
      <c r="I18" s="22" t="str">
        <f aca="false">IF(COUNTIF(Programação!$AQ$5:$AQ$1004,1)&lt;11,"",MATCH(11,Programação!$AR$5:$AR$1004,0)+4)</f>
        <v/>
      </c>
    </row>
    <row r="19" customFormat="false" ht="15.75" hidden="false" customHeight="true" outlineLevel="0" collapsed="false">
      <c r="A19" s="22" t="str">
        <f aca="false">IF(COUNTIF(Programação!$AQ$5:$AQ$1004,1)&lt;12,"",IF(INDEX(Programação!$AM$5:$AM$1004,MATCH(12,Programação!$AR$5:$AR$1004,0))="","",INDEX(Programação!$AM$5:$AM$1004,MATCH(12,Programação!$AR$5:$AR$1004,0))))</f>
        <v/>
      </c>
      <c r="B19" s="22" t="str">
        <f aca="false">IF(COUNTIF(Programação!$AQ$5:$AQ$1004,1)&lt;12,"",IF(INDEX(Programação!$C$5:$C$1004,MATCH(12,Programação!$AR$5:$AR$1004,0))="","",INDEX(Programação!$C$5:$C$1004,MATCH(12,Programação!$AR$5:$AR$1004,0))))</f>
        <v/>
      </c>
      <c r="C19" s="24" t="str">
        <f aca="false">IF(COUNTIF(Programação!$AQ$5:$AQ$1004,1)&lt;12,"",IF(INDEX(Programação!$E$5:$E$1004,MATCH(12,Programação!$AR$5:$AR$1004,0))="","",INDEX(Programação!$E$5:$E$1004,MATCH(12,Programação!$AR$5:$AR$1004,0))))</f>
        <v/>
      </c>
      <c r="D19" s="24" t="str">
        <f aca="false">IF(COUNTIF(Programação!$AQ$5:$AQ$1004,1)&lt;12,"",IF(INDEX(Programação!$F$5:$F$1004,MATCH(12,Programação!$AR$5:$AR$1004,0))="","",INDEX(Programação!$F$5:$F$1004,MATCH(12,Programação!$AR$5:$AR$1004,0))))</f>
        <v/>
      </c>
      <c r="E19" s="24" t="str">
        <f aca="false">IF(COUNTIF(Programação!$AQ$5:$AQ$1004,1)&lt;12,"",IF(INDEX(Programação!$AG$5:$AG$1004,MATCH(12,Programação!$AR$5:$AR$1004,0))="","",INDEX(Programação!$AG$5:$AG$1004,MATCH(12,Programação!$AR$5:$AR$1004,0))))</f>
        <v/>
      </c>
      <c r="F19" s="22" t="str">
        <f aca="false">IF(COUNTIF(Programação!$AQ$5:$AQ$1004,1)&lt;12,"",IF(INDEX(Programação!$L$5:$L$1004,MATCH(12,Programação!$AR$5:$AR$1004,0))="","",INDEX(Programação!$L$5:$L$1004,MATCH(12,Programação!$AR$5:$AR$1004,0))))</f>
        <v/>
      </c>
      <c r="G19" s="25" t="str">
        <f aca="false">IF(COUNTIF(Programação!$AQ$5:$AQ$1004,1)&lt;12,"",IF(INDEX(Programação!$P$5:$P$1004,MATCH(12,Programação!$AR$5:$AR$1004,0))="","",INDEX(Programação!$P$5:$P$1004,MATCH(12,Programação!$AR$5:$AR$1004,0))))</f>
        <v/>
      </c>
      <c r="H19" s="22" t="str">
        <f aca="false">IF(COUNTIF(Programação!$AQ$5:$AQ$1004,1)&lt;12,"",IF(INDEX(Programação!$B$5:$B$1004,MATCH(12,Programação!$AR$5:$AR$1004,0))="","",INDEX(Programação!$B$5:$B$1004,MATCH(12,Programação!$AR$5:$AR$1004,0))))</f>
        <v/>
      </c>
      <c r="I19" s="22" t="str">
        <f aca="false">IF(COUNTIF(Programação!$AQ$5:$AQ$1004,1)&lt;12,"",MATCH(12,Programação!$AR$5:$AR$1004,0)+4)</f>
        <v/>
      </c>
    </row>
    <row r="20" customFormat="false" ht="15.75" hidden="false" customHeight="true" outlineLevel="0" collapsed="false">
      <c r="A20" s="22" t="str">
        <f aca="false">IF(COUNTIF(Programação!$AQ$5:$AQ$1004,1)&lt;13,"",IF(INDEX(Programação!$AM$5:$AM$1004,MATCH(13,Programação!$AR$5:$AR$1004,0))="","",INDEX(Programação!$AM$5:$AM$1004,MATCH(13,Programação!$AR$5:$AR$1004,0))))</f>
        <v/>
      </c>
      <c r="B20" s="22" t="str">
        <f aca="false">IF(COUNTIF(Programação!$AQ$5:$AQ$1004,1)&lt;13,"",IF(INDEX(Programação!$C$5:$C$1004,MATCH(13,Programação!$AR$5:$AR$1004,0))="","",INDEX(Programação!$C$5:$C$1004,MATCH(13,Programação!$AR$5:$AR$1004,0))))</f>
        <v/>
      </c>
      <c r="C20" s="24" t="str">
        <f aca="false">IF(COUNTIF(Programação!$AQ$5:$AQ$1004,1)&lt;13,"",IF(INDEX(Programação!$E$5:$E$1004,MATCH(13,Programação!$AR$5:$AR$1004,0))="","",INDEX(Programação!$E$5:$E$1004,MATCH(13,Programação!$AR$5:$AR$1004,0))))</f>
        <v/>
      </c>
      <c r="D20" s="24" t="str">
        <f aca="false">IF(COUNTIF(Programação!$AQ$5:$AQ$1004,1)&lt;13,"",IF(INDEX(Programação!$F$5:$F$1004,MATCH(13,Programação!$AR$5:$AR$1004,0))="","",INDEX(Programação!$F$5:$F$1004,MATCH(13,Programação!$AR$5:$AR$1004,0))))</f>
        <v/>
      </c>
      <c r="E20" s="24" t="str">
        <f aca="false">IF(COUNTIF(Programação!$AQ$5:$AQ$1004,1)&lt;13,"",IF(INDEX(Programação!$AG$5:$AG$1004,MATCH(13,Programação!$AR$5:$AR$1004,0))="","",INDEX(Programação!$AG$5:$AG$1004,MATCH(13,Programação!$AR$5:$AR$1004,0))))</f>
        <v/>
      </c>
      <c r="F20" s="22" t="str">
        <f aca="false">IF(COUNTIF(Programação!$AQ$5:$AQ$1004,1)&lt;13,"",IF(INDEX(Programação!$L$5:$L$1004,MATCH(13,Programação!$AR$5:$AR$1004,0))="","",INDEX(Programação!$L$5:$L$1004,MATCH(13,Programação!$AR$5:$AR$1004,0))))</f>
        <v/>
      </c>
      <c r="G20" s="25" t="str">
        <f aca="false">IF(COUNTIF(Programação!$AQ$5:$AQ$1004,1)&lt;13,"",IF(INDEX(Programação!$P$5:$P$1004,MATCH(13,Programação!$AR$5:$AR$1004,0))="","",INDEX(Programação!$P$5:$P$1004,MATCH(13,Programação!$AR$5:$AR$1004,0))))</f>
        <v/>
      </c>
      <c r="H20" s="22" t="str">
        <f aca="false">IF(COUNTIF(Programação!$AQ$5:$AQ$1004,1)&lt;13,"",IF(INDEX(Programação!$B$5:$B$1004,MATCH(13,Programação!$AR$5:$AR$1004,0))="","",INDEX(Programação!$B$5:$B$1004,MATCH(13,Programação!$AR$5:$AR$1004,0))))</f>
        <v/>
      </c>
      <c r="I20" s="22" t="str">
        <f aca="false">IF(COUNTIF(Programação!$AQ$5:$AQ$1004,1)&lt;13,"",MATCH(13,Programação!$AR$5:$AR$1004,0)+4)</f>
        <v/>
      </c>
    </row>
    <row r="21" customFormat="false" ht="15.75" hidden="false" customHeight="true" outlineLevel="0" collapsed="false">
      <c r="A21" s="22" t="str">
        <f aca="false">IF(COUNTIF(Programação!$AQ$5:$AQ$1004,1)&lt;14,"",IF(INDEX(Programação!$AM$5:$AM$1004,MATCH(14,Programação!$AR$5:$AR$1004,0))="","",INDEX(Programação!$AM$5:$AM$1004,MATCH(14,Programação!$AR$5:$AR$1004,0))))</f>
        <v/>
      </c>
      <c r="B21" s="22" t="str">
        <f aca="false">IF(COUNTIF(Programação!$AQ$5:$AQ$1004,1)&lt;14,"",IF(INDEX(Programação!$C$5:$C$1004,MATCH(14,Programação!$AR$5:$AR$1004,0))="","",INDEX(Programação!$C$5:$C$1004,MATCH(14,Programação!$AR$5:$AR$1004,0))))</f>
        <v/>
      </c>
      <c r="C21" s="24" t="str">
        <f aca="false">IF(COUNTIF(Programação!$AQ$5:$AQ$1004,1)&lt;14,"",IF(INDEX(Programação!$E$5:$E$1004,MATCH(14,Programação!$AR$5:$AR$1004,0))="","",INDEX(Programação!$E$5:$E$1004,MATCH(14,Programação!$AR$5:$AR$1004,0))))</f>
        <v/>
      </c>
      <c r="D21" s="24" t="str">
        <f aca="false">IF(COUNTIF(Programação!$AQ$5:$AQ$1004,1)&lt;14,"",IF(INDEX(Programação!$F$5:$F$1004,MATCH(14,Programação!$AR$5:$AR$1004,0))="","",INDEX(Programação!$F$5:$F$1004,MATCH(14,Programação!$AR$5:$AR$1004,0))))</f>
        <v/>
      </c>
      <c r="E21" s="24" t="str">
        <f aca="false">IF(COUNTIF(Programação!$AQ$5:$AQ$1004,1)&lt;14,"",IF(INDEX(Programação!$AG$5:$AG$1004,MATCH(14,Programação!$AR$5:$AR$1004,0))="","",INDEX(Programação!$AG$5:$AG$1004,MATCH(14,Programação!$AR$5:$AR$1004,0))))</f>
        <v/>
      </c>
      <c r="F21" s="22" t="str">
        <f aca="false">IF(COUNTIF(Programação!$AQ$5:$AQ$1004,1)&lt;14,"",IF(INDEX(Programação!$L$5:$L$1004,MATCH(14,Programação!$AR$5:$AR$1004,0))="","",INDEX(Programação!$L$5:$L$1004,MATCH(14,Programação!$AR$5:$AR$1004,0))))</f>
        <v/>
      </c>
      <c r="G21" s="25" t="str">
        <f aca="false">IF(COUNTIF(Programação!$AQ$5:$AQ$1004,1)&lt;14,"",IF(INDEX(Programação!$P$5:$P$1004,MATCH(14,Programação!$AR$5:$AR$1004,0))="","",INDEX(Programação!$P$5:$P$1004,MATCH(14,Programação!$AR$5:$AR$1004,0))))</f>
        <v/>
      </c>
      <c r="H21" s="22" t="str">
        <f aca="false">IF(COUNTIF(Programação!$AQ$5:$AQ$1004,1)&lt;14,"",IF(INDEX(Programação!$B$5:$B$1004,MATCH(14,Programação!$AR$5:$AR$1004,0))="","",INDEX(Programação!$B$5:$B$1004,MATCH(14,Programação!$AR$5:$AR$1004,0))))</f>
        <v/>
      </c>
      <c r="I21" s="22" t="str">
        <f aca="false">IF(COUNTIF(Programação!$AQ$5:$AQ$1004,1)&lt;14,"",MATCH(14,Programação!$AR$5:$AR$1004,0)+4)</f>
        <v/>
      </c>
    </row>
    <row r="22" customFormat="false" ht="15.75" hidden="false" customHeight="true" outlineLevel="0" collapsed="false">
      <c r="A22" s="22" t="str">
        <f aca="false">IF(COUNTIF(Programação!$AQ$5:$AQ$1004,1)&lt;15,"",IF(INDEX(Programação!$AM$5:$AM$1004,MATCH(15,Programação!$AR$5:$AR$1004,0))="","",INDEX(Programação!$AM$5:$AM$1004,MATCH(15,Programação!$AR$5:$AR$1004,0))))</f>
        <v/>
      </c>
      <c r="B22" s="22" t="str">
        <f aca="false">IF(COUNTIF(Programação!$AQ$5:$AQ$1004,1)&lt;15,"",IF(INDEX(Programação!$C$5:$C$1004,MATCH(15,Programação!$AR$5:$AR$1004,0))="","",INDEX(Programação!$C$5:$C$1004,MATCH(15,Programação!$AR$5:$AR$1004,0))))</f>
        <v/>
      </c>
      <c r="C22" s="24" t="str">
        <f aca="false">IF(COUNTIF(Programação!$AQ$5:$AQ$1004,1)&lt;15,"",IF(INDEX(Programação!$E$5:$E$1004,MATCH(15,Programação!$AR$5:$AR$1004,0))="","",INDEX(Programação!$E$5:$E$1004,MATCH(15,Programação!$AR$5:$AR$1004,0))))</f>
        <v/>
      </c>
      <c r="D22" s="24" t="str">
        <f aca="false">IF(COUNTIF(Programação!$AQ$5:$AQ$1004,1)&lt;15,"",IF(INDEX(Programação!$F$5:$F$1004,MATCH(15,Programação!$AR$5:$AR$1004,0))="","",INDEX(Programação!$F$5:$F$1004,MATCH(15,Programação!$AR$5:$AR$1004,0))))</f>
        <v/>
      </c>
      <c r="E22" s="24" t="str">
        <f aca="false">IF(COUNTIF(Programação!$AQ$5:$AQ$1004,1)&lt;15,"",IF(INDEX(Programação!$AG$5:$AG$1004,MATCH(15,Programação!$AR$5:$AR$1004,0))="","",INDEX(Programação!$AG$5:$AG$1004,MATCH(15,Programação!$AR$5:$AR$1004,0))))</f>
        <v/>
      </c>
      <c r="F22" s="22" t="str">
        <f aca="false">IF(COUNTIF(Programação!$AQ$5:$AQ$1004,1)&lt;15,"",IF(INDEX(Programação!$L$5:$L$1004,MATCH(15,Programação!$AR$5:$AR$1004,0))="","",INDEX(Programação!$L$5:$L$1004,MATCH(15,Programação!$AR$5:$AR$1004,0))))</f>
        <v/>
      </c>
      <c r="G22" s="25" t="str">
        <f aca="false">IF(COUNTIF(Programação!$AQ$5:$AQ$1004,1)&lt;15,"",IF(INDEX(Programação!$P$5:$P$1004,MATCH(15,Programação!$AR$5:$AR$1004,0))="","",INDEX(Programação!$P$5:$P$1004,MATCH(15,Programação!$AR$5:$AR$1004,0))))</f>
        <v/>
      </c>
      <c r="H22" s="22" t="str">
        <f aca="false">IF(COUNTIF(Programação!$AQ$5:$AQ$1004,1)&lt;15,"",IF(INDEX(Programação!$B$5:$B$1004,MATCH(15,Programação!$AR$5:$AR$1004,0))="","",INDEX(Programação!$B$5:$B$1004,MATCH(15,Programação!$AR$5:$AR$1004,0))))</f>
        <v/>
      </c>
      <c r="I22" s="22" t="str">
        <f aca="false">IF(COUNTIF(Programação!$AQ$5:$AQ$1004,1)&lt;15,"",MATCH(15,Programação!$AR$5:$AR$1004,0)+4)</f>
        <v/>
      </c>
    </row>
    <row r="23" customFormat="false" ht="15.75" hidden="false" customHeight="true" outlineLevel="0" collapsed="false">
      <c r="A23" s="22" t="str">
        <f aca="false">IF(COUNTIF(Programação!$AQ$5:$AQ$1004,1)&lt;16,"",IF(INDEX(Programação!$AM$5:$AM$1004,MATCH(16,Programação!$AR$5:$AR$1004,0))="","",INDEX(Programação!$AM$5:$AM$1004,MATCH(16,Programação!$AR$5:$AR$1004,0))))</f>
        <v/>
      </c>
      <c r="B23" s="22" t="str">
        <f aca="false">IF(COUNTIF(Programação!$AQ$5:$AQ$1004,1)&lt;16,"",IF(INDEX(Programação!$C$5:$C$1004,MATCH(16,Programação!$AR$5:$AR$1004,0))="","",INDEX(Programação!$C$5:$C$1004,MATCH(16,Programação!$AR$5:$AR$1004,0))))</f>
        <v/>
      </c>
      <c r="C23" s="24" t="str">
        <f aca="false">IF(COUNTIF(Programação!$AQ$5:$AQ$1004,1)&lt;16,"",IF(INDEX(Programação!$E$5:$E$1004,MATCH(16,Programação!$AR$5:$AR$1004,0))="","",INDEX(Programação!$E$5:$E$1004,MATCH(16,Programação!$AR$5:$AR$1004,0))))</f>
        <v/>
      </c>
      <c r="D23" s="24" t="str">
        <f aca="false">IF(COUNTIF(Programação!$AQ$5:$AQ$1004,1)&lt;16,"",IF(INDEX(Programação!$F$5:$F$1004,MATCH(16,Programação!$AR$5:$AR$1004,0))="","",INDEX(Programação!$F$5:$F$1004,MATCH(16,Programação!$AR$5:$AR$1004,0))))</f>
        <v/>
      </c>
      <c r="E23" s="24" t="str">
        <f aca="false">IF(COUNTIF(Programação!$AQ$5:$AQ$1004,1)&lt;16,"",IF(INDEX(Programação!$AG$5:$AG$1004,MATCH(16,Programação!$AR$5:$AR$1004,0))="","",INDEX(Programação!$AG$5:$AG$1004,MATCH(16,Programação!$AR$5:$AR$1004,0))))</f>
        <v/>
      </c>
      <c r="F23" s="22" t="str">
        <f aca="false">IF(COUNTIF(Programação!$AQ$5:$AQ$1004,1)&lt;16,"",IF(INDEX(Programação!$L$5:$L$1004,MATCH(16,Programação!$AR$5:$AR$1004,0))="","",INDEX(Programação!$L$5:$L$1004,MATCH(16,Programação!$AR$5:$AR$1004,0))))</f>
        <v/>
      </c>
      <c r="G23" s="25" t="str">
        <f aca="false">IF(COUNTIF(Programação!$AQ$5:$AQ$1004,1)&lt;16,"",IF(INDEX(Programação!$P$5:$P$1004,MATCH(16,Programação!$AR$5:$AR$1004,0))="","",INDEX(Programação!$P$5:$P$1004,MATCH(16,Programação!$AR$5:$AR$1004,0))))</f>
        <v/>
      </c>
      <c r="H23" s="22" t="str">
        <f aca="false">IF(COUNTIF(Programação!$AQ$5:$AQ$1004,1)&lt;16,"",IF(INDEX(Programação!$B$5:$B$1004,MATCH(16,Programação!$AR$5:$AR$1004,0))="","",INDEX(Programação!$B$5:$B$1004,MATCH(16,Programação!$AR$5:$AR$1004,0))))</f>
        <v/>
      </c>
      <c r="I23" s="22" t="str">
        <f aca="false">IF(COUNTIF(Programação!$AQ$5:$AQ$1004,1)&lt;16,"",MATCH(16,Programação!$AR$5:$AR$1004,0)+4)</f>
        <v/>
      </c>
    </row>
    <row r="24" customFormat="false" ht="15.75" hidden="false" customHeight="true" outlineLevel="0" collapsed="false">
      <c r="A24" s="22" t="str">
        <f aca="false">IF(COUNTIF(Programação!$AQ$5:$AQ$1004,1)&lt;17,"",IF(INDEX(Programação!$AM$5:$AM$1004,MATCH(17,Programação!$AR$5:$AR$1004,0))="","",INDEX(Programação!$AM$5:$AM$1004,MATCH(17,Programação!$AR$5:$AR$1004,0))))</f>
        <v/>
      </c>
      <c r="B24" s="22" t="str">
        <f aca="false">IF(COUNTIF(Programação!$AQ$5:$AQ$1004,1)&lt;17,"",IF(INDEX(Programação!$C$5:$C$1004,MATCH(17,Programação!$AR$5:$AR$1004,0))="","",INDEX(Programação!$C$5:$C$1004,MATCH(17,Programação!$AR$5:$AR$1004,0))))</f>
        <v/>
      </c>
      <c r="C24" s="24" t="str">
        <f aca="false">IF(COUNTIF(Programação!$AQ$5:$AQ$1004,1)&lt;17,"",IF(INDEX(Programação!$E$5:$E$1004,MATCH(17,Programação!$AR$5:$AR$1004,0))="","",INDEX(Programação!$E$5:$E$1004,MATCH(17,Programação!$AR$5:$AR$1004,0))))</f>
        <v/>
      </c>
      <c r="D24" s="24" t="str">
        <f aca="false">IF(COUNTIF(Programação!$AQ$5:$AQ$1004,1)&lt;17,"",IF(INDEX(Programação!$F$5:$F$1004,MATCH(17,Programação!$AR$5:$AR$1004,0))="","",INDEX(Programação!$F$5:$F$1004,MATCH(17,Programação!$AR$5:$AR$1004,0))))</f>
        <v/>
      </c>
      <c r="E24" s="24" t="str">
        <f aca="false">IF(COUNTIF(Programação!$AQ$5:$AQ$1004,1)&lt;17,"",IF(INDEX(Programação!$AG$5:$AG$1004,MATCH(17,Programação!$AR$5:$AR$1004,0))="","",INDEX(Programação!$AG$5:$AG$1004,MATCH(17,Programação!$AR$5:$AR$1004,0))))</f>
        <v/>
      </c>
      <c r="F24" s="22" t="str">
        <f aca="false">IF(COUNTIF(Programação!$AQ$5:$AQ$1004,1)&lt;17,"",IF(INDEX(Programação!$L$5:$L$1004,MATCH(17,Programação!$AR$5:$AR$1004,0))="","",INDEX(Programação!$L$5:$L$1004,MATCH(17,Programação!$AR$5:$AR$1004,0))))</f>
        <v/>
      </c>
      <c r="G24" s="25" t="str">
        <f aca="false">IF(COUNTIF(Programação!$AQ$5:$AQ$1004,1)&lt;17,"",IF(INDEX(Programação!$P$5:$P$1004,MATCH(17,Programação!$AR$5:$AR$1004,0))="","",INDEX(Programação!$P$5:$P$1004,MATCH(17,Programação!$AR$5:$AR$1004,0))))</f>
        <v/>
      </c>
      <c r="H24" s="22" t="str">
        <f aca="false">IF(COUNTIF(Programação!$AQ$5:$AQ$1004,1)&lt;17,"",IF(INDEX(Programação!$B$5:$B$1004,MATCH(17,Programação!$AR$5:$AR$1004,0))="","",INDEX(Programação!$B$5:$B$1004,MATCH(17,Programação!$AR$5:$AR$1004,0))))</f>
        <v/>
      </c>
      <c r="I24" s="22" t="str">
        <f aca="false">IF(COUNTIF(Programação!$AQ$5:$AQ$1004,1)&lt;17,"",MATCH(17,Programação!$AR$5:$AR$1004,0)+4)</f>
        <v/>
      </c>
    </row>
    <row r="25" customFormat="false" ht="15.75" hidden="false" customHeight="true" outlineLevel="0" collapsed="false">
      <c r="A25" s="22" t="str">
        <f aca="false">IF(COUNTIF(Programação!$AQ$5:$AQ$1004,1)&lt;18,"",IF(INDEX(Programação!$AM$5:$AM$1004,MATCH(18,Programação!$AR$5:$AR$1004,0))="","",INDEX(Programação!$AM$5:$AM$1004,MATCH(18,Programação!$AR$5:$AR$1004,0))))</f>
        <v/>
      </c>
      <c r="B25" s="22" t="str">
        <f aca="false">IF(COUNTIF(Programação!$AQ$5:$AQ$1004,1)&lt;18,"",IF(INDEX(Programação!$C$5:$C$1004,MATCH(18,Programação!$AR$5:$AR$1004,0))="","",INDEX(Programação!$C$5:$C$1004,MATCH(18,Programação!$AR$5:$AR$1004,0))))</f>
        <v/>
      </c>
      <c r="C25" s="24" t="str">
        <f aca="false">IF(COUNTIF(Programação!$AQ$5:$AQ$1004,1)&lt;18,"",IF(INDEX(Programação!$E$5:$E$1004,MATCH(18,Programação!$AR$5:$AR$1004,0))="","",INDEX(Programação!$E$5:$E$1004,MATCH(18,Programação!$AR$5:$AR$1004,0))))</f>
        <v/>
      </c>
      <c r="D25" s="24" t="str">
        <f aca="false">IF(COUNTIF(Programação!$AQ$5:$AQ$1004,1)&lt;18,"",IF(INDEX(Programação!$F$5:$F$1004,MATCH(18,Programação!$AR$5:$AR$1004,0))="","",INDEX(Programação!$F$5:$F$1004,MATCH(18,Programação!$AR$5:$AR$1004,0))))</f>
        <v/>
      </c>
      <c r="E25" s="24" t="str">
        <f aca="false">IF(COUNTIF(Programação!$AQ$5:$AQ$1004,1)&lt;18,"",IF(INDEX(Programação!$AG$5:$AG$1004,MATCH(18,Programação!$AR$5:$AR$1004,0))="","",INDEX(Programação!$AG$5:$AG$1004,MATCH(18,Programação!$AR$5:$AR$1004,0))))</f>
        <v/>
      </c>
      <c r="F25" s="22" t="str">
        <f aca="false">IF(COUNTIF(Programação!$AQ$5:$AQ$1004,1)&lt;18,"",IF(INDEX(Programação!$L$5:$L$1004,MATCH(18,Programação!$AR$5:$AR$1004,0))="","",INDEX(Programação!$L$5:$L$1004,MATCH(18,Programação!$AR$5:$AR$1004,0))))</f>
        <v/>
      </c>
      <c r="G25" s="25" t="str">
        <f aca="false">IF(COUNTIF(Programação!$AQ$5:$AQ$1004,1)&lt;18,"",IF(INDEX(Programação!$P$5:$P$1004,MATCH(18,Programação!$AR$5:$AR$1004,0))="","",INDEX(Programação!$P$5:$P$1004,MATCH(18,Programação!$AR$5:$AR$1004,0))))</f>
        <v/>
      </c>
      <c r="H25" s="22" t="str">
        <f aca="false">IF(COUNTIF(Programação!$AQ$5:$AQ$1004,1)&lt;18,"",IF(INDEX(Programação!$B$5:$B$1004,MATCH(18,Programação!$AR$5:$AR$1004,0))="","",INDEX(Programação!$B$5:$B$1004,MATCH(18,Programação!$AR$5:$AR$1004,0))))</f>
        <v/>
      </c>
      <c r="I25" s="22" t="str">
        <f aca="false">IF(COUNTIF(Programação!$AQ$5:$AQ$1004,1)&lt;18,"",MATCH(18,Programação!$AR$5:$AR$1004,0)+4)</f>
        <v/>
      </c>
    </row>
    <row r="26" customFormat="false" ht="15.75" hidden="false" customHeight="true" outlineLevel="0" collapsed="false">
      <c r="A26" s="22" t="str">
        <f aca="false">IF(COUNTIF(Programação!$AQ$5:$AQ$1004,1)&lt;19,"",IF(INDEX(Programação!$AM$5:$AM$1004,MATCH(19,Programação!$AR$5:$AR$1004,0))="","",INDEX(Programação!$AM$5:$AM$1004,MATCH(19,Programação!$AR$5:$AR$1004,0))))</f>
        <v/>
      </c>
      <c r="B26" s="22" t="str">
        <f aca="false">IF(COUNTIF(Programação!$AQ$5:$AQ$1004,1)&lt;19,"",IF(INDEX(Programação!$C$5:$C$1004,MATCH(19,Programação!$AR$5:$AR$1004,0))="","",INDEX(Programação!$C$5:$C$1004,MATCH(19,Programação!$AR$5:$AR$1004,0))))</f>
        <v/>
      </c>
      <c r="C26" s="24" t="str">
        <f aca="false">IF(COUNTIF(Programação!$AQ$5:$AQ$1004,1)&lt;19,"",IF(INDEX(Programação!$E$5:$E$1004,MATCH(19,Programação!$AR$5:$AR$1004,0))="","",INDEX(Programação!$E$5:$E$1004,MATCH(19,Programação!$AR$5:$AR$1004,0))))</f>
        <v/>
      </c>
      <c r="D26" s="24" t="str">
        <f aca="false">IF(COUNTIF(Programação!$AQ$5:$AQ$1004,1)&lt;19,"",IF(INDEX(Programação!$F$5:$F$1004,MATCH(19,Programação!$AR$5:$AR$1004,0))="","",INDEX(Programação!$F$5:$F$1004,MATCH(19,Programação!$AR$5:$AR$1004,0))))</f>
        <v/>
      </c>
      <c r="E26" s="24" t="str">
        <f aca="false">IF(COUNTIF(Programação!$AQ$5:$AQ$1004,1)&lt;19,"",IF(INDEX(Programação!$AG$5:$AG$1004,MATCH(19,Programação!$AR$5:$AR$1004,0))="","",INDEX(Programação!$AG$5:$AG$1004,MATCH(19,Programação!$AR$5:$AR$1004,0))))</f>
        <v/>
      </c>
      <c r="F26" s="22" t="str">
        <f aca="false">IF(COUNTIF(Programação!$AQ$5:$AQ$1004,1)&lt;19,"",IF(INDEX(Programação!$L$5:$L$1004,MATCH(19,Programação!$AR$5:$AR$1004,0))="","",INDEX(Programação!$L$5:$L$1004,MATCH(19,Programação!$AR$5:$AR$1004,0))))</f>
        <v/>
      </c>
      <c r="G26" s="25" t="str">
        <f aca="false">IF(COUNTIF(Programação!$AQ$5:$AQ$1004,1)&lt;19,"",IF(INDEX(Programação!$P$5:$P$1004,MATCH(19,Programação!$AR$5:$AR$1004,0))="","",INDEX(Programação!$P$5:$P$1004,MATCH(19,Programação!$AR$5:$AR$1004,0))))</f>
        <v/>
      </c>
      <c r="H26" s="22" t="str">
        <f aca="false">IF(COUNTIF(Programação!$AQ$5:$AQ$1004,1)&lt;19,"",IF(INDEX(Programação!$B$5:$B$1004,MATCH(19,Programação!$AR$5:$AR$1004,0))="","",INDEX(Programação!$B$5:$B$1004,MATCH(19,Programação!$AR$5:$AR$1004,0))))</f>
        <v/>
      </c>
      <c r="I26" s="22" t="str">
        <f aca="false">IF(COUNTIF(Programação!$AQ$5:$AQ$1004,1)&lt;19,"",MATCH(19,Programação!$AR$5:$AR$1004,0)+4)</f>
        <v/>
      </c>
    </row>
    <row r="27" customFormat="false" ht="15.75" hidden="false" customHeight="true" outlineLevel="0" collapsed="false">
      <c r="A27" s="22" t="str">
        <f aca="false">IF(COUNTIF(Programação!$AQ$5:$AQ$1004,1)&lt;20,"",IF(INDEX(Programação!$AM$5:$AM$1004,MATCH(20,Programação!$AR$5:$AR$1004,0))="","",INDEX(Programação!$AM$5:$AM$1004,MATCH(20,Programação!$AR$5:$AR$1004,0))))</f>
        <v/>
      </c>
      <c r="B27" s="22" t="str">
        <f aca="false">IF(COUNTIF(Programação!$AQ$5:$AQ$1004,1)&lt;20,"",IF(INDEX(Programação!$C$5:$C$1004,MATCH(20,Programação!$AR$5:$AR$1004,0))="","",INDEX(Programação!$C$5:$C$1004,MATCH(20,Programação!$AR$5:$AR$1004,0))))</f>
        <v/>
      </c>
      <c r="C27" s="24" t="str">
        <f aca="false">IF(COUNTIF(Programação!$AQ$5:$AQ$1004,1)&lt;20,"",IF(INDEX(Programação!$E$5:$E$1004,MATCH(20,Programação!$AR$5:$AR$1004,0))="","",INDEX(Programação!$E$5:$E$1004,MATCH(20,Programação!$AR$5:$AR$1004,0))))</f>
        <v/>
      </c>
      <c r="D27" s="24" t="str">
        <f aca="false">IF(COUNTIF(Programação!$AQ$5:$AQ$1004,1)&lt;20,"",IF(INDEX(Programação!$F$5:$F$1004,MATCH(20,Programação!$AR$5:$AR$1004,0))="","",INDEX(Programação!$F$5:$F$1004,MATCH(20,Programação!$AR$5:$AR$1004,0))))</f>
        <v/>
      </c>
      <c r="E27" s="24" t="str">
        <f aca="false">IF(COUNTIF(Programação!$AQ$5:$AQ$1004,1)&lt;20,"",IF(INDEX(Programação!$AG$5:$AG$1004,MATCH(20,Programação!$AR$5:$AR$1004,0))="","",INDEX(Programação!$AG$5:$AG$1004,MATCH(20,Programação!$AR$5:$AR$1004,0))))</f>
        <v/>
      </c>
      <c r="F27" s="22" t="str">
        <f aca="false">IF(COUNTIF(Programação!$AQ$5:$AQ$1004,1)&lt;20,"",IF(INDEX(Programação!$L$5:$L$1004,MATCH(20,Programação!$AR$5:$AR$1004,0))="","",INDEX(Programação!$L$5:$L$1004,MATCH(20,Programação!$AR$5:$AR$1004,0))))</f>
        <v/>
      </c>
      <c r="G27" s="25" t="str">
        <f aca="false">IF(COUNTIF(Programação!$AQ$5:$AQ$1004,1)&lt;20,"",IF(INDEX(Programação!$P$5:$P$1004,MATCH(20,Programação!$AR$5:$AR$1004,0))="","",INDEX(Programação!$P$5:$P$1004,MATCH(20,Programação!$AR$5:$AR$1004,0))))</f>
        <v/>
      </c>
      <c r="H27" s="22" t="str">
        <f aca="false">IF(COUNTIF(Programação!$AQ$5:$AQ$1004,1)&lt;20,"",IF(INDEX(Programação!$B$5:$B$1004,MATCH(20,Programação!$AR$5:$AR$1004,0))="","",INDEX(Programação!$B$5:$B$1004,MATCH(20,Programação!$AR$5:$AR$1004,0))))</f>
        <v/>
      </c>
      <c r="I27" s="22" t="str">
        <f aca="false">IF(COUNTIF(Programação!$AQ$5:$AQ$1004,1)&lt;20,"",MATCH(20,Programação!$AR$5:$AR$1004,0)+4)</f>
        <v/>
      </c>
    </row>
    <row r="28" customFormat="false" ht="15.75" hidden="false" customHeight="true" outlineLevel="0" collapsed="false">
      <c r="A28" s="22" t="str">
        <f aca="false">IF(COUNTIF(Programação!$AQ$5:$AQ$1004,1)&lt;21,"",IF(INDEX(Programação!$AM$5:$AM$1004,MATCH(21,Programação!$AR$5:$AR$1004,0))="","",INDEX(Programação!$AM$5:$AM$1004,MATCH(21,Programação!$AR$5:$AR$1004,0))))</f>
        <v/>
      </c>
      <c r="B28" s="22" t="str">
        <f aca="false">IF(COUNTIF(Programação!$AQ$5:$AQ$1004,1)&lt;21,"",IF(INDEX(Programação!$C$5:$C$1004,MATCH(21,Programação!$AR$5:$AR$1004,0))="","",INDEX(Programação!$C$5:$C$1004,MATCH(21,Programação!$AR$5:$AR$1004,0))))</f>
        <v/>
      </c>
      <c r="C28" s="24" t="str">
        <f aca="false">IF(COUNTIF(Programação!$AQ$5:$AQ$1004,1)&lt;21,"",IF(INDEX(Programação!$E$5:$E$1004,MATCH(21,Programação!$AR$5:$AR$1004,0))="","",INDEX(Programação!$E$5:$E$1004,MATCH(21,Programação!$AR$5:$AR$1004,0))))</f>
        <v/>
      </c>
      <c r="D28" s="24" t="str">
        <f aca="false">IF(COUNTIF(Programação!$AQ$5:$AQ$1004,1)&lt;21,"",IF(INDEX(Programação!$F$5:$F$1004,MATCH(21,Programação!$AR$5:$AR$1004,0))="","",INDEX(Programação!$F$5:$F$1004,MATCH(21,Programação!$AR$5:$AR$1004,0))))</f>
        <v/>
      </c>
      <c r="E28" s="24" t="str">
        <f aca="false">IF(COUNTIF(Programação!$AQ$5:$AQ$1004,1)&lt;21,"",IF(INDEX(Programação!$AG$5:$AG$1004,MATCH(21,Programação!$AR$5:$AR$1004,0))="","",INDEX(Programação!$AG$5:$AG$1004,MATCH(21,Programação!$AR$5:$AR$1004,0))))</f>
        <v/>
      </c>
      <c r="F28" s="22" t="str">
        <f aca="false">IF(COUNTIF(Programação!$AQ$5:$AQ$1004,1)&lt;21,"",IF(INDEX(Programação!$L$5:$L$1004,MATCH(21,Programação!$AR$5:$AR$1004,0))="","",INDEX(Programação!$L$5:$L$1004,MATCH(21,Programação!$AR$5:$AR$1004,0))))</f>
        <v/>
      </c>
      <c r="G28" s="25" t="str">
        <f aca="false">IF(COUNTIF(Programação!$AQ$5:$AQ$1004,1)&lt;21,"",IF(INDEX(Programação!$P$5:$P$1004,MATCH(21,Programação!$AR$5:$AR$1004,0))="","",INDEX(Programação!$P$5:$P$1004,MATCH(21,Programação!$AR$5:$AR$1004,0))))</f>
        <v/>
      </c>
      <c r="H28" s="22" t="str">
        <f aca="false">IF(COUNTIF(Programação!$AQ$5:$AQ$1004,1)&lt;21,"",IF(INDEX(Programação!$B$5:$B$1004,MATCH(21,Programação!$AR$5:$AR$1004,0))="","",INDEX(Programação!$B$5:$B$1004,MATCH(21,Programação!$AR$5:$AR$1004,0))))</f>
        <v/>
      </c>
      <c r="I28" s="22" t="str">
        <f aca="false">IF(COUNTIF(Programação!$AQ$5:$AQ$1004,1)&lt;21,"",MATCH(21,Programação!$AR$5:$AR$1004,0)+4)</f>
        <v/>
      </c>
    </row>
    <row r="29" customFormat="false" ht="15.75" hidden="false" customHeight="true" outlineLevel="0" collapsed="false">
      <c r="A29" s="22" t="str">
        <f aca="false">IF(COUNTIF(Programação!$AQ$5:$AQ$1004,1)&lt;22,"",IF(INDEX(Programação!$AM$5:$AM$1004,MATCH(22,Programação!$AR$5:$AR$1004,0))="","",INDEX(Programação!$AM$5:$AM$1004,MATCH(22,Programação!$AR$5:$AR$1004,0))))</f>
        <v/>
      </c>
      <c r="B29" s="22" t="str">
        <f aca="false">IF(COUNTIF(Programação!$AQ$5:$AQ$1004,1)&lt;22,"",IF(INDEX(Programação!$C$5:$C$1004,MATCH(22,Programação!$AR$5:$AR$1004,0))="","",INDEX(Programação!$C$5:$C$1004,MATCH(22,Programação!$AR$5:$AR$1004,0))))</f>
        <v/>
      </c>
      <c r="C29" s="24" t="str">
        <f aca="false">IF(COUNTIF(Programação!$AQ$5:$AQ$1004,1)&lt;22,"",IF(INDEX(Programação!$E$5:$E$1004,MATCH(22,Programação!$AR$5:$AR$1004,0))="","",INDEX(Programação!$E$5:$E$1004,MATCH(22,Programação!$AR$5:$AR$1004,0))))</f>
        <v/>
      </c>
      <c r="D29" s="24" t="str">
        <f aca="false">IF(COUNTIF(Programação!$AQ$5:$AQ$1004,1)&lt;22,"",IF(INDEX(Programação!$F$5:$F$1004,MATCH(22,Programação!$AR$5:$AR$1004,0))="","",INDEX(Programação!$F$5:$F$1004,MATCH(22,Programação!$AR$5:$AR$1004,0))))</f>
        <v/>
      </c>
      <c r="E29" s="24" t="str">
        <f aca="false">IF(COUNTIF(Programação!$AQ$5:$AQ$1004,1)&lt;22,"",IF(INDEX(Programação!$AG$5:$AG$1004,MATCH(22,Programação!$AR$5:$AR$1004,0))="","",INDEX(Programação!$AG$5:$AG$1004,MATCH(22,Programação!$AR$5:$AR$1004,0))))</f>
        <v/>
      </c>
      <c r="F29" s="22" t="str">
        <f aca="false">IF(COUNTIF(Programação!$AQ$5:$AQ$1004,1)&lt;22,"",IF(INDEX(Programação!$L$5:$L$1004,MATCH(22,Programação!$AR$5:$AR$1004,0))="","",INDEX(Programação!$L$5:$L$1004,MATCH(22,Programação!$AR$5:$AR$1004,0))))</f>
        <v/>
      </c>
      <c r="G29" s="25" t="str">
        <f aca="false">IF(COUNTIF(Programação!$AQ$5:$AQ$1004,1)&lt;22,"",IF(INDEX(Programação!$P$5:$P$1004,MATCH(22,Programação!$AR$5:$AR$1004,0))="","",INDEX(Programação!$P$5:$P$1004,MATCH(22,Programação!$AR$5:$AR$1004,0))))</f>
        <v/>
      </c>
      <c r="H29" s="22" t="str">
        <f aca="false">IF(COUNTIF(Programação!$AQ$5:$AQ$1004,1)&lt;22,"",IF(INDEX(Programação!$B$5:$B$1004,MATCH(22,Programação!$AR$5:$AR$1004,0))="","",INDEX(Programação!$B$5:$B$1004,MATCH(22,Programação!$AR$5:$AR$1004,0))))</f>
        <v/>
      </c>
      <c r="I29" s="22" t="str">
        <f aca="false">IF(COUNTIF(Programação!$AQ$5:$AQ$1004,1)&lt;22,"",MATCH(22,Programação!$AR$5:$AR$1004,0)+4)</f>
        <v/>
      </c>
    </row>
    <row r="30" customFormat="false" ht="15.75" hidden="false" customHeight="true" outlineLevel="0" collapsed="false">
      <c r="A30" s="22" t="str">
        <f aca="false">IF(COUNTIF(Programação!$AQ$5:$AQ$1004,1)&lt;23,"",IF(INDEX(Programação!$AM$5:$AM$1004,MATCH(23,Programação!$AR$5:$AR$1004,0))="","",INDEX(Programação!$AM$5:$AM$1004,MATCH(23,Programação!$AR$5:$AR$1004,0))))</f>
        <v/>
      </c>
      <c r="B30" s="22" t="str">
        <f aca="false">IF(COUNTIF(Programação!$AQ$5:$AQ$1004,1)&lt;23,"",IF(INDEX(Programação!$C$5:$C$1004,MATCH(23,Programação!$AR$5:$AR$1004,0))="","",INDEX(Programação!$C$5:$C$1004,MATCH(23,Programação!$AR$5:$AR$1004,0))))</f>
        <v/>
      </c>
      <c r="C30" s="24" t="str">
        <f aca="false">IF(COUNTIF(Programação!$AQ$5:$AQ$1004,1)&lt;23,"",IF(INDEX(Programação!$E$5:$E$1004,MATCH(23,Programação!$AR$5:$AR$1004,0))="","",INDEX(Programação!$E$5:$E$1004,MATCH(23,Programação!$AR$5:$AR$1004,0))))</f>
        <v/>
      </c>
      <c r="D30" s="24" t="str">
        <f aca="false">IF(COUNTIF(Programação!$AQ$5:$AQ$1004,1)&lt;23,"",IF(INDEX(Programação!$F$5:$F$1004,MATCH(23,Programação!$AR$5:$AR$1004,0))="","",INDEX(Programação!$F$5:$F$1004,MATCH(23,Programação!$AR$5:$AR$1004,0))))</f>
        <v/>
      </c>
      <c r="E30" s="24" t="str">
        <f aca="false">IF(COUNTIF(Programação!$AQ$5:$AQ$1004,1)&lt;23,"",IF(INDEX(Programação!$AG$5:$AG$1004,MATCH(23,Programação!$AR$5:$AR$1004,0))="","",INDEX(Programação!$AG$5:$AG$1004,MATCH(23,Programação!$AR$5:$AR$1004,0))))</f>
        <v/>
      </c>
      <c r="F30" s="22" t="str">
        <f aca="false">IF(COUNTIF(Programação!$AQ$5:$AQ$1004,1)&lt;23,"",IF(INDEX(Programação!$L$5:$L$1004,MATCH(23,Programação!$AR$5:$AR$1004,0))="","",INDEX(Programação!$L$5:$L$1004,MATCH(23,Programação!$AR$5:$AR$1004,0))))</f>
        <v/>
      </c>
      <c r="G30" s="25" t="str">
        <f aca="false">IF(COUNTIF(Programação!$AQ$5:$AQ$1004,1)&lt;23,"",IF(INDEX(Programação!$P$5:$P$1004,MATCH(23,Programação!$AR$5:$AR$1004,0))="","",INDEX(Programação!$P$5:$P$1004,MATCH(23,Programação!$AR$5:$AR$1004,0))))</f>
        <v/>
      </c>
      <c r="H30" s="22" t="str">
        <f aca="false">IF(COUNTIF(Programação!$AQ$5:$AQ$1004,1)&lt;23,"",IF(INDEX(Programação!$B$5:$B$1004,MATCH(23,Programação!$AR$5:$AR$1004,0))="","",INDEX(Programação!$B$5:$B$1004,MATCH(23,Programação!$AR$5:$AR$1004,0))))</f>
        <v/>
      </c>
      <c r="I30" s="22" t="str">
        <f aca="false">IF(COUNTIF(Programação!$AQ$5:$AQ$1004,1)&lt;23,"",MATCH(23,Programação!$AR$5:$AR$1004,0)+4)</f>
        <v/>
      </c>
    </row>
    <row r="31" customFormat="false" ht="15.75" hidden="false" customHeight="true" outlineLevel="0" collapsed="false">
      <c r="A31" s="22" t="str">
        <f aca="false">IF(COUNTIF(Programação!$AQ$5:$AQ$1004,1)&lt;24,"",IF(INDEX(Programação!$AM$5:$AM$1004,MATCH(24,Programação!$AR$5:$AR$1004,0))="","",INDEX(Programação!$AM$5:$AM$1004,MATCH(24,Programação!$AR$5:$AR$1004,0))))</f>
        <v/>
      </c>
      <c r="B31" s="22" t="str">
        <f aca="false">IF(COUNTIF(Programação!$AQ$5:$AQ$1004,1)&lt;24,"",IF(INDEX(Programação!$C$5:$C$1004,MATCH(24,Programação!$AR$5:$AR$1004,0))="","",INDEX(Programação!$C$5:$C$1004,MATCH(24,Programação!$AR$5:$AR$1004,0))))</f>
        <v/>
      </c>
      <c r="C31" s="24" t="str">
        <f aca="false">IF(COUNTIF(Programação!$AQ$5:$AQ$1004,1)&lt;24,"",IF(INDEX(Programação!$E$5:$E$1004,MATCH(24,Programação!$AR$5:$AR$1004,0))="","",INDEX(Programação!$E$5:$E$1004,MATCH(24,Programação!$AR$5:$AR$1004,0))))</f>
        <v/>
      </c>
      <c r="D31" s="24" t="str">
        <f aca="false">IF(COUNTIF(Programação!$AQ$5:$AQ$1004,1)&lt;24,"",IF(INDEX(Programação!$F$5:$F$1004,MATCH(24,Programação!$AR$5:$AR$1004,0))="","",INDEX(Programação!$F$5:$F$1004,MATCH(24,Programação!$AR$5:$AR$1004,0))))</f>
        <v/>
      </c>
      <c r="E31" s="24" t="str">
        <f aca="false">IF(COUNTIF(Programação!$AQ$5:$AQ$1004,1)&lt;24,"",IF(INDEX(Programação!$AG$5:$AG$1004,MATCH(24,Programação!$AR$5:$AR$1004,0))="","",INDEX(Programação!$AG$5:$AG$1004,MATCH(24,Programação!$AR$5:$AR$1004,0))))</f>
        <v/>
      </c>
      <c r="F31" s="22" t="str">
        <f aca="false">IF(COUNTIF(Programação!$AQ$5:$AQ$1004,1)&lt;24,"",IF(INDEX(Programação!$L$5:$L$1004,MATCH(24,Programação!$AR$5:$AR$1004,0))="","",INDEX(Programação!$L$5:$L$1004,MATCH(24,Programação!$AR$5:$AR$1004,0))))</f>
        <v/>
      </c>
      <c r="G31" s="25" t="str">
        <f aca="false">IF(COUNTIF(Programação!$AQ$5:$AQ$1004,1)&lt;24,"",IF(INDEX(Programação!$P$5:$P$1004,MATCH(24,Programação!$AR$5:$AR$1004,0))="","",INDEX(Programação!$P$5:$P$1004,MATCH(24,Programação!$AR$5:$AR$1004,0))))</f>
        <v/>
      </c>
      <c r="H31" s="22" t="str">
        <f aca="false">IF(COUNTIF(Programação!$AQ$5:$AQ$1004,1)&lt;24,"",IF(INDEX(Programação!$B$5:$B$1004,MATCH(24,Programação!$AR$5:$AR$1004,0))="","",INDEX(Programação!$B$5:$B$1004,MATCH(24,Programação!$AR$5:$AR$1004,0))))</f>
        <v/>
      </c>
      <c r="I31" s="22" t="str">
        <f aca="false">IF(COUNTIF(Programação!$AQ$5:$AQ$1004,1)&lt;24,"",MATCH(24,Programação!$AR$5:$AR$1004,0)+4)</f>
        <v/>
      </c>
    </row>
    <row r="32" customFormat="false" ht="15.75" hidden="false" customHeight="true" outlineLevel="0" collapsed="false">
      <c r="A32" s="22" t="str">
        <f aca="false">IF(COUNTIF(Programação!$AQ$5:$AQ$1004,1)&lt;25,"",IF(INDEX(Programação!$AM$5:$AM$1004,MATCH(25,Programação!$AR$5:$AR$1004,0))="","",INDEX(Programação!$AM$5:$AM$1004,MATCH(25,Programação!$AR$5:$AR$1004,0))))</f>
        <v/>
      </c>
      <c r="B32" s="22" t="str">
        <f aca="false">IF(COUNTIF(Programação!$AQ$5:$AQ$1004,1)&lt;25,"",IF(INDEX(Programação!$C$5:$C$1004,MATCH(25,Programação!$AR$5:$AR$1004,0))="","",INDEX(Programação!$C$5:$C$1004,MATCH(25,Programação!$AR$5:$AR$1004,0))))</f>
        <v/>
      </c>
      <c r="C32" s="24" t="str">
        <f aca="false">IF(COUNTIF(Programação!$AQ$5:$AQ$1004,1)&lt;25,"",IF(INDEX(Programação!$E$5:$E$1004,MATCH(25,Programação!$AR$5:$AR$1004,0))="","",INDEX(Programação!$E$5:$E$1004,MATCH(25,Programação!$AR$5:$AR$1004,0))))</f>
        <v/>
      </c>
      <c r="D32" s="24" t="str">
        <f aca="false">IF(COUNTIF(Programação!$AQ$5:$AQ$1004,1)&lt;25,"",IF(INDEX(Programação!$F$5:$F$1004,MATCH(25,Programação!$AR$5:$AR$1004,0))="","",INDEX(Programação!$F$5:$F$1004,MATCH(25,Programação!$AR$5:$AR$1004,0))))</f>
        <v/>
      </c>
      <c r="E32" s="24" t="str">
        <f aca="false">IF(COUNTIF(Programação!$AQ$5:$AQ$1004,1)&lt;25,"",IF(INDEX(Programação!$AG$5:$AG$1004,MATCH(25,Programação!$AR$5:$AR$1004,0))="","",INDEX(Programação!$AG$5:$AG$1004,MATCH(25,Programação!$AR$5:$AR$1004,0))))</f>
        <v/>
      </c>
      <c r="F32" s="22" t="str">
        <f aca="false">IF(COUNTIF(Programação!$AQ$5:$AQ$1004,1)&lt;25,"",IF(INDEX(Programação!$L$5:$L$1004,MATCH(25,Programação!$AR$5:$AR$1004,0))="","",INDEX(Programação!$L$5:$L$1004,MATCH(25,Programação!$AR$5:$AR$1004,0))))</f>
        <v/>
      </c>
      <c r="G32" s="25" t="str">
        <f aca="false">IF(COUNTIF(Programação!$AQ$5:$AQ$1004,1)&lt;25,"",IF(INDEX(Programação!$P$5:$P$1004,MATCH(25,Programação!$AR$5:$AR$1004,0))="","",INDEX(Programação!$P$5:$P$1004,MATCH(25,Programação!$AR$5:$AR$1004,0))))</f>
        <v/>
      </c>
      <c r="H32" s="22" t="str">
        <f aca="false">IF(COUNTIF(Programação!$AQ$5:$AQ$1004,1)&lt;25,"",IF(INDEX(Programação!$B$5:$B$1004,MATCH(25,Programação!$AR$5:$AR$1004,0))="","",INDEX(Programação!$B$5:$B$1004,MATCH(25,Programação!$AR$5:$AR$1004,0))))</f>
        <v/>
      </c>
      <c r="I32" s="22" t="str">
        <f aca="false">IF(COUNTIF(Programação!$AQ$5:$AQ$1004,1)&lt;25,"",MATCH(25,Programação!$AR$5:$AR$1004,0)+4)</f>
        <v/>
      </c>
    </row>
    <row r="33" customFormat="false" ht="15.75" hidden="false" customHeight="true" outlineLevel="0" collapsed="false">
      <c r="A33" s="22" t="str">
        <f aca="false">IF(COUNTIF(Programação!$AQ$5:$AQ$1004,1)&lt;26,"",IF(INDEX(Programação!$AM$5:$AM$1004,MATCH(26,Programação!$AR$5:$AR$1004,0))="","",INDEX(Programação!$AM$5:$AM$1004,MATCH(26,Programação!$AR$5:$AR$1004,0))))</f>
        <v/>
      </c>
      <c r="B33" s="22" t="str">
        <f aca="false">IF(COUNTIF(Programação!$AQ$5:$AQ$1004,1)&lt;26,"",IF(INDEX(Programação!$C$5:$C$1004,MATCH(26,Programação!$AR$5:$AR$1004,0))="","",INDEX(Programação!$C$5:$C$1004,MATCH(26,Programação!$AR$5:$AR$1004,0))))</f>
        <v/>
      </c>
      <c r="C33" s="24" t="str">
        <f aca="false">IF(COUNTIF(Programação!$AQ$5:$AQ$1004,1)&lt;26,"",IF(INDEX(Programação!$E$5:$E$1004,MATCH(26,Programação!$AR$5:$AR$1004,0))="","",INDEX(Programação!$E$5:$E$1004,MATCH(26,Programação!$AR$5:$AR$1004,0))))</f>
        <v/>
      </c>
      <c r="D33" s="24" t="str">
        <f aca="false">IF(COUNTIF(Programação!$AQ$5:$AQ$1004,1)&lt;26,"",IF(INDEX(Programação!$F$5:$F$1004,MATCH(26,Programação!$AR$5:$AR$1004,0))="","",INDEX(Programação!$F$5:$F$1004,MATCH(26,Programação!$AR$5:$AR$1004,0))))</f>
        <v/>
      </c>
      <c r="E33" s="24" t="str">
        <f aca="false">IF(COUNTIF(Programação!$AQ$5:$AQ$1004,1)&lt;26,"",IF(INDEX(Programação!$AG$5:$AG$1004,MATCH(26,Programação!$AR$5:$AR$1004,0))="","",INDEX(Programação!$AG$5:$AG$1004,MATCH(26,Programação!$AR$5:$AR$1004,0))))</f>
        <v/>
      </c>
      <c r="F33" s="22" t="str">
        <f aca="false">IF(COUNTIF(Programação!$AQ$5:$AQ$1004,1)&lt;26,"",IF(INDEX(Programação!$L$5:$L$1004,MATCH(26,Programação!$AR$5:$AR$1004,0))="","",INDEX(Programação!$L$5:$L$1004,MATCH(26,Programação!$AR$5:$AR$1004,0))))</f>
        <v/>
      </c>
      <c r="G33" s="25" t="str">
        <f aca="false">IF(COUNTIF(Programação!$AQ$5:$AQ$1004,1)&lt;26,"",IF(INDEX(Programação!$P$5:$P$1004,MATCH(26,Programação!$AR$5:$AR$1004,0))="","",INDEX(Programação!$P$5:$P$1004,MATCH(26,Programação!$AR$5:$AR$1004,0))))</f>
        <v/>
      </c>
      <c r="H33" s="22" t="str">
        <f aca="false">IF(COUNTIF(Programação!$AQ$5:$AQ$1004,1)&lt;26,"",IF(INDEX(Programação!$B$5:$B$1004,MATCH(26,Programação!$AR$5:$AR$1004,0))="","",INDEX(Programação!$B$5:$B$1004,MATCH(26,Programação!$AR$5:$AR$1004,0))))</f>
        <v/>
      </c>
      <c r="I33" s="22" t="str">
        <f aca="false">IF(COUNTIF(Programação!$AQ$5:$AQ$1004,1)&lt;26,"",MATCH(26,Programação!$AR$5:$AR$1004,0)+4)</f>
        <v/>
      </c>
    </row>
    <row r="34" customFormat="false" ht="15.75" hidden="false" customHeight="true" outlineLevel="0" collapsed="false">
      <c r="A34" s="22" t="str">
        <f aca="false">IF(COUNTIF(Programação!$AQ$5:$AQ$1004,1)&lt;27,"",IF(INDEX(Programação!$AM$5:$AM$1004,MATCH(27,Programação!$AR$5:$AR$1004,0))="","",INDEX(Programação!$AM$5:$AM$1004,MATCH(27,Programação!$AR$5:$AR$1004,0))))</f>
        <v/>
      </c>
      <c r="B34" s="22" t="str">
        <f aca="false">IF(COUNTIF(Programação!$AQ$5:$AQ$1004,1)&lt;27,"",IF(INDEX(Programação!$C$5:$C$1004,MATCH(27,Programação!$AR$5:$AR$1004,0))="","",INDEX(Programação!$C$5:$C$1004,MATCH(27,Programação!$AR$5:$AR$1004,0))))</f>
        <v/>
      </c>
      <c r="C34" s="24" t="str">
        <f aca="false">IF(COUNTIF(Programação!$AQ$5:$AQ$1004,1)&lt;27,"",IF(INDEX(Programação!$E$5:$E$1004,MATCH(27,Programação!$AR$5:$AR$1004,0))="","",INDEX(Programação!$E$5:$E$1004,MATCH(27,Programação!$AR$5:$AR$1004,0))))</f>
        <v/>
      </c>
      <c r="D34" s="24" t="str">
        <f aca="false">IF(COUNTIF(Programação!$AQ$5:$AQ$1004,1)&lt;27,"",IF(INDEX(Programação!$F$5:$F$1004,MATCH(27,Programação!$AR$5:$AR$1004,0))="","",INDEX(Programação!$F$5:$F$1004,MATCH(27,Programação!$AR$5:$AR$1004,0))))</f>
        <v/>
      </c>
      <c r="E34" s="24" t="str">
        <f aca="false">IF(COUNTIF(Programação!$AQ$5:$AQ$1004,1)&lt;27,"",IF(INDEX(Programação!$AG$5:$AG$1004,MATCH(27,Programação!$AR$5:$AR$1004,0))="","",INDEX(Programação!$AG$5:$AG$1004,MATCH(27,Programação!$AR$5:$AR$1004,0))))</f>
        <v/>
      </c>
      <c r="F34" s="22" t="str">
        <f aca="false">IF(COUNTIF(Programação!$AQ$5:$AQ$1004,1)&lt;27,"",IF(INDEX(Programação!$L$5:$L$1004,MATCH(27,Programação!$AR$5:$AR$1004,0))="","",INDEX(Programação!$L$5:$L$1004,MATCH(27,Programação!$AR$5:$AR$1004,0))))</f>
        <v/>
      </c>
      <c r="G34" s="25" t="str">
        <f aca="false">IF(COUNTIF(Programação!$AQ$5:$AQ$1004,1)&lt;27,"",IF(INDEX(Programação!$P$5:$P$1004,MATCH(27,Programação!$AR$5:$AR$1004,0))="","",INDEX(Programação!$P$5:$P$1004,MATCH(27,Programação!$AR$5:$AR$1004,0))))</f>
        <v/>
      </c>
      <c r="H34" s="22" t="str">
        <f aca="false">IF(COUNTIF(Programação!$AQ$5:$AQ$1004,1)&lt;27,"",IF(INDEX(Programação!$B$5:$B$1004,MATCH(27,Programação!$AR$5:$AR$1004,0))="","",INDEX(Programação!$B$5:$B$1004,MATCH(27,Programação!$AR$5:$AR$1004,0))))</f>
        <v/>
      </c>
      <c r="I34" s="22" t="str">
        <f aca="false">IF(COUNTIF(Programação!$AQ$5:$AQ$1004,1)&lt;27,"",MATCH(27,Programação!$AR$5:$AR$1004,0)+4)</f>
        <v/>
      </c>
    </row>
    <row r="35" customFormat="false" ht="15.75" hidden="false" customHeight="true" outlineLevel="0" collapsed="false">
      <c r="A35" s="22" t="str">
        <f aca="false">IF(COUNTIF(Programação!$AQ$5:$AQ$1004,1)&lt;28,"",IF(INDEX(Programação!$AM$5:$AM$1004,MATCH(28,Programação!$AR$5:$AR$1004,0))="","",INDEX(Programação!$AM$5:$AM$1004,MATCH(28,Programação!$AR$5:$AR$1004,0))))</f>
        <v/>
      </c>
      <c r="B35" s="22" t="str">
        <f aca="false">IF(COUNTIF(Programação!$AQ$5:$AQ$1004,1)&lt;28,"",IF(INDEX(Programação!$C$5:$C$1004,MATCH(28,Programação!$AR$5:$AR$1004,0))="","",INDEX(Programação!$C$5:$C$1004,MATCH(28,Programação!$AR$5:$AR$1004,0))))</f>
        <v/>
      </c>
      <c r="C35" s="24" t="str">
        <f aca="false">IF(COUNTIF(Programação!$AQ$5:$AQ$1004,1)&lt;28,"",IF(INDEX(Programação!$E$5:$E$1004,MATCH(28,Programação!$AR$5:$AR$1004,0))="","",INDEX(Programação!$E$5:$E$1004,MATCH(28,Programação!$AR$5:$AR$1004,0))))</f>
        <v/>
      </c>
      <c r="D35" s="24" t="str">
        <f aca="false">IF(COUNTIF(Programação!$AQ$5:$AQ$1004,1)&lt;28,"",IF(INDEX(Programação!$F$5:$F$1004,MATCH(28,Programação!$AR$5:$AR$1004,0))="","",INDEX(Programação!$F$5:$F$1004,MATCH(28,Programação!$AR$5:$AR$1004,0))))</f>
        <v/>
      </c>
      <c r="E35" s="24" t="str">
        <f aca="false">IF(COUNTIF(Programação!$AQ$5:$AQ$1004,1)&lt;28,"",IF(INDEX(Programação!$AG$5:$AG$1004,MATCH(28,Programação!$AR$5:$AR$1004,0))="","",INDEX(Programação!$AG$5:$AG$1004,MATCH(28,Programação!$AR$5:$AR$1004,0))))</f>
        <v/>
      </c>
      <c r="F35" s="22" t="str">
        <f aca="false">IF(COUNTIF(Programação!$AQ$5:$AQ$1004,1)&lt;28,"",IF(INDEX(Programação!$L$5:$L$1004,MATCH(28,Programação!$AR$5:$AR$1004,0))="","",INDEX(Programação!$L$5:$L$1004,MATCH(28,Programação!$AR$5:$AR$1004,0))))</f>
        <v/>
      </c>
      <c r="G35" s="25" t="str">
        <f aca="false">IF(COUNTIF(Programação!$AQ$5:$AQ$1004,1)&lt;28,"",IF(INDEX(Programação!$P$5:$P$1004,MATCH(28,Programação!$AR$5:$AR$1004,0))="","",INDEX(Programação!$P$5:$P$1004,MATCH(28,Programação!$AR$5:$AR$1004,0))))</f>
        <v/>
      </c>
      <c r="H35" s="22" t="str">
        <f aca="false">IF(COUNTIF(Programação!$AQ$5:$AQ$1004,1)&lt;28,"",IF(INDEX(Programação!$B$5:$B$1004,MATCH(28,Programação!$AR$5:$AR$1004,0))="","",INDEX(Programação!$B$5:$B$1004,MATCH(28,Programação!$AR$5:$AR$1004,0))))</f>
        <v/>
      </c>
      <c r="I35" s="22" t="str">
        <f aca="false">IF(COUNTIF(Programação!$AQ$5:$AQ$1004,1)&lt;28,"",MATCH(28,Programação!$AR$5:$AR$1004,0)+4)</f>
        <v/>
      </c>
    </row>
    <row r="36" customFormat="false" ht="15.75" hidden="false" customHeight="true" outlineLevel="0" collapsed="false">
      <c r="A36" s="22" t="str">
        <f aca="false">IF(COUNTIF(Programação!$AQ$5:$AQ$1004,1)&lt;29,"",IF(INDEX(Programação!$AM$5:$AM$1004,MATCH(29,Programação!$AR$5:$AR$1004,0))="","",INDEX(Programação!$AM$5:$AM$1004,MATCH(29,Programação!$AR$5:$AR$1004,0))))</f>
        <v/>
      </c>
      <c r="B36" s="22" t="str">
        <f aca="false">IF(COUNTIF(Programação!$AQ$5:$AQ$1004,1)&lt;29,"",IF(INDEX(Programação!$C$5:$C$1004,MATCH(29,Programação!$AR$5:$AR$1004,0))="","",INDEX(Programação!$C$5:$C$1004,MATCH(29,Programação!$AR$5:$AR$1004,0))))</f>
        <v/>
      </c>
      <c r="C36" s="24" t="str">
        <f aca="false">IF(COUNTIF(Programação!$AQ$5:$AQ$1004,1)&lt;29,"",IF(INDEX(Programação!$E$5:$E$1004,MATCH(29,Programação!$AR$5:$AR$1004,0))="","",INDEX(Programação!$E$5:$E$1004,MATCH(29,Programação!$AR$5:$AR$1004,0))))</f>
        <v/>
      </c>
      <c r="D36" s="24" t="str">
        <f aca="false">IF(COUNTIF(Programação!$AQ$5:$AQ$1004,1)&lt;29,"",IF(INDEX(Programação!$F$5:$F$1004,MATCH(29,Programação!$AR$5:$AR$1004,0))="","",INDEX(Programação!$F$5:$F$1004,MATCH(29,Programação!$AR$5:$AR$1004,0))))</f>
        <v/>
      </c>
      <c r="E36" s="24" t="str">
        <f aca="false">IF(COUNTIF(Programação!$AQ$5:$AQ$1004,1)&lt;29,"",IF(INDEX(Programação!$AG$5:$AG$1004,MATCH(29,Programação!$AR$5:$AR$1004,0))="","",INDEX(Programação!$AG$5:$AG$1004,MATCH(29,Programação!$AR$5:$AR$1004,0))))</f>
        <v/>
      </c>
      <c r="F36" s="22" t="str">
        <f aca="false">IF(COUNTIF(Programação!$AQ$5:$AQ$1004,1)&lt;29,"",IF(INDEX(Programação!$L$5:$L$1004,MATCH(29,Programação!$AR$5:$AR$1004,0))="","",INDEX(Programação!$L$5:$L$1004,MATCH(29,Programação!$AR$5:$AR$1004,0))))</f>
        <v/>
      </c>
      <c r="G36" s="25" t="str">
        <f aca="false">IF(COUNTIF(Programação!$AQ$5:$AQ$1004,1)&lt;29,"",IF(INDEX(Programação!$P$5:$P$1004,MATCH(29,Programação!$AR$5:$AR$1004,0))="","",INDEX(Programação!$P$5:$P$1004,MATCH(29,Programação!$AR$5:$AR$1004,0))))</f>
        <v/>
      </c>
      <c r="H36" s="22" t="str">
        <f aca="false">IF(COUNTIF(Programação!$AQ$5:$AQ$1004,1)&lt;29,"",IF(INDEX(Programação!$B$5:$B$1004,MATCH(29,Programação!$AR$5:$AR$1004,0))="","",INDEX(Programação!$B$5:$B$1004,MATCH(29,Programação!$AR$5:$AR$1004,0))))</f>
        <v/>
      </c>
      <c r="I36" s="22" t="str">
        <f aca="false">IF(COUNTIF(Programação!$AQ$5:$AQ$1004,1)&lt;29,"",MATCH(29,Programação!$AR$5:$AR$1004,0)+4)</f>
        <v/>
      </c>
    </row>
    <row r="37" customFormat="false" ht="15.75" hidden="false" customHeight="true" outlineLevel="0" collapsed="false">
      <c r="A37" s="22" t="str">
        <f aca="false">IF(COUNTIF(Programação!$AQ$5:$AQ$1004,1)&lt;30,"",IF(INDEX(Programação!$AM$5:$AM$1004,MATCH(30,Programação!$AR$5:$AR$1004,0))="","",INDEX(Programação!$AM$5:$AM$1004,MATCH(30,Programação!$AR$5:$AR$1004,0))))</f>
        <v/>
      </c>
      <c r="B37" s="22" t="str">
        <f aca="false">IF(COUNTIF(Programação!$AQ$5:$AQ$1004,1)&lt;30,"",IF(INDEX(Programação!$C$5:$C$1004,MATCH(30,Programação!$AR$5:$AR$1004,0))="","",INDEX(Programação!$C$5:$C$1004,MATCH(30,Programação!$AR$5:$AR$1004,0))))</f>
        <v/>
      </c>
      <c r="C37" s="24" t="str">
        <f aca="false">IF(COUNTIF(Programação!$AQ$5:$AQ$1004,1)&lt;30,"",IF(INDEX(Programação!$E$5:$E$1004,MATCH(30,Programação!$AR$5:$AR$1004,0))="","",INDEX(Programação!$E$5:$E$1004,MATCH(30,Programação!$AR$5:$AR$1004,0))))</f>
        <v/>
      </c>
      <c r="D37" s="24" t="str">
        <f aca="false">IF(COUNTIF(Programação!$AQ$5:$AQ$1004,1)&lt;30,"",IF(INDEX(Programação!$F$5:$F$1004,MATCH(30,Programação!$AR$5:$AR$1004,0))="","",INDEX(Programação!$F$5:$F$1004,MATCH(30,Programação!$AR$5:$AR$1004,0))))</f>
        <v/>
      </c>
      <c r="E37" s="24" t="str">
        <f aca="false">IF(COUNTIF(Programação!$AQ$5:$AQ$1004,1)&lt;30,"",IF(INDEX(Programação!$AG$5:$AG$1004,MATCH(30,Programação!$AR$5:$AR$1004,0))="","",INDEX(Programação!$AG$5:$AG$1004,MATCH(30,Programação!$AR$5:$AR$1004,0))))</f>
        <v/>
      </c>
      <c r="F37" s="22" t="str">
        <f aca="false">IF(COUNTIF(Programação!$AQ$5:$AQ$1004,1)&lt;30,"",IF(INDEX(Programação!$L$5:$L$1004,MATCH(30,Programação!$AR$5:$AR$1004,0))="","",INDEX(Programação!$L$5:$L$1004,MATCH(30,Programação!$AR$5:$AR$1004,0))))</f>
        <v/>
      </c>
      <c r="G37" s="25" t="str">
        <f aca="false">IF(COUNTIF(Programação!$AQ$5:$AQ$1004,1)&lt;30,"",IF(INDEX(Programação!$P$5:$P$1004,MATCH(30,Programação!$AR$5:$AR$1004,0))="","",INDEX(Programação!$P$5:$P$1004,MATCH(30,Programação!$AR$5:$AR$1004,0))))</f>
        <v/>
      </c>
      <c r="H37" s="22" t="str">
        <f aca="false">IF(COUNTIF(Programação!$AQ$5:$AQ$1004,1)&lt;30,"",IF(INDEX(Programação!$B$5:$B$1004,MATCH(30,Programação!$AR$5:$AR$1004,0))="","",INDEX(Programação!$B$5:$B$1004,MATCH(30,Programação!$AR$5:$AR$1004,0))))</f>
        <v/>
      </c>
      <c r="I37" s="22" t="str">
        <f aca="false">IF(COUNTIF(Programação!$AQ$5:$AQ$1004,1)&lt;30,"",MATCH(30,Programação!$AR$5:$AR$1004,0)+4)</f>
        <v/>
      </c>
    </row>
    <row r="38" customFormat="false" ht="15.75" hidden="false" customHeight="true" outlineLevel="0" collapsed="false">
      <c r="A38" s="22" t="str">
        <f aca="false">IF(COUNTIF(Programação!$AQ$5:$AQ$1004,1)&lt;31,"",IF(INDEX(Programação!$AM$5:$AM$1004,MATCH(31,Programação!$AR$5:$AR$1004,0))="","",INDEX(Programação!$AM$5:$AM$1004,MATCH(31,Programação!$AR$5:$AR$1004,0))))</f>
        <v/>
      </c>
      <c r="B38" s="22" t="str">
        <f aca="false">IF(COUNTIF(Programação!$AQ$5:$AQ$1004,1)&lt;31,"",IF(INDEX(Programação!$C$5:$C$1004,MATCH(31,Programação!$AR$5:$AR$1004,0))="","",INDEX(Programação!$C$5:$C$1004,MATCH(31,Programação!$AR$5:$AR$1004,0))))</f>
        <v/>
      </c>
      <c r="C38" s="24" t="str">
        <f aca="false">IF(COUNTIF(Programação!$AQ$5:$AQ$1004,1)&lt;31,"",IF(INDEX(Programação!$E$5:$E$1004,MATCH(31,Programação!$AR$5:$AR$1004,0))="","",INDEX(Programação!$E$5:$E$1004,MATCH(31,Programação!$AR$5:$AR$1004,0))))</f>
        <v/>
      </c>
      <c r="D38" s="24" t="str">
        <f aca="false">IF(COUNTIF(Programação!$AQ$5:$AQ$1004,1)&lt;31,"",IF(INDEX(Programação!$F$5:$F$1004,MATCH(31,Programação!$AR$5:$AR$1004,0))="","",INDEX(Programação!$F$5:$F$1004,MATCH(31,Programação!$AR$5:$AR$1004,0))))</f>
        <v/>
      </c>
      <c r="E38" s="24" t="str">
        <f aca="false">IF(COUNTIF(Programação!$AQ$5:$AQ$1004,1)&lt;31,"",IF(INDEX(Programação!$AG$5:$AG$1004,MATCH(31,Programação!$AR$5:$AR$1004,0))="","",INDEX(Programação!$AG$5:$AG$1004,MATCH(31,Programação!$AR$5:$AR$1004,0))))</f>
        <v/>
      </c>
      <c r="F38" s="22" t="str">
        <f aca="false">IF(COUNTIF(Programação!$AQ$5:$AQ$1004,1)&lt;31,"",IF(INDEX(Programação!$L$5:$L$1004,MATCH(31,Programação!$AR$5:$AR$1004,0))="","",INDEX(Programação!$L$5:$L$1004,MATCH(31,Programação!$AR$5:$AR$1004,0))))</f>
        <v/>
      </c>
      <c r="G38" s="25" t="str">
        <f aca="false">IF(COUNTIF(Programação!$AQ$5:$AQ$1004,1)&lt;31,"",IF(INDEX(Programação!$P$5:$P$1004,MATCH(31,Programação!$AR$5:$AR$1004,0))="","",INDEX(Programação!$P$5:$P$1004,MATCH(31,Programação!$AR$5:$AR$1004,0))))</f>
        <v/>
      </c>
      <c r="H38" s="22" t="str">
        <f aca="false">IF(COUNTIF(Programação!$AQ$5:$AQ$1004,1)&lt;31,"",IF(INDEX(Programação!$B$5:$B$1004,MATCH(31,Programação!$AR$5:$AR$1004,0))="","",INDEX(Programação!$B$5:$B$1004,MATCH(31,Programação!$AR$5:$AR$1004,0))))</f>
        <v/>
      </c>
      <c r="I38" s="22" t="str">
        <f aca="false">IF(COUNTIF(Programação!$AQ$5:$AQ$1004,1)&lt;31,"",MATCH(31,Programação!$AR$5:$AR$1004,0)+4)</f>
        <v/>
      </c>
    </row>
    <row r="39" customFormat="false" ht="15.75" hidden="false" customHeight="true" outlineLevel="0" collapsed="false">
      <c r="A39" s="22" t="str">
        <f aca="false">IF(COUNTIF(Programação!$AQ$5:$AQ$1004,1)&lt;32,"",IF(INDEX(Programação!$AM$5:$AM$1004,MATCH(32,Programação!$AR$5:$AR$1004,0))="","",INDEX(Programação!$AM$5:$AM$1004,MATCH(32,Programação!$AR$5:$AR$1004,0))))</f>
        <v/>
      </c>
      <c r="B39" s="22" t="str">
        <f aca="false">IF(COUNTIF(Programação!$AQ$5:$AQ$1004,1)&lt;32,"",IF(INDEX(Programação!$C$5:$C$1004,MATCH(32,Programação!$AR$5:$AR$1004,0))="","",INDEX(Programação!$C$5:$C$1004,MATCH(32,Programação!$AR$5:$AR$1004,0))))</f>
        <v/>
      </c>
      <c r="C39" s="24" t="str">
        <f aca="false">IF(COUNTIF(Programação!$AQ$5:$AQ$1004,1)&lt;32,"",IF(INDEX(Programação!$E$5:$E$1004,MATCH(32,Programação!$AR$5:$AR$1004,0))="","",INDEX(Programação!$E$5:$E$1004,MATCH(32,Programação!$AR$5:$AR$1004,0))))</f>
        <v/>
      </c>
      <c r="D39" s="24" t="str">
        <f aca="false">IF(COUNTIF(Programação!$AQ$5:$AQ$1004,1)&lt;32,"",IF(INDEX(Programação!$F$5:$F$1004,MATCH(32,Programação!$AR$5:$AR$1004,0))="","",INDEX(Programação!$F$5:$F$1004,MATCH(32,Programação!$AR$5:$AR$1004,0))))</f>
        <v/>
      </c>
      <c r="E39" s="24" t="str">
        <f aca="false">IF(COUNTIF(Programação!$AQ$5:$AQ$1004,1)&lt;32,"",IF(INDEX(Programação!$AG$5:$AG$1004,MATCH(32,Programação!$AR$5:$AR$1004,0))="","",INDEX(Programação!$AG$5:$AG$1004,MATCH(32,Programação!$AR$5:$AR$1004,0))))</f>
        <v/>
      </c>
      <c r="F39" s="22" t="str">
        <f aca="false">IF(COUNTIF(Programação!$AQ$5:$AQ$1004,1)&lt;32,"",IF(INDEX(Programação!$L$5:$L$1004,MATCH(32,Programação!$AR$5:$AR$1004,0))="","",INDEX(Programação!$L$5:$L$1004,MATCH(32,Programação!$AR$5:$AR$1004,0))))</f>
        <v/>
      </c>
      <c r="G39" s="25" t="str">
        <f aca="false">IF(COUNTIF(Programação!$AQ$5:$AQ$1004,1)&lt;32,"",IF(INDEX(Programação!$P$5:$P$1004,MATCH(32,Programação!$AR$5:$AR$1004,0))="","",INDEX(Programação!$P$5:$P$1004,MATCH(32,Programação!$AR$5:$AR$1004,0))))</f>
        <v/>
      </c>
      <c r="H39" s="22" t="str">
        <f aca="false">IF(COUNTIF(Programação!$AQ$5:$AQ$1004,1)&lt;32,"",IF(INDEX(Programação!$B$5:$B$1004,MATCH(32,Programação!$AR$5:$AR$1004,0))="","",INDEX(Programação!$B$5:$B$1004,MATCH(32,Programação!$AR$5:$AR$1004,0))))</f>
        <v/>
      </c>
      <c r="I39" s="22" t="str">
        <f aca="false">IF(COUNTIF(Programação!$AQ$5:$AQ$1004,1)&lt;32,"",MATCH(32,Programação!$AR$5:$AR$1004,0)+4)</f>
        <v/>
      </c>
    </row>
    <row r="40" customFormat="false" ht="15.75" hidden="false" customHeight="true" outlineLevel="0" collapsed="false">
      <c r="A40" s="22" t="str">
        <f aca="false">IF(COUNTIF(Programação!$AQ$5:$AQ$1004,1)&lt;33,"",IF(INDEX(Programação!$AM$5:$AM$1004,MATCH(33,Programação!$AR$5:$AR$1004,0))="","",INDEX(Programação!$AM$5:$AM$1004,MATCH(33,Programação!$AR$5:$AR$1004,0))))</f>
        <v/>
      </c>
      <c r="B40" s="22" t="str">
        <f aca="false">IF(COUNTIF(Programação!$AQ$5:$AQ$1004,1)&lt;33,"",IF(INDEX(Programação!$C$5:$C$1004,MATCH(33,Programação!$AR$5:$AR$1004,0))="","",INDEX(Programação!$C$5:$C$1004,MATCH(33,Programação!$AR$5:$AR$1004,0))))</f>
        <v/>
      </c>
      <c r="C40" s="24" t="str">
        <f aca="false">IF(COUNTIF(Programação!$AQ$5:$AQ$1004,1)&lt;33,"",IF(INDEX(Programação!$E$5:$E$1004,MATCH(33,Programação!$AR$5:$AR$1004,0))="","",INDEX(Programação!$E$5:$E$1004,MATCH(33,Programação!$AR$5:$AR$1004,0))))</f>
        <v/>
      </c>
      <c r="D40" s="24" t="str">
        <f aca="false">IF(COUNTIF(Programação!$AQ$5:$AQ$1004,1)&lt;33,"",IF(INDEX(Programação!$F$5:$F$1004,MATCH(33,Programação!$AR$5:$AR$1004,0))="","",INDEX(Programação!$F$5:$F$1004,MATCH(33,Programação!$AR$5:$AR$1004,0))))</f>
        <v/>
      </c>
      <c r="E40" s="24" t="str">
        <f aca="false">IF(COUNTIF(Programação!$AQ$5:$AQ$1004,1)&lt;33,"",IF(INDEX(Programação!$AG$5:$AG$1004,MATCH(33,Programação!$AR$5:$AR$1004,0))="","",INDEX(Programação!$AG$5:$AG$1004,MATCH(33,Programação!$AR$5:$AR$1004,0))))</f>
        <v/>
      </c>
      <c r="F40" s="22" t="str">
        <f aca="false">IF(COUNTIF(Programação!$AQ$5:$AQ$1004,1)&lt;33,"",IF(INDEX(Programação!$L$5:$L$1004,MATCH(33,Programação!$AR$5:$AR$1004,0))="","",INDEX(Programação!$L$5:$L$1004,MATCH(33,Programação!$AR$5:$AR$1004,0))))</f>
        <v/>
      </c>
      <c r="G40" s="25" t="str">
        <f aca="false">IF(COUNTIF(Programação!$AQ$5:$AQ$1004,1)&lt;33,"",IF(INDEX(Programação!$P$5:$P$1004,MATCH(33,Programação!$AR$5:$AR$1004,0))="","",INDEX(Programação!$P$5:$P$1004,MATCH(33,Programação!$AR$5:$AR$1004,0))))</f>
        <v/>
      </c>
      <c r="H40" s="22" t="str">
        <f aca="false">IF(COUNTIF(Programação!$AQ$5:$AQ$1004,1)&lt;33,"",IF(INDEX(Programação!$B$5:$B$1004,MATCH(33,Programação!$AR$5:$AR$1004,0))="","",INDEX(Programação!$B$5:$B$1004,MATCH(33,Programação!$AR$5:$AR$1004,0))))</f>
        <v/>
      </c>
      <c r="I40" s="22" t="str">
        <f aca="false">IF(COUNTIF(Programação!$AQ$5:$AQ$1004,1)&lt;33,"",MATCH(33,Programação!$AR$5:$AR$1004,0)+4)</f>
        <v/>
      </c>
    </row>
    <row r="41" customFormat="false" ht="15.75" hidden="false" customHeight="true" outlineLevel="0" collapsed="false">
      <c r="A41" s="22" t="str">
        <f aca="false">IF(COUNTIF(Programação!$AQ$5:$AQ$1004,1)&lt;34,"",IF(INDEX(Programação!$AM$5:$AM$1004,MATCH(34,Programação!$AR$5:$AR$1004,0))="","",INDEX(Programação!$AM$5:$AM$1004,MATCH(34,Programação!$AR$5:$AR$1004,0))))</f>
        <v/>
      </c>
      <c r="B41" s="22" t="str">
        <f aca="false">IF(COUNTIF(Programação!$AQ$5:$AQ$1004,1)&lt;34,"",IF(INDEX(Programação!$C$5:$C$1004,MATCH(34,Programação!$AR$5:$AR$1004,0))="","",INDEX(Programação!$C$5:$C$1004,MATCH(34,Programação!$AR$5:$AR$1004,0))))</f>
        <v/>
      </c>
      <c r="C41" s="24" t="str">
        <f aca="false">IF(COUNTIF(Programação!$AQ$5:$AQ$1004,1)&lt;34,"",IF(INDEX(Programação!$E$5:$E$1004,MATCH(34,Programação!$AR$5:$AR$1004,0))="","",INDEX(Programação!$E$5:$E$1004,MATCH(34,Programação!$AR$5:$AR$1004,0))))</f>
        <v/>
      </c>
      <c r="D41" s="24" t="str">
        <f aca="false">IF(COUNTIF(Programação!$AQ$5:$AQ$1004,1)&lt;34,"",IF(INDEX(Programação!$F$5:$F$1004,MATCH(34,Programação!$AR$5:$AR$1004,0))="","",INDEX(Programação!$F$5:$F$1004,MATCH(34,Programação!$AR$5:$AR$1004,0))))</f>
        <v/>
      </c>
      <c r="E41" s="24" t="str">
        <f aca="false">IF(COUNTIF(Programação!$AQ$5:$AQ$1004,1)&lt;34,"",IF(INDEX(Programação!$AG$5:$AG$1004,MATCH(34,Programação!$AR$5:$AR$1004,0))="","",INDEX(Programação!$AG$5:$AG$1004,MATCH(34,Programação!$AR$5:$AR$1004,0))))</f>
        <v/>
      </c>
      <c r="F41" s="22" t="str">
        <f aca="false">IF(COUNTIF(Programação!$AQ$5:$AQ$1004,1)&lt;34,"",IF(INDEX(Programação!$L$5:$L$1004,MATCH(34,Programação!$AR$5:$AR$1004,0))="","",INDEX(Programação!$L$5:$L$1004,MATCH(34,Programação!$AR$5:$AR$1004,0))))</f>
        <v/>
      </c>
      <c r="G41" s="25" t="str">
        <f aca="false">IF(COUNTIF(Programação!$AQ$5:$AQ$1004,1)&lt;34,"",IF(INDEX(Programação!$P$5:$P$1004,MATCH(34,Programação!$AR$5:$AR$1004,0))="","",INDEX(Programação!$P$5:$P$1004,MATCH(34,Programação!$AR$5:$AR$1004,0))))</f>
        <v/>
      </c>
      <c r="H41" s="22" t="str">
        <f aca="false">IF(COUNTIF(Programação!$AQ$5:$AQ$1004,1)&lt;34,"",IF(INDEX(Programação!$B$5:$B$1004,MATCH(34,Programação!$AR$5:$AR$1004,0))="","",INDEX(Programação!$B$5:$B$1004,MATCH(34,Programação!$AR$5:$AR$1004,0))))</f>
        <v/>
      </c>
      <c r="I41" s="22" t="str">
        <f aca="false">IF(COUNTIF(Programação!$AQ$5:$AQ$1004,1)&lt;34,"",MATCH(34,Programação!$AR$5:$AR$1004,0)+4)</f>
        <v/>
      </c>
    </row>
    <row r="42" customFormat="false" ht="15.75" hidden="false" customHeight="true" outlineLevel="0" collapsed="false">
      <c r="A42" s="22" t="str">
        <f aca="false">IF(COUNTIF(Programação!$AQ$5:$AQ$1004,1)&lt;35,"",IF(INDEX(Programação!$AM$5:$AM$1004,MATCH(35,Programação!$AR$5:$AR$1004,0))="","",INDEX(Programação!$AM$5:$AM$1004,MATCH(35,Programação!$AR$5:$AR$1004,0))))</f>
        <v/>
      </c>
      <c r="B42" s="22" t="str">
        <f aca="false">IF(COUNTIF(Programação!$AQ$5:$AQ$1004,1)&lt;35,"",IF(INDEX(Programação!$C$5:$C$1004,MATCH(35,Programação!$AR$5:$AR$1004,0))="","",INDEX(Programação!$C$5:$C$1004,MATCH(35,Programação!$AR$5:$AR$1004,0))))</f>
        <v/>
      </c>
      <c r="C42" s="24" t="str">
        <f aca="false">IF(COUNTIF(Programação!$AQ$5:$AQ$1004,1)&lt;35,"",IF(INDEX(Programação!$E$5:$E$1004,MATCH(35,Programação!$AR$5:$AR$1004,0))="","",INDEX(Programação!$E$5:$E$1004,MATCH(35,Programação!$AR$5:$AR$1004,0))))</f>
        <v/>
      </c>
      <c r="D42" s="24" t="str">
        <f aca="false">IF(COUNTIF(Programação!$AQ$5:$AQ$1004,1)&lt;35,"",IF(INDEX(Programação!$F$5:$F$1004,MATCH(35,Programação!$AR$5:$AR$1004,0))="","",INDEX(Programação!$F$5:$F$1004,MATCH(35,Programação!$AR$5:$AR$1004,0))))</f>
        <v/>
      </c>
      <c r="E42" s="24" t="str">
        <f aca="false">IF(COUNTIF(Programação!$AQ$5:$AQ$1004,1)&lt;35,"",IF(INDEX(Programação!$AG$5:$AG$1004,MATCH(35,Programação!$AR$5:$AR$1004,0))="","",INDEX(Programação!$AG$5:$AG$1004,MATCH(35,Programação!$AR$5:$AR$1004,0))))</f>
        <v/>
      </c>
      <c r="F42" s="22" t="str">
        <f aca="false">IF(COUNTIF(Programação!$AQ$5:$AQ$1004,1)&lt;35,"",IF(INDEX(Programação!$L$5:$L$1004,MATCH(35,Programação!$AR$5:$AR$1004,0))="","",INDEX(Programação!$L$5:$L$1004,MATCH(35,Programação!$AR$5:$AR$1004,0))))</f>
        <v/>
      </c>
      <c r="G42" s="25" t="str">
        <f aca="false">IF(COUNTIF(Programação!$AQ$5:$AQ$1004,1)&lt;35,"",IF(INDEX(Programação!$P$5:$P$1004,MATCH(35,Programação!$AR$5:$AR$1004,0))="","",INDEX(Programação!$P$5:$P$1004,MATCH(35,Programação!$AR$5:$AR$1004,0))))</f>
        <v/>
      </c>
      <c r="H42" s="22" t="str">
        <f aca="false">IF(COUNTIF(Programação!$AQ$5:$AQ$1004,1)&lt;35,"",IF(INDEX(Programação!$B$5:$B$1004,MATCH(35,Programação!$AR$5:$AR$1004,0))="","",INDEX(Programação!$B$5:$B$1004,MATCH(35,Programação!$AR$5:$AR$1004,0))))</f>
        <v/>
      </c>
      <c r="I42" s="22" t="str">
        <f aca="false">IF(COUNTIF(Programação!$AQ$5:$AQ$1004,1)&lt;35,"",MATCH(35,Programação!$AR$5:$AR$1004,0)+4)</f>
        <v/>
      </c>
    </row>
    <row r="43" customFormat="false" ht="15.75" hidden="false" customHeight="true" outlineLevel="0" collapsed="false">
      <c r="A43" s="22" t="str">
        <f aca="false">IF(COUNTIF(Programação!$AQ$5:$AQ$1004,1)&lt;36,"",IF(INDEX(Programação!$AM$5:$AM$1004,MATCH(36,Programação!$AR$5:$AR$1004,0))="","",INDEX(Programação!$AM$5:$AM$1004,MATCH(36,Programação!$AR$5:$AR$1004,0))))</f>
        <v/>
      </c>
      <c r="B43" s="22" t="str">
        <f aca="false">IF(COUNTIF(Programação!$AQ$5:$AQ$1004,1)&lt;36,"",IF(INDEX(Programação!$C$5:$C$1004,MATCH(36,Programação!$AR$5:$AR$1004,0))="","",INDEX(Programação!$C$5:$C$1004,MATCH(36,Programação!$AR$5:$AR$1004,0))))</f>
        <v/>
      </c>
      <c r="C43" s="24" t="str">
        <f aca="false">IF(COUNTIF(Programação!$AQ$5:$AQ$1004,1)&lt;36,"",IF(INDEX(Programação!$E$5:$E$1004,MATCH(36,Programação!$AR$5:$AR$1004,0))="","",INDEX(Programação!$E$5:$E$1004,MATCH(36,Programação!$AR$5:$AR$1004,0))))</f>
        <v/>
      </c>
      <c r="D43" s="24" t="str">
        <f aca="false">IF(COUNTIF(Programação!$AQ$5:$AQ$1004,1)&lt;36,"",IF(INDEX(Programação!$F$5:$F$1004,MATCH(36,Programação!$AR$5:$AR$1004,0))="","",INDEX(Programação!$F$5:$F$1004,MATCH(36,Programação!$AR$5:$AR$1004,0))))</f>
        <v/>
      </c>
      <c r="E43" s="24" t="str">
        <f aca="false">IF(COUNTIF(Programação!$AQ$5:$AQ$1004,1)&lt;36,"",IF(INDEX(Programação!$AG$5:$AG$1004,MATCH(36,Programação!$AR$5:$AR$1004,0))="","",INDEX(Programação!$AG$5:$AG$1004,MATCH(36,Programação!$AR$5:$AR$1004,0))))</f>
        <v/>
      </c>
      <c r="F43" s="22" t="str">
        <f aca="false">IF(COUNTIF(Programação!$AQ$5:$AQ$1004,1)&lt;36,"",IF(INDEX(Programação!$L$5:$L$1004,MATCH(36,Programação!$AR$5:$AR$1004,0))="","",INDEX(Programação!$L$5:$L$1004,MATCH(36,Programação!$AR$5:$AR$1004,0))))</f>
        <v/>
      </c>
      <c r="G43" s="25" t="str">
        <f aca="false">IF(COUNTIF(Programação!$AQ$5:$AQ$1004,1)&lt;36,"",IF(INDEX(Programação!$P$5:$P$1004,MATCH(36,Programação!$AR$5:$AR$1004,0))="","",INDEX(Programação!$P$5:$P$1004,MATCH(36,Programação!$AR$5:$AR$1004,0))))</f>
        <v/>
      </c>
      <c r="H43" s="22" t="str">
        <f aca="false">IF(COUNTIF(Programação!$AQ$5:$AQ$1004,1)&lt;36,"",IF(INDEX(Programação!$B$5:$B$1004,MATCH(36,Programação!$AR$5:$AR$1004,0))="","",INDEX(Programação!$B$5:$B$1004,MATCH(36,Programação!$AR$5:$AR$1004,0))))</f>
        <v/>
      </c>
      <c r="I43" s="22" t="str">
        <f aca="false">IF(COUNTIF(Programação!$AQ$5:$AQ$1004,1)&lt;36,"",MATCH(36,Programação!$AR$5:$AR$1004,0)+4)</f>
        <v/>
      </c>
    </row>
    <row r="44" customFormat="false" ht="15.75" hidden="false" customHeight="true" outlineLevel="0" collapsed="false">
      <c r="A44" s="22" t="str">
        <f aca="false">IF(COUNTIF(Programação!$AQ$5:$AQ$1004,1)&lt;37,"",IF(INDEX(Programação!$AM$5:$AM$1004,MATCH(37,Programação!$AR$5:$AR$1004,0))="","",INDEX(Programação!$AM$5:$AM$1004,MATCH(37,Programação!$AR$5:$AR$1004,0))))</f>
        <v/>
      </c>
      <c r="B44" s="22" t="str">
        <f aca="false">IF(COUNTIF(Programação!$AQ$5:$AQ$1004,1)&lt;37,"",IF(INDEX(Programação!$C$5:$C$1004,MATCH(37,Programação!$AR$5:$AR$1004,0))="","",INDEX(Programação!$C$5:$C$1004,MATCH(37,Programação!$AR$5:$AR$1004,0))))</f>
        <v/>
      </c>
      <c r="C44" s="24" t="str">
        <f aca="false">IF(COUNTIF(Programação!$AQ$5:$AQ$1004,1)&lt;37,"",IF(INDEX(Programação!$E$5:$E$1004,MATCH(37,Programação!$AR$5:$AR$1004,0))="","",INDEX(Programação!$E$5:$E$1004,MATCH(37,Programação!$AR$5:$AR$1004,0))))</f>
        <v/>
      </c>
      <c r="D44" s="24" t="str">
        <f aca="false">IF(COUNTIF(Programação!$AQ$5:$AQ$1004,1)&lt;37,"",IF(INDEX(Programação!$F$5:$F$1004,MATCH(37,Programação!$AR$5:$AR$1004,0))="","",INDEX(Programação!$F$5:$F$1004,MATCH(37,Programação!$AR$5:$AR$1004,0))))</f>
        <v/>
      </c>
      <c r="E44" s="24" t="str">
        <f aca="false">IF(COUNTIF(Programação!$AQ$5:$AQ$1004,1)&lt;37,"",IF(INDEX(Programação!$AG$5:$AG$1004,MATCH(37,Programação!$AR$5:$AR$1004,0))="","",INDEX(Programação!$AG$5:$AG$1004,MATCH(37,Programação!$AR$5:$AR$1004,0))))</f>
        <v/>
      </c>
      <c r="F44" s="22" t="str">
        <f aca="false">IF(COUNTIF(Programação!$AQ$5:$AQ$1004,1)&lt;37,"",IF(INDEX(Programação!$L$5:$L$1004,MATCH(37,Programação!$AR$5:$AR$1004,0))="","",INDEX(Programação!$L$5:$L$1004,MATCH(37,Programação!$AR$5:$AR$1004,0))))</f>
        <v/>
      </c>
      <c r="G44" s="25" t="str">
        <f aca="false">IF(COUNTIF(Programação!$AQ$5:$AQ$1004,1)&lt;37,"",IF(INDEX(Programação!$P$5:$P$1004,MATCH(37,Programação!$AR$5:$AR$1004,0))="","",INDEX(Programação!$P$5:$P$1004,MATCH(37,Programação!$AR$5:$AR$1004,0))))</f>
        <v/>
      </c>
      <c r="H44" s="22" t="str">
        <f aca="false">IF(COUNTIF(Programação!$AQ$5:$AQ$1004,1)&lt;37,"",IF(INDEX(Programação!$B$5:$B$1004,MATCH(37,Programação!$AR$5:$AR$1004,0))="","",INDEX(Programação!$B$5:$B$1004,MATCH(37,Programação!$AR$5:$AR$1004,0))))</f>
        <v/>
      </c>
      <c r="I44" s="22" t="str">
        <f aca="false">IF(COUNTIF(Programação!$AQ$5:$AQ$1004,1)&lt;37,"",MATCH(37,Programação!$AR$5:$AR$1004,0)+4)</f>
        <v/>
      </c>
    </row>
    <row r="45" customFormat="false" ht="15.75" hidden="false" customHeight="true" outlineLevel="0" collapsed="false">
      <c r="A45" s="22" t="str">
        <f aca="false">IF(COUNTIF(Programação!$AQ$5:$AQ$1004,1)&lt;38,"",IF(INDEX(Programação!$AM$5:$AM$1004,MATCH(38,Programação!$AR$5:$AR$1004,0))="","",INDEX(Programação!$AM$5:$AM$1004,MATCH(38,Programação!$AR$5:$AR$1004,0))))</f>
        <v/>
      </c>
      <c r="B45" s="22" t="str">
        <f aca="false">IF(COUNTIF(Programação!$AQ$5:$AQ$1004,1)&lt;38,"",IF(INDEX(Programação!$C$5:$C$1004,MATCH(38,Programação!$AR$5:$AR$1004,0))="","",INDEX(Programação!$C$5:$C$1004,MATCH(38,Programação!$AR$5:$AR$1004,0))))</f>
        <v/>
      </c>
      <c r="C45" s="24" t="str">
        <f aca="false">IF(COUNTIF(Programação!$AQ$5:$AQ$1004,1)&lt;38,"",IF(INDEX(Programação!$E$5:$E$1004,MATCH(38,Programação!$AR$5:$AR$1004,0))="","",INDEX(Programação!$E$5:$E$1004,MATCH(38,Programação!$AR$5:$AR$1004,0))))</f>
        <v/>
      </c>
      <c r="D45" s="24" t="str">
        <f aca="false">IF(COUNTIF(Programação!$AQ$5:$AQ$1004,1)&lt;38,"",IF(INDEX(Programação!$F$5:$F$1004,MATCH(38,Programação!$AR$5:$AR$1004,0))="","",INDEX(Programação!$F$5:$F$1004,MATCH(38,Programação!$AR$5:$AR$1004,0))))</f>
        <v/>
      </c>
      <c r="E45" s="24" t="str">
        <f aca="false">IF(COUNTIF(Programação!$AQ$5:$AQ$1004,1)&lt;38,"",IF(INDEX(Programação!$AG$5:$AG$1004,MATCH(38,Programação!$AR$5:$AR$1004,0))="","",INDEX(Programação!$AG$5:$AG$1004,MATCH(38,Programação!$AR$5:$AR$1004,0))))</f>
        <v/>
      </c>
      <c r="F45" s="22" t="str">
        <f aca="false">IF(COUNTIF(Programação!$AQ$5:$AQ$1004,1)&lt;38,"",IF(INDEX(Programação!$L$5:$L$1004,MATCH(38,Programação!$AR$5:$AR$1004,0))="","",INDEX(Programação!$L$5:$L$1004,MATCH(38,Programação!$AR$5:$AR$1004,0))))</f>
        <v/>
      </c>
      <c r="G45" s="25" t="str">
        <f aca="false">IF(COUNTIF(Programação!$AQ$5:$AQ$1004,1)&lt;38,"",IF(INDEX(Programação!$P$5:$P$1004,MATCH(38,Programação!$AR$5:$AR$1004,0))="","",INDEX(Programação!$P$5:$P$1004,MATCH(38,Programação!$AR$5:$AR$1004,0))))</f>
        <v/>
      </c>
      <c r="H45" s="22" t="str">
        <f aca="false">IF(COUNTIF(Programação!$AQ$5:$AQ$1004,1)&lt;38,"",IF(INDEX(Programação!$B$5:$B$1004,MATCH(38,Programação!$AR$5:$AR$1004,0))="","",INDEX(Programação!$B$5:$B$1004,MATCH(38,Programação!$AR$5:$AR$1004,0))))</f>
        <v/>
      </c>
      <c r="I45" s="22" t="str">
        <f aca="false">IF(COUNTIF(Programação!$AQ$5:$AQ$1004,1)&lt;38,"",MATCH(38,Programação!$AR$5:$AR$1004,0)+4)</f>
        <v/>
      </c>
    </row>
    <row r="46" customFormat="false" ht="15.75" hidden="false" customHeight="true" outlineLevel="0" collapsed="false">
      <c r="A46" s="22" t="str">
        <f aca="false">IF(COUNTIF(Programação!$AQ$5:$AQ$1004,1)&lt;39,"",IF(INDEX(Programação!$AM$5:$AM$1004,MATCH(39,Programação!$AR$5:$AR$1004,0))="","",INDEX(Programação!$AM$5:$AM$1004,MATCH(39,Programação!$AR$5:$AR$1004,0))))</f>
        <v/>
      </c>
      <c r="B46" s="22" t="str">
        <f aca="false">IF(COUNTIF(Programação!$AQ$5:$AQ$1004,1)&lt;39,"",IF(INDEX(Programação!$C$5:$C$1004,MATCH(39,Programação!$AR$5:$AR$1004,0))="","",INDEX(Programação!$C$5:$C$1004,MATCH(39,Programação!$AR$5:$AR$1004,0))))</f>
        <v/>
      </c>
      <c r="C46" s="24" t="str">
        <f aca="false">IF(COUNTIF(Programação!$AQ$5:$AQ$1004,1)&lt;39,"",IF(INDEX(Programação!$E$5:$E$1004,MATCH(39,Programação!$AR$5:$AR$1004,0))="","",INDEX(Programação!$E$5:$E$1004,MATCH(39,Programação!$AR$5:$AR$1004,0))))</f>
        <v/>
      </c>
      <c r="D46" s="24" t="str">
        <f aca="false">IF(COUNTIF(Programação!$AQ$5:$AQ$1004,1)&lt;39,"",IF(INDEX(Programação!$F$5:$F$1004,MATCH(39,Programação!$AR$5:$AR$1004,0))="","",INDEX(Programação!$F$5:$F$1004,MATCH(39,Programação!$AR$5:$AR$1004,0))))</f>
        <v/>
      </c>
      <c r="E46" s="24" t="str">
        <f aca="false">IF(COUNTIF(Programação!$AQ$5:$AQ$1004,1)&lt;39,"",IF(INDEX(Programação!$AG$5:$AG$1004,MATCH(39,Programação!$AR$5:$AR$1004,0))="","",INDEX(Programação!$AG$5:$AG$1004,MATCH(39,Programação!$AR$5:$AR$1004,0))))</f>
        <v/>
      </c>
      <c r="F46" s="22" t="str">
        <f aca="false">IF(COUNTIF(Programação!$AQ$5:$AQ$1004,1)&lt;39,"",IF(INDEX(Programação!$L$5:$L$1004,MATCH(39,Programação!$AR$5:$AR$1004,0))="","",INDEX(Programação!$L$5:$L$1004,MATCH(39,Programação!$AR$5:$AR$1004,0))))</f>
        <v/>
      </c>
      <c r="G46" s="25" t="str">
        <f aca="false">IF(COUNTIF(Programação!$AQ$5:$AQ$1004,1)&lt;39,"",IF(INDEX(Programação!$P$5:$P$1004,MATCH(39,Programação!$AR$5:$AR$1004,0))="","",INDEX(Programação!$P$5:$P$1004,MATCH(39,Programação!$AR$5:$AR$1004,0))))</f>
        <v/>
      </c>
      <c r="H46" s="22" t="str">
        <f aca="false">IF(COUNTIF(Programação!$AQ$5:$AQ$1004,1)&lt;39,"",IF(INDEX(Programação!$B$5:$B$1004,MATCH(39,Programação!$AR$5:$AR$1004,0))="","",INDEX(Programação!$B$5:$B$1004,MATCH(39,Programação!$AR$5:$AR$1004,0))))</f>
        <v/>
      </c>
      <c r="I46" s="22" t="str">
        <f aca="false">IF(COUNTIF(Programação!$AQ$5:$AQ$1004,1)&lt;39,"",MATCH(39,Programação!$AR$5:$AR$1004,0)+4)</f>
        <v/>
      </c>
    </row>
    <row r="47" customFormat="false" ht="15.75" hidden="false" customHeight="true" outlineLevel="0" collapsed="false">
      <c r="A47" s="22" t="str">
        <f aca="false">IF(COUNTIF(Programação!$AQ$5:$AQ$1004,1)&lt;40,"",IF(INDEX(Programação!$AM$5:$AM$1004,MATCH(40,Programação!$AR$5:$AR$1004,0))="","",INDEX(Programação!$AM$5:$AM$1004,MATCH(40,Programação!$AR$5:$AR$1004,0))))</f>
        <v/>
      </c>
      <c r="B47" s="22" t="str">
        <f aca="false">IF(COUNTIF(Programação!$AQ$5:$AQ$1004,1)&lt;40,"",IF(INDEX(Programação!$C$5:$C$1004,MATCH(40,Programação!$AR$5:$AR$1004,0))="","",INDEX(Programação!$C$5:$C$1004,MATCH(40,Programação!$AR$5:$AR$1004,0))))</f>
        <v/>
      </c>
      <c r="C47" s="24" t="str">
        <f aca="false">IF(COUNTIF(Programação!$AQ$5:$AQ$1004,1)&lt;40,"",IF(INDEX(Programação!$E$5:$E$1004,MATCH(40,Programação!$AR$5:$AR$1004,0))="","",INDEX(Programação!$E$5:$E$1004,MATCH(40,Programação!$AR$5:$AR$1004,0))))</f>
        <v/>
      </c>
      <c r="D47" s="24" t="str">
        <f aca="false">IF(COUNTIF(Programação!$AQ$5:$AQ$1004,1)&lt;40,"",IF(INDEX(Programação!$F$5:$F$1004,MATCH(40,Programação!$AR$5:$AR$1004,0))="","",INDEX(Programação!$F$5:$F$1004,MATCH(40,Programação!$AR$5:$AR$1004,0))))</f>
        <v/>
      </c>
      <c r="E47" s="24" t="str">
        <f aca="false">IF(COUNTIF(Programação!$AQ$5:$AQ$1004,1)&lt;40,"",IF(INDEX(Programação!$AG$5:$AG$1004,MATCH(40,Programação!$AR$5:$AR$1004,0))="","",INDEX(Programação!$AG$5:$AG$1004,MATCH(40,Programação!$AR$5:$AR$1004,0))))</f>
        <v/>
      </c>
      <c r="F47" s="22" t="str">
        <f aca="false">IF(COUNTIF(Programação!$AQ$5:$AQ$1004,1)&lt;40,"",IF(INDEX(Programação!$L$5:$L$1004,MATCH(40,Programação!$AR$5:$AR$1004,0))="","",INDEX(Programação!$L$5:$L$1004,MATCH(40,Programação!$AR$5:$AR$1004,0))))</f>
        <v/>
      </c>
      <c r="G47" s="25" t="str">
        <f aca="false">IF(COUNTIF(Programação!$AQ$5:$AQ$1004,1)&lt;40,"",IF(INDEX(Programação!$P$5:$P$1004,MATCH(40,Programação!$AR$5:$AR$1004,0))="","",INDEX(Programação!$P$5:$P$1004,MATCH(40,Programação!$AR$5:$AR$1004,0))))</f>
        <v/>
      </c>
      <c r="H47" s="22" t="str">
        <f aca="false">IF(COUNTIF(Programação!$AQ$5:$AQ$1004,1)&lt;40,"",IF(INDEX(Programação!$B$5:$B$1004,MATCH(40,Programação!$AR$5:$AR$1004,0))="","",INDEX(Programação!$B$5:$B$1004,MATCH(40,Programação!$AR$5:$AR$1004,0))))</f>
        <v/>
      </c>
      <c r="I47" s="22" t="str">
        <f aca="false">IF(COUNTIF(Programação!$AQ$5:$AQ$1004,1)&lt;40,"",MATCH(40,Programação!$AR$5:$AR$1004,0)+4)</f>
        <v/>
      </c>
    </row>
    <row r="48" customFormat="false" ht="15.75" hidden="false" customHeight="true" outlineLevel="0" collapsed="false">
      <c r="A48" s="22" t="str">
        <f aca="false">IF(COUNTIF(Programação!$AQ$5:$AQ$1004,1)&lt;41,"",IF(INDEX(Programação!$AM$5:$AM$1004,MATCH(41,Programação!$AR$5:$AR$1004,0))="","",INDEX(Programação!$AM$5:$AM$1004,MATCH(41,Programação!$AR$5:$AR$1004,0))))</f>
        <v/>
      </c>
      <c r="B48" s="22" t="str">
        <f aca="false">IF(COUNTIF(Programação!$AQ$5:$AQ$1004,1)&lt;41,"",IF(INDEX(Programação!$C$5:$C$1004,MATCH(41,Programação!$AR$5:$AR$1004,0))="","",INDEX(Programação!$C$5:$C$1004,MATCH(41,Programação!$AR$5:$AR$1004,0))))</f>
        <v/>
      </c>
      <c r="C48" s="24" t="str">
        <f aca="false">IF(COUNTIF(Programação!$AQ$5:$AQ$1004,1)&lt;41,"",IF(INDEX(Programação!$E$5:$E$1004,MATCH(41,Programação!$AR$5:$AR$1004,0))="","",INDEX(Programação!$E$5:$E$1004,MATCH(41,Programação!$AR$5:$AR$1004,0))))</f>
        <v/>
      </c>
      <c r="D48" s="24" t="str">
        <f aca="false">IF(COUNTIF(Programação!$AQ$5:$AQ$1004,1)&lt;41,"",IF(INDEX(Programação!$F$5:$F$1004,MATCH(41,Programação!$AR$5:$AR$1004,0))="","",INDEX(Programação!$F$5:$F$1004,MATCH(41,Programação!$AR$5:$AR$1004,0))))</f>
        <v/>
      </c>
      <c r="E48" s="24" t="str">
        <f aca="false">IF(COUNTIF(Programação!$AQ$5:$AQ$1004,1)&lt;41,"",IF(INDEX(Programação!$AG$5:$AG$1004,MATCH(41,Programação!$AR$5:$AR$1004,0))="","",INDEX(Programação!$AG$5:$AG$1004,MATCH(41,Programação!$AR$5:$AR$1004,0))))</f>
        <v/>
      </c>
      <c r="F48" s="22" t="str">
        <f aca="false">IF(COUNTIF(Programação!$AQ$5:$AQ$1004,1)&lt;41,"",IF(INDEX(Programação!$L$5:$L$1004,MATCH(41,Programação!$AR$5:$AR$1004,0))="","",INDEX(Programação!$L$5:$L$1004,MATCH(41,Programação!$AR$5:$AR$1004,0))))</f>
        <v/>
      </c>
      <c r="G48" s="25" t="str">
        <f aca="false">IF(COUNTIF(Programação!$AQ$5:$AQ$1004,1)&lt;41,"",IF(INDEX(Programação!$P$5:$P$1004,MATCH(41,Programação!$AR$5:$AR$1004,0))="","",INDEX(Programação!$P$5:$P$1004,MATCH(41,Programação!$AR$5:$AR$1004,0))))</f>
        <v/>
      </c>
      <c r="H48" s="22" t="str">
        <f aca="false">IF(COUNTIF(Programação!$AQ$5:$AQ$1004,1)&lt;41,"",IF(INDEX(Programação!$B$5:$B$1004,MATCH(41,Programação!$AR$5:$AR$1004,0))="","",INDEX(Programação!$B$5:$B$1004,MATCH(41,Programação!$AR$5:$AR$1004,0))))</f>
        <v/>
      </c>
      <c r="I48" s="22" t="str">
        <f aca="false">IF(COUNTIF(Programação!$AQ$5:$AQ$1004,1)&lt;41,"",MATCH(41,Programação!$AR$5:$AR$1004,0)+4)</f>
        <v/>
      </c>
    </row>
    <row r="49" customFormat="false" ht="15.75" hidden="false" customHeight="true" outlineLevel="0" collapsed="false">
      <c r="A49" s="22" t="str">
        <f aca="false">IF(COUNTIF(Programação!$AQ$5:$AQ$1004,1)&lt;42,"",IF(INDEX(Programação!$AM$5:$AM$1004,MATCH(42,Programação!$AR$5:$AR$1004,0))="","",INDEX(Programação!$AM$5:$AM$1004,MATCH(42,Programação!$AR$5:$AR$1004,0))))</f>
        <v/>
      </c>
      <c r="B49" s="22" t="str">
        <f aca="false">IF(COUNTIF(Programação!$AQ$5:$AQ$1004,1)&lt;42,"",IF(INDEX(Programação!$C$5:$C$1004,MATCH(42,Programação!$AR$5:$AR$1004,0))="","",INDEX(Programação!$C$5:$C$1004,MATCH(42,Programação!$AR$5:$AR$1004,0))))</f>
        <v/>
      </c>
      <c r="C49" s="24" t="str">
        <f aca="false">IF(COUNTIF(Programação!$AQ$5:$AQ$1004,1)&lt;42,"",IF(INDEX(Programação!$E$5:$E$1004,MATCH(42,Programação!$AR$5:$AR$1004,0))="","",INDEX(Programação!$E$5:$E$1004,MATCH(42,Programação!$AR$5:$AR$1004,0))))</f>
        <v/>
      </c>
      <c r="D49" s="24" t="str">
        <f aca="false">IF(COUNTIF(Programação!$AQ$5:$AQ$1004,1)&lt;42,"",IF(INDEX(Programação!$F$5:$F$1004,MATCH(42,Programação!$AR$5:$AR$1004,0))="","",INDEX(Programação!$F$5:$F$1004,MATCH(42,Programação!$AR$5:$AR$1004,0))))</f>
        <v/>
      </c>
      <c r="E49" s="24" t="str">
        <f aca="false">IF(COUNTIF(Programação!$AQ$5:$AQ$1004,1)&lt;42,"",IF(INDEX(Programação!$AG$5:$AG$1004,MATCH(42,Programação!$AR$5:$AR$1004,0))="","",INDEX(Programação!$AG$5:$AG$1004,MATCH(42,Programação!$AR$5:$AR$1004,0))))</f>
        <v/>
      </c>
      <c r="F49" s="22" t="str">
        <f aca="false">IF(COUNTIF(Programação!$AQ$5:$AQ$1004,1)&lt;42,"",IF(INDEX(Programação!$L$5:$L$1004,MATCH(42,Programação!$AR$5:$AR$1004,0))="","",INDEX(Programação!$L$5:$L$1004,MATCH(42,Programação!$AR$5:$AR$1004,0))))</f>
        <v/>
      </c>
      <c r="G49" s="25" t="str">
        <f aca="false">IF(COUNTIF(Programação!$AQ$5:$AQ$1004,1)&lt;42,"",IF(INDEX(Programação!$P$5:$P$1004,MATCH(42,Programação!$AR$5:$AR$1004,0))="","",INDEX(Programação!$P$5:$P$1004,MATCH(42,Programação!$AR$5:$AR$1004,0))))</f>
        <v/>
      </c>
      <c r="H49" s="22" t="str">
        <f aca="false">IF(COUNTIF(Programação!$AQ$5:$AQ$1004,1)&lt;42,"",IF(INDEX(Programação!$B$5:$B$1004,MATCH(42,Programação!$AR$5:$AR$1004,0))="","",INDEX(Programação!$B$5:$B$1004,MATCH(42,Programação!$AR$5:$AR$1004,0))))</f>
        <v/>
      </c>
      <c r="I49" s="22" t="str">
        <f aca="false">IF(COUNTIF(Programação!$AQ$5:$AQ$1004,1)&lt;42,"",MATCH(42,Programação!$AR$5:$AR$1004,0)+4)</f>
        <v/>
      </c>
    </row>
    <row r="50" customFormat="false" ht="15.75" hidden="false" customHeight="true" outlineLevel="0" collapsed="false">
      <c r="A50" s="22" t="str">
        <f aca="false">IF(COUNTIF(Programação!$AQ$5:$AQ$1004,1)&lt;43,"",IF(INDEX(Programação!$AM$5:$AM$1004,MATCH(43,Programação!$AR$5:$AR$1004,0))="","",INDEX(Programação!$AM$5:$AM$1004,MATCH(43,Programação!$AR$5:$AR$1004,0))))</f>
        <v/>
      </c>
      <c r="B50" s="22" t="str">
        <f aca="false">IF(COUNTIF(Programação!$AQ$5:$AQ$1004,1)&lt;43,"",IF(INDEX(Programação!$C$5:$C$1004,MATCH(43,Programação!$AR$5:$AR$1004,0))="","",INDEX(Programação!$C$5:$C$1004,MATCH(43,Programação!$AR$5:$AR$1004,0))))</f>
        <v/>
      </c>
      <c r="C50" s="24" t="str">
        <f aca="false">IF(COUNTIF(Programação!$AQ$5:$AQ$1004,1)&lt;43,"",IF(INDEX(Programação!$E$5:$E$1004,MATCH(43,Programação!$AR$5:$AR$1004,0))="","",INDEX(Programação!$E$5:$E$1004,MATCH(43,Programação!$AR$5:$AR$1004,0))))</f>
        <v/>
      </c>
      <c r="D50" s="24" t="str">
        <f aca="false">IF(COUNTIF(Programação!$AQ$5:$AQ$1004,1)&lt;43,"",IF(INDEX(Programação!$F$5:$F$1004,MATCH(43,Programação!$AR$5:$AR$1004,0))="","",INDEX(Programação!$F$5:$F$1004,MATCH(43,Programação!$AR$5:$AR$1004,0))))</f>
        <v/>
      </c>
      <c r="E50" s="24" t="str">
        <f aca="false">IF(COUNTIF(Programação!$AQ$5:$AQ$1004,1)&lt;43,"",IF(INDEX(Programação!$AG$5:$AG$1004,MATCH(43,Programação!$AR$5:$AR$1004,0))="","",INDEX(Programação!$AG$5:$AG$1004,MATCH(43,Programação!$AR$5:$AR$1004,0))))</f>
        <v/>
      </c>
      <c r="F50" s="22" t="str">
        <f aca="false">IF(COUNTIF(Programação!$AQ$5:$AQ$1004,1)&lt;43,"",IF(INDEX(Programação!$L$5:$L$1004,MATCH(43,Programação!$AR$5:$AR$1004,0))="","",INDEX(Programação!$L$5:$L$1004,MATCH(43,Programação!$AR$5:$AR$1004,0))))</f>
        <v/>
      </c>
      <c r="G50" s="25" t="str">
        <f aca="false">IF(COUNTIF(Programação!$AQ$5:$AQ$1004,1)&lt;43,"",IF(INDEX(Programação!$P$5:$P$1004,MATCH(43,Programação!$AR$5:$AR$1004,0))="","",INDEX(Programação!$P$5:$P$1004,MATCH(43,Programação!$AR$5:$AR$1004,0))))</f>
        <v/>
      </c>
      <c r="H50" s="22" t="str">
        <f aca="false">IF(COUNTIF(Programação!$AQ$5:$AQ$1004,1)&lt;43,"",IF(INDEX(Programação!$B$5:$B$1004,MATCH(43,Programação!$AR$5:$AR$1004,0))="","",INDEX(Programação!$B$5:$B$1004,MATCH(43,Programação!$AR$5:$AR$1004,0))))</f>
        <v/>
      </c>
      <c r="I50" s="22" t="str">
        <f aca="false">IF(COUNTIF(Programação!$AQ$5:$AQ$1004,1)&lt;43,"",MATCH(43,Programação!$AR$5:$AR$1004,0)+4)</f>
        <v/>
      </c>
    </row>
    <row r="51" customFormat="false" ht="15.75" hidden="false" customHeight="true" outlineLevel="0" collapsed="false">
      <c r="A51" s="22" t="str">
        <f aca="false">IF(COUNTIF(Programação!$AQ$5:$AQ$1004,1)&lt;44,"",IF(INDEX(Programação!$AM$5:$AM$1004,MATCH(44,Programação!$AR$5:$AR$1004,0))="","",INDEX(Programação!$AM$5:$AM$1004,MATCH(44,Programação!$AR$5:$AR$1004,0))))</f>
        <v/>
      </c>
      <c r="B51" s="22" t="str">
        <f aca="false">IF(COUNTIF(Programação!$AQ$5:$AQ$1004,1)&lt;44,"",IF(INDEX(Programação!$C$5:$C$1004,MATCH(44,Programação!$AR$5:$AR$1004,0))="","",INDEX(Programação!$C$5:$C$1004,MATCH(44,Programação!$AR$5:$AR$1004,0))))</f>
        <v/>
      </c>
      <c r="C51" s="24" t="str">
        <f aca="false">IF(COUNTIF(Programação!$AQ$5:$AQ$1004,1)&lt;44,"",IF(INDEX(Programação!$E$5:$E$1004,MATCH(44,Programação!$AR$5:$AR$1004,0))="","",INDEX(Programação!$E$5:$E$1004,MATCH(44,Programação!$AR$5:$AR$1004,0))))</f>
        <v/>
      </c>
      <c r="D51" s="24" t="str">
        <f aca="false">IF(COUNTIF(Programação!$AQ$5:$AQ$1004,1)&lt;44,"",IF(INDEX(Programação!$F$5:$F$1004,MATCH(44,Programação!$AR$5:$AR$1004,0))="","",INDEX(Programação!$F$5:$F$1004,MATCH(44,Programação!$AR$5:$AR$1004,0))))</f>
        <v/>
      </c>
      <c r="E51" s="24" t="str">
        <f aca="false">IF(COUNTIF(Programação!$AQ$5:$AQ$1004,1)&lt;44,"",IF(INDEX(Programação!$AG$5:$AG$1004,MATCH(44,Programação!$AR$5:$AR$1004,0))="","",INDEX(Programação!$AG$5:$AG$1004,MATCH(44,Programação!$AR$5:$AR$1004,0))))</f>
        <v/>
      </c>
      <c r="F51" s="22" t="str">
        <f aca="false">IF(COUNTIF(Programação!$AQ$5:$AQ$1004,1)&lt;44,"",IF(INDEX(Programação!$L$5:$L$1004,MATCH(44,Programação!$AR$5:$AR$1004,0))="","",INDEX(Programação!$L$5:$L$1004,MATCH(44,Programação!$AR$5:$AR$1004,0))))</f>
        <v/>
      </c>
      <c r="G51" s="25" t="str">
        <f aca="false">IF(COUNTIF(Programação!$AQ$5:$AQ$1004,1)&lt;44,"",IF(INDEX(Programação!$P$5:$P$1004,MATCH(44,Programação!$AR$5:$AR$1004,0))="","",INDEX(Programação!$P$5:$P$1004,MATCH(44,Programação!$AR$5:$AR$1004,0))))</f>
        <v/>
      </c>
      <c r="H51" s="22" t="str">
        <f aca="false">IF(COUNTIF(Programação!$AQ$5:$AQ$1004,1)&lt;44,"",IF(INDEX(Programação!$B$5:$B$1004,MATCH(44,Programação!$AR$5:$AR$1004,0))="","",INDEX(Programação!$B$5:$B$1004,MATCH(44,Programação!$AR$5:$AR$1004,0))))</f>
        <v/>
      </c>
      <c r="I51" s="22" t="str">
        <f aca="false">IF(COUNTIF(Programação!$AQ$5:$AQ$1004,1)&lt;44,"",MATCH(44,Programação!$AR$5:$AR$1004,0)+4)</f>
        <v/>
      </c>
    </row>
    <row r="52" customFormat="false" ht="15.75" hidden="false" customHeight="true" outlineLevel="0" collapsed="false">
      <c r="A52" s="22" t="str">
        <f aca="false">IF(COUNTIF(Programação!$AQ$5:$AQ$1004,1)&lt;45,"",IF(INDEX(Programação!$AM$5:$AM$1004,MATCH(45,Programação!$AR$5:$AR$1004,0))="","",INDEX(Programação!$AM$5:$AM$1004,MATCH(45,Programação!$AR$5:$AR$1004,0))))</f>
        <v/>
      </c>
      <c r="B52" s="22" t="str">
        <f aca="false">IF(COUNTIF(Programação!$AQ$5:$AQ$1004,1)&lt;45,"",IF(INDEX(Programação!$C$5:$C$1004,MATCH(45,Programação!$AR$5:$AR$1004,0))="","",INDEX(Programação!$C$5:$C$1004,MATCH(45,Programação!$AR$5:$AR$1004,0))))</f>
        <v/>
      </c>
      <c r="C52" s="24" t="str">
        <f aca="false">IF(COUNTIF(Programação!$AQ$5:$AQ$1004,1)&lt;45,"",IF(INDEX(Programação!$E$5:$E$1004,MATCH(45,Programação!$AR$5:$AR$1004,0))="","",INDEX(Programação!$E$5:$E$1004,MATCH(45,Programação!$AR$5:$AR$1004,0))))</f>
        <v/>
      </c>
      <c r="D52" s="24" t="str">
        <f aca="false">IF(COUNTIF(Programação!$AQ$5:$AQ$1004,1)&lt;45,"",IF(INDEX(Programação!$F$5:$F$1004,MATCH(45,Programação!$AR$5:$AR$1004,0))="","",INDEX(Programação!$F$5:$F$1004,MATCH(45,Programação!$AR$5:$AR$1004,0))))</f>
        <v/>
      </c>
      <c r="E52" s="24" t="str">
        <f aca="false">IF(COUNTIF(Programação!$AQ$5:$AQ$1004,1)&lt;45,"",IF(INDEX(Programação!$AG$5:$AG$1004,MATCH(45,Programação!$AR$5:$AR$1004,0))="","",INDEX(Programação!$AG$5:$AG$1004,MATCH(45,Programação!$AR$5:$AR$1004,0))))</f>
        <v/>
      </c>
      <c r="F52" s="22" t="str">
        <f aca="false">IF(COUNTIF(Programação!$AQ$5:$AQ$1004,1)&lt;45,"",IF(INDEX(Programação!$L$5:$L$1004,MATCH(45,Programação!$AR$5:$AR$1004,0))="","",INDEX(Programação!$L$5:$L$1004,MATCH(45,Programação!$AR$5:$AR$1004,0))))</f>
        <v/>
      </c>
      <c r="G52" s="25" t="str">
        <f aca="false">IF(COUNTIF(Programação!$AQ$5:$AQ$1004,1)&lt;45,"",IF(INDEX(Programação!$P$5:$P$1004,MATCH(45,Programação!$AR$5:$AR$1004,0))="","",INDEX(Programação!$P$5:$P$1004,MATCH(45,Programação!$AR$5:$AR$1004,0))))</f>
        <v/>
      </c>
      <c r="H52" s="22" t="str">
        <f aca="false">IF(COUNTIF(Programação!$AQ$5:$AQ$1004,1)&lt;45,"",IF(INDEX(Programação!$B$5:$B$1004,MATCH(45,Programação!$AR$5:$AR$1004,0))="","",INDEX(Programação!$B$5:$B$1004,MATCH(45,Programação!$AR$5:$AR$1004,0))))</f>
        <v/>
      </c>
      <c r="I52" s="22" t="str">
        <f aca="false">IF(COUNTIF(Programação!$AQ$5:$AQ$1004,1)&lt;45,"",MATCH(45,Programação!$AR$5:$AR$1004,0)+4)</f>
        <v/>
      </c>
    </row>
    <row r="53" customFormat="false" ht="15.75" hidden="false" customHeight="true" outlineLevel="0" collapsed="false">
      <c r="A53" s="22" t="str">
        <f aca="false">IF(COUNTIF(Programação!$AQ$5:$AQ$1004,1)&lt;46,"",IF(INDEX(Programação!$AM$5:$AM$1004,MATCH(46,Programação!$AR$5:$AR$1004,0))="","",INDEX(Programação!$AM$5:$AM$1004,MATCH(46,Programação!$AR$5:$AR$1004,0))))</f>
        <v/>
      </c>
      <c r="B53" s="22" t="str">
        <f aca="false">IF(COUNTIF(Programação!$AQ$5:$AQ$1004,1)&lt;46,"",IF(INDEX(Programação!$C$5:$C$1004,MATCH(46,Programação!$AR$5:$AR$1004,0))="","",INDEX(Programação!$C$5:$C$1004,MATCH(46,Programação!$AR$5:$AR$1004,0))))</f>
        <v/>
      </c>
      <c r="C53" s="24" t="str">
        <f aca="false">IF(COUNTIF(Programação!$AQ$5:$AQ$1004,1)&lt;46,"",IF(INDEX(Programação!$E$5:$E$1004,MATCH(46,Programação!$AR$5:$AR$1004,0))="","",INDEX(Programação!$E$5:$E$1004,MATCH(46,Programação!$AR$5:$AR$1004,0))))</f>
        <v/>
      </c>
      <c r="D53" s="24" t="str">
        <f aca="false">IF(COUNTIF(Programação!$AQ$5:$AQ$1004,1)&lt;46,"",IF(INDEX(Programação!$F$5:$F$1004,MATCH(46,Programação!$AR$5:$AR$1004,0))="","",INDEX(Programação!$F$5:$F$1004,MATCH(46,Programação!$AR$5:$AR$1004,0))))</f>
        <v/>
      </c>
      <c r="E53" s="24" t="str">
        <f aca="false">IF(COUNTIF(Programação!$AQ$5:$AQ$1004,1)&lt;46,"",IF(INDEX(Programação!$AG$5:$AG$1004,MATCH(46,Programação!$AR$5:$AR$1004,0))="","",INDEX(Programação!$AG$5:$AG$1004,MATCH(46,Programação!$AR$5:$AR$1004,0))))</f>
        <v/>
      </c>
      <c r="F53" s="22" t="str">
        <f aca="false">IF(COUNTIF(Programação!$AQ$5:$AQ$1004,1)&lt;46,"",IF(INDEX(Programação!$L$5:$L$1004,MATCH(46,Programação!$AR$5:$AR$1004,0))="","",INDEX(Programação!$L$5:$L$1004,MATCH(46,Programação!$AR$5:$AR$1004,0))))</f>
        <v/>
      </c>
      <c r="G53" s="25" t="str">
        <f aca="false">IF(COUNTIF(Programação!$AQ$5:$AQ$1004,1)&lt;46,"",IF(INDEX(Programação!$P$5:$P$1004,MATCH(46,Programação!$AR$5:$AR$1004,0))="","",INDEX(Programação!$P$5:$P$1004,MATCH(46,Programação!$AR$5:$AR$1004,0))))</f>
        <v/>
      </c>
      <c r="H53" s="22" t="str">
        <f aca="false">IF(COUNTIF(Programação!$AQ$5:$AQ$1004,1)&lt;46,"",IF(INDEX(Programação!$B$5:$B$1004,MATCH(46,Programação!$AR$5:$AR$1004,0))="","",INDEX(Programação!$B$5:$B$1004,MATCH(46,Programação!$AR$5:$AR$1004,0))))</f>
        <v/>
      </c>
      <c r="I53" s="22" t="str">
        <f aca="false">IF(COUNTIF(Programação!$AQ$5:$AQ$1004,1)&lt;46,"",MATCH(46,Programação!$AR$5:$AR$1004,0)+4)</f>
        <v/>
      </c>
    </row>
    <row r="54" customFormat="false" ht="15.75" hidden="false" customHeight="true" outlineLevel="0" collapsed="false">
      <c r="A54" s="22" t="str">
        <f aca="false">IF(COUNTIF(Programação!$AQ$5:$AQ$1004,1)&lt;47,"",IF(INDEX(Programação!$AM$5:$AM$1004,MATCH(47,Programação!$AR$5:$AR$1004,0))="","",INDEX(Programação!$AM$5:$AM$1004,MATCH(47,Programação!$AR$5:$AR$1004,0))))</f>
        <v/>
      </c>
      <c r="B54" s="22" t="str">
        <f aca="false">IF(COUNTIF(Programação!$AQ$5:$AQ$1004,1)&lt;47,"",IF(INDEX(Programação!$C$5:$C$1004,MATCH(47,Programação!$AR$5:$AR$1004,0))="","",INDEX(Programação!$C$5:$C$1004,MATCH(47,Programação!$AR$5:$AR$1004,0))))</f>
        <v/>
      </c>
      <c r="C54" s="24" t="str">
        <f aca="false">IF(COUNTIF(Programação!$AQ$5:$AQ$1004,1)&lt;47,"",IF(INDEX(Programação!$E$5:$E$1004,MATCH(47,Programação!$AR$5:$AR$1004,0))="","",INDEX(Programação!$E$5:$E$1004,MATCH(47,Programação!$AR$5:$AR$1004,0))))</f>
        <v/>
      </c>
      <c r="D54" s="24" t="str">
        <f aca="false">IF(COUNTIF(Programação!$AQ$5:$AQ$1004,1)&lt;47,"",IF(INDEX(Programação!$F$5:$F$1004,MATCH(47,Programação!$AR$5:$AR$1004,0))="","",INDEX(Programação!$F$5:$F$1004,MATCH(47,Programação!$AR$5:$AR$1004,0))))</f>
        <v/>
      </c>
      <c r="E54" s="24" t="str">
        <f aca="false">IF(COUNTIF(Programação!$AQ$5:$AQ$1004,1)&lt;47,"",IF(INDEX(Programação!$AG$5:$AG$1004,MATCH(47,Programação!$AR$5:$AR$1004,0))="","",INDEX(Programação!$AG$5:$AG$1004,MATCH(47,Programação!$AR$5:$AR$1004,0))))</f>
        <v/>
      </c>
      <c r="F54" s="22" t="str">
        <f aca="false">IF(COUNTIF(Programação!$AQ$5:$AQ$1004,1)&lt;47,"",IF(INDEX(Programação!$L$5:$L$1004,MATCH(47,Programação!$AR$5:$AR$1004,0))="","",INDEX(Programação!$L$5:$L$1004,MATCH(47,Programação!$AR$5:$AR$1004,0))))</f>
        <v/>
      </c>
      <c r="G54" s="25" t="str">
        <f aca="false">IF(COUNTIF(Programação!$AQ$5:$AQ$1004,1)&lt;47,"",IF(INDEX(Programação!$P$5:$P$1004,MATCH(47,Programação!$AR$5:$AR$1004,0))="","",INDEX(Programação!$P$5:$P$1004,MATCH(47,Programação!$AR$5:$AR$1004,0))))</f>
        <v/>
      </c>
      <c r="H54" s="22" t="str">
        <f aca="false">IF(COUNTIF(Programação!$AQ$5:$AQ$1004,1)&lt;47,"",IF(INDEX(Programação!$B$5:$B$1004,MATCH(47,Programação!$AR$5:$AR$1004,0))="","",INDEX(Programação!$B$5:$B$1004,MATCH(47,Programação!$AR$5:$AR$1004,0))))</f>
        <v/>
      </c>
      <c r="I54" s="22" t="str">
        <f aca="false">IF(COUNTIF(Programação!$AQ$5:$AQ$1004,1)&lt;47,"",MATCH(47,Programação!$AR$5:$AR$1004,0)+4)</f>
        <v/>
      </c>
    </row>
    <row r="55" customFormat="false" ht="15.75" hidden="false" customHeight="true" outlineLevel="0" collapsed="false">
      <c r="A55" s="22" t="str">
        <f aca="false">IF(COUNTIF(Programação!$AQ$5:$AQ$1004,1)&lt;48,"",IF(INDEX(Programação!$AM$5:$AM$1004,MATCH(48,Programação!$AR$5:$AR$1004,0))="","",INDEX(Programação!$AM$5:$AM$1004,MATCH(48,Programação!$AR$5:$AR$1004,0))))</f>
        <v/>
      </c>
      <c r="B55" s="22" t="str">
        <f aca="false">IF(COUNTIF(Programação!$AQ$5:$AQ$1004,1)&lt;48,"",IF(INDEX(Programação!$C$5:$C$1004,MATCH(48,Programação!$AR$5:$AR$1004,0))="","",INDEX(Programação!$C$5:$C$1004,MATCH(48,Programação!$AR$5:$AR$1004,0))))</f>
        <v/>
      </c>
      <c r="C55" s="24" t="str">
        <f aca="false">IF(COUNTIF(Programação!$AQ$5:$AQ$1004,1)&lt;48,"",IF(INDEX(Programação!$E$5:$E$1004,MATCH(48,Programação!$AR$5:$AR$1004,0))="","",INDEX(Programação!$E$5:$E$1004,MATCH(48,Programação!$AR$5:$AR$1004,0))))</f>
        <v/>
      </c>
      <c r="D55" s="24" t="str">
        <f aca="false">IF(COUNTIF(Programação!$AQ$5:$AQ$1004,1)&lt;48,"",IF(INDEX(Programação!$F$5:$F$1004,MATCH(48,Programação!$AR$5:$AR$1004,0))="","",INDEX(Programação!$F$5:$F$1004,MATCH(48,Programação!$AR$5:$AR$1004,0))))</f>
        <v/>
      </c>
      <c r="E55" s="24" t="str">
        <f aca="false">IF(COUNTIF(Programação!$AQ$5:$AQ$1004,1)&lt;48,"",IF(INDEX(Programação!$AG$5:$AG$1004,MATCH(48,Programação!$AR$5:$AR$1004,0))="","",INDEX(Programação!$AG$5:$AG$1004,MATCH(48,Programação!$AR$5:$AR$1004,0))))</f>
        <v/>
      </c>
      <c r="F55" s="22" t="str">
        <f aca="false">IF(COUNTIF(Programação!$AQ$5:$AQ$1004,1)&lt;48,"",IF(INDEX(Programação!$L$5:$L$1004,MATCH(48,Programação!$AR$5:$AR$1004,0))="","",INDEX(Programação!$L$5:$L$1004,MATCH(48,Programação!$AR$5:$AR$1004,0))))</f>
        <v/>
      </c>
      <c r="G55" s="25" t="str">
        <f aca="false">IF(COUNTIF(Programação!$AQ$5:$AQ$1004,1)&lt;48,"",IF(INDEX(Programação!$P$5:$P$1004,MATCH(48,Programação!$AR$5:$AR$1004,0))="","",INDEX(Programação!$P$5:$P$1004,MATCH(48,Programação!$AR$5:$AR$1004,0))))</f>
        <v/>
      </c>
      <c r="H55" s="22" t="str">
        <f aca="false">IF(COUNTIF(Programação!$AQ$5:$AQ$1004,1)&lt;48,"",IF(INDEX(Programação!$B$5:$B$1004,MATCH(48,Programação!$AR$5:$AR$1004,0))="","",INDEX(Programação!$B$5:$B$1004,MATCH(48,Programação!$AR$5:$AR$1004,0))))</f>
        <v/>
      </c>
      <c r="I55" s="22" t="str">
        <f aca="false">IF(COUNTIF(Programação!$AQ$5:$AQ$1004,1)&lt;48,"",MATCH(48,Programação!$AR$5:$AR$1004,0)+4)</f>
        <v/>
      </c>
    </row>
    <row r="56" customFormat="false" ht="15.75" hidden="false" customHeight="true" outlineLevel="0" collapsed="false">
      <c r="A56" s="22" t="str">
        <f aca="false">IF(COUNTIF(Programação!$AQ$5:$AQ$1004,1)&lt;49,"",IF(INDEX(Programação!$AM$5:$AM$1004,MATCH(49,Programação!$AR$5:$AR$1004,0))="","",INDEX(Programação!$AM$5:$AM$1004,MATCH(49,Programação!$AR$5:$AR$1004,0))))</f>
        <v/>
      </c>
      <c r="B56" s="22" t="str">
        <f aca="false">IF(COUNTIF(Programação!$AQ$5:$AQ$1004,1)&lt;49,"",IF(INDEX(Programação!$C$5:$C$1004,MATCH(49,Programação!$AR$5:$AR$1004,0))="","",INDEX(Programação!$C$5:$C$1004,MATCH(49,Programação!$AR$5:$AR$1004,0))))</f>
        <v/>
      </c>
      <c r="C56" s="24" t="str">
        <f aca="false">IF(COUNTIF(Programação!$AQ$5:$AQ$1004,1)&lt;49,"",IF(INDEX(Programação!$E$5:$E$1004,MATCH(49,Programação!$AR$5:$AR$1004,0))="","",INDEX(Programação!$E$5:$E$1004,MATCH(49,Programação!$AR$5:$AR$1004,0))))</f>
        <v/>
      </c>
      <c r="D56" s="24" t="str">
        <f aca="false">IF(COUNTIF(Programação!$AQ$5:$AQ$1004,1)&lt;49,"",IF(INDEX(Programação!$F$5:$F$1004,MATCH(49,Programação!$AR$5:$AR$1004,0))="","",INDEX(Programação!$F$5:$F$1004,MATCH(49,Programação!$AR$5:$AR$1004,0))))</f>
        <v/>
      </c>
      <c r="E56" s="24" t="str">
        <f aca="false">IF(COUNTIF(Programação!$AQ$5:$AQ$1004,1)&lt;49,"",IF(INDEX(Programação!$AG$5:$AG$1004,MATCH(49,Programação!$AR$5:$AR$1004,0))="","",INDEX(Programação!$AG$5:$AG$1004,MATCH(49,Programação!$AR$5:$AR$1004,0))))</f>
        <v/>
      </c>
      <c r="F56" s="22" t="str">
        <f aca="false">IF(COUNTIF(Programação!$AQ$5:$AQ$1004,1)&lt;49,"",IF(INDEX(Programação!$L$5:$L$1004,MATCH(49,Programação!$AR$5:$AR$1004,0))="","",INDEX(Programação!$L$5:$L$1004,MATCH(49,Programação!$AR$5:$AR$1004,0))))</f>
        <v/>
      </c>
      <c r="G56" s="25" t="str">
        <f aca="false">IF(COUNTIF(Programação!$AQ$5:$AQ$1004,1)&lt;49,"",IF(INDEX(Programação!$P$5:$P$1004,MATCH(49,Programação!$AR$5:$AR$1004,0))="","",INDEX(Programação!$P$5:$P$1004,MATCH(49,Programação!$AR$5:$AR$1004,0))))</f>
        <v/>
      </c>
      <c r="H56" s="22" t="str">
        <f aca="false">IF(COUNTIF(Programação!$AQ$5:$AQ$1004,1)&lt;49,"",IF(INDEX(Programação!$B$5:$B$1004,MATCH(49,Programação!$AR$5:$AR$1004,0))="","",INDEX(Programação!$B$5:$B$1004,MATCH(49,Programação!$AR$5:$AR$1004,0))))</f>
        <v/>
      </c>
      <c r="I56" s="22" t="str">
        <f aca="false">IF(COUNTIF(Programação!$AQ$5:$AQ$1004,1)&lt;49,"",MATCH(49,Programação!$AR$5:$AR$1004,0)+4)</f>
        <v/>
      </c>
    </row>
    <row r="57" customFormat="false" ht="15.75" hidden="false" customHeight="true" outlineLevel="0" collapsed="false">
      <c r="A57" s="22" t="str">
        <f aca="false">IF(COUNTIF(Programação!$AQ$5:$AQ$1004,1)&lt;50,"",IF(INDEX(Programação!$AM$5:$AM$1004,MATCH(50,Programação!$AR$5:$AR$1004,0))="","",INDEX(Programação!$AM$5:$AM$1004,MATCH(50,Programação!$AR$5:$AR$1004,0))))</f>
        <v/>
      </c>
      <c r="B57" s="22" t="str">
        <f aca="false">IF(COUNTIF(Programação!$AQ$5:$AQ$1004,1)&lt;50,"",IF(INDEX(Programação!$C$5:$C$1004,MATCH(50,Programação!$AR$5:$AR$1004,0))="","",INDEX(Programação!$C$5:$C$1004,MATCH(50,Programação!$AR$5:$AR$1004,0))))</f>
        <v/>
      </c>
      <c r="C57" s="24" t="str">
        <f aca="false">IF(COUNTIF(Programação!$AQ$5:$AQ$1004,1)&lt;50,"",IF(INDEX(Programação!$E$5:$E$1004,MATCH(50,Programação!$AR$5:$AR$1004,0))="","",INDEX(Programação!$E$5:$E$1004,MATCH(50,Programação!$AR$5:$AR$1004,0))))</f>
        <v/>
      </c>
      <c r="D57" s="24" t="str">
        <f aca="false">IF(COUNTIF(Programação!$AQ$5:$AQ$1004,1)&lt;50,"",IF(INDEX(Programação!$F$5:$F$1004,MATCH(50,Programação!$AR$5:$AR$1004,0))="","",INDEX(Programação!$F$5:$F$1004,MATCH(50,Programação!$AR$5:$AR$1004,0))))</f>
        <v/>
      </c>
      <c r="E57" s="24" t="str">
        <f aca="false">IF(COUNTIF(Programação!$AQ$5:$AQ$1004,1)&lt;50,"",IF(INDEX(Programação!$AG$5:$AG$1004,MATCH(50,Programação!$AR$5:$AR$1004,0))="","",INDEX(Programação!$AG$5:$AG$1004,MATCH(50,Programação!$AR$5:$AR$1004,0))))</f>
        <v/>
      </c>
      <c r="F57" s="22" t="str">
        <f aca="false">IF(COUNTIF(Programação!$AQ$5:$AQ$1004,1)&lt;50,"",IF(INDEX(Programação!$L$5:$L$1004,MATCH(50,Programação!$AR$5:$AR$1004,0))="","",INDEX(Programação!$L$5:$L$1004,MATCH(50,Programação!$AR$5:$AR$1004,0))))</f>
        <v/>
      </c>
      <c r="G57" s="25" t="str">
        <f aca="false">IF(COUNTIF(Programação!$AQ$5:$AQ$1004,1)&lt;50,"",IF(INDEX(Programação!$P$5:$P$1004,MATCH(50,Programação!$AR$5:$AR$1004,0))="","",INDEX(Programação!$P$5:$P$1004,MATCH(50,Programação!$AR$5:$AR$1004,0))))</f>
        <v/>
      </c>
      <c r="H57" s="22" t="str">
        <f aca="false">IF(COUNTIF(Programação!$AQ$5:$AQ$1004,1)&lt;50,"",IF(INDEX(Programação!$B$5:$B$1004,MATCH(50,Programação!$AR$5:$AR$1004,0))="","",INDEX(Programação!$B$5:$B$1004,MATCH(50,Programação!$AR$5:$AR$1004,0))))</f>
        <v/>
      </c>
      <c r="I57" s="22" t="str">
        <f aca="false">IF(COUNTIF(Programação!$AQ$5:$AQ$1004,1)&lt;50,"",MATCH(50,Programação!$AR$5:$AR$1004,0)+4)</f>
        <v/>
      </c>
    </row>
    <row r="58" customFormat="false" ht="15.75" hidden="false" customHeight="true" outlineLevel="0" collapsed="false">
      <c r="A58" s="22" t="str">
        <f aca="false">IF(COUNTIF(Programação!$AQ$5:$AQ$1004,1)&lt;51,"",IF(INDEX(Programação!$AM$5:$AM$1004,MATCH(51,Programação!$AR$5:$AR$1004,0))="","",INDEX(Programação!$AM$5:$AM$1004,MATCH(51,Programação!$AR$5:$AR$1004,0))))</f>
        <v/>
      </c>
      <c r="B58" s="22" t="str">
        <f aca="false">IF(COUNTIF(Programação!$AQ$5:$AQ$1004,1)&lt;51,"",IF(INDEX(Programação!$C$5:$C$1004,MATCH(51,Programação!$AR$5:$AR$1004,0))="","",INDEX(Programação!$C$5:$C$1004,MATCH(51,Programação!$AR$5:$AR$1004,0))))</f>
        <v/>
      </c>
      <c r="C58" s="24" t="str">
        <f aca="false">IF(COUNTIF(Programação!$AQ$5:$AQ$1004,1)&lt;51,"",IF(INDEX(Programação!$E$5:$E$1004,MATCH(51,Programação!$AR$5:$AR$1004,0))="","",INDEX(Programação!$E$5:$E$1004,MATCH(51,Programação!$AR$5:$AR$1004,0))))</f>
        <v/>
      </c>
      <c r="D58" s="24" t="str">
        <f aca="false">IF(COUNTIF(Programação!$AQ$5:$AQ$1004,1)&lt;51,"",IF(INDEX(Programação!$F$5:$F$1004,MATCH(51,Programação!$AR$5:$AR$1004,0))="","",INDEX(Programação!$F$5:$F$1004,MATCH(51,Programação!$AR$5:$AR$1004,0))))</f>
        <v/>
      </c>
      <c r="E58" s="24" t="str">
        <f aca="false">IF(COUNTIF(Programação!$AQ$5:$AQ$1004,1)&lt;51,"",IF(INDEX(Programação!$AG$5:$AG$1004,MATCH(51,Programação!$AR$5:$AR$1004,0))="","",INDEX(Programação!$AG$5:$AG$1004,MATCH(51,Programação!$AR$5:$AR$1004,0))))</f>
        <v/>
      </c>
      <c r="F58" s="22" t="str">
        <f aca="false">IF(COUNTIF(Programação!$AQ$5:$AQ$1004,1)&lt;51,"",IF(INDEX(Programação!$L$5:$L$1004,MATCH(51,Programação!$AR$5:$AR$1004,0))="","",INDEX(Programação!$L$5:$L$1004,MATCH(51,Programação!$AR$5:$AR$1004,0))))</f>
        <v/>
      </c>
      <c r="G58" s="25" t="str">
        <f aca="false">IF(COUNTIF(Programação!$AQ$5:$AQ$1004,1)&lt;51,"",IF(INDEX(Programação!$P$5:$P$1004,MATCH(51,Programação!$AR$5:$AR$1004,0))="","",INDEX(Programação!$P$5:$P$1004,MATCH(51,Programação!$AR$5:$AR$1004,0))))</f>
        <v/>
      </c>
      <c r="H58" s="22" t="str">
        <f aca="false">IF(COUNTIF(Programação!$AQ$5:$AQ$1004,1)&lt;51,"",IF(INDEX(Programação!$B$5:$B$1004,MATCH(51,Programação!$AR$5:$AR$1004,0))="","",INDEX(Programação!$B$5:$B$1004,MATCH(51,Programação!$AR$5:$AR$1004,0))))</f>
        <v/>
      </c>
      <c r="I58" s="22" t="str">
        <f aca="false">IF(COUNTIF(Programação!$AQ$5:$AQ$1004,1)&lt;51,"",MATCH(51,Programação!$AR$5:$AR$1004,0)+4)</f>
        <v/>
      </c>
    </row>
    <row r="59" customFormat="false" ht="15.75" hidden="false" customHeight="true" outlineLevel="0" collapsed="false">
      <c r="A59" s="22" t="str">
        <f aca="false">IF(COUNTIF(Programação!$AQ$5:$AQ$1004,1)&lt;52,"",IF(INDEX(Programação!$AM$5:$AM$1004,MATCH(52,Programação!$AR$5:$AR$1004,0))="","",INDEX(Programação!$AM$5:$AM$1004,MATCH(52,Programação!$AR$5:$AR$1004,0))))</f>
        <v/>
      </c>
      <c r="B59" s="22" t="str">
        <f aca="false">IF(COUNTIF(Programação!$AQ$5:$AQ$1004,1)&lt;52,"",IF(INDEX(Programação!$C$5:$C$1004,MATCH(52,Programação!$AR$5:$AR$1004,0))="","",INDEX(Programação!$C$5:$C$1004,MATCH(52,Programação!$AR$5:$AR$1004,0))))</f>
        <v/>
      </c>
      <c r="C59" s="24" t="str">
        <f aca="false">IF(COUNTIF(Programação!$AQ$5:$AQ$1004,1)&lt;52,"",IF(INDEX(Programação!$E$5:$E$1004,MATCH(52,Programação!$AR$5:$AR$1004,0))="","",INDEX(Programação!$E$5:$E$1004,MATCH(52,Programação!$AR$5:$AR$1004,0))))</f>
        <v/>
      </c>
      <c r="D59" s="24" t="str">
        <f aca="false">IF(COUNTIF(Programação!$AQ$5:$AQ$1004,1)&lt;52,"",IF(INDEX(Programação!$F$5:$F$1004,MATCH(52,Programação!$AR$5:$AR$1004,0))="","",INDEX(Programação!$F$5:$F$1004,MATCH(52,Programação!$AR$5:$AR$1004,0))))</f>
        <v/>
      </c>
      <c r="E59" s="24" t="str">
        <f aca="false">IF(COUNTIF(Programação!$AQ$5:$AQ$1004,1)&lt;52,"",IF(INDEX(Programação!$AG$5:$AG$1004,MATCH(52,Programação!$AR$5:$AR$1004,0))="","",INDEX(Programação!$AG$5:$AG$1004,MATCH(52,Programação!$AR$5:$AR$1004,0))))</f>
        <v/>
      </c>
      <c r="F59" s="22" t="str">
        <f aca="false">IF(COUNTIF(Programação!$AQ$5:$AQ$1004,1)&lt;52,"",IF(INDEX(Programação!$L$5:$L$1004,MATCH(52,Programação!$AR$5:$AR$1004,0))="","",INDEX(Programação!$L$5:$L$1004,MATCH(52,Programação!$AR$5:$AR$1004,0))))</f>
        <v/>
      </c>
      <c r="G59" s="25" t="str">
        <f aca="false">IF(COUNTIF(Programação!$AQ$5:$AQ$1004,1)&lt;52,"",IF(INDEX(Programação!$P$5:$P$1004,MATCH(52,Programação!$AR$5:$AR$1004,0))="","",INDEX(Programação!$P$5:$P$1004,MATCH(52,Programação!$AR$5:$AR$1004,0))))</f>
        <v/>
      </c>
      <c r="H59" s="22" t="str">
        <f aca="false">IF(COUNTIF(Programação!$AQ$5:$AQ$1004,1)&lt;52,"",IF(INDEX(Programação!$B$5:$B$1004,MATCH(52,Programação!$AR$5:$AR$1004,0))="","",INDEX(Programação!$B$5:$B$1004,MATCH(52,Programação!$AR$5:$AR$1004,0))))</f>
        <v/>
      </c>
      <c r="I59" s="22" t="str">
        <f aca="false">IF(COUNTIF(Programação!$AQ$5:$AQ$1004,1)&lt;52,"",MATCH(52,Programação!$AR$5:$AR$1004,0)+4)</f>
        <v/>
      </c>
    </row>
    <row r="60" customFormat="false" ht="15.75" hidden="false" customHeight="true" outlineLevel="0" collapsed="false">
      <c r="A60" s="22" t="str">
        <f aca="false">IF(COUNTIF(Programação!$AQ$5:$AQ$1004,1)&lt;53,"",IF(INDEX(Programação!$AM$5:$AM$1004,MATCH(53,Programação!$AR$5:$AR$1004,0))="","",INDEX(Programação!$AM$5:$AM$1004,MATCH(53,Programação!$AR$5:$AR$1004,0))))</f>
        <v/>
      </c>
      <c r="B60" s="22" t="str">
        <f aca="false">IF(COUNTIF(Programação!$AQ$5:$AQ$1004,1)&lt;53,"",IF(INDEX(Programação!$C$5:$C$1004,MATCH(53,Programação!$AR$5:$AR$1004,0))="","",INDEX(Programação!$C$5:$C$1004,MATCH(53,Programação!$AR$5:$AR$1004,0))))</f>
        <v/>
      </c>
      <c r="C60" s="24" t="str">
        <f aca="false">IF(COUNTIF(Programação!$AQ$5:$AQ$1004,1)&lt;53,"",IF(INDEX(Programação!$E$5:$E$1004,MATCH(53,Programação!$AR$5:$AR$1004,0))="","",INDEX(Programação!$E$5:$E$1004,MATCH(53,Programação!$AR$5:$AR$1004,0))))</f>
        <v/>
      </c>
      <c r="D60" s="24" t="str">
        <f aca="false">IF(COUNTIF(Programação!$AQ$5:$AQ$1004,1)&lt;53,"",IF(INDEX(Programação!$F$5:$F$1004,MATCH(53,Programação!$AR$5:$AR$1004,0))="","",INDEX(Programação!$F$5:$F$1004,MATCH(53,Programação!$AR$5:$AR$1004,0))))</f>
        <v/>
      </c>
      <c r="E60" s="24" t="str">
        <f aca="false">IF(COUNTIF(Programação!$AQ$5:$AQ$1004,1)&lt;53,"",IF(INDEX(Programação!$AG$5:$AG$1004,MATCH(53,Programação!$AR$5:$AR$1004,0))="","",INDEX(Programação!$AG$5:$AG$1004,MATCH(53,Programação!$AR$5:$AR$1004,0))))</f>
        <v/>
      </c>
      <c r="F60" s="22" t="str">
        <f aca="false">IF(COUNTIF(Programação!$AQ$5:$AQ$1004,1)&lt;53,"",IF(INDEX(Programação!$L$5:$L$1004,MATCH(53,Programação!$AR$5:$AR$1004,0))="","",INDEX(Programação!$L$5:$L$1004,MATCH(53,Programação!$AR$5:$AR$1004,0))))</f>
        <v/>
      </c>
      <c r="G60" s="25" t="str">
        <f aca="false">IF(COUNTIF(Programação!$AQ$5:$AQ$1004,1)&lt;53,"",IF(INDEX(Programação!$P$5:$P$1004,MATCH(53,Programação!$AR$5:$AR$1004,0))="","",INDEX(Programação!$P$5:$P$1004,MATCH(53,Programação!$AR$5:$AR$1004,0))))</f>
        <v/>
      </c>
      <c r="H60" s="22" t="str">
        <f aca="false">IF(COUNTIF(Programação!$AQ$5:$AQ$1004,1)&lt;53,"",IF(INDEX(Programação!$B$5:$B$1004,MATCH(53,Programação!$AR$5:$AR$1004,0))="","",INDEX(Programação!$B$5:$B$1004,MATCH(53,Programação!$AR$5:$AR$1004,0))))</f>
        <v/>
      </c>
      <c r="I60" s="22" t="str">
        <f aca="false">IF(COUNTIF(Programação!$AQ$5:$AQ$1004,1)&lt;53,"",MATCH(53,Programação!$AR$5:$AR$1004,0)+4)</f>
        <v/>
      </c>
    </row>
    <row r="61" customFormat="false" ht="15.75" hidden="false" customHeight="true" outlineLevel="0" collapsed="false">
      <c r="A61" s="22" t="str">
        <f aca="false">IF(COUNTIF(Programação!$AQ$5:$AQ$1004,1)&lt;54,"",IF(INDEX(Programação!$AM$5:$AM$1004,MATCH(54,Programação!$AR$5:$AR$1004,0))="","",INDEX(Programação!$AM$5:$AM$1004,MATCH(54,Programação!$AR$5:$AR$1004,0))))</f>
        <v/>
      </c>
      <c r="B61" s="22" t="str">
        <f aca="false">IF(COUNTIF(Programação!$AQ$5:$AQ$1004,1)&lt;54,"",IF(INDEX(Programação!$C$5:$C$1004,MATCH(54,Programação!$AR$5:$AR$1004,0))="","",INDEX(Programação!$C$5:$C$1004,MATCH(54,Programação!$AR$5:$AR$1004,0))))</f>
        <v/>
      </c>
      <c r="C61" s="24" t="str">
        <f aca="false">IF(COUNTIF(Programação!$AQ$5:$AQ$1004,1)&lt;54,"",IF(INDEX(Programação!$E$5:$E$1004,MATCH(54,Programação!$AR$5:$AR$1004,0))="","",INDEX(Programação!$E$5:$E$1004,MATCH(54,Programação!$AR$5:$AR$1004,0))))</f>
        <v/>
      </c>
      <c r="D61" s="24" t="str">
        <f aca="false">IF(COUNTIF(Programação!$AQ$5:$AQ$1004,1)&lt;54,"",IF(INDEX(Programação!$F$5:$F$1004,MATCH(54,Programação!$AR$5:$AR$1004,0))="","",INDEX(Programação!$F$5:$F$1004,MATCH(54,Programação!$AR$5:$AR$1004,0))))</f>
        <v/>
      </c>
      <c r="E61" s="24" t="str">
        <f aca="false">IF(COUNTIF(Programação!$AQ$5:$AQ$1004,1)&lt;54,"",IF(INDEX(Programação!$AG$5:$AG$1004,MATCH(54,Programação!$AR$5:$AR$1004,0))="","",INDEX(Programação!$AG$5:$AG$1004,MATCH(54,Programação!$AR$5:$AR$1004,0))))</f>
        <v/>
      </c>
      <c r="F61" s="22" t="str">
        <f aca="false">IF(COUNTIF(Programação!$AQ$5:$AQ$1004,1)&lt;54,"",IF(INDEX(Programação!$L$5:$L$1004,MATCH(54,Programação!$AR$5:$AR$1004,0))="","",INDEX(Programação!$L$5:$L$1004,MATCH(54,Programação!$AR$5:$AR$1004,0))))</f>
        <v/>
      </c>
      <c r="G61" s="25" t="str">
        <f aca="false">IF(COUNTIF(Programação!$AQ$5:$AQ$1004,1)&lt;54,"",IF(INDEX(Programação!$P$5:$P$1004,MATCH(54,Programação!$AR$5:$AR$1004,0))="","",INDEX(Programação!$P$5:$P$1004,MATCH(54,Programação!$AR$5:$AR$1004,0))))</f>
        <v/>
      </c>
      <c r="H61" s="22" t="str">
        <f aca="false">IF(COUNTIF(Programação!$AQ$5:$AQ$1004,1)&lt;54,"",IF(INDEX(Programação!$B$5:$B$1004,MATCH(54,Programação!$AR$5:$AR$1004,0))="","",INDEX(Programação!$B$5:$B$1004,MATCH(54,Programação!$AR$5:$AR$1004,0))))</f>
        <v/>
      </c>
      <c r="I61" s="22" t="str">
        <f aca="false">IF(COUNTIF(Programação!$AQ$5:$AQ$1004,1)&lt;54,"",MATCH(54,Programação!$AR$5:$AR$1004,0)+4)</f>
        <v/>
      </c>
    </row>
    <row r="62" customFormat="false" ht="15.75" hidden="false" customHeight="true" outlineLevel="0" collapsed="false">
      <c r="A62" s="22" t="str">
        <f aca="false">IF(COUNTIF(Programação!$AQ$5:$AQ$1004,1)&lt;55,"",IF(INDEX(Programação!$AM$5:$AM$1004,MATCH(55,Programação!$AR$5:$AR$1004,0))="","",INDEX(Programação!$AM$5:$AM$1004,MATCH(55,Programação!$AR$5:$AR$1004,0))))</f>
        <v/>
      </c>
      <c r="B62" s="22" t="str">
        <f aca="false">IF(COUNTIF(Programação!$AQ$5:$AQ$1004,1)&lt;55,"",IF(INDEX(Programação!$C$5:$C$1004,MATCH(55,Programação!$AR$5:$AR$1004,0))="","",INDEX(Programação!$C$5:$C$1004,MATCH(55,Programação!$AR$5:$AR$1004,0))))</f>
        <v/>
      </c>
      <c r="C62" s="24" t="str">
        <f aca="false">IF(COUNTIF(Programação!$AQ$5:$AQ$1004,1)&lt;55,"",IF(INDEX(Programação!$E$5:$E$1004,MATCH(55,Programação!$AR$5:$AR$1004,0))="","",INDEX(Programação!$E$5:$E$1004,MATCH(55,Programação!$AR$5:$AR$1004,0))))</f>
        <v/>
      </c>
      <c r="D62" s="24" t="str">
        <f aca="false">IF(COUNTIF(Programação!$AQ$5:$AQ$1004,1)&lt;55,"",IF(INDEX(Programação!$F$5:$F$1004,MATCH(55,Programação!$AR$5:$AR$1004,0))="","",INDEX(Programação!$F$5:$F$1004,MATCH(55,Programação!$AR$5:$AR$1004,0))))</f>
        <v/>
      </c>
      <c r="E62" s="24" t="str">
        <f aca="false">IF(COUNTIF(Programação!$AQ$5:$AQ$1004,1)&lt;55,"",IF(INDEX(Programação!$AG$5:$AG$1004,MATCH(55,Programação!$AR$5:$AR$1004,0))="","",INDEX(Programação!$AG$5:$AG$1004,MATCH(55,Programação!$AR$5:$AR$1004,0))))</f>
        <v/>
      </c>
      <c r="F62" s="22" t="str">
        <f aca="false">IF(COUNTIF(Programação!$AQ$5:$AQ$1004,1)&lt;55,"",IF(INDEX(Programação!$L$5:$L$1004,MATCH(55,Programação!$AR$5:$AR$1004,0))="","",INDEX(Programação!$L$5:$L$1004,MATCH(55,Programação!$AR$5:$AR$1004,0))))</f>
        <v/>
      </c>
      <c r="G62" s="25" t="str">
        <f aca="false">IF(COUNTIF(Programação!$AQ$5:$AQ$1004,1)&lt;55,"",IF(INDEX(Programação!$P$5:$P$1004,MATCH(55,Programação!$AR$5:$AR$1004,0))="","",INDEX(Programação!$P$5:$P$1004,MATCH(55,Programação!$AR$5:$AR$1004,0))))</f>
        <v/>
      </c>
      <c r="H62" s="22" t="str">
        <f aca="false">IF(COUNTIF(Programação!$AQ$5:$AQ$1004,1)&lt;55,"",IF(INDEX(Programação!$B$5:$B$1004,MATCH(55,Programação!$AR$5:$AR$1004,0))="","",INDEX(Programação!$B$5:$B$1004,MATCH(55,Programação!$AR$5:$AR$1004,0))))</f>
        <v/>
      </c>
      <c r="I62" s="22" t="str">
        <f aca="false">IF(COUNTIF(Programação!$AQ$5:$AQ$1004,1)&lt;55,"",MATCH(55,Programação!$AR$5:$AR$1004,0)+4)</f>
        <v/>
      </c>
    </row>
    <row r="63" customFormat="false" ht="15.75" hidden="false" customHeight="true" outlineLevel="0" collapsed="false">
      <c r="A63" s="22" t="str">
        <f aca="false">IF(COUNTIF(Programação!$AQ$5:$AQ$1004,1)&lt;56,"",IF(INDEX(Programação!$AM$5:$AM$1004,MATCH(56,Programação!$AR$5:$AR$1004,0))="","",INDEX(Programação!$AM$5:$AM$1004,MATCH(56,Programação!$AR$5:$AR$1004,0))))</f>
        <v/>
      </c>
      <c r="B63" s="22" t="str">
        <f aca="false">IF(COUNTIF(Programação!$AQ$5:$AQ$1004,1)&lt;56,"",IF(INDEX(Programação!$C$5:$C$1004,MATCH(56,Programação!$AR$5:$AR$1004,0))="","",INDEX(Programação!$C$5:$C$1004,MATCH(56,Programação!$AR$5:$AR$1004,0))))</f>
        <v/>
      </c>
      <c r="C63" s="24" t="str">
        <f aca="false">IF(COUNTIF(Programação!$AQ$5:$AQ$1004,1)&lt;56,"",IF(INDEX(Programação!$E$5:$E$1004,MATCH(56,Programação!$AR$5:$AR$1004,0))="","",INDEX(Programação!$E$5:$E$1004,MATCH(56,Programação!$AR$5:$AR$1004,0))))</f>
        <v/>
      </c>
      <c r="D63" s="24" t="str">
        <f aca="false">IF(COUNTIF(Programação!$AQ$5:$AQ$1004,1)&lt;56,"",IF(INDEX(Programação!$F$5:$F$1004,MATCH(56,Programação!$AR$5:$AR$1004,0))="","",INDEX(Programação!$F$5:$F$1004,MATCH(56,Programação!$AR$5:$AR$1004,0))))</f>
        <v/>
      </c>
      <c r="E63" s="24" t="str">
        <f aca="false">IF(COUNTIF(Programação!$AQ$5:$AQ$1004,1)&lt;56,"",IF(INDEX(Programação!$AG$5:$AG$1004,MATCH(56,Programação!$AR$5:$AR$1004,0))="","",INDEX(Programação!$AG$5:$AG$1004,MATCH(56,Programação!$AR$5:$AR$1004,0))))</f>
        <v/>
      </c>
      <c r="F63" s="22" t="str">
        <f aca="false">IF(COUNTIF(Programação!$AQ$5:$AQ$1004,1)&lt;56,"",IF(INDEX(Programação!$L$5:$L$1004,MATCH(56,Programação!$AR$5:$AR$1004,0))="","",INDEX(Programação!$L$5:$L$1004,MATCH(56,Programação!$AR$5:$AR$1004,0))))</f>
        <v/>
      </c>
      <c r="G63" s="25" t="str">
        <f aca="false">IF(COUNTIF(Programação!$AQ$5:$AQ$1004,1)&lt;56,"",IF(INDEX(Programação!$P$5:$P$1004,MATCH(56,Programação!$AR$5:$AR$1004,0))="","",INDEX(Programação!$P$5:$P$1004,MATCH(56,Programação!$AR$5:$AR$1004,0))))</f>
        <v/>
      </c>
      <c r="H63" s="22" t="str">
        <f aca="false">IF(COUNTIF(Programação!$AQ$5:$AQ$1004,1)&lt;56,"",IF(INDEX(Programação!$B$5:$B$1004,MATCH(56,Programação!$AR$5:$AR$1004,0))="","",INDEX(Programação!$B$5:$B$1004,MATCH(56,Programação!$AR$5:$AR$1004,0))))</f>
        <v/>
      </c>
      <c r="I63" s="22" t="str">
        <f aca="false">IF(COUNTIF(Programação!$AQ$5:$AQ$1004,1)&lt;56,"",MATCH(56,Programação!$AR$5:$AR$1004,0)+4)</f>
        <v/>
      </c>
    </row>
    <row r="64" customFormat="false" ht="15.75" hidden="false" customHeight="true" outlineLevel="0" collapsed="false">
      <c r="A64" s="22" t="str">
        <f aca="false">IF(COUNTIF(Programação!$AQ$5:$AQ$1004,1)&lt;57,"",IF(INDEX(Programação!$AM$5:$AM$1004,MATCH(57,Programação!$AR$5:$AR$1004,0))="","",INDEX(Programação!$AM$5:$AM$1004,MATCH(57,Programação!$AR$5:$AR$1004,0))))</f>
        <v/>
      </c>
      <c r="B64" s="22" t="str">
        <f aca="false">IF(COUNTIF(Programação!$AQ$5:$AQ$1004,1)&lt;57,"",IF(INDEX(Programação!$C$5:$C$1004,MATCH(57,Programação!$AR$5:$AR$1004,0))="","",INDEX(Programação!$C$5:$C$1004,MATCH(57,Programação!$AR$5:$AR$1004,0))))</f>
        <v/>
      </c>
      <c r="C64" s="24" t="str">
        <f aca="false">IF(COUNTIF(Programação!$AQ$5:$AQ$1004,1)&lt;57,"",IF(INDEX(Programação!$E$5:$E$1004,MATCH(57,Programação!$AR$5:$AR$1004,0))="","",INDEX(Programação!$E$5:$E$1004,MATCH(57,Programação!$AR$5:$AR$1004,0))))</f>
        <v/>
      </c>
      <c r="D64" s="24" t="str">
        <f aca="false">IF(COUNTIF(Programação!$AQ$5:$AQ$1004,1)&lt;57,"",IF(INDEX(Programação!$F$5:$F$1004,MATCH(57,Programação!$AR$5:$AR$1004,0))="","",INDEX(Programação!$F$5:$F$1004,MATCH(57,Programação!$AR$5:$AR$1004,0))))</f>
        <v/>
      </c>
      <c r="E64" s="24" t="str">
        <f aca="false">IF(COUNTIF(Programação!$AQ$5:$AQ$1004,1)&lt;57,"",IF(INDEX(Programação!$AG$5:$AG$1004,MATCH(57,Programação!$AR$5:$AR$1004,0))="","",INDEX(Programação!$AG$5:$AG$1004,MATCH(57,Programação!$AR$5:$AR$1004,0))))</f>
        <v/>
      </c>
      <c r="F64" s="22" t="str">
        <f aca="false">IF(COUNTIF(Programação!$AQ$5:$AQ$1004,1)&lt;57,"",IF(INDEX(Programação!$L$5:$L$1004,MATCH(57,Programação!$AR$5:$AR$1004,0))="","",INDEX(Programação!$L$5:$L$1004,MATCH(57,Programação!$AR$5:$AR$1004,0))))</f>
        <v/>
      </c>
      <c r="G64" s="25" t="str">
        <f aca="false">IF(COUNTIF(Programação!$AQ$5:$AQ$1004,1)&lt;57,"",IF(INDEX(Programação!$P$5:$P$1004,MATCH(57,Programação!$AR$5:$AR$1004,0))="","",INDEX(Programação!$P$5:$P$1004,MATCH(57,Programação!$AR$5:$AR$1004,0))))</f>
        <v/>
      </c>
      <c r="H64" s="22" t="str">
        <f aca="false">IF(COUNTIF(Programação!$AQ$5:$AQ$1004,1)&lt;57,"",IF(INDEX(Programação!$B$5:$B$1004,MATCH(57,Programação!$AR$5:$AR$1004,0))="","",INDEX(Programação!$B$5:$B$1004,MATCH(57,Programação!$AR$5:$AR$1004,0))))</f>
        <v/>
      </c>
      <c r="I64" s="22" t="str">
        <f aca="false">IF(COUNTIF(Programação!$AQ$5:$AQ$1004,1)&lt;57,"",MATCH(57,Programação!$AR$5:$AR$1004,0)+4)</f>
        <v/>
      </c>
    </row>
    <row r="65" customFormat="false" ht="15.75" hidden="false" customHeight="true" outlineLevel="0" collapsed="false">
      <c r="A65" s="22" t="str">
        <f aca="false">IF(COUNTIF(Programação!$AQ$5:$AQ$1004,1)&lt;58,"",IF(INDEX(Programação!$AM$5:$AM$1004,MATCH(58,Programação!$AR$5:$AR$1004,0))="","",INDEX(Programação!$AM$5:$AM$1004,MATCH(58,Programação!$AR$5:$AR$1004,0))))</f>
        <v/>
      </c>
      <c r="B65" s="22" t="str">
        <f aca="false">IF(COUNTIF(Programação!$AQ$5:$AQ$1004,1)&lt;58,"",IF(INDEX(Programação!$C$5:$C$1004,MATCH(58,Programação!$AR$5:$AR$1004,0))="","",INDEX(Programação!$C$5:$C$1004,MATCH(58,Programação!$AR$5:$AR$1004,0))))</f>
        <v/>
      </c>
      <c r="C65" s="24" t="str">
        <f aca="false">IF(COUNTIF(Programação!$AQ$5:$AQ$1004,1)&lt;58,"",IF(INDEX(Programação!$E$5:$E$1004,MATCH(58,Programação!$AR$5:$AR$1004,0))="","",INDEX(Programação!$E$5:$E$1004,MATCH(58,Programação!$AR$5:$AR$1004,0))))</f>
        <v/>
      </c>
      <c r="D65" s="24" t="str">
        <f aca="false">IF(COUNTIF(Programação!$AQ$5:$AQ$1004,1)&lt;58,"",IF(INDEX(Programação!$F$5:$F$1004,MATCH(58,Programação!$AR$5:$AR$1004,0))="","",INDEX(Programação!$F$5:$F$1004,MATCH(58,Programação!$AR$5:$AR$1004,0))))</f>
        <v/>
      </c>
      <c r="E65" s="24" t="str">
        <f aca="false">IF(COUNTIF(Programação!$AQ$5:$AQ$1004,1)&lt;58,"",IF(INDEX(Programação!$AG$5:$AG$1004,MATCH(58,Programação!$AR$5:$AR$1004,0))="","",INDEX(Programação!$AG$5:$AG$1004,MATCH(58,Programação!$AR$5:$AR$1004,0))))</f>
        <v/>
      </c>
      <c r="F65" s="22" t="str">
        <f aca="false">IF(COUNTIF(Programação!$AQ$5:$AQ$1004,1)&lt;58,"",IF(INDEX(Programação!$L$5:$L$1004,MATCH(58,Programação!$AR$5:$AR$1004,0))="","",INDEX(Programação!$L$5:$L$1004,MATCH(58,Programação!$AR$5:$AR$1004,0))))</f>
        <v/>
      </c>
      <c r="G65" s="25" t="str">
        <f aca="false">IF(COUNTIF(Programação!$AQ$5:$AQ$1004,1)&lt;58,"",IF(INDEX(Programação!$P$5:$P$1004,MATCH(58,Programação!$AR$5:$AR$1004,0))="","",INDEX(Programação!$P$5:$P$1004,MATCH(58,Programação!$AR$5:$AR$1004,0))))</f>
        <v/>
      </c>
      <c r="H65" s="22" t="str">
        <f aca="false">IF(COUNTIF(Programação!$AQ$5:$AQ$1004,1)&lt;58,"",IF(INDEX(Programação!$B$5:$B$1004,MATCH(58,Programação!$AR$5:$AR$1004,0))="","",INDEX(Programação!$B$5:$B$1004,MATCH(58,Programação!$AR$5:$AR$1004,0))))</f>
        <v/>
      </c>
      <c r="I65" s="22" t="str">
        <f aca="false">IF(COUNTIF(Programação!$AQ$5:$AQ$1004,1)&lt;58,"",MATCH(58,Programação!$AR$5:$AR$1004,0)+4)</f>
        <v/>
      </c>
    </row>
    <row r="66" customFormat="false" ht="15.75" hidden="false" customHeight="true" outlineLevel="0" collapsed="false">
      <c r="A66" s="22" t="str">
        <f aca="false">IF(COUNTIF(Programação!$AQ$5:$AQ$1004,1)&lt;59,"",IF(INDEX(Programação!$AM$5:$AM$1004,MATCH(59,Programação!$AR$5:$AR$1004,0))="","",INDEX(Programação!$AM$5:$AM$1004,MATCH(59,Programação!$AR$5:$AR$1004,0))))</f>
        <v/>
      </c>
      <c r="B66" s="22" t="str">
        <f aca="false">IF(COUNTIF(Programação!$AQ$5:$AQ$1004,1)&lt;59,"",IF(INDEX(Programação!$C$5:$C$1004,MATCH(59,Programação!$AR$5:$AR$1004,0))="","",INDEX(Programação!$C$5:$C$1004,MATCH(59,Programação!$AR$5:$AR$1004,0))))</f>
        <v/>
      </c>
      <c r="C66" s="24" t="str">
        <f aca="false">IF(COUNTIF(Programação!$AQ$5:$AQ$1004,1)&lt;59,"",IF(INDEX(Programação!$E$5:$E$1004,MATCH(59,Programação!$AR$5:$AR$1004,0))="","",INDEX(Programação!$E$5:$E$1004,MATCH(59,Programação!$AR$5:$AR$1004,0))))</f>
        <v/>
      </c>
      <c r="D66" s="24" t="str">
        <f aca="false">IF(COUNTIF(Programação!$AQ$5:$AQ$1004,1)&lt;59,"",IF(INDEX(Programação!$F$5:$F$1004,MATCH(59,Programação!$AR$5:$AR$1004,0))="","",INDEX(Programação!$F$5:$F$1004,MATCH(59,Programação!$AR$5:$AR$1004,0))))</f>
        <v/>
      </c>
      <c r="E66" s="24" t="str">
        <f aca="false">IF(COUNTIF(Programação!$AQ$5:$AQ$1004,1)&lt;59,"",IF(INDEX(Programação!$AG$5:$AG$1004,MATCH(59,Programação!$AR$5:$AR$1004,0))="","",INDEX(Programação!$AG$5:$AG$1004,MATCH(59,Programação!$AR$5:$AR$1004,0))))</f>
        <v/>
      </c>
      <c r="F66" s="22" t="str">
        <f aca="false">IF(COUNTIF(Programação!$AQ$5:$AQ$1004,1)&lt;59,"",IF(INDEX(Programação!$L$5:$L$1004,MATCH(59,Programação!$AR$5:$AR$1004,0))="","",INDEX(Programação!$L$5:$L$1004,MATCH(59,Programação!$AR$5:$AR$1004,0))))</f>
        <v/>
      </c>
      <c r="G66" s="25" t="str">
        <f aca="false">IF(COUNTIF(Programação!$AQ$5:$AQ$1004,1)&lt;59,"",IF(INDEX(Programação!$P$5:$P$1004,MATCH(59,Programação!$AR$5:$AR$1004,0))="","",INDEX(Programação!$P$5:$P$1004,MATCH(59,Programação!$AR$5:$AR$1004,0))))</f>
        <v/>
      </c>
      <c r="H66" s="22" t="str">
        <f aca="false">IF(COUNTIF(Programação!$AQ$5:$AQ$1004,1)&lt;59,"",IF(INDEX(Programação!$B$5:$B$1004,MATCH(59,Programação!$AR$5:$AR$1004,0))="","",INDEX(Programação!$B$5:$B$1004,MATCH(59,Programação!$AR$5:$AR$1004,0))))</f>
        <v/>
      </c>
      <c r="I66" s="22" t="str">
        <f aca="false">IF(COUNTIF(Programação!$AQ$5:$AQ$1004,1)&lt;59,"",MATCH(59,Programação!$AR$5:$AR$1004,0)+4)</f>
        <v/>
      </c>
    </row>
    <row r="67" customFormat="false" ht="15.75" hidden="false" customHeight="true" outlineLevel="0" collapsed="false">
      <c r="A67" s="22" t="str">
        <f aca="false">IF(COUNTIF(Programação!$AQ$5:$AQ$1004,1)&lt;60,"",IF(INDEX(Programação!$AM$5:$AM$1004,MATCH(60,Programação!$AR$5:$AR$1004,0))="","",INDEX(Programação!$AM$5:$AM$1004,MATCH(60,Programação!$AR$5:$AR$1004,0))))</f>
        <v/>
      </c>
      <c r="B67" s="22" t="str">
        <f aca="false">IF(COUNTIF(Programação!$AQ$5:$AQ$1004,1)&lt;60,"",IF(INDEX(Programação!$C$5:$C$1004,MATCH(60,Programação!$AR$5:$AR$1004,0))="","",INDEX(Programação!$C$5:$C$1004,MATCH(60,Programação!$AR$5:$AR$1004,0))))</f>
        <v/>
      </c>
      <c r="C67" s="24" t="str">
        <f aca="false">IF(COUNTIF(Programação!$AQ$5:$AQ$1004,1)&lt;60,"",IF(INDEX(Programação!$E$5:$E$1004,MATCH(60,Programação!$AR$5:$AR$1004,0))="","",INDEX(Programação!$E$5:$E$1004,MATCH(60,Programação!$AR$5:$AR$1004,0))))</f>
        <v/>
      </c>
      <c r="D67" s="24" t="str">
        <f aca="false">IF(COUNTIF(Programação!$AQ$5:$AQ$1004,1)&lt;60,"",IF(INDEX(Programação!$F$5:$F$1004,MATCH(60,Programação!$AR$5:$AR$1004,0))="","",INDEX(Programação!$F$5:$F$1004,MATCH(60,Programação!$AR$5:$AR$1004,0))))</f>
        <v/>
      </c>
      <c r="E67" s="24" t="str">
        <f aca="false">IF(COUNTIF(Programação!$AQ$5:$AQ$1004,1)&lt;60,"",IF(INDEX(Programação!$AG$5:$AG$1004,MATCH(60,Programação!$AR$5:$AR$1004,0))="","",INDEX(Programação!$AG$5:$AG$1004,MATCH(60,Programação!$AR$5:$AR$1004,0))))</f>
        <v/>
      </c>
      <c r="F67" s="22" t="str">
        <f aca="false">IF(COUNTIF(Programação!$AQ$5:$AQ$1004,1)&lt;60,"",IF(INDEX(Programação!$L$5:$L$1004,MATCH(60,Programação!$AR$5:$AR$1004,0))="","",INDEX(Programação!$L$5:$L$1004,MATCH(60,Programação!$AR$5:$AR$1004,0))))</f>
        <v/>
      </c>
      <c r="G67" s="25" t="str">
        <f aca="false">IF(COUNTIF(Programação!$AQ$5:$AQ$1004,1)&lt;60,"",IF(INDEX(Programação!$P$5:$P$1004,MATCH(60,Programação!$AR$5:$AR$1004,0))="","",INDEX(Programação!$P$5:$P$1004,MATCH(60,Programação!$AR$5:$AR$1004,0))))</f>
        <v/>
      </c>
      <c r="H67" s="22" t="str">
        <f aca="false">IF(COUNTIF(Programação!$AQ$5:$AQ$1004,1)&lt;60,"",IF(INDEX(Programação!$B$5:$B$1004,MATCH(60,Programação!$AR$5:$AR$1004,0))="","",INDEX(Programação!$B$5:$B$1004,MATCH(60,Programação!$AR$5:$AR$1004,0))))</f>
        <v/>
      </c>
      <c r="I67" s="22" t="str">
        <f aca="false">IF(COUNTIF(Programação!$AQ$5:$AQ$1004,1)&lt;60,"",MATCH(60,Programação!$AR$5:$AR$1004,0)+4)</f>
        <v/>
      </c>
    </row>
    <row r="68" customFormat="false" ht="15.75" hidden="false" customHeight="true" outlineLevel="0" collapsed="false">
      <c r="A68" s="22" t="str">
        <f aca="false">IF(COUNTIF(Programação!$AQ$5:$AQ$1004,1)&lt;61,"",IF(INDEX(Programação!$AM$5:$AM$1004,MATCH(61,Programação!$AR$5:$AR$1004,0))="","",INDEX(Programação!$AM$5:$AM$1004,MATCH(61,Programação!$AR$5:$AR$1004,0))))</f>
        <v/>
      </c>
      <c r="B68" s="22" t="str">
        <f aca="false">IF(COUNTIF(Programação!$AQ$5:$AQ$1004,1)&lt;61,"",IF(INDEX(Programação!$C$5:$C$1004,MATCH(61,Programação!$AR$5:$AR$1004,0))="","",INDEX(Programação!$C$5:$C$1004,MATCH(61,Programação!$AR$5:$AR$1004,0))))</f>
        <v/>
      </c>
      <c r="C68" s="24" t="str">
        <f aca="false">IF(COUNTIF(Programação!$AQ$5:$AQ$1004,1)&lt;61,"",IF(INDEX(Programação!$E$5:$E$1004,MATCH(61,Programação!$AR$5:$AR$1004,0))="","",INDEX(Programação!$E$5:$E$1004,MATCH(61,Programação!$AR$5:$AR$1004,0))))</f>
        <v/>
      </c>
      <c r="D68" s="24" t="str">
        <f aca="false">IF(COUNTIF(Programação!$AQ$5:$AQ$1004,1)&lt;61,"",IF(INDEX(Programação!$F$5:$F$1004,MATCH(61,Programação!$AR$5:$AR$1004,0))="","",INDEX(Programação!$F$5:$F$1004,MATCH(61,Programação!$AR$5:$AR$1004,0))))</f>
        <v/>
      </c>
      <c r="E68" s="24" t="str">
        <f aca="false">IF(COUNTIF(Programação!$AQ$5:$AQ$1004,1)&lt;61,"",IF(INDEX(Programação!$AG$5:$AG$1004,MATCH(61,Programação!$AR$5:$AR$1004,0))="","",INDEX(Programação!$AG$5:$AG$1004,MATCH(61,Programação!$AR$5:$AR$1004,0))))</f>
        <v/>
      </c>
      <c r="F68" s="22" t="str">
        <f aca="false">IF(COUNTIF(Programação!$AQ$5:$AQ$1004,1)&lt;61,"",IF(INDEX(Programação!$L$5:$L$1004,MATCH(61,Programação!$AR$5:$AR$1004,0))="","",INDEX(Programação!$L$5:$L$1004,MATCH(61,Programação!$AR$5:$AR$1004,0))))</f>
        <v/>
      </c>
      <c r="G68" s="25" t="str">
        <f aca="false">IF(COUNTIF(Programação!$AQ$5:$AQ$1004,1)&lt;61,"",IF(INDEX(Programação!$P$5:$P$1004,MATCH(61,Programação!$AR$5:$AR$1004,0))="","",INDEX(Programação!$P$5:$P$1004,MATCH(61,Programação!$AR$5:$AR$1004,0))))</f>
        <v/>
      </c>
      <c r="H68" s="22" t="str">
        <f aca="false">IF(COUNTIF(Programação!$AQ$5:$AQ$1004,1)&lt;61,"",IF(INDEX(Programação!$B$5:$B$1004,MATCH(61,Programação!$AR$5:$AR$1004,0))="","",INDEX(Programação!$B$5:$B$1004,MATCH(61,Programação!$AR$5:$AR$1004,0))))</f>
        <v/>
      </c>
      <c r="I68" s="22" t="str">
        <f aca="false">IF(COUNTIF(Programação!$AQ$5:$AQ$1004,1)&lt;61,"",MATCH(61,Programação!$AR$5:$AR$1004,0)+4)</f>
        <v/>
      </c>
    </row>
    <row r="69" customFormat="false" ht="15.75" hidden="false" customHeight="true" outlineLevel="0" collapsed="false">
      <c r="A69" s="22" t="str">
        <f aca="false">IF(COUNTIF(Programação!$AQ$5:$AQ$1004,1)&lt;62,"",IF(INDEX(Programação!$AM$5:$AM$1004,MATCH(62,Programação!$AR$5:$AR$1004,0))="","",INDEX(Programação!$AM$5:$AM$1004,MATCH(62,Programação!$AR$5:$AR$1004,0))))</f>
        <v/>
      </c>
      <c r="B69" s="22" t="str">
        <f aca="false">IF(COUNTIF(Programação!$AQ$5:$AQ$1004,1)&lt;62,"",IF(INDEX(Programação!$C$5:$C$1004,MATCH(62,Programação!$AR$5:$AR$1004,0))="","",INDEX(Programação!$C$5:$C$1004,MATCH(62,Programação!$AR$5:$AR$1004,0))))</f>
        <v/>
      </c>
      <c r="C69" s="24" t="str">
        <f aca="false">IF(COUNTIF(Programação!$AQ$5:$AQ$1004,1)&lt;62,"",IF(INDEX(Programação!$E$5:$E$1004,MATCH(62,Programação!$AR$5:$AR$1004,0))="","",INDEX(Programação!$E$5:$E$1004,MATCH(62,Programação!$AR$5:$AR$1004,0))))</f>
        <v/>
      </c>
      <c r="D69" s="24" t="str">
        <f aca="false">IF(COUNTIF(Programação!$AQ$5:$AQ$1004,1)&lt;62,"",IF(INDEX(Programação!$F$5:$F$1004,MATCH(62,Programação!$AR$5:$AR$1004,0))="","",INDEX(Programação!$F$5:$F$1004,MATCH(62,Programação!$AR$5:$AR$1004,0))))</f>
        <v/>
      </c>
      <c r="E69" s="24" t="str">
        <f aca="false">IF(COUNTIF(Programação!$AQ$5:$AQ$1004,1)&lt;62,"",IF(INDEX(Programação!$AG$5:$AG$1004,MATCH(62,Programação!$AR$5:$AR$1004,0))="","",INDEX(Programação!$AG$5:$AG$1004,MATCH(62,Programação!$AR$5:$AR$1004,0))))</f>
        <v/>
      </c>
      <c r="F69" s="22" t="str">
        <f aca="false">IF(COUNTIF(Programação!$AQ$5:$AQ$1004,1)&lt;62,"",IF(INDEX(Programação!$L$5:$L$1004,MATCH(62,Programação!$AR$5:$AR$1004,0))="","",INDEX(Programação!$L$5:$L$1004,MATCH(62,Programação!$AR$5:$AR$1004,0))))</f>
        <v/>
      </c>
      <c r="G69" s="25" t="str">
        <f aca="false">IF(COUNTIF(Programação!$AQ$5:$AQ$1004,1)&lt;62,"",IF(INDEX(Programação!$P$5:$P$1004,MATCH(62,Programação!$AR$5:$AR$1004,0))="","",INDEX(Programação!$P$5:$P$1004,MATCH(62,Programação!$AR$5:$AR$1004,0))))</f>
        <v/>
      </c>
      <c r="H69" s="22" t="str">
        <f aca="false">IF(COUNTIF(Programação!$AQ$5:$AQ$1004,1)&lt;62,"",IF(INDEX(Programação!$B$5:$B$1004,MATCH(62,Programação!$AR$5:$AR$1004,0))="","",INDEX(Programação!$B$5:$B$1004,MATCH(62,Programação!$AR$5:$AR$1004,0))))</f>
        <v/>
      </c>
      <c r="I69" s="22" t="str">
        <f aca="false">IF(COUNTIF(Programação!$AQ$5:$AQ$1004,1)&lt;62,"",MATCH(62,Programação!$AR$5:$AR$1004,0)+4)</f>
        <v/>
      </c>
    </row>
    <row r="70" customFormat="false" ht="15.75" hidden="false" customHeight="true" outlineLevel="0" collapsed="false">
      <c r="A70" s="22" t="str">
        <f aca="false">IF(COUNTIF(Programação!$AQ$5:$AQ$1004,1)&lt;63,"",IF(INDEX(Programação!$AM$5:$AM$1004,MATCH(63,Programação!$AR$5:$AR$1004,0))="","",INDEX(Programação!$AM$5:$AM$1004,MATCH(63,Programação!$AR$5:$AR$1004,0))))</f>
        <v/>
      </c>
      <c r="B70" s="22" t="str">
        <f aca="false">IF(COUNTIF(Programação!$AQ$5:$AQ$1004,1)&lt;63,"",IF(INDEX(Programação!$C$5:$C$1004,MATCH(63,Programação!$AR$5:$AR$1004,0))="","",INDEX(Programação!$C$5:$C$1004,MATCH(63,Programação!$AR$5:$AR$1004,0))))</f>
        <v/>
      </c>
      <c r="C70" s="24" t="str">
        <f aca="false">IF(COUNTIF(Programação!$AQ$5:$AQ$1004,1)&lt;63,"",IF(INDEX(Programação!$E$5:$E$1004,MATCH(63,Programação!$AR$5:$AR$1004,0))="","",INDEX(Programação!$E$5:$E$1004,MATCH(63,Programação!$AR$5:$AR$1004,0))))</f>
        <v/>
      </c>
      <c r="D70" s="24" t="str">
        <f aca="false">IF(COUNTIF(Programação!$AQ$5:$AQ$1004,1)&lt;63,"",IF(INDEX(Programação!$F$5:$F$1004,MATCH(63,Programação!$AR$5:$AR$1004,0))="","",INDEX(Programação!$F$5:$F$1004,MATCH(63,Programação!$AR$5:$AR$1004,0))))</f>
        <v/>
      </c>
      <c r="E70" s="24" t="str">
        <f aca="false">IF(COUNTIF(Programação!$AQ$5:$AQ$1004,1)&lt;63,"",IF(INDEX(Programação!$AG$5:$AG$1004,MATCH(63,Programação!$AR$5:$AR$1004,0))="","",INDEX(Programação!$AG$5:$AG$1004,MATCH(63,Programação!$AR$5:$AR$1004,0))))</f>
        <v/>
      </c>
      <c r="F70" s="22" t="str">
        <f aca="false">IF(COUNTIF(Programação!$AQ$5:$AQ$1004,1)&lt;63,"",IF(INDEX(Programação!$L$5:$L$1004,MATCH(63,Programação!$AR$5:$AR$1004,0))="","",INDEX(Programação!$L$5:$L$1004,MATCH(63,Programação!$AR$5:$AR$1004,0))))</f>
        <v/>
      </c>
      <c r="G70" s="25" t="str">
        <f aca="false">IF(COUNTIF(Programação!$AQ$5:$AQ$1004,1)&lt;63,"",IF(INDEX(Programação!$P$5:$P$1004,MATCH(63,Programação!$AR$5:$AR$1004,0))="","",INDEX(Programação!$P$5:$P$1004,MATCH(63,Programação!$AR$5:$AR$1004,0))))</f>
        <v/>
      </c>
      <c r="H70" s="22" t="str">
        <f aca="false">IF(COUNTIF(Programação!$AQ$5:$AQ$1004,1)&lt;63,"",IF(INDEX(Programação!$B$5:$B$1004,MATCH(63,Programação!$AR$5:$AR$1004,0))="","",INDEX(Programação!$B$5:$B$1004,MATCH(63,Programação!$AR$5:$AR$1004,0))))</f>
        <v/>
      </c>
      <c r="I70" s="22" t="str">
        <f aca="false">IF(COUNTIF(Programação!$AQ$5:$AQ$1004,1)&lt;63,"",MATCH(63,Programação!$AR$5:$AR$1004,0)+4)</f>
        <v/>
      </c>
    </row>
    <row r="71" customFormat="false" ht="15.75" hidden="false" customHeight="true" outlineLevel="0" collapsed="false">
      <c r="A71" s="22" t="str">
        <f aca="false">IF(COUNTIF(Programação!$AQ$5:$AQ$1004,1)&lt;64,"",IF(INDEX(Programação!$AM$5:$AM$1004,MATCH(64,Programação!$AR$5:$AR$1004,0))="","",INDEX(Programação!$AM$5:$AM$1004,MATCH(64,Programação!$AR$5:$AR$1004,0))))</f>
        <v/>
      </c>
      <c r="B71" s="22" t="str">
        <f aca="false">IF(COUNTIF(Programação!$AQ$5:$AQ$1004,1)&lt;64,"",IF(INDEX(Programação!$C$5:$C$1004,MATCH(64,Programação!$AR$5:$AR$1004,0))="","",INDEX(Programação!$C$5:$C$1004,MATCH(64,Programação!$AR$5:$AR$1004,0))))</f>
        <v/>
      </c>
      <c r="C71" s="24" t="str">
        <f aca="false">IF(COUNTIF(Programação!$AQ$5:$AQ$1004,1)&lt;64,"",IF(INDEX(Programação!$E$5:$E$1004,MATCH(64,Programação!$AR$5:$AR$1004,0))="","",INDEX(Programação!$E$5:$E$1004,MATCH(64,Programação!$AR$5:$AR$1004,0))))</f>
        <v/>
      </c>
      <c r="D71" s="24" t="str">
        <f aca="false">IF(COUNTIF(Programação!$AQ$5:$AQ$1004,1)&lt;64,"",IF(INDEX(Programação!$F$5:$F$1004,MATCH(64,Programação!$AR$5:$AR$1004,0))="","",INDEX(Programação!$F$5:$F$1004,MATCH(64,Programação!$AR$5:$AR$1004,0))))</f>
        <v/>
      </c>
      <c r="E71" s="24" t="str">
        <f aca="false">IF(COUNTIF(Programação!$AQ$5:$AQ$1004,1)&lt;64,"",IF(INDEX(Programação!$AG$5:$AG$1004,MATCH(64,Programação!$AR$5:$AR$1004,0))="","",INDEX(Programação!$AG$5:$AG$1004,MATCH(64,Programação!$AR$5:$AR$1004,0))))</f>
        <v/>
      </c>
      <c r="F71" s="22" t="str">
        <f aca="false">IF(COUNTIF(Programação!$AQ$5:$AQ$1004,1)&lt;64,"",IF(INDEX(Programação!$L$5:$L$1004,MATCH(64,Programação!$AR$5:$AR$1004,0))="","",INDEX(Programação!$L$5:$L$1004,MATCH(64,Programação!$AR$5:$AR$1004,0))))</f>
        <v/>
      </c>
      <c r="G71" s="25" t="str">
        <f aca="false">IF(COUNTIF(Programação!$AQ$5:$AQ$1004,1)&lt;64,"",IF(INDEX(Programação!$P$5:$P$1004,MATCH(64,Programação!$AR$5:$AR$1004,0))="","",INDEX(Programação!$P$5:$P$1004,MATCH(64,Programação!$AR$5:$AR$1004,0))))</f>
        <v/>
      </c>
      <c r="H71" s="22" t="str">
        <f aca="false">IF(COUNTIF(Programação!$AQ$5:$AQ$1004,1)&lt;64,"",IF(INDEX(Programação!$B$5:$B$1004,MATCH(64,Programação!$AR$5:$AR$1004,0))="","",INDEX(Programação!$B$5:$B$1004,MATCH(64,Programação!$AR$5:$AR$1004,0))))</f>
        <v/>
      </c>
      <c r="I71" s="22" t="str">
        <f aca="false">IF(COUNTIF(Programação!$AQ$5:$AQ$1004,1)&lt;64,"",MATCH(64,Programação!$AR$5:$AR$1004,0)+4)</f>
        <v/>
      </c>
    </row>
    <row r="72" customFormat="false" ht="15.75" hidden="false" customHeight="true" outlineLevel="0" collapsed="false">
      <c r="A72" s="22" t="str">
        <f aca="false">IF(COUNTIF(Programação!$AQ$5:$AQ$1004,1)&lt;65,"",IF(INDEX(Programação!$AM$5:$AM$1004,MATCH(65,Programação!$AR$5:$AR$1004,0))="","",INDEX(Programação!$AM$5:$AM$1004,MATCH(65,Programação!$AR$5:$AR$1004,0))))</f>
        <v/>
      </c>
      <c r="B72" s="22" t="str">
        <f aca="false">IF(COUNTIF(Programação!$AQ$5:$AQ$1004,1)&lt;65,"",IF(INDEX(Programação!$C$5:$C$1004,MATCH(65,Programação!$AR$5:$AR$1004,0))="","",INDEX(Programação!$C$5:$C$1004,MATCH(65,Programação!$AR$5:$AR$1004,0))))</f>
        <v/>
      </c>
      <c r="C72" s="24" t="str">
        <f aca="false">IF(COUNTIF(Programação!$AQ$5:$AQ$1004,1)&lt;65,"",IF(INDEX(Programação!$E$5:$E$1004,MATCH(65,Programação!$AR$5:$AR$1004,0))="","",INDEX(Programação!$E$5:$E$1004,MATCH(65,Programação!$AR$5:$AR$1004,0))))</f>
        <v/>
      </c>
      <c r="D72" s="24" t="str">
        <f aca="false">IF(COUNTIF(Programação!$AQ$5:$AQ$1004,1)&lt;65,"",IF(INDEX(Programação!$F$5:$F$1004,MATCH(65,Programação!$AR$5:$AR$1004,0))="","",INDEX(Programação!$F$5:$F$1004,MATCH(65,Programação!$AR$5:$AR$1004,0))))</f>
        <v/>
      </c>
      <c r="E72" s="24" t="str">
        <f aca="false">IF(COUNTIF(Programação!$AQ$5:$AQ$1004,1)&lt;65,"",IF(INDEX(Programação!$AG$5:$AG$1004,MATCH(65,Programação!$AR$5:$AR$1004,0))="","",INDEX(Programação!$AG$5:$AG$1004,MATCH(65,Programação!$AR$5:$AR$1004,0))))</f>
        <v/>
      </c>
      <c r="F72" s="22" t="str">
        <f aca="false">IF(COUNTIF(Programação!$AQ$5:$AQ$1004,1)&lt;65,"",IF(INDEX(Programação!$L$5:$L$1004,MATCH(65,Programação!$AR$5:$AR$1004,0))="","",INDEX(Programação!$L$5:$L$1004,MATCH(65,Programação!$AR$5:$AR$1004,0))))</f>
        <v/>
      </c>
      <c r="G72" s="25" t="str">
        <f aca="false">IF(COUNTIF(Programação!$AQ$5:$AQ$1004,1)&lt;65,"",IF(INDEX(Programação!$P$5:$P$1004,MATCH(65,Programação!$AR$5:$AR$1004,0))="","",INDEX(Programação!$P$5:$P$1004,MATCH(65,Programação!$AR$5:$AR$1004,0))))</f>
        <v/>
      </c>
      <c r="H72" s="22" t="str">
        <f aca="false">IF(COUNTIF(Programação!$AQ$5:$AQ$1004,1)&lt;65,"",IF(INDEX(Programação!$B$5:$B$1004,MATCH(65,Programação!$AR$5:$AR$1004,0))="","",INDEX(Programação!$B$5:$B$1004,MATCH(65,Programação!$AR$5:$AR$1004,0))))</f>
        <v/>
      </c>
      <c r="I72" s="22" t="str">
        <f aca="false">IF(COUNTIF(Programação!$AQ$5:$AQ$1004,1)&lt;65,"",MATCH(65,Programação!$AR$5:$AR$1004,0)+4)</f>
        <v/>
      </c>
    </row>
    <row r="73" customFormat="false" ht="15.75" hidden="false" customHeight="true" outlineLevel="0" collapsed="false">
      <c r="A73" s="22" t="str">
        <f aca="false">IF(COUNTIF(Programação!$AQ$5:$AQ$1004,1)&lt;66,"",IF(INDEX(Programação!$AM$5:$AM$1004,MATCH(66,Programação!$AR$5:$AR$1004,0))="","",INDEX(Programação!$AM$5:$AM$1004,MATCH(66,Programação!$AR$5:$AR$1004,0))))</f>
        <v/>
      </c>
      <c r="B73" s="22" t="str">
        <f aca="false">IF(COUNTIF(Programação!$AQ$5:$AQ$1004,1)&lt;66,"",IF(INDEX(Programação!$C$5:$C$1004,MATCH(66,Programação!$AR$5:$AR$1004,0))="","",INDEX(Programação!$C$5:$C$1004,MATCH(66,Programação!$AR$5:$AR$1004,0))))</f>
        <v/>
      </c>
      <c r="C73" s="24" t="str">
        <f aca="false">IF(COUNTIF(Programação!$AQ$5:$AQ$1004,1)&lt;66,"",IF(INDEX(Programação!$E$5:$E$1004,MATCH(66,Programação!$AR$5:$AR$1004,0))="","",INDEX(Programação!$E$5:$E$1004,MATCH(66,Programação!$AR$5:$AR$1004,0))))</f>
        <v/>
      </c>
      <c r="D73" s="24" t="str">
        <f aca="false">IF(COUNTIF(Programação!$AQ$5:$AQ$1004,1)&lt;66,"",IF(INDEX(Programação!$F$5:$F$1004,MATCH(66,Programação!$AR$5:$AR$1004,0))="","",INDEX(Programação!$F$5:$F$1004,MATCH(66,Programação!$AR$5:$AR$1004,0))))</f>
        <v/>
      </c>
      <c r="E73" s="24" t="str">
        <f aca="false">IF(COUNTIF(Programação!$AQ$5:$AQ$1004,1)&lt;66,"",IF(INDEX(Programação!$AG$5:$AG$1004,MATCH(66,Programação!$AR$5:$AR$1004,0))="","",INDEX(Programação!$AG$5:$AG$1004,MATCH(66,Programação!$AR$5:$AR$1004,0))))</f>
        <v/>
      </c>
      <c r="F73" s="22" t="str">
        <f aca="false">IF(COUNTIF(Programação!$AQ$5:$AQ$1004,1)&lt;66,"",IF(INDEX(Programação!$L$5:$L$1004,MATCH(66,Programação!$AR$5:$AR$1004,0))="","",INDEX(Programação!$L$5:$L$1004,MATCH(66,Programação!$AR$5:$AR$1004,0))))</f>
        <v/>
      </c>
      <c r="G73" s="25" t="str">
        <f aca="false">IF(COUNTIF(Programação!$AQ$5:$AQ$1004,1)&lt;66,"",IF(INDEX(Programação!$P$5:$P$1004,MATCH(66,Programação!$AR$5:$AR$1004,0))="","",INDEX(Programação!$P$5:$P$1004,MATCH(66,Programação!$AR$5:$AR$1004,0))))</f>
        <v/>
      </c>
      <c r="H73" s="22" t="str">
        <f aca="false">IF(COUNTIF(Programação!$AQ$5:$AQ$1004,1)&lt;66,"",IF(INDEX(Programação!$B$5:$B$1004,MATCH(66,Programação!$AR$5:$AR$1004,0))="","",INDEX(Programação!$B$5:$B$1004,MATCH(66,Programação!$AR$5:$AR$1004,0))))</f>
        <v/>
      </c>
      <c r="I73" s="22" t="str">
        <f aca="false">IF(COUNTIF(Programação!$AQ$5:$AQ$1004,1)&lt;66,"",MATCH(66,Programação!$AR$5:$AR$1004,0)+4)</f>
        <v/>
      </c>
    </row>
    <row r="74" customFormat="false" ht="15.75" hidden="false" customHeight="true" outlineLevel="0" collapsed="false">
      <c r="A74" s="22" t="str">
        <f aca="false">IF(COUNTIF(Programação!$AQ$5:$AQ$1004,1)&lt;67,"",IF(INDEX(Programação!$AM$5:$AM$1004,MATCH(67,Programação!$AR$5:$AR$1004,0))="","",INDEX(Programação!$AM$5:$AM$1004,MATCH(67,Programação!$AR$5:$AR$1004,0))))</f>
        <v/>
      </c>
      <c r="B74" s="22" t="str">
        <f aca="false">IF(COUNTIF(Programação!$AQ$5:$AQ$1004,1)&lt;67,"",IF(INDEX(Programação!$C$5:$C$1004,MATCH(67,Programação!$AR$5:$AR$1004,0))="","",INDEX(Programação!$C$5:$C$1004,MATCH(67,Programação!$AR$5:$AR$1004,0))))</f>
        <v/>
      </c>
      <c r="C74" s="24" t="str">
        <f aca="false">IF(COUNTIF(Programação!$AQ$5:$AQ$1004,1)&lt;67,"",IF(INDEX(Programação!$E$5:$E$1004,MATCH(67,Programação!$AR$5:$AR$1004,0))="","",INDEX(Programação!$E$5:$E$1004,MATCH(67,Programação!$AR$5:$AR$1004,0))))</f>
        <v/>
      </c>
      <c r="D74" s="24" t="str">
        <f aca="false">IF(COUNTIF(Programação!$AQ$5:$AQ$1004,1)&lt;67,"",IF(INDEX(Programação!$F$5:$F$1004,MATCH(67,Programação!$AR$5:$AR$1004,0))="","",INDEX(Programação!$F$5:$F$1004,MATCH(67,Programação!$AR$5:$AR$1004,0))))</f>
        <v/>
      </c>
      <c r="E74" s="24" t="str">
        <f aca="false">IF(COUNTIF(Programação!$AQ$5:$AQ$1004,1)&lt;67,"",IF(INDEX(Programação!$AG$5:$AG$1004,MATCH(67,Programação!$AR$5:$AR$1004,0))="","",INDEX(Programação!$AG$5:$AG$1004,MATCH(67,Programação!$AR$5:$AR$1004,0))))</f>
        <v/>
      </c>
      <c r="F74" s="22" t="str">
        <f aca="false">IF(COUNTIF(Programação!$AQ$5:$AQ$1004,1)&lt;67,"",IF(INDEX(Programação!$L$5:$L$1004,MATCH(67,Programação!$AR$5:$AR$1004,0))="","",INDEX(Programação!$L$5:$L$1004,MATCH(67,Programação!$AR$5:$AR$1004,0))))</f>
        <v/>
      </c>
      <c r="G74" s="25" t="str">
        <f aca="false">IF(COUNTIF(Programação!$AQ$5:$AQ$1004,1)&lt;67,"",IF(INDEX(Programação!$P$5:$P$1004,MATCH(67,Programação!$AR$5:$AR$1004,0))="","",INDEX(Programação!$P$5:$P$1004,MATCH(67,Programação!$AR$5:$AR$1004,0))))</f>
        <v/>
      </c>
      <c r="H74" s="22" t="str">
        <f aca="false">IF(COUNTIF(Programação!$AQ$5:$AQ$1004,1)&lt;67,"",IF(INDEX(Programação!$B$5:$B$1004,MATCH(67,Programação!$AR$5:$AR$1004,0))="","",INDEX(Programação!$B$5:$B$1004,MATCH(67,Programação!$AR$5:$AR$1004,0))))</f>
        <v/>
      </c>
      <c r="I74" s="22" t="str">
        <f aca="false">IF(COUNTIF(Programação!$AQ$5:$AQ$1004,1)&lt;67,"",MATCH(67,Programação!$AR$5:$AR$1004,0)+4)</f>
        <v/>
      </c>
    </row>
    <row r="75" customFormat="false" ht="15.75" hidden="false" customHeight="true" outlineLevel="0" collapsed="false">
      <c r="A75" s="22" t="str">
        <f aca="false">IF(COUNTIF(Programação!$AQ$5:$AQ$1004,1)&lt;68,"",IF(INDEX(Programação!$AM$5:$AM$1004,MATCH(68,Programação!$AR$5:$AR$1004,0))="","",INDEX(Programação!$AM$5:$AM$1004,MATCH(68,Programação!$AR$5:$AR$1004,0))))</f>
        <v/>
      </c>
      <c r="B75" s="22" t="str">
        <f aca="false">IF(COUNTIF(Programação!$AQ$5:$AQ$1004,1)&lt;68,"",IF(INDEX(Programação!$C$5:$C$1004,MATCH(68,Programação!$AR$5:$AR$1004,0))="","",INDEX(Programação!$C$5:$C$1004,MATCH(68,Programação!$AR$5:$AR$1004,0))))</f>
        <v/>
      </c>
      <c r="C75" s="24" t="str">
        <f aca="false">IF(COUNTIF(Programação!$AQ$5:$AQ$1004,1)&lt;68,"",IF(INDEX(Programação!$E$5:$E$1004,MATCH(68,Programação!$AR$5:$AR$1004,0))="","",INDEX(Programação!$E$5:$E$1004,MATCH(68,Programação!$AR$5:$AR$1004,0))))</f>
        <v/>
      </c>
      <c r="D75" s="24" t="str">
        <f aca="false">IF(COUNTIF(Programação!$AQ$5:$AQ$1004,1)&lt;68,"",IF(INDEX(Programação!$F$5:$F$1004,MATCH(68,Programação!$AR$5:$AR$1004,0))="","",INDEX(Programação!$F$5:$F$1004,MATCH(68,Programação!$AR$5:$AR$1004,0))))</f>
        <v/>
      </c>
      <c r="E75" s="24" t="str">
        <f aca="false">IF(COUNTIF(Programação!$AQ$5:$AQ$1004,1)&lt;68,"",IF(INDEX(Programação!$AG$5:$AG$1004,MATCH(68,Programação!$AR$5:$AR$1004,0))="","",INDEX(Programação!$AG$5:$AG$1004,MATCH(68,Programação!$AR$5:$AR$1004,0))))</f>
        <v/>
      </c>
      <c r="F75" s="22" t="str">
        <f aca="false">IF(COUNTIF(Programação!$AQ$5:$AQ$1004,1)&lt;68,"",IF(INDEX(Programação!$L$5:$L$1004,MATCH(68,Programação!$AR$5:$AR$1004,0))="","",INDEX(Programação!$L$5:$L$1004,MATCH(68,Programação!$AR$5:$AR$1004,0))))</f>
        <v/>
      </c>
      <c r="G75" s="25" t="str">
        <f aca="false">IF(COUNTIF(Programação!$AQ$5:$AQ$1004,1)&lt;68,"",IF(INDEX(Programação!$P$5:$P$1004,MATCH(68,Programação!$AR$5:$AR$1004,0))="","",INDEX(Programação!$P$5:$P$1004,MATCH(68,Programação!$AR$5:$AR$1004,0))))</f>
        <v/>
      </c>
      <c r="H75" s="22" t="str">
        <f aca="false">IF(COUNTIF(Programação!$AQ$5:$AQ$1004,1)&lt;68,"",IF(INDEX(Programação!$B$5:$B$1004,MATCH(68,Programação!$AR$5:$AR$1004,0))="","",INDEX(Programação!$B$5:$B$1004,MATCH(68,Programação!$AR$5:$AR$1004,0))))</f>
        <v/>
      </c>
      <c r="I75" s="22" t="str">
        <f aca="false">IF(COUNTIF(Programação!$AQ$5:$AQ$1004,1)&lt;68,"",MATCH(68,Programação!$AR$5:$AR$1004,0)+4)</f>
        <v/>
      </c>
    </row>
    <row r="76" customFormat="false" ht="15.75" hidden="false" customHeight="true" outlineLevel="0" collapsed="false">
      <c r="A76" s="22" t="str">
        <f aca="false">IF(COUNTIF(Programação!$AQ$5:$AQ$1004,1)&lt;69,"",IF(INDEX(Programação!$AM$5:$AM$1004,MATCH(69,Programação!$AR$5:$AR$1004,0))="","",INDEX(Programação!$AM$5:$AM$1004,MATCH(69,Programação!$AR$5:$AR$1004,0))))</f>
        <v/>
      </c>
      <c r="B76" s="22" t="str">
        <f aca="false">IF(COUNTIF(Programação!$AQ$5:$AQ$1004,1)&lt;69,"",IF(INDEX(Programação!$C$5:$C$1004,MATCH(69,Programação!$AR$5:$AR$1004,0))="","",INDEX(Programação!$C$5:$C$1004,MATCH(69,Programação!$AR$5:$AR$1004,0))))</f>
        <v/>
      </c>
      <c r="C76" s="24" t="str">
        <f aca="false">IF(COUNTIF(Programação!$AQ$5:$AQ$1004,1)&lt;69,"",IF(INDEX(Programação!$E$5:$E$1004,MATCH(69,Programação!$AR$5:$AR$1004,0))="","",INDEX(Programação!$E$5:$E$1004,MATCH(69,Programação!$AR$5:$AR$1004,0))))</f>
        <v/>
      </c>
      <c r="D76" s="24" t="str">
        <f aca="false">IF(COUNTIF(Programação!$AQ$5:$AQ$1004,1)&lt;69,"",IF(INDEX(Programação!$F$5:$F$1004,MATCH(69,Programação!$AR$5:$AR$1004,0))="","",INDEX(Programação!$F$5:$F$1004,MATCH(69,Programação!$AR$5:$AR$1004,0))))</f>
        <v/>
      </c>
      <c r="E76" s="24" t="str">
        <f aca="false">IF(COUNTIF(Programação!$AQ$5:$AQ$1004,1)&lt;69,"",IF(INDEX(Programação!$AG$5:$AG$1004,MATCH(69,Programação!$AR$5:$AR$1004,0))="","",INDEX(Programação!$AG$5:$AG$1004,MATCH(69,Programação!$AR$5:$AR$1004,0))))</f>
        <v/>
      </c>
      <c r="F76" s="22" t="str">
        <f aca="false">IF(COUNTIF(Programação!$AQ$5:$AQ$1004,1)&lt;69,"",IF(INDEX(Programação!$L$5:$L$1004,MATCH(69,Programação!$AR$5:$AR$1004,0))="","",INDEX(Programação!$L$5:$L$1004,MATCH(69,Programação!$AR$5:$AR$1004,0))))</f>
        <v/>
      </c>
      <c r="G76" s="25" t="str">
        <f aca="false">IF(COUNTIF(Programação!$AQ$5:$AQ$1004,1)&lt;69,"",IF(INDEX(Programação!$P$5:$P$1004,MATCH(69,Programação!$AR$5:$AR$1004,0))="","",INDEX(Programação!$P$5:$P$1004,MATCH(69,Programação!$AR$5:$AR$1004,0))))</f>
        <v/>
      </c>
      <c r="H76" s="22" t="str">
        <f aca="false">IF(COUNTIF(Programação!$AQ$5:$AQ$1004,1)&lt;69,"",IF(INDEX(Programação!$B$5:$B$1004,MATCH(69,Programação!$AR$5:$AR$1004,0))="","",INDEX(Programação!$B$5:$B$1004,MATCH(69,Programação!$AR$5:$AR$1004,0))))</f>
        <v/>
      </c>
      <c r="I76" s="22" t="str">
        <f aca="false">IF(COUNTIF(Programação!$AQ$5:$AQ$1004,1)&lt;69,"",MATCH(69,Programação!$AR$5:$AR$1004,0)+4)</f>
        <v/>
      </c>
    </row>
    <row r="77" customFormat="false" ht="15.75" hidden="false" customHeight="true" outlineLevel="0" collapsed="false">
      <c r="A77" s="22" t="str">
        <f aca="false">IF(COUNTIF(Programação!$AQ$5:$AQ$1004,1)&lt;70,"",IF(INDEX(Programação!$AM$5:$AM$1004,MATCH(70,Programação!$AR$5:$AR$1004,0))="","",INDEX(Programação!$AM$5:$AM$1004,MATCH(70,Programação!$AR$5:$AR$1004,0))))</f>
        <v/>
      </c>
      <c r="B77" s="22" t="str">
        <f aca="false">IF(COUNTIF(Programação!$AQ$5:$AQ$1004,1)&lt;70,"",IF(INDEX(Programação!$C$5:$C$1004,MATCH(70,Programação!$AR$5:$AR$1004,0))="","",INDEX(Programação!$C$5:$C$1004,MATCH(70,Programação!$AR$5:$AR$1004,0))))</f>
        <v/>
      </c>
      <c r="C77" s="24" t="str">
        <f aca="false">IF(COUNTIF(Programação!$AQ$5:$AQ$1004,1)&lt;70,"",IF(INDEX(Programação!$E$5:$E$1004,MATCH(70,Programação!$AR$5:$AR$1004,0))="","",INDEX(Programação!$E$5:$E$1004,MATCH(70,Programação!$AR$5:$AR$1004,0))))</f>
        <v/>
      </c>
      <c r="D77" s="24" t="str">
        <f aca="false">IF(COUNTIF(Programação!$AQ$5:$AQ$1004,1)&lt;70,"",IF(INDEX(Programação!$F$5:$F$1004,MATCH(70,Programação!$AR$5:$AR$1004,0))="","",INDEX(Programação!$F$5:$F$1004,MATCH(70,Programação!$AR$5:$AR$1004,0))))</f>
        <v/>
      </c>
      <c r="E77" s="24" t="str">
        <f aca="false">IF(COUNTIF(Programação!$AQ$5:$AQ$1004,1)&lt;70,"",IF(INDEX(Programação!$AG$5:$AG$1004,MATCH(70,Programação!$AR$5:$AR$1004,0))="","",INDEX(Programação!$AG$5:$AG$1004,MATCH(70,Programação!$AR$5:$AR$1004,0))))</f>
        <v/>
      </c>
      <c r="F77" s="22" t="str">
        <f aca="false">IF(COUNTIF(Programação!$AQ$5:$AQ$1004,1)&lt;70,"",IF(INDEX(Programação!$L$5:$L$1004,MATCH(70,Programação!$AR$5:$AR$1004,0))="","",INDEX(Programação!$L$5:$L$1004,MATCH(70,Programação!$AR$5:$AR$1004,0))))</f>
        <v/>
      </c>
      <c r="G77" s="25" t="str">
        <f aca="false">IF(COUNTIF(Programação!$AQ$5:$AQ$1004,1)&lt;70,"",IF(INDEX(Programação!$P$5:$P$1004,MATCH(70,Programação!$AR$5:$AR$1004,0))="","",INDEX(Programação!$P$5:$P$1004,MATCH(70,Programação!$AR$5:$AR$1004,0))))</f>
        <v/>
      </c>
      <c r="H77" s="22" t="str">
        <f aca="false">IF(COUNTIF(Programação!$AQ$5:$AQ$1004,1)&lt;70,"",IF(INDEX(Programação!$B$5:$B$1004,MATCH(70,Programação!$AR$5:$AR$1004,0))="","",INDEX(Programação!$B$5:$B$1004,MATCH(70,Programação!$AR$5:$AR$1004,0))))</f>
        <v/>
      </c>
      <c r="I77" s="22" t="str">
        <f aca="false">IF(COUNTIF(Programação!$AQ$5:$AQ$1004,1)&lt;70,"",MATCH(70,Programação!$AR$5:$AR$1004,0)+4)</f>
        <v/>
      </c>
    </row>
    <row r="78" customFormat="false" ht="15.75" hidden="false" customHeight="true" outlineLevel="0" collapsed="false">
      <c r="A78" s="22" t="str">
        <f aca="false">IF(COUNTIF(Programação!$AQ$5:$AQ$1004,1)&lt;71,"",IF(INDEX(Programação!$AM$5:$AM$1004,MATCH(71,Programação!$AR$5:$AR$1004,0))="","",INDEX(Programação!$AM$5:$AM$1004,MATCH(71,Programação!$AR$5:$AR$1004,0))))</f>
        <v/>
      </c>
      <c r="B78" s="22" t="str">
        <f aca="false">IF(COUNTIF(Programação!$AQ$5:$AQ$1004,1)&lt;71,"",IF(INDEX(Programação!$C$5:$C$1004,MATCH(71,Programação!$AR$5:$AR$1004,0))="","",INDEX(Programação!$C$5:$C$1004,MATCH(71,Programação!$AR$5:$AR$1004,0))))</f>
        <v/>
      </c>
      <c r="C78" s="24" t="str">
        <f aca="false">IF(COUNTIF(Programação!$AQ$5:$AQ$1004,1)&lt;71,"",IF(INDEX(Programação!$E$5:$E$1004,MATCH(71,Programação!$AR$5:$AR$1004,0))="","",INDEX(Programação!$E$5:$E$1004,MATCH(71,Programação!$AR$5:$AR$1004,0))))</f>
        <v/>
      </c>
      <c r="D78" s="24" t="str">
        <f aca="false">IF(COUNTIF(Programação!$AQ$5:$AQ$1004,1)&lt;71,"",IF(INDEX(Programação!$F$5:$F$1004,MATCH(71,Programação!$AR$5:$AR$1004,0))="","",INDEX(Programação!$F$5:$F$1004,MATCH(71,Programação!$AR$5:$AR$1004,0))))</f>
        <v/>
      </c>
      <c r="E78" s="24" t="str">
        <f aca="false">IF(COUNTIF(Programação!$AQ$5:$AQ$1004,1)&lt;71,"",IF(INDEX(Programação!$AG$5:$AG$1004,MATCH(71,Programação!$AR$5:$AR$1004,0))="","",INDEX(Programação!$AG$5:$AG$1004,MATCH(71,Programação!$AR$5:$AR$1004,0))))</f>
        <v/>
      </c>
      <c r="F78" s="22" t="str">
        <f aca="false">IF(COUNTIF(Programação!$AQ$5:$AQ$1004,1)&lt;71,"",IF(INDEX(Programação!$L$5:$L$1004,MATCH(71,Programação!$AR$5:$AR$1004,0))="","",INDEX(Programação!$L$5:$L$1004,MATCH(71,Programação!$AR$5:$AR$1004,0))))</f>
        <v/>
      </c>
      <c r="G78" s="25" t="str">
        <f aca="false">IF(COUNTIF(Programação!$AQ$5:$AQ$1004,1)&lt;71,"",IF(INDEX(Programação!$P$5:$P$1004,MATCH(71,Programação!$AR$5:$AR$1004,0))="","",INDEX(Programação!$P$5:$P$1004,MATCH(71,Programação!$AR$5:$AR$1004,0))))</f>
        <v/>
      </c>
      <c r="H78" s="22" t="str">
        <f aca="false">IF(COUNTIF(Programação!$AQ$5:$AQ$1004,1)&lt;71,"",IF(INDEX(Programação!$B$5:$B$1004,MATCH(71,Programação!$AR$5:$AR$1004,0))="","",INDEX(Programação!$B$5:$B$1004,MATCH(71,Programação!$AR$5:$AR$1004,0))))</f>
        <v/>
      </c>
      <c r="I78" s="22" t="str">
        <f aca="false">IF(COUNTIF(Programação!$AQ$5:$AQ$1004,1)&lt;71,"",MATCH(71,Programação!$AR$5:$AR$1004,0)+4)</f>
        <v/>
      </c>
    </row>
    <row r="79" customFormat="false" ht="15.75" hidden="false" customHeight="true" outlineLevel="0" collapsed="false">
      <c r="A79" s="22" t="str">
        <f aca="false">IF(COUNTIF(Programação!$AQ$5:$AQ$1004,1)&lt;72,"",IF(INDEX(Programação!$AM$5:$AM$1004,MATCH(72,Programação!$AR$5:$AR$1004,0))="","",INDEX(Programação!$AM$5:$AM$1004,MATCH(72,Programação!$AR$5:$AR$1004,0))))</f>
        <v/>
      </c>
      <c r="B79" s="22" t="str">
        <f aca="false">IF(COUNTIF(Programação!$AQ$5:$AQ$1004,1)&lt;72,"",IF(INDEX(Programação!$C$5:$C$1004,MATCH(72,Programação!$AR$5:$AR$1004,0))="","",INDEX(Programação!$C$5:$C$1004,MATCH(72,Programação!$AR$5:$AR$1004,0))))</f>
        <v/>
      </c>
      <c r="C79" s="24" t="str">
        <f aca="false">IF(COUNTIF(Programação!$AQ$5:$AQ$1004,1)&lt;72,"",IF(INDEX(Programação!$E$5:$E$1004,MATCH(72,Programação!$AR$5:$AR$1004,0))="","",INDEX(Programação!$E$5:$E$1004,MATCH(72,Programação!$AR$5:$AR$1004,0))))</f>
        <v/>
      </c>
      <c r="D79" s="24" t="str">
        <f aca="false">IF(COUNTIF(Programação!$AQ$5:$AQ$1004,1)&lt;72,"",IF(INDEX(Programação!$F$5:$F$1004,MATCH(72,Programação!$AR$5:$AR$1004,0))="","",INDEX(Programação!$F$5:$F$1004,MATCH(72,Programação!$AR$5:$AR$1004,0))))</f>
        <v/>
      </c>
      <c r="E79" s="24" t="str">
        <f aca="false">IF(COUNTIF(Programação!$AQ$5:$AQ$1004,1)&lt;72,"",IF(INDEX(Programação!$AG$5:$AG$1004,MATCH(72,Programação!$AR$5:$AR$1004,0))="","",INDEX(Programação!$AG$5:$AG$1004,MATCH(72,Programação!$AR$5:$AR$1004,0))))</f>
        <v/>
      </c>
      <c r="F79" s="22" t="str">
        <f aca="false">IF(COUNTIF(Programação!$AQ$5:$AQ$1004,1)&lt;72,"",IF(INDEX(Programação!$L$5:$L$1004,MATCH(72,Programação!$AR$5:$AR$1004,0))="","",INDEX(Programação!$L$5:$L$1004,MATCH(72,Programação!$AR$5:$AR$1004,0))))</f>
        <v/>
      </c>
      <c r="G79" s="25" t="str">
        <f aca="false">IF(COUNTIF(Programação!$AQ$5:$AQ$1004,1)&lt;72,"",IF(INDEX(Programação!$P$5:$P$1004,MATCH(72,Programação!$AR$5:$AR$1004,0))="","",INDEX(Programação!$P$5:$P$1004,MATCH(72,Programação!$AR$5:$AR$1004,0))))</f>
        <v/>
      </c>
      <c r="H79" s="22" t="str">
        <f aca="false">IF(COUNTIF(Programação!$AQ$5:$AQ$1004,1)&lt;72,"",IF(INDEX(Programação!$B$5:$B$1004,MATCH(72,Programação!$AR$5:$AR$1004,0))="","",INDEX(Programação!$B$5:$B$1004,MATCH(72,Programação!$AR$5:$AR$1004,0))))</f>
        <v/>
      </c>
      <c r="I79" s="22" t="str">
        <f aca="false">IF(COUNTIF(Programação!$AQ$5:$AQ$1004,1)&lt;72,"",MATCH(72,Programação!$AR$5:$AR$1004,0)+4)</f>
        <v/>
      </c>
    </row>
    <row r="80" customFormat="false" ht="15.75" hidden="false" customHeight="true" outlineLevel="0" collapsed="false">
      <c r="A80" s="22" t="str">
        <f aca="false">IF(COUNTIF(Programação!$AQ$5:$AQ$1004,1)&lt;73,"",IF(INDEX(Programação!$AM$5:$AM$1004,MATCH(73,Programação!$AR$5:$AR$1004,0))="","",INDEX(Programação!$AM$5:$AM$1004,MATCH(73,Programação!$AR$5:$AR$1004,0))))</f>
        <v/>
      </c>
      <c r="B80" s="22" t="str">
        <f aca="false">IF(COUNTIF(Programação!$AQ$5:$AQ$1004,1)&lt;73,"",IF(INDEX(Programação!$C$5:$C$1004,MATCH(73,Programação!$AR$5:$AR$1004,0))="","",INDEX(Programação!$C$5:$C$1004,MATCH(73,Programação!$AR$5:$AR$1004,0))))</f>
        <v/>
      </c>
      <c r="C80" s="24" t="str">
        <f aca="false">IF(COUNTIF(Programação!$AQ$5:$AQ$1004,1)&lt;73,"",IF(INDEX(Programação!$E$5:$E$1004,MATCH(73,Programação!$AR$5:$AR$1004,0))="","",INDEX(Programação!$E$5:$E$1004,MATCH(73,Programação!$AR$5:$AR$1004,0))))</f>
        <v/>
      </c>
      <c r="D80" s="24" t="str">
        <f aca="false">IF(COUNTIF(Programação!$AQ$5:$AQ$1004,1)&lt;73,"",IF(INDEX(Programação!$F$5:$F$1004,MATCH(73,Programação!$AR$5:$AR$1004,0))="","",INDEX(Programação!$F$5:$F$1004,MATCH(73,Programação!$AR$5:$AR$1004,0))))</f>
        <v/>
      </c>
      <c r="E80" s="24" t="str">
        <f aca="false">IF(COUNTIF(Programação!$AQ$5:$AQ$1004,1)&lt;73,"",IF(INDEX(Programação!$AG$5:$AG$1004,MATCH(73,Programação!$AR$5:$AR$1004,0))="","",INDEX(Programação!$AG$5:$AG$1004,MATCH(73,Programação!$AR$5:$AR$1004,0))))</f>
        <v/>
      </c>
      <c r="F80" s="22" t="str">
        <f aca="false">IF(COUNTIF(Programação!$AQ$5:$AQ$1004,1)&lt;73,"",IF(INDEX(Programação!$L$5:$L$1004,MATCH(73,Programação!$AR$5:$AR$1004,0))="","",INDEX(Programação!$L$5:$L$1004,MATCH(73,Programação!$AR$5:$AR$1004,0))))</f>
        <v/>
      </c>
      <c r="G80" s="25" t="str">
        <f aca="false">IF(COUNTIF(Programação!$AQ$5:$AQ$1004,1)&lt;73,"",IF(INDEX(Programação!$P$5:$P$1004,MATCH(73,Programação!$AR$5:$AR$1004,0))="","",INDEX(Programação!$P$5:$P$1004,MATCH(73,Programação!$AR$5:$AR$1004,0))))</f>
        <v/>
      </c>
      <c r="H80" s="22" t="str">
        <f aca="false">IF(COUNTIF(Programação!$AQ$5:$AQ$1004,1)&lt;73,"",IF(INDEX(Programação!$B$5:$B$1004,MATCH(73,Programação!$AR$5:$AR$1004,0))="","",INDEX(Programação!$B$5:$B$1004,MATCH(73,Programação!$AR$5:$AR$1004,0))))</f>
        <v/>
      </c>
      <c r="I80" s="22" t="str">
        <f aca="false">IF(COUNTIF(Programação!$AQ$5:$AQ$1004,1)&lt;73,"",MATCH(73,Programação!$AR$5:$AR$1004,0)+4)</f>
        <v/>
      </c>
    </row>
    <row r="81" customFormat="false" ht="15.75" hidden="false" customHeight="true" outlineLevel="0" collapsed="false">
      <c r="A81" s="22" t="str">
        <f aca="false">IF(COUNTIF(Programação!$AQ$5:$AQ$1004,1)&lt;74,"",IF(INDEX(Programação!$AM$5:$AM$1004,MATCH(74,Programação!$AR$5:$AR$1004,0))="","",INDEX(Programação!$AM$5:$AM$1004,MATCH(74,Programação!$AR$5:$AR$1004,0))))</f>
        <v/>
      </c>
      <c r="B81" s="22" t="str">
        <f aca="false">IF(COUNTIF(Programação!$AQ$5:$AQ$1004,1)&lt;74,"",IF(INDEX(Programação!$C$5:$C$1004,MATCH(74,Programação!$AR$5:$AR$1004,0))="","",INDEX(Programação!$C$5:$C$1004,MATCH(74,Programação!$AR$5:$AR$1004,0))))</f>
        <v/>
      </c>
      <c r="C81" s="24" t="str">
        <f aca="false">IF(COUNTIF(Programação!$AQ$5:$AQ$1004,1)&lt;74,"",IF(INDEX(Programação!$E$5:$E$1004,MATCH(74,Programação!$AR$5:$AR$1004,0))="","",INDEX(Programação!$E$5:$E$1004,MATCH(74,Programação!$AR$5:$AR$1004,0))))</f>
        <v/>
      </c>
      <c r="D81" s="24" t="str">
        <f aca="false">IF(COUNTIF(Programação!$AQ$5:$AQ$1004,1)&lt;74,"",IF(INDEX(Programação!$F$5:$F$1004,MATCH(74,Programação!$AR$5:$AR$1004,0))="","",INDEX(Programação!$F$5:$F$1004,MATCH(74,Programação!$AR$5:$AR$1004,0))))</f>
        <v/>
      </c>
      <c r="E81" s="24" t="str">
        <f aca="false">IF(COUNTIF(Programação!$AQ$5:$AQ$1004,1)&lt;74,"",IF(INDEX(Programação!$AG$5:$AG$1004,MATCH(74,Programação!$AR$5:$AR$1004,0))="","",INDEX(Programação!$AG$5:$AG$1004,MATCH(74,Programação!$AR$5:$AR$1004,0))))</f>
        <v/>
      </c>
      <c r="F81" s="22" t="str">
        <f aca="false">IF(COUNTIF(Programação!$AQ$5:$AQ$1004,1)&lt;74,"",IF(INDEX(Programação!$L$5:$L$1004,MATCH(74,Programação!$AR$5:$AR$1004,0))="","",INDEX(Programação!$L$5:$L$1004,MATCH(74,Programação!$AR$5:$AR$1004,0))))</f>
        <v/>
      </c>
      <c r="G81" s="25" t="str">
        <f aca="false">IF(COUNTIF(Programação!$AQ$5:$AQ$1004,1)&lt;74,"",IF(INDEX(Programação!$P$5:$P$1004,MATCH(74,Programação!$AR$5:$AR$1004,0))="","",INDEX(Programação!$P$5:$P$1004,MATCH(74,Programação!$AR$5:$AR$1004,0))))</f>
        <v/>
      </c>
      <c r="H81" s="22" t="str">
        <f aca="false">IF(COUNTIF(Programação!$AQ$5:$AQ$1004,1)&lt;74,"",IF(INDEX(Programação!$B$5:$B$1004,MATCH(74,Programação!$AR$5:$AR$1004,0))="","",INDEX(Programação!$B$5:$B$1004,MATCH(74,Programação!$AR$5:$AR$1004,0))))</f>
        <v/>
      </c>
      <c r="I81" s="22" t="str">
        <f aca="false">IF(COUNTIF(Programação!$AQ$5:$AQ$1004,1)&lt;74,"",MATCH(74,Programação!$AR$5:$AR$1004,0)+4)</f>
        <v/>
      </c>
    </row>
    <row r="82" customFormat="false" ht="15.75" hidden="false" customHeight="true" outlineLevel="0" collapsed="false">
      <c r="A82" s="22" t="str">
        <f aca="false">IF(COUNTIF(Programação!$AQ$5:$AQ$1004,1)&lt;75,"",IF(INDEX(Programação!$AM$5:$AM$1004,MATCH(75,Programação!$AR$5:$AR$1004,0))="","",INDEX(Programação!$AM$5:$AM$1004,MATCH(75,Programação!$AR$5:$AR$1004,0))))</f>
        <v/>
      </c>
      <c r="B82" s="22" t="str">
        <f aca="false">IF(COUNTIF(Programação!$AQ$5:$AQ$1004,1)&lt;75,"",IF(INDEX(Programação!$C$5:$C$1004,MATCH(75,Programação!$AR$5:$AR$1004,0))="","",INDEX(Programação!$C$5:$C$1004,MATCH(75,Programação!$AR$5:$AR$1004,0))))</f>
        <v/>
      </c>
      <c r="C82" s="24" t="str">
        <f aca="false">IF(COUNTIF(Programação!$AQ$5:$AQ$1004,1)&lt;75,"",IF(INDEX(Programação!$E$5:$E$1004,MATCH(75,Programação!$AR$5:$AR$1004,0))="","",INDEX(Programação!$E$5:$E$1004,MATCH(75,Programação!$AR$5:$AR$1004,0))))</f>
        <v/>
      </c>
      <c r="D82" s="24" t="str">
        <f aca="false">IF(COUNTIF(Programação!$AQ$5:$AQ$1004,1)&lt;75,"",IF(INDEX(Programação!$F$5:$F$1004,MATCH(75,Programação!$AR$5:$AR$1004,0))="","",INDEX(Programação!$F$5:$F$1004,MATCH(75,Programação!$AR$5:$AR$1004,0))))</f>
        <v/>
      </c>
      <c r="E82" s="24" t="str">
        <f aca="false">IF(COUNTIF(Programação!$AQ$5:$AQ$1004,1)&lt;75,"",IF(INDEX(Programação!$AG$5:$AG$1004,MATCH(75,Programação!$AR$5:$AR$1004,0))="","",INDEX(Programação!$AG$5:$AG$1004,MATCH(75,Programação!$AR$5:$AR$1004,0))))</f>
        <v/>
      </c>
      <c r="F82" s="22" t="str">
        <f aca="false">IF(COUNTIF(Programação!$AQ$5:$AQ$1004,1)&lt;75,"",IF(INDEX(Programação!$L$5:$L$1004,MATCH(75,Programação!$AR$5:$AR$1004,0))="","",INDEX(Programação!$L$5:$L$1004,MATCH(75,Programação!$AR$5:$AR$1004,0))))</f>
        <v/>
      </c>
      <c r="G82" s="25" t="str">
        <f aca="false">IF(COUNTIF(Programação!$AQ$5:$AQ$1004,1)&lt;75,"",IF(INDEX(Programação!$P$5:$P$1004,MATCH(75,Programação!$AR$5:$AR$1004,0))="","",INDEX(Programação!$P$5:$P$1004,MATCH(75,Programação!$AR$5:$AR$1004,0))))</f>
        <v/>
      </c>
      <c r="H82" s="22" t="str">
        <f aca="false">IF(COUNTIF(Programação!$AQ$5:$AQ$1004,1)&lt;75,"",IF(INDEX(Programação!$B$5:$B$1004,MATCH(75,Programação!$AR$5:$AR$1004,0))="","",INDEX(Programação!$B$5:$B$1004,MATCH(75,Programação!$AR$5:$AR$1004,0))))</f>
        <v/>
      </c>
      <c r="I82" s="22" t="str">
        <f aca="false">IF(COUNTIF(Programação!$AQ$5:$AQ$1004,1)&lt;75,"",MATCH(75,Programação!$AR$5:$AR$1004,0)+4)</f>
        <v/>
      </c>
    </row>
    <row r="83" customFormat="false" ht="15.75" hidden="false" customHeight="true" outlineLevel="0" collapsed="false">
      <c r="A83" s="22" t="str">
        <f aca="false">IF(COUNTIF(Programação!$AQ$5:$AQ$1004,1)&lt;76,"",IF(INDEX(Programação!$AM$5:$AM$1004,MATCH(76,Programação!$AR$5:$AR$1004,0))="","",INDEX(Programação!$AM$5:$AM$1004,MATCH(76,Programação!$AR$5:$AR$1004,0))))</f>
        <v/>
      </c>
      <c r="B83" s="22" t="str">
        <f aca="false">IF(COUNTIF(Programação!$AQ$5:$AQ$1004,1)&lt;76,"",IF(INDEX(Programação!$C$5:$C$1004,MATCH(76,Programação!$AR$5:$AR$1004,0))="","",INDEX(Programação!$C$5:$C$1004,MATCH(76,Programação!$AR$5:$AR$1004,0))))</f>
        <v/>
      </c>
      <c r="C83" s="24" t="str">
        <f aca="false">IF(COUNTIF(Programação!$AQ$5:$AQ$1004,1)&lt;76,"",IF(INDEX(Programação!$E$5:$E$1004,MATCH(76,Programação!$AR$5:$AR$1004,0))="","",INDEX(Programação!$E$5:$E$1004,MATCH(76,Programação!$AR$5:$AR$1004,0))))</f>
        <v/>
      </c>
      <c r="D83" s="24" t="str">
        <f aca="false">IF(COUNTIF(Programação!$AQ$5:$AQ$1004,1)&lt;76,"",IF(INDEX(Programação!$F$5:$F$1004,MATCH(76,Programação!$AR$5:$AR$1004,0))="","",INDEX(Programação!$F$5:$F$1004,MATCH(76,Programação!$AR$5:$AR$1004,0))))</f>
        <v/>
      </c>
      <c r="E83" s="24" t="str">
        <f aca="false">IF(COUNTIF(Programação!$AQ$5:$AQ$1004,1)&lt;76,"",IF(INDEX(Programação!$AG$5:$AG$1004,MATCH(76,Programação!$AR$5:$AR$1004,0))="","",INDEX(Programação!$AG$5:$AG$1004,MATCH(76,Programação!$AR$5:$AR$1004,0))))</f>
        <v/>
      </c>
      <c r="F83" s="22" t="str">
        <f aca="false">IF(COUNTIF(Programação!$AQ$5:$AQ$1004,1)&lt;76,"",IF(INDEX(Programação!$L$5:$L$1004,MATCH(76,Programação!$AR$5:$AR$1004,0))="","",INDEX(Programação!$L$5:$L$1004,MATCH(76,Programação!$AR$5:$AR$1004,0))))</f>
        <v/>
      </c>
      <c r="G83" s="25" t="str">
        <f aca="false">IF(COUNTIF(Programação!$AQ$5:$AQ$1004,1)&lt;76,"",IF(INDEX(Programação!$P$5:$P$1004,MATCH(76,Programação!$AR$5:$AR$1004,0))="","",INDEX(Programação!$P$5:$P$1004,MATCH(76,Programação!$AR$5:$AR$1004,0))))</f>
        <v/>
      </c>
      <c r="H83" s="22" t="str">
        <f aca="false">IF(COUNTIF(Programação!$AQ$5:$AQ$1004,1)&lt;76,"",IF(INDEX(Programação!$B$5:$B$1004,MATCH(76,Programação!$AR$5:$AR$1004,0))="","",INDEX(Programação!$B$5:$B$1004,MATCH(76,Programação!$AR$5:$AR$1004,0))))</f>
        <v/>
      </c>
      <c r="I83" s="22" t="str">
        <f aca="false">IF(COUNTIF(Programação!$AQ$5:$AQ$1004,1)&lt;76,"",MATCH(76,Programação!$AR$5:$AR$1004,0)+4)</f>
        <v/>
      </c>
    </row>
    <row r="84" customFormat="false" ht="15.75" hidden="false" customHeight="true" outlineLevel="0" collapsed="false">
      <c r="A84" s="22" t="str">
        <f aca="false">IF(COUNTIF(Programação!$AQ$5:$AQ$1004,1)&lt;77,"",IF(INDEX(Programação!$AM$5:$AM$1004,MATCH(77,Programação!$AR$5:$AR$1004,0))="","",INDEX(Programação!$AM$5:$AM$1004,MATCH(77,Programação!$AR$5:$AR$1004,0))))</f>
        <v/>
      </c>
      <c r="B84" s="22" t="str">
        <f aca="false">IF(COUNTIF(Programação!$AQ$5:$AQ$1004,1)&lt;77,"",IF(INDEX(Programação!$C$5:$C$1004,MATCH(77,Programação!$AR$5:$AR$1004,0))="","",INDEX(Programação!$C$5:$C$1004,MATCH(77,Programação!$AR$5:$AR$1004,0))))</f>
        <v/>
      </c>
      <c r="C84" s="24" t="str">
        <f aca="false">IF(COUNTIF(Programação!$AQ$5:$AQ$1004,1)&lt;77,"",IF(INDEX(Programação!$E$5:$E$1004,MATCH(77,Programação!$AR$5:$AR$1004,0))="","",INDEX(Programação!$E$5:$E$1004,MATCH(77,Programação!$AR$5:$AR$1004,0))))</f>
        <v/>
      </c>
      <c r="D84" s="24" t="str">
        <f aca="false">IF(COUNTIF(Programação!$AQ$5:$AQ$1004,1)&lt;77,"",IF(INDEX(Programação!$F$5:$F$1004,MATCH(77,Programação!$AR$5:$AR$1004,0))="","",INDEX(Programação!$F$5:$F$1004,MATCH(77,Programação!$AR$5:$AR$1004,0))))</f>
        <v/>
      </c>
      <c r="E84" s="24" t="str">
        <f aca="false">IF(COUNTIF(Programação!$AQ$5:$AQ$1004,1)&lt;77,"",IF(INDEX(Programação!$AG$5:$AG$1004,MATCH(77,Programação!$AR$5:$AR$1004,0))="","",INDEX(Programação!$AG$5:$AG$1004,MATCH(77,Programação!$AR$5:$AR$1004,0))))</f>
        <v/>
      </c>
      <c r="F84" s="22" t="str">
        <f aca="false">IF(COUNTIF(Programação!$AQ$5:$AQ$1004,1)&lt;77,"",IF(INDEX(Programação!$L$5:$L$1004,MATCH(77,Programação!$AR$5:$AR$1004,0))="","",INDEX(Programação!$L$5:$L$1004,MATCH(77,Programação!$AR$5:$AR$1004,0))))</f>
        <v/>
      </c>
      <c r="G84" s="25" t="str">
        <f aca="false">IF(COUNTIF(Programação!$AQ$5:$AQ$1004,1)&lt;77,"",IF(INDEX(Programação!$P$5:$P$1004,MATCH(77,Programação!$AR$5:$AR$1004,0))="","",INDEX(Programação!$P$5:$P$1004,MATCH(77,Programação!$AR$5:$AR$1004,0))))</f>
        <v/>
      </c>
      <c r="H84" s="22" t="str">
        <f aca="false">IF(COUNTIF(Programação!$AQ$5:$AQ$1004,1)&lt;77,"",IF(INDEX(Programação!$B$5:$B$1004,MATCH(77,Programação!$AR$5:$AR$1004,0))="","",INDEX(Programação!$B$5:$B$1004,MATCH(77,Programação!$AR$5:$AR$1004,0))))</f>
        <v/>
      </c>
      <c r="I84" s="22" t="str">
        <f aca="false">IF(COUNTIF(Programação!$AQ$5:$AQ$1004,1)&lt;77,"",MATCH(77,Programação!$AR$5:$AR$1004,0)+4)</f>
        <v/>
      </c>
    </row>
    <row r="85" customFormat="false" ht="15.75" hidden="false" customHeight="true" outlineLevel="0" collapsed="false">
      <c r="A85" s="22" t="str">
        <f aca="false">IF(COUNTIF(Programação!$AQ$5:$AQ$1004,1)&lt;78,"",IF(INDEX(Programação!$AM$5:$AM$1004,MATCH(78,Programação!$AR$5:$AR$1004,0))="","",INDEX(Programação!$AM$5:$AM$1004,MATCH(78,Programação!$AR$5:$AR$1004,0))))</f>
        <v/>
      </c>
      <c r="B85" s="22" t="str">
        <f aca="false">IF(COUNTIF(Programação!$AQ$5:$AQ$1004,1)&lt;78,"",IF(INDEX(Programação!$C$5:$C$1004,MATCH(78,Programação!$AR$5:$AR$1004,0))="","",INDEX(Programação!$C$5:$C$1004,MATCH(78,Programação!$AR$5:$AR$1004,0))))</f>
        <v/>
      </c>
      <c r="C85" s="24" t="str">
        <f aca="false">IF(COUNTIF(Programação!$AQ$5:$AQ$1004,1)&lt;78,"",IF(INDEX(Programação!$E$5:$E$1004,MATCH(78,Programação!$AR$5:$AR$1004,0))="","",INDEX(Programação!$E$5:$E$1004,MATCH(78,Programação!$AR$5:$AR$1004,0))))</f>
        <v/>
      </c>
      <c r="D85" s="24" t="str">
        <f aca="false">IF(COUNTIF(Programação!$AQ$5:$AQ$1004,1)&lt;78,"",IF(INDEX(Programação!$F$5:$F$1004,MATCH(78,Programação!$AR$5:$AR$1004,0))="","",INDEX(Programação!$F$5:$F$1004,MATCH(78,Programação!$AR$5:$AR$1004,0))))</f>
        <v/>
      </c>
      <c r="E85" s="24" t="str">
        <f aca="false">IF(COUNTIF(Programação!$AQ$5:$AQ$1004,1)&lt;78,"",IF(INDEX(Programação!$AG$5:$AG$1004,MATCH(78,Programação!$AR$5:$AR$1004,0))="","",INDEX(Programação!$AG$5:$AG$1004,MATCH(78,Programação!$AR$5:$AR$1004,0))))</f>
        <v/>
      </c>
      <c r="F85" s="22" t="str">
        <f aca="false">IF(COUNTIF(Programação!$AQ$5:$AQ$1004,1)&lt;78,"",IF(INDEX(Programação!$L$5:$L$1004,MATCH(78,Programação!$AR$5:$AR$1004,0))="","",INDEX(Programação!$L$5:$L$1004,MATCH(78,Programação!$AR$5:$AR$1004,0))))</f>
        <v/>
      </c>
      <c r="G85" s="25" t="str">
        <f aca="false">IF(COUNTIF(Programação!$AQ$5:$AQ$1004,1)&lt;78,"",IF(INDEX(Programação!$P$5:$P$1004,MATCH(78,Programação!$AR$5:$AR$1004,0))="","",INDEX(Programação!$P$5:$P$1004,MATCH(78,Programação!$AR$5:$AR$1004,0))))</f>
        <v/>
      </c>
      <c r="H85" s="22" t="str">
        <f aca="false">IF(COUNTIF(Programação!$AQ$5:$AQ$1004,1)&lt;78,"",IF(INDEX(Programação!$B$5:$B$1004,MATCH(78,Programação!$AR$5:$AR$1004,0))="","",INDEX(Programação!$B$5:$B$1004,MATCH(78,Programação!$AR$5:$AR$1004,0))))</f>
        <v/>
      </c>
      <c r="I85" s="22" t="str">
        <f aca="false">IF(COUNTIF(Programação!$AQ$5:$AQ$1004,1)&lt;78,"",MATCH(78,Programação!$AR$5:$AR$1004,0)+4)</f>
        <v/>
      </c>
    </row>
    <row r="86" customFormat="false" ht="15.75" hidden="false" customHeight="true" outlineLevel="0" collapsed="false">
      <c r="A86" s="22" t="str">
        <f aca="false">IF(COUNTIF(Programação!$AQ$5:$AQ$1004,1)&lt;79,"",IF(INDEX(Programação!$AM$5:$AM$1004,MATCH(79,Programação!$AR$5:$AR$1004,0))="","",INDEX(Programação!$AM$5:$AM$1004,MATCH(79,Programação!$AR$5:$AR$1004,0))))</f>
        <v/>
      </c>
      <c r="B86" s="22" t="str">
        <f aca="false">IF(COUNTIF(Programação!$AQ$5:$AQ$1004,1)&lt;79,"",IF(INDEX(Programação!$C$5:$C$1004,MATCH(79,Programação!$AR$5:$AR$1004,0))="","",INDEX(Programação!$C$5:$C$1004,MATCH(79,Programação!$AR$5:$AR$1004,0))))</f>
        <v/>
      </c>
      <c r="C86" s="24" t="str">
        <f aca="false">IF(COUNTIF(Programação!$AQ$5:$AQ$1004,1)&lt;79,"",IF(INDEX(Programação!$E$5:$E$1004,MATCH(79,Programação!$AR$5:$AR$1004,0))="","",INDEX(Programação!$E$5:$E$1004,MATCH(79,Programação!$AR$5:$AR$1004,0))))</f>
        <v/>
      </c>
      <c r="D86" s="24" t="str">
        <f aca="false">IF(COUNTIF(Programação!$AQ$5:$AQ$1004,1)&lt;79,"",IF(INDEX(Programação!$F$5:$F$1004,MATCH(79,Programação!$AR$5:$AR$1004,0))="","",INDEX(Programação!$F$5:$F$1004,MATCH(79,Programação!$AR$5:$AR$1004,0))))</f>
        <v/>
      </c>
      <c r="E86" s="24" t="str">
        <f aca="false">IF(COUNTIF(Programação!$AQ$5:$AQ$1004,1)&lt;79,"",IF(INDEX(Programação!$AG$5:$AG$1004,MATCH(79,Programação!$AR$5:$AR$1004,0))="","",INDEX(Programação!$AG$5:$AG$1004,MATCH(79,Programação!$AR$5:$AR$1004,0))))</f>
        <v/>
      </c>
      <c r="F86" s="22" t="str">
        <f aca="false">IF(COUNTIF(Programação!$AQ$5:$AQ$1004,1)&lt;79,"",IF(INDEX(Programação!$L$5:$L$1004,MATCH(79,Programação!$AR$5:$AR$1004,0))="","",INDEX(Programação!$L$5:$L$1004,MATCH(79,Programação!$AR$5:$AR$1004,0))))</f>
        <v/>
      </c>
      <c r="G86" s="25" t="str">
        <f aca="false">IF(COUNTIF(Programação!$AQ$5:$AQ$1004,1)&lt;79,"",IF(INDEX(Programação!$P$5:$P$1004,MATCH(79,Programação!$AR$5:$AR$1004,0))="","",INDEX(Programação!$P$5:$P$1004,MATCH(79,Programação!$AR$5:$AR$1004,0))))</f>
        <v/>
      </c>
      <c r="H86" s="22" t="str">
        <f aca="false">IF(COUNTIF(Programação!$AQ$5:$AQ$1004,1)&lt;79,"",IF(INDEX(Programação!$B$5:$B$1004,MATCH(79,Programação!$AR$5:$AR$1004,0))="","",INDEX(Programação!$B$5:$B$1004,MATCH(79,Programação!$AR$5:$AR$1004,0))))</f>
        <v/>
      </c>
      <c r="I86" s="22" t="str">
        <f aca="false">IF(COUNTIF(Programação!$AQ$5:$AQ$1004,1)&lt;79,"",MATCH(79,Programação!$AR$5:$AR$1004,0)+4)</f>
        <v/>
      </c>
    </row>
    <row r="87" customFormat="false" ht="15.75" hidden="false" customHeight="true" outlineLevel="0" collapsed="false">
      <c r="A87" s="22" t="str">
        <f aca="false">IF(COUNTIF(Programação!$AQ$5:$AQ$1004,1)&lt;80,"",IF(INDEX(Programação!$AM$5:$AM$1004,MATCH(80,Programação!$AR$5:$AR$1004,0))="","",INDEX(Programação!$AM$5:$AM$1004,MATCH(80,Programação!$AR$5:$AR$1004,0))))</f>
        <v/>
      </c>
      <c r="B87" s="22" t="str">
        <f aca="false">IF(COUNTIF(Programação!$AQ$5:$AQ$1004,1)&lt;80,"",IF(INDEX(Programação!$C$5:$C$1004,MATCH(80,Programação!$AR$5:$AR$1004,0))="","",INDEX(Programação!$C$5:$C$1004,MATCH(80,Programação!$AR$5:$AR$1004,0))))</f>
        <v/>
      </c>
      <c r="C87" s="24" t="str">
        <f aca="false">IF(COUNTIF(Programação!$AQ$5:$AQ$1004,1)&lt;80,"",IF(INDEX(Programação!$E$5:$E$1004,MATCH(80,Programação!$AR$5:$AR$1004,0))="","",INDEX(Programação!$E$5:$E$1004,MATCH(80,Programação!$AR$5:$AR$1004,0))))</f>
        <v/>
      </c>
      <c r="D87" s="24" t="str">
        <f aca="false">IF(COUNTIF(Programação!$AQ$5:$AQ$1004,1)&lt;80,"",IF(INDEX(Programação!$F$5:$F$1004,MATCH(80,Programação!$AR$5:$AR$1004,0))="","",INDEX(Programação!$F$5:$F$1004,MATCH(80,Programação!$AR$5:$AR$1004,0))))</f>
        <v/>
      </c>
      <c r="E87" s="24" t="str">
        <f aca="false">IF(COUNTIF(Programação!$AQ$5:$AQ$1004,1)&lt;80,"",IF(INDEX(Programação!$AG$5:$AG$1004,MATCH(80,Programação!$AR$5:$AR$1004,0))="","",INDEX(Programação!$AG$5:$AG$1004,MATCH(80,Programação!$AR$5:$AR$1004,0))))</f>
        <v/>
      </c>
      <c r="F87" s="22" t="str">
        <f aca="false">IF(COUNTIF(Programação!$AQ$5:$AQ$1004,1)&lt;80,"",IF(INDEX(Programação!$L$5:$L$1004,MATCH(80,Programação!$AR$5:$AR$1004,0))="","",INDEX(Programação!$L$5:$L$1004,MATCH(80,Programação!$AR$5:$AR$1004,0))))</f>
        <v/>
      </c>
      <c r="G87" s="25" t="str">
        <f aca="false">IF(COUNTIF(Programação!$AQ$5:$AQ$1004,1)&lt;80,"",IF(INDEX(Programação!$P$5:$P$1004,MATCH(80,Programação!$AR$5:$AR$1004,0))="","",INDEX(Programação!$P$5:$P$1004,MATCH(80,Programação!$AR$5:$AR$1004,0))))</f>
        <v/>
      </c>
      <c r="H87" s="22" t="str">
        <f aca="false">IF(COUNTIF(Programação!$AQ$5:$AQ$1004,1)&lt;80,"",IF(INDEX(Programação!$B$5:$B$1004,MATCH(80,Programação!$AR$5:$AR$1004,0))="","",INDEX(Programação!$B$5:$B$1004,MATCH(80,Programação!$AR$5:$AR$1004,0))))</f>
        <v/>
      </c>
      <c r="I87" s="22" t="str">
        <f aca="false">IF(COUNTIF(Programação!$AQ$5:$AQ$1004,1)&lt;80,"",MATCH(80,Programação!$AR$5:$AR$1004,0)+4)</f>
        <v/>
      </c>
    </row>
    <row r="88" customFormat="false" ht="15.75" hidden="false" customHeight="true" outlineLevel="0" collapsed="false">
      <c r="A88" s="22" t="str">
        <f aca="false">IF(COUNTIF(Programação!$AQ$5:$AQ$1004,1)&lt;81,"",IF(INDEX(Programação!$AM$5:$AM$1004,MATCH(81,Programação!$AR$5:$AR$1004,0))="","",INDEX(Programação!$AM$5:$AM$1004,MATCH(81,Programação!$AR$5:$AR$1004,0))))</f>
        <v/>
      </c>
      <c r="B88" s="22" t="str">
        <f aca="false">IF(COUNTIF(Programação!$AQ$5:$AQ$1004,1)&lt;81,"",IF(INDEX(Programação!$C$5:$C$1004,MATCH(81,Programação!$AR$5:$AR$1004,0))="","",INDEX(Programação!$C$5:$C$1004,MATCH(81,Programação!$AR$5:$AR$1004,0))))</f>
        <v/>
      </c>
      <c r="C88" s="24" t="str">
        <f aca="false">IF(COUNTIF(Programação!$AQ$5:$AQ$1004,1)&lt;81,"",IF(INDEX(Programação!$E$5:$E$1004,MATCH(81,Programação!$AR$5:$AR$1004,0))="","",INDEX(Programação!$E$5:$E$1004,MATCH(81,Programação!$AR$5:$AR$1004,0))))</f>
        <v/>
      </c>
      <c r="D88" s="24" t="str">
        <f aca="false">IF(COUNTIF(Programação!$AQ$5:$AQ$1004,1)&lt;81,"",IF(INDEX(Programação!$F$5:$F$1004,MATCH(81,Programação!$AR$5:$AR$1004,0))="","",INDEX(Programação!$F$5:$F$1004,MATCH(81,Programação!$AR$5:$AR$1004,0))))</f>
        <v/>
      </c>
      <c r="E88" s="24" t="str">
        <f aca="false">IF(COUNTIF(Programação!$AQ$5:$AQ$1004,1)&lt;81,"",IF(INDEX(Programação!$AG$5:$AG$1004,MATCH(81,Programação!$AR$5:$AR$1004,0))="","",INDEX(Programação!$AG$5:$AG$1004,MATCH(81,Programação!$AR$5:$AR$1004,0))))</f>
        <v/>
      </c>
      <c r="F88" s="22" t="str">
        <f aca="false">IF(COUNTIF(Programação!$AQ$5:$AQ$1004,1)&lt;81,"",IF(INDEX(Programação!$L$5:$L$1004,MATCH(81,Programação!$AR$5:$AR$1004,0))="","",INDEX(Programação!$L$5:$L$1004,MATCH(81,Programação!$AR$5:$AR$1004,0))))</f>
        <v/>
      </c>
      <c r="G88" s="25" t="str">
        <f aca="false">IF(COUNTIF(Programação!$AQ$5:$AQ$1004,1)&lt;81,"",IF(INDEX(Programação!$P$5:$P$1004,MATCH(81,Programação!$AR$5:$AR$1004,0))="","",INDEX(Programação!$P$5:$P$1004,MATCH(81,Programação!$AR$5:$AR$1004,0))))</f>
        <v/>
      </c>
      <c r="H88" s="22" t="str">
        <f aca="false">IF(COUNTIF(Programação!$AQ$5:$AQ$1004,1)&lt;81,"",IF(INDEX(Programação!$B$5:$B$1004,MATCH(81,Programação!$AR$5:$AR$1004,0))="","",INDEX(Programação!$B$5:$B$1004,MATCH(81,Programação!$AR$5:$AR$1004,0))))</f>
        <v/>
      </c>
      <c r="I88" s="22" t="str">
        <f aca="false">IF(COUNTIF(Programação!$AQ$5:$AQ$1004,1)&lt;81,"",MATCH(81,Programação!$AR$5:$AR$1004,0)+4)</f>
        <v/>
      </c>
    </row>
    <row r="89" customFormat="false" ht="15.75" hidden="false" customHeight="true" outlineLevel="0" collapsed="false">
      <c r="A89" s="22" t="str">
        <f aca="false">IF(COUNTIF(Programação!$AQ$5:$AQ$1004,1)&lt;82,"",IF(INDEX(Programação!$AM$5:$AM$1004,MATCH(82,Programação!$AR$5:$AR$1004,0))="","",INDEX(Programação!$AM$5:$AM$1004,MATCH(82,Programação!$AR$5:$AR$1004,0))))</f>
        <v/>
      </c>
      <c r="B89" s="22" t="str">
        <f aca="false">IF(COUNTIF(Programação!$AQ$5:$AQ$1004,1)&lt;82,"",IF(INDEX(Programação!$C$5:$C$1004,MATCH(82,Programação!$AR$5:$AR$1004,0))="","",INDEX(Programação!$C$5:$C$1004,MATCH(82,Programação!$AR$5:$AR$1004,0))))</f>
        <v/>
      </c>
      <c r="C89" s="24" t="str">
        <f aca="false">IF(COUNTIF(Programação!$AQ$5:$AQ$1004,1)&lt;82,"",IF(INDEX(Programação!$E$5:$E$1004,MATCH(82,Programação!$AR$5:$AR$1004,0))="","",INDEX(Programação!$E$5:$E$1004,MATCH(82,Programação!$AR$5:$AR$1004,0))))</f>
        <v/>
      </c>
      <c r="D89" s="24" t="str">
        <f aca="false">IF(COUNTIF(Programação!$AQ$5:$AQ$1004,1)&lt;82,"",IF(INDEX(Programação!$F$5:$F$1004,MATCH(82,Programação!$AR$5:$AR$1004,0))="","",INDEX(Programação!$F$5:$F$1004,MATCH(82,Programação!$AR$5:$AR$1004,0))))</f>
        <v/>
      </c>
      <c r="E89" s="24" t="str">
        <f aca="false">IF(COUNTIF(Programação!$AQ$5:$AQ$1004,1)&lt;82,"",IF(INDEX(Programação!$AG$5:$AG$1004,MATCH(82,Programação!$AR$5:$AR$1004,0))="","",INDEX(Programação!$AG$5:$AG$1004,MATCH(82,Programação!$AR$5:$AR$1004,0))))</f>
        <v/>
      </c>
      <c r="F89" s="22" t="str">
        <f aca="false">IF(COUNTIF(Programação!$AQ$5:$AQ$1004,1)&lt;82,"",IF(INDEX(Programação!$L$5:$L$1004,MATCH(82,Programação!$AR$5:$AR$1004,0))="","",INDEX(Programação!$L$5:$L$1004,MATCH(82,Programação!$AR$5:$AR$1004,0))))</f>
        <v/>
      </c>
      <c r="G89" s="25" t="str">
        <f aca="false">IF(COUNTIF(Programação!$AQ$5:$AQ$1004,1)&lt;82,"",IF(INDEX(Programação!$P$5:$P$1004,MATCH(82,Programação!$AR$5:$AR$1004,0))="","",INDEX(Programação!$P$5:$P$1004,MATCH(82,Programação!$AR$5:$AR$1004,0))))</f>
        <v/>
      </c>
      <c r="H89" s="22" t="str">
        <f aca="false">IF(COUNTIF(Programação!$AQ$5:$AQ$1004,1)&lt;82,"",IF(INDEX(Programação!$B$5:$B$1004,MATCH(82,Programação!$AR$5:$AR$1004,0))="","",INDEX(Programação!$B$5:$B$1004,MATCH(82,Programação!$AR$5:$AR$1004,0))))</f>
        <v/>
      </c>
      <c r="I89" s="22" t="str">
        <f aca="false">IF(COUNTIF(Programação!$AQ$5:$AQ$1004,1)&lt;82,"",MATCH(82,Programação!$AR$5:$AR$1004,0)+4)</f>
        <v/>
      </c>
    </row>
    <row r="90" customFormat="false" ht="15.75" hidden="false" customHeight="true" outlineLevel="0" collapsed="false">
      <c r="A90" s="22" t="str">
        <f aca="false">IF(COUNTIF(Programação!$AQ$5:$AQ$1004,1)&lt;83,"",IF(INDEX(Programação!$AM$5:$AM$1004,MATCH(83,Programação!$AR$5:$AR$1004,0))="","",INDEX(Programação!$AM$5:$AM$1004,MATCH(83,Programação!$AR$5:$AR$1004,0))))</f>
        <v/>
      </c>
      <c r="B90" s="22" t="str">
        <f aca="false">IF(COUNTIF(Programação!$AQ$5:$AQ$1004,1)&lt;83,"",IF(INDEX(Programação!$C$5:$C$1004,MATCH(83,Programação!$AR$5:$AR$1004,0))="","",INDEX(Programação!$C$5:$C$1004,MATCH(83,Programação!$AR$5:$AR$1004,0))))</f>
        <v/>
      </c>
      <c r="C90" s="24" t="str">
        <f aca="false">IF(COUNTIF(Programação!$AQ$5:$AQ$1004,1)&lt;83,"",IF(INDEX(Programação!$E$5:$E$1004,MATCH(83,Programação!$AR$5:$AR$1004,0))="","",INDEX(Programação!$E$5:$E$1004,MATCH(83,Programação!$AR$5:$AR$1004,0))))</f>
        <v/>
      </c>
      <c r="D90" s="24" t="str">
        <f aca="false">IF(COUNTIF(Programação!$AQ$5:$AQ$1004,1)&lt;83,"",IF(INDEX(Programação!$F$5:$F$1004,MATCH(83,Programação!$AR$5:$AR$1004,0))="","",INDEX(Programação!$F$5:$F$1004,MATCH(83,Programação!$AR$5:$AR$1004,0))))</f>
        <v/>
      </c>
      <c r="E90" s="24" t="str">
        <f aca="false">IF(COUNTIF(Programação!$AQ$5:$AQ$1004,1)&lt;83,"",IF(INDEX(Programação!$AG$5:$AG$1004,MATCH(83,Programação!$AR$5:$AR$1004,0))="","",INDEX(Programação!$AG$5:$AG$1004,MATCH(83,Programação!$AR$5:$AR$1004,0))))</f>
        <v/>
      </c>
      <c r="F90" s="22" t="str">
        <f aca="false">IF(COUNTIF(Programação!$AQ$5:$AQ$1004,1)&lt;83,"",IF(INDEX(Programação!$L$5:$L$1004,MATCH(83,Programação!$AR$5:$AR$1004,0))="","",INDEX(Programação!$L$5:$L$1004,MATCH(83,Programação!$AR$5:$AR$1004,0))))</f>
        <v/>
      </c>
      <c r="G90" s="25" t="str">
        <f aca="false">IF(COUNTIF(Programação!$AQ$5:$AQ$1004,1)&lt;83,"",IF(INDEX(Programação!$P$5:$P$1004,MATCH(83,Programação!$AR$5:$AR$1004,0))="","",INDEX(Programação!$P$5:$P$1004,MATCH(83,Programação!$AR$5:$AR$1004,0))))</f>
        <v/>
      </c>
      <c r="H90" s="22" t="str">
        <f aca="false">IF(COUNTIF(Programação!$AQ$5:$AQ$1004,1)&lt;83,"",IF(INDEX(Programação!$B$5:$B$1004,MATCH(83,Programação!$AR$5:$AR$1004,0))="","",INDEX(Programação!$B$5:$B$1004,MATCH(83,Programação!$AR$5:$AR$1004,0))))</f>
        <v/>
      </c>
      <c r="I90" s="22" t="str">
        <f aca="false">IF(COUNTIF(Programação!$AQ$5:$AQ$1004,1)&lt;83,"",MATCH(83,Programação!$AR$5:$AR$1004,0)+4)</f>
        <v/>
      </c>
    </row>
    <row r="91" customFormat="false" ht="15.75" hidden="false" customHeight="true" outlineLevel="0" collapsed="false">
      <c r="A91" s="22" t="str">
        <f aca="false">IF(COUNTIF(Programação!$AQ$5:$AQ$1004,1)&lt;84,"",IF(INDEX(Programação!$AM$5:$AM$1004,MATCH(84,Programação!$AR$5:$AR$1004,0))="","",INDEX(Programação!$AM$5:$AM$1004,MATCH(84,Programação!$AR$5:$AR$1004,0))))</f>
        <v/>
      </c>
      <c r="B91" s="22" t="str">
        <f aca="false">IF(COUNTIF(Programação!$AQ$5:$AQ$1004,1)&lt;84,"",IF(INDEX(Programação!$C$5:$C$1004,MATCH(84,Programação!$AR$5:$AR$1004,0))="","",INDEX(Programação!$C$5:$C$1004,MATCH(84,Programação!$AR$5:$AR$1004,0))))</f>
        <v/>
      </c>
      <c r="C91" s="24" t="str">
        <f aca="false">IF(COUNTIF(Programação!$AQ$5:$AQ$1004,1)&lt;84,"",IF(INDEX(Programação!$E$5:$E$1004,MATCH(84,Programação!$AR$5:$AR$1004,0))="","",INDEX(Programação!$E$5:$E$1004,MATCH(84,Programação!$AR$5:$AR$1004,0))))</f>
        <v/>
      </c>
      <c r="D91" s="24" t="str">
        <f aca="false">IF(COUNTIF(Programação!$AQ$5:$AQ$1004,1)&lt;84,"",IF(INDEX(Programação!$F$5:$F$1004,MATCH(84,Programação!$AR$5:$AR$1004,0))="","",INDEX(Programação!$F$5:$F$1004,MATCH(84,Programação!$AR$5:$AR$1004,0))))</f>
        <v/>
      </c>
      <c r="E91" s="24" t="str">
        <f aca="false">IF(COUNTIF(Programação!$AQ$5:$AQ$1004,1)&lt;84,"",IF(INDEX(Programação!$AG$5:$AG$1004,MATCH(84,Programação!$AR$5:$AR$1004,0))="","",INDEX(Programação!$AG$5:$AG$1004,MATCH(84,Programação!$AR$5:$AR$1004,0))))</f>
        <v/>
      </c>
      <c r="F91" s="22" t="str">
        <f aca="false">IF(COUNTIF(Programação!$AQ$5:$AQ$1004,1)&lt;84,"",IF(INDEX(Programação!$L$5:$L$1004,MATCH(84,Programação!$AR$5:$AR$1004,0))="","",INDEX(Programação!$L$5:$L$1004,MATCH(84,Programação!$AR$5:$AR$1004,0))))</f>
        <v/>
      </c>
      <c r="G91" s="25" t="str">
        <f aca="false">IF(COUNTIF(Programação!$AQ$5:$AQ$1004,1)&lt;84,"",IF(INDEX(Programação!$P$5:$P$1004,MATCH(84,Programação!$AR$5:$AR$1004,0))="","",INDEX(Programação!$P$5:$P$1004,MATCH(84,Programação!$AR$5:$AR$1004,0))))</f>
        <v/>
      </c>
      <c r="H91" s="22" t="str">
        <f aca="false">IF(COUNTIF(Programação!$AQ$5:$AQ$1004,1)&lt;84,"",IF(INDEX(Programação!$B$5:$B$1004,MATCH(84,Programação!$AR$5:$AR$1004,0))="","",INDEX(Programação!$B$5:$B$1004,MATCH(84,Programação!$AR$5:$AR$1004,0))))</f>
        <v/>
      </c>
      <c r="I91" s="22" t="str">
        <f aca="false">IF(COUNTIF(Programação!$AQ$5:$AQ$1004,1)&lt;84,"",MATCH(84,Programação!$AR$5:$AR$1004,0)+4)</f>
        <v/>
      </c>
    </row>
    <row r="92" customFormat="false" ht="15.75" hidden="false" customHeight="true" outlineLevel="0" collapsed="false">
      <c r="A92" s="22" t="str">
        <f aca="false">IF(COUNTIF(Programação!$AQ$5:$AQ$1004,1)&lt;85,"",IF(INDEX(Programação!$AM$5:$AM$1004,MATCH(85,Programação!$AR$5:$AR$1004,0))="","",INDEX(Programação!$AM$5:$AM$1004,MATCH(85,Programação!$AR$5:$AR$1004,0))))</f>
        <v/>
      </c>
      <c r="B92" s="22" t="str">
        <f aca="false">IF(COUNTIF(Programação!$AQ$5:$AQ$1004,1)&lt;85,"",IF(INDEX(Programação!$C$5:$C$1004,MATCH(85,Programação!$AR$5:$AR$1004,0))="","",INDEX(Programação!$C$5:$C$1004,MATCH(85,Programação!$AR$5:$AR$1004,0))))</f>
        <v/>
      </c>
      <c r="C92" s="24" t="str">
        <f aca="false">IF(COUNTIF(Programação!$AQ$5:$AQ$1004,1)&lt;85,"",IF(INDEX(Programação!$E$5:$E$1004,MATCH(85,Programação!$AR$5:$AR$1004,0))="","",INDEX(Programação!$E$5:$E$1004,MATCH(85,Programação!$AR$5:$AR$1004,0))))</f>
        <v/>
      </c>
      <c r="D92" s="24" t="str">
        <f aca="false">IF(COUNTIF(Programação!$AQ$5:$AQ$1004,1)&lt;85,"",IF(INDEX(Programação!$F$5:$F$1004,MATCH(85,Programação!$AR$5:$AR$1004,0))="","",INDEX(Programação!$F$5:$F$1004,MATCH(85,Programação!$AR$5:$AR$1004,0))))</f>
        <v/>
      </c>
      <c r="E92" s="24" t="str">
        <f aca="false">IF(COUNTIF(Programação!$AQ$5:$AQ$1004,1)&lt;85,"",IF(INDEX(Programação!$AG$5:$AG$1004,MATCH(85,Programação!$AR$5:$AR$1004,0))="","",INDEX(Programação!$AG$5:$AG$1004,MATCH(85,Programação!$AR$5:$AR$1004,0))))</f>
        <v/>
      </c>
      <c r="F92" s="22" t="str">
        <f aca="false">IF(COUNTIF(Programação!$AQ$5:$AQ$1004,1)&lt;85,"",IF(INDEX(Programação!$L$5:$L$1004,MATCH(85,Programação!$AR$5:$AR$1004,0))="","",INDEX(Programação!$L$5:$L$1004,MATCH(85,Programação!$AR$5:$AR$1004,0))))</f>
        <v/>
      </c>
      <c r="G92" s="25" t="str">
        <f aca="false">IF(COUNTIF(Programação!$AQ$5:$AQ$1004,1)&lt;85,"",IF(INDEX(Programação!$P$5:$P$1004,MATCH(85,Programação!$AR$5:$AR$1004,0))="","",INDEX(Programação!$P$5:$P$1004,MATCH(85,Programação!$AR$5:$AR$1004,0))))</f>
        <v/>
      </c>
      <c r="H92" s="22" t="str">
        <f aca="false">IF(COUNTIF(Programação!$AQ$5:$AQ$1004,1)&lt;85,"",IF(INDEX(Programação!$B$5:$B$1004,MATCH(85,Programação!$AR$5:$AR$1004,0))="","",INDEX(Programação!$B$5:$B$1004,MATCH(85,Programação!$AR$5:$AR$1004,0))))</f>
        <v/>
      </c>
      <c r="I92" s="22" t="str">
        <f aca="false">IF(COUNTIF(Programação!$AQ$5:$AQ$1004,1)&lt;85,"",MATCH(85,Programação!$AR$5:$AR$1004,0)+4)</f>
        <v/>
      </c>
    </row>
    <row r="93" customFormat="false" ht="15.75" hidden="false" customHeight="true" outlineLevel="0" collapsed="false">
      <c r="A93" s="22" t="str">
        <f aca="false">IF(COUNTIF(Programação!$AQ$5:$AQ$1004,1)&lt;86,"",IF(INDEX(Programação!$AM$5:$AM$1004,MATCH(86,Programação!$AR$5:$AR$1004,0))="","",INDEX(Programação!$AM$5:$AM$1004,MATCH(86,Programação!$AR$5:$AR$1004,0))))</f>
        <v/>
      </c>
      <c r="B93" s="22" t="str">
        <f aca="false">IF(COUNTIF(Programação!$AQ$5:$AQ$1004,1)&lt;86,"",IF(INDEX(Programação!$C$5:$C$1004,MATCH(86,Programação!$AR$5:$AR$1004,0))="","",INDEX(Programação!$C$5:$C$1004,MATCH(86,Programação!$AR$5:$AR$1004,0))))</f>
        <v/>
      </c>
      <c r="C93" s="24" t="str">
        <f aca="false">IF(COUNTIF(Programação!$AQ$5:$AQ$1004,1)&lt;86,"",IF(INDEX(Programação!$E$5:$E$1004,MATCH(86,Programação!$AR$5:$AR$1004,0))="","",INDEX(Programação!$E$5:$E$1004,MATCH(86,Programação!$AR$5:$AR$1004,0))))</f>
        <v/>
      </c>
      <c r="D93" s="24" t="str">
        <f aca="false">IF(COUNTIF(Programação!$AQ$5:$AQ$1004,1)&lt;86,"",IF(INDEX(Programação!$F$5:$F$1004,MATCH(86,Programação!$AR$5:$AR$1004,0))="","",INDEX(Programação!$F$5:$F$1004,MATCH(86,Programação!$AR$5:$AR$1004,0))))</f>
        <v/>
      </c>
      <c r="E93" s="24" t="str">
        <f aca="false">IF(COUNTIF(Programação!$AQ$5:$AQ$1004,1)&lt;86,"",IF(INDEX(Programação!$AG$5:$AG$1004,MATCH(86,Programação!$AR$5:$AR$1004,0))="","",INDEX(Programação!$AG$5:$AG$1004,MATCH(86,Programação!$AR$5:$AR$1004,0))))</f>
        <v/>
      </c>
      <c r="F93" s="22" t="str">
        <f aca="false">IF(COUNTIF(Programação!$AQ$5:$AQ$1004,1)&lt;86,"",IF(INDEX(Programação!$L$5:$L$1004,MATCH(86,Programação!$AR$5:$AR$1004,0))="","",INDEX(Programação!$L$5:$L$1004,MATCH(86,Programação!$AR$5:$AR$1004,0))))</f>
        <v/>
      </c>
      <c r="G93" s="25" t="str">
        <f aca="false">IF(COUNTIF(Programação!$AQ$5:$AQ$1004,1)&lt;86,"",IF(INDEX(Programação!$P$5:$P$1004,MATCH(86,Programação!$AR$5:$AR$1004,0))="","",INDEX(Programação!$P$5:$P$1004,MATCH(86,Programação!$AR$5:$AR$1004,0))))</f>
        <v/>
      </c>
      <c r="H93" s="22" t="str">
        <f aca="false">IF(COUNTIF(Programação!$AQ$5:$AQ$1004,1)&lt;86,"",IF(INDEX(Programação!$B$5:$B$1004,MATCH(86,Programação!$AR$5:$AR$1004,0))="","",INDEX(Programação!$B$5:$B$1004,MATCH(86,Programação!$AR$5:$AR$1004,0))))</f>
        <v/>
      </c>
      <c r="I93" s="22" t="str">
        <f aca="false">IF(COUNTIF(Programação!$AQ$5:$AQ$1004,1)&lt;86,"",MATCH(86,Programação!$AR$5:$AR$1004,0)+4)</f>
        <v/>
      </c>
    </row>
    <row r="94" customFormat="false" ht="15.75" hidden="false" customHeight="true" outlineLevel="0" collapsed="false">
      <c r="A94" s="22" t="str">
        <f aca="false">IF(COUNTIF(Programação!$AQ$5:$AQ$1004,1)&lt;87,"",IF(INDEX(Programação!$AM$5:$AM$1004,MATCH(87,Programação!$AR$5:$AR$1004,0))="","",INDEX(Programação!$AM$5:$AM$1004,MATCH(87,Programação!$AR$5:$AR$1004,0))))</f>
        <v/>
      </c>
      <c r="B94" s="22" t="str">
        <f aca="false">IF(COUNTIF(Programação!$AQ$5:$AQ$1004,1)&lt;87,"",IF(INDEX(Programação!$C$5:$C$1004,MATCH(87,Programação!$AR$5:$AR$1004,0))="","",INDEX(Programação!$C$5:$C$1004,MATCH(87,Programação!$AR$5:$AR$1004,0))))</f>
        <v/>
      </c>
      <c r="C94" s="24" t="str">
        <f aca="false">IF(COUNTIF(Programação!$AQ$5:$AQ$1004,1)&lt;87,"",IF(INDEX(Programação!$E$5:$E$1004,MATCH(87,Programação!$AR$5:$AR$1004,0))="","",INDEX(Programação!$E$5:$E$1004,MATCH(87,Programação!$AR$5:$AR$1004,0))))</f>
        <v/>
      </c>
      <c r="D94" s="24" t="str">
        <f aca="false">IF(COUNTIF(Programação!$AQ$5:$AQ$1004,1)&lt;87,"",IF(INDEX(Programação!$F$5:$F$1004,MATCH(87,Programação!$AR$5:$AR$1004,0))="","",INDEX(Programação!$F$5:$F$1004,MATCH(87,Programação!$AR$5:$AR$1004,0))))</f>
        <v/>
      </c>
      <c r="E94" s="24" t="str">
        <f aca="false">IF(COUNTIF(Programação!$AQ$5:$AQ$1004,1)&lt;87,"",IF(INDEX(Programação!$AG$5:$AG$1004,MATCH(87,Programação!$AR$5:$AR$1004,0))="","",INDEX(Programação!$AG$5:$AG$1004,MATCH(87,Programação!$AR$5:$AR$1004,0))))</f>
        <v/>
      </c>
      <c r="F94" s="22" t="str">
        <f aca="false">IF(COUNTIF(Programação!$AQ$5:$AQ$1004,1)&lt;87,"",IF(INDEX(Programação!$L$5:$L$1004,MATCH(87,Programação!$AR$5:$AR$1004,0))="","",INDEX(Programação!$L$5:$L$1004,MATCH(87,Programação!$AR$5:$AR$1004,0))))</f>
        <v/>
      </c>
      <c r="G94" s="25" t="str">
        <f aca="false">IF(COUNTIF(Programação!$AQ$5:$AQ$1004,1)&lt;87,"",IF(INDEX(Programação!$P$5:$P$1004,MATCH(87,Programação!$AR$5:$AR$1004,0))="","",INDEX(Programação!$P$5:$P$1004,MATCH(87,Programação!$AR$5:$AR$1004,0))))</f>
        <v/>
      </c>
      <c r="H94" s="22" t="str">
        <f aca="false">IF(COUNTIF(Programação!$AQ$5:$AQ$1004,1)&lt;87,"",IF(INDEX(Programação!$B$5:$B$1004,MATCH(87,Programação!$AR$5:$AR$1004,0))="","",INDEX(Programação!$B$5:$B$1004,MATCH(87,Programação!$AR$5:$AR$1004,0))))</f>
        <v/>
      </c>
      <c r="I94" s="22" t="str">
        <f aca="false">IF(COUNTIF(Programação!$AQ$5:$AQ$1004,1)&lt;87,"",MATCH(87,Programação!$AR$5:$AR$1004,0)+4)</f>
        <v/>
      </c>
    </row>
    <row r="95" customFormat="false" ht="15.75" hidden="false" customHeight="true" outlineLevel="0" collapsed="false">
      <c r="A95" s="22" t="str">
        <f aca="false">IF(COUNTIF(Programação!$AQ$5:$AQ$1004,1)&lt;88,"",IF(INDEX(Programação!$AM$5:$AM$1004,MATCH(88,Programação!$AR$5:$AR$1004,0))="","",INDEX(Programação!$AM$5:$AM$1004,MATCH(88,Programação!$AR$5:$AR$1004,0))))</f>
        <v/>
      </c>
      <c r="B95" s="22" t="str">
        <f aca="false">IF(COUNTIF(Programação!$AQ$5:$AQ$1004,1)&lt;88,"",IF(INDEX(Programação!$C$5:$C$1004,MATCH(88,Programação!$AR$5:$AR$1004,0))="","",INDEX(Programação!$C$5:$C$1004,MATCH(88,Programação!$AR$5:$AR$1004,0))))</f>
        <v/>
      </c>
      <c r="C95" s="24" t="str">
        <f aca="false">IF(COUNTIF(Programação!$AQ$5:$AQ$1004,1)&lt;88,"",IF(INDEX(Programação!$E$5:$E$1004,MATCH(88,Programação!$AR$5:$AR$1004,0))="","",INDEX(Programação!$E$5:$E$1004,MATCH(88,Programação!$AR$5:$AR$1004,0))))</f>
        <v/>
      </c>
      <c r="D95" s="24" t="str">
        <f aca="false">IF(COUNTIF(Programação!$AQ$5:$AQ$1004,1)&lt;88,"",IF(INDEX(Programação!$F$5:$F$1004,MATCH(88,Programação!$AR$5:$AR$1004,0))="","",INDEX(Programação!$F$5:$F$1004,MATCH(88,Programação!$AR$5:$AR$1004,0))))</f>
        <v/>
      </c>
      <c r="E95" s="24" t="str">
        <f aca="false">IF(COUNTIF(Programação!$AQ$5:$AQ$1004,1)&lt;88,"",IF(INDEX(Programação!$AG$5:$AG$1004,MATCH(88,Programação!$AR$5:$AR$1004,0))="","",INDEX(Programação!$AG$5:$AG$1004,MATCH(88,Programação!$AR$5:$AR$1004,0))))</f>
        <v/>
      </c>
      <c r="F95" s="22" t="str">
        <f aca="false">IF(COUNTIF(Programação!$AQ$5:$AQ$1004,1)&lt;88,"",IF(INDEX(Programação!$L$5:$L$1004,MATCH(88,Programação!$AR$5:$AR$1004,0))="","",INDEX(Programação!$L$5:$L$1004,MATCH(88,Programação!$AR$5:$AR$1004,0))))</f>
        <v/>
      </c>
      <c r="G95" s="25" t="str">
        <f aca="false">IF(COUNTIF(Programação!$AQ$5:$AQ$1004,1)&lt;88,"",IF(INDEX(Programação!$P$5:$P$1004,MATCH(88,Programação!$AR$5:$AR$1004,0))="","",INDEX(Programação!$P$5:$P$1004,MATCH(88,Programação!$AR$5:$AR$1004,0))))</f>
        <v/>
      </c>
      <c r="H95" s="22" t="str">
        <f aca="false">IF(COUNTIF(Programação!$AQ$5:$AQ$1004,1)&lt;88,"",IF(INDEX(Programação!$B$5:$B$1004,MATCH(88,Programação!$AR$5:$AR$1004,0))="","",INDEX(Programação!$B$5:$B$1004,MATCH(88,Programação!$AR$5:$AR$1004,0))))</f>
        <v/>
      </c>
      <c r="I95" s="22" t="str">
        <f aca="false">IF(COUNTIF(Programação!$AQ$5:$AQ$1004,1)&lt;88,"",MATCH(88,Programação!$AR$5:$AR$1004,0)+4)</f>
        <v/>
      </c>
    </row>
    <row r="96" customFormat="false" ht="15.75" hidden="false" customHeight="true" outlineLevel="0" collapsed="false">
      <c r="A96" s="22" t="str">
        <f aca="false">IF(COUNTIF(Programação!$AQ$5:$AQ$1004,1)&lt;89,"",IF(INDEX(Programação!$AM$5:$AM$1004,MATCH(89,Programação!$AR$5:$AR$1004,0))="","",INDEX(Programação!$AM$5:$AM$1004,MATCH(89,Programação!$AR$5:$AR$1004,0))))</f>
        <v/>
      </c>
      <c r="B96" s="22" t="str">
        <f aca="false">IF(COUNTIF(Programação!$AQ$5:$AQ$1004,1)&lt;89,"",IF(INDEX(Programação!$C$5:$C$1004,MATCH(89,Programação!$AR$5:$AR$1004,0))="","",INDEX(Programação!$C$5:$C$1004,MATCH(89,Programação!$AR$5:$AR$1004,0))))</f>
        <v/>
      </c>
      <c r="C96" s="24" t="str">
        <f aca="false">IF(COUNTIF(Programação!$AQ$5:$AQ$1004,1)&lt;89,"",IF(INDEX(Programação!$E$5:$E$1004,MATCH(89,Programação!$AR$5:$AR$1004,0))="","",INDEX(Programação!$E$5:$E$1004,MATCH(89,Programação!$AR$5:$AR$1004,0))))</f>
        <v/>
      </c>
      <c r="D96" s="24" t="str">
        <f aca="false">IF(COUNTIF(Programação!$AQ$5:$AQ$1004,1)&lt;89,"",IF(INDEX(Programação!$F$5:$F$1004,MATCH(89,Programação!$AR$5:$AR$1004,0))="","",INDEX(Programação!$F$5:$F$1004,MATCH(89,Programação!$AR$5:$AR$1004,0))))</f>
        <v/>
      </c>
      <c r="E96" s="24" t="str">
        <f aca="false">IF(COUNTIF(Programação!$AQ$5:$AQ$1004,1)&lt;89,"",IF(INDEX(Programação!$AG$5:$AG$1004,MATCH(89,Programação!$AR$5:$AR$1004,0))="","",INDEX(Programação!$AG$5:$AG$1004,MATCH(89,Programação!$AR$5:$AR$1004,0))))</f>
        <v/>
      </c>
      <c r="F96" s="22" t="str">
        <f aca="false">IF(COUNTIF(Programação!$AQ$5:$AQ$1004,1)&lt;89,"",IF(INDEX(Programação!$L$5:$L$1004,MATCH(89,Programação!$AR$5:$AR$1004,0))="","",INDEX(Programação!$L$5:$L$1004,MATCH(89,Programação!$AR$5:$AR$1004,0))))</f>
        <v/>
      </c>
      <c r="G96" s="25" t="str">
        <f aca="false">IF(COUNTIF(Programação!$AQ$5:$AQ$1004,1)&lt;89,"",IF(INDEX(Programação!$P$5:$P$1004,MATCH(89,Programação!$AR$5:$AR$1004,0))="","",INDEX(Programação!$P$5:$P$1004,MATCH(89,Programação!$AR$5:$AR$1004,0))))</f>
        <v/>
      </c>
      <c r="H96" s="22" t="str">
        <f aca="false">IF(COUNTIF(Programação!$AQ$5:$AQ$1004,1)&lt;89,"",IF(INDEX(Programação!$B$5:$B$1004,MATCH(89,Programação!$AR$5:$AR$1004,0))="","",INDEX(Programação!$B$5:$B$1004,MATCH(89,Programação!$AR$5:$AR$1004,0))))</f>
        <v/>
      </c>
      <c r="I96" s="22" t="str">
        <f aca="false">IF(COUNTIF(Programação!$AQ$5:$AQ$1004,1)&lt;89,"",MATCH(89,Programação!$AR$5:$AR$1004,0)+4)</f>
        <v/>
      </c>
    </row>
    <row r="97" customFormat="false" ht="15.75" hidden="false" customHeight="true" outlineLevel="0" collapsed="false">
      <c r="A97" s="22" t="str">
        <f aca="false">IF(COUNTIF(Programação!$AQ$5:$AQ$1004,1)&lt;90,"",IF(INDEX(Programação!$AM$5:$AM$1004,MATCH(90,Programação!$AR$5:$AR$1004,0))="","",INDEX(Programação!$AM$5:$AM$1004,MATCH(90,Programação!$AR$5:$AR$1004,0))))</f>
        <v/>
      </c>
      <c r="B97" s="22" t="str">
        <f aca="false">IF(COUNTIF(Programação!$AQ$5:$AQ$1004,1)&lt;90,"",IF(INDEX(Programação!$C$5:$C$1004,MATCH(90,Programação!$AR$5:$AR$1004,0))="","",INDEX(Programação!$C$5:$C$1004,MATCH(90,Programação!$AR$5:$AR$1004,0))))</f>
        <v/>
      </c>
      <c r="C97" s="24" t="str">
        <f aca="false">IF(COUNTIF(Programação!$AQ$5:$AQ$1004,1)&lt;90,"",IF(INDEX(Programação!$E$5:$E$1004,MATCH(90,Programação!$AR$5:$AR$1004,0))="","",INDEX(Programação!$E$5:$E$1004,MATCH(90,Programação!$AR$5:$AR$1004,0))))</f>
        <v/>
      </c>
      <c r="D97" s="24" t="str">
        <f aca="false">IF(COUNTIF(Programação!$AQ$5:$AQ$1004,1)&lt;90,"",IF(INDEX(Programação!$F$5:$F$1004,MATCH(90,Programação!$AR$5:$AR$1004,0))="","",INDEX(Programação!$F$5:$F$1004,MATCH(90,Programação!$AR$5:$AR$1004,0))))</f>
        <v/>
      </c>
      <c r="E97" s="24" t="str">
        <f aca="false">IF(COUNTIF(Programação!$AQ$5:$AQ$1004,1)&lt;90,"",IF(INDEX(Programação!$AG$5:$AG$1004,MATCH(90,Programação!$AR$5:$AR$1004,0))="","",INDEX(Programação!$AG$5:$AG$1004,MATCH(90,Programação!$AR$5:$AR$1004,0))))</f>
        <v/>
      </c>
      <c r="F97" s="22" t="str">
        <f aca="false">IF(COUNTIF(Programação!$AQ$5:$AQ$1004,1)&lt;90,"",IF(INDEX(Programação!$L$5:$L$1004,MATCH(90,Programação!$AR$5:$AR$1004,0))="","",INDEX(Programação!$L$5:$L$1004,MATCH(90,Programação!$AR$5:$AR$1004,0))))</f>
        <v/>
      </c>
      <c r="G97" s="25" t="str">
        <f aca="false">IF(COUNTIF(Programação!$AQ$5:$AQ$1004,1)&lt;90,"",IF(INDEX(Programação!$P$5:$P$1004,MATCH(90,Programação!$AR$5:$AR$1004,0))="","",INDEX(Programação!$P$5:$P$1004,MATCH(90,Programação!$AR$5:$AR$1004,0))))</f>
        <v/>
      </c>
      <c r="H97" s="22" t="str">
        <f aca="false">IF(COUNTIF(Programação!$AQ$5:$AQ$1004,1)&lt;90,"",IF(INDEX(Programação!$B$5:$B$1004,MATCH(90,Programação!$AR$5:$AR$1004,0))="","",INDEX(Programação!$B$5:$B$1004,MATCH(90,Programação!$AR$5:$AR$1004,0))))</f>
        <v/>
      </c>
      <c r="I97" s="22" t="str">
        <f aca="false">IF(COUNTIF(Programação!$AQ$5:$AQ$1004,1)&lt;90,"",MATCH(90,Programação!$AR$5:$AR$1004,0)+4)</f>
        <v/>
      </c>
    </row>
    <row r="98" customFormat="false" ht="15.75" hidden="false" customHeight="true" outlineLevel="0" collapsed="false">
      <c r="A98" s="22" t="str">
        <f aca="false">IF(COUNTIF(Programação!$AQ$5:$AQ$1004,1)&lt;91,"",IF(INDEX(Programação!$AM$5:$AM$1004,MATCH(91,Programação!$AR$5:$AR$1004,0))="","",INDEX(Programação!$AM$5:$AM$1004,MATCH(91,Programação!$AR$5:$AR$1004,0))))</f>
        <v/>
      </c>
      <c r="B98" s="22" t="str">
        <f aca="false">IF(COUNTIF(Programação!$AQ$5:$AQ$1004,1)&lt;91,"",IF(INDEX(Programação!$C$5:$C$1004,MATCH(91,Programação!$AR$5:$AR$1004,0))="","",INDEX(Programação!$C$5:$C$1004,MATCH(91,Programação!$AR$5:$AR$1004,0))))</f>
        <v/>
      </c>
      <c r="C98" s="24" t="str">
        <f aca="false">IF(COUNTIF(Programação!$AQ$5:$AQ$1004,1)&lt;91,"",IF(INDEX(Programação!$E$5:$E$1004,MATCH(91,Programação!$AR$5:$AR$1004,0))="","",INDEX(Programação!$E$5:$E$1004,MATCH(91,Programação!$AR$5:$AR$1004,0))))</f>
        <v/>
      </c>
      <c r="D98" s="24" t="str">
        <f aca="false">IF(COUNTIF(Programação!$AQ$5:$AQ$1004,1)&lt;91,"",IF(INDEX(Programação!$F$5:$F$1004,MATCH(91,Programação!$AR$5:$AR$1004,0))="","",INDEX(Programação!$F$5:$F$1004,MATCH(91,Programação!$AR$5:$AR$1004,0))))</f>
        <v/>
      </c>
      <c r="E98" s="24" t="str">
        <f aca="false">IF(COUNTIF(Programação!$AQ$5:$AQ$1004,1)&lt;91,"",IF(INDEX(Programação!$AG$5:$AG$1004,MATCH(91,Programação!$AR$5:$AR$1004,0))="","",INDEX(Programação!$AG$5:$AG$1004,MATCH(91,Programação!$AR$5:$AR$1004,0))))</f>
        <v/>
      </c>
      <c r="F98" s="22" t="str">
        <f aca="false">IF(COUNTIF(Programação!$AQ$5:$AQ$1004,1)&lt;91,"",IF(INDEX(Programação!$L$5:$L$1004,MATCH(91,Programação!$AR$5:$AR$1004,0))="","",INDEX(Programação!$L$5:$L$1004,MATCH(91,Programação!$AR$5:$AR$1004,0))))</f>
        <v/>
      </c>
      <c r="G98" s="25" t="str">
        <f aca="false">IF(COUNTIF(Programação!$AQ$5:$AQ$1004,1)&lt;91,"",IF(INDEX(Programação!$P$5:$P$1004,MATCH(91,Programação!$AR$5:$AR$1004,0))="","",INDEX(Programação!$P$5:$P$1004,MATCH(91,Programação!$AR$5:$AR$1004,0))))</f>
        <v/>
      </c>
      <c r="H98" s="22" t="str">
        <f aca="false">IF(COUNTIF(Programação!$AQ$5:$AQ$1004,1)&lt;91,"",IF(INDEX(Programação!$B$5:$B$1004,MATCH(91,Programação!$AR$5:$AR$1004,0))="","",INDEX(Programação!$B$5:$B$1004,MATCH(91,Programação!$AR$5:$AR$1004,0))))</f>
        <v/>
      </c>
      <c r="I98" s="22" t="str">
        <f aca="false">IF(COUNTIF(Programação!$AQ$5:$AQ$1004,1)&lt;91,"",MATCH(91,Programação!$AR$5:$AR$1004,0)+4)</f>
        <v/>
      </c>
    </row>
    <row r="99" customFormat="false" ht="15.75" hidden="false" customHeight="true" outlineLevel="0" collapsed="false">
      <c r="A99" s="22" t="str">
        <f aca="false">IF(COUNTIF(Programação!$AQ$5:$AQ$1004,1)&lt;92,"",IF(INDEX(Programação!$AM$5:$AM$1004,MATCH(92,Programação!$AR$5:$AR$1004,0))="","",INDEX(Programação!$AM$5:$AM$1004,MATCH(92,Programação!$AR$5:$AR$1004,0))))</f>
        <v/>
      </c>
      <c r="B99" s="22" t="str">
        <f aca="false">IF(COUNTIF(Programação!$AQ$5:$AQ$1004,1)&lt;92,"",IF(INDEX(Programação!$C$5:$C$1004,MATCH(92,Programação!$AR$5:$AR$1004,0))="","",INDEX(Programação!$C$5:$C$1004,MATCH(92,Programação!$AR$5:$AR$1004,0))))</f>
        <v/>
      </c>
      <c r="C99" s="24" t="str">
        <f aca="false">IF(COUNTIF(Programação!$AQ$5:$AQ$1004,1)&lt;92,"",IF(INDEX(Programação!$E$5:$E$1004,MATCH(92,Programação!$AR$5:$AR$1004,0))="","",INDEX(Programação!$E$5:$E$1004,MATCH(92,Programação!$AR$5:$AR$1004,0))))</f>
        <v/>
      </c>
      <c r="D99" s="24" t="str">
        <f aca="false">IF(COUNTIF(Programação!$AQ$5:$AQ$1004,1)&lt;92,"",IF(INDEX(Programação!$F$5:$F$1004,MATCH(92,Programação!$AR$5:$AR$1004,0))="","",INDEX(Programação!$F$5:$F$1004,MATCH(92,Programação!$AR$5:$AR$1004,0))))</f>
        <v/>
      </c>
      <c r="E99" s="24" t="str">
        <f aca="false">IF(COUNTIF(Programação!$AQ$5:$AQ$1004,1)&lt;92,"",IF(INDEX(Programação!$AG$5:$AG$1004,MATCH(92,Programação!$AR$5:$AR$1004,0))="","",INDEX(Programação!$AG$5:$AG$1004,MATCH(92,Programação!$AR$5:$AR$1004,0))))</f>
        <v/>
      </c>
      <c r="F99" s="22" t="str">
        <f aca="false">IF(COUNTIF(Programação!$AQ$5:$AQ$1004,1)&lt;92,"",IF(INDEX(Programação!$L$5:$L$1004,MATCH(92,Programação!$AR$5:$AR$1004,0))="","",INDEX(Programação!$L$5:$L$1004,MATCH(92,Programação!$AR$5:$AR$1004,0))))</f>
        <v/>
      </c>
      <c r="G99" s="25" t="str">
        <f aca="false">IF(COUNTIF(Programação!$AQ$5:$AQ$1004,1)&lt;92,"",IF(INDEX(Programação!$P$5:$P$1004,MATCH(92,Programação!$AR$5:$AR$1004,0))="","",INDEX(Programação!$P$5:$P$1004,MATCH(92,Programação!$AR$5:$AR$1004,0))))</f>
        <v/>
      </c>
      <c r="H99" s="22" t="str">
        <f aca="false">IF(COUNTIF(Programação!$AQ$5:$AQ$1004,1)&lt;92,"",IF(INDEX(Programação!$B$5:$B$1004,MATCH(92,Programação!$AR$5:$AR$1004,0))="","",INDEX(Programação!$B$5:$B$1004,MATCH(92,Programação!$AR$5:$AR$1004,0))))</f>
        <v/>
      </c>
      <c r="I99" s="22" t="str">
        <f aca="false">IF(COUNTIF(Programação!$AQ$5:$AQ$1004,1)&lt;92,"",MATCH(92,Programação!$AR$5:$AR$1004,0)+4)</f>
        <v/>
      </c>
    </row>
    <row r="100" customFormat="false" ht="15.75" hidden="false" customHeight="true" outlineLevel="0" collapsed="false">
      <c r="A100" s="22" t="str">
        <f aca="false">IF(COUNTIF(Programação!$AQ$5:$AQ$1004,1)&lt;93,"",IF(INDEX(Programação!$AM$5:$AM$1004,MATCH(93,Programação!$AR$5:$AR$1004,0))="","",INDEX(Programação!$AM$5:$AM$1004,MATCH(93,Programação!$AR$5:$AR$1004,0))))</f>
        <v/>
      </c>
      <c r="B100" s="22" t="str">
        <f aca="false">IF(COUNTIF(Programação!$AQ$5:$AQ$1004,1)&lt;93,"",IF(INDEX(Programação!$C$5:$C$1004,MATCH(93,Programação!$AR$5:$AR$1004,0))="","",INDEX(Programação!$C$5:$C$1004,MATCH(93,Programação!$AR$5:$AR$1004,0))))</f>
        <v/>
      </c>
      <c r="C100" s="24" t="str">
        <f aca="false">IF(COUNTIF(Programação!$AQ$5:$AQ$1004,1)&lt;93,"",IF(INDEX(Programação!$E$5:$E$1004,MATCH(93,Programação!$AR$5:$AR$1004,0))="","",INDEX(Programação!$E$5:$E$1004,MATCH(93,Programação!$AR$5:$AR$1004,0))))</f>
        <v/>
      </c>
      <c r="D100" s="24" t="str">
        <f aca="false">IF(COUNTIF(Programação!$AQ$5:$AQ$1004,1)&lt;93,"",IF(INDEX(Programação!$F$5:$F$1004,MATCH(93,Programação!$AR$5:$AR$1004,0))="","",INDEX(Programação!$F$5:$F$1004,MATCH(93,Programação!$AR$5:$AR$1004,0))))</f>
        <v/>
      </c>
      <c r="E100" s="24" t="str">
        <f aca="false">IF(COUNTIF(Programação!$AQ$5:$AQ$1004,1)&lt;93,"",IF(INDEX(Programação!$AG$5:$AG$1004,MATCH(93,Programação!$AR$5:$AR$1004,0))="","",INDEX(Programação!$AG$5:$AG$1004,MATCH(93,Programação!$AR$5:$AR$1004,0))))</f>
        <v/>
      </c>
      <c r="F100" s="22" t="str">
        <f aca="false">IF(COUNTIF(Programação!$AQ$5:$AQ$1004,1)&lt;93,"",IF(INDEX(Programação!$L$5:$L$1004,MATCH(93,Programação!$AR$5:$AR$1004,0))="","",INDEX(Programação!$L$5:$L$1004,MATCH(93,Programação!$AR$5:$AR$1004,0))))</f>
        <v/>
      </c>
      <c r="G100" s="25" t="str">
        <f aca="false">IF(COUNTIF(Programação!$AQ$5:$AQ$1004,1)&lt;93,"",IF(INDEX(Programação!$P$5:$P$1004,MATCH(93,Programação!$AR$5:$AR$1004,0))="","",INDEX(Programação!$P$5:$P$1004,MATCH(93,Programação!$AR$5:$AR$1004,0))))</f>
        <v/>
      </c>
      <c r="H100" s="22" t="str">
        <f aca="false">IF(COUNTIF(Programação!$AQ$5:$AQ$1004,1)&lt;93,"",IF(INDEX(Programação!$B$5:$B$1004,MATCH(93,Programação!$AR$5:$AR$1004,0))="","",INDEX(Programação!$B$5:$B$1004,MATCH(93,Programação!$AR$5:$AR$1004,0))))</f>
        <v/>
      </c>
      <c r="I100" s="22" t="str">
        <f aca="false">IF(COUNTIF(Programação!$AQ$5:$AQ$1004,1)&lt;93,"",MATCH(93,Programação!$AR$5:$AR$1004,0)+4)</f>
        <v/>
      </c>
    </row>
    <row r="101" customFormat="false" ht="15.75" hidden="false" customHeight="true" outlineLevel="0" collapsed="false">
      <c r="A101" s="22" t="str">
        <f aca="false">IF(COUNTIF(Programação!$AQ$5:$AQ$1004,1)&lt;94,"",IF(INDEX(Programação!$AM$5:$AM$1004,MATCH(94,Programação!$AR$5:$AR$1004,0))="","",INDEX(Programação!$AM$5:$AM$1004,MATCH(94,Programação!$AR$5:$AR$1004,0))))</f>
        <v/>
      </c>
      <c r="B101" s="22" t="str">
        <f aca="false">IF(COUNTIF(Programação!$AQ$5:$AQ$1004,1)&lt;94,"",IF(INDEX(Programação!$C$5:$C$1004,MATCH(94,Programação!$AR$5:$AR$1004,0))="","",INDEX(Programação!$C$5:$C$1004,MATCH(94,Programação!$AR$5:$AR$1004,0))))</f>
        <v/>
      </c>
      <c r="C101" s="24" t="str">
        <f aca="false">IF(COUNTIF(Programação!$AQ$5:$AQ$1004,1)&lt;94,"",IF(INDEX(Programação!$E$5:$E$1004,MATCH(94,Programação!$AR$5:$AR$1004,0))="","",INDEX(Programação!$E$5:$E$1004,MATCH(94,Programação!$AR$5:$AR$1004,0))))</f>
        <v/>
      </c>
      <c r="D101" s="24" t="str">
        <f aca="false">IF(COUNTIF(Programação!$AQ$5:$AQ$1004,1)&lt;94,"",IF(INDEX(Programação!$F$5:$F$1004,MATCH(94,Programação!$AR$5:$AR$1004,0))="","",INDEX(Programação!$F$5:$F$1004,MATCH(94,Programação!$AR$5:$AR$1004,0))))</f>
        <v/>
      </c>
      <c r="E101" s="24" t="str">
        <f aca="false">IF(COUNTIF(Programação!$AQ$5:$AQ$1004,1)&lt;94,"",IF(INDEX(Programação!$AG$5:$AG$1004,MATCH(94,Programação!$AR$5:$AR$1004,0))="","",INDEX(Programação!$AG$5:$AG$1004,MATCH(94,Programação!$AR$5:$AR$1004,0))))</f>
        <v/>
      </c>
      <c r="F101" s="22" t="str">
        <f aca="false">IF(COUNTIF(Programação!$AQ$5:$AQ$1004,1)&lt;94,"",IF(INDEX(Programação!$L$5:$L$1004,MATCH(94,Programação!$AR$5:$AR$1004,0))="","",INDEX(Programação!$L$5:$L$1004,MATCH(94,Programação!$AR$5:$AR$1004,0))))</f>
        <v/>
      </c>
      <c r="G101" s="25" t="str">
        <f aca="false">IF(COUNTIF(Programação!$AQ$5:$AQ$1004,1)&lt;94,"",IF(INDEX(Programação!$P$5:$P$1004,MATCH(94,Programação!$AR$5:$AR$1004,0))="","",INDEX(Programação!$P$5:$P$1004,MATCH(94,Programação!$AR$5:$AR$1004,0))))</f>
        <v/>
      </c>
      <c r="H101" s="22" t="str">
        <f aca="false">IF(COUNTIF(Programação!$AQ$5:$AQ$1004,1)&lt;94,"",IF(INDEX(Programação!$B$5:$B$1004,MATCH(94,Programação!$AR$5:$AR$1004,0))="","",INDEX(Programação!$B$5:$B$1004,MATCH(94,Programação!$AR$5:$AR$1004,0))))</f>
        <v/>
      </c>
      <c r="I101" s="22" t="str">
        <f aca="false">IF(COUNTIF(Programação!$AQ$5:$AQ$1004,1)&lt;94,"",MATCH(94,Programação!$AR$5:$AR$1004,0)+4)</f>
        <v/>
      </c>
    </row>
    <row r="102" customFormat="false" ht="15.75" hidden="false" customHeight="true" outlineLevel="0" collapsed="false">
      <c r="A102" s="22" t="str">
        <f aca="false">IF(COUNTIF(Programação!$AQ$5:$AQ$1004,1)&lt;95,"",IF(INDEX(Programação!$AM$5:$AM$1004,MATCH(95,Programação!$AR$5:$AR$1004,0))="","",INDEX(Programação!$AM$5:$AM$1004,MATCH(95,Programação!$AR$5:$AR$1004,0))))</f>
        <v/>
      </c>
      <c r="B102" s="22" t="str">
        <f aca="false">IF(COUNTIF(Programação!$AQ$5:$AQ$1004,1)&lt;95,"",IF(INDEX(Programação!$C$5:$C$1004,MATCH(95,Programação!$AR$5:$AR$1004,0))="","",INDEX(Programação!$C$5:$C$1004,MATCH(95,Programação!$AR$5:$AR$1004,0))))</f>
        <v/>
      </c>
      <c r="C102" s="24" t="str">
        <f aca="false">IF(COUNTIF(Programação!$AQ$5:$AQ$1004,1)&lt;95,"",IF(INDEX(Programação!$E$5:$E$1004,MATCH(95,Programação!$AR$5:$AR$1004,0))="","",INDEX(Programação!$E$5:$E$1004,MATCH(95,Programação!$AR$5:$AR$1004,0))))</f>
        <v/>
      </c>
      <c r="D102" s="24" t="str">
        <f aca="false">IF(COUNTIF(Programação!$AQ$5:$AQ$1004,1)&lt;95,"",IF(INDEX(Programação!$F$5:$F$1004,MATCH(95,Programação!$AR$5:$AR$1004,0))="","",INDEX(Programação!$F$5:$F$1004,MATCH(95,Programação!$AR$5:$AR$1004,0))))</f>
        <v/>
      </c>
      <c r="E102" s="24" t="str">
        <f aca="false">IF(COUNTIF(Programação!$AQ$5:$AQ$1004,1)&lt;95,"",IF(INDEX(Programação!$AG$5:$AG$1004,MATCH(95,Programação!$AR$5:$AR$1004,0))="","",INDEX(Programação!$AG$5:$AG$1004,MATCH(95,Programação!$AR$5:$AR$1004,0))))</f>
        <v/>
      </c>
      <c r="F102" s="22" t="str">
        <f aca="false">IF(COUNTIF(Programação!$AQ$5:$AQ$1004,1)&lt;95,"",IF(INDEX(Programação!$L$5:$L$1004,MATCH(95,Programação!$AR$5:$AR$1004,0))="","",INDEX(Programação!$L$5:$L$1004,MATCH(95,Programação!$AR$5:$AR$1004,0))))</f>
        <v/>
      </c>
      <c r="G102" s="25" t="str">
        <f aca="false">IF(COUNTIF(Programação!$AQ$5:$AQ$1004,1)&lt;95,"",IF(INDEX(Programação!$P$5:$P$1004,MATCH(95,Programação!$AR$5:$AR$1004,0))="","",INDEX(Programação!$P$5:$P$1004,MATCH(95,Programação!$AR$5:$AR$1004,0))))</f>
        <v/>
      </c>
      <c r="H102" s="22" t="str">
        <f aca="false">IF(COUNTIF(Programação!$AQ$5:$AQ$1004,1)&lt;95,"",IF(INDEX(Programação!$B$5:$B$1004,MATCH(95,Programação!$AR$5:$AR$1004,0))="","",INDEX(Programação!$B$5:$B$1004,MATCH(95,Programação!$AR$5:$AR$1004,0))))</f>
        <v/>
      </c>
      <c r="I102" s="22" t="str">
        <f aca="false">IF(COUNTIF(Programação!$AQ$5:$AQ$1004,1)&lt;95,"",MATCH(95,Programação!$AR$5:$AR$1004,0)+4)</f>
        <v/>
      </c>
    </row>
    <row r="103" customFormat="false" ht="15.75" hidden="false" customHeight="true" outlineLevel="0" collapsed="false">
      <c r="A103" s="22" t="str">
        <f aca="false">IF(COUNTIF(Programação!$AQ$5:$AQ$1004,1)&lt;96,"",IF(INDEX(Programação!$AM$5:$AM$1004,MATCH(96,Programação!$AR$5:$AR$1004,0))="","",INDEX(Programação!$AM$5:$AM$1004,MATCH(96,Programação!$AR$5:$AR$1004,0))))</f>
        <v/>
      </c>
      <c r="B103" s="22" t="str">
        <f aca="false">IF(COUNTIF(Programação!$AQ$5:$AQ$1004,1)&lt;96,"",IF(INDEX(Programação!$C$5:$C$1004,MATCH(96,Programação!$AR$5:$AR$1004,0))="","",INDEX(Programação!$C$5:$C$1004,MATCH(96,Programação!$AR$5:$AR$1004,0))))</f>
        <v/>
      </c>
      <c r="C103" s="24" t="str">
        <f aca="false">IF(COUNTIF(Programação!$AQ$5:$AQ$1004,1)&lt;96,"",IF(INDEX(Programação!$E$5:$E$1004,MATCH(96,Programação!$AR$5:$AR$1004,0))="","",INDEX(Programação!$E$5:$E$1004,MATCH(96,Programação!$AR$5:$AR$1004,0))))</f>
        <v/>
      </c>
      <c r="D103" s="24" t="str">
        <f aca="false">IF(COUNTIF(Programação!$AQ$5:$AQ$1004,1)&lt;96,"",IF(INDEX(Programação!$F$5:$F$1004,MATCH(96,Programação!$AR$5:$AR$1004,0))="","",INDEX(Programação!$F$5:$F$1004,MATCH(96,Programação!$AR$5:$AR$1004,0))))</f>
        <v/>
      </c>
      <c r="E103" s="24" t="str">
        <f aca="false">IF(COUNTIF(Programação!$AQ$5:$AQ$1004,1)&lt;96,"",IF(INDEX(Programação!$AG$5:$AG$1004,MATCH(96,Programação!$AR$5:$AR$1004,0))="","",INDEX(Programação!$AG$5:$AG$1004,MATCH(96,Programação!$AR$5:$AR$1004,0))))</f>
        <v/>
      </c>
      <c r="F103" s="22" t="str">
        <f aca="false">IF(COUNTIF(Programação!$AQ$5:$AQ$1004,1)&lt;96,"",IF(INDEX(Programação!$L$5:$L$1004,MATCH(96,Programação!$AR$5:$AR$1004,0))="","",INDEX(Programação!$L$5:$L$1004,MATCH(96,Programação!$AR$5:$AR$1004,0))))</f>
        <v/>
      </c>
      <c r="G103" s="25" t="str">
        <f aca="false">IF(COUNTIF(Programação!$AQ$5:$AQ$1004,1)&lt;96,"",IF(INDEX(Programação!$P$5:$P$1004,MATCH(96,Programação!$AR$5:$AR$1004,0))="","",INDEX(Programação!$P$5:$P$1004,MATCH(96,Programação!$AR$5:$AR$1004,0))))</f>
        <v/>
      </c>
      <c r="H103" s="22" t="str">
        <f aca="false">IF(COUNTIF(Programação!$AQ$5:$AQ$1004,1)&lt;96,"",IF(INDEX(Programação!$B$5:$B$1004,MATCH(96,Programação!$AR$5:$AR$1004,0))="","",INDEX(Programação!$B$5:$B$1004,MATCH(96,Programação!$AR$5:$AR$1004,0))))</f>
        <v/>
      </c>
      <c r="I103" s="22" t="str">
        <f aca="false">IF(COUNTIF(Programação!$AQ$5:$AQ$1004,1)&lt;96,"",MATCH(96,Programação!$AR$5:$AR$1004,0)+4)</f>
        <v/>
      </c>
    </row>
    <row r="104" customFormat="false" ht="15.75" hidden="false" customHeight="true" outlineLevel="0" collapsed="false">
      <c r="A104" s="22" t="str">
        <f aca="false">IF(COUNTIF(Programação!$AQ$5:$AQ$1004,1)&lt;97,"",IF(INDEX(Programação!$AM$5:$AM$1004,MATCH(97,Programação!$AR$5:$AR$1004,0))="","",INDEX(Programação!$AM$5:$AM$1004,MATCH(97,Programação!$AR$5:$AR$1004,0))))</f>
        <v/>
      </c>
      <c r="B104" s="22" t="str">
        <f aca="false">IF(COUNTIF(Programação!$AQ$5:$AQ$1004,1)&lt;97,"",IF(INDEX(Programação!$C$5:$C$1004,MATCH(97,Programação!$AR$5:$AR$1004,0))="","",INDEX(Programação!$C$5:$C$1004,MATCH(97,Programação!$AR$5:$AR$1004,0))))</f>
        <v/>
      </c>
      <c r="C104" s="24" t="str">
        <f aca="false">IF(COUNTIF(Programação!$AQ$5:$AQ$1004,1)&lt;97,"",IF(INDEX(Programação!$E$5:$E$1004,MATCH(97,Programação!$AR$5:$AR$1004,0))="","",INDEX(Programação!$E$5:$E$1004,MATCH(97,Programação!$AR$5:$AR$1004,0))))</f>
        <v/>
      </c>
      <c r="D104" s="24" t="str">
        <f aca="false">IF(COUNTIF(Programação!$AQ$5:$AQ$1004,1)&lt;97,"",IF(INDEX(Programação!$F$5:$F$1004,MATCH(97,Programação!$AR$5:$AR$1004,0))="","",INDEX(Programação!$F$5:$F$1004,MATCH(97,Programação!$AR$5:$AR$1004,0))))</f>
        <v/>
      </c>
      <c r="E104" s="24" t="str">
        <f aca="false">IF(COUNTIF(Programação!$AQ$5:$AQ$1004,1)&lt;97,"",IF(INDEX(Programação!$AG$5:$AG$1004,MATCH(97,Programação!$AR$5:$AR$1004,0))="","",INDEX(Programação!$AG$5:$AG$1004,MATCH(97,Programação!$AR$5:$AR$1004,0))))</f>
        <v/>
      </c>
      <c r="F104" s="22" t="str">
        <f aca="false">IF(COUNTIF(Programação!$AQ$5:$AQ$1004,1)&lt;97,"",IF(INDEX(Programação!$L$5:$L$1004,MATCH(97,Programação!$AR$5:$AR$1004,0))="","",INDEX(Programação!$L$5:$L$1004,MATCH(97,Programação!$AR$5:$AR$1004,0))))</f>
        <v/>
      </c>
      <c r="G104" s="25" t="str">
        <f aca="false">IF(COUNTIF(Programação!$AQ$5:$AQ$1004,1)&lt;97,"",IF(INDEX(Programação!$P$5:$P$1004,MATCH(97,Programação!$AR$5:$AR$1004,0))="","",INDEX(Programação!$P$5:$P$1004,MATCH(97,Programação!$AR$5:$AR$1004,0))))</f>
        <v/>
      </c>
      <c r="H104" s="22" t="str">
        <f aca="false">IF(COUNTIF(Programação!$AQ$5:$AQ$1004,1)&lt;97,"",IF(INDEX(Programação!$B$5:$B$1004,MATCH(97,Programação!$AR$5:$AR$1004,0))="","",INDEX(Programação!$B$5:$B$1004,MATCH(97,Programação!$AR$5:$AR$1004,0))))</f>
        <v/>
      </c>
      <c r="I104" s="22" t="str">
        <f aca="false">IF(COUNTIF(Programação!$AQ$5:$AQ$1004,1)&lt;97,"",MATCH(97,Programação!$AR$5:$AR$1004,0)+4)</f>
        <v/>
      </c>
    </row>
    <row r="105" customFormat="false" ht="15.75" hidden="false" customHeight="true" outlineLevel="0" collapsed="false">
      <c r="A105" s="22" t="str">
        <f aca="false">IF(COUNTIF(Programação!$AQ$5:$AQ$1004,1)&lt;98,"",IF(INDEX(Programação!$AM$5:$AM$1004,MATCH(98,Programação!$AR$5:$AR$1004,0))="","",INDEX(Programação!$AM$5:$AM$1004,MATCH(98,Programação!$AR$5:$AR$1004,0))))</f>
        <v/>
      </c>
      <c r="B105" s="22" t="str">
        <f aca="false">IF(COUNTIF(Programação!$AQ$5:$AQ$1004,1)&lt;98,"",IF(INDEX(Programação!$C$5:$C$1004,MATCH(98,Programação!$AR$5:$AR$1004,0))="","",INDEX(Programação!$C$5:$C$1004,MATCH(98,Programação!$AR$5:$AR$1004,0))))</f>
        <v/>
      </c>
      <c r="C105" s="24" t="str">
        <f aca="false">IF(COUNTIF(Programação!$AQ$5:$AQ$1004,1)&lt;98,"",IF(INDEX(Programação!$E$5:$E$1004,MATCH(98,Programação!$AR$5:$AR$1004,0))="","",INDEX(Programação!$E$5:$E$1004,MATCH(98,Programação!$AR$5:$AR$1004,0))))</f>
        <v/>
      </c>
      <c r="D105" s="24" t="str">
        <f aca="false">IF(COUNTIF(Programação!$AQ$5:$AQ$1004,1)&lt;98,"",IF(INDEX(Programação!$F$5:$F$1004,MATCH(98,Programação!$AR$5:$AR$1004,0))="","",INDEX(Programação!$F$5:$F$1004,MATCH(98,Programação!$AR$5:$AR$1004,0))))</f>
        <v/>
      </c>
      <c r="E105" s="24" t="str">
        <f aca="false">IF(COUNTIF(Programação!$AQ$5:$AQ$1004,1)&lt;98,"",IF(INDEX(Programação!$AG$5:$AG$1004,MATCH(98,Programação!$AR$5:$AR$1004,0))="","",INDEX(Programação!$AG$5:$AG$1004,MATCH(98,Programação!$AR$5:$AR$1004,0))))</f>
        <v/>
      </c>
      <c r="F105" s="22" t="str">
        <f aca="false">IF(COUNTIF(Programação!$AQ$5:$AQ$1004,1)&lt;98,"",IF(INDEX(Programação!$L$5:$L$1004,MATCH(98,Programação!$AR$5:$AR$1004,0))="","",INDEX(Programação!$L$5:$L$1004,MATCH(98,Programação!$AR$5:$AR$1004,0))))</f>
        <v/>
      </c>
      <c r="G105" s="25" t="str">
        <f aca="false">IF(COUNTIF(Programação!$AQ$5:$AQ$1004,1)&lt;98,"",IF(INDEX(Programação!$P$5:$P$1004,MATCH(98,Programação!$AR$5:$AR$1004,0))="","",INDEX(Programação!$P$5:$P$1004,MATCH(98,Programação!$AR$5:$AR$1004,0))))</f>
        <v/>
      </c>
      <c r="H105" s="22" t="str">
        <f aca="false">IF(COUNTIF(Programação!$AQ$5:$AQ$1004,1)&lt;98,"",IF(INDEX(Programação!$B$5:$B$1004,MATCH(98,Programação!$AR$5:$AR$1004,0))="","",INDEX(Programação!$B$5:$B$1004,MATCH(98,Programação!$AR$5:$AR$1004,0))))</f>
        <v/>
      </c>
      <c r="I105" s="22" t="str">
        <f aca="false">IF(COUNTIF(Programação!$AQ$5:$AQ$1004,1)&lt;98,"",MATCH(98,Programação!$AR$5:$AR$1004,0)+4)</f>
        <v/>
      </c>
    </row>
    <row r="106" customFormat="false" ht="15.75" hidden="false" customHeight="true" outlineLevel="0" collapsed="false">
      <c r="A106" s="22" t="str">
        <f aca="false">IF(COUNTIF(Programação!$AQ$5:$AQ$1004,1)&lt;99,"",IF(INDEX(Programação!$AM$5:$AM$1004,MATCH(99,Programação!$AR$5:$AR$1004,0))="","",INDEX(Programação!$AM$5:$AM$1004,MATCH(99,Programação!$AR$5:$AR$1004,0))))</f>
        <v/>
      </c>
      <c r="B106" s="22" t="str">
        <f aca="false">IF(COUNTIF(Programação!$AQ$5:$AQ$1004,1)&lt;99,"",IF(INDEX(Programação!$C$5:$C$1004,MATCH(99,Programação!$AR$5:$AR$1004,0))="","",INDEX(Programação!$C$5:$C$1004,MATCH(99,Programação!$AR$5:$AR$1004,0))))</f>
        <v/>
      </c>
      <c r="C106" s="24" t="str">
        <f aca="false">IF(COUNTIF(Programação!$AQ$5:$AQ$1004,1)&lt;99,"",IF(INDEX(Programação!$E$5:$E$1004,MATCH(99,Programação!$AR$5:$AR$1004,0))="","",INDEX(Programação!$E$5:$E$1004,MATCH(99,Programação!$AR$5:$AR$1004,0))))</f>
        <v/>
      </c>
      <c r="D106" s="24" t="str">
        <f aca="false">IF(COUNTIF(Programação!$AQ$5:$AQ$1004,1)&lt;99,"",IF(INDEX(Programação!$F$5:$F$1004,MATCH(99,Programação!$AR$5:$AR$1004,0))="","",INDEX(Programação!$F$5:$F$1004,MATCH(99,Programação!$AR$5:$AR$1004,0))))</f>
        <v/>
      </c>
      <c r="E106" s="24" t="str">
        <f aca="false">IF(COUNTIF(Programação!$AQ$5:$AQ$1004,1)&lt;99,"",IF(INDEX(Programação!$AG$5:$AG$1004,MATCH(99,Programação!$AR$5:$AR$1004,0))="","",INDEX(Programação!$AG$5:$AG$1004,MATCH(99,Programação!$AR$5:$AR$1004,0))))</f>
        <v/>
      </c>
      <c r="F106" s="22" t="str">
        <f aca="false">IF(COUNTIF(Programação!$AQ$5:$AQ$1004,1)&lt;99,"",IF(INDEX(Programação!$L$5:$L$1004,MATCH(99,Programação!$AR$5:$AR$1004,0))="","",INDEX(Programação!$L$5:$L$1004,MATCH(99,Programação!$AR$5:$AR$1004,0))))</f>
        <v/>
      </c>
      <c r="G106" s="25" t="str">
        <f aca="false">IF(COUNTIF(Programação!$AQ$5:$AQ$1004,1)&lt;99,"",IF(INDEX(Programação!$P$5:$P$1004,MATCH(99,Programação!$AR$5:$AR$1004,0))="","",INDEX(Programação!$P$5:$P$1004,MATCH(99,Programação!$AR$5:$AR$1004,0))))</f>
        <v/>
      </c>
      <c r="H106" s="22" t="str">
        <f aca="false">IF(COUNTIF(Programação!$AQ$5:$AQ$1004,1)&lt;99,"",IF(INDEX(Programação!$B$5:$B$1004,MATCH(99,Programação!$AR$5:$AR$1004,0))="","",INDEX(Programação!$B$5:$B$1004,MATCH(99,Programação!$AR$5:$AR$1004,0))))</f>
        <v/>
      </c>
      <c r="I106" s="22" t="str">
        <f aca="false">IF(COUNTIF(Programação!$AQ$5:$AQ$1004,1)&lt;99,"",MATCH(99,Programação!$AR$5:$AR$1004,0)+4)</f>
        <v/>
      </c>
    </row>
    <row r="107" customFormat="false" ht="15.75" hidden="false" customHeight="true" outlineLevel="0" collapsed="false">
      <c r="A107" s="22" t="str">
        <f aca="false">IF(COUNTIF(Programação!$AQ$5:$AQ$1004,1)&lt;100,"",IF(INDEX(Programação!$AM$5:$AM$1004,MATCH(100,Programação!$AR$5:$AR$1004,0))="","",INDEX(Programação!$AM$5:$AM$1004,MATCH(100,Programação!$AR$5:$AR$1004,0))))</f>
        <v/>
      </c>
      <c r="B107" s="22" t="str">
        <f aca="false">IF(COUNTIF(Programação!$AQ$5:$AQ$1004,1)&lt;100,"",IF(INDEX(Programação!$C$5:$C$1004,MATCH(100,Programação!$AR$5:$AR$1004,0))="","",INDEX(Programação!$C$5:$C$1004,MATCH(100,Programação!$AR$5:$AR$1004,0))))</f>
        <v/>
      </c>
      <c r="C107" s="24" t="str">
        <f aca="false">IF(COUNTIF(Programação!$AQ$5:$AQ$1004,1)&lt;100,"",IF(INDEX(Programação!$E$5:$E$1004,MATCH(100,Programação!$AR$5:$AR$1004,0))="","",INDEX(Programação!$E$5:$E$1004,MATCH(100,Programação!$AR$5:$AR$1004,0))))</f>
        <v/>
      </c>
      <c r="D107" s="24" t="str">
        <f aca="false">IF(COUNTIF(Programação!$AQ$5:$AQ$1004,1)&lt;100,"",IF(INDEX(Programação!$F$5:$F$1004,MATCH(100,Programação!$AR$5:$AR$1004,0))="","",INDEX(Programação!$F$5:$F$1004,MATCH(100,Programação!$AR$5:$AR$1004,0))))</f>
        <v/>
      </c>
      <c r="E107" s="24" t="str">
        <f aca="false">IF(COUNTIF(Programação!$AQ$5:$AQ$1004,1)&lt;100,"",IF(INDEX(Programação!$AG$5:$AG$1004,MATCH(100,Programação!$AR$5:$AR$1004,0))="","",INDEX(Programação!$AG$5:$AG$1004,MATCH(100,Programação!$AR$5:$AR$1004,0))))</f>
        <v/>
      </c>
      <c r="F107" s="22" t="str">
        <f aca="false">IF(COUNTIF(Programação!$AQ$5:$AQ$1004,1)&lt;100,"",IF(INDEX(Programação!$L$5:$L$1004,MATCH(100,Programação!$AR$5:$AR$1004,0))="","",INDEX(Programação!$L$5:$L$1004,MATCH(100,Programação!$AR$5:$AR$1004,0))))</f>
        <v/>
      </c>
      <c r="G107" s="25" t="str">
        <f aca="false">IF(COUNTIF(Programação!$AQ$5:$AQ$1004,1)&lt;100,"",IF(INDEX(Programação!$P$5:$P$1004,MATCH(100,Programação!$AR$5:$AR$1004,0))="","",INDEX(Programação!$P$5:$P$1004,MATCH(100,Programação!$AR$5:$AR$1004,0))))</f>
        <v/>
      </c>
      <c r="H107" s="22" t="str">
        <f aca="false">IF(COUNTIF(Programação!$AQ$5:$AQ$1004,1)&lt;100,"",IF(INDEX(Programação!$B$5:$B$1004,MATCH(100,Programação!$AR$5:$AR$1004,0))="","",INDEX(Programação!$B$5:$B$1004,MATCH(100,Programação!$AR$5:$AR$1004,0))))</f>
        <v/>
      </c>
      <c r="I107" s="22" t="str">
        <f aca="false">IF(COUNTIF(Programação!$AQ$5:$AQ$1004,1)&lt;100,"",MATCH(100,Programação!$AR$5:$AR$1004,0)+4)</f>
        <v/>
      </c>
    </row>
    <row r="108" customFormat="false" ht="15.75" hidden="false" customHeight="true" outlineLevel="0" collapsed="false">
      <c r="A108" s="22" t="str">
        <f aca="false">IF(COUNTIF(Programação!$AQ$5:$AQ$1004,1)&lt;101,"",IF(INDEX(Programação!$AM$5:$AM$1004,MATCH(101,Programação!$AR$5:$AR$1004,0))="","",INDEX(Programação!$AM$5:$AM$1004,MATCH(101,Programação!$AR$5:$AR$1004,0))))</f>
        <v/>
      </c>
      <c r="B108" s="22" t="str">
        <f aca="false">IF(COUNTIF(Programação!$AQ$5:$AQ$1004,1)&lt;101,"",IF(INDEX(Programação!$C$5:$C$1004,MATCH(101,Programação!$AR$5:$AR$1004,0))="","",INDEX(Programação!$C$5:$C$1004,MATCH(101,Programação!$AR$5:$AR$1004,0))))</f>
        <v/>
      </c>
      <c r="C108" s="24" t="str">
        <f aca="false">IF(COUNTIF(Programação!$AQ$5:$AQ$1004,1)&lt;101,"",IF(INDEX(Programação!$E$5:$E$1004,MATCH(101,Programação!$AR$5:$AR$1004,0))="","",INDEX(Programação!$E$5:$E$1004,MATCH(101,Programação!$AR$5:$AR$1004,0))))</f>
        <v/>
      </c>
      <c r="D108" s="24" t="str">
        <f aca="false">IF(COUNTIF(Programação!$AQ$5:$AQ$1004,1)&lt;101,"",IF(INDEX(Programação!$F$5:$F$1004,MATCH(101,Programação!$AR$5:$AR$1004,0))="","",INDEX(Programação!$F$5:$F$1004,MATCH(101,Programação!$AR$5:$AR$1004,0))))</f>
        <v/>
      </c>
      <c r="E108" s="24" t="str">
        <f aca="false">IF(COUNTIF(Programação!$AQ$5:$AQ$1004,1)&lt;101,"",IF(INDEX(Programação!$AG$5:$AG$1004,MATCH(101,Programação!$AR$5:$AR$1004,0))="","",INDEX(Programação!$AG$5:$AG$1004,MATCH(101,Programação!$AR$5:$AR$1004,0))))</f>
        <v/>
      </c>
      <c r="F108" s="22" t="str">
        <f aca="false">IF(COUNTIF(Programação!$AQ$5:$AQ$1004,1)&lt;101,"",IF(INDEX(Programação!$L$5:$L$1004,MATCH(101,Programação!$AR$5:$AR$1004,0))="","",INDEX(Programação!$L$5:$L$1004,MATCH(101,Programação!$AR$5:$AR$1004,0))))</f>
        <v/>
      </c>
      <c r="G108" s="25" t="str">
        <f aca="false">IF(COUNTIF(Programação!$AQ$5:$AQ$1004,1)&lt;101,"",IF(INDEX(Programação!$P$5:$P$1004,MATCH(101,Programação!$AR$5:$AR$1004,0))="","",INDEX(Programação!$P$5:$P$1004,MATCH(101,Programação!$AR$5:$AR$1004,0))))</f>
        <v/>
      </c>
      <c r="H108" s="22" t="str">
        <f aca="false">IF(COUNTIF(Programação!$AQ$5:$AQ$1004,1)&lt;101,"",IF(INDEX(Programação!$B$5:$B$1004,MATCH(101,Programação!$AR$5:$AR$1004,0))="","",INDEX(Programação!$B$5:$B$1004,MATCH(101,Programação!$AR$5:$AR$1004,0))))</f>
        <v/>
      </c>
      <c r="I108" s="22" t="str">
        <f aca="false">IF(COUNTIF(Programação!$AQ$5:$AQ$1004,1)&lt;101,"",MATCH(101,Programação!$AR$5:$AR$1004,0)+4)</f>
        <v/>
      </c>
    </row>
    <row r="109" customFormat="false" ht="15.75" hidden="false" customHeight="true" outlineLevel="0" collapsed="false">
      <c r="A109" s="22" t="str">
        <f aca="false">IF(COUNTIF(Programação!$AQ$5:$AQ$1004,1)&lt;102,"",IF(INDEX(Programação!$AM$5:$AM$1004,MATCH(102,Programação!$AR$5:$AR$1004,0))="","",INDEX(Programação!$AM$5:$AM$1004,MATCH(102,Programação!$AR$5:$AR$1004,0))))</f>
        <v/>
      </c>
      <c r="B109" s="22" t="str">
        <f aca="false">IF(COUNTIF(Programação!$AQ$5:$AQ$1004,1)&lt;102,"",IF(INDEX(Programação!$C$5:$C$1004,MATCH(102,Programação!$AR$5:$AR$1004,0))="","",INDEX(Programação!$C$5:$C$1004,MATCH(102,Programação!$AR$5:$AR$1004,0))))</f>
        <v/>
      </c>
      <c r="C109" s="24" t="str">
        <f aca="false">IF(COUNTIF(Programação!$AQ$5:$AQ$1004,1)&lt;102,"",IF(INDEX(Programação!$E$5:$E$1004,MATCH(102,Programação!$AR$5:$AR$1004,0))="","",INDEX(Programação!$E$5:$E$1004,MATCH(102,Programação!$AR$5:$AR$1004,0))))</f>
        <v/>
      </c>
      <c r="D109" s="24" t="str">
        <f aca="false">IF(COUNTIF(Programação!$AQ$5:$AQ$1004,1)&lt;102,"",IF(INDEX(Programação!$F$5:$F$1004,MATCH(102,Programação!$AR$5:$AR$1004,0))="","",INDEX(Programação!$F$5:$F$1004,MATCH(102,Programação!$AR$5:$AR$1004,0))))</f>
        <v/>
      </c>
      <c r="E109" s="24" t="str">
        <f aca="false">IF(COUNTIF(Programação!$AQ$5:$AQ$1004,1)&lt;102,"",IF(INDEX(Programação!$AG$5:$AG$1004,MATCH(102,Programação!$AR$5:$AR$1004,0))="","",INDEX(Programação!$AG$5:$AG$1004,MATCH(102,Programação!$AR$5:$AR$1004,0))))</f>
        <v/>
      </c>
      <c r="F109" s="22" t="str">
        <f aca="false">IF(COUNTIF(Programação!$AQ$5:$AQ$1004,1)&lt;102,"",IF(INDEX(Programação!$L$5:$L$1004,MATCH(102,Programação!$AR$5:$AR$1004,0))="","",INDEX(Programação!$L$5:$L$1004,MATCH(102,Programação!$AR$5:$AR$1004,0))))</f>
        <v/>
      </c>
      <c r="G109" s="25" t="str">
        <f aca="false">IF(COUNTIF(Programação!$AQ$5:$AQ$1004,1)&lt;102,"",IF(INDEX(Programação!$P$5:$P$1004,MATCH(102,Programação!$AR$5:$AR$1004,0))="","",INDEX(Programação!$P$5:$P$1004,MATCH(102,Programação!$AR$5:$AR$1004,0))))</f>
        <v/>
      </c>
      <c r="H109" s="22" t="str">
        <f aca="false">IF(COUNTIF(Programação!$AQ$5:$AQ$1004,1)&lt;102,"",IF(INDEX(Programação!$B$5:$B$1004,MATCH(102,Programação!$AR$5:$AR$1004,0))="","",INDEX(Programação!$B$5:$B$1004,MATCH(102,Programação!$AR$5:$AR$1004,0))))</f>
        <v/>
      </c>
      <c r="I109" s="22" t="str">
        <f aca="false">IF(COUNTIF(Programação!$AQ$5:$AQ$1004,1)&lt;102,"",MATCH(102,Programação!$AR$5:$AR$1004,0)+4)</f>
        <v/>
      </c>
    </row>
    <row r="110" customFormat="false" ht="15.75" hidden="false" customHeight="true" outlineLevel="0" collapsed="false">
      <c r="A110" s="22" t="str">
        <f aca="false">IF(COUNTIF(Programação!$AQ$5:$AQ$1004,1)&lt;103,"",IF(INDEX(Programação!$AM$5:$AM$1004,MATCH(103,Programação!$AR$5:$AR$1004,0))="","",INDEX(Programação!$AM$5:$AM$1004,MATCH(103,Programação!$AR$5:$AR$1004,0))))</f>
        <v/>
      </c>
      <c r="B110" s="22" t="str">
        <f aca="false">IF(COUNTIF(Programação!$AQ$5:$AQ$1004,1)&lt;103,"",IF(INDEX(Programação!$C$5:$C$1004,MATCH(103,Programação!$AR$5:$AR$1004,0))="","",INDEX(Programação!$C$5:$C$1004,MATCH(103,Programação!$AR$5:$AR$1004,0))))</f>
        <v/>
      </c>
      <c r="C110" s="24" t="str">
        <f aca="false">IF(COUNTIF(Programação!$AQ$5:$AQ$1004,1)&lt;103,"",IF(INDEX(Programação!$E$5:$E$1004,MATCH(103,Programação!$AR$5:$AR$1004,0))="","",INDEX(Programação!$E$5:$E$1004,MATCH(103,Programação!$AR$5:$AR$1004,0))))</f>
        <v/>
      </c>
      <c r="D110" s="24" t="str">
        <f aca="false">IF(COUNTIF(Programação!$AQ$5:$AQ$1004,1)&lt;103,"",IF(INDEX(Programação!$F$5:$F$1004,MATCH(103,Programação!$AR$5:$AR$1004,0))="","",INDEX(Programação!$F$5:$F$1004,MATCH(103,Programação!$AR$5:$AR$1004,0))))</f>
        <v/>
      </c>
      <c r="E110" s="24" t="str">
        <f aca="false">IF(COUNTIF(Programação!$AQ$5:$AQ$1004,1)&lt;103,"",IF(INDEX(Programação!$AG$5:$AG$1004,MATCH(103,Programação!$AR$5:$AR$1004,0))="","",INDEX(Programação!$AG$5:$AG$1004,MATCH(103,Programação!$AR$5:$AR$1004,0))))</f>
        <v/>
      </c>
      <c r="F110" s="22" t="str">
        <f aca="false">IF(COUNTIF(Programação!$AQ$5:$AQ$1004,1)&lt;103,"",IF(INDEX(Programação!$L$5:$L$1004,MATCH(103,Programação!$AR$5:$AR$1004,0))="","",INDEX(Programação!$L$5:$L$1004,MATCH(103,Programação!$AR$5:$AR$1004,0))))</f>
        <v/>
      </c>
      <c r="G110" s="25" t="str">
        <f aca="false">IF(COUNTIF(Programação!$AQ$5:$AQ$1004,1)&lt;103,"",IF(INDEX(Programação!$P$5:$P$1004,MATCH(103,Programação!$AR$5:$AR$1004,0))="","",INDEX(Programação!$P$5:$P$1004,MATCH(103,Programação!$AR$5:$AR$1004,0))))</f>
        <v/>
      </c>
      <c r="H110" s="22" t="str">
        <f aca="false">IF(COUNTIF(Programação!$AQ$5:$AQ$1004,1)&lt;103,"",IF(INDEX(Programação!$B$5:$B$1004,MATCH(103,Programação!$AR$5:$AR$1004,0))="","",INDEX(Programação!$B$5:$B$1004,MATCH(103,Programação!$AR$5:$AR$1004,0))))</f>
        <v/>
      </c>
      <c r="I110" s="22" t="str">
        <f aca="false">IF(COUNTIF(Programação!$AQ$5:$AQ$1004,1)&lt;103,"",MATCH(103,Programação!$AR$5:$AR$1004,0)+4)</f>
        <v/>
      </c>
    </row>
    <row r="111" customFormat="false" ht="15.75" hidden="false" customHeight="true" outlineLevel="0" collapsed="false">
      <c r="A111" s="22" t="str">
        <f aca="false">IF(COUNTIF(Programação!$AQ$5:$AQ$1004,1)&lt;104,"",IF(INDEX(Programação!$AM$5:$AM$1004,MATCH(104,Programação!$AR$5:$AR$1004,0))="","",INDEX(Programação!$AM$5:$AM$1004,MATCH(104,Programação!$AR$5:$AR$1004,0))))</f>
        <v/>
      </c>
      <c r="B111" s="22" t="str">
        <f aca="false">IF(COUNTIF(Programação!$AQ$5:$AQ$1004,1)&lt;104,"",IF(INDEX(Programação!$C$5:$C$1004,MATCH(104,Programação!$AR$5:$AR$1004,0))="","",INDEX(Programação!$C$5:$C$1004,MATCH(104,Programação!$AR$5:$AR$1004,0))))</f>
        <v/>
      </c>
      <c r="C111" s="24" t="str">
        <f aca="false">IF(COUNTIF(Programação!$AQ$5:$AQ$1004,1)&lt;104,"",IF(INDEX(Programação!$E$5:$E$1004,MATCH(104,Programação!$AR$5:$AR$1004,0))="","",INDEX(Programação!$E$5:$E$1004,MATCH(104,Programação!$AR$5:$AR$1004,0))))</f>
        <v/>
      </c>
      <c r="D111" s="24" t="str">
        <f aca="false">IF(COUNTIF(Programação!$AQ$5:$AQ$1004,1)&lt;104,"",IF(INDEX(Programação!$F$5:$F$1004,MATCH(104,Programação!$AR$5:$AR$1004,0))="","",INDEX(Programação!$F$5:$F$1004,MATCH(104,Programação!$AR$5:$AR$1004,0))))</f>
        <v/>
      </c>
      <c r="E111" s="24" t="str">
        <f aca="false">IF(COUNTIF(Programação!$AQ$5:$AQ$1004,1)&lt;104,"",IF(INDEX(Programação!$AG$5:$AG$1004,MATCH(104,Programação!$AR$5:$AR$1004,0))="","",INDEX(Programação!$AG$5:$AG$1004,MATCH(104,Programação!$AR$5:$AR$1004,0))))</f>
        <v/>
      </c>
      <c r="F111" s="22" t="str">
        <f aca="false">IF(COUNTIF(Programação!$AQ$5:$AQ$1004,1)&lt;104,"",IF(INDEX(Programação!$L$5:$L$1004,MATCH(104,Programação!$AR$5:$AR$1004,0))="","",INDEX(Programação!$L$5:$L$1004,MATCH(104,Programação!$AR$5:$AR$1004,0))))</f>
        <v/>
      </c>
      <c r="G111" s="25" t="str">
        <f aca="false">IF(COUNTIF(Programação!$AQ$5:$AQ$1004,1)&lt;104,"",IF(INDEX(Programação!$P$5:$P$1004,MATCH(104,Programação!$AR$5:$AR$1004,0))="","",INDEX(Programação!$P$5:$P$1004,MATCH(104,Programação!$AR$5:$AR$1004,0))))</f>
        <v/>
      </c>
      <c r="H111" s="22" t="str">
        <f aca="false">IF(COUNTIF(Programação!$AQ$5:$AQ$1004,1)&lt;104,"",IF(INDEX(Programação!$B$5:$B$1004,MATCH(104,Programação!$AR$5:$AR$1004,0))="","",INDEX(Programação!$B$5:$B$1004,MATCH(104,Programação!$AR$5:$AR$1004,0))))</f>
        <v/>
      </c>
      <c r="I111" s="22" t="str">
        <f aca="false">IF(COUNTIF(Programação!$AQ$5:$AQ$1004,1)&lt;104,"",MATCH(104,Programação!$AR$5:$AR$1004,0)+4)</f>
        <v/>
      </c>
    </row>
    <row r="112" customFormat="false" ht="15.75" hidden="false" customHeight="true" outlineLevel="0" collapsed="false">
      <c r="A112" s="22" t="str">
        <f aca="false">IF(COUNTIF(Programação!$AQ$5:$AQ$1004,1)&lt;105,"",IF(INDEX(Programação!$AM$5:$AM$1004,MATCH(105,Programação!$AR$5:$AR$1004,0))="","",INDEX(Programação!$AM$5:$AM$1004,MATCH(105,Programação!$AR$5:$AR$1004,0))))</f>
        <v/>
      </c>
      <c r="B112" s="22" t="str">
        <f aca="false">IF(COUNTIF(Programação!$AQ$5:$AQ$1004,1)&lt;105,"",IF(INDEX(Programação!$C$5:$C$1004,MATCH(105,Programação!$AR$5:$AR$1004,0))="","",INDEX(Programação!$C$5:$C$1004,MATCH(105,Programação!$AR$5:$AR$1004,0))))</f>
        <v/>
      </c>
      <c r="C112" s="24" t="str">
        <f aca="false">IF(COUNTIF(Programação!$AQ$5:$AQ$1004,1)&lt;105,"",IF(INDEX(Programação!$E$5:$E$1004,MATCH(105,Programação!$AR$5:$AR$1004,0))="","",INDEX(Programação!$E$5:$E$1004,MATCH(105,Programação!$AR$5:$AR$1004,0))))</f>
        <v/>
      </c>
      <c r="D112" s="24" t="str">
        <f aca="false">IF(COUNTIF(Programação!$AQ$5:$AQ$1004,1)&lt;105,"",IF(INDEX(Programação!$F$5:$F$1004,MATCH(105,Programação!$AR$5:$AR$1004,0))="","",INDEX(Programação!$F$5:$F$1004,MATCH(105,Programação!$AR$5:$AR$1004,0))))</f>
        <v/>
      </c>
      <c r="E112" s="24" t="str">
        <f aca="false">IF(COUNTIF(Programação!$AQ$5:$AQ$1004,1)&lt;105,"",IF(INDEX(Programação!$AG$5:$AG$1004,MATCH(105,Programação!$AR$5:$AR$1004,0))="","",INDEX(Programação!$AG$5:$AG$1004,MATCH(105,Programação!$AR$5:$AR$1004,0))))</f>
        <v/>
      </c>
      <c r="F112" s="22" t="str">
        <f aca="false">IF(COUNTIF(Programação!$AQ$5:$AQ$1004,1)&lt;105,"",IF(INDEX(Programação!$L$5:$L$1004,MATCH(105,Programação!$AR$5:$AR$1004,0))="","",INDEX(Programação!$L$5:$L$1004,MATCH(105,Programação!$AR$5:$AR$1004,0))))</f>
        <v/>
      </c>
      <c r="G112" s="25" t="str">
        <f aca="false">IF(COUNTIF(Programação!$AQ$5:$AQ$1004,1)&lt;105,"",IF(INDEX(Programação!$P$5:$P$1004,MATCH(105,Programação!$AR$5:$AR$1004,0))="","",INDEX(Programação!$P$5:$P$1004,MATCH(105,Programação!$AR$5:$AR$1004,0))))</f>
        <v/>
      </c>
      <c r="H112" s="22" t="str">
        <f aca="false">IF(COUNTIF(Programação!$AQ$5:$AQ$1004,1)&lt;105,"",IF(INDEX(Programação!$B$5:$B$1004,MATCH(105,Programação!$AR$5:$AR$1004,0))="","",INDEX(Programação!$B$5:$B$1004,MATCH(105,Programação!$AR$5:$AR$1004,0))))</f>
        <v/>
      </c>
      <c r="I112" s="22" t="str">
        <f aca="false">IF(COUNTIF(Programação!$AQ$5:$AQ$1004,1)&lt;105,"",MATCH(105,Programação!$AR$5:$AR$1004,0)+4)</f>
        <v/>
      </c>
    </row>
    <row r="113" customFormat="false" ht="15.75" hidden="false" customHeight="true" outlineLevel="0" collapsed="false">
      <c r="A113" s="22" t="str">
        <f aca="false">IF(COUNTIF(Programação!$AQ$5:$AQ$1004,1)&lt;106,"",IF(INDEX(Programação!$AM$5:$AM$1004,MATCH(106,Programação!$AR$5:$AR$1004,0))="","",INDEX(Programação!$AM$5:$AM$1004,MATCH(106,Programação!$AR$5:$AR$1004,0))))</f>
        <v/>
      </c>
      <c r="B113" s="22" t="str">
        <f aca="false">IF(COUNTIF(Programação!$AQ$5:$AQ$1004,1)&lt;106,"",IF(INDEX(Programação!$C$5:$C$1004,MATCH(106,Programação!$AR$5:$AR$1004,0))="","",INDEX(Programação!$C$5:$C$1004,MATCH(106,Programação!$AR$5:$AR$1004,0))))</f>
        <v/>
      </c>
      <c r="C113" s="24" t="str">
        <f aca="false">IF(COUNTIF(Programação!$AQ$5:$AQ$1004,1)&lt;106,"",IF(INDEX(Programação!$E$5:$E$1004,MATCH(106,Programação!$AR$5:$AR$1004,0))="","",INDEX(Programação!$E$5:$E$1004,MATCH(106,Programação!$AR$5:$AR$1004,0))))</f>
        <v/>
      </c>
      <c r="D113" s="24" t="str">
        <f aca="false">IF(COUNTIF(Programação!$AQ$5:$AQ$1004,1)&lt;106,"",IF(INDEX(Programação!$F$5:$F$1004,MATCH(106,Programação!$AR$5:$AR$1004,0))="","",INDEX(Programação!$F$5:$F$1004,MATCH(106,Programação!$AR$5:$AR$1004,0))))</f>
        <v/>
      </c>
      <c r="E113" s="24" t="str">
        <f aca="false">IF(COUNTIF(Programação!$AQ$5:$AQ$1004,1)&lt;106,"",IF(INDEX(Programação!$AG$5:$AG$1004,MATCH(106,Programação!$AR$5:$AR$1004,0))="","",INDEX(Programação!$AG$5:$AG$1004,MATCH(106,Programação!$AR$5:$AR$1004,0))))</f>
        <v/>
      </c>
      <c r="F113" s="22" t="str">
        <f aca="false">IF(COUNTIF(Programação!$AQ$5:$AQ$1004,1)&lt;106,"",IF(INDEX(Programação!$L$5:$L$1004,MATCH(106,Programação!$AR$5:$AR$1004,0))="","",INDEX(Programação!$L$5:$L$1004,MATCH(106,Programação!$AR$5:$AR$1004,0))))</f>
        <v/>
      </c>
      <c r="G113" s="25" t="str">
        <f aca="false">IF(COUNTIF(Programação!$AQ$5:$AQ$1004,1)&lt;106,"",IF(INDEX(Programação!$P$5:$P$1004,MATCH(106,Programação!$AR$5:$AR$1004,0))="","",INDEX(Programação!$P$5:$P$1004,MATCH(106,Programação!$AR$5:$AR$1004,0))))</f>
        <v/>
      </c>
      <c r="H113" s="22" t="str">
        <f aca="false">IF(COUNTIF(Programação!$AQ$5:$AQ$1004,1)&lt;106,"",IF(INDEX(Programação!$B$5:$B$1004,MATCH(106,Programação!$AR$5:$AR$1004,0))="","",INDEX(Programação!$B$5:$B$1004,MATCH(106,Programação!$AR$5:$AR$1004,0))))</f>
        <v/>
      </c>
      <c r="I113" s="22" t="str">
        <f aca="false">IF(COUNTIF(Programação!$AQ$5:$AQ$1004,1)&lt;106,"",MATCH(106,Programação!$AR$5:$AR$1004,0)+4)</f>
        <v/>
      </c>
    </row>
    <row r="114" customFormat="false" ht="15.75" hidden="false" customHeight="true" outlineLevel="0" collapsed="false">
      <c r="A114" s="22" t="str">
        <f aca="false">IF(COUNTIF(Programação!$AQ$5:$AQ$1004,1)&lt;107,"",IF(INDEX(Programação!$AM$5:$AM$1004,MATCH(107,Programação!$AR$5:$AR$1004,0))="","",INDEX(Programação!$AM$5:$AM$1004,MATCH(107,Programação!$AR$5:$AR$1004,0))))</f>
        <v/>
      </c>
      <c r="B114" s="22" t="str">
        <f aca="false">IF(COUNTIF(Programação!$AQ$5:$AQ$1004,1)&lt;107,"",IF(INDEX(Programação!$C$5:$C$1004,MATCH(107,Programação!$AR$5:$AR$1004,0))="","",INDEX(Programação!$C$5:$C$1004,MATCH(107,Programação!$AR$5:$AR$1004,0))))</f>
        <v/>
      </c>
      <c r="C114" s="24" t="str">
        <f aca="false">IF(COUNTIF(Programação!$AQ$5:$AQ$1004,1)&lt;107,"",IF(INDEX(Programação!$E$5:$E$1004,MATCH(107,Programação!$AR$5:$AR$1004,0))="","",INDEX(Programação!$E$5:$E$1004,MATCH(107,Programação!$AR$5:$AR$1004,0))))</f>
        <v/>
      </c>
      <c r="D114" s="24" t="str">
        <f aca="false">IF(COUNTIF(Programação!$AQ$5:$AQ$1004,1)&lt;107,"",IF(INDEX(Programação!$F$5:$F$1004,MATCH(107,Programação!$AR$5:$AR$1004,0))="","",INDEX(Programação!$F$5:$F$1004,MATCH(107,Programação!$AR$5:$AR$1004,0))))</f>
        <v/>
      </c>
      <c r="E114" s="24" t="str">
        <f aca="false">IF(COUNTIF(Programação!$AQ$5:$AQ$1004,1)&lt;107,"",IF(INDEX(Programação!$AG$5:$AG$1004,MATCH(107,Programação!$AR$5:$AR$1004,0))="","",INDEX(Programação!$AG$5:$AG$1004,MATCH(107,Programação!$AR$5:$AR$1004,0))))</f>
        <v/>
      </c>
      <c r="F114" s="22" t="str">
        <f aca="false">IF(COUNTIF(Programação!$AQ$5:$AQ$1004,1)&lt;107,"",IF(INDEX(Programação!$L$5:$L$1004,MATCH(107,Programação!$AR$5:$AR$1004,0))="","",INDEX(Programação!$L$5:$L$1004,MATCH(107,Programação!$AR$5:$AR$1004,0))))</f>
        <v/>
      </c>
      <c r="G114" s="25" t="str">
        <f aca="false">IF(COUNTIF(Programação!$AQ$5:$AQ$1004,1)&lt;107,"",IF(INDEX(Programação!$P$5:$P$1004,MATCH(107,Programação!$AR$5:$AR$1004,0))="","",INDEX(Programação!$P$5:$P$1004,MATCH(107,Programação!$AR$5:$AR$1004,0))))</f>
        <v/>
      </c>
      <c r="H114" s="22" t="str">
        <f aca="false">IF(COUNTIF(Programação!$AQ$5:$AQ$1004,1)&lt;107,"",IF(INDEX(Programação!$B$5:$B$1004,MATCH(107,Programação!$AR$5:$AR$1004,0))="","",INDEX(Programação!$B$5:$B$1004,MATCH(107,Programação!$AR$5:$AR$1004,0))))</f>
        <v/>
      </c>
      <c r="I114" s="22" t="str">
        <f aca="false">IF(COUNTIF(Programação!$AQ$5:$AQ$1004,1)&lt;107,"",MATCH(107,Programação!$AR$5:$AR$1004,0)+4)</f>
        <v/>
      </c>
    </row>
    <row r="115" customFormat="false" ht="15.75" hidden="false" customHeight="true" outlineLevel="0" collapsed="false">
      <c r="A115" s="22" t="str">
        <f aca="false">IF(COUNTIF(Programação!$AQ$5:$AQ$1004,1)&lt;108,"",IF(INDEX(Programação!$AM$5:$AM$1004,MATCH(108,Programação!$AR$5:$AR$1004,0))="","",INDEX(Programação!$AM$5:$AM$1004,MATCH(108,Programação!$AR$5:$AR$1004,0))))</f>
        <v/>
      </c>
      <c r="B115" s="22" t="str">
        <f aca="false">IF(COUNTIF(Programação!$AQ$5:$AQ$1004,1)&lt;108,"",IF(INDEX(Programação!$C$5:$C$1004,MATCH(108,Programação!$AR$5:$AR$1004,0))="","",INDEX(Programação!$C$5:$C$1004,MATCH(108,Programação!$AR$5:$AR$1004,0))))</f>
        <v/>
      </c>
      <c r="C115" s="24" t="str">
        <f aca="false">IF(COUNTIF(Programação!$AQ$5:$AQ$1004,1)&lt;108,"",IF(INDEX(Programação!$E$5:$E$1004,MATCH(108,Programação!$AR$5:$AR$1004,0))="","",INDEX(Programação!$E$5:$E$1004,MATCH(108,Programação!$AR$5:$AR$1004,0))))</f>
        <v/>
      </c>
      <c r="D115" s="24" t="str">
        <f aca="false">IF(COUNTIF(Programação!$AQ$5:$AQ$1004,1)&lt;108,"",IF(INDEX(Programação!$F$5:$F$1004,MATCH(108,Programação!$AR$5:$AR$1004,0))="","",INDEX(Programação!$F$5:$F$1004,MATCH(108,Programação!$AR$5:$AR$1004,0))))</f>
        <v/>
      </c>
      <c r="E115" s="24" t="str">
        <f aca="false">IF(COUNTIF(Programação!$AQ$5:$AQ$1004,1)&lt;108,"",IF(INDEX(Programação!$AG$5:$AG$1004,MATCH(108,Programação!$AR$5:$AR$1004,0))="","",INDEX(Programação!$AG$5:$AG$1004,MATCH(108,Programação!$AR$5:$AR$1004,0))))</f>
        <v/>
      </c>
      <c r="F115" s="22" t="str">
        <f aca="false">IF(COUNTIF(Programação!$AQ$5:$AQ$1004,1)&lt;108,"",IF(INDEX(Programação!$L$5:$L$1004,MATCH(108,Programação!$AR$5:$AR$1004,0))="","",INDEX(Programação!$L$5:$L$1004,MATCH(108,Programação!$AR$5:$AR$1004,0))))</f>
        <v/>
      </c>
      <c r="G115" s="25" t="str">
        <f aca="false">IF(COUNTIF(Programação!$AQ$5:$AQ$1004,1)&lt;108,"",IF(INDEX(Programação!$P$5:$P$1004,MATCH(108,Programação!$AR$5:$AR$1004,0))="","",INDEX(Programação!$P$5:$P$1004,MATCH(108,Programação!$AR$5:$AR$1004,0))))</f>
        <v/>
      </c>
      <c r="H115" s="22" t="str">
        <f aca="false">IF(COUNTIF(Programação!$AQ$5:$AQ$1004,1)&lt;108,"",IF(INDEX(Programação!$B$5:$B$1004,MATCH(108,Programação!$AR$5:$AR$1004,0))="","",INDEX(Programação!$B$5:$B$1004,MATCH(108,Programação!$AR$5:$AR$1004,0))))</f>
        <v/>
      </c>
      <c r="I115" s="22" t="str">
        <f aca="false">IF(COUNTIF(Programação!$AQ$5:$AQ$1004,1)&lt;108,"",MATCH(108,Programação!$AR$5:$AR$1004,0)+4)</f>
        <v/>
      </c>
    </row>
    <row r="116" customFormat="false" ht="15.75" hidden="false" customHeight="true" outlineLevel="0" collapsed="false">
      <c r="A116" s="22" t="str">
        <f aca="false">IF(COUNTIF(Programação!$AQ$5:$AQ$1004,1)&lt;109,"",IF(INDEX(Programação!$AM$5:$AM$1004,MATCH(109,Programação!$AR$5:$AR$1004,0))="","",INDEX(Programação!$AM$5:$AM$1004,MATCH(109,Programação!$AR$5:$AR$1004,0))))</f>
        <v/>
      </c>
      <c r="B116" s="22" t="str">
        <f aca="false">IF(COUNTIF(Programação!$AQ$5:$AQ$1004,1)&lt;109,"",IF(INDEX(Programação!$C$5:$C$1004,MATCH(109,Programação!$AR$5:$AR$1004,0))="","",INDEX(Programação!$C$5:$C$1004,MATCH(109,Programação!$AR$5:$AR$1004,0))))</f>
        <v/>
      </c>
      <c r="C116" s="24" t="str">
        <f aca="false">IF(COUNTIF(Programação!$AQ$5:$AQ$1004,1)&lt;109,"",IF(INDEX(Programação!$E$5:$E$1004,MATCH(109,Programação!$AR$5:$AR$1004,0))="","",INDEX(Programação!$E$5:$E$1004,MATCH(109,Programação!$AR$5:$AR$1004,0))))</f>
        <v/>
      </c>
      <c r="D116" s="24" t="str">
        <f aca="false">IF(COUNTIF(Programação!$AQ$5:$AQ$1004,1)&lt;109,"",IF(INDEX(Programação!$F$5:$F$1004,MATCH(109,Programação!$AR$5:$AR$1004,0))="","",INDEX(Programação!$F$5:$F$1004,MATCH(109,Programação!$AR$5:$AR$1004,0))))</f>
        <v/>
      </c>
      <c r="E116" s="24" t="str">
        <f aca="false">IF(COUNTIF(Programação!$AQ$5:$AQ$1004,1)&lt;109,"",IF(INDEX(Programação!$AG$5:$AG$1004,MATCH(109,Programação!$AR$5:$AR$1004,0))="","",INDEX(Programação!$AG$5:$AG$1004,MATCH(109,Programação!$AR$5:$AR$1004,0))))</f>
        <v/>
      </c>
      <c r="F116" s="22" t="str">
        <f aca="false">IF(COUNTIF(Programação!$AQ$5:$AQ$1004,1)&lt;109,"",IF(INDEX(Programação!$L$5:$L$1004,MATCH(109,Programação!$AR$5:$AR$1004,0))="","",INDEX(Programação!$L$5:$L$1004,MATCH(109,Programação!$AR$5:$AR$1004,0))))</f>
        <v/>
      </c>
      <c r="G116" s="25" t="str">
        <f aca="false">IF(COUNTIF(Programação!$AQ$5:$AQ$1004,1)&lt;109,"",IF(INDEX(Programação!$P$5:$P$1004,MATCH(109,Programação!$AR$5:$AR$1004,0))="","",INDEX(Programação!$P$5:$P$1004,MATCH(109,Programação!$AR$5:$AR$1004,0))))</f>
        <v/>
      </c>
      <c r="H116" s="22" t="str">
        <f aca="false">IF(COUNTIF(Programação!$AQ$5:$AQ$1004,1)&lt;109,"",IF(INDEX(Programação!$B$5:$B$1004,MATCH(109,Programação!$AR$5:$AR$1004,0))="","",INDEX(Programação!$B$5:$B$1004,MATCH(109,Programação!$AR$5:$AR$1004,0))))</f>
        <v/>
      </c>
      <c r="I116" s="22" t="str">
        <f aca="false">IF(COUNTIF(Programação!$AQ$5:$AQ$1004,1)&lt;109,"",MATCH(109,Programação!$AR$5:$AR$1004,0)+4)</f>
        <v/>
      </c>
    </row>
    <row r="117" customFormat="false" ht="15.75" hidden="false" customHeight="true" outlineLevel="0" collapsed="false">
      <c r="A117" s="22" t="str">
        <f aca="false">IF(COUNTIF(Programação!$AQ$5:$AQ$1004,1)&lt;110,"",IF(INDEX(Programação!$AM$5:$AM$1004,MATCH(110,Programação!$AR$5:$AR$1004,0))="","",INDEX(Programação!$AM$5:$AM$1004,MATCH(110,Programação!$AR$5:$AR$1004,0))))</f>
        <v/>
      </c>
      <c r="B117" s="22" t="str">
        <f aca="false">IF(COUNTIF(Programação!$AQ$5:$AQ$1004,1)&lt;110,"",IF(INDEX(Programação!$C$5:$C$1004,MATCH(110,Programação!$AR$5:$AR$1004,0))="","",INDEX(Programação!$C$5:$C$1004,MATCH(110,Programação!$AR$5:$AR$1004,0))))</f>
        <v/>
      </c>
      <c r="C117" s="24" t="str">
        <f aca="false">IF(COUNTIF(Programação!$AQ$5:$AQ$1004,1)&lt;110,"",IF(INDEX(Programação!$E$5:$E$1004,MATCH(110,Programação!$AR$5:$AR$1004,0))="","",INDEX(Programação!$E$5:$E$1004,MATCH(110,Programação!$AR$5:$AR$1004,0))))</f>
        <v/>
      </c>
      <c r="D117" s="24" t="str">
        <f aca="false">IF(COUNTIF(Programação!$AQ$5:$AQ$1004,1)&lt;110,"",IF(INDEX(Programação!$F$5:$F$1004,MATCH(110,Programação!$AR$5:$AR$1004,0))="","",INDEX(Programação!$F$5:$F$1004,MATCH(110,Programação!$AR$5:$AR$1004,0))))</f>
        <v/>
      </c>
      <c r="E117" s="24" t="str">
        <f aca="false">IF(COUNTIF(Programação!$AQ$5:$AQ$1004,1)&lt;110,"",IF(INDEX(Programação!$AG$5:$AG$1004,MATCH(110,Programação!$AR$5:$AR$1004,0))="","",INDEX(Programação!$AG$5:$AG$1004,MATCH(110,Programação!$AR$5:$AR$1004,0))))</f>
        <v/>
      </c>
      <c r="F117" s="22" t="str">
        <f aca="false">IF(COUNTIF(Programação!$AQ$5:$AQ$1004,1)&lt;110,"",IF(INDEX(Programação!$L$5:$L$1004,MATCH(110,Programação!$AR$5:$AR$1004,0))="","",INDEX(Programação!$L$5:$L$1004,MATCH(110,Programação!$AR$5:$AR$1004,0))))</f>
        <v/>
      </c>
      <c r="G117" s="25" t="str">
        <f aca="false">IF(COUNTIF(Programação!$AQ$5:$AQ$1004,1)&lt;110,"",IF(INDEX(Programação!$P$5:$P$1004,MATCH(110,Programação!$AR$5:$AR$1004,0))="","",INDEX(Programação!$P$5:$P$1004,MATCH(110,Programação!$AR$5:$AR$1004,0))))</f>
        <v/>
      </c>
      <c r="H117" s="22" t="str">
        <f aca="false">IF(COUNTIF(Programação!$AQ$5:$AQ$1004,1)&lt;110,"",IF(INDEX(Programação!$B$5:$B$1004,MATCH(110,Programação!$AR$5:$AR$1004,0))="","",INDEX(Programação!$B$5:$B$1004,MATCH(110,Programação!$AR$5:$AR$1004,0))))</f>
        <v/>
      </c>
      <c r="I117" s="22" t="str">
        <f aca="false">IF(COUNTIF(Programação!$AQ$5:$AQ$1004,1)&lt;110,"",MATCH(110,Programação!$AR$5:$AR$1004,0)+4)</f>
        <v/>
      </c>
    </row>
    <row r="118" customFormat="false" ht="15.75" hidden="false" customHeight="true" outlineLevel="0" collapsed="false">
      <c r="A118" s="22" t="str">
        <f aca="false">IF(COUNTIF(Programação!$AQ$5:$AQ$1004,1)&lt;111,"",IF(INDEX(Programação!$AM$5:$AM$1004,MATCH(111,Programação!$AR$5:$AR$1004,0))="","",INDEX(Programação!$AM$5:$AM$1004,MATCH(111,Programação!$AR$5:$AR$1004,0))))</f>
        <v/>
      </c>
      <c r="B118" s="22" t="str">
        <f aca="false">IF(COUNTIF(Programação!$AQ$5:$AQ$1004,1)&lt;111,"",IF(INDEX(Programação!$C$5:$C$1004,MATCH(111,Programação!$AR$5:$AR$1004,0))="","",INDEX(Programação!$C$5:$C$1004,MATCH(111,Programação!$AR$5:$AR$1004,0))))</f>
        <v/>
      </c>
      <c r="C118" s="24" t="str">
        <f aca="false">IF(COUNTIF(Programação!$AQ$5:$AQ$1004,1)&lt;111,"",IF(INDEX(Programação!$E$5:$E$1004,MATCH(111,Programação!$AR$5:$AR$1004,0))="","",INDEX(Programação!$E$5:$E$1004,MATCH(111,Programação!$AR$5:$AR$1004,0))))</f>
        <v/>
      </c>
      <c r="D118" s="24" t="str">
        <f aca="false">IF(COUNTIF(Programação!$AQ$5:$AQ$1004,1)&lt;111,"",IF(INDEX(Programação!$F$5:$F$1004,MATCH(111,Programação!$AR$5:$AR$1004,0))="","",INDEX(Programação!$F$5:$F$1004,MATCH(111,Programação!$AR$5:$AR$1004,0))))</f>
        <v/>
      </c>
      <c r="E118" s="24" t="str">
        <f aca="false">IF(COUNTIF(Programação!$AQ$5:$AQ$1004,1)&lt;111,"",IF(INDEX(Programação!$AG$5:$AG$1004,MATCH(111,Programação!$AR$5:$AR$1004,0))="","",INDEX(Programação!$AG$5:$AG$1004,MATCH(111,Programação!$AR$5:$AR$1004,0))))</f>
        <v/>
      </c>
      <c r="F118" s="22" t="str">
        <f aca="false">IF(COUNTIF(Programação!$AQ$5:$AQ$1004,1)&lt;111,"",IF(INDEX(Programação!$L$5:$L$1004,MATCH(111,Programação!$AR$5:$AR$1004,0))="","",INDEX(Programação!$L$5:$L$1004,MATCH(111,Programação!$AR$5:$AR$1004,0))))</f>
        <v/>
      </c>
      <c r="G118" s="25" t="str">
        <f aca="false">IF(COUNTIF(Programação!$AQ$5:$AQ$1004,1)&lt;111,"",IF(INDEX(Programação!$P$5:$P$1004,MATCH(111,Programação!$AR$5:$AR$1004,0))="","",INDEX(Programação!$P$5:$P$1004,MATCH(111,Programação!$AR$5:$AR$1004,0))))</f>
        <v/>
      </c>
      <c r="H118" s="22" t="str">
        <f aca="false">IF(COUNTIF(Programação!$AQ$5:$AQ$1004,1)&lt;111,"",IF(INDEX(Programação!$B$5:$B$1004,MATCH(111,Programação!$AR$5:$AR$1004,0))="","",INDEX(Programação!$B$5:$B$1004,MATCH(111,Programação!$AR$5:$AR$1004,0))))</f>
        <v/>
      </c>
      <c r="I118" s="22" t="str">
        <f aca="false">IF(COUNTIF(Programação!$AQ$5:$AQ$1004,1)&lt;111,"",MATCH(111,Programação!$AR$5:$AR$1004,0)+4)</f>
        <v/>
      </c>
    </row>
    <row r="119" customFormat="false" ht="15.75" hidden="false" customHeight="true" outlineLevel="0" collapsed="false">
      <c r="A119" s="22" t="str">
        <f aca="false">IF(COUNTIF(Programação!$AQ$5:$AQ$1004,1)&lt;112,"",IF(INDEX(Programação!$AM$5:$AM$1004,MATCH(112,Programação!$AR$5:$AR$1004,0))="","",INDEX(Programação!$AM$5:$AM$1004,MATCH(112,Programação!$AR$5:$AR$1004,0))))</f>
        <v/>
      </c>
      <c r="B119" s="22" t="str">
        <f aca="false">IF(COUNTIF(Programação!$AQ$5:$AQ$1004,1)&lt;112,"",IF(INDEX(Programação!$C$5:$C$1004,MATCH(112,Programação!$AR$5:$AR$1004,0))="","",INDEX(Programação!$C$5:$C$1004,MATCH(112,Programação!$AR$5:$AR$1004,0))))</f>
        <v/>
      </c>
      <c r="C119" s="24" t="str">
        <f aca="false">IF(COUNTIF(Programação!$AQ$5:$AQ$1004,1)&lt;112,"",IF(INDEX(Programação!$E$5:$E$1004,MATCH(112,Programação!$AR$5:$AR$1004,0))="","",INDEX(Programação!$E$5:$E$1004,MATCH(112,Programação!$AR$5:$AR$1004,0))))</f>
        <v/>
      </c>
      <c r="D119" s="24" t="str">
        <f aca="false">IF(COUNTIF(Programação!$AQ$5:$AQ$1004,1)&lt;112,"",IF(INDEX(Programação!$F$5:$F$1004,MATCH(112,Programação!$AR$5:$AR$1004,0))="","",INDEX(Programação!$F$5:$F$1004,MATCH(112,Programação!$AR$5:$AR$1004,0))))</f>
        <v/>
      </c>
      <c r="E119" s="24" t="str">
        <f aca="false">IF(COUNTIF(Programação!$AQ$5:$AQ$1004,1)&lt;112,"",IF(INDEX(Programação!$AG$5:$AG$1004,MATCH(112,Programação!$AR$5:$AR$1004,0))="","",INDEX(Programação!$AG$5:$AG$1004,MATCH(112,Programação!$AR$5:$AR$1004,0))))</f>
        <v/>
      </c>
      <c r="F119" s="22" t="str">
        <f aca="false">IF(COUNTIF(Programação!$AQ$5:$AQ$1004,1)&lt;112,"",IF(INDEX(Programação!$L$5:$L$1004,MATCH(112,Programação!$AR$5:$AR$1004,0))="","",INDEX(Programação!$L$5:$L$1004,MATCH(112,Programação!$AR$5:$AR$1004,0))))</f>
        <v/>
      </c>
      <c r="G119" s="25" t="str">
        <f aca="false">IF(COUNTIF(Programação!$AQ$5:$AQ$1004,1)&lt;112,"",IF(INDEX(Programação!$P$5:$P$1004,MATCH(112,Programação!$AR$5:$AR$1004,0))="","",INDEX(Programação!$P$5:$P$1004,MATCH(112,Programação!$AR$5:$AR$1004,0))))</f>
        <v/>
      </c>
      <c r="H119" s="22" t="str">
        <f aca="false">IF(COUNTIF(Programação!$AQ$5:$AQ$1004,1)&lt;112,"",IF(INDEX(Programação!$B$5:$B$1004,MATCH(112,Programação!$AR$5:$AR$1004,0))="","",INDEX(Programação!$B$5:$B$1004,MATCH(112,Programação!$AR$5:$AR$1004,0))))</f>
        <v/>
      </c>
      <c r="I119" s="22" t="str">
        <f aca="false">IF(COUNTIF(Programação!$AQ$5:$AQ$1004,1)&lt;112,"",MATCH(112,Programação!$AR$5:$AR$1004,0)+4)</f>
        <v/>
      </c>
    </row>
    <row r="120" customFormat="false" ht="15.75" hidden="false" customHeight="true" outlineLevel="0" collapsed="false">
      <c r="A120" s="22" t="str">
        <f aca="false">IF(COUNTIF(Programação!$AQ$5:$AQ$1004,1)&lt;113,"",IF(INDEX(Programação!$AM$5:$AM$1004,MATCH(113,Programação!$AR$5:$AR$1004,0))="","",INDEX(Programação!$AM$5:$AM$1004,MATCH(113,Programação!$AR$5:$AR$1004,0))))</f>
        <v/>
      </c>
      <c r="B120" s="22" t="str">
        <f aca="false">IF(COUNTIF(Programação!$AQ$5:$AQ$1004,1)&lt;113,"",IF(INDEX(Programação!$C$5:$C$1004,MATCH(113,Programação!$AR$5:$AR$1004,0))="","",INDEX(Programação!$C$5:$C$1004,MATCH(113,Programação!$AR$5:$AR$1004,0))))</f>
        <v/>
      </c>
      <c r="C120" s="24" t="str">
        <f aca="false">IF(COUNTIF(Programação!$AQ$5:$AQ$1004,1)&lt;113,"",IF(INDEX(Programação!$E$5:$E$1004,MATCH(113,Programação!$AR$5:$AR$1004,0))="","",INDEX(Programação!$E$5:$E$1004,MATCH(113,Programação!$AR$5:$AR$1004,0))))</f>
        <v/>
      </c>
      <c r="D120" s="24" t="str">
        <f aca="false">IF(COUNTIF(Programação!$AQ$5:$AQ$1004,1)&lt;113,"",IF(INDEX(Programação!$F$5:$F$1004,MATCH(113,Programação!$AR$5:$AR$1004,0))="","",INDEX(Programação!$F$5:$F$1004,MATCH(113,Programação!$AR$5:$AR$1004,0))))</f>
        <v/>
      </c>
      <c r="E120" s="24" t="str">
        <f aca="false">IF(COUNTIF(Programação!$AQ$5:$AQ$1004,1)&lt;113,"",IF(INDEX(Programação!$AG$5:$AG$1004,MATCH(113,Programação!$AR$5:$AR$1004,0))="","",INDEX(Programação!$AG$5:$AG$1004,MATCH(113,Programação!$AR$5:$AR$1004,0))))</f>
        <v/>
      </c>
      <c r="F120" s="22" t="str">
        <f aca="false">IF(COUNTIF(Programação!$AQ$5:$AQ$1004,1)&lt;113,"",IF(INDEX(Programação!$L$5:$L$1004,MATCH(113,Programação!$AR$5:$AR$1004,0))="","",INDEX(Programação!$L$5:$L$1004,MATCH(113,Programação!$AR$5:$AR$1004,0))))</f>
        <v/>
      </c>
      <c r="G120" s="25" t="str">
        <f aca="false">IF(COUNTIF(Programação!$AQ$5:$AQ$1004,1)&lt;113,"",IF(INDEX(Programação!$P$5:$P$1004,MATCH(113,Programação!$AR$5:$AR$1004,0))="","",INDEX(Programação!$P$5:$P$1004,MATCH(113,Programação!$AR$5:$AR$1004,0))))</f>
        <v/>
      </c>
      <c r="H120" s="22" t="str">
        <f aca="false">IF(COUNTIF(Programação!$AQ$5:$AQ$1004,1)&lt;113,"",IF(INDEX(Programação!$B$5:$B$1004,MATCH(113,Programação!$AR$5:$AR$1004,0))="","",INDEX(Programação!$B$5:$B$1004,MATCH(113,Programação!$AR$5:$AR$1004,0))))</f>
        <v/>
      </c>
      <c r="I120" s="22" t="str">
        <f aca="false">IF(COUNTIF(Programação!$AQ$5:$AQ$1004,1)&lt;113,"",MATCH(113,Programação!$AR$5:$AR$1004,0)+4)</f>
        <v/>
      </c>
    </row>
    <row r="121" customFormat="false" ht="15.75" hidden="false" customHeight="true" outlineLevel="0" collapsed="false">
      <c r="A121" s="22" t="str">
        <f aca="false">IF(COUNTIF(Programação!$AQ$5:$AQ$1004,1)&lt;114,"",IF(INDEX(Programação!$AM$5:$AM$1004,MATCH(114,Programação!$AR$5:$AR$1004,0))="","",INDEX(Programação!$AM$5:$AM$1004,MATCH(114,Programação!$AR$5:$AR$1004,0))))</f>
        <v/>
      </c>
      <c r="B121" s="22" t="str">
        <f aca="false">IF(COUNTIF(Programação!$AQ$5:$AQ$1004,1)&lt;114,"",IF(INDEX(Programação!$C$5:$C$1004,MATCH(114,Programação!$AR$5:$AR$1004,0))="","",INDEX(Programação!$C$5:$C$1004,MATCH(114,Programação!$AR$5:$AR$1004,0))))</f>
        <v/>
      </c>
      <c r="C121" s="24" t="str">
        <f aca="false">IF(COUNTIF(Programação!$AQ$5:$AQ$1004,1)&lt;114,"",IF(INDEX(Programação!$E$5:$E$1004,MATCH(114,Programação!$AR$5:$AR$1004,0))="","",INDEX(Programação!$E$5:$E$1004,MATCH(114,Programação!$AR$5:$AR$1004,0))))</f>
        <v/>
      </c>
      <c r="D121" s="24" t="str">
        <f aca="false">IF(COUNTIF(Programação!$AQ$5:$AQ$1004,1)&lt;114,"",IF(INDEX(Programação!$F$5:$F$1004,MATCH(114,Programação!$AR$5:$AR$1004,0))="","",INDEX(Programação!$F$5:$F$1004,MATCH(114,Programação!$AR$5:$AR$1004,0))))</f>
        <v/>
      </c>
      <c r="E121" s="24" t="str">
        <f aca="false">IF(COUNTIF(Programação!$AQ$5:$AQ$1004,1)&lt;114,"",IF(INDEX(Programação!$AG$5:$AG$1004,MATCH(114,Programação!$AR$5:$AR$1004,0))="","",INDEX(Programação!$AG$5:$AG$1004,MATCH(114,Programação!$AR$5:$AR$1004,0))))</f>
        <v/>
      </c>
      <c r="F121" s="22" t="str">
        <f aca="false">IF(COUNTIF(Programação!$AQ$5:$AQ$1004,1)&lt;114,"",IF(INDEX(Programação!$L$5:$L$1004,MATCH(114,Programação!$AR$5:$AR$1004,0))="","",INDEX(Programação!$L$5:$L$1004,MATCH(114,Programação!$AR$5:$AR$1004,0))))</f>
        <v/>
      </c>
      <c r="G121" s="25" t="str">
        <f aca="false">IF(COUNTIF(Programação!$AQ$5:$AQ$1004,1)&lt;114,"",IF(INDEX(Programação!$P$5:$P$1004,MATCH(114,Programação!$AR$5:$AR$1004,0))="","",INDEX(Programação!$P$5:$P$1004,MATCH(114,Programação!$AR$5:$AR$1004,0))))</f>
        <v/>
      </c>
      <c r="H121" s="22" t="str">
        <f aca="false">IF(COUNTIF(Programação!$AQ$5:$AQ$1004,1)&lt;114,"",IF(INDEX(Programação!$B$5:$B$1004,MATCH(114,Programação!$AR$5:$AR$1004,0))="","",INDEX(Programação!$B$5:$B$1004,MATCH(114,Programação!$AR$5:$AR$1004,0))))</f>
        <v/>
      </c>
      <c r="I121" s="22" t="str">
        <f aca="false">IF(COUNTIF(Programação!$AQ$5:$AQ$1004,1)&lt;114,"",MATCH(114,Programação!$AR$5:$AR$1004,0)+4)</f>
        <v/>
      </c>
    </row>
    <row r="122" customFormat="false" ht="15.75" hidden="false" customHeight="true" outlineLevel="0" collapsed="false">
      <c r="A122" s="22" t="str">
        <f aca="false">IF(COUNTIF(Programação!$AQ$5:$AQ$1004,1)&lt;115,"",IF(INDEX(Programação!$AM$5:$AM$1004,MATCH(115,Programação!$AR$5:$AR$1004,0))="","",INDEX(Programação!$AM$5:$AM$1004,MATCH(115,Programação!$AR$5:$AR$1004,0))))</f>
        <v/>
      </c>
      <c r="B122" s="22" t="str">
        <f aca="false">IF(COUNTIF(Programação!$AQ$5:$AQ$1004,1)&lt;115,"",IF(INDEX(Programação!$C$5:$C$1004,MATCH(115,Programação!$AR$5:$AR$1004,0))="","",INDEX(Programação!$C$5:$C$1004,MATCH(115,Programação!$AR$5:$AR$1004,0))))</f>
        <v/>
      </c>
      <c r="C122" s="24" t="str">
        <f aca="false">IF(COUNTIF(Programação!$AQ$5:$AQ$1004,1)&lt;115,"",IF(INDEX(Programação!$E$5:$E$1004,MATCH(115,Programação!$AR$5:$AR$1004,0))="","",INDEX(Programação!$E$5:$E$1004,MATCH(115,Programação!$AR$5:$AR$1004,0))))</f>
        <v/>
      </c>
      <c r="D122" s="24" t="str">
        <f aca="false">IF(COUNTIF(Programação!$AQ$5:$AQ$1004,1)&lt;115,"",IF(INDEX(Programação!$F$5:$F$1004,MATCH(115,Programação!$AR$5:$AR$1004,0))="","",INDEX(Programação!$F$5:$F$1004,MATCH(115,Programação!$AR$5:$AR$1004,0))))</f>
        <v/>
      </c>
      <c r="E122" s="24" t="str">
        <f aca="false">IF(COUNTIF(Programação!$AQ$5:$AQ$1004,1)&lt;115,"",IF(INDEX(Programação!$AG$5:$AG$1004,MATCH(115,Programação!$AR$5:$AR$1004,0))="","",INDEX(Programação!$AG$5:$AG$1004,MATCH(115,Programação!$AR$5:$AR$1004,0))))</f>
        <v/>
      </c>
      <c r="F122" s="22" t="str">
        <f aca="false">IF(COUNTIF(Programação!$AQ$5:$AQ$1004,1)&lt;115,"",IF(INDEX(Programação!$L$5:$L$1004,MATCH(115,Programação!$AR$5:$AR$1004,0))="","",INDEX(Programação!$L$5:$L$1004,MATCH(115,Programação!$AR$5:$AR$1004,0))))</f>
        <v/>
      </c>
      <c r="G122" s="25" t="str">
        <f aca="false">IF(COUNTIF(Programação!$AQ$5:$AQ$1004,1)&lt;115,"",IF(INDEX(Programação!$P$5:$P$1004,MATCH(115,Programação!$AR$5:$AR$1004,0))="","",INDEX(Programação!$P$5:$P$1004,MATCH(115,Programação!$AR$5:$AR$1004,0))))</f>
        <v/>
      </c>
      <c r="H122" s="22" t="str">
        <f aca="false">IF(COUNTIF(Programação!$AQ$5:$AQ$1004,1)&lt;115,"",IF(INDEX(Programação!$B$5:$B$1004,MATCH(115,Programação!$AR$5:$AR$1004,0))="","",INDEX(Programação!$B$5:$B$1004,MATCH(115,Programação!$AR$5:$AR$1004,0))))</f>
        <v/>
      </c>
      <c r="I122" s="22" t="str">
        <f aca="false">IF(COUNTIF(Programação!$AQ$5:$AQ$1004,1)&lt;115,"",MATCH(115,Programação!$AR$5:$AR$1004,0)+4)</f>
        <v/>
      </c>
    </row>
    <row r="123" customFormat="false" ht="15.75" hidden="false" customHeight="true" outlineLevel="0" collapsed="false">
      <c r="A123" s="22" t="str">
        <f aca="false">IF(COUNTIF(Programação!$AQ$5:$AQ$1004,1)&lt;116,"",IF(INDEX(Programação!$AM$5:$AM$1004,MATCH(116,Programação!$AR$5:$AR$1004,0))="","",INDEX(Programação!$AM$5:$AM$1004,MATCH(116,Programação!$AR$5:$AR$1004,0))))</f>
        <v/>
      </c>
      <c r="B123" s="22" t="str">
        <f aca="false">IF(COUNTIF(Programação!$AQ$5:$AQ$1004,1)&lt;116,"",IF(INDEX(Programação!$C$5:$C$1004,MATCH(116,Programação!$AR$5:$AR$1004,0))="","",INDEX(Programação!$C$5:$C$1004,MATCH(116,Programação!$AR$5:$AR$1004,0))))</f>
        <v/>
      </c>
      <c r="C123" s="24" t="str">
        <f aca="false">IF(COUNTIF(Programação!$AQ$5:$AQ$1004,1)&lt;116,"",IF(INDEX(Programação!$E$5:$E$1004,MATCH(116,Programação!$AR$5:$AR$1004,0))="","",INDEX(Programação!$E$5:$E$1004,MATCH(116,Programação!$AR$5:$AR$1004,0))))</f>
        <v/>
      </c>
      <c r="D123" s="24" t="str">
        <f aca="false">IF(COUNTIF(Programação!$AQ$5:$AQ$1004,1)&lt;116,"",IF(INDEX(Programação!$F$5:$F$1004,MATCH(116,Programação!$AR$5:$AR$1004,0))="","",INDEX(Programação!$F$5:$F$1004,MATCH(116,Programação!$AR$5:$AR$1004,0))))</f>
        <v/>
      </c>
      <c r="E123" s="24" t="str">
        <f aca="false">IF(COUNTIF(Programação!$AQ$5:$AQ$1004,1)&lt;116,"",IF(INDEX(Programação!$AG$5:$AG$1004,MATCH(116,Programação!$AR$5:$AR$1004,0))="","",INDEX(Programação!$AG$5:$AG$1004,MATCH(116,Programação!$AR$5:$AR$1004,0))))</f>
        <v/>
      </c>
      <c r="F123" s="22" t="str">
        <f aca="false">IF(COUNTIF(Programação!$AQ$5:$AQ$1004,1)&lt;116,"",IF(INDEX(Programação!$L$5:$L$1004,MATCH(116,Programação!$AR$5:$AR$1004,0))="","",INDEX(Programação!$L$5:$L$1004,MATCH(116,Programação!$AR$5:$AR$1004,0))))</f>
        <v/>
      </c>
      <c r="G123" s="25" t="str">
        <f aca="false">IF(COUNTIF(Programação!$AQ$5:$AQ$1004,1)&lt;116,"",IF(INDEX(Programação!$P$5:$P$1004,MATCH(116,Programação!$AR$5:$AR$1004,0))="","",INDEX(Programação!$P$5:$P$1004,MATCH(116,Programação!$AR$5:$AR$1004,0))))</f>
        <v/>
      </c>
      <c r="H123" s="22" t="str">
        <f aca="false">IF(COUNTIF(Programação!$AQ$5:$AQ$1004,1)&lt;116,"",IF(INDEX(Programação!$B$5:$B$1004,MATCH(116,Programação!$AR$5:$AR$1004,0))="","",INDEX(Programação!$B$5:$B$1004,MATCH(116,Programação!$AR$5:$AR$1004,0))))</f>
        <v/>
      </c>
      <c r="I123" s="22" t="str">
        <f aca="false">IF(COUNTIF(Programação!$AQ$5:$AQ$1004,1)&lt;116,"",MATCH(116,Programação!$AR$5:$AR$1004,0)+4)</f>
        <v/>
      </c>
    </row>
    <row r="124" customFormat="false" ht="15.75" hidden="false" customHeight="true" outlineLevel="0" collapsed="false">
      <c r="A124" s="22" t="str">
        <f aca="false">IF(COUNTIF(Programação!$AQ$5:$AQ$1004,1)&lt;117,"",IF(INDEX(Programação!$AM$5:$AM$1004,MATCH(117,Programação!$AR$5:$AR$1004,0))="","",INDEX(Programação!$AM$5:$AM$1004,MATCH(117,Programação!$AR$5:$AR$1004,0))))</f>
        <v/>
      </c>
      <c r="B124" s="22" t="str">
        <f aca="false">IF(COUNTIF(Programação!$AQ$5:$AQ$1004,1)&lt;117,"",IF(INDEX(Programação!$C$5:$C$1004,MATCH(117,Programação!$AR$5:$AR$1004,0))="","",INDEX(Programação!$C$5:$C$1004,MATCH(117,Programação!$AR$5:$AR$1004,0))))</f>
        <v/>
      </c>
      <c r="C124" s="24" t="str">
        <f aca="false">IF(COUNTIF(Programação!$AQ$5:$AQ$1004,1)&lt;117,"",IF(INDEX(Programação!$E$5:$E$1004,MATCH(117,Programação!$AR$5:$AR$1004,0))="","",INDEX(Programação!$E$5:$E$1004,MATCH(117,Programação!$AR$5:$AR$1004,0))))</f>
        <v/>
      </c>
      <c r="D124" s="24" t="str">
        <f aca="false">IF(COUNTIF(Programação!$AQ$5:$AQ$1004,1)&lt;117,"",IF(INDEX(Programação!$F$5:$F$1004,MATCH(117,Programação!$AR$5:$AR$1004,0))="","",INDEX(Programação!$F$5:$F$1004,MATCH(117,Programação!$AR$5:$AR$1004,0))))</f>
        <v/>
      </c>
      <c r="E124" s="24" t="str">
        <f aca="false">IF(COUNTIF(Programação!$AQ$5:$AQ$1004,1)&lt;117,"",IF(INDEX(Programação!$AG$5:$AG$1004,MATCH(117,Programação!$AR$5:$AR$1004,0))="","",INDEX(Programação!$AG$5:$AG$1004,MATCH(117,Programação!$AR$5:$AR$1004,0))))</f>
        <v/>
      </c>
      <c r="F124" s="22" t="str">
        <f aca="false">IF(COUNTIF(Programação!$AQ$5:$AQ$1004,1)&lt;117,"",IF(INDEX(Programação!$L$5:$L$1004,MATCH(117,Programação!$AR$5:$AR$1004,0))="","",INDEX(Programação!$L$5:$L$1004,MATCH(117,Programação!$AR$5:$AR$1004,0))))</f>
        <v/>
      </c>
      <c r="G124" s="25" t="str">
        <f aca="false">IF(COUNTIF(Programação!$AQ$5:$AQ$1004,1)&lt;117,"",IF(INDEX(Programação!$P$5:$P$1004,MATCH(117,Programação!$AR$5:$AR$1004,0))="","",INDEX(Programação!$P$5:$P$1004,MATCH(117,Programação!$AR$5:$AR$1004,0))))</f>
        <v/>
      </c>
      <c r="H124" s="22" t="str">
        <f aca="false">IF(COUNTIF(Programação!$AQ$5:$AQ$1004,1)&lt;117,"",IF(INDEX(Programação!$B$5:$B$1004,MATCH(117,Programação!$AR$5:$AR$1004,0))="","",INDEX(Programação!$B$5:$B$1004,MATCH(117,Programação!$AR$5:$AR$1004,0))))</f>
        <v/>
      </c>
      <c r="I124" s="22" t="str">
        <f aca="false">IF(COUNTIF(Programação!$AQ$5:$AQ$1004,1)&lt;117,"",MATCH(117,Programação!$AR$5:$AR$1004,0)+4)</f>
        <v/>
      </c>
    </row>
    <row r="125" customFormat="false" ht="15.75" hidden="false" customHeight="true" outlineLevel="0" collapsed="false">
      <c r="A125" s="22" t="str">
        <f aca="false">IF(COUNTIF(Programação!$AQ$5:$AQ$1004,1)&lt;118,"",IF(INDEX(Programação!$AM$5:$AM$1004,MATCH(118,Programação!$AR$5:$AR$1004,0))="","",INDEX(Programação!$AM$5:$AM$1004,MATCH(118,Programação!$AR$5:$AR$1004,0))))</f>
        <v/>
      </c>
      <c r="B125" s="22" t="str">
        <f aca="false">IF(COUNTIF(Programação!$AQ$5:$AQ$1004,1)&lt;118,"",IF(INDEX(Programação!$C$5:$C$1004,MATCH(118,Programação!$AR$5:$AR$1004,0))="","",INDEX(Programação!$C$5:$C$1004,MATCH(118,Programação!$AR$5:$AR$1004,0))))</f>
        <v/>
      </c>
      <c r="C125" s="24" t="str">
        <f aca="false">IF(COUNTIF(Programação!$AQ$5:$AQ$1004,1)&lt;118,"",IF(INDEX(Programação!$E$5:$E$1004,MATCH(118,Programação!$AR$5:$AR$1004,0))="","",INDEX(Programação!$E$5:$E$1004,MATCH(118,Programação!$AR$5:$AR$1004,0))))</f>
        <v/>
      </c>
      <c r="D125" s="24" t="str">
        <f aca="false">IF(COUNTIF(Programação!$AQ$5:$AQ$1004,1)&lt;118,"",IF(INDEX(Programação!$F$5:$F$1004,MATCH(118,Programação!$AR$5:$AR$1004,0))="","",INDEX(Programação!$F$5:$F$1004,MATCH(118,Programação!$AR$5:$AR$1004,0))))</f>
        <v/>
      </c>
      <c r="E125" s="24" t="str">
        <f aca="false">IF(COUNTIF(Programação!$AQ$5:$AQ$1004,1)&lt;118,"",IF(INDEX(Programação!$AG$5:$AG$1004,MATCH(118,Programação!$AR$5:$AR$1004,0))="","",INDEX(Programação!$AG$5:$AG$1004,MATCH(118,Programação!$AR$5:$AR$1004,0))))</f>
        <v/>
      </c>
      <c r="F125" s="22" t="str">
        <f aca="false">IF(COUNTIF(Programação!$AQ$5:$AQ$1004,1)&lt;118,"",IF(INDEX(Programação!$L$5:$L$1004,MATCH(118,Programação!$AR$5:$AR$1004,0))="","",INDEX(Programação!$L$5:$L$1004,MATCH(118,Programação!$AR$5:$AR$1004,0))))</f>
        <v/>
      </c>
      <c r="G125" s="25" t="str">
        <f aca="false">IF(COUNTIF(Programação!$AQ$5:$AQ$1004,1)&lt;118,"",IF(INDEX(Programação!$P$5:$P$1004,MATCH(118,Programação!$AR$5:$AR$1004,0))="","",INDEX(Programação!$P$5:$P$1004,MATCH(118,Programação!$AR$5:$AR$1004,0))))</f>
        <v/>
      </c>
      <c r="H125" s="22" t="str">
        <f aca="false">IF(COUNTIF(Programação!$AQ$5:$AQ$1004,1)&lt;118,"",IF(INDEX(Programação!$B$5:$B$1004,MATCH(118,Programação!$AR$5:$AR$1004,0))="","",INDEX(Programação!$B$5:$B$1004,MATCH(118,Programação!$AR$5:$AR$1004,0))))</f>
        <v/>
      </c>
      <c r="I125" s="22" t="str">
        <f aca="false">IF(COUNTIF(Programação!$AQ$5:$AQ$1004,1)&lt;118,"",MATCH(118,Programação!$AR$5:$AR$1004,0)+4)</f>
        <v/>
      </c>
    </row>
    <row r="126" customFormat="false" ht="15.75" hidden="false" customHeight="true" outlineLevel="0" collapsed="false">
      <c r="A126" s="22" t="str">
        <f aca="false">IF(COUNTIF(Programação!$AQ$5:$AQ$1004,1)&lt;119,"",IF(INDEX(Programação!$AM$5:$AM$1004,MATCH(119,Programação!$AR$5:$AR$1004,0))="","",INDEX(Programação!$AM$5:$AM$1004,MATCH(119,Programação!$AR$5:$AR$1004,0))))</f>
        <v/>
      </c>
      <c r="B126" s="22" t="str">
        <f aca="false">IF(COUNTIF(Programação!$AQ$5:$AQ$1004,1)&lt;119,"",IF(INDEX(Programação!$C$5:$C$1004,MATCH(119,Programação!$AR$5:$AR$1004,0))="","",INDEX(Programação!$C$5:$C$1004,MATCH(119,Programação!$AR$5:$AR$1004,0))))</f>
        <v/>
      </c>
      <c r="C126" s="24" t="str">
        <f aca="false">IF(COUNTIF(Programação!$AQ$5:$AQ$1004,1)&lt;119,"",IF(INDEX(Programação!$E$5:$E$1004,MATCH(119,Programação!$AR$5:$AR$1004,0))="","",INDEX(Programação!$E$5:$E$1004,MATCH(119,Programação!$AR$5:$AR$1004,0))))</f>
        <v/>
      </c>
      <c r="D126" s="24" t="str">
        <f aca="false">IF(COUNTIF(Programação!$AQ$5:$AQ$1004,1)&lt;119,"",IF(INDEX(Programação!$F$5:$F$1004,MATCH(119,Programação!$AR$5:$AR$1004,0))="","",INDEX(Programação!$F$5:$F$1004,MATCH(119,Programação!$AR$5:$AR$1004,0))))</f>
        <v/>
      </c>
      <c r="E126" s="24" t="str">
        <f aca="false">IF(COUNTIF(Programação!$AQ$5:$AQ$1004,1)&lt;119,"",IF(INDEX(Programação!$AG$5:$AG$1004,MATCH(119,Programação!$AR$5:$AR$1004,0))="","",INDEX(Programação!$AG$5:$AG$1004,MATCH(119,Programação!$AR$5:$AR$1004,0))))</f>
        <v/>
      </c>
      <c r="F126" s="22" t="str">
        <f aca="false">IF(COUNTIF(Programação!$AQ$5:$AQ$1004,1)&lt;119,"",IF(INDEX(Programação!$L$5:$L$1004,MATCH(119,Programação!$AR$5:$AR$1004,0))="","",INDEX(Programação!$L$5:$L$1004,MATCH(119,Programação!$AR$5:$AR$1004,0))))</f>
        <v/>
      </c>
      <c r="G126" s="25" t="str">
        <f aca="false">IF(COUNTIF(Programação!$AQ$5:$AQ$1004,1)&lt;119,"",IF(INDEX(Programação!$P$5:$P$1004,MATCH(119,Programação!$AR$5:$AR$1004,0))="","",INDEX(Programação!$P$5:$P$1004,MATCH(119,Programação!$AR$5:$AR$1004,0))))</f>
        <v/>
      </c>
      <c r="H126" s="22" t="str">
        <f aca="false">IF(COUNTIF(Programação!$AQ$5:$AQ$1004,1)&lt;119,"",IF(INDEX(Programação!$B$5:$B$1004,MATCH(119,Programação!$AR$5:$AR$1004,0))="","",INDEX(Programação!$B$5:$B$1004,MATCH(119,Programação!$AR$5:$AR$1004,0))))</f>
        <v/>
      </c>
      <c r="I126" s="22" t="str">
        <f aca="false">IF(COUNTIF(Programação!$AQ$5:$AQ$1004,1)&lt;119,"",MATCH(119,Programação!$AR$5:$AR$1004,0)+4)</f>
        <v/>
      </c>
    </row>
    <row r="127" customFormat="false" ht="15.75" hidden="false" customHeight="true" outlineLevel="0" collapsed="false">
      <c r="A127" s="22" t="str">
        <f aca="false">IF(COUNTIF(Programação!$AQ$5:$AQ$1004,1)&lt;120,"",IF(INDEX(Programação!$AM$5:$AM$1004,MATCH(120,Programação!$AR$5:$AR$1004,0))="","",INDEX(Programação!$AM$5:$AM$1004,MATCH(120,Programação!$AR$5:$AR$1004,0))))</f>
        <v/>
      </c>
      <c r="B127" s="22" t="str">
        <f aca="false">IF(COUNTIF(Programação!$AQ$5:$AQ$1004,1)&lt;120,"",IF(INDEX(Programação!$C$5:$C$1004,MATCH(120,Programação!$AR$5:$AR$1004,0))="","",INDEX(Programação!$C$5:$C$1004,MATCH(120,Programação!$AR$5:$AR$1004,0))))</f>
        <v/>
      </c>
      <c r="C127" s="24" t="str">
        <f aca="false">IF(COUNTIF(Programação!$AQ$5:$AQ$1004,1)&lt;120,"",IF(INDEX(Programação!$E$5:$E$1004,MATCH(120,Programação!$AR$5:$AR$1004,0))="","",INDEX(Programação!$E$5:$E$1004,MATCH(120,Programação!$AR$5:$AR$1004,0))))</f>
        <v/>
      </c>
      <c r="D127" s="24" t="str">
        <f aca="false">IF(COUNTIF(Programação!$AQ$5:$AQ$1004,1)&lt;120,"",IF(INDEX(Programação!$F$5:$F$1004,MATCH(120,Programação!$AR$5:$AR$1004,0))="","",INDEX(Programação!$F$5:$F$1004,MATCH(120,Programação!$AR$5:$AR$1004,0))))</f>
        <v/>
      </c>
      <c r="E127" s="24" t="str">
        <f aca="false">IF(COUNTIF(Programação!$AQ$5:$AQ$1004,1)&lt;120,"",IF(INDEX(Programação!$AG$5:$AG$1004,MATCH(120,Programação!$AR$5:$AR$1004,0))="","",INDEX(Programação!$AG$5:$AG$1004,MATCH(120,Programação!$AR$5:$AR$1004,0))))</f>
        <v/>
      </c>
      <c r="F127" s="22" t="str">
        <f aca="false">IF(COUNTIF(Programação!$AQ$5:$AQ$1004,1)&lt;120,"",IF(INDEX(Programação!$L$5:$L$1004,MATCH(120,Programação!$AR$5:$AR$1004,0))="","",INDEX(Programação!$L$5:$L$1004,MATCH(120,Programação!$AR$5:$AR$1004,0))))</f>
        <v/>
      </c>
      <c r="G127" s="25" t="str">
        <f aca="false">IF(COUNTIF(Programação!$AQ$5:$AQ$1004,1)&lt;120,"",IF(INDEX(Programação!$P$5:$P$1004,MATCH(120,Programação!$AR$5:$AR$1004,0))="","",INDEX(Programação!$P$5:$P$1004,MATCH(120,Programação!$AR$5:$AR$1004,0))))</f>
        <v/>
      </c>
      <c r="H127" s="22" t="str">
        <f aca="false">IF(COUNTIF(Programação!$AQ$5:$AQ$1004,1)&lt;120,"",IF(INDEX(Programação!$B$5:$B$1004,MATCH(120,Programação!$AR$5:$AR$1004,0))="","",INDEX(Programação!$B$5:$B$1004,MATCH(120,Programação!$AR$5:$AR$1004,0))))</f>
        <v/>
      </c>
      <c r="I127" s="22" t="str">
        <f aca="false">IF(COUNTIF(Programação!$AQ$5:$AQ$1004,1)&lt;120,"",MATCH(120,Programação!$AR$5:$AR$1004,0)+4)</f>
        <v/>
      </c>
    </row>
    <row r="128" customFormat="false" ht="15" hidden="false" customHeight="false" outlineLevel="0" collapsed="false">
      <c r="A128" s="29" t="str">
        <f aca="false">IF(COUNTIF(Programação!$AQ$5:$AQ$1004,1)&lt;=120,"","⚠ esta frota tem "&amp;COUNTIF(Programação!$AQ$5:$AQ$1004,1)&amp;" atividades e a lista mostra 120")</f>
        <v/>
      </c>
      <c r="B128" s="29"/>
      <c r="C128" s="29"/>
      <c r="D128" s="29"/>
      <c r="E128" s="29"/>
      <c r="F128" s="29"/>
      <c r="G128" s="29"/>
      <c r="H128" s="29"/>
      <c r="I128" s="29"/>
    </row>
  </sheetData>
  <mergeCells count="14">
    <mergeCell ref="A1:I1"/>
    <mergeCell ref="A3:B3"/>
    <mergeCell ref="D3:E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128:I128"/>
  </mergeCells>
  <conditionalFormatting sqref="H8:H127">
    <cfRule type="expression" priority="2" aboveAverage="0" equalAverage="0" bottom="0" percent="0" rank="0" text="" dxfId="49">
      <formula>$H8="VENCIDA"</formula>
    </cfRule>
    <cfRule type="expression" priority="3" aboveAverage="0" equalAverage="0" bottom="0" percent="0" rank="0" text="" dxfId="50">
      <formula>$H8="Fecha hoje"</formula>
    </cfRule>
    <cfRule type="expression" priority="4" aboveAverage="0" equalAverage="0" bottom="0" percent="0" rank="0" text="" dxfId="55">
      <formula>$H8="Concluída"</formula>
    </cfRule>
    <cfRule type="expression" priority="5" aboveAverage="0" equalAverage="0" bottom="0" percent="0" rank="0" text="" dxfId="56">
      <formula>$H8="Na carteira"</formula>
    </cfRule>
  </conditionalFormatting>
  <conditionalFormatting sqref="A8:A127">
    <cfRule type="expression" priority="6" aboveAverage="0" equalAverage="0" bottom="0" percent="0" rank="0" text="" dxfId="47">
      <formula>$A8="P1"</formula>
    </cfRule>
  </conditionalFormatting>
  <conditionalFormatting sqref="B8:B127">
    <cfRule type="expression" priority="7" aboveAverage="0" equalAverage="0" bottom="0" percent="0" rank="0" text="" dxfId="47">
      <formula>AND($D8&lt;&gt;"",$B8="")</formula>
    </cfRule>
  </conditionalFormatting>
  <dataValidations count="1">
    <dataValidation allowBlank="false" error="Escolha uma frota da aba Listas." errorStyle="stop" errorTitle="Frota" operator="between" showDropDown="false" showErrorMessage="false" showInputMessage="false" sqref="C3" type="list">
      <formula1>Listas!$B$5:$B$120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8"/>
  </cols>
  <sheetData>
    <row r="1" customFormat="false" ht="30" hidden="false" customHeight="true" outlineLevel="0" collapsed="false">
      <c r="A1" s="1" t="s">
        <v>887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0" hidden="false" customHeight="true" outlineLevel="0" collapsed="false">
      <c r="A3" s="56" t="s">
        <v>888</v>
      </c>
      <c r="B3" s="56"/>
      <c r="C3" s="60" t="n">
        <v>37</v>
      </c>
      <c r="D3" s="61" t="s">
        <v>889</v>
      </c>
      <c r="E3" s="62" t="n">
        <f aca="false">(DATE(Semana!$J$3,1,4)-WEEKDAY(DATE(Semana!$J$3,1,4),3))+($C$3-1)*7</f>
        <v>46272</v>
      </c>
      <c r="F3" s="61" t="s">
        <v>890</v>
      </c>
      <c r="G3" s="62" t="n">
        <f aca="false">$E$3+6</f>
        <v>46278</v>
      </c>
      <c r="I3" s="63" t="s">
        <v>891</v>
      </c>
      <c r="J3" s="64" t="n">
        <v>2026</v>
      </c>
      <c r="K3" s="65" t="s">
        <v>892</v>
      </c>
      <c r="L3" s="65"/>
      <c r="M3" s="66" t="n">
        <v>0.75</v>
      </c>
    </row>
    <row r="4" customFormat="false" ht="19.5" hidden="false" customHeight="true" outlineLevel="0" collapsed="false">
      <c r="A4" s="67" t="s">
        <v>893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customFormat="false" ht="21.75" hidden="false" customHeight="true" outlineLevel="0" collapsed="false">
      <c r="A5" s="12" t="s">
        <v>894</v>
      </c>
      <c r="B5" s="12"/>
      <c r="C5" s="12"/>
      <c r="D5" s="12" t="s">
        <v>885</v>
      </c>
      <c r="E5" s="12"/>
      <c r="F5" s="12" t="s">
        <v>895</v>
      </c>
      <c r="G5" s="12"/>
      <c r="H5" s="12" t="s">
        <v>896</v>
      </c>
      <c r="I5" s="12"/>
      <c r="J5" s="12" t="s">
        <v>897</v>
      </c>
      <c r="K5" s="12"/>
      <c r="L5" s="12" t="s">
        <v>884</v>
      </c>
      <c r="M5" s="12"/>
    </row>
    <row r="6" customFormat="false" ht="27.75" hidden="false" customHeight="true" outlineLevel="0" collapsed="false">
      <c r="A6" s="68" t="n">
        <f aca="false">COUNTIFS(Programação!$O$5:$O$1004,"&gt;="&amp;$E$3,Programação!$O$5:$O$1004,"&lt;="&amp;$G$3,Programação!$R$5:$R$1004,"&lt;&gt;Cancelada",Programação!$V$5:$V$1004,"Interna",Programação!$H$5:$H$1004,"&lt;&gt;Extra")</f>
        <v>65</v>
      </c>
      <c r="B6" s="68"/>
      <c r="C6" s="68"/>
      <c r="D6" s="69" t="n">
        <f aca="false">SUMIFS(Programação!$AB$5:$AB$1004,Programação!$O$5:$O$1004,"&gt;="&amp;$E$3,Programação!$O$5:$O$1004,"&lt;="&amp;$G$3,Programação!$H$5:$H$1004,"&lt;&gt;Extra",Programação!$V$5:$V$1004,"Interna")</f>
        <v>21</v>
      </c>
      <c r="E6" s="69"/>
      <c r="F6" s="70" t="n">
        <f aca="false">IF($A$6=0,"",$D$6/$A$6)</f>
        <v>0.323076923076923</v>
      </c>
      <c r="G6" s="70"/>
      <c r="H6" s="71" t="n">
        <f aca="false">IFERROR(SUMIFS(Programação!$AB$5:$AB$1004,Programação!$O$5:$O$1004,"&gt;="&amp;$E$3,Programação!$O$5:$O$1004,"&lt;="&amp;$G$3,Programação!$V$5:$V$1004,"Interna")/COUNTIFS(Programação!$O$5:$O$1004,"&gt;="&amp;$E$3,Programação!$O$5:$O$1004,"&lt;="&amp;$G$3,Programação!$R$5:$R$1004,"&lt;&gt;Cancelada",Programação!$V$5:$V$1004,"Interna"),"")</f>
        <v>0.333333333333333</v>
      </c>
      <c r="I6" s="71"/>
      <c r="J6" s="72" t="n">
        <f aca="false">COUNTIFS(Programação!$O$5:$O$1004,"&gt;="&amp;$E$3,Programação!$O$5:$O$1004,"&lt;="&amp;$G$3,Programação!$H$5:$H$1004,"Extra",Programação!$R$5:$R$1004,"&lt;&gt;Cancelada",Programação!$V$5:$V$1004,"Interna")</f>
        <v>10</v>
      </c>
      <c r="K6" s="72"/>
      <c r="L6" s="73" t="n">
        <f aca="false">COUNTIFS(Programação!$B$5:$B$1004,"VENCIDA",Programação!$O$5:$O$1004,"&gt;="&amp;$E$3,Programação!$O$5:$O$1004,"&lt;="&amp;$G$3,Programação!$V$5:$V$1004,"Interna")</f>
        <v>1</v>
      </c>
      <c r="M6" s="73"/>
    </row>
    <row r="7" customFormat="false" ht="18" hidden="false" customHeight="true" outlineLevel="0" collapsed="false">
      <c r="A7" s="74" t="str">
        <f aca="false">"Fora da conta interna:  "&amp;COUNTIFS(Programação!$O$5:$O$1004,"&gt;="&amp;$E$3,Programação!$O$5:$O$1004,"&lt;="&amp;$G$3,Programação!$V$5:$V$1004,"Terceirizada",Programação!$R$5:$R$1004,"&lt;&gt;Cancelada")&amp;" em empresa terceirizada  ·  "&amp;COUNTIFS(Programação!$O$5:$O$1004,"&gt;="&amp;$E$3,Programação!$O$5:$O$1004,"&lt;="&amp;$G$3,Programação!$R$5:$R$1004,"Cancelada")&amp;" cancelada(s)"&amp;"      |      Na carteira, sem dia:  "&amp;COUNTIFS(Programação!$O$5:$O$1004,"",Programação!$F$5:$F$1004,"&lt;&gt;",Programação!$R$5:$R$1004,"&lt;&gt;Cancelada")&amp;" atividade(s)"</f>
        <v>Fora da conta interna:  0 em empresa terceirizada  ·  4 cancelada(s)      |      Na carteira, sem dia:  120 atividade(s)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9" customFormat="false" ht="15" hidden="false" customHeight="false" outlineLevel="0" collapsed="false">
      <c r="A9" s="67" t="s">
        <v>898</v>
      </c>
      <c r="B9" s="67"/>
      <c r="C9" s="67"/>
      <c r="D9" s="55" t="s">
        <v>899</v>
      </c>
      <c r="E9" s="55"/>
      <c r="F9" s="55"/>
      <c r="G9" s="55"/>
      <c r="H9" s="55"/>
      <c r="I9" s="55"/>
      <c r="J9" s="55"/>
      <c r="K9" s="55"/>
      <c r="L9" s="55"/>
      <c r="M9" s="55"/>
    </row>
    <row r="10" customFormat="false" ht="15" hidden="false" customHeight="false" outlineLevel="0" collapsed="false">
      <c r="D10" s="75" t="s">
        <v>900</v>
      </c>
      <c r="E10" s="76" t="n">
        <f aca="false">$C$3+-4</f>
        <v>33</v>
      </c>
      <c r="F10" s="76" t="n">
        <f aca="false">$C$3+-3</f>
        <v>34</v>
      </c>
      <c r="G10" s="76" t="n">
        <f aca="false">$C$3+-2</f>
        <v>35</v>
      </c>
      <c r="H10" s="76" t="n">
        <f aca="false">$C$3+-1</f>
        <v>36</v>
      </c>
      <c r="I10" s="77" t="n">
        <f aca="false">$C$3</f>
        <v>37</v>
      </c>
      <c r="J10" s="76" t="n">
        <f aca="false">$C$3+1</f>
        <v>38</v>
      </c>
      <c r="K10" s="76" t="n">
        <f aca="false">$C$3+2</f>
        <v>39</v>
      </c>
      <c r="L10" s="76" t="n">
        <f aca="false">$C$3+3</f>
        <v>40</v>
      </c>
      <c r="M10" s="76" t="n">
        <f aca="false">$C$3+4</f>
        <v>41</v>
      </c>
    </row>
    <row r="11" customFormat="false" ht="19.5" hidden="false" customHeight="true" outlineLevel="0" collapsed="false">
      <c r="D11" s="75" t="s">
        <v>901</v>
      </c>
      <c r="E11" s="78" t="n">
        <f aca="false">COUNTIFS(Programação!$L$5:$L$1004,E$10,Programação!$F$5:$F$1004,"&lt;&gt;",Programação!$R$5:$R$1004,"&lt;&gt;Cancelada")</f>
        <v>0</v>
      </c>
      <c r="F11" s="78" t="n">
        <f aca="false">COUNTIFS(Programação!$L$5:$L$1004,F$10,Programação!$F$5:$F$1004,"&lt;&gt;",Programação!$R$5:$R$1004,"&lt;&gt;Cancelada")</f>
        <v>0</v>
      </c>
      <c r="G11" s="78" t="n">
        <f aca="false">COUNTIFS(Programação!$L$5:$L$1004,G$10,Programação!$F$5:$F$1004,"&lt;&gt;",Programação!$R$5:$R$1004,"&lt;&gt;Cancelada")</f>
        <v>57</v>
      </c>
      <c r="H11" s="78" t="n">
        <f aca="false">COUNTIFS(Programação!$L$5:$L$1004,H$10,Programação!$F$5:$F$1004,"&lt;&gt;",Programação!$R$5:$R$1004,"&lt;&gt;Cancelada")</f>
        <v>101</v>
      </c>
      <c r="I11" s="79" t="n">
        <f aca="false">COUNTIFS(Programação!$L$5:$L$1004,I$10,Programação!$F$5:$F$1004,"&lt;&gt;",Programação!$R$5:$R$1004,"&lt;&gt;Cancelada")</f>
        <v>75</v>
      </c>
      <c r="J11" s="78" t="n">
        <f aca="false">COUNTIFS(Programação!$L$5:$L$1004,J$10,Programação!$F$5:$F$1004,"&lt;&gt;",Programação!$R$5:$R$1004,"&lt;&gt;Cancelada")</f>
        <v>5</v>
      </c>
      <c r="K11" s="78" t="n">
        <f aca="false">COUNTIFS(Programação!$L$5:$L$1004,K$10,Programação!$F$5:$F$1004,"&lt;&gt;",Programação!$R$5:$R$1004,"&lt;&gt;Cancelada")</f>
        <v>0</v>
      </c>
      <c r="L11" s="78" t="n">
        <f aca="false">COUNTIFS(Programação!$L$5:$L$1004,L$10,Programação!$F$5:$F$1004,"&lt;&gt;",Programação!$R$5:$R$1004,"&lt;&gt;Cancelada")</f>
        <v>0</v>
      </c>
      <c r="M11" s="78" t="n">
        <f aca="false">COUNTIFS(Programação!$L$5:$L$1004,M$10,Programação!$F$5:$F$1004,"&lt;&gt;",Programação!$R$5:$R$1004,"&lt;&gt;Cancelada")</f>
        <v>0</v>
      </c>
    </row>
    <row r="13" customFormat="false" ht="30" hidden="false" customHeight="true" outlineLevel="0" collapsed="false">
      <c r="A13" s="20" t="s">
        <v>902</v>
      </c>
      <c r="B13" s="80" t="n">
        <f aca="false">$E$3</f>
        <v>46272</v>
      </c>
      <c r="C13" s="80" t="n">
        <f aca="false">$E$3+1</f>
        <v>46273</v>
      </c>
      <c r="D13" s="80" t="n">
        <f aca="false">$E$3+2</f>
        <v>46274</v>
      </c>
      <c r="E13" s="80" t="n">
        <f aca="false">$E$3+3</f>
        <v>46275</v>
      </c>
      <c r="F13" s="80" t="n">
        <f aca="false">$E$3+4</f>
        <v>46276</v>
      </c>
      <c r="G13" s="80" t="n">
        <f aca="false">$E$3+5</f>
        <v>46277</v>
      </c>
      <c r="H13" s="80" t="n">
        <f aca="false">$E$3+6</f>
        <v>46278</v>
      </c>
      <c r="I13" s="20" t="s">
        <v>903</v>
      </c>
      <c r="J13" s="20" t="s">
        <v>45</v>
      </c>
      <c r="K13" s="20" t="s">
        <v>904</v>
      </c>
      <c r="L13" s="20" t="s">
        <v>905</v>
      </c>
      <c r="M13" s="20" t="s">
        <v>906</v>
      </c>
      <c r="N13" s="20" t="s">
        <v>907</v>
      </c>
    </row>
    <row r="14" customFormat="false" ht="16.5" hidden="false" customHeight="true" outlineLevel="0" collapsed="false">
      <c r="A14" s="23" t="str">
        <f aca="false">IF(Listas!A5="","",Listas!A5)</f>
        <v>Adilton</v>
      </c>
      <c r="B14" s="22" t="n">
        <f aca="false">IF($A14="","",COUNTIFS(Programação!$I$5:$I$1004,$A14,Programação!$P$5:$P$1004,B$13,Programação!$R$5:$R$1004,"&lt;&gt;Cancelada")+COUNTIFS(Programação!$J$5:$J$1004,$A14,Programação!$P$5:$P$1004,B$13,Programação!$R$5:$R$1004,"&lt;&gt;Cancelada")+COUNTIFS(Programação!$K$5:$K$1004,$A14,Programação!$P$5:$P$1004,B$13,Programação!$R$5:$R$1004,"&lt;&gt;Cancelada"))</f>
        <v>0</v>
      </c>
      <c r="C14" s="22" t="n">
        <f aca="false">IF($A14="","",COUNTIFS(Programação!$I$5:$I$1004,$A14,Programação!$P$5:$P$1004,C$13,Programação!$R$5:$R$1004,"&lt;&gt;Cancelada")+COUNTIFS(Programação!$J$5:$J$1004,$A14,Programação!$P$5:$P$1004,C$13,Programação!$R$5:$R$1004,"&lt;&gt;Cancelada")+COUNTIFS(Programação!$K$5:$K$1004,$A14,Programação!$P$5:$P$1004,C$13,Programação!$R$5:$R$1004,"&lt;&gt;Cancelada"))</f>
        <v>0</v>
      </c>
      <c r="D14" s="22" t="n">
        <f aca="false">IF($A14="","",COUNTIFS(Programação!$I$5:$I$1004,$A14,Programação!$P$5:$P$1004,D$13,Programação!$R$5:$R$1004,"&lt;&gt;Cancelada")+COUNTIFS(Programação!$J$5:$J$1004,$A14,Programação!$P$5:$P$1004,D$13,Programação!$R$5:$R$1004,"&lt;&gt;Cancelada")+COUNTIFS(Programação!$K$5:$K$1004,$A14,Programação!$P$5:$P$1004,D$13,Programação!$R$5:$R$1004,"&lt;&gt;Cancelada"))</f>
        <v>0</v>
      </c>
      <c r="E14" s="22" t="n">
        <f aca="false">IF($A14="","",COUNTIFS(Programação!$I$5:$I$1004,$A14,Programação!$P$5:$P$1004,E$13,Programação!$R$5:$R$1004,"&lt;&gt;Cancelada")+COUNTIFS(Programação!$J$5:$J$1004,$A14,Programação!$P$5:$P$1004,E$13,Programação!$R$5:$R$1004,"&lt;&gt;Cancelada")+COUNTIFS(Programação!$K$5:$K$1004,$A14,Programação!$P$5:$P$1004,E$13,Programação!$R$5:$R$1004,"&lt;&gt;Cancelada"))</f>
        <v>0</v>
      </c>
      <c r="F14" s="22" t="n">
        <f aca="false">IF($A14="","",COUNTIFS(Programação!$I$5:$I$1004,$A14,Programação!$P$5:$P$1004,F$13,Programação!$R$5:$R$1004,"&lt;&gt;Cancelada")+COUNTIFS(Programação!$J$5:$J$1004,$A14,Programação!$P$5:$P$1004,F$13,Programação!$R$5:$R$1004,"&lt;&gt;Cancelada")+COUNTIFS(Programação!$K$5:$K$1004,$A14,Programação!$P$5:$P$1004,F$13,Programação!$R$5:$R$1004,"&lt;&gt;Cancelada"))</f>
        <v>1</v>
      </c>
      <c r="G14" s="22" t="n">
        <f aca="false">IF($A14="","",COUNTIFS(Programação!$I$5:$I$1004,$A14,Programação!$P$5:$P$1004,G$13,Programação!$R$5:$R$1004,"&lt;&gt;Cancelada")+COUNTIFS(Programação!$J$5:$J$1004,$A14,Programação!$P$5:$P$1004,G$13,Programação!$R$5:$R$1004,"&lt;&gt;Cancelada")+COUNTIFS(Programação!$K$5:$K$1004,$A14,Programação!$P$5:$P$1004,G$13,Programação!$R$5:$R$1004,"&lt;&gt;Cancelada"))</f>
        <v>0</v>
      </c>
      <c r="H14" s="22" t="n">
        <f aca="false">IF($A14="","",COUNTIFS(Programação!$I$5:$I$1004,$A14,Programação!$P$5:$P$1004,H$13,Programação!$R$5:$R$1004,"&lt;&gt;Cancelada")+COUNTIFS(Programação!$J$5:$J$1004,$A14,Programação!$P$5:$P$1004,H$13,Programação!$R$5:$R$1004,"&lt;&gt;Cancelada")+COUNTIFS(Programação!$K$5:$K$1004,$A14,Programação!$P$5:$P$1004,H$13,Programação!$R$5:$R$1004,"&lt;&gt;Cancelada"))</f>
        <v>0</v>
      </c>
      <c r="I14" s="81" t="n">
        <f aca="false">IF($A14="","",SUM($B14:$H14))</f>
        <v>1</v>
      </c>
      <c r="J14" s="81" t="n">
        <f aca="false">IF($A14="","",SUMIFS(Programação!$N$5:$N$1004,Programação!$I$5:$I$1004,$A14,Programação!$O$5:$O$1004,"&gt;="&amp;$E$3,Programação!$O$5:$O$1004,"&lt;="&amp;$G$3,Programação!$R$5:$R$1004,"&lt;&gt;Cancelada")+SUMIFS(Programação!$N$5:$N$1004,Programação!$J$5:$J$1004,$A14,Programação!$O$5:$O$1004,"&gt;="&amp;$E$3,Programação!$O$5:$O$1004,"&lt;="&amp;$G$3,Programação!$R$5:$R$1004,"&lt;&gt;Cancelada")+SUMIFS(Programação!$N$5:$N$1004,Programação!$K$5:$K$1004,$A14,Programação!$O$5:$O$1004,"&gt;="&amp;$E$3,Programação!$O$5:$O$1004,"&lt;="&amp;$G$3,Programação!$R$5:$R$1004,"&lt;&gt;Cancelada"))</f>
        <v>4</v>
      </c>
      <c r="K14" s="81" t="n">
        <f aca="false">IF($A14="","",SUMIFS(Programação!$AB$5:$AB$1004,Programação!$I$5:$I$1004,$A14,Programação!$O$5:$O$1004,"&gt;="&amp;$E$3,Programação!$O$5:$O$1004,"&lt;="&amp;$G$3)+SUMIFS(Programação!$AB$5:$AB$1004,Programação!$J$5:$J$1004,$A14,Programação!$O$5:$O$1004,"&gt;="&amp;$E$3,Programação!$O$5:$O$1004,"&lt;="&amp;$G$3)+SUMIFS(Programação!$AB$5:$AB$1004,Programação!$K$5:$K$1004,$A14,Programação!$O$5:$O$1004,"&gt;="&amp;$E$3,Programação!$O$5:$O$1004,"&lt;="&amp;$G$3))</f>
        <v>1</v>
      </c>
      <c r="L14" s="82" t="n">
        <f aca="false">IF(OR($A14="",$I14=0),"",$K14/$I14)</f>
        <v>1</v>
      </c>
      <c r="M14" s="81" t="n">
        <f aca="false">IF($A14="","",COUNTIFS(Programação!$I$5:$I$1004,$A14,Programação!$B$5:$B$1004,"VENCIDA",Programação!$O$5:$O$1004,"&gt;="&amp;$E$3,Programação!$O$5:$O$1004,"&lt;="&amp;$G$3)+COUNTIFS(Programação!$J$5:$J$1004,$A14,Programação!$B$5:$B$1004,"VENCIDA",Programação!$O$5:$O$1004,"&gt;="&amp;$E$3,Programação!$O$5:$O$1004,"&lt;="&amp;$G$3)+COUNTIFS(Programação!$K$5:$K$1004,$A14,Programação!$B$5:$B$1004,"VENCIDA",Programação!$O$5:$O$1004,"&gt;="&amp;$E$3,Programação!$O$5:$O$1004,"&lt;="&amp;$G$3))</f>
        <v>0</v>
      </c>
      <c r="N14" s="83" t="n">
        <f aca="false">IF($A14="","",SUMIFS(Programação!$AD$5:$AD$1004,Programação!$I$5:$I$1004,$A14,Programação!$O$5:$O$1004,"&gt;="&amp;$E$3,Programação!$O$5:$O$1004,"&lt;="&amp;$G$3,Programação!$R$5:$R$1004,"&lt;&gt;Cancelada")+SUMIFS(Programação!$AD$5:$AD$1004,Programação!$J$5:$J$1004,$A14,Programação!$O$5:$O$1004,"&gt;="&amp;$E$3,Programação!$O$5:$O$1004,"&lt;="&amp;$G$3,Programação!$R$5:$R$1004,"&lt;&gt;Cancelada")+SUMIFS(Programação!$AD$5:$AD$1004,Programação!$K$5:$K$1004,$A14,Programação!$O$5:$O$1004,"&gt;="&amp;$E$3,Programação!$O$5:$O$1004,"&lt;="&amp;$G$3,Programação!$R$5:$R$1004,"&lt;&gt;Cancelada"))</f>
        <v>0.5</v>
      </c>
    </row>
    <row r="15" customFormat="false" ht="16.5" hidden="false" customHeight="true" outlineLevel="0" collapsed="false">
      <c r="A15" s="23" t="str">
        <f aca="false">IF(Listas!A6="","",Listas!A6)</f>
        <v>Airton</v>
      </c>
      <c r="B15" s="22" t="n">
        <f aca="false">IF($A15="","",COUNTIFS(Programação!$I$5:$I$1004,$A15,Programação!$P$5:$P$1004,B$13,Programação!$R$5:$R$1004,"&lt;&gt;Cancelada")+COUNTIFS(Programação!$J$5:$J$1004,$A15,Programação!$P$5:$P$1004,B$13,Programação!$R$5:$R$1004,"&lt;&gt;Cancelada")+COUNTIFS(Programação!$K$5:$K$1004,$A15,Programação!$P$5:$P$1004,B$13,Programação!$R$5:$R$1004,"&lt;&gt;Cancelada"))</f>
        <v>0</v>
      </c>
      <c r="C15" s="22" t="n">
        <f aca="false">IF($A15="","",COUNTIFS(Programação!$I$5:$I$1004,$A15,Programação!$P$5:$P$1004,C$13,Programação!$R$5:$R$1004,"&lt;&gt;Cancelada")+COUNTIFS(Programação!$J$5:$J$1004,$A15,Programação!$P$5:$P$1004,C$13,Programação!$R$5:$R$1004,"&lt;&gt;Cancelada")+COUNTIFS(Programação!$K$5:$K$1004,$A15,Programação!$P$5:$P$1004,C$13,Programação!$R$5:$R$1004,"&lt;&gt;Cancelada"))</f>
        <v>0</v>
      </c>
      <c r="D15" s="22" t="n">
        <f aca="false">IF($A15="","",COUNTIFS(Programação!$I$5:$I$1004,$A15,Programação!$P$5:$P$1004,D$13,Programação!$R$5:$R$1004,"&lt;&gt;Cancelada")+COUNTIFS(Programação!$J$5:$J$1004,$A15,Programação!$P$5:$P$1004,D$13,Programação!$R$5:$R$1004,"&lt;&gt;Cancelada")+COUNTIFS(Programação!$K$5:$K$1004,$A15,Programação!$P$5:$P$1004,D$13,Programação!$R$5:$R$1004,"&lt;&gt;Cancelada"))</f>
        <v>0</v>
      </c>
      <c r="E15" s="22" t="n">
        <f aca="false">IF($A15="","",COUNTIFS(Programação!$I$5:$I$1004,$A15,Programação!$P$5:$P$1004,E$13,Programação!$R$5:$R$1004,"&lt;&gt;Cancelada")+COUNTIFS(Programação!$J$5:$J$1004,$A15,Programação!$P$5:$P$1004,E$13,Programação!$R$5:$R$1004,"&lt;&gt;Cancelada")+COUNTIFS(Programação!$K$5:$K$1004,$A15,Programação!$P$5:$P$1004,E$13,Programação!$R$5:$R$1004,"&lt;&gt;Cancelada"))</f>
        <v>0</v>
      </c>
      <c r="F15" s="22" t="n">
        <f aca="false">IF($A15="","",COUNTIFS(Programação!$I$5:$I$1004,$A15,Programação!$P$5:$P$1004,F$13,Programação!$R$5:$R$1004,"&lt;&gt;Cancelada")+COUNTIFS(Programação!$J$5:$J$1004,$A15,Programação!$P$5:$P$1004,F$13,Programação!$R$5:$R$1004,"&lt;&gt;Cancelada")+COUNTIFS(Programação!$K$5:$K$1004,$A15,Programação!$P$5:$P$1004,F$13,Programação!$R$5:$R$1004,"&lt;&gt;Cancelada"))</f>
        <v>0</v>
      </c>
      <c r="G15" s="22" t="n">
        <f aca="false">IF($A15="","",COUNTIFS(Programação!$I$5:$I$1004,$A15,Programação!$P$5:$P$1004,G$13,Programação!$R$5:$R$1004,"&lt;&gt;Cancelada")+COUNTIFS(Programação!$J$5:$J$1004,$A15,Programação!$P$5:$P$1004,G$13,Programação!$R$5:$R$1004,"&lt;&gt;Cancelada")+COUNTIFS(Programação!$K$5:$K$1004,$A15,Programação!$P$5:$P$1004,G$13,Programação!$R$5:$R$1004,"&lt;&gt;Cancelada"))</f>
        <v>0</v>
      </c>
      <c r="H15" s="22" t="n">
        <f aca="false">IF($A15="","",COUNTIFS(Programação!$I$5:$I$1004,$A15,Programação!$P$5:$P$1004,H$13,Programação!$R$5:$R$1004,"&lt;&gt;Cancelada")+COUNTIFS(Programação!$J$5:$J$1004,$A15,Programação!$P$5:$P$1004,H$13,Programação!$R$5:$R$1004,"&lt;&gt;Cancelada")+COUNTIFS(Programação!$K$5:$K$1004,$A15,Programação!$P$5:$P$1004,H$13,Programação!$R$5:$R$1004,"&lt;&gt;Cancelada"))</f>
        <v>0</v>
      </c>
      <c r="I15" s="81" t="n">
        <f aca="false">IF($A15="","",SUM($B15:$H15))</f>
        <v>0</v>
      </c>
      <c r="J15" s="81" t="n">
        <f aca="false">IF($A15="","",SUMIFS(Programação!$N$5:$N$1004,Programação!$I$5:$I$1004,$A15,Programação!$O$5:$O$1004,"&gt;="&amp;$E$3,Programação!$O$5:$O$1004,"&lt;="&amp;$G$3,Programação!$R$5:$R$1004,"&lt;&gt;Cancelada")+SUMIFS(Programação!$N$5:$N$1004,Programação!$J$5:$J$1004,$A15,Programação!$O$5:$O$1004,"&gt;="&amp;$E$3,Programação!$O$5:$O$1004,"&lt;="&amp;$G$3,Programação!$R$5:$R$1004,"&lt;&gt;Cancelada")+SUMIFS(Programação!$N$5:$N$1004,Programação!$K$5:$K$1004,$A15,Programação!$O$5:$O$1004,"&gt;="&amp;$E$3,Programação!$O$5:$O$1004,"&lt;="&amp;$G$3,Programação!$R$5:$R$1004,"&lt;&gt;Cancelada"))</f>
        <v>0</v>
      </c>
      <c r="K15" s="81" t="n">
        <f aca="false">IF($A15="","",SUMIFS(Programação!$AB$5:$AB$1004,Programação!$I$5:$I$1004,$A15,Programação!$O$5:$O$1004,"&gt;="&amp;$E$3,Programação!$O$5:$O$1004,"&lt;="&amp;$G$3)+SUMIFS(Programação!$AB$5:$AB$1004,Programação!$J$5:$J$1004,$A15,Programação!$O$5:$O$1004,"&gt;="&amp;$E$3,Programação!$O$5:$O$1004,"&lt;="&amp;$G$3)+SUMIFS(Programação!$AB$5:$AB$1004,Programação!$K$5:$K$1004,$A15,Programação!$O$5:$O$1004,"&gt;="&amp;$E$3,Programação!$O$5:$O$1004,"&lt;="&amp;$G$3))</f>
        <v>0</v>
      </c>
      <c r="L15" s="82" t="str">
        <f aca="false">IF(OR($A15="",$I15=0),"",$K15/$I15)</f>
        <v/>
      </c>
      <c r="M15" s="81" t="n">
        <f aca="false">IF($A15="","",COUNTIFS(Programação!$I$5:$I$1004,$A15,Programação!$B$5:$B$1004,"VENCIDA",Programação!$O$5:$O$1004,"&gt;="&amp;$E$3,Programação!$O$5:$O$1004,"&lt;="&amp;$G$3)+COUNTIFS(Programação!$J$5:$J$1004,$A15,Programação!$B$5:$B$1004,"VENCIDA",Programação!$O$5:$O$1004,"&gt;="&amp;$E$3,Programação!$O$5:$O$1004,"&lt;="&amp;$G$3)+COUNTIFS(Programação!$K$5:$K$1004,$A15,Programação!$B$5:$B$1004,"VENCIDA",Programação!$O$5:$O$1004,"&gt;="&amp;$E$3,Programação!$O$5:$O$1004,"&lt;="&amp;$G$3))</f>
        <v>0</v>
      </c>
      <c r="N15" s="83" t="n">
        <f aca="false">IF($A15="","",SUMIFS(Programação!$AD$5:$AD$1004,Programação!$I$5:$I$1004,$A15,Programação!$O$5:$O$1004,"&gt;="&amp;$E$3,Programação!$O$5:$O$1004,"&lt;="&amp;$G$3,Programação!$R$5:$R$1004,"&lt;&gt;Cancelada")+SUMIFS(Programação!$AD$5:$AD$1004,Programação!$J$5:$J$1004,$A15,Programação!$O$5:$O$1004,"&gt;="&amp;$E$3,Programação!$O$5:$O$1004,"&lt;="&amp;$G$3,Programação!$R$5:$R$1004,"&lt;&gt;Cancelada")+SUMIFS(Programação!$AD$5:$AD$1004,Programação!$K$5:$K$1004,$A15,Programação!$O$5:$O$1004,"&gt;="&amp;$E$3,Programação!$O$5:$O$1004,"&lt;="&amp;$G$3,Programação!$R$5:$R$1004,"&lt;&gt;Cancelada"))</f>
        <v>0</v>
      </c>
    </row>
    <row r="16" customFormat="false" ht="16.5" hidden="false" customHeight="true" outlineLevel="0" collapsed="false">
      <c r="A16" s="23" t="str">
        <f aca="false">IF(Listas!A7="","",Listas!A7)</f>
        <v>Alexandre</v>
      </c>
      <c r="B16" s="22" t="n">
        <f aca="false">IF($A16="","",COUNTIFS(Programação!$I$5:$I$1004,$A16,Programação!$P$5:$P$1004,B$13,Programação!$R$5:$R$1004,"&lt;&gt;Cancelada")+COUNTIFS(Programação!$J$5:$J$1004,$A16,Programação!$P$5:$P$1004,B$13,Programação!$R$5:$R$1004,"&lt;&gt;Cancelada")+COUNTIFS(Programação!$K$5:$K$1004,$A16,Programação!$P$5:$P$1004,B$13,Programação!$R$5:$R$1004,"&lt;&gt;Cancelada"))</f>
        <v>0</v>
      </c>
      <c r="C16" s="22" t="n">
        <f aca="false">IF($A16="","",COUNTIFS(Programação!$I$5:$I$1004,$A16,Programação!$P$5:$P$1004,C$13,Programação!$R$5:$R$1004,"&lt;&gt;Cancelada")+COUNTIFS(Programação!$J$5:$J$1004,$A16,Programação!$P$5:$P$1004,C$13,Programação!$R$5:$R$1004,"&lt;&gt;Cancelada")+COUNTIFS(Programação!$K$5:$K$1004,$A16,Programação!$P$5:$P$1004,C$13,Programação!$R$5:$R$1004,"&lt;&gt;Cancelada"))</f>
        <v>1</v>
      </c>
      <c r="D16" s="22" t="n">
        <f aca="false">IF($A16="","",COUNTIFS(Programação!$I$5:$I$1004,$A16,Programação!$P$5:$P$1004,D$13,Programação!$R$5:$R$1004,"&lt;&gt;Cancelada")+COUNTIFS(Programação!$J$5:$J$1004,$A16,Programação!$P$5:$P$1004,D$13,Programação!$R$5:$R$1004,"&lt;&gt;Cancelada")+COUNTIFS(Programação!$K$5:$K$1004,$A16,Programação!$P$5:$P$1004,D$13,Programação!$R$5:$R$1004,"&lt;&gt;Cancelada"))</f>
        <v>1</v>
      </c>
      <c r="E16" s="22" t="n">
        <f aca="false">IF($A16="","",COUNTIFS(Programação!$I$5:$I$1004,$A16,Programação!$P$5:$P$1004,E$13,Programação!$R$5:$R$1004,"&lt;&gt;Cancelada")+COUNTIFS(Programação!$J$5:$J$1004,$A16,Programação!$P$5:$P$1004,E$13,Programação!$R$5:$R$1004,"&lt;&gt;Cancelada")+COUNTIFS(Programação!$K$5:$K$1004,$A16,Programação!$P$5:$P$1004,E$13,Programação!$R$5:$R$1004,"&lt;&gt;Cancelada"))</f>
        <v>3</v>
      </c>
      <c r="F16" s="22" t="n">
        <f aca="false">IF($A16="","",COUNTIFS(Programação!$I$5:$I$1004,$A16,Programação!$P$5:$P$1004,F$13,Programação!$R$5:$R$1004,"&lt;&gt;Cancelada")+COUNTIFS(Programação!$J$5:$J$1004,$A16,Programação!$P$5:$P$1004,F$13,Programação!$R$5:$R$1004,"&lt;&gt;Cancelada")+COUNTIFS(Programação!$K$5:$K$1004,$A16,Programação!$P$5:$P$1004,F$13,Programação!$R$5:$R$1004,"&lt;&gt;Cancelada"))</f>
        <v>2</v>
      </c>
      <c r="G16" s="22" t="n">
        <f aca="false">IF($A16="","",COUNTIFS(Programação!$I$5:$I$1004,$A16,Programação!$P$5:$P$1004,G$13,Programação!$R$5:$R$1004,"&lt;&gt;Cancelada")+COUNTIFS(Programação!$J$5:$J$1004,$A16,Programação!$P$5:$P$1004,G$13,Programação!$R$5:$R$1004,"&lt;&gt;Cancelada")+COUNTIFS(Programação!$K$5:$K$1004,$A16,Programação!$P$5:$P$1004,G$13,Programação!$R$5:$R$1004,"&lt;&gt;Cancelada"))</f>
        <v>0</v>
      </c>
      <c r="H16" s="22" t="n">
        <f aca="false">IF($A16="","",COUNTIFS(Programação!$I$5:$I$1004,$A16,Programação!$P$5:$P$1004,H$13,Programação!$R$5:$R$1004,"&lt;&gt;Cancelada")+COUNTIFS(Programação!$J$5:$J$1004,$A16,Programação!$P$5:$P$1004,H$13,Programação!$R$5:$R$1004,"&lt;&gt;Cancelada")+COUNTIFS(Programação!$K$5:$K$1004,$A16,Programação!$P$5:$P$1004,H$13,Programação!$R$5:$R$1004,"&lt;&gt;Cancelada"))</f>
        <v>0</v>
      </c>
      <c r="I16" s="81" t="n">
        <f aca="false">IF($A16="","",SUM($B16:$H16))</f>
        <v>7</v>
      </c>
      <c r="J16" s="81" t="n">
        <f aca="false">IF($A16="","",SUMIFS(Programação!$N$5:$N$1004,Programação!$I$5:$I$1004,$A16,Programação!$O$5:$O$1004,"&gt;="&amp;$E$3,Programação!$O$5:$O$1004,"&lt;="&amp;$G$3,Programação!$R$5:$R$1004,"&lt;&gt;Cancelada")+SUMIFS(Programação!$N$5:$N$1004,Programação!$J$5:$J$1004,$A16,Programação!$O$5:$O$1004,"&gt;="&amp;$E$3,Programação!$O$5:$O$1004,"&lt;="&amp;$G$3,Programação!$R$5:$R$1004,"&lt;&gt;Cancelada")+SUMIFS(Programação!$N$5:$N$1004,Programação!$K$5:$K$1004,$A16,Programação!$O$5:$O$1004,"&gt;="&amp;$E$3,Programação!$O$5:$O$1004,"&lt;="&amp;$G$3,Programação!$R$5:$R$1004,"&lt;&gt;Cancelada"))</f>
        <v>20</v>
      </c>
      <c r="K16" s="81" t="n">
        <f aca="false">IF($A16="","",SUMIFS(Programação!$AB$5:$AB$1004,Programação!$I$5:$I$1004,$A16,Programação!$O$5:$O$1004,"&gt;="&amp;$E$3,Programação!$O$5:$O$1004,"&lt;="&amp;$G$3)+SUMIFS(Programação!$AB$5:$AB$1004,Programação!$J$5:$J$1004,$A16,Programação!$O$5:$O$1004,"&gt;="&amp;$E$3,Programação!$O$5:$O$1004,"&lt;="&amp;$G$3)+SUMIFS(Programação!$AB$5:$AB$1004,Programação!$K$5:$K$1004,$A16,Programação!$O$5:$O$1004,"&gt;="&amp;$E$3,Programação!$O$5:$O$1004,"&lt;="&amp;$G$3))</f>
        <v>1</v>
      </c>
      <c r="L16" s="82" t="n">
        <f aca="false">IF(OR($A16="",$I16=0),"",$K16/$I16)</f>
        <v>0.142857142857143</v>
      </c>
      <c r="M16" s="81" t="n">
        <f aca="false">IF($A16="","",COUNTIFS(Programação!$I$5:$I$1004,$A16,Programação!$B$5:$B$1004,"VENCIDA",Programação!$O$5:$O$1004,"&gt;="&amp;$E$3,Programação!$O$5:$O$1004,"&lt;="&amp;$G$3)+COUNTIFS(Programação!$J$5:$J$1004,$A16,Programação!$B$5:$B$1004,"VENCIDA",Programação!$O$5:$O$1004,"&gt;="&amp;$E$3,Programação!$O$5:$O$1004,"&lt;="&amp;$G$3)+COUNTIFS(Programação!$K$5:$K$1004,$A16,Programação!$B$5:$B$1004,"VENCIDA",Programação!$O$5:$O$1004,"&gt;="&amp;$E$3,Programação!$O$5:$O$1004,"&lt;="&amp;$G$3))</f>
        <v>0</v>
      </c>
      <c r="N16" s="83" t="n">
        <f aca="false">IF($A16="","",SUMIFS(Programação!$AD$5:$AD$1004,Programação!$I$5:$I$1004,$A16,Programação!$O$5:$O$1004,"&gt;="&amp;$E$3,Programação!$O$5:$O$1004,"&lt;="&amp;$G$3,Programação!$R$5:$R$1004,"&lt;&gt;Cancelada")+SUMIFS(Programação!$AD$5:$AD$1004,Programação!$J$5:$J$1004,$A16,Programação!$O$5:$O$1004,"&gt;="&amp;$E$3,Programação!$O$5:$O$1004,"&lt;="&amp;$G$3,Programação!$R$5:$R$1004,"&lt;&gt;Cancelada")+SUMIFS(Programação!$AD$5:$AD$1004,Programação!$K$5:$K$1004,$A16,Programação!$O$5:$O$1004,"&gt;="&amp;$E$3,Programação!$O$5:$O$1004,"&lt;="&amp;$G$3,Programação!$R$5:$R$1004,"&lt;&gt;Cancelada"))</f>
        <v>6</v>
      </c>
    </row>
    <row r="17" customFormat="false" ht="16.5" hidden="false" customHeight="true" outlineLevel="0" collapsed="false">
      <c r="A17" s="23" t="str">
        <f aca="false">IF(Listas!A8="","",Listas!A8)</f>
        <v>Edilberto</v>
      </c>
      <c r="B17" s="22" t="n">
        <f aca="false">IF($A17="","",COUNTIFS(Programação!$I$5:$I$1004,$A17,Programação!$P$5:$P$1004,B$13,Programação!$R$5:$R$1004,"&lt;&gt;Cancelada")+COUNTIFS(Programação!$J$5:$J$1004,$A17,Programação!$P$5:$P$1004,B$13,Programação!$R$5:$R$1004,"&lt;&gt;Cancelada")+COUNTIFS(Programação!$K$5:$K$1004,$A17,Programação!$P$5:$P$1004,B$13,Programação!$R$5:$R$1004,"&lt;&gt;Cancelada"))</f>
        <v>0</v>
      </c>
      <c r="C17" s="22" t="n">
        <f aca="false">IF($A17="","",COUNTIFS(Programação!$I$5:$I$1004,$A17,Programação!$P$5:$P$1004,C$13,Programação!$R$5:$R$1004,"&lt;&gt;Cancelada")+COUNTIFS(Programação!$J$5:$J$1004,$A17,Programação!$P$5:$P$1004,C$13,Programação!$R$5:$R$1004,"&lt;&gt;Cancelada")+COUNTIFS(Programação!$K$5:$K$1004,$A17,Programação!$P$5:$P$1004,C$13,Programação!$R$5:$R$1004,"&lt;&gt;Cancelada"))</f>
        <v>0</v>
      </c>
      <c r="D17" s="22" t="n">
        <f aca="false">IF($A17="","",COUNTIFS(Programação!$I$5:$I$1004,$A17,Programação!$P$5:$P$1004,D$13,Programação!$R$5:$R$1004,"&lt;&gt;Cancelada")+COUNTIFS(Programação!$J$5:$J$1004,$A17,Programação!$P$5:$P$1004,D$13,Programação!$R$5:$R$1004,"&lt;&gt;Cancelada")+COUNTIFS(Programação!$K$5:$K$1004,$A17,Programação!$P$5:$P$1004,D$13,Programação!$R$5:$R$1004,"&lt;&gt;Cancelada"))</f>
        <v>0</v>
      </c>
      <c r="E17" s="22" t="n">
        <f aca="false">IF($A17="","",COUNTIFS(Programação!$I$5:$I$1004,$A17,Programação!$P$5:$P$1004,E$13,Programação!$R$5:$R$1004,"&lt;&gt;Cancelada")+COUNTIFS(Programação!$J$5:$J$1004,$A17,Programação!$P$5:$P$1004,E$13,Programação!$R$5:$R$1004,"&lt;&gt;Cancelada")+COUNTIFS(Programação!$K$5:$K$1004,$A17,Programação!$P$5:$P$1004,E$13,Programação!$R$5:$R$1004,"&lt;&gt;Cancelada"))</f>
        <v>0</v>
      </c>
      <c r="F17" s="22" t="n">
        <f aca="false">IF($A17="","",COUNTIFS(Programação!$I$5:$I$1004,$A17,Programação!$P$5:$P$1004,F$13,Programação!$R$5:$R$1004,"&lt;&gt;Cancelada")+COUNTIFS(Programação!$J$5:$J$1004,$A17,Programação!$P$5:$P$1004,F$13,Programação!$R$5:$R$1004,"&lt;&gt;Cancelada")+COUNTIFS(Programação!$K$5:$K$1004,$A17,Programação!$P$5:$P$1004,F$13,Programação!$R$5:$R$1004,"&lt;&gt;Cancelada"))</f>
        <v>0</v>
      </c>
      <c r="G17" s="22" t="n">
        <f aca="false">IF($A17="","",COUNTIFS(Programação!$I$5:$I$1004,$A17,Programação!$P$5:$P$1004,G$13,Programação!$R$5:$R$1004,"&lt;&gt;Cancelada")+COUNTIFS(Programação!$J$5:$J$1004,$A17,Programação!$P$5:$P$1004,G$13,Programação!$R$5:$R$1004,"&lt;&gt;Cancelada")+COUNTIFS(Programação!$K$5:$K$1004,$A17,Programação!$P$5:$P$1004,G$13,Programação!$R$5:$R$1004,"&lt;&gt;Cancelada"))</f>
        <v>0</v>
      </c>
      <c r="H17" s="22" t="n">
        <f aca="false">IF($A17="","",COUNTIFS(Programação!$I$5:$I$1004,$A17,Programação!$P$5:$P$1004,H$13,Programação!$R$5:$R$1004,"&lt;&gt;Cancelada")+COUNTIFS(Programação!$J$5:$J$1004,$A17,Programação!$P$5:$P$1004,H$13,Programação!$R$5:$R$1004,"&lt;&gt;Cancelada")+COUNTIFS(Programação!$K$5:$K$1004,$A17,Programação!$P$5:$P$1004,H$13,Programação!$R$5:$R$1004,"&lt;&gt;Cancelada"))</f>
        <v>0</v>
      </c>
      <c r="I17" s="81" t="n">
        <f aca="false">IF($A17="","",SUM($B17:$H17))</f>
        <v>0</v>
      </c>
      <c r="J17" s="81" t="n">
        <f aca="false">IF($A17="","",SUMIFS(Programação!$N$5:$N$1004,Programação!$I$5:$I$1004,$A17,Programação!$O$5:$O$1004,"&gt;="&amp;$E$3,Programação!$O$5:$O$1004,"&lt;="&amp;$G$3,Programação!$R$5:$R$1004,"&lt;&gt;Cancelada")+SUMIFS(Programação!$N$5:$N$1004,Programação!$J$5:$J$1004,$A17,Programação!$O$5:$O$1004,"&gt;="&amp;$E$3,Programação!$O$5:$O$1004,"&lt;="&amp;$G$3,Programação!$R$5:$R$1004,"&lt;&gt;Cancelada")+SUMIFS(Programação!$N$5:$N$1004,Programação!$K$5:$K$1004,$A17,Programação!$O$5:$O$1004,"&gt;="&amp;$E$3,Programação!$O$5:$O$1004,"&lt;="&amp;$G$3,Programação!$R$5:$R$1004,"&lt;&gt;Cancelada"))</f>
        <v>9</v>
      </c>
      <c r="K17" s="81" t="n">
        <f aca="false">IF($A17="","",SUMIFS(Programação!$AB$5:$AB$1004,Programação!$I$5:$I$1004,$A17,Programação!$O$5:$O$1004,"&gt;="&amp;$E$3,Programação!$O$5:$O$1004,"&lt;="&amp;$G$3)+SUMIFS(Programação!$AB$5:$AB$1004,Programação!$J$5:$J$1004,$A17,Programação!$O$5:$O$1004,"&gt;="&amp;$E$3,Programação!$O$5:$O$1004,"&lt;="&amp;$G$3)+SUMIFS(Programação!$AB$5:$AB$1004,Programação!$K$5:$K$1004,$A17,Programação!$O$5:$O$1004,"&gt;="&amp;$E$3,Programação!$O$5:$O$1004,"&lt;="&amp;$G$3))</f>
        <v>0</v>
      </c>
      <c r="L17" s="82" t="str">
        <f aca="false">IF(OR($A17="",$I17=0),"",$K17/$I17)</f>
        <v/>
      </c>
      <c r="M17" s="81" t="n">
        <f aca="false">IF($A17="","",COUNTIFS(Programação!$I$5:$I$1004,$A17,Programação!$B$5:$B$1004,"VENCIDA",Programação!$O$5:$O$1004,"&gt;="&amp;$E$3,Programação!$O$5:$O$1004,"&lt;="&amp;$G$3)+COUNTIFS(Programação!$J$5:$J$1004,$A17,Programação!$B$5:$B$1004,"VENCIDA",Programação!$O$5:$O$1004,"&gt;="&amp;$E$3,Programação!$O$5:$O$1004,"&lt;="&amp;$G$3)+COUNTIFS(Programação!$K$5:$K$1004,$A17,Programação!$B$5:$B$1004,"VENCIDA",Programação!$O$5:$O$1004,"&gt;="&amp;$E$3,Programação!$O$5:$O$1004,"&lt;="&amp;$G$3))</f>
        <v>0</v>
      </c>
      <c r="N17" s="83" t="n">
        <f aca="false">IF($A17="","",SUMIFS(Programação!$AD$5:$AD$1004,Programação!$I$5:$I$1004,$A17,Programação!$O$5:$O$1004,"&gt;="&amp;$E$3,Programação!$O$5:$O$1004,"&lt;="&amp;$G$3,Programação!$R$5:$R$1004,"&lt;&gt;Cancelada")+SUMIFS(Programação!$AD$5:$AD$1004,Programação!$J$5:$J$1004,$A17,Programação!$O$5:$O$1004,"&gt;="&amp;$E$3,Programação!$O$5:$O$1004,"&lt;="&amp;$G$3,Programação!$R$5:$R$1004,"&lt;&gt;Cancelada")+SUMIFS(Programação!$AD$5:$AD$1004,Programação!$K$5:$K$1004,$A17,Programação!$O$5:$O$1004,"&gt;="&amp;$E$3,Programação!$O$5:$O$1004,"&lt;="&amp;$G$3,Programação!$R$5:$R$1004,"&lt;&gt;Cancelada"))</f>
        <v>1</v>
      </c>
    </row>
    <row r="18" customFormat="false" ht="16.5" hidden="false" customHeight="true" outlineLevel="0" collapsed="false">
      <c r="A18" s="23" t="str">
        <f aca="false">IF(Listas!A9="","",Listas!A9)</f>
        <v>Gabriel</v>
      </c>
      <c r="B18" s="22" t="n">
        <f aca="false">IF($A18="","",COUNTIFS(Programação!$I$5:$I$1004,$A18,Programação!$P$5:$P$1004,B$13,Programação!$R$5:$R$1004,"&lt;&gt;Cancelada")+COUNTIFS(Programação!$J$5:$J$1004,$A18,Programação!$P$5:$P$1004,B$13,Programação!$R$5:$R$1004,"&lt;&gt;Cancelada")+COUNTIFS(Programação!$K$5:$K$1004,$A18,Programação!$P$5:$P$1004,B$13,Programação!$R$5:$R$1004,"&lt;&gt;Cancelada"))</f>
        <v>0</v>
      </c>
      <c r="C18" s="22" t="n">
        <f aca="false">IF($A18="","",COUNTIFS(Programação!$I$5:$I$1004,$A18,Programação!$P$5:$P$1004,C$13,Programação!$R$5:$R$1004,"&lt;&gt;Cancelada")+COUNTIFS(Programação!$J$5:$J$1004,$A18,Programação!$P$5:$P$1004,C$13,Programação!$R$5:$R$1004,"&lt;&gt;Cancelada")+COUNTIFS(Programação!$K$5:$K$1004,$A18,Programação!$P$5:$P$1004,C$13,Programação!$R$5:$R$1004,"&lt;&gt;Cancelada"))</f>
        <v>3</v>
      </c>
      <c r="D18" s="22" t="n">
        <f aca="false">IF($A18="","",COUNTIFS(Programação!$I$5:$I$1004,$A18,Programação!$P$5:$P$1004,D$13,Programação!$R$5:$R$1004,"&lt;&gt;Cancelada")+COUNTIFS(Programação!$J$5:$J$1004,$A18,Programação!$P$5:$P$1004,D$13,Programação!$R$5:$R$1004,"&lt;&gt;Cancelada")+COUNTIFS(Programação!$K$5:$K$1004,$A18,Programação!$P$5:$P$1004,D$13,Programação!$R$5:$R$1004,"&lt;&gt;Cancelada"))</f>
        <v>7</v>
      </c>
      <c r="E18" s="22" t="n">
        <f aca="false">IF($A18="","",COUNTIFS(Programação!$I$5:$I$1004,$A18,Programação!$P$5:$P$1004,E$13,Programação!$R$5:$R$1004,"&lt;&gt;Cancelada")+COUNTIFS(Programação!$J$5:$J$1004,$A18,Programação!$P$5:$P$1004,E$13,Programação!$R$5:$R$1004,"&lt;&gt;Cancelada")+COUNTIFS(Programação!$K$5:$K$1004,$A18,Programação!$P$5:$P$1004,E$13,Programação!$R$5:$R$1004,"&lt;&gt;Cancelada"))</f>
        <v>4</v>
      </c>
      <c r="F18" s="22" t="n">
        <f aca="false">IF($A18="","",COUNTIFS(Programação!$I$5:$I$1004,$A18,Programação!$P$5:$P$1004,F$13,Programação!$R$5:$R$1004,"&lt;&gt;Cancelada")+COUNTIFS(Programação!$J$5:$J$1004,$A18,Programação!$P$5:$P$1004,F$13,Programação!$R$5:$R$1004,"&lt;&gt;Cancelada")+COUNTIFS(Programação!$K$5:$K$1004,$A18,Programação!$P$5:$P$1004,F$13,Programação!$R$5:$R$1004,"&lt;&gt;Cancelada"))</f>
        <v>4</v>
      </c>
      <c r="G18" s="22" t="n">
        <f aca="false">IF($A18="","",COUNTIFS(Programação!$I$5:$I$1004,$A18,Programação!$P$5:$P$1004,G$13,Programação!$R$5:$R$1004,"&lt;&gt;Cancelada")+COUNTIFS(Programação!$J$5:$J$1004,$A18,Programação!$P$5:$P$1004,G$13,Programação!$R$5:$R$1004,"&lt;&gt;Cancelada")+COUNTIFS(Programação!$K$5:$K$1004,$A18,Programação!$P$5:$P$1004,G$13,Programação!$R$5:$R$1004,"&lt;&gt;Cancelada"))</f>
        <v>0</v>
      </c>
      <c r="H18" s="22" t="n">
        <f aca="false">IF($A18="","",COUNTIFS(Programação!$I$5:$I$1004,$A18,Programação!$P$5:$P$1004,H$13,Programação!$R$5:$R$1004,"&lt;&gt;Cancelada")+COUNTIFS(Programação!$J$5:$J$1004,$A18,Programação!$P$5:$P$1004,H$13,Programação!$R$5:$R$1004,"&lt;&gt;Cancelada")+COUNTIFS(Programação!$K$5:$K$1004,$A18,Programação!$P$5:$P$1004,H$13,Programação!$R$5:$R$1004,"&lt;&gt;Cancelada"))</f>
        <v>0</v>
      </c>
      <c r="I18" s="81" t="n">
        <f aca="false">IF($A18="","",SUM($B18:$H18))</f>
        <v>18</v>
      </c>
      <c r="J18" s="81" t="n">
        <f aca="false">IF($A18="","",SUMIFS(Programação!$N$5:$N$1004,Programação!$I$5:$I$1004,$A18,Programação!$O$5:$O$1004,"&gt;="&amp;$E$3,Programação!$O$5:$O$1004,"&lt;="&amp;$G$3,Programação!$R$5:$R$1004,"&lt;&gt;Cancelada")+SUMIFS(Programação!$N$5:$N$1004,Programação!$J$5:$J$1004,$A18,Programação!$O$5:$O$1004,"&gt;="&amp;$E$3,Programação!$O$5:$O$1004,"&lt;="&amp;$G$3,Programação!$R$5:$R$1004,"&lt;&gt;Cancelada")+SUMIFS(Programação!$N$5:$N$1004,Programação!$K$5:$K$1004,$A18,Programação!$O$5:$O$1004,"&gt;="&amp;$E$3,Programação!$O$5:$O$1004,"&lt;="&amp;$G$3,Programação!$R$5:$R$1004,"&lt;&gt;Cancelada"))</f>
        <v>63</v>
      </c>
      <c r="K18" s="81" t="n">
        <f aca="false">IF($A18="","",SUMIFS(Programação!$AB$5:$AB$1004,Programação!$I$5:$I$1004,$A18,Programação!$O$5:$O$1004,"&gt;="&amp;$E$3,Programação!$O$5:$O$1004,"&lt;="&amp;$G$3)+SUMIFS(Programação!$AB$5:$AB$1004,Programação!$J$5:$J$1004,$A18,Programação!$O$5:$O$1004,"&gt;="&amp;$E$3,Programação!$O$5:$O$1004,"&lt;="&amp;$G$3)+SUMIFS(Programação!$AB$5:$AB$1004,Programação!$K$5:$K$1004,$A18,Programação!$O$5:$O$1004,"&gt;="&amp;$E$3,Programação!$O$5:$O$1004,"&lt;="&amp;$G$3))</f>
        <v>13</v>
      </c>
      <c r="L18" s="82" t="n">
        <f aca="false">IF(OR($A18="",$I18=0),"",$K18/$I18)</f>
        <v>0.722222222222222</v>
      </c>
      <c r="M18" s="81" t="n">
        <f aca="false">IF($A18="","",COUNTIFS(Programação!$I$5:$I$1004,$A18,Programação!$B$5:$B$1004,"VENCIDA",Programação!$O$5:$O$1004,"&gt;="&amp;$E$3,Programação!$O$5:$O$1004,"&lt;="&amp;$G$3)+COUNTIFS(Programação!$J$5:$J$1004,$A18,Programação!$B$5:$B$1004,"VENCIDA",Programação!$O$5:$O$1004,"&gt;="&amp;$E$3,Programação!$O$5:$O$1004,"&lt;="&amp;$G$3)+COUNTIFS(Programação!$K$5:$K$1004,$A18,Programação!$B$5:$B$1004,"VENCIDA",Programação!$O$5:$O$1004,"&gt;="&amp;$E$3,Programação!$O$5:$O$1004,"&lt;="&amp;$G$3))</f>
        <v>1</v>
      </c>
      <c r="N18" s="83" t="n">
        <f aca="false">IF($A18="","",SUMIFS(Programação!$AD$5:$AD$1004,Programação!$I$5:$I$1004,$A18,Programação!$O$5:$O$1004,"&gt;="&amp;$E$3,Programação!$O$5:$O$1004,"&lt;="&amp;$G$3,Programação!$R$5:$R$1004,"&lt;&gt;Cancelada")+SUMIFS(Programação!$AD$5:$AD$1004,Programação!$J$5:$J$1004,$A18,Programação!$O$5:$O$1004,"&gt;="&amp;$E$3,Programação!$O$5:$O$1004,"&lt;="&amp;$G$3,Programação!$R$5:$R$1004,"&lt;&gt;Cancelada")+SUMIFS(Programação!$AD$5:$AD$1004,Programação!$K$5:$K$1004,$A18,Programação!$O$5:$O$1004,"&gt;="&amp;$E$3,Programação!$O$5:$O$1004,"&lt;="&amp;$G$3,Programação!$R$5:$R$1004,"&lt;&gt;Cancelada"))</f>
        <v>10</v>
      </c>
    </row>
    <row r="19" customFormat="false" ht="16.5" hidden="false" customHeight="true" outlineLevel="0" collapsed="false">
      <c r="A19" s="23" t="str">
        <f aca="false">IF(Listas!A10="","",Listas!A10)</f>
        <v>Heliton</v>
      </c>
      <c r="B19" s="22" t="n">
        <f aca="false">IF($A19="","",COUNTIFS(Programação!$I$5:$I$1004,$A19,Programação!$P$5:$P$1004,B$13,Programação!$R$5:$R$1004,"&lt;&gt;Cancelada")+COUNTIFS(Programação!$J$5:$J$1004,$A19,Programação!$P$5:$P$1004,B$13,Programação!$R$5:$R$1004,"&lt;&gt;Cancelada")+COUNTIFS(Programação!$K$5:$K$1004,$A19,Programação!$P$5:$P$1004,B$13,Programação!$R$5:$R$1004,"&lt;&gt;Cancelada"))</f>
        <v>0</v>
      </c>
      <c r="C19" s="22" t="n">
        <f aca="false">IF($A19="","",COUNTIFS(Programação!$I$5:$I$1004,$A19,Programação!$P$5:$P$1004,C$13,Programação!$R$5:$R$1004,"&lt;&gt;Cancelada")+COUNTIFS(Programação!$J$5:$J$1004,$A19,Programação!$P$5:$P$1004,C$13,Programação!$R$5:$R$1004,"&lt;&gt;Cancelada")+COUNTIFS(Programação!$K$5:$K$1004,$A19,Programação!$P$5:$P$1004,C$13,Programação!$R$5:$R$1004,"&lt;&gt;Cancelada"))</f>
        <v>2</v>
      </c>
      <c r="D19" s="22" t="n">
        <f aca="false">IF($A19="","",COUNTIFS(Programação!$I$5:$I$1004,$A19,Programação!$P$5:$P$1004,D$13,Programação!$R$5:$R$1004,"&lt;&gt;Cancelada")+COUNTIFS(Programação!$J$5:$J$1004,$A19,Programação!$P$5:$P$1004,D$13,Programação!$R$5:$R$1004,"&lt;&gt;Cancelada")+COUNTIFS(Programação!$K$5:$K$1004,$A19,Programação!$P$5:$P$1004,D$13,Programação!$R$5:$R$1004,"&lt;&gt;Cancelada"))</f>
        <v>2</v>
      </c>
      <c r="E19" s="22" t="n">
        <f aca="false">IF($A19="","",COUNTIFS(Programação!$I$5:$I$1004,$A19,Programação!$P$5:$P$1004,E$13,Programação!$R$5:$R$1004,"&lt;&gt;Cancelada")+COUNTIFS(Programação!$J$5:$J$1004,$A19,Programação!$P$5:$P$1004,E$13,Programação!$R$5:$R$1004,"&lt;&gt;Cancelada")+COUNTIFS(Programação!$K$5:$K$1004,$A19,Programação!$P$5:$P$1004,E$13,Programação!$R$5:$R$1004,"&lt;&gt;Cancelada"))</f>
        <v>1</v>
      </c>
      <c r="F19" s="22" t="n">
        <f aca="false">IF($A19="","",COUNTIFS(Programação!$I$5:$I$1004,$A19,Programação!$P$5:$P$1004,F$13,Programação!$R$5:$R$1004,"&lt;&gt;Cancelada")+COUNTIFS(Programação!$J$5:$J$1004,$A19,Programação!$P$5:$P$1004,F$13,Programação!$R$5:$R$1004,"&lt;&gt;Cancelada")+COUNTIFS(Programação!$K$5:$K$1004,$A19,Programação!$P$5:$P$1004,F$13,Programação!$R$5:$R$1004,"&lt;&gt;Cancelada"))</f>
        <v>1</v>
      </c>
      <c r="G19" s="22" t="n">
        <f aca="false">IF($A19="","",COUNTIFS(Programação!$I$5:$I$1004,$A19,Programação!$P$5:$P$1004,G$13,Programação!$R$5:$R$1004,"&lt;&gt;Cancelada")+COUNTIFS(Programação!$J$5:$J$1004,$A19,Programação!$P$5:$P$1004,G$13,Programação!$R$5:$R$1004,"&lt;&gt;Cancelada")+COUNTIFS(Programação!$K$5:$K$1004,$A19,Programação!$P$5:$P$1004,G$13,Programação!$R$5:$R$1004,"&lt;&gt;Cancelada"))</f>
        <v>0</v>
      </c>
      <c r="H19" s="22" t="n">
        <f aca="false">IF($A19="","",COUNTIFS(Programação!$I$5:$I$1004,$A19,Programação!$P$5:$P$1004,H$13,Programação!$R$5:$R$1004,"&lt;&gt;Cancelada")+COUNTIFS(Programação!$J$5:$J$1004,$A19,Programação!$P$5:$P$1004,H$13,Programação!$R$5:$R$1004,"&lt;&gt;Cancelada")+COUNTIFS(Programação!$K$5:$K$1004,$A19,Programação!$P$5:$P$1004,H$13,Programação!$R$5:$R$1004,"&lt;&gt;Cancelada"))</f>
        <v>0</v>
      </c>
      <c r="I19" s="81" t="n">
        <f aca="false">IF($A19="","",SUM($B19:$H19))</f>
        <v>6</v>
      </c>
      <c r="J19" s="81" t="n">
        <f aca="false">IF($A19="","",SUMIFS(Programação!$N$5:$N$1004,Programação!$I$5:$I$1004,$A19,Programação!$O$5:$O$1004,"&gt;="&amp;$E$3,Programação!$O$5:$O$1004,"&lt;="&amp;$G$3,Programação!$R$5:$R$1004,"&lt;&gt;Cancelada")+SUMIFS(Programação!$N$5:$N$1004,Programação!$J$5:$J$1004,$A19,Programação!$O$5:$O$1004,"&gt;="&amp;$E$3,Programação!$O$5:$O$1004,"&lt;="&amp;$G$3,Programação!$R$5:$R$1004,"&lt;&gt;Cancelada")+SUMIFS(Programação!$N$5:$N$1004,Programação!$K$5:$K$1004,$A19,Programação!$O$5:$O$1004,"&gt;="&amp;$E$3,Programação!$O$5:$O$1004,"&lt;="&amp;$G$3,Programação!$R$5:$R$1004,"&lt;&gt;Cancelada"))</f>
        <v>14</v>
      </c>
      <c r="K19" s="81" t="n">
        <f aca="false">IF($A19="","",SUMIFS(Programação!$AB$5:$AB$1004,Programação!$I$5:$I$1004,$A19,Programação!$O$5:$O$1004,"&gt;="&amp;$E$3,Programação!$O$5:$O$1004,"&lt;="&amp;$G$3)+SUMIFS(Programação!$AB$5:$AB$1004,Programação!$J$5:$J$1004,$A19,Programação!$O$5:$O$1004,"&gt;="&amp;$E$3,Programação!$O$5:$O$1004,"&lt;="&amp;$G$3)+SUMIFS(Programação!$AB$5:$AB$1004,Programação!$K$5:$K$1004,$A19,Programação!$O$5:$O$1004,"&gt;="&amp;$E$3,Programação!$O$5:$O$1004,"&lt;="&amp;$G$3))</f>
        <v>5</v>
      </c>
      <c r="L19" s="82" t="n">
        <f aca="false">IF(OR($A19="",$I19=0),"",$K19/$I19)</f>
        <v>0.833333333333333</v>
      </c>
      <c r="M19" s="81" t="n">
        <f aca="false">IF($A19="","",COUNTIFS(Programação!$I$5:$I$1004,$A19,Programação!$B$5:$B$1004,"VENCIDA",Programação!$O$5:$O$1004,"&gt;="&amp;$E$3,Programação!$O$5:$O$1004,"&lt;="&amp;$G$3)+COUNTIFS(Programação!$J$5:$J$1004,$A19,Programação!$B$5:$B$1004,"VENCIDA",Programação!$O$5:$O$1004,"&gt;="&amp;$E$3,Programação!$O$5:$O$1004,"&lt;="&amp;$G$3)+COUNTIFS(Programação!$K$5:$K$1004,$A19,Programação!$B$5:$B$1004,"VENCIDA",Programação!$O$5:$O$1004,"&gt;="&amp;$E$3,Programação!$O$5:$O$1004,"&lt;="&amp;$G$3))</f>
        <v>0</v>
      </c>
      <c r="N19" s="83" t="n">
        <f aca="false">IF($A19="","",SUMIFS(Programação!$AD$5:$AD$1004,Programação!$I$5:$I$1004,$A19,Programação!$O$5:$O$1004,"&gt;="&amp;$E$3,Programação!$O$5:$O$1004,"&lt;="&amp;$G$3,Programação!$R$5:$R$1004,"&lt;&gt;Cancelada")+SUMIFS(Programação!$AD$5:$AD$1004,Programação!$J$5:$J$1004,$A19,Programação!$O$5:$O$1004,"&gt;="&amp;$E$3,Programação!$O$5:$O$1004,"&lt;="&amp;$G$3,Programação!$R$5:$R$1004,"&lt;&gt;Cancelada")+SUMIFS(Programação!$AD$5:$AD$1004,Programação!$K$5:$K$1004,$A19,Programação!$O$5:$O$1004,"&gt;="&amp;$E$3,Programação!$O$5:$O$1004,"&lt;="&amp;$G$3,Programação!$R$5:$R$1004,"&lt;&gt;Cancelada"))</f>
        <v>5</v>
      </c>
    </row>
    <row r="20" customFormat="false" ht="16.5" hidden="false" customHeight="true" outlineLevel="0" collapsed="false">
      <c r="A20" s="23" t="str">
        <f aca="false">IF(Listas!A11="","",Listas!A11)</f>
        <v>Júnior</v>
      </c>
      <c r="B20" s="22" t="n">
        <f aca="false">IF($A20="","",COUNTIFS(Programação!$I$5:$I$1004,$A20,Programação!$P$5:$P$1004,B$13,Programação!$R$5:$R$1004,"&lt;&gt;Cancelada")+COUNTIFS(Programação!$J$5:$J$1004,$A20,Programação!$P$5:$P$1004,B$13,Programação!$R$5:$R$1004,"&lt;&gt;Cancelada")+COUNTIFS(Programação!$K$5:$K$1004,$A20,Programação!$P$5:$P$1004,B$13,Programação!$R$5:$R$1004,"&lt;&gt;Cancelada"))</f>
        <v>0</v>
      </c>
      <c r="C20" s="22" t="n">
        <f aca="false">IF($A20="","",COUNTIFS(Programação!$I$5:$I$1004,$A20,Programação!$P$5:$P$1004,C$13,Programação!$R$5:$R$1004,"&lt;&gt;Cancelada")+COUNTIFS(Programação!$J$5:$J$1004,$A20,Programação!$P$5:$P$1004,C$13,Programação!$R$5:$R$1004,"&lt;&gt;Cancelada")+COUNTIFS(Programação!$K$5:$K$1004,$A20,Programação!$P$5:$P$1004,C$13,Programação!$R$5:$R$1004,"&lt;&gt;Cancelada"))</f>
        <v>4</v>
      </c>
      <c r="D20" s="22" t="n">
        <f aca="false">IF($A20="","",COUNTIFS(Programação!$I$5:$I$1004,$A20,Programação!$P$5:$P$1004,D$13,Programação!$R$5:$R$1004,"&lt;&gt;Cancelada")+COUNTIFS(Programação!$J$5:$J$1004,$A20,Programação!$P$5:$P$1004,D$13,Programação!$R$5:$R$1004,"&lt;&gt;Cancelada")+COUNTIFS(Programação!$K$5:$K$1004,$A20,Programação!$P$5:$P$1004,D$13,Programação!$R$5:$R$1004,"&lt;&gt;Cancelada"))</f>
        <v>7</v>
      </c>
      <c r="E20" s="22" t="n">
        <f aca="false">IF($A20="","",COUNTIFS(Programação!$I$5:$I$1004,$A20,Programação!$P$5:$P$1004,E$13,Programação!$R$5:$R$1004,"&lt;&gt;Cancelada")+COUNTIFS(Programação!$J$5:$J$1004,$A20,Programação!$P$5:$P$1004,E$13,Programação!$R$5:$R$1004,"&lt;&gt;Cancelada")+COUNTIFS(Programação!$K$5:$K$1004,$A20,Programação!$P$5:$P$1004,E$13,Programação!$R$5:$R$1004,"&lt;&gt;Cancelada"))</f>
        <v>3</v>
      </c>
      <c r="F20" s="22" t="n">
        <f aca="false">IF($A20="","",COUNTIFS(Programação!$I$5:$I$1004,$A20,Programação!$P$5:$P$1004,F$13,Programação!$R$5:$R$1004,"&lt;&gt;Cancelada")+COUNTIFS(Programação!$J$5:$J$1004,$A20,Programação!$P$5:$P$1004,F$13,Programação!$R$5:$R$1004,"&lt;&gt;Cancelada")+COUNTIFS(Programação!$K$5:$K$1004,$A20,Programação!$P$5:$P$1004,F$13,Programação!$R$5:$R$1004,"&lt;&gt;Cancelada"))</f>
        <v>4</v>
      </c>
      <c r="G20" s="22" t="n">
        <f aca="false">IF($A20="","",COUNTIFS(Programação!$I$5:$I$1004,$A20,Programação!$P$5:$P$1004,G$13,Programação!$R$5:$R$1004,"&lt;&gt;Cancelada")+COUNTIFS(Programação!$J$5:$J$1004,$A20,Programação!$P$5:$P$1004,G$13,Programação!$R$5:$R$1004,"&lt;&gt;Cancelada")+COUNTIFS(Programação!$K$5:$K$1004,$A20,Programação!$P$5:$P$1004,G$13,Programação!$R$5:$R$1004,"&lt;&gt;Cancelada"))</f>
        <v>0</v>
      </c>
      <c r="H20" s="22" t="n">
        <f aca="false">IF($A20="","",COUNTIFS(Programação!$I$5:$I$1004,$A20,Programação!$P$5:$P$1004,H$13,Programação!$R$5:$R$1004,"&lt;&gt;Cancelada")+COUNTIFS(Programação!$J$5:$J$1004,$A20,Programação!$P$5:$P$1004,H$13,Programação!$R$5:$R$1004,"&lt;&gt;Cancelada")+COUNTIFS(Programação!$K$5:$K$1004,$A20,Programação!$P$5:$P$1004,H$13,Programação!$R$5:$R$1004,"&lt;&gt;Cancelada"))</f>
        <v>0</v>
      </c>
      <c r="I20" s="81" t="n">
        <f aca="false">IF($A20="","",SUM($B20:$H20))</f>
        <v>18</v>
      </c>
      <c r="J20" s="81" t="n">
        <f aca="false">IF($A20="","",SUMIFS(Programação!$N$5:$N$1004,Programação!$I$5:$I$1004,$A20,Programação!$O$5:$O$1004,"&gt;="&amp;$E$3,Programação!$O$5:$O$1004,"&lt;="&amp;$G$3,Programação!$R$5:$R$1004,"&lt;&gt;Cancelada")+SUMIFS(Programação!$N$5:$N$1004,Programação!$J$5:$J$1004,$A20,Programação!$O$5:$O$1004,"&gt;="&amp;$E$3,Programação!$O$5:$O$1004,"&lt;="&amp;$G$3,Programação!$R$5:$R$1004,"&lt;&gt;Cancelada")+SUMIFS(Programação!$N$5:$N$1004,Programação!$K$5:$K$1004,$A20,Programação!$O$5:$O$1004,"&gt;="&amp;$E$3,Programação!$O$5:$O$1004,"&lt;="&amp;$G$3,Programação!$R$5:$R$1004,"&lt;&gt;Cancelada"))</f>
        <v>60</v>
      </c>
      <c r="K20" s="81" t="n">
        <f aca="false">IF($A20="","",SUMIFS(Programação!$AB$5:$AB$1004,Programação!$I$5:$I$1004,$A20,Programação!$O$5:$O$1004,"&gt;="&amp;$E$3,Programação!$O$5:$O$1004,"&lt;="&amp;$G$3)+SUMIFS(Programação!$AB$5:$AB$1004,Programação!$J$5:$J$1004,$A20,Programação!$O$5:$O$1004,"&gt;="&amp;$E$3,Programação!$O$5:$O$1004,"&lt;="&amp;$G$3)+SUMIFS(Programação!$AB$5:$AB$1004,Programação!$K$5:$K$1004,$A20,Programação!$O$5:$O$1004,"&gt;="&amp;$E$3,Programação!$O$5:$O$1004,"&lt;="&amp;$G$3))</f>
        <v>12</v>
      </c>
      <c r="L20" s="82" t="n">
        <f aca="false">IF(OR($A20="",$I20=0),"",$K20/$I20)</f>
        <v>0.666666666666667</v>
      </c>
      <c r="M20" s="81" t="n">
        <f aca="false">IF($A20="","",COUNTIFS(Programação!$I$5:$I$1004,$A20,Programação!$B$5:$B$1004,"VENCIDA",Programação!$O$5:$O$1004,"&gt;="&amp;$E$3,Programação!$O$5:$O$1004,"&lt;="&amp;$G$3)+COUNTIFS(Programação!$J$5:$J$1004,$A20,Programação!$B$5:$B$1004,"VENCIDA",Programação!$O$5:$O$1004,"&gt;="&amp;$E$3,Programação!$O$5:$O$1004,"&lt;="&amp;$G$3)+COUNTIFS(Programação!$K$5:$K$1004,$A20,Programação!$B$5:$B$1004,"VENCIDA",Programação!$O$5:$O$1004,"&gt;="&amp;$E$3,Programação!$O$5:$O$1004,"&lt;="&amp;$G$3))</f>
        <v>1</v>
      </c>
      <c r="N20" s="83" t="n">
        <f aca="false">IF($A20="","",SUMIFS(Programação!$AD$5:$AD$1004,Programação!$I$5:$I$1004,$A20,Programação!$O$5:$O$1004,"&gt;="&amp;$E$3,Programação!$O$5:$O$1004,"&lt;="&amp;$G$3,Programação!$R$5:$R$1004,"&lt;&gt;Cancelada")+SUMIFS(Programação!$AD$5:$AD$1004,Programação!$J$5:$J$1004,$A20,Programação!$O$5:$O$1004,"&gt;="&amp;$E$3,Programação!$O$5:$O$1004,"&lt;="&amp;$G$3,Programação!$R$5:$R$1004,"&lt;&gt;Cancelada")+SUMIFS(Programação!$AD$5:$AD$1004,Programação!$K$5:$K$1004,$A20,Programação!$O$5:$O$1004,"&gt;="&amp;$E$3,Programação!$O$5:$O$1004,"&lt;="&amp;$G$3,Programação!$R$5:$R$1004,"&lt;&gt;Cancelada"))</f>
        <v>9.5</v>
      </c>
    </row>
    <row r="21" customFormat="false" ht="16.5" hidden="false" customHeight="true" outlineLevel="0" collapsed="false">
      <c r="A21" s="23" t="str">
        <f aca="false">IF(Listas!A12="","",Listas!A12)</f>
        <v>Luiz Paulo</v>
      </c>
      <c r="B21" s="22" t="n">
        <f aca="false">IF($A21="","",COUNTIFS(Programação!$I$5:$I$1004,$A21,Programação!$P$5:$P$1004,B$13,Programação!$R$5:$R$1004,"&lt;&gt;Cancelada")+COUNTIFS(Programação!$J$5:$J$1004,$A21,Programação!$P$5:$P$1004,B$13,Programação!$R$5:$R$1004,"&lt;&gt;Cancelada")+COUNTIFS(Programação!$K$5:$K$1004,$A21,Programação!$P$5:$P$1004,B$13,Programação!$R$5:$R$1004,"&lt;&gt;Cancelada"))</f>
        <v>0</v>
      </c>
      <c r="C21" s="22" t="n">
        <f aca="false">IF($A21="","",COUNTIFS(Programação!$I$5:$I$1004,$A21,Programação!$P$5:$P$1004,C$13,Programação!$R$5:$R$1004,"&lt;&gt;Cancelada")+COUNTIFS(Programação!$J$5:$J$1004,$A21,Programação!$P$5:$P$1004,C$13,Programação!$R$5:$R$1004,"&lt;&gt;Cancelada")+COUNTIFS(Programação!$K$5:$K$1004,$A21,Programação!$P$5:$P$1004,C$13,Programação!$R$5:$R$1004,"&lt;&gt;Cancelada"))</f>
        <v>0</v>
      </c>
      <c r="D21" s="22" t="n">
        <f aca="false">IF($A21="","",COUNTIFS(Programação!$I$5:$I$1004,$A21,Programação!$P$5:$P$1004,D$13,Programação!$R$5:$R$1004,"&lt;&gt;Cancelada")+COUNTIFS(Programação!$J$5:$J$1004,$A21,Programação!$P$5:$P$1004,D$13,Programação!$R$5:$R$1004,"&lt;&gt;Cancelada")+COUNTIFS(Programação!$K$5:$K$1004,$A21,Programação!$P$5:$P$1004,D$13,Programação!$R$5:$R$1004,"&lt;&gt;Cancelada"))</f>
        <v>0</v>
      </c>
      <c r="E21" s="22" t="n">
        <f aca="false">IF($A21="","",COUNTIFS(Programação!$I$5:$I$1004,$A21,Programação!$P$5:$P$1004,E$13,Programação!$R$5:$R$1004,"&lt;&gt;Cancelada")+COUNTIFS(Programação!$J$5:$J$1004,$A21,Programação!$P$5:$P$1004,E$13,Programação!$R$5:$R$1004,"&lt;&gt;Cancelada")+COUNTIFS(Programação!$K$5:$K$1004,$A21,Programação!$P$5:$P$1004,E$13,Programação!$R$5:$R$1004,"&lt;&gt;Cancelada"))</f>
        <v>4</v>
      </c>
      <c r="F21" s="22" t="n">
        <f aca="false">IF($A21="","",COUNTIFS(Programação!$I$5:$I$1004,$A21,Programação!$P$5:$P$1004,F$13,Programação!$R$5:$R$1004,"&lt;&gt;Cancelada")+COUNTIFS(Programação!$J$5:$J$1004,$A21,Programação!$P$5:$P$1004,F$13,Programação!$R$5:$R$1004,"&lt;&gt;Cancelada")+COUNTIFS(Programação!$K$5:$K$1004,$A21,Programação!$P$5:$P$1004,F$13,Programação!$R$5:$R$1004,"&lt;&gt;Cancelada"))</f>
        <v>3</v>
      </c>
      <c r="G21" s="22" t="n">
        <f aca="false">IF($A21="","",COUNTIFS(Programação!$I$5:$I$1004,$A21,Programação!$P$5:$P$1004,G$13,Programação!$R$5:$R$1004,"&lt;&gt;Cancelada")+COUNTIFS(Programação!$J$5:$J$1004,$A21,Programação!$P$5:$P$1004,G$13,Programação!$R$5:$R$1004,"&lt;&gt;Cancelada")+COUNTIFS(Programação!$K$5:$K$1004,$A21,Programação!$P$5:$P$1004,G$13,Programação!$R$5:$R$1004,"&lt;&gt;Cancelada"))</f>
        <v>1</v>
      </c>
      <c r="H21" s="22" t="n">
        <f aca="false">IF($A21="","",COUNTIFS(Programação!$I$5:$I$1004,$A21,Programação!$P$5:$P$1004,H$13,Programação!$R$5:$R$1004,"&lt;&gt;Cancelada")+COUNTIFS(Programação!$J$5:$J$1004,$A21,Programação!$P$5:$P$1004,H$13,Programação!$R$5:$R$1004,"&lt;&gt;Cancelada")+COUNTIFS(Programação!$K$5:$K$1004,$A21,Programação!$P$5:$P$1004,H$13,Programação!$R$5:$R$1004,"&lt;&gt;Cancelada"))</f>
        <v>0</v>
      </c>
      <c r="I21" s="81" t="n">
        <f aca="false">IF($A21="","",SUM($B21:$H21))</f>
        <v>8</v>
      </c>
      <c r="J21" s="81" t="n">
        <f aca="false">IF($A21="","",SUMIFS(Programação!$N$5:$N$1004,Programação!$I$5:$I$1004,$A21,Programação!$O$5:$O$1004,"&gt;="&amp;$E$3,Programação!$O$5:$O$1004,"&lt;="&amp;$G$3,Programação!$R$5:$R$1004,"&lt;&gt;Cancelada")+SUMIFS(Programação!$N$5:$N$1004,Programação!$J$5:$J$1004,$A21,Programação!$O$5:$O$1004,"&gt;="&amp;$E$3,Programação!$O$5:$O$1004,"&lt;="&amp;$G$3,Programação!$R$5:$R$1004,"&lt;&gt;Cancelada")+SUMIFS(Programação!$N$5:$N$1004,Programação!$K$5:$K$1004,$A21,Programação!$O$5:$O$1004,"&gt;="&amp;$E$3,Programação!$O$5:$O$1004,"&lt;="&amp;$G$3,Programação!$R$5:$R$1004,"&lt;&gt;Cancelada"))</f>
        <v>22</v>
      </c>
      <c r="K21" s="81" t="n">
        <f aca="false">IF($A21="","",SUMIFS(Programação!$AB$5:$AB$1004,Programação!$I$5:$I$1004,$A21,Programação!$O$5:$O$1004,"&gt;="&amp;$E$3,Programação!$O$5:$O$1004,"&lt;="&amp;$G$3)+SUMIFS(Programação!$AB$5:$AB$1004,Programação!$J$5:$J$1004,$A21,Programação!$O$5:$O$1004,"&gt;="&amp;$E$3,Programação!$O$5:$O$1004,"&lt;="&amp;$G$3)+SUMIFS(Programação!$AB$5:$AB$1004,Programação!$K$5:$K$1004,$A21,Programação!$O$5:$O$1004,"&gt;="&amp;$E$3,Programação!$O$5:$O$1004,"&lt;="&amp;$G$3))</f>
        <v>6</v>
      </c>
      <c r="L21" s="82" t="n">
        <f aca="false">IF(OR($A21="",$I21=0),"",$K21/$I21)</f>
        <v>0.75</v>
      </c>
      <c r="M21" s="81" t="n">
        <f aca="false">IF($A21="","",COUNTIFS(Programação!$I$5:$I$1004,$A21,Programação!$B$5:$B$1004,"VENCIDA",Programação!$O$5:$O$1004,"&gt;="&amp;$E$3,Programação!$O$5:$O$1004,"&lt;="&amp;$G$3)+COUNTIFS(Programação!$J$5:$J$1004,$A21,Programação!$B$5:$B$1004,"VENCIDA",Programação!$O$5:$O$1004,"&gt;="&amp;$E$3,Programação!$O$5:$O$1004,"&lt;="&amp;$G$3)+COUNTIFS(Programação!$K$5:$K$1004,$A21,Programação!$B$5:$B$1004,"VENCIDA",Programação!$O$5:$O$1004,"&gt;="&amp;$E$3,Programação!$O$5:$O$1004,"&lt;="&amp;$G$3))</f>
        <v>0</v>
      </c>
      <c r="N21" s="83" t="n">
        <f aca="false">IF($A21="","",SUMIFS(Programação!$AD$5:$AD$1004,Programação!$I$5:$I$1004,$A21,Programação!$O$5:$O$1004,"&gt;="&amp;$E$3,Programação!$O$5:$O$1004,"&lt;="&amp;$G$3,Programação!$R$5:$R$1004,"&lt;&gt;Cancelada")+SUMIFS(Programação!$AD$5:$AD$1004,Programação!$J$5:$J$1004,$A21,Programação!$O$5:$O$1004,"&gt;="&amp;$E$3,Programação!$O$5:$O$1004,"&lt;="&amp;$G$3,Programação!$R$5:$R$1004,"&lt;&gt;Cancelada")+SUMIFS(Programação!$AD$5:$AD$1004,Programação!$K$5:$K$1004,$A21,Programação!$O$5:$O$1004,"&gt;="&amp;$E$3,Programação!$O$5:$O$1004,"&lt;="&amp;$G$3,Programação!$R$5:$R$1004,"&lt;&gt;Cancelada"))</f>
        <v>8</v>
      </c>
    </row>
    <row r="22" customFormat="false" ht="16.5" hidden="false" customHeight="true" outlineLevel="0" collapsed="false">
      <c r="A22" s="23" t="str">
        <f aca="false">IF(Listas!A13="","",Listas!A13)</f>
        <v>Terceirizada</v>
      </c>
      <c r="B22" s="22" t="n">
        <f aca="false">IF($A22="","",COUNTIFS(Programação!$I$5:$I$1004,$A22,Programação!$P$5:$P$1004,B$13,Programação!$R$5:$R$1004,"&lt;&gt;Cancelada")+COUNTIFS(Programação!$J$5:$J$1004,$A22,Programação!$P$5:$P$1004,B$13,Programação!$R$5:$R$1004,"&lt;&gt;Cancelada")+COUNTIFS(Programação!$K$5:$K$1004,$A22,Programação!$P$5:$P$1004,B$13,Programação!$R$5:$R$1004,"&lt;&gt;Cancelada"))</f>
        <v>0</v>
      </c>
      <c r="C22" s="22" t="n">
        <f aca="false">IF($A22="","",COUNTIFS(Programação!$I$5:$I$1004,$A22,Programação!$P$5:$P$1004,C$13,Programação!$R$5:$R$1004,"&lt;&gt;Cancelada")+COUNTIFS(Programação!$J$5:$J$1004,$A22,Programação!$P$5:$P$1004,C$13,Programação!$R$5:$R$1004,"&lt;&gt;Cancelada")+COUNTIFS(Programação!$K$5:$K$1004,$A22,Programação!$P$5:$P$1004,C$13,Programação!$R$5:$R$1004,"&lt;&gt;Cancelada"))</f>
        <v>0</v>
      </c>
      <c r="D22" s="22" t="n">
        <f aca="false">IF($A22="","",COUNTIFS(Programação!$I$5:$I$1004,$A22,Programação!$P$5:$P$1004,D$13,Programação!$R$5:$R$1004,"&lt;&gt;Cancelada")+COUNTIFS(Programação!$J$5:$J$1004,$A22,Programação!$P$5:$P$1004,D$13,Programação!$R$5:$R$1004,"&lt;&gt;Cancelada")+COUNTIFS(Programação!$K$5:$K$1004,$A22,Programação!$P$5:$P$1004,D$13,Programação!$R$5:$R$1004,"&lt;&gt;Cancelada"))</f>
        <v>0</v>
      </c>
      <c r="E22" s="22" t="n">
        <f aca="false">IF($A22="","",COUNTIFS(Programação!$I$5:$I$1004,$A22,Programação!$P$5:$P$1004,E$13,Programação!$R$5:$R$1004,"&lt;&gt;Cancelada")+COUNTIFS(Programação!$J$5:$J$1004,$A22,Programação!$P$5:$P$1004,E$13,Programação!$R$5:$R$1004,"&lt;&gt;Cancelada")+COUNTIFS(Programação!$K$5:$K$1004,$A22,Programação!$P$5:$P$1004,E$13,Programação!$R$5:$R$1004,"&lt;&gt;Cancelada"))</f>
        <v>0</v>
      </c>
      <c r="F22" s="22" t="n">
        <f aca="false">IF($A22="","",COUNTIFS(Programação!$I$5:$I$1004,$A22,Programação!$P$5:$P$1004,F$13,Programação!$R$5:$R$1004,"&lt;&gt;Cancelada")+COUNTIFS(Programação!$J$5:$J$1004,$A22,Programação!$P$5:$P$1004,F$13,Programação!$R$5:$R$1004,"&lt;&gt;Cancelada")+COUNTIFS(Programação!$K$5:$K$1004,$A22,Programação!$P$5:$P$1004,F$13,Programação!$R$5:$R$1004,"&lt;&gt;Cancelada"))</f>
        <v>1</v>
      </c>
      <c r="G22" s="22" t="n">
        <f aca="false">IF($A22="","",COUNTIFS(Programação!$I$5:$I$1004,$A22,Programação!$P$5:$P$1004,G$13,Programação!$R$5:$R$1004,"&lt;&gt;Cancelada")+COUNTIFS(Programação!$J$5:$J$1004,$A22,Programação!$P$5:$P$1004,G$13,Programação!$R$5:$R$1004,"&lt;&gt;Cancelada")+COUNTIFS(Programação!$K$5:$K$1004,$A22,Programação!$P$5:$P$1004,G$13,Programação!$R$5:$R$1004,"&lt;&gt;Cancelada"))</f>
        <v>0</v>
      </c>
      <c r="H22" s="22" t="n">
        <f aca="false">IF($A22="","",COUNTIFS(Programação!$I$5:$I$1004,$A22,Programação!$P$5:$P$1004,H$13,Programação!$R$5:$R$1004,"&lt;&gt;Cancelada")+COUNTIFS(Programação!$J$5:$J$1004,$A22,Programação!$P$5:$P$1004,H$13,Programação!$R$5:$R$1004,"&lt;&gt;Cancelada")+COUNTIFS(Programação!$K$5:$K$1004,$A22,Programação!$P$5:$P$1004,H$13,Programação!$R$5:$R$1004,"&lt;&gt;Cancelada"))</f>
        <v>0</v>
      </c>
      <c r="I22" s="81" t="n">
        <f aca="false">IF($A22="","",SUM($B22:$H22))</f>
        <v>1</v>
      </c>
      <c r="J22" s="81" t="n">
        <f aca="false">IF($A22="","",SUMIFS(Programação!$N$5:$N$1004,Programação!$I$5:$I$1004,$A22,Programação!$O$5:$O$1004,"&gt;="&amp;$E$3,Programação!$O$5:$O$1004,"&lt;="&amp;$G$3,Programação!$R$5:$R$1004,"&lt;&gt;Cancelada")+SUMIFS(Programação!$N$5:$N$1004,Programação!$J$5:$J$1004,$A22,Programação!$O$5:$O$1004,"&gt;="&amp;$E$3,Programação!$O$5:$O$1004,"&lt;="&amp;$G$3,Programação!$R$5:$R$1004,"&lt;&gt;Cancelada")+SUMIFS(Programação!$N$5:$N$1004,Programação!$K$5:$K$1004,$A22,Programação!$O$5:$O$1004,"&gt;="&amp;$E$3,Programação!$O$5:$O$1004,"&lt;="&amp;$G$3,Programação!$R$5:$R$1004,"&lt;&gt;Cancelada"))</f>
        <v>3</v>
      </c>
      <c r="K22" s="81" t="n">
        <f aca="false">IF($A22="","",SUMIFS(Programação!$AB$5:$AB$1004,Programação!$I$5:$I$1004,$A22,Programação!$O$5:$O$1004,"&gt;="&amp;$E$3,Programação!$O$5:$O$1004,"&lt;="&amp;$G$3)+SUMIFS(Programação!$AB$5:$AB$1004,Programação!$J$5:$J$1004,$A22,Programação!$O$5:$O$1004,"&gt;="&amp;$E$3,Programação!$O$5:$O$1004,"&lt;="&amp;$G$3)+SUMIFS(Programação!$AB$5:$AB$1004,Programação!$K$5:$K$1004,$A22,Programação!$O$5:$O$1004,"&gt;="&amp;$E$3,Programação!$O$5:$O$1004,"&lt;="&amp;$G$3))</f>
        <v>0</v>
      </c>
      <c r="L22" s="82" t="n">
        <f aca="false">IF(OR($A22="",$I22=0),"",$K22/$I22)</f>
        <v>0</v>
      </c>
      <c r="M22" s="81" t="n">
        <f aca="false">IF($A22="","",COUNTIFS(Programação!$I$5:$I$1004,$A22,Programação!$B$5:$B$1004,"VENCIDA",Programação!$O$5:$O$1004,"&gt;="&amp;$E$3,Programação!$O$5:$O$1004,"&lt;="&amp;$G$3)+COUNTIFS(Programação!$J$5:$J$1004,$A22,Programação!$B$5:$B$1004,"VENCIDA",Programação!$O$5:$O$1004,"&gt;="&amp;$E$3,Programação!$O$5:$O$1004,"&lt;="&amp;$G$3)+COUNTIFS(Programação!$K$5:$K$1004,$A22,Programação!$B$5:$B$1004,"VENCIDA",Programação!$O$5:$O$1004,"&gt;="&amp;$E$3,Programação!$O$5:$O$1004,"&lt;="&amp;$G$3))</f>
        <v>0</v>
      </c>
      <c r="N22" s="83" t="n">
        <f aca="false">IF($A22="","",SUMIFS(Programação!$AD$5:$AD$1004,Programação!$I$5:$I$1004,$A22,Programação!$O$5:$O$1004,"&gt;="&amp;$E$3,Programação!$O$5:$O$1004,"&lt;="&amp;$G$3,Programação!$R$5:$R$1004,"&lt;&gt;Cancelada")+SUMIFS(Programação!$AD$5:$AD$1004,Programação!$J$5:$J$1004,$A22,Programação!$O$5:$O$1004,"&gt;="&amp;$E$3,Programação!$O$5:$O$1004,"&lt;="&amp;$G$3,Programação!$R$5:$R$1004,"&lt;&gt;Cancelada")+SUMIFS(Programação!$AD$5:$AD$1004,Programação!$K$5:$K$1004,$A22,Programação!$O$5:$O$1004,"&gt;="&amp;$E$3,Programação!$O$5:$O$1004,"&lt;="&amp;$G$3,Programação!$R$5:$R$1004,"&lt;&gt;Cancelada"))</f>
        <v>1</v>
      </c>
    </row>
    <row r="23" customFormat="false" ht="16.5" hidden="false" customHeight="true" outlineLevel="0" collapsed="false">
      <c r="A23" s="23" t="str">
        <f aca="false">IF(Listas!A14="","",Listas!A14)</f>
        <v>Thawan</v>
      </c>
      <c r="B23" s="22" t="n">
        <f aca="false">IF($A23="","",COUNTIFS(Programação!$I$5:$I$1004,$A23,Programação!$P$5:$P$1004,B$13,Programação!$R$5:$R$1004,"&lt;&gt;Cancelada")+COUNTIFS(Programação!$J$5:$J$1004,$A23,Programação!$P$5:$P$1004,B$13,Programação!$R$5:$R$1004,"&lt;&gt;Cancelada")+COUNTIFS(Programação!$K$5:$K$1004,$A23,Programação!$P$5:$P$1004,B$13,Programação!$R$5:$R$1004,"&lt;&gt;Cancelada"))</f>
        <v>0</v>
      </c>
      <c r="C23" s="22" t="n">
        <f aca="false">IF($A23="","",COUNTIFS(Programação!$I$5:$I$1004,$A23,Programação!$P$5:$P$1004,C$13,Programação!$R$5:$R$1004,"&lt;&gt;Cancelada")+COUNTIFS(Programação!$J$5:$J$1004,$A23,Programação!$P$5:$P$1004,C$13,Programação!$R$5:$R$1004,"&lt;&gt;Cancelada")+COUNTIFS(Programação!$K$5:$K$1004,$A23,Programação!$P$5:$P$1004,C$13,Programação!$R$5:$R$1004,"&lt;&gt;Cancelada"))</f>
        <v>0</v>
      </c>
      <c r="D23" s="22" t="n">
        <f aca="false">IF($A23="","",COUNTIFS(Programação!$I$5:$I$1004,$A23,Programação!$P$5:$P$1004,D$13,Programação!$R$5:$R$1004,"&lt;&gt;Cancelada")+COUNTIFS(Programação!$J$5:$J$1004,$A23,Programação!$P$5:$P$1004,D$13,Programação!$R$5:$R$1004,"&lt;&gt;Cancelada")+COUNTIFS(Programação!$K$5:$K$1004,$A23,Programação!$P$5:$P$1004,D$13,Programação!$R$5:$R$1004,"&lt;&gt;Cancelada"))</f>
        <v>0</v>
      </c>
      <c r="E23" s="22" t="n">
        <f aca="false">IF($A23="","",COUNTIFS(Programação!$I$5:$I$1004,$A23,Programação!$P$5:$P$1004,E$13,Programação!$R$5:$R$1004,"&lt;&gt;Cancelada")+COUNTIFS(Programação!$J$5:$J$1004,$A23,Programação!$P$5:$P$1004,E$13,Programação!$R$5:$R$1004,"&lt;&gt;Cancelada")+COUNTIFS(Programação!$K$5:$K$1004,$A23,Programação!$P$5:$P$1004,E$13,Programação!$R$5:$R$1004,"&lt;&gt;Cancelada"))</f>
        <v>0</v>
      </c>
      <c r="F23" s="22" t="n">
        <f aca="false">IF($A23="","",COUNTIFS(Programação!$I$5:$I$1004,$A23,Programação!$P$5:$P$1004,F$13,Programação!$R$5:$R$1004,"&lt;&gt;Cancelada")+COUNTIFS(Programação!$J$5:$J$1004,$A23,Programação!$P$5:$P$1004,F$13,Programação!$R$5:$R$1004,"&lt;&gt;Cancelada")+COUNTIFS(Programação!$K$5:$K$1004,$A23,Programação!$P$5:$P$1004,F$13,Programação!$R$5:$R$1004,"&lt;&gt;Cancelada"))</f>
        <v>0</v>
      </c>
      <c r="G23" s="22" t="n">
        <f aca="false">IF($A23="","",COUNTIFS(Programação!$I$5:$I$1004,$A23,Programação!$P$5:$P$1004,G$13,Programação!$R$5:$R$1004,"&lt;&gt;Cancelada")+COUNTIFS(Programação!$J$5:$J$1004,$A23,Programação!$P$5:$P$1004,G$13,Programação!$R$5:$R$1004,"&lt;&gt;Cancelada")+COUNTIFS(Programação!$K$5:$K$1004,$A23,Programação!$P$5:$P$1004,G$13,Programação!$R$5:$R$1004,"&lt;&gt;Cancelada"))</f>
        <v>0</v>
      </c>
      <c r="H23" s="22" t="n">
        <f aca="false">IF($A23="","",COUNTIFS(Programação!$I$5:$I$1004,$A23,Programação!$P$5:$P$1004,H$13,Programação!$R$5:$R$1004,"&lt;&gt;Cancelada")+COUNTIFS(Programação!$J$5:$J$1004,$A23,Programação!$P$5:$P$1004,H$13,Programação!$R$5:$R$1004,"&lt;&gt;Cancelada")+COUNTIFS(Programação!$K$5:$K$1004,$A23,Programação!$P$5:$P$1004,H$13,Programação!$R$5:$R$1004,"&lt;&gt;Cancelada"))</f>
        <v>0</v>
      </c>
      <c r="I23" s="81" t="n">
        <f aca="false">IF($A23="","",SUM($B23:$H23))</f>
        <v>0</v>
      </c>
      <c r="J23" s="81" t="n">
        <f aca="false">IF($A23="","",SUMIFS(Programação!$N$5:$N$1004,Programação!$I$5:$I$1004,$A23,Programação!$O$5:$O$1004,"&gt;="&amp;$E$3,Programação!$O$5:$O$1004,"&lt;="&amp;$G$3,Programação!$R$5:$R$1004,"&lt;&gt;Cancelada")+SUMIFS(Programação!$N$5:$N$1004,Programação!$J$5:$J$1004,$A23,Programação!$O$5:$O$1004,"&gt;="&amp;$E$3,Programação!$O$5:$O$1004,"&lt;="&amp;$G$3,Programação!$R$5:$R$1004,"&lt;&gt;Cancelada")+SUMIFS(Programação!$N$5:$N$1004,Programação!$K$5:$K$1004,$A23,Programação!$O$5:$O$1004,"&gt;="&amp;$E$3,Programação!$O$5:$O$1004,"&lt;="&amp;$G$3,Programação!$R$5:$R$1004,"&lt;&gt;Cancelada"))</f>
        <v>0</v>
      </c>
      <c r="K23" s="81" t="n">
        <f aca="false">IF($A23="","",SUMIFS(Programação!$AB$5:$AB$1004,Programação!$I$5:$I$1004,$A23,Programação!$O$5:$O$1004,"&gt;="&amp;$E$3,Programação!$O$5:$O$1004,"&lt;="&amp;$G$3)+SUMIFS(Programação!$AB$5:$AB$1004,Programação!$J$5:$J$1004,$A23,Programação!$O$5:$O$1004,"&gt;="&amp;$E$3,Programação!$O$5:$O$1004,"&lt;="&amp;$G$3)+SUMIFS(Programação!$AB$5:$AB$1004,Programação!$K$5:$K$1004,$A23,Programação!$O$5:$O$1004,"&gt;="&amp;$E$3,Programação!$O$5:$O$1004,"&lt;="&amp;$G$3))</f>
        <v>0</v>
      </c>
      <c r="L23" s="82" t="str">
        <f aca="false">IF(OR($A23="",$I23=0),"",$K23/$I23)</f>
        <v/>
      </c>
      <c r="M23" s="81" t="n">
        <f aca="false">IF($A23="","",COUNTIFS(Programação!$I$5:$I$1004,$A23,Programação!$B$5:$B$1004,"VENCIDA",Programação!$O$5:$O$1004,"&gt;="&amp;$E$3,Programação!$O$5:$O$1004,"&lt;="&amp;$G$3)+COUNTIFS(Programação!$J$5:$J$1004,$A23,Programação!$B$5:$B$1004,"VENCIDA",Programação!$O$5:$O$1004,"&gt;="&amp;$E$3,Programação!$O$5:$O$1004,"&lt;="&amp;$G$3)+COUNTIFS(Programação!$K$5:$K$1004,$A23,Programação!$B$5:$B$1004,"VENCIDA",Programação!$O$5:$O$1004,"&gt;="&amp;$E$3,Programação!$O$5:$O$1004,"&lt;="&amp;$G$3))</f>
        <v>0</v>
      </c>
      <c r="N23" s="83" t="n">
        <f aca="false">IF($A23="","",SUMIFS(Programação!$AD$5:$AD$1004,Programação!$I$5:$I$1004,$A23,Programação!$O$5:$O$1004,"&gt;="&amp;$E$3,Programação!$O$5:$O$1004,"&lt;="&amp;$G$3,Programação!$R$5:$R$1004,"&lt;&gt;Cancelada")+SUMIFS(Programação!$AD$5:$AD$1004,Programação!$J$5:$J$1004,$A23,Programação!$O$5:$O$1004,"&gt;="&amp;$E$3,Programação!$O$5:$O$1004,"&lt;="&amp;$G$3,Programação!$R$5:$R$1004,"&lt;&gt;Cancelada")+SUMIFS(Programação!$AD$5:$AD$1004,Programação!$K$5:$K$1004,$A23,Programação!$O$5:$O$1004,"&gt;="&amp;$E$3,Programação!$O$5:$O$1004,"&lt;="&amp;$G$3,Programação!$R$5:$R$1004,"&lt;&gt;Cancelada"))</f>
        <v>0</v>
      </c>
    </row>
    <row r="24" customFormat="false" ht="16.5" hidden="false" customHeight="true" outlineLevel="0" collapsed="false">
      <c r="A24" s="23" t="str">
        <f aca="false">IF(Listas!A15="","",Listas!A15)</f>
        <v>ASX (externo)</v>
      </c>
      <c r="B24" s="22" t="n">
        <f aca="false">IF($A24="","",COUNTIFS(Programação!$I$5:$I$1004,$A24,Programação!$P$5:$P$1004,B$13,Programação!$R$5:$R$1004,"&lt;&gt;Cancelada")+COUNTIFS(Programação!$J$5:$J$1004,$A24,Programação!$P$5:$P$1004,B$13,Programação!$R$5:$R$1004,"&lt;&gt;Cancelada")+COUNTIFS(Programação!$K$5:$K$1004,$A24,Programação!$P$5:$P$1004,B$13,Programação!$R$5:$R$1004,"&lt;&gt;Cancelada"))</f>
        <v>0</v>
      </c>
      <c r="C24" s="22" t="n">
        <f aca="false">IF($A24="","",COUNTIFS(Programação!$I$5:$I$1004,$A24,Programação!$P$5:$P$1004,C$13,Programação!$R$5:$R$1004,"&lt;&gt;Cancelada")+COUNTIFS(Programação!$J$5:$J$1004,$A24,Programação!$P$5:$P$1004,C$13,Programação!$R$5:$R$1004,"&lt;&gt;Cancelada")+COUNTIFS(Programação!$K$5:$K$1004,$A24,Programação!$P$5:$P$1004,C$13,Programação!$R$5:$R$1004,"&lt;&gt;Cancelada"))</f>
        <v>0</v>
      </c>
      <c r="D24" s="22" t="n">
        <f aca="false">IF($A24="","",COUNTIFS(Programação!$I$5:$I$1004,$A24,Programação!$P$5:$P$1004,D$13,Programação!$R$5:$R$1004,"&lt;&gt;Cancelada")+COUNTIFS(Programação!$J$5:$J$1004,$A24,Programação!$P$5:$P$1004,D$13,Programação!$R$5:$R$1004,"&lt;&gt;Cancelada")+COUNTIFS(Programação!$K$5:$K$1004,$A24,Programação!$P$5:$P$1004,D$13,Programação!$R$5:$R$1004,"&lt;&gt;Cancelada"))</f>
        <v>0</v>
      </c>
      <c r="E24" s="22" t="n">
        <f aca="false">IF($A24="","",COUNTIFS(Programação!$I$5:$I$1004,$A24,Programação!$P$5:$P$1004,E$13,Programação!$R$5:$R$1004,"&lt;&gt;Cancelada")+COUNTIFS(Programação!$J$5:$J$1004,$A24,Programação!$P$5:$P$1004,E$13,Programação!$R$5:$R$1004,"&lt;&gt;Cancelada")+COUNTIFS(Programação!$K$5:$K$1004,$A24,Programação!$P$5:$P$1004,E$13,Programação!$R$5:$R$1004,"&lt;&gt;Cancelada"))</f>
        <v>0</v>
      </c>
      <c r="F24" s="22" t="n">
        <f aca="false">IF($A24="","",COUNTIFS(Programação!$I$5:$I$1004,$A24,Programação!$P$5:$P$1004,F$13,Programação!$R$5:$R$1004,"&lt;&gt;Cancelada")+COUNTIFS(Programação!$J$5:$J$1004,$A24,Programação!$P$5:$P$1004,F$13,Programação!$R$5:$R$1004,"&lt;&gt;Cancelada")+COUNTIFS(Programação!$K$5:$K$1004,$A24,Programação!$P$5:$P$1004,F$13,Programação!$R$5:$R$1004,"&lt;&gt;Cancelada"))</f>
        <v>0</v>
      </c>
      <c r="G24" s="22" t="n">
        <f aca="false">IF($A24="","",COUNTIFS(Programação!$I$5:$I$1004,$A24,Programação!$P$5:$P$1004,G$13,Programação!$R$5:$R$1004,"&lt;&gt;Cancelada")+COUNTIFS(Programação!$J$5:$J$1004,$A24,Programação!$P$5:$P$1004,G$13,Programação!$R$5:$R$1004,"&lt;&gt;Cancelada")+COUNTIFS(Programação!$K$5:$K$1004,$A24,Programação!$P$5:$P$1004,G$13,Programação!$R$5:$R$1004,"&lt;&gt;Cancelada"))</f>
        <v>0</v>
      </c>
      <c r="H24" s="22" t="n">
        <f aca="false">IF($A24="","",COUNTIFS(Programação!$I$5:$I$1004,$A24,Programação!$P$5:$P$1004,H$13,Programação!$R$5:$R$1004,"&lt;&gt;Cancelada")+COUNTIFS(Programação!$J$5:$J$1004,$A24,Programação!$P$5:$P$1004,H$13,Programação!$R$5:$R$1004,"&lt;&gt;Cancelada")+COUNTIFS(Programação!$K$5:$K$1004,$A24,Programação!$P$5:$P$1004,H$13,Programação!$R$5:$R$1004,"&lt;&gt;Cancelada"))</f>
        <v>0</v>
      </c>
      <c r="I24" s="81" t="n">
        <f aca="false">IF($A24="","",SUM($B24:$H24))</f>
        <v>0</v>
      </c>
      <c r="J24" s="81" t="n">
        <f aca="false">IF($A24="","",SUMIFS(Programação!$N$5:$N$1004,Programação!$I$5:$I$1004,$A24,Programação!$O$5:$O$1004,"&gt;="&amp;$E$3,Programação!$O$5:$O$1004,"&lt;="&amp;$G$3,Programação!$R$5:$R$1004,"&lt;&gt;Cancelada")+SUMIFS(Programação!$N$5:$N$1004,Programação!$J$5:$J$1004,$A24,Programação!$O$5:$O$1004,"&gt;="&amp;$E$3,Programação!$O$5:$O$1004,"&lt;="&amp;$G$3,Programação!$R$5:$R$1004,"&lt;&gt;Cancelada")+SUMIFS(Programação!$N$5:$N$1004,Programação!$K$5:$K$1004,$A24,Programação!$O$5:$O$1004,"&gt;="&amp;$E$3,Programação!$O$5:$O$1004,"&lt;="&amp;$G$3,Programação!$R$5:$R$1004,"&lt;&gt;Cancelada"))</f>
        <v>0</v>
      </c>
      <c r="K24" s="81" t="n">
        <f aca="false">IF($A24="","",SUMIFS(Programação!$AB$5:$AB$1004,Programação!$I$5:$I$1004,$A24,Programação!$O$5:$O$1004,"&gt;="&amp;$E$3,Programação!$O$5:$O$1004,"&lt;="&amp;$G$3)+SUMIFS(Programação!$AB$5:$AB$1004,Programação!$J$5:$J$1004,$A24,Programação!$O$5:$O$1004,"&gt;="&amp;$E$3,Programação!$O$5:$O$1004,"&lt;="&amp;$G$3)+SUMIFS(Programação!$AB$5:$AB$1004,Programação!$K$5:$K$1004,$A24,Programação!$O$5:$O$1004,"&gt;="&amp;$E$3,Programação!$O$5:$O$1004,"&lt;="&amp;$G$3))</f>
        <v>0</v>
      </c>
      <c r="L24" s="82" t="str">
        <f aca="false">IF(OR($A24="",$I24=0),"",$K24/$I24)</f>
        <v/>
      </c>
      <c r="M24" s="81" t="n">
        <f aca="false">IF($A24="","",COUNTIFS(Programação!$I$5:$I$1004,$A24,Programação!$B$5:$B$1004,"VENCIDA",Programação!$O$5:$O$1004,"&gt;="&amp;$E$3,Programação!$O$5:$O$1004,"&lt;="&amp;$G$3)+COUNTIFS(Programação!$J$5:$J$1004,$A24,Programação!$B$5:$B$1004,"VENCIDA",Programação!$O$5:$O$1004,"&gt;="&amp;$E$3,Programação!$O$5:$O$1004,"&lt;="&amp;$G$3)+COUNTIFS(Programação!$K$5:$K$1004,$A24,Programação!$B$5:$B$1004,"VENCIDA",Programação!$O$5:$O$1004,"&gt;="&amp;$E$3,Programação!$O$5:$O$1004,"&lt;="&amp;$G$3))</f>
        <v>0</v>
      </c>
      <c r="N24" s="83" t="n">
        <f aca="false">IF($A24="","",SUMIFS(Programação!$AD$5:$AD$1004,Programação!$I$5:$I$1004,$A24,Programação!$O$5:$O$1004,"&gt;="&amp;$E$3,Programação!$O$5:$O$1004,"&lt;="&amp;$G$3,Programação!$R$5:$R$1004,"&lt;&gt;Cancelada")+SUMIFS(Programação!$AD$5:$AD$1004,Programação!$J$5:$J$1004,$A24,Programação!$O$5:$O$1004,"&gt;="&amp;$E$3,Programação!$O$5:$O$1004,"&lt;="&amp;$G$3,Programação!$R$5:$R$1004,"&lt;&gt;Cancelada")+SUMIFS(Programação!$AD$5:$AD$1004,Programação!$K$5:$K$1004,$A24,Programação!$O$5:$O$1004,"&gt;="&amp;$E$3,Programação!$O$5:$O$1004,"&lt;="&amp;$G$3,Programação!$R$5:$R$1004,"&lt;&gt;Cancelada"))</f>
        <v>0</v>
      </c>
    </row>
    <row r="25" customFormat="false" ht="16.5" hidden="false" customHeight="true" outlineLevel="0" collapsed="false">
      <c r="A25" s="23" t="str">
        <f aca="false">IF(Listas!A16="","",Listas!A16)</f>
        <v>Cardan Nordeste (externo)</v>
      </c>
      <c r="B25" s="22" t="n">
        <f aca="false">IF($A25="","",COUNTIFS(Programação!$I$5:$I$1004,$A25,Programação!$P$5:$P$1004,B$13,Programação!$R$5:$R$1004,"&lt;&gt;Cancelada")+COUNTIFS(Programação!$J$5:$J$1004,$A25,Programação!$P$5:$P$1004,B$13,Programação!$R$5:$R$1004,"&lt;&gt;Cancelada")+COUNTIFS(Programação!$K$5:$K$1004,$A25,Programação!$P$5:$P$1004,B$13,Programação!$R$5:$R$1004,"&lt;&gt;Cancelada"))</f>
        <v>0</v>
      </c>
      <c r="C25" s="22" t="n">
        <f aca="false">IF($A25="","",COUNTIFS(Programação!$I$5:$I$1004,$A25,Programação!$P$5:$P$1004,C$13,Programação!$R$5:$R$1004,"&lt;&gt;Cancelada")+COUNTIFS(Programação!$J$5:$J$1004,$A25,Programação!$P$5:$P$1004,C$13,Programação!$R$5:$R$1004,"&lt;&gt;Cancelada")+COUNTIFS(Programação!$K$5:$K$1004,$A25,Programação!$P$5:$P$1004,C$13,Programação!$R$5:$R$1004,"&lt;&gt;Cancelada"))</f>
        <v>0</v>
      </c>
      <c r="D25" s="22" t="n">
        <f aca="false">IF($A25="","",COUNTIFS(Programação!$I$5:$I$1004,$A25,Programação!$P$5:$P$1004,D$13,Programação!$R$5:$R$1004,"&lt;&gt;Cancelada")+COUNTIFS(Programação!$J$5:$J$1004,$A25,Programação!$P$5:$P$1004,D$13,Programação!$R$5:$R$1004,"&lt;&gt;Cancelada")+COUNTIFS(Programação!$K$5:$K$1004,$A25,Programação!$P$5:$P$1004,D$13,Programação!$R$5:$R$1004,"&lt;&gt;Cancelada"))</f>
        <v>0</v>
      </c>
      <c r="E25" s="22" t="n">
        <f aca="false">IF($A25="","",COUNTIFS(Programação!$I$5:$I$1004,$A25,Programação!$P$5:$P$1004,E$13,Programação!$R$5:$R$1004,"&lt;&gt;Cancelada")+COUNTIFS(Programação!$J$5:$J$1004,$A25,Programação!$P$5:$P$1004,E$13,Programação!$R$5:$R$1004,"&lt;&gt;Cancelada")+COUNTIFS(Programação!$K$5:$K$1004,$A25,Programação!$P$5:$P$1004,E$13,Programação!$R$5:$R$1004,"&lt;&gt;Cancelada"))</f>
        <v>0</v>
      </c>
      <c r="F25" s="22" t="n">
        <f aca="false">IF($A25="","",COUNTIFS(Programação!$I$5:$I$1004,$A25,Programação!$P$5:$P$1004,F$13,Programação!$R$5:$R$1004,"&lt;&gt;Cancelada")+COUNTIFS(Programação!$J$5:$J$1004,$A25,Programação!$P$5:$P$1004,F$13,Programação!$R$5:$R$1004,"&lt;&gt;Cancelada")+COUNTIFS(Programação!$K$5:$K$1004,$A25,Programação!$P$5:$P$1004,F$13,Programação!$R$5:$R$1004,"&lt;&gt;Cancelada"))</f>
        <v>0</v>
      </c>
      <c r="G25" s="22" t="n">
        <f aca="false">IF($A25="","",COUNTIFS(Programação!$I$5:$I$1004,$A25,Programação!$P$5:$P$1004,G$13,Programação!$R$5:$R$1004,"&lt;&gt;Cancelada")+COUNTIFS(Programação!$J$5:$J$1004,$A25,Programação!$P$5:$P$1004,G$13,Programação!$R$5:$R$1004,"&lt;&gt;Cancelada")+COUNTIFS(Programação!$K$5:$K$1004,$A25,Programação!$P$5:$P$1004,G$13,Programação!$R$5:$R$1004,"&lt;&gt;Cancelada"))</f>
        <v>0</v>
      </c>
      <c r="H25" s="22" t="n">
        <f aca="false">IF($A25="","",COUNTIFS(Programação!$I$5:$I$1004,$A25,Programação!$P$5:$P$1004,H$13,Programação!$R$5:$R$1004,"&lt;&gt;Cancelada")+COUNTIFS(Programação!$J$5:$J$1004,$A25,Programação!$P$5:$P$1004,H$13,Programação!$R$5:$R$1004,"&lt;&gt;Cancelada")+COUNTIFS(Programação!$K$5:$K$1004,$A25,Programação!$P$5:$P$1004,H$13,Programação!$R$5:$R$1004,"&lt;&gt;Cancelada"))</f>
        <v>0</v>
      </c>
      <c r="I25" s="81" t="n">
        <f aca="false">IF($A25="","",SUM($B25:$H25))</f>
        <v>0</v>
      </c>
      <c r="J25" s="81" t="n">
        <f aca="false">IF($A25="","",SUMIFS(Programação!$N$5:$N$1004,Programação!$I$5:$I$1004,$A25,Programação!$O$5:$O$1004,"&gt;="&amp;$E$3,Programação!$O$5:$O$1004,"&lt;="&amp;$G$3,Programação!$R$5:$R$1004,"&lt;&gt;Cancelada")+SUMIFS(Programação!$N$5:$N$1004,Programação!$J$5:$J$1004,$A25,Programação!$O$5:$O$1004,"&gt;="&amp;$E$3,Programação!$O$5:$O$1004,"&lt;="&amp;$G$3,Programação!$R$5:$R$1004,"&lt;&gt;Cancelada")+SUMIFS(Programação!$N$5:$N$1004,Programação!$K$5:$K$1004,$A25,Programação!$O$5:$O$1004,"&gt;="&amp;$E$3,Programação!$O$5:$O$1004,"&lt;="&amp;$G$3,Programação!$R$5:$R$1004,"&lt;&gt;Cancelada"))</f>
        <v>0</v>
      </c>
      <c r="K25" s="81" t="n">
        <f aca="false">IF($A25="","",SUMIFS(Programação!$AB$5:$AB$1004,Programação!$I$5:$I$1004,$A25,Programação!$O$5:$O$1004,"&gt;="&amp;$E$3,Programação!$O$5:$O$1004,"&lt;="&amp;$G$3)+SUMIFS(Programação!$AB$5:$AB$1004,Programação!$J$5:$J$1004,$A25,Programação!$O$5:$O$1004,"&gt;="&amp;$E$3,Programação!$O$5:$O$1004,"&lt;="&amp;$G$3)+SUMIFS(Programação!$AB$5:$AB$1004,Programação!$K$5:$K$1004,$A25,Programação!$O$5:$O$1004,"&gt;="&amp;$E$3,Programação!$O$5:$O$1004,"&lt;="&amp;$G$3))</f>
        <v>0</v>
      </c>
      <c r="L25" s="82" t="str">
        <f aca="false">IF(OR($A25="",$I25=0),"",$K25/$I25)</f>
        <v/>
      </c>
      <c r="M25" s="81" t="n">
        <f aca="false">IF($A25="","",COUNTIFS(Programação!$I$5:$I$1004,$A25,Programação!$B$5:$B$1004,"VENCIDA",Programação!$O$5:$O$1004,"&gt;="&amp;$E$3,Programação!$O$5:$O$1004,"&lt;="&amp;$G$3)+COUNTIFS(Programação!$J$5:$J$1004,$A25,Programação!$B$5:$B$1004,"VENCIDA",Programação!$O$5:$O$1004,"&gt;="&amp;$E$3,Programação!$O$5:$O$1004,"&lt;="&amp;$G$3)+COUNTIFS(Programação!$K$5:$K$1004,$A25,Programação!$B$5:$B$1004,"VENCIDA",Programação!$O$5:$O$1004,"&gt;="&amp;$E$3,Programação!$O$5:$O$1004,"&lt;="&amp;$G$3))</f>
        <v>0</v>
      </c>
      <c r="N25" s="83" t="n">
        <f aca="false">IF($A25="","",SUMIFS(Programação!$AD$5:$AD$1004,Programação!$I$5:$I$1004,$A25,Programação!$O$5:$O$1004,"&gt;="&amp;$E$3,Programação!$O$5:$O$1004,"&lt;="&amp;$G$3,Programação!$R$5:$R$1004,"&lt;&gt;Cancelada")+SUMIFS(Programação!$AD$5:$AD$1004,Programação!$J$5:$J$1004,$A25,Programação!$O$5:$O$1004,"&gt;="&amp;$E$3,Programação!$O$5:$O$1004,"&lt;="&amp;$G$3,Programação!$R$5:$R$1004,"&lt;&gt;Cancelada")+SUMIFS(Programação!$AD$5:$AD$1004,Programação!$K$5:$K$1004,$A25,Programação!$O$5:$O$1004,"&gt;="&amp;$E$3,Programação!$O$5:$O$1004,"&lt;="&amp;$G$3,Programação!$R$5:$R$1004,"&lt;&gt;Cancelada"))</f>
        <v>0</v>
      </c>
    </row>
    <row r="26" customFormat="false" ht="16.5" hidden="false" customHeight="true" outlineLevel="0" collapsed="false">
      <c r="A26" s="23" t="str">
        <f aca="false">IF(Listas!A17="","",Listas!A17)</f>
        <v>Eduardo da sticker (externo)</v>
      </c>
      <c r="B26" s="22" t="n">
        <f aca="false">IF($A26="","",COUNTIFS(Programação!$I$5:$I$1004,$A26,Programação!$P$5:$P$1004,B$13,Programação!$R$5:$R$1004,"&lt;&gt;Cancelada")+COUNTIFS(Programação!$J$5:$J$1004,$A26,Programação!$P$5:$P$1004,B$13,Programação!$R$5:$R$1004,"&lt;&gt;Cancelada")+COUNTIFS(Programação!$K$5:$K$1004,$A26,Programação!$P$5:$P$1004,B$13,Programação!$R$5:$R$1004,"&lt;&gt;Cancelada"))</f>
        <v>0</v>
      </c>
      <c r="C26" s="22" t="n">
        <f aca="false">IF($A26="","",COUNTIFS(Programação!$I$5:$I$1004,$A26,Programação!$P$5:$P$1004,C$13,Programação!$R$5:$R$1004,"&lt;&gt;Cancelada")+COUNTIFS(Programação!$J$5:$J$1004,$A26,Programação!$P$5:$P$1004,C$13,Programação!$R$5:$R$1004,"&lt;&gt;Cancelada")+COUNTIFS(Programação!$K$5:$K$1004,$A26,Programação!$P$5:$P$1004,C$13,Programação!$R$5:$R$1004,"&lt;&gt;Cancelada"))</f>
        <v>0</v>
      </c>
      <c r="D26" s="22" t="n">
        <f aca="false">IF($A26="","",COUNTIFS(Programação!$I$5:$I$1004,$A26,Programação!$P$5:$P$1004,D$13,Programação!$R$5:$R$1004,"&lt;&gt;Cancelada")+COUNTIFS(Programação!$J$5:$J$1004,$A26,Programação!$P$5:$P$1004,D$13,Programação!$R$5:$R$1004,"&lt;&gt;Cancelada")+COUNTIFS(Programação!$K$5:$K$1004,$A26,Programação!$P$5:$P$1004,D$13,Programação!$R$5:$R$1004,"&lt;&gt;Cancelada"))</f>
        <v>0</v>
      </c>
      <c r="E26" s="22" t="n">
        <f aca="false">IF($A26="","",COUNTIFS(Programação!$I$5:$I$1004,$A26,Programação!$P$5:$P$1004,E$13,Programação!$R$5:$R$1004,"&lt;&gt;Cancelada")+COUNTIFS(Programação!$J$5:$J$1004,$A26,Programação!$P$5:$P$1004,E$13,Programação!$R$5:$R$1004,"&lt;&gt;Cancelada")+COUNTIFS(Programação!$K$5:$K$1004,$A26,Programação!$P$5:$P$1004,E$13,Programação!$R$5:$R$1004,"&lt;&gt;Cancelada"))</f>
        <v>0</v>
      </c>
      <c r="F26" s="22" t="n">
        <f aca="false">IF($A26="","",COUNTIFS(Programação!$I$5:$I$1004,$A26,Programação!$P$5:$P$1004,F$13,Programação!$R$5:$R$1004,"&lt;&gt;Cancelada")+COUNTIFS(Programação!$J$5:$J$1004,$A26,Programação!$P$5:$P$1004,F$13,Programação!$R$5:$R$1004,"&lt;&gt;Cancelada")+COUNTIFS(Programação!$K$5:$K$1004,$A26,Programação!$P$5:$P$1004,F$13,Programação!$R$5:$R$1004,"&lt;&gt;Cancelada"))</f>
        <v>0</v>
      </c>
      <c r="G26" s="22" t="n">
        <f aca="false">IF($A26="","",COUNTIFS(Programação!$I$5:$I$1004,$A26,Programação!$P$5:$P$1004,G$13,Programação!$R$5:$R$1004,"&lt;&gt;Cancelada")+COUNTIFS(Programação!$J$5:$J$1004,$A26,Programação!$P$5:$P$1004,G$13,Programação!$R$5:$R$1004,"&lt;&gt;Cancelada")+COUNTIFS(Programação!$K$5:$K$1004,$A26,Programação!$P$5:$P$1004,G$13,Programação!$R$5:$R$1004,"&lt;&gt;Cancelada"))</f>
        <v>0</v>
      </c>
      <c r="H26" s="22" t="n">
        <f aca="false">IF($A26="","",COUNTIFS(Programação!$I$5:$I$1004,$A26,Programação!$P$5:$P$1004,H$13,Programação!$R$5:$R$1004,"&lt;&gt;Cancelada")+COUNTIFS(Programação!$J$5:$J$1004,$A26,Programação!$P$5:$P$1004,H$13,Programação!$R$5:$R$1004,"&lt;&gt;Cancelada")+COUNTIFS(Programação!$K$5:$K$1004,$A26,Programação!$P$5:$P$1004,H$13,Programação!$R$5:$R$1004,"&lt;&gt;Cancelada"))</f>
        <v>0</v>
      </c>
      <c r="I26" s="81" t="n">
        <f aca="false">IF($A26="","",SUM($B26:$H26))</f>
        <v>0</v>
      </c>
      <c r="J26" s="81" t="n">
        <f aca="false">IF($A26="","",SUMIFS(Programação!$N$5:$N$1004,Programação!$I$5:$I$1004,$A26,Programação!$O$5:$O$1004,"&gt;="&amp;$E$3,Programação!$O$5:$O$1004,"&lt;="&amp;$G$3,Programação!$R$5:$R$1004,"&lt;&gt;Cancelada")+SUMIFS(Programação!$N$5:$N$1004,Programação!$J$5:$J$1004,$A26,Programação!$O$5:$O$1004,"&gt;="&amp;$E$3,Programação!$O$5:$O$1004,"&lt;="&amp;$G$3,Programação!$R$5:$R$1004,"&lt;&gt;Cancelada")+SUMIFS(Programação!$N$5:$N$1004,Programação!$K$5:$K$1004,$A26,Programação!$O$5:$O$1004,"&gt;="&amp;$E$3,Programação!$O$5:$O$1004,"&lt;="&amp;$G$3,Programação!$R$5:$R$1004,"&lt;&gt;Cancelada"))</f>
        <v>0</v>
      </c>
      <c r="K26" s="81" t="n">
        <f aca="false">IF($A26="","",SUMIFS(Programação!$AB$5:$AB$1004,Programação!$I$5:$I$1004,$A26,Programação!$O$5:$O$1004,"&gt;="&amp;$E$3,Programação!$O$5:$O$1004,"&lt;="&amp;$G$3)+SUMIFS(Programação!$AB$5:$AB$1004,Programação!$J$5:$J$1004,$A26,Programação!$O$5:$O$1004,"&gt;="&amp;$E$3,Programação!$O$5:$O$1004,"&lt;="&amp;$G$3)+SUMIFS(Programação!$AB$5:$AB$1004,Programação!$K$5:$K$1004,$A26,Programação!$O$5:$O$1004,"&gt;="&amp;$E$3,Programação!$O$5:$O$1004,"&lt;="&amp;$G$3))</f>
        <v>0</v>
      </c>
      <c r="L26" s="82" t="str">
        <f aca="false">IF(OR($A26="",$I26=0),"",$K26/$I26)</f>
        <v/>
      </c>
      <c r="M26" s="81" t="n">
        <f aca="false">IF($A26="","",COUNTIFS(Programação!$I$5:$I$1004,$A26,Programação!$B$5:$B$1004,"VENCIDA",Programação!$O$5:$O$1004,"&gt;="&amp;$E$3,Programação!$O$5:$O$1004,"&lt;="&amp;$G$3)+COUNTIFS(Programação!$J$5:$J$1004,$A26,Programação!$B$5:$B$1004,"VENCIDA",Programação!$O$5:$O$1004,"&gt;="&amp;$E$3,Programação!$O$5:$O$1004,"&lt;="&amp;$G$3)+COUNTIFS(Programação!$K$5:$K$1004,$A26,Programação!$B$5:$B$1004,"VENCIDA",Programação!$O$5:$O$1004,"&gt;="&amp;$E$3,Programação!$O$5:$O$1004,"&lt;="&amp;$G$3))</f>
        <v>0</v>
      </c>
      <c r="N26" s="83" t="n">
        <f aca="false">IF($A26="","",SUMIFS(Programação!$AD$5:$AD$1004,Programação!$I$5:$I$1004,$A26,Programação!$O$5:$O$1004,"&gt;="&amp;$E$3,Programação!$O$5:$O$1004,"&lt;="&amp;$G$3,Programação!$R$5:$R$1004,"&lt;&gt;Cancelada")+SUMIFS(Programação!$AD$5:$AD$1004,Programação!$J$5:$J$1004,$A26,Programação!$O$5:$O$1004,"&gt;="&amp;$E$3,Programação!$O$5:$O$1004,"&lt;="&amp;$G$3,Programação!$R$5:$R$1004,"&lt;&gt;Cancelada")+SUMIFS(Programação!$AD$5:$AD$1004,Programação!$K$5:$K$1004,$A26,Programação!$O$5:$O$1004,"&gt;="&amp;$E$3,Programação!$O$5:$O$1004,"&lt;="&amp;$G$3,Programação!$R$5:$R$1004,"&lt;&gt;Cancelada"))</f>
        <v>0</v>
      </c>
    </row>
    <row r="27" customFormat="false" ht="16.5" hidden="false" customHeight="true" outlineLevel="0" collapsed="false">
      <c r="A27" s="23" t="str">
        <f aca="false">IF(Listas!A18="","",Listas!A18)</f>
        <v>Molas Pinheiro (externo)</v>
      </c>
      <c r="B27" s="22" t="n">
        <f aca="false">IF($A27="","",COUNTIFS(Programação!$I$5:$I$1004,$A27,Programação!$P$5:$P$1004,B$13,Programação!$R$5:$R$1004,"&lt;&gt;Cancelada")+COUNTIFS(Programação!$J$5:$J$1004,$A27,Programação!$P$5:$P$1004,B$13,Programação!$R$5:$R$1004,"&lt;&gt;Cancelada")+COUNTIFS(Programação!$K$5:$K$1004,$A27,Programação!$P$5:$P$1004,B$13,Programação!$R$5:$R$1004,"&lt;&gt;Cancelada"))</f>
        <v>0</v>
      </c>
      <c r="C27" s="22" t="n">
        <f aca="false">IF($A27="","",COUNTIFS(Programação!$I$5:$I$1004,$A27,Programação!$P$5:$P$1004,C$13,Programação!$R$5:$R$1004,"&lt;&gt;Cancelada")+COUNTIFS(Programação!$J$5:$J$1004,$A27,Programação!$P$5:$P$1004,C$13,Programação!$R$5:$R$1004,"&lt;&gt;Cancelada")+COUNTIFS(Programação!$K$5:$K$1004,$A27,Programação!$P$5:$P$1004,C$13,Programação!$R$5:$R$1004,"&lt;&gt;Cancelada"))</f>
        <v>0</v>
      </c>
      <c r="D27" s="22" t="n">
        <f aca="false">IF($A27="","",COUNTIFS(Programação!$I$5:$I$1004,$A27,Programação!$P$5:$P$1004,D$13,Programação!$R$5:$R$1004,"&lt;&gt;Cancelada")+COUNTIFS(Programação!$J$5:$J$1004,$A27,Programação!$P$5:$P$1004,D$13,Programação!$R$5:$R$1004,"&lt;&gt;Cancelada")+COUNTIFS(Programação!$K$5:$K$1004,$A27,Programação!$P$5:$P$1004,D$13,Programação!$R$5:$R$1004,"&lt;&gt;Cancelada"))</f>
        <v>0</v>
      </c>
      <c r="E27" s="22" t="n">
        <f aca="false">IF($A27="","",COUNTIFS(Programação!$I$5:$I$1004,$A27,Programação!$P$5:$P$1004,E$13,Programação!$R$5:$R$1004,"&lt;&gt;Cancelada")+COUNTIFS(Programação!$J$5:$J$1004,$A27,Programação!$P$5:$P$1004,E$13,Programação!$R$5:$R$1004,"&lt;&gt;Cancelada")+COUNTIFS(Programação!$K$5:$K$1004,$A27,Programação!$P$5:$P$1004,E$13,Programação!$R$5:$R$1004,"&lt;&gt;Cancelada"))</f>
        <v>0</v>
      </c>
      <c r="F27" s="22" t="n">
        <f aca="false">IF($A27="","",COUNTIFS(Programação!$I$5:$I$1004,$A27,Programação!$P$5:$P$1004,F$13,Programação!$R$5:$R$1004,"&lt;&gt;Cancelada")+COUNTIFS(Programação!$J$5:$J$1004,$A27,Programação!$P$5:$P$1004,F$13,Programação!$R$5:$R$1004,"&lt;&gt;Cancelada")+COUNTIFS(Programação!$K$5:$K$1004,$A27,Programação!$P$5:$P$1004,F$13,Programação!$R$5:$R$1004,"&lt;&gt;Cancelada"))</f>
        <v>0</v>
      </c>
      <c r="G27" s="22" t="n">
        <f aca="false">IF($A27="","",COUNTIFS(Programação!$I$5:$I$1004,$A27,Programação!$P$5:$P$1004,G$13,Programação!$R$5:$R$1004,"&lt;&gt;Cancelada")+COUNTIFS(Programação!$J$5:$J$1004,$A27,Programação!$P$5:$P$1004,G$13,Programação!$R$5:$R$1004,"&lt;&gt;Cancelada")+COUNTIFS(Programação!$K$5:$K$1004,$A27,Programação!$P$5:$P$1004,G$13,Programação!$R$5:$R$1004,"&lt;&gt;Cancelada"))</f>
        <v>0</v>
      </c>
      <c r="H27" s="22" t="n">
        <f aca="false">IF($A27="","",COUNTIFS(Programação!$I$5:$I$1004,$A27,Programação!$P$5:$P$1004,H$13,Programação!$R$5:$R$1004,"&lt;&gt;Cancelada")+COUNTIFS(Programação!$J$5:$J$1004,$A27,Programação!$P$5:$P$1004,H$13,Programação!$R$5:$R$1004,"&lt;&gt;Cancelada")+COUNTIFS(Programação!$K$5:$K$1004,$A27,Programação!$P$5:$P$1004,H$13,Programação!$R$5:$R$1004,"&lt;&gt;Cancelada"))</f>
        <v>0</v>
      </c>
      <c r="I27" s="81" t="n">
        <f aca="false">IF($A27="","",SUM($B27:$H27))</f>
        <v>0</v>
      </c>
      <c r="J27" s="81" t="n">
        <f aca="false">IF($A27="","",SUMIFS(Programação!$N$5:$N$1004,Programação!$I$5:$I$1004,$A27,Programação!$O$5:$O$1004,"&gt;="&amp;$E$3,Programação!$O$5:$O$1004,"&lt;="&amp;$G$3,Programação!$R$5:$R$1004,"&lt;&gt;Cancelada")+SUMIFS(Programação!$N$5:$N$1004,Programação!$J$5:$J$1004,$A27,Programação!$O$5:$O$1004,"&gt;="&amp;$E$3,Programação!$O$5:$O$1004,"&lt;="&amp;$G$3,Programação!$R$5:$R$1004,"&lt;&gt;Cancelada")+SUMIFS(Programação!$N$5:$N$1004,Programação!$K$5:$K$1004,$A27,Programação!$O$5:$O$1004,"&gt;="&amp;$E$3,Programação!$O$5:$O$1004,"&lt;="&amp;$G$3,Programação!$R$5:$R$1004,"&lt;&gt;Cancelada"))</f>
        <v>0</v>
      </c>
      <c r="K27" s="81" t="n">
        <f aca="false">IF($A27="","",SUMIFS(Programação!$AB$5:$AB$1004,Programação!$I$5:$I$1004,$A27,Programação!$O$5:$O$1004,"&gt;="&amp;$E$3,Programação!$O$5:$O$1004,"&lt;="&amp;$G$3)+SUMIFS(Programação!$AB$5:$AB$1004,Programação!$J$5:$J$1004,$A27,Programação!$O$5:$O$1004,"&gt;="&amp;$E$3,Programação!$O$5:$O$1004,"&lt;="&amp;$G$3)+SUMIFS(Programação!$AB$5:$AB$1004,Programação!$K$5:$K$1004,$A27,Programação!$O$5:$O$1004,"&gt;="&amp;$E$3,Programação!$O$5:$O$1004,"&lt;="&amp;$G$3))</f>
        <v>0</v>
      </c>
      <c r="L27" s="82" t="str">
        <f aca="false">IF(OR($A27="",$I27=0),"",$K27/$I27)</f>
        <v/>
      </c>
      <c r="M27" s="81" t="n">
        <f aca="false">IF($A27="","",COUNTIFS(Programação!$I$5:$I$1004,$A27,Programação!$B$5:$B$1004,"VENCIDA",Programação!$O$5:$O$1004,"&gt;="&amp;$E$3,Programação!$O$5:$O$1004,"&lt;="&amp;$G$3)+COUNTIFS(Programação!$J$5:$J$1004,$A27,Programação!$B$5:$B$1004,"VENCIDA",Programação!$O$5:$O$1004,"&gt;="&amp;$E$3,Programação!$O$5:$O$1004,"&lt;="&amp;$G$3)+COUNTIFS(Programação!$K$5:$K$1004,$A27,Programação!$B$5:$B$1004,"VENCIDA",Programação!$O$5:$O$1004,"&gt;="&amp;$E$3,Programação!$O$5:$O$1004,"&lt;="&amp;$G$3))</f>
        <v>0</v>
      </c>
      <c r="N27" s="83" t="n">
        <f aca="false">IF($A27="","",SUMIFS(Programação!$AD$5:$AD$1004,Programação!$I$5:$I$1004,$A27,Programação!$O$5:$O$1004,"&gt;="&amp;$E$3,Programação!$O$5:$O$1004,"&lt;="&amp;$G$3,Programação!$R$5:$R$1004,"&lt;&gt;Cancelada")+SUMIFS(Programação!$AD$5:$AD$1004,Programação!$J$5:$J$1004,$A27,Programação!$O$5:$O$1004,"&gt;="&amp;$E$3,Programação!$O$5:$O$1004,"&lt;="&amp;$G$3,Programação!$R$5:$R$1004,"&lt;&gt;Cancelada")+SUMIFS(Programação!$AD$5:$AD$1004,Programação!$K$5:$K$1004,$A27,Programação!$O$5:$O$1004,"&gt;="&amp;$E$3,Programação!$O$5:$O$1004,"&lt;="&amp;$G$3,Programação!$R$5:$R$1004,"&lt;&gt;Cancelada"))</f>
        <v>0</v>
      </c>
    </row>
    <row r="28" customFormat="false" ht="16.5" hidden="false" customHeight="true" outlineLevel="0" collapsed="false">
      <c r="A28" s="23" t="str">
        <f aca="false">IF(Listas!A19="","",Listas!A19)</f>
        <v>Rodo Ceará (externo)</v>
      </c>
      <c r="B28" s="22" t="n">
        <f aca="false">IF($A28="","",COUNTIFS(Programação!$I$5:$I$1004,$A28,Programação!$P$5:$P$1004,B$13,Programação!$R$5:$R$1004,"&lt;&gt;Cancelada")+COUNTIFS(Programação!$J$5:$J$1004,$A28,Programação!$P$5:$P$1004,B$13,Programação!$R$5:$R$1004,"&lt;&gt;Cancelada")+COUNTIFS(Programação!$K$5:$K$1004,$A28,Programação!$P$5:$P$1004,B$13,Programação!$R$5:$R$1004,"&lt;&gt;Cancelada"))</f>
        <v>0</v>
      </c>
      <c r="C28" s="22" t="n">
        <f aca="false">IF($A28="","",COUNTIFS(Programação!$I$5:$I$1004,$A28,Programação!$P$5:$P$1004,C$13,Programação!$R$5:$R$1004,"&lt;&gt;Cancelada")+COUNTIFS(Programação!$J$5:$J$1004,$A28,Programação!$P$5:$P$1004,C$13,Programação!$R$5:$R$1004,"&lt;&gt;Cancelada")+COUNTIFS(Programação!$K$5:$K$1004,$A28,Programação!$P$5:$P$1004,C$13,Programação!$R$5:$R$1004,"&lt;&gt;Cancelada"))</f>
        <v>0</v>
      </c>
      <c r="D28" s="22" t="n">
        <f aca="false">IF($A28="","",COUNTIFS(Programação!$I$5:$I$1004,$A28,Programação!$P$5:$P$1004,D$13,Programação!$R$5:$R$1004,"&lt;&gt;Cancelada")+COUNTIFS(Programação!$J$5:$J$1004,$A28,Programação!$P$5:$P$1004,D$13,Programação!$R$5:$R$1004,"&lt;&gt;Cancelada")+COUNTIFS(Programação!$K$5:$K$1004,$A28,Programação!$P$5:$P$1004,D$13,Programação!$R$5:$R$1004,"&lt;&gt;Cancelada"))</f>
        <v>0</v>
      </c>
      <c r="E28" s="22" t="n">
        <f aca="false">IF($A28="","",COUNTIFS(Programação!$I$5:$I$1004,$A28,Programação!$P$5:$P$1004,E$13,Programação!$R$5:$R$1004,"&lt;&gt;Cancelada")+COUNTIFS(Programação!$J$5:$J$1004,$A28,Programação!$P$5:$P$1004,E$13,Programação!$R$5:$R$1004,"&lt;&gt;Cancelada")+COUNTIFS(Programação!$K$5:$K$1004,$A28,Programação!$P$5:$P$1004,E$13,Programação!$R$5:$R$1004,"&lt;&gt;Cancelada"))</f>
        <v>0</v>
      </c>
      <c r="F28" s="22" t="n">
        <f aca="false">IF($A28="","",COUNTIFS(Programação!$I$5:$I$1004,$A28,Programação!$P$5:$P$1004,F$13,Programação!$R$5:$R$1004,"&lt;&gt;Cancelada")+COUNTIFS(Programação!$J$5:$J$1004,$A28,Programação!$P$5:$P$1004,F$13,Programação!$R$5:$R$1004,"&lt;&gt;Cancelada")+COUNTIFS(Programação!$K$5:$K$1004,$A28,Programação!$P$5:$P$1004,F$13,Programação!$R$5:$R$1004,"&lt;&gt;Cancelada"))</f>
        <v>0</v>
      </c>
      <c r="G28" s="22" t="n">
        <f aca="false">IF($A28="","",COUNTIFS(Programação!$I$5:$I$1004,$A28,Programação!$P$5:$P$1004,G$13,Programação!$R$5:$R$1004,"&lt;&gt;Cancelada")+COUNTIFS(Programação!$J$5:$J$1004,$A28,Programação!$P$5:$P$1004,G$13,Programação!$R$5:$R$1004,"&lt;&gt;Cancelada")+COUNTIFS(Programação!$K$5:$K$1004,$A28,Programação!$P$5:$P$1004,G$13,Programação!$R$5:$R$1004,"&lt;&gt;Cancelada"))</f>
        <v>0</v>
      </c>
      <c r="H28" s="22" t="n">
        <f aca="false">IF($A28="","",COUNTIFS(Programação!$I$5:$I$1004,$A28,Programação!$P$5:$P$1004,H$13,Programação!$R$5:$R$1004,"&lt;&gt;Cancelada")+COUNTIFS(Programação!$J$5:$J$1004,$A28,Programação!$P$5:$P$1004,H$13,Programação!$R$5:$R$1004,"&lt;&gt;Cancelada")+COUNTIFS(Programação!$K$5:$K$1004,$A28,Programação!$P$5:$P$1004,H$13,Programação!$R$5:$R$1004,"&lt;&gt;Cancelada"))</f>
        <v>0</v>
      </c>
      <c r="I28" s="81" t="n">
        <f aca="false">IF($A28="","",SUM($B28:$H28))</f>
        <v>0</v>
      </c>
      <c r="J28" s="81" t="n">
        <f aca="false">IF($A28="","",SUMIFS(Programação!$N$5:$N$1004,Programação!$I$5:$I$1004,$A28,Programação!$O$5:$O$1004,"&gt;="&amp;$E$3,Programação!$O$5:$O$1004,"&lt;="&amp;$G$3,Programação!$R$5:$R$1004,"&lt;&gt;Cancelada")+SUMIFS(Programação!$N$5:$N$1004,Programação!$J$5:$J$1004,$A28,Programação!$O$5:$O$1004,"&gt;="&amp;$E$3,Programação!$O$5:$O$1004,"&lt;="&amp;$G$3,Programação!$R$5:$R$1004,"&lt;&gt;Cancelada")+SUMIFS(Programação!$N$5:$N$1004,Programação!$K$5:$K$1004,$A28,Programação!$O$5:$O$1004,"&gt;="&amp;$E$3,Programação!$O$5:$O$1004,"&lt;="&amp;$G$3,Programação!$R$5:$R$1004,"&lt;&gt;Cancelada"))</f>
        <v>0</v>
      </c>
      <c r="K28" s="81" t="n">
        <f aca="false">IF($A28="","",SUMIFS(Programação!$AB$5:$AB$1004,Programação!$I$5:$I$1004,$A28,Programação!$O$5:$O$1004,"&gt;="&amp;$E$3,Programação!$O$5:$O$1004,"&lt;="&amp;$G$3)+SUMIFS(Programação!$AB$5:$AB$1004,Programação!$J$5:$J$1004,$A28,Programação!$O$5:$O$1004,"&gt;="&amp;$E$3,Programação!$O$5:$O$1004,"&lt;="&amp;$G$3)+SUMIFS(Programação!$AB$5:$AB$1004,Programação!$K$5:$K$1004,$A28,Programação!$O$5:$O$1004,"&gt;="&amp;$E$3,Programação!$O$5:$O$1004,"&lt;="&amp;$G$3))</f>
        <v>0</v>
      </c>
      <c r="L28" s="82" t="str">
        <f aca="false">IF(OR($A28="",$I28=0),"",$K28/$I28)</f>
        <v/>
      </c>
      <c r="M28" s="81" t="n">
        <f aca="false">IF($A28="","",COUNTIFS(Programação!$I$5:$I$1004,$A28,Programação!$B$5:$B$1004,"VENCIDA",Programação!$O$5:$O$1004,"&gt;="&amp;$E$3,Programação!$O$5:$O$1004,"&lt;="&amp;$G$3)+COUNTIFS(Programação!$J$5:$J$1004,$A28,Programação!$B$5:$B$1004,"VENCIDA",Programação!$O$5:$O$1004,"&gt;="&amp;$E$3,Programação!$O$5:$O$1004,"&lt;="&amp;$G$3)+COUNTIFS(Programação!$K$5:$K$1004,$A28,Programação!$B$5:$B$1004,"VENCIDA",Programação!$O$5:$O$1004,"&gt;="&amp;$E$3,Programação!$O$5:$O$1004,"&lt;="&amp;$G$3))</f>
        <v>0</v>
      </c>
      <c r="N28" s="83" t="n">
        <f aca="false">IF($A28="","",SUMIFS(Programação!$AD$5:$AD$1004,Programação!$I$5:$I$1004,$A28,Programação!$O$5:$O$1004,"&gt;="&amp;$E$3,Programação!$O$5:$O$1004,"&lt;="&amp;$G$3,Programação!$R$5:$R$1004,"&lt;&gt;Cancelada")+SUMIFS(Programação!$AD$5:$AD$1004,Programação!$J$5:$J$1004,$A28,Programação!$O$5:$O$1004,"&gt;="&amp;$E$3,Programação!$O$5:$O$1004,"&lt;="&amp;$G$3,Programação!$R$5:$R$1004,"&lt;&gt;Cancelada")+SUMIFS(Programação!$AD$5:$AD$1004,Programação!$K$5:$K$1004,$A28,Programação!$O$5:$O$1004,"&gt;="&amp;$E$3,Programação!$O$5:$O$1004,"&lt;="&amp;$G$3,Programação!$R$5:$R$1004,"&lt;&gt;Cancelada"))</f>
        <v>0</v>
      </c>
    </row>
    <row r="29" customFormat="false" ht="16.5" hidden="false" customHeight="true" outlineLevel="0" collapsed="false">
      <c r="A29" s="23" t="str">
        <f aca="false">IF(Listas!A20="","",Listas!A20)</f>
        <v/>
      </c>
      <c r="B29" s="22" t="str">
        <f aca="false">IF($A29="","",COUNTIFS(Programação!$I$5:$I$1004,$A29,Programação!$P$5:$P$1004,B$13,Programação!$R$5:$R$1004,"&lt;&gt;Cancelada")+COUNTIFS(Programação!$J$5:$J$1004,$A29,Programação!$P$5:$P$1004,B$13,Programação!$R$5:$R$1004,"&lt;&gt;Cancelada")+COUNTIFS(Programação!$K$5:$K$1004,$A29,Programação!$P$5:$P$1004,B$13,Programação!$R$5:$R$1004,"&lt;&gt;Cancelada"))</f>
        <v/>
      </c>
      <c r="C29" s="22" t="str">
        <f aca="false">IF($A29="","",COUNTIFS(Programação!$I$5:$I$1004,$A29,Programação!$P$5:$P$1004,C$13,Programação!$R$5:$R$1004,"&lt;&gt;Cancelada")+COUNTIFS(Programação!$J$5:$J$1004,$A29,Programação!$P$5:$P$1004,C$13,Programação!$R$5:$R$1004,"&lt;&gt;Cancelada")+COUNTIFS(Programação!$K$5:$K$1004,$A29,Programação!$P$5:$P$1004,C$13,Programação!$R$5:$R$1004,"&lt;&gt;Cancelada"))</f>
        <v/>
      </c>
      <c r="D29" s="22" t="str">
        <f aca="false">IF($A29="","",COUNTIFS(Programação!$I$5:$I$1004,$A29,Programação!$P$5:$P$1004,D$13,Programação!$R$5:$R$1004,"&lt;&gt;Cancelada")+COUNTIFS(Programação!$J$5:$J$1004,$A29,Programação!$P$5:$P$1004,D$13,Programação!$R$5:$R$1004,"&lt;&gt;Cancelada")+COUNTIFS(Programação!$K$5:$K$1004,$A29,Programação!$P$5:$P$1004,D$13,Programação!$R$5:$R$1004,"&lt;&gt;Cancelada"))</f>
        <v/>
      </c>
      <c r="E29" s="22" t="str">
        <f aca="false">IF($A29="","",COUNTIFS(Programação!$I$5:$I$1004,$A29,Programação!$P$5:$P$1004,E$13,Programação!$R$5:$R$1004,"&lt;&gt;Cancelada")+COUNTIFS(Programação!$J$5:$J$1004,$A29,Programação!$P$5:$P$1004,E$13,Programação!$R$5:$R$1004,"&lt;&gt;Cancelada")+COUNTIFS(Programação!$K$5:$K$1004,$A29,Programação!$P$5:$P$1004,E$13,Programação!$R$5:$R$1004,"&lt;&gt;Cancelada"))</f>
        <v/>
      </c>
      <c r="F29" s="22" t="str">
        <f aca="false">IF($A29="","",COUNTIFS(Programação!$I$5:$I$1004,$A29,Programação!$P$5:$P$1004,F$13,Programação!$R$5:$R$1004,"&lt;&gt;Cancelada")+COUNTIFS(Programação!$J$5:$J$1004,$A29,Programação!$P$5:$P$1004,F$13,Programação!$R$5:$R$1004,"&lt;&gt;Cancelada")+COUNTIFS(Programação!$K$5:$K$1004,$A29,Programação!$P$5:$P$1004,F$13,Programação!$R$5:$R$1004,"&lt;&gt;Cancelada"))</f>
        <v/>
      </c>
      <c r="G29" s="22" t="str">
        <f aca="false">IF($A29="","",COUNTIFS(Programação!$I$5:$I$1004,$A29,Programação!$P$5:$P$1004,G$13,Programação!$R$5:$R$1004,"&lt;&gt;Cancelada")+COUNTIFS(Programação!$J$5:$J$1004,$A29,Programação!$P$5:$P$1004,G$13,Programação!$R$5:$R$1004,"&lt;&gt;Cancelada")+COUNTIFS(Programação!$K$5:$K$1004,$A29,Programação!$P$5:$P$1004,G$13,Programação!$R$5:$R$1004,"&lt;&gt;Cancelada"))</f>
        <v/>
      </c>
      <c r="H29" s="22" t="str">
        <f aca="false">IF($A29="","",COUNTIFS(Programação!$I$5:$I$1004,$A29,Programação!$P$5:$P$1004,H$13,Programação!$R$5:$R$1004,"&lt;&gt;Cancelada")+COUNTIFS(Programação!$J$5:$J$1004,$A29,Programação!$P$5:$P$1004,H$13,Programação!$R$5:$R$1004,"&lt;&gt;Cancelada")+COUNTIFS(Programação!$K$5:$K$1004,$A29,Programação!$P$5:$P$1004,H$13,Programação!$R$5:$R$1004,"&lt;&gt;Cancelada"))</f>
        <v/>
      </c>
      <c r="I29" s="81" t="str">
        <f aca="false">IF($A29="","",SUM($B29:$H29))</f>
        <v/>
      </c>
      <c r="J29" s="81" t="str">
        <f aca="false">IF($A29="","",SUMIFS(Programação!$N$5:$N$1004,Programação!$I$5:$I$1004,$A29,Programação!$O$5:$O$1004,"&gt;="&amp;$E$3,Programação!$O$5:$O$1004,"&lt;="&amp;$G$3,Programação!$R$5:$R$1004,"&lt;&gt;Cancelada")+SUMIFS(Programação!$N$5:$N$1004,Programação!$J$5:$J$1004,$A29,Programação!$O$5:$O$1004,"&gt;="&amp;$E$3,Programação!$O$5:$O$1004,"&lt;="&amp;$G$3,Programação!$R$5:$R$1004,"&lt;&gt;Cancelada")+SUMIFS(Programação!$N$5:$N$1004,Programação!$K$5:$K$1004,$A29,Programação!$O$5:$O$1004,"&gt;="&amp;$E$3,Programação!$O$5:$O$1004,"&lt;="&amp;$G$3,Programação!$R$5:$R$1004,"&lt;&gt;Cancelada"))</f>
        <v/>
      </c>
      <c r="K29" s="81" t="str">
        <f aca="false">IF($A29="","",SUMIFS(Programação!$AB$5:$AB$1004,Programação!$I$5:$I$1004,$A29,Programação!$O$5:$O$1004,"&gt;="&amp;$E$3,Programação!$O$5:$O$1004,"&lt;="&amp;$G$3)+SUMIFS(Programação!$AB$5:$AB$1004,Programação!$J$5:$J$1004,$A29,Programação!$O$5:$O$1004,"&gt;="&amp;$E$3,Programação!$O$5:$O$1004,"&lt;="&amp;$G$3)+SUMIFS(Programação!$AB$5:$AB$1004,Programação!$K$5:$K$1004,$A29,Programação!$O$5:$O$1004,"&gt;="&amp;$E$3,Programação!$O$5:$O$1004,"&lt;="&amp;$G$3))</f>
        <v/>
      </c>
      <c r="L29" s="82" t="str">
        <f aca="false">IF(OR($A29="",$I29=0),"",$K29/$I29)</f>
        <v/>
      </c>
      <c r="M29" s="81" t="str">
        <f aca="false">IF($A29="","",COUNTIFS(Programação!$I$5:$I$1004,$A29,Programação!$B$5:$B$1004,"VENCIDA",Programação!$O$5:$O$1004,"&gt;="&amp;$E$3,Programação!$O$5:$O$1004,"&lt;="&amp;$G$3)+COUNTIFS(Programação!$J$5:$J$1004,$A29,Programação!$B$5:$B$1004,"VENCIDA",Programação!$O$5:$O$1004,"&gt;="&amp;$E$3,Programação!$O$5:$O$1004,"&lt;="&amp;$G$3)+COUNTIFS(Programação!$K$5:$K$1004,$A29,Programação!$B$5:$B$1004,"VENCIDA",Programação!$O$5:$O$1004,"&gt;="&amp;$E$3,Programação!$O$5:$O$1004,"&lt;="&amp;$G$3))</f>
        <v/>
      </c>
      <c r="N29" s="83" t="str">
        <f aca="false">IF($A29="","",SUMIFS(Programação!$AD$5:$AD$1004,Programação!$I$5:$I$1004,$A29,Programação!$O$5:$O$1004,"&gt;="&amp;$E$3,Programação!$O$5:$O$1004,"&lt;="&amp;$G$3,Programação!$R$5:$R$1004,"&lt;&gt;Cancelada")+SUMIFS(Programação!$AD$5:$AD$1004,Programação!$J$5:$J$1004,$A29,Programação!$O$5:$O$1004,"&gt;="&amp;$E$3,Programação!$O$5:$O$1004,"&lt;="&amp;$G$3,Programação!$R$5:$R$1004,"&lt;&gt;Cancelada")+SUMIFS(Programação!$AD$5:$AD$1004,Programação!$K$5:$K$1004,$A29,Programação!$O$5:$O$1004,"&gt;="&amp;$E$3,Programação!$O$5:$O$1004,"&lt;="&amp;$G$3,Programação!$R$5:$R$1004,"&lt;&gt;Cancelada"))</f>
        <v/>
      </c>
    </row>
    <row r="30" customFormat="false" ht="16.5" hidden="false" customHeight="true" outlineLevel="0" collapsed="false">
      <c r="A30" s="23" t="str">
        <f aca="false">IF(Listas!A21="","",Listas!A21)</f>
        <v/>
      </c>
      <c r="B30" s="22" t="str">
        <f aca="false">IF($A30="","",COUNTIFS(Programação!$I$5:$I$1004,$A30,Programação!$P$5:$P$1004,B$13,Programação!$R$5:$R$1004,"&lt;&gt;Cancelada")+COUNTIFS(Programação!$J$5:$J$1004,$A30,Programação!$P$5:$P$1004,B$13,Programação!$R$5:$R$1004,"&lt;&gt;Cancelada")+COUNTIFS(Programação!$K$5:$K$1004,$A30,Programação!$P$5:$P$1004,B$13,Programação!$R$5:$R$1004,"&lt;&gt;Cancelada"))</f>
        <v/>
      </c>
      <c r="C30" s="22" t="str">
        <f aca="false">IF($A30="","",COUNTIFS(Programação!$I$5:$I$1004,$A30,Programação!$P$5:$P$1004,C$13,Programação!$R$5:$R$1004,"&lt;&gt;Cancelada")+COUNTIFS(Programação!$J$5:$J$1004,$A30,Programação!$P$5:$P$1004,C$13,Programação!$R$5:$R$1004,"&lt;&gt;Cancelada")+COUNTIFS(Programação!$K$5:$K$1004,$A30,Programação!$P$5:$P$1004,C$13,Programação!$R$5:$R$1004,"&lt;&gt;Cancelada"))</f>
        <v/>
      </c>
      <c r="D30" s="22" t="str">
        <f aca="false">IF($A30="","",COUNTIFS(Programação!$I$5:$I$1004,$A30,Programação!$P$5:$P$1004,D$13,Programação!$R$5:$R$1004,"&lt;&gt;Cancelada")+COUNTIFS(Programação!$J$5:$J$1004,$A30,Programação!$P$5:$P$1004,D$13,Programação!$R$5:$R$1004,"&lt;&gt;Cancelada")+COUNTIFS(Programação!$K$5:$K$1004,$A30,Programação!$P$5:$P$1004,D$13,Programação!$R$5:$R$1004,"&lt;&gt;Cancelada"))</f>
        <v/>
      </c>
      <c r="E30" s="22" t="str">
        <f aca="false">IF($A30="","",COUNTIFS(Programação!$I$5:$I$1004,$A30,Programação!$P$5:$P$1004,E$13,Programação!$R$5:$R$1004,"&lt;&gt;Cancelada")+COUNTIFS(Programação!$J$5:$J$1004,$A30,Programação!$P$5:$P$1004,E$13,Programação!$R$5:$R$1004,"&lt;&gt;Cancelada")+COUNTIFS(Programação!$K$5:$K$1004,$A30,Programação!$P$5:$P$1004,E$13,Programação!$R$5:$R$1004,"&lt;&gt;Cancelada"))</f>
        <v/>
      </c>
      <c r="F30" s="22" t="str">
        <f aca="false">IF($A30="","",COUNTIFS(Programação!$I$5:$I$1004,$A30,Programação!$P$5:$P$1004,F$13,Programação!$R$5:$R$1004,"&lt;&gt;Cancelada")+COUNTIFS(Programação!$J$5:$J$1004,$A30,Programação!$P$5:$P$1004,F$13,Programação!$R$5:$R$1004,"&lt;&gt;Cancelada")+COUNTIFS(Programação!$K$5:$K$1004,$A30,Programação!$P$5:$P$1004,F$13,Programação!$R$5:$R$1004,"&lt;&gt;Cancelada"))</f>
        <v/>
      </c>
      <c r="G30" s="22" t="str">
        <f aca="false">IF($A30="","",COUNTIFS(Programação!$I$5:$I$1004,$A30,Programação!$P$5:$P$1004,G$13,Programação!$R$5:$R$1004,"&lt;&gt;Cancelada")+COUNTIFS(Programação!$J$5:$J$1004,$A30,Programação!$P$5:$P$1004,G$13,Programação!$R$5:$R$1004,"&lt;&gt;Cancelada")+COUNTIFS(Programação!$K$5:$K$1004,$A30,Programação!$P$5:$P$1004,G$13,Programação!$R$5:$R$1004,"&lt;&gt;Cancelada"))</f>
        <v/>
      </c>
      <c r="H30" s="22" t="str">
        <f aca="false">IF($A30="","",COUNTIFS(Programação!$I$5:$I$1004,$A30,Programação!$P$5:$P$1004,H$13,Programação!$R$5:$R$1004,"&lt;&gt;Cancelada")+COUNTIFS(Programação!$J$5:$J$1004,$A30,Programação!$P$5:$P$1004,H$13,Programação!$R$5:$R$1004,"&lt;&gt;Cancelada")+COUNTIFS(Programação!$K$5:$K$1004,$A30,Programação!$P$5:$P$1004,H$13,Programação!$R$5:$R$1004,"&lt;&gt;Cancelada"))</f>
        <v/>
      </c>
      <c r="I30" s="81" t="str">
        <f aca="false">IF($A30="","",SUM($B30:$H30))</f>
        <v/>
      </c>
      <c r="J30" s="81" t="str">
        <f aca="false">IF($A30="","",SUMIFS(Programação!$N$5:$N$1004,Programação!$I$5:$I$1004,$A30,Programação!$O$5:$O$1004,"&gt;="&amp;$E$3,Programação!$O$5:$O$1004,"&lt;="&amp;$G$3,Programação!$R$5:$R$1004,"&lt;&gt;Cancelada")+SUMIFS(Programação!$N$5:$N$1004,Programação!$J$5:$J$1004,$A30,Programação!$O$5:$O$1004,"&gt;="&amp;$E$3,Programação!$O$5:$O$1004,"&lt;="&amp;$G$3,Programação!$R$5:$R$1004,"&lt;&gt;Cancelada")+SUMIFS(Programação!$N$5:$N$1004,Programação!$K$5:$K$1004,$A30,Programação!$O$5:$O$1004,"&gt;="&amp;$E$3,Programação!$O$5:$O$1004,"&lt;="&amp;$G$3,Programação!$R$5:$R$1004,"&lt;&gt;Cancelada"))</f>
        <v/>
      </c>
      <c r="K30" s="81" t="str">
        <f aca="false">IF($A30="","",SUMIFS(Programação!$AB$5:$AB$1004,Programação!$I$5:$I$1004,$A30,Programação!$O$5:$O$1004,"&gt;="&amp;$E$3,Programação!$O$5:$O$1004,"&lt;="&amp;$G$3)+SUMIFS(Programação!$AB$5:$AB$1004,Programação!$J$5:$J$1004,$A30,Programação!$O$5:$O$1004,"&gt;="&amp;$E$3,Programação!$O$5:$O$1004,"&lt;="&amp;$G$3)+SUMIFS(Programação!$AB$5:$AB$1004,Programação!$K$5:$K$1004,$A30,Programação!$O$5:$O$1004,"&gt;="&amp;$E$3,Programação!$O$5:$O$1004,"&lt;="&amp;$G$3))</f>
        <v/>
      </c>
      <c r="L30" s="82" t="str">
        <f aca="false">IF(OR($A30="",$I30=0),"",$K30/$I30)</f>
        <v/>
      </c>
      <c r="M30" s="81" t="str">
        <f aca="false">IF($A30="","",COUNTIFS(Programação!$I$5:$I$1004,$A30,Programação!$B$5:$B$1004,"VENCIDA",Programação!$O$5:$O$1004,"&gt;="&amp;$E$3,Programação!$O$5:$O$1004,"&lt;="&amp;$G$3)+COUNTIFS(Programação!$J$5:$J$1004,$A30,Programação!$B$5:$B$1004,"VENCIDA",Programação!$O$5:$O$1004,"&gt;="&amp;$E$3,Programação!$O$5:$O$1004,"&lt;="&amp;$G$3)+COUNTIFS(Programação!$K$5:$K$1004,$A30,Programação!$B$5:$B$1004,"VENCIDA",Programação!$O$5:$O$1004,"&gt;="&amp;$E$3,Programação!$O$5:$O$1004,"&lt;="&amp;$G$3))</f>
        <v/>
      </c>
      <c r="N30" s="83" t="str">
        <f aca="false">IF($A30="","",SUMIFS(Programação!$AD$5:$AD$1004,Programação!$I$5:$I$1004,$A30,Programação!$O$5:$O$1004,"&gt;="&amp;$E$3,Programação!$O$5:$O$1004,"&lt;="&amp;$G$3,Programação!$R$5:$R$1004,"&lt;&gt;Cancelada")+SUMIFS(Programação!$AD$5:$AD$1004,Programação!$J$5:$J$1004,$A30,Programação!$O$5:$O$1004,"&gt;="&amp;$E$3,Programação!$O$5:$O$1004,"&lt;="&amp;$G$3,Programação!$R$5:$R$1004,"&lt;&gt;Cancelada")+SUMIFS(Programação!$AD$5:$AD$1004,Programação!$K$5:$K$1004,$A30,Programação!$O$5:$O$1004,"&gt;="&amp;$E$3,Programação!$O$5:$O$1004,"&lt;="&amp;$G$3,Programação!$R$5:$R$1004,"&lt;&gt;Cancelada"))</f>
        <v/>
      </c>
    </row>
    <row r="31" customFormat="false" ht="16.5" hidden="false" customHeight="true" outlineLevel="0" collapsed="false">
      <c r="A31" s="23" t="str">
        <f aca="false">IF(Listas!A22="","",Listas!A22)</f>
        <v/>
      </c>
      <c r="B31" s="22" t="str">
        <f aca="false">IF($A31="","",COUNTIFS(Programação!$I$5:$I$1004,$A31,Programação!$P$5:$P$1004,B$13,Programação!$R$5:$R$1004,"&lt;&gt;Cancelada")+COUNTIFS(Programação!$J$5:$J$1004,$A31,Programação!$P$5:$P$1004,B$13,Programação!$R$5:$R$1004,"&lt;&gt;Cancelada")+COUNTIFS(Programação!$K$5:$K$1004,$A31,Programação!$P$5:$P$1004,B$13,Programação!$R$5:$R$1004,"&lt;&gt;Cancelada"))</f>
        <v/>
      </c>
      <c r="C31" s="22" t="str">
        <f aca="false">IF($A31="","",COUNTIFS(Programação!$I$5:$I$1004,$A31,Programação!$P$5:$P$1004,C$13,Programação!$R$5:$R$1004,"&lt;&gt;Cancelada")+COUNTIFS(Programação!$J$5:$J$1004,$A31,Programação!$P$5:$P$1004,C$13,Programação!$R$5:$R$1004,"&lt;&gt;Cancelada")+COUNTIFS(Programação!$K$5:$K$1004,$A31,Programação!$P$5:$P$1004,C$13,Programação!$R$5:$R$1004,"&lt;&gt;Cancelada"))</f>
        <v/>
      </c>
      <c r="D31" s="22" t="str">
        <f aca="false">IF($A31="","",COUNTIFS(Programação!$I$5:$I$1004,$A31,Programação!$P$5:$P$1004,D$13,Programação!$R$5:$R$1004,"&lt;&gt;Cancelada")+COUNTIFS(Programação!$J$5:$J$1004,$A31,Programação!$P$5:$P$1004,D$13,Programação!$R$5:$R$1004,"&lt;&gt;Cancelada")+COUNTIFS(Programação!$K$5:$K$1004,$A31,Programação!$P$5:$P$1004,D$13,Programação!$R$5:$R$1004,"&lt;&gt;Cancelada"))</f>
        <v/>
      </c>
      <c r="E31" s="22" t="str">
        <f aca="false">IF($A31="","",COUNTIFS(Programação!$I$5:$I$1004,$A31,Programação!$P$5:$P$1004,E$13,Programação!$R$5:$R$1004,"&lt;&gt;Cancelada")+COUNTIFS(Programação!$J$5:$J$1004,$A31,Programação!$P$5:$P$1004,E$13,Programação!$R$5:$R$1004,"&lt;&gt;Cancelada")+COUNTIFS(Programação!$K$5:$K$1004,$A31,Programação!$P$5:$P$1004,E$13,Programação!$R$5:$R$1004,"&lt;&gt;Cancelada"))</f>
        <v/>
      </c>
      <c r="F31" s="22" t="str">
        <f aca="false">IF($A31="","",COUNTIFS(Programação!$I$5:$I$1004,$A31,Programação!$P$5:$P$1004,F$13,Programação!$R$5:$R$1004,"&lt;&gt;Cancelada")+COUNTIFS(Programação!$J$5:$J$1004,$A31,Programação!$P$5:$P$1004,F$13,Programação!$R$5:$R$1004,"&lt;&gt;Cancelada")+COUNTIFS(Programação!$K$5:$K$1004,$A31,Programação!$P$5:$P$1004,F$13,Programação!$R$5:$R$1004,"&lt;&gt;Cancelada"))</f>
        <v/>
      </c>
      <c r="G31" s="22" t="str">
        <f aca="false">IF($A31="","",COUNTIFS(Programação!$I$5:$I$1004,$A31,Programação!$P$5:$P$1004,G$13,Programação!$R$5:$R$1004,"&lt;&gt;Cancelada")+COUNTIFS(Programação!$J$5:$J$1004,$A31,Programação!$P$5:$P$1004,G$13,Programação!$R$5:$R$1004,"&lt;&gt;Cancelada")+COUNTIFS(Programação!$K$5:$K$1004,$A31,Programação!$P$5:$P$1004,G$13,Programação!$R$5:$R$1004,"&lt;&gt;Cancelada"))</f>
        <v/>
      </c>
      <c r="H31" s="22" t="str">
        <f aca="false">IF($A31="","",COUNTIFS(Programação!$I$5:$I$1004,$A31,Programação!$P$5:$P$1004,H$13,Programação!$R$5:$R$1004,"&lt;&gt;Cancelada")+COUNTIFS(Programação!$J$5:$J$1004,$A31,Programação!$P$5:$P$1004,H$13,Programação!$R$5:$R$1004,"&lt;&gt;Cancelada")+COUNTIFS(Programação!$K$5:$K$1004,$A31,Programação!$P$5:$P$1004,H$13,Programação!$R$5:$R$1004,"&lt;&gt;Cancelada"))</f>
        <v/>
      </c>
      <c r="I31" s="81" t="str">
        <f aca="false">IF($A31="","",SUM($B31:$H31))</f>
        <v/>
      </c>
      <c r="J31" s="81" t="str">
        <f aca="false">IF($A31="","",SUMIFS(Programação!$N$5:$N$1004,Programação!$I$5:$I$1004,$A31,Programação!$O$5:$O$1004,"&gt;="&amp;$E$3,Programação!$O$5:$O$1004,"&lt;="&amp;$G$3,Programação!$R$5:$R$1004,"&lt;&gt;Cancelada")+SUMIFS(Programação!$N$5:$N$1004,Programação!$J$5:$J$1004,$A31,Programação!$O$5:$O$1004,"&gt;="&amp;$E$3,Programação!$O$5:$O$1004,"&lt;="&amp;$G$3,Programação!$R$5:$R$1004,"&lt;&gt;Cancelada")+SUMIFS(Programação!$N$5:$N$1004,Programação!$K$5:$K$1004,$A31,Programação!$O$5:$O$1004,"&gt;="&amp;$E$3,Programação!$O$5:$O$1004,"&lt;="&amp;$G$3,Programação!$R$5:$R$1004,"&lt;&gt;Cancelada"))</f>
        <v/>
      </c>
      <c r="K31" s="81" t="str">
        <f aca="false">IF($A31="","",SUMIFS(Programação!$AB$5:$AB$1004,Programação!$I$5:$I$1004,$A31,Programação!$O$5:$O$1004,"&gt;="&amp;$E$3,Programação!$O$5:$O$1004,"&lt;="&amp;$G$3)+SUMIFS(Programação!$AB$5:$AB$1004,Programação!$J$5:$J$1004,$A31,Programação!$O$5:$O$1004,"&gt;="&amp;$E$3,Programação!$O$5:$O$1004,"&lt;="&amp;$G$3)+SUMIFS(Programação!$AB$5:$AB$1004,Programação!$K$5:$K$1004,$A31,Programação!$O$5:$O$1004,"&gt;="&amp;$E$3,Programação!$O$5:$O$1004,"&lt;="&amp;$G$3))</f>
        <v/>
      </c>
      <c r="L31" s="82" t="str">
        <f aca="false">IF(OR($A31="",$I31=0),"",$K31/$I31)</f>
        <v/>
      </c>
      <c r="M31" s="81" t="str">
        <f aca="false">IF($A31="","",COUNTIFS(Programação!$I$5:$I$1004,$A31,Programação!$B$5:$B$1004,"VENCIDA",Programação!$O$5:$O$1004,"&gt;="&amp;$E$3,Programação!$O$5:$O$1004,"&lt;="&amp;$G$3)+COUNTIFS(Programação!$J$5:$J$1004,$A31,Programação!$B$5:$B$1004,"VENCIDA",Programação!$O$5:$O$1004,"&gt;="&amp;$E$3,Programação!$O$5:$O$1004,"&lt;="&amp;$G$3)+COUNTIFS(Programação!$K$5:$K$1004,$A31,Programação!$B$5:$B$1004,"VENCIDA",Programação!$O$5:$O$1004,"&gt;="&amp;$E$3,Programação!$O$5:$O$1004,"&lt;="&amp;$G$3))</f>
        <v/>
      </c>
      <c r="N31" s="83" t="str">
        <f aca="false">IF($A31="","",SUMIFS(Programação!$AD$5:$AD$1004,Programação!$I$5:$I$1004,$A31,Programação!$O$5:$O$1004,"&gt;="&amp;$E$3,Programação!$O$5:$O$1004,"&lt;="&amp;$G$3,Programação!$R$5:$R$1004,"&lt;&gt;Cancelada")+SUMIFS(Programação!$AD$5:$AD$1004,Programação!$J$5:$J$1004,$A31,Programação!$O$5:$O$1004,"&gt;="&amp;$E$3,Programação!$O$5:$O$1004,"&lt;="&amp;$G$3,Programação!$R$5:$R$1004,"&lt;&gt;Cancelada")+SUMIFS(Programação!$AD$5:$AD$1004,Programação!$K$5:$K$1004,$A31,Programação!$O$5:$O$1004,"&gt;="&amp;$E$3,Programação!$O$5:$O$1004,"&lt;="&amp;$G$3,Programação!$R$5:$R$1004,"&lt;&gt;Cancelada"))</f>
        <v/>
      </c>
    </row>
    <row r="32" customFormat="false" ht="16.5" hidden="false" customHeight="true" outlineLevel="0" collapsed="false">
      <c r="A32" s="23" t="str">
        <f aca="false">IF(Listas!A23="","",Listas!A23)</f>
        <v/>
      </c>
      <c r="B32" s="22" t="str">
        <f aca="false">IF($A32="","",COUNTIFS(Programação!$I$5:$I$1004,$A32,Programação!$P$5:$P$1004,B$13,Programação!$R$5:$R$1004,"&lt;&gt;Cancelada")+COUNTIFS(Programação!$J$5:$J$1004,$A32,Programação!$P$5:$P$1004,B$13,Programação!$R$5:$R$1004,"&lt;&gt;Cancelada")+COUNTIFS(Programação!$K$5:$K$1004,$A32,Programação!$P$5:$P$1004,B$13,Programação!$R$5:$R$1004,"&lt;&gt;Cancelada"))</f>
        <v/>
      </c>
      <c r="C32" s="22" t="str">
        <f aca="false">IF($A32="","",COUNTIFS(Programação!$I$5:$I$1004,$A32,Programação!$P$5:$P$1004,C$13,Programação!$R$5:$R$1004,"&lt;&gt;Cancelada")+COUNTIFS(Programação!$J$5:$J$1004,$A32,Programação!$P$5:$P$1004,C$13,Programação!$R$5:$R$1004,"&lt;&gt;Cancelada")+COUNTIFS(Programação!$K$5:$K$1004,$A32,Programação!$P$5:$P$1004,C$13,Programação!$R$5:$R$1004,"&lt;&gt;Cancelada"))</f>
        <v/>
      </c>
      <c r="D32" s="22" t="str">
        <f aca="false">IF($A32="","",COUNTIFS(Programação!$I$5:$I$1004,$A32,Programação!$P$5:$P$1004,D$13,Programação!$R$5:$R$1004,"&lt;&gt;Cancelada")+COUNTIFS(Programação!$J$5:$J$1004,$A32,Programação!$P$5:$P$1004,D$13,Programação!$R$5:$R$1004,"&lt;&gt;Cancelada")+COUNTIFS(Programação!$K$5:$K$1004,$A32,Programação!$P$5:$P$1004,D$13,Programação!$R$5:$R$1004,"&lt;&gt;Cancelada"))</f>
        <v/>
      </c>
      <c r="E32" s="22" t="str">
        <f aca="false">IF($A32="","",COUNTIFS(Programação!$I$5:$I$1004,$A32,Programação!$P$5:$P$1004,E$13,Programação!$R$5:$R$1004,"&lt;&gt;Cancelada")+COUNTIFS(Programação!$J$5:$J$1004,$A32,Programação!$P$5:$P$1004,E$13,Programação!$R$5:$R$1004,"&lt;&gt;Cancelada")+COUNTIFS(Programação!$K$5:$K$1004,$A32,Programação!$P$5:$P$1004,E$13,Programação!$R$5:$R$1004,"&lt;&gt;Cancelada"))</f>
        <v/>
      </c>
      <c r="F32" s="22" t="str">
        <f aca="false">IF($A32="","",COUNTIFS(Programação!$I$5:$I$1004,$A32,Programação!$P$5:$P$1004,F$13,Programação!$R$5:$R$1004,"&lt;&gt;Cancelada")+COUNTIFS(Programação!$J$5:$J$1004,$A32,Programação!$P$5:$P$1004,F$13,Programação!$R$5:$R$1004,"&lt;&gt;Cancelada")+COUNTIFS(Programação!$K$5:$K$1004,$A32,Programação!$P$5:$P$1004,F$13,Programação!$R$5:$R$1004,"&lt;&gt;Cancelada"))</f>
        <v/>
      </c>
      <c r="G32" s="22" t="str">
        <f aca="false">IF($A32="","",COUNTIFS(Programação!$I$5:$I$1004,$A32,Programação!$P$5:$P$1004,G$13,Programação!$R$5:$R$1004,"&lt;&gt;Cancelada")+COUNTIFS(Programação!$J$5:$J$1004,$A32,Programação!$P$5:$P$1004,G$13,Programação!$R$5:$R$1004,"&lt;&gt;Cancelada")+COUNTIFS(Programação!$K$5:$K$1004,$A32,Programação!$P$5:$P$1004,G$13,Programação!$R$5:$R$1004,"&lt;&gt;Cancelada"))</f>
        <v/>
      </c>
      <c r="H32" s="22" t="str">
        <f aca="false">IF($A32="","",COUNTIFS(Programação!$I$5:$I$1004,$A32,Programação!$P$5:$P$1004,H$13,Programação!$R$5:$R$1004,"&lt;&gt;Cancelada")+COUNTIFS(Programação!$J$5:$J$1004,$A32,Programação!$P$5:$P$1004,H$13,Programação!$R$5:$R$1004,"&lt;&gt;Cancelada")+COUNTIFS(Programação!$K$5:$K$1004,$A32,Programação!$P$5:$P$1004,H$13,Programação!$R$5:$R$1004,"&lt;&gt;Cancelada"))</f>
        <v/>
      </c>
      <c r="I32" s="81" t="str">
        <f aca="false">IF($A32="","",SUM($B32:$H32))</f>
        <v/>
      </c>
      <c r="J32" s="81" t="str">
        <f aca="false">IF($A32="","",SUMIFS(Programação!$N$5:$N$1004,Programação!$I$5:$I$1004,$A32,Programação!$O$5:$O$1004,"&gt;="&amp;$E$3,Programação!$O$5:$O$1004,"&lt;="&amp;$G$3,Programação!$R$5:$R$1004,"&lt;&gt;Cancelada")+SUMIFS(Programação!$N$5:$N$1004,Programação!$J$5:$J$1004,$A32,Programação!$O$5:$O$1004,"&gt;="&amp;$E$3,Programação!$O$5:$O$1004,"&lt;="&amp;$G$3,Programação!$R$5:$R$1004,"&lt;&gt;Cancelada")+SUMIFS(Programação!$N$5:$N$1004,Programação!$K$5:$K$1004,$A32,Programação!$O$5:$O$1004,"&gt;="&amp;$E$3,Programação!$O$5:$O$1004,"&lt;="&amp;$G$3,Programação!$R$5:$R$1004,"&lt;&gt;Cancelada"))</f>
        <v/>
      </c>
      <c r="K32" s="81" t="str">
        <f aca="false">IF($A32="","",SUMIFS(Programação!$AB$5:$AB$1004,Programação!$I$5:$I$1004,$A32,Programação!$O$5:$O$1004,"&gt;="&amp;$E$3,Programação!$O$5:$O$1004,"&lt;="&amp;$G$3)+SUMIFS(Programação!$AB$5:$AB$1004,Programação!$J$5:$J$1004,$A32,Programação!$O$5:$O$1004,"&gt;="&amp;$E$3,Programação!$O$5:$O$1004,"&lt;="&amp;$G$3)+SUMIFS(Programação!$AB$5:$AB$1004,Programação!$K$5:$K$1004,$A32,Programação!$O$5:$O$1004,"&gt;="&amp;$E$3,Programação!$O$5:$O$1004,"&lt;="&amp;$G$3))</f>
        <v/>
      </c>
      <c r="L32" s="82" t="str">
        <f aca="false">IF(OR($A32="",$I32=0),"",$K32/$I32)</f>
        <v/>
      </c>
      <c r="M32" s="81" t="str">
        <f aca="false">IF($A32="","",COUNTIFS(Programação!$I$5:$I$1004,$A32,Programação!$B$5:$B$1004,"VENCIDA",Programação!$O$5:$O$1004,"&gt;="&amp;$E$3,Programação!$O$5:$O$1004,"&lt;="&amp;$G$3)+COUNTIFS(Programação!$J$5:$J$1004,$A32,Programação!$B$5:$B$1004,"VENCIDA",Programação!$O$5:$O$1004,"&gt;="&amp;$E$3,Programação!$O$5:$O$1004,"&lt;="&amp;$G$3)+COUNTIFS(Programação!$K$5:$K$1004,$A32,Programação!$B$5:$B$1004,"VENCIDA",Programação!$O$5:$O$1004,"&gt;="&amp;$E$3,Programação!$O$5:$O$1004,"&lt;="&amp;$G$3))</f>
        <v/>
      </c>
      <c r="N32" s="83" t="str">
        <f aca="false">IF($A32="","",SUMIFS(Programação!$AD$5:$AD$1004,Programação!$I$5:$I$1004,$A32,Programação!$O$5:$O$1004,"&gt;="&amp;$E$3,Programação!$O$5:$O$1004,"&lt;="&amp;$G$3,Programação!$R$5:$R$1004,"&lt;&gt;Cancelada")+SUMIFS(Programação!$AD$5:$AD$1004,Programação!$J$5:$J$1004,$A32,Programação!$O$5:$O$1004,"&gt;="&amp;$E$3,Programação!$O$5:$O$1004,"&lt;="&amp;$G$3,Programação!$R$5:$R$1004,"&lt;&gt;Cancelada")+SUMIFS(Programação!$AD$5:$AD$1004,Programação!$K$5:$K$1004,$A32,Programação!$O$5:$O$1004,"&gt;="&amp;$E$3,Programação!$O$5:$O$1004,"&lt;="&amp;$G$3,Programação!$R$5:$R$1004,"&lt;&gt;Cancelada"))</f>
        <v/>
      </c>
    </row>
    <row r="33" customFormat="false" ht="16.5" hidden="false" customHeight="true" outlineLevel="0" collapsed="false">
      <c r="A33" s="84" t="s">
        <v>908</v>
      </c>
      <c r="B33" s="81" t="n">
        <f aca="false">COUNTIFS(Programação!$I$5:$I$1004,"",Programação!$F$5:$F$1004,"&lt;&gt;",Programação!$P$5:$P$1004,B$13,Programação!$R$5:$R$1004,"&lt;&gt;Cancelada")</f>
        <v>0</v>
      </c>
      <c r="C33" s="81" t="n">
        <f aca="false">COUNTIFS(Programação!$I$5:$I$1004,"",Programação!$F$5:$F$1004,"&lt;&gt;",Programação!$P$5:$P$1004,C$13,Programação!$R$5:$R$1004,"&lt;&gt;Cancelada")</f>
        <v>0</v>
      </c>
      <c r="D33" s="81" t="n">
        <f aca="false">COUNTIFS(Programação!$I$5:$I$1004,"",Programação!$F$5:$F$1004,"&lt;&gt;",Programação!$P$5:$P$1004,D$13,Programação!$R$5:$R$1004,"&lt;&gt;Cancelada")</f>
        <v>0</v>
      </c>
      <c r="E33" s="81" t="n">
        <f aca="false">COUNTIFS(Programação!$I$5:$I$1004,"",Programação!$F$5:$F$1004,"&lt;&gt;",Programação!$P$5:$P$1004,E$13,Programação!$R$5:$R$1004,"&lt;&gt;Cancelada")</f>
        <v>5</v>
      </c>
      <c r="F33" s="81" t="n">
        <f aca="false">COUNTIFS(Programação!$I$5:$I$1004,"",Programação!$F$5:$F$1004,"&lt;&gt;",Programação!$P$5:$P$1004,F$13,Programação!$R$5:$R$1004,"&lt;&gt;Cancelada")</f>
        <v>6</v>
      </c>
      <c r="G33" s="81" t="n">
        <f aca="false">COUNTIFS(Programação!$I$5:$I$1004,"",Programação!$F$5:$F$1004,"&lt;&gt;",Programação!$P$5:$P$1004,G$13,Programação!$R$5:$R$1004,"&lt;&gt;Cancelada")</f>
        <v>7</v>
      </c>
      <c r="H33" s="81" t="n">
        <f aca="false">COUNTIFS(Programação!$I$5:$I$1004,"",Programação!$F$5:$F$1004,"&lt;&gt;",Programação!$P$5:$P$1004,H$13,Programação!$R$5:$R$1004,"&lt;&gt;Cancelada")</f>
        <v>7</v>
      </c>
      <c r="I33" s="81" t="n">
        <f aca="false">SUM($B33:$H33)</f>
        <v>25</v>
      </c>
      <c r="J33" s="81" t="n">
        <f aca="false">SUMIFS(Programação!$N$5:$N$1004,Programação!$I$5:$I$1004,"",Programação!$O$5:$O$1004,"&gt;="&amp;$E$3,Programação!$O$5:$O$1004,"&lt;="&amp;$G$3,Programação!$R$5:$R$1004,"&lt;&gt;Cancelada")</f>
        <v>201</v>
      </c>
      <c r="K33" s="81" t="n">
        <f aca="false">SUMIFS(Programação!$AB$5:$AB$1004,Programação!$I$5:$I$1004,"",Programação!$O$5:$O$1004,"&gt;="&amp;$E$3,Programação!$O$5:$O$1004,"&lt;="&amp;$G$3)</f>
        <v>0</v>
      </c>
      <c r="L33" s="82" t="n">
        <f aca="false">IF($I33=0,"",$K33/$I33)</f>
        <v>0</v>
      </c>
      <c r="M33" s="81" t="n">
        <f aca="false">COUNTIFS(Programação!$I$5:$I$1004,"",Programação!$B$5:$B$1004,"VENCIDA",Programação!$O$5:$O$1004,"&gt;="&amp;$E$3,Programação!$O$5:$O$1004,"&lt;="&amp;$G$3)</f>
        <v>0</v>
      </c>
      <c r="N33" s="83" t="n">
        <f aca="false">COUNTIFS(Programação!$I$5:$I$1004,"",Programação!$F$5:$F$1004,"&lt;&gt;",Programação!$O$5:$O$1004,"&gt;="&amp;$E$3,Programação!$O$5:$O$1004,"&lt;="&amp;$G$3,Programação!$R$5:$R$1004,"&lt;&gt;Cancelada")</f>
        <v>34</v>
      </c>
    </row>
    <row r="34" customFormat="false" ht="16.5" hidden="false" customHeight="true" outlineLevel="0" collapsed="false">
      <c r="A34" s="85" t="s">
        <v>909</v>
      </c>
      <c r="B34" s="86" t="n">
        <f aca="false">COUNTIFS(Programação!$F$5:$F$1004,"&lt;&gt;",Programação!$P$5:$P$1004,B$13,Programação!$R$5:$R$1004,"&lt;&gt;Cancelada")</f>
        <v>0</v>
      </c>
      <c r="C34" s="86" t="n">
        <f aca="false">COUNTIFS(Programação!$F$5:$F$1004,"&lt;&gt;",Programação!$P$5:$P$1004,C$13,Programação!$R$5:$R$1004,"&lt;&gt;Cancelada")</f>
        <v>7</v>
      </c>
      <c r="D34" s="86" t="n">
        <f aca="false">COUNTIFS(Programação!$F$5:$F$1004,"&lt;&gt;",Programação!$P$5:$P$1004,D$13,Programação!$R$5:$R$1004,"&lt;&gt;Cancelada")</f>
        <v>10</v>
      </c>
      <c r="E34" s="86" t="n">
        <f aca="false">COUNTIFS(Programação!$F$5:$F$1004,"&lt;&gt;",Programação!$P$5:$P$1004,E$13,Programação!$R$5:$R$1004,"&lt;&gt;Cancelada")</f>
        <v>17</v>
      </c>
      <c r="F34" s="86" t="n">
        <f aca="false">COUNTIFS(Programação!$F$5:$F$1004,"&lt;&gt;",Programação!$P$5:$P$1004,F$13,Programação!$R$5:$R$1004,"&lt;&gt;Cancelada")</f>
        <v>17</v>
      </c>
      <c r="G34" s="86" t="n">
        <f aca="false">COUNTIFS(Programação!$F$5:$F$1004,"&lt;&gt;",Programação!$P$5:$P$1004,G$13,Programação!$R$5:$R$1004,"&lt;&gt;Cancelada")</f>
        <v>8</v>
      </c>
      <c r="H34" s="86" t="n">
        <f aca="false">COUNTIFS(Programação!$F$5:$F$1004,"&lt;&gt;",Programação!$P$5:$P$1004,H$13,Programação!$R$5:$R$1004,"&lt;&gt;Cancelada")</f>
        <v>7</v>
      </c>
      <c r="I34" s="86" t="n">
        <f aca="false">COUNTIFS(Programação!$O$5:$O$1004,"&gt;="&amp;$E$3,Programação!$O$5:$O$1004,"&lt;="&amp;$G$3,Programação!$F$5:$F$1004,"&lt;&gt;",Programação!$R$5:$R$1004,"&lt;&gt;Cancelada")</f>
        <v>75</v>
      </c>
      <c r="J34" s="86" t="n">
        <f aca="false">SUMIFS(Programação!$N$5:$N$1004,Programação!$O$5:$O$1004,"&gt;="&amp;$E$3,Programação!$O$5:$O$1004,"&lt;="&amp;$G$3,Programação!$R$5:$R$1004,"&lt;&gt;Cancelada")</f>
        <v>333</v>
      </c>
      <c r="K34" s="86" t="n">
        <f aca="false">SUMIFS(Programação!$AB$5:$AB$1004,Programação!$O$5:$O$1004,"&gt;="&amp;$E$3,Programação!$O$5:$O$1004,"&lt;="&amp;$G$3)</f>
        <v>25</v>
      </c>
      <c r="L34" s="87" t="n">
        <f aca="false">IF($I34=0,"",$K34/$I34)</f>
        <v>0.333333333333333</v>
      </c>
      <c r="M34" s="86" t="n">
        <f aca="false">COUNTIFS(Programação!$B$5:$B$1004,"VENCIDA",Programação!$O$5:$O$1004,"&gt;="&amp;$E$3,Programação!$O$5:$O$1004,"&lt;="&amp;$G$3)</f>
        <v>1</v>
      </c>
      <c r="N34" s="88" t="n">
        <f aca="false">SUM($N14:$N33)</f>
        <v>75</v>
      </c>
    </row>
    <row r="36" customFormat="false" ht="19.5" hidden="false" customHeight="true" outlineLevel="0" collapsed="false">
      <c r="A36" s="67" t="s">
        <v>910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customFormat="false" ht="16.5" hidden="false" customHeight="true" outlineLevel="0" collapsed="false">
      <c r="A37" s="24" t="s">
        <v>911</v>
      </c>
      <c r="B37" s="89" t="n">
        <f aca="false">COUNTIFS(Programação!$P$5:$P$1004,B$13,Programação!$F$5:$F$1004,"&lt;&gt;",Programação!$R$5:$R$1004,"&lt;&gt;Cancelada",Programação!$V$5:$V$1004,"Interna")</f>
        <v>0</v>
      </c>
      <c r="C37" s="89" t="n">
        <f aca="false">COUNTIFS(Programação!$P$5:$P$1004,C$13,Programação!$F$5:$F$1004,"&lt;&gt;",Programação!$R$5:$R$1004,"&lt;&gt;Cancelada",Programação!$V$5:$V$1004,"Interna")</f>
        <v>7</v>
      </c>
      <c r="D37" s="89" t="n">
        <f aca="false">COUNTIFS(Programação!$P$5:$P$1004,D$13,Programação!$F$5:$F$1004,"&lt;&gt;",Programação!$R$5:$R$1004,"&lt;&gt;Cancelada",Programação!$V$5:$V$1004,"Interna")</f>
        <v>10</v>
      </c>
      <c r="E37" s="89" t="n">
        <f aca="false">COUNTIFS(Programação!$P$5:$P$1004,E$13,Programação!$F$5:$F$1004,"&lt;&gt;",Programação!$R$5:$R$1004,"&lt;&gt;Cancelada",Programação!$V$5:$V$1004,"Interna")</f>
        <v>17</v>
      </c>
      <c r="F37" s="89" t="n">
        <f aca="false">COUNTIFS(Programação!$P$5:$P$1004,F$13,Programação!$F$5:$F$1004,"&lt;&gt;",Programação!$R$5:$R$1004,"&lt;&gt;Cancelada",Programação!$V$5:$V$1004,"Interna")</f>
        <v>17</v>
      </c>
      <c r="G37" s="89" t="n">
        <f aca="false">COUNTIFS(Programação!$P$5:$P$1004,G$13,Programação!$F$5:$F$1004,"&lt;&gt;",Programação!$R$5:$R$1004,"&lt;&gt;Cancelada",Programação!$V$5:$V$1004,"Interna")</f>
        <v>8</v>
      </c>
      <c r="H37" s="89" t="n">
        <f aca="false">COUNTIFS(Programação!$P$5:$P$1004,H$13,Programação!$F$5:$F$1004,"&lt;&gt;",Programação!$R$5:$R$1004,"&lt;&gt;Cancelada",Programação!$V$5:$V$1004,"Interna")</f>
        <v>7</v>
      </c>
      <c r="I37" s="89" t="n">
        <f aca="false">SUM($B37:$H37)</f>
        <v>66</v>
      </c>
    </row>
    <row r="38" customFormat="false" ht="16.5" hidden="false" customHeight="true" outlineLevel="0" collapsed="false">
      <c r="A38" s="24" t="s">
        <v>912</v>
      </c>
      <c r="B38" s="89" t="n">
        <f aca="false">SUMIFS(Programação!$AB$5:$AB$1004,Programação!$P$5:$P$1004,B$13,Programação!$R$5:$R$1004,"&lt;&gt;Cancelada",Programação!$V$5:$V$1004,"Interna")</f>
        <v>0</v>
      </c>
      <c r="C38" s="89" t="n">
        <f aca="false">SUMIFS(Programação!$AB$5:$AB$1004,Programação!$P$5:$P$1004,C$13,Programação!$R$5:$R$1004,"&lt;&gt;Cancelada",Programação!$V$5:$V$1004,"Interna")</f>
        <v>6</v>
      </c>
      <c r="D38" s="89" t="n">
        <f aca="false">SUMIFS(Programação!$AB$5:$AB$1004,Programação!$P$5:$P$1004,D$13,Programação!$R$5:$R$1004,"&lt;&gt;Cancelada",Programação!$V$5:$V$1004,"Interna")</f>
        <v>9</v>
      </c>
      <c r="E38" s="89" t="n">
        <f aca="false">SUMIFS(Programação!$AB$5:$AB$1004,Programação!$P$5:$P$1004,E$13,Programação!$R$5:$R$1004,"&lt;&gt;Cancelada",Programação!$V$5:$V$1004,"Interna")</f>
        <v>5</v>
      </c>
      <c r="F38" s="89" t="n">
        <f aca="false">SUMIFS(Programação!$AB$5:$AB$1004,Programação!$P$5:$P$1004,F$13,Programação!$R$5:$R$1004,"&lt;&gt;Cancelada",Programação!$V$5:$V$1004,"Interna")</f>
        <v>5</v>
      </c>
      <c r="G38" s="89" t="n">
        <f aca="false">SUMIFS(Programação!$AB$5:$AB$1004,Programação!$P$5:$P$1004,G$13,Programação!$R$5:$R$1004,"&lt;&gt;Cancelada",Programação!$V$5:$V$1004,"Interna")</f>
        <v>1</v>
      </c>
      <c r="H38" s="89" t="n">
        <f aca="false">SUMIFS(Programação!$AB$5:$AB$1004,Programação!$P$5:$P$1004,H$13,Programação!$R$5:$R$1004,"&lt;&gt;Cancelada",Programação!$V$5:$V$1004,"Interna")</f>
        <v>0</v>
      </c>
      <c r="I38" s="89" t="n">
        <f aca="false">SUM($B38:$H38)</f>
        <v>26</v>
      </c>
    </row>
    <row r="39" customFormat="false" ht="16.5" hidden="false" customHeight="true" outlineLevel="0" collapsed="false">
      <c r="A39" s="90" t="s">
        <v>913</v>
      </c>
      <c r="B39" s="91" t="str">
        <f aca="false">IF(B37=0,"",B38/B37)</f>
        <v/>
      </c>
      <c r="C39" s="91" t="n">
        <f aca="false">IF(C37=0,"",C38/C37)</f>
        <v>0.857142857142857</v>
      </c>
      <c r="D39" s="91" t="n">
        <f aca="false">IF(D37=0,"",D38/D37)</f>
        <v>0.9</v>
      </c>
      <c r="E39" s="91" t="n">
        <f aca="false">IF(E37=0,"",E38/E37)</f>
        <v>0.294117647058824</v>
      </c>
      <c r="F39" s="91" t="n">
        <f aca="false">IF(F37=0,"",F38/F37)</f>
        <v>0.294117647058824</v>
      </c>
      <c r="G39" s="91" t="n">
        <f aca="false">IF(G37=0,"",G38/G37)</f>
        <v>0.125</v>
      </c>
      <c r="H39" s="91" t="n">
        <f aca="false">IF(H37=0,"",H38/H37)</f>
        <v>0</v>
      </c>
      <c r="I39" s="91" t="n">
        <f aca="false">IF($I37=0,"",$I38/$I37)</f>
        <v>0.393939393939394</v>
      </c>
    </row>
    <row r="41" customFormat="false" ht="15" hidden="false" customHeight="false" outlineLevel="0" collapsed="false">
      <c r="A41" s="55" t="s">
        <v>914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</row>
  </sheetData>
  <mergeCells count="21">
    <mergeCell ref="A1:N1"/>
    <mergeCell ref="A3:B3"/>
    <mergeCell ref="K3:L3"/>
    <mergeCell ref="A4:N4"/>
    <mergeCell ref="A5:C5"/>
    <mergeCell ref="D5:E5"/>
    <mergeCell ref="F5:G5"/>
    <mergeCell ref="H5:I5"/>
    <mergeCell ref="J5:K5"/>
    <mergeCell ref="L5:M5"/>
    <mergeCell ref="A6:C6"/>
    <mergeCell ref="D6:E6"/>
    <mergeCell ref="F6:G6"/>
    <mergeCell ref="H6:I6"/>
    <mergeCell ref="J6:K6"/>
    <mergeCell ref="L6:M6"/>
    <mergeCell ref="A7:N7"/>
    <mergeCell ref="A9:C9"/>
    <mergeCell ref="D9:M9"/>
    <mergeCell ref="A36:N36"/>
    <mergeCell ref="A41:N41"/>
  </mergeCells>
  <conditionalFormatting sqref="E11:M11">
    <cfRule type="cellIs" priority="2" operator="equal" aboveAverage="0" equalAverage="0" bottom="0" percent="0" rank="0" text="" dxfId="57">
      <formula>0</formula>
    </cfRule>
  </conditionalFormatting>
  <conditionalFormatting sqref="B14:H32">
    <cfRule type="dataBar" priority="3">
      <dataBar showValue="1" minLength="10" maxLength="90">
        <cfvo type="num" val="0"/>
        <cfvo type="num" val="8"/>
        <color rgb="FF9DB4DE"/>
      </dataBar>
      <extLst>
        <ext xmlns:x14="http://schemas.microsoft.com/office/spreadsheetml/2009/9/main" uri="{B025F937-C7B1-47D3-B67F-A62EFF666E3E}">
          <x14:id>{739E917B-57E2-4AED-91C8-D5E88ABC8045}</x14:id>
        </ext>
      </extLst>
    </cfRule>
    <cfRule type="cellIs" priority="4" operator="equal" aboveAverage="0" equalAverage="0" bottom="0" percent="0" rank="0" text="" dxfId="58">
      <formula>0</formula>
    </cfRule>
  </conditionalFormatting>
  <conditionalFormatting sqref="L14:L32">
    <cfRule type="cellIs" priority="5" operator="greaterThanOrEqual" aboveAverage="0" equalAverage="0" bottom="0" percent="0" rank="0" text="" dxfId="59">
      <formula>0.85</formula>
    </cfRule>
    <cfRule type="cellIs" priority="6" operator="lessThan" aboveAverage="0" equalAverage="0" bottom="0" percent="0" rank="0" text="" dxfId="60">
      <formula>0.6</formula>
    </cfRule>
  </conditionalFormatting>
  <conditionalFormatting sqref="M14:M33">
    <cfRule type="cellIs" priority="7" operator="greaterThan" aboveAverage="0" equalAverage="0" bottom="0" percent="0" rank="0" text="" dxfId="60">
      <formula>0</formula>
    </cfRule>
  </conditionalFormatting>
  <conditionalFormatting sqref="B39:I39">
    <cfRule type="cellIs" priority="8" operator="greaterThanOrEqual" aboveAverage="0" equalAverage="0" bottom="0" percent="0" rank="0" text="" dxfId="59">
      <formula>0.85</formula>
    </cfRule>
    <cfRule type="cellIs" priority="9" operator="lessThan" aboveAverage="0" equalAverage="0" bottom="0" percent="0" rank="0" text="" dxfId="60">
      <formula>0.6</formula>
    </cfRule>
  </conditionalFormatting>
  <dataValidations count="1">
    <dataValidation allowBlank="false" error="De 1 a 53." errorStyle="stop" errorTitle="Semana" operator="between" showDropDown="false" showErrorMessage="true" showInputMessage="false" sqref="C3" type="whole">
      <formula1>1</formula1>
      <formula2>53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9E917B-57E2-4AED-91C8-D5E88ABC8045}">
            <x14:dataBar minLength="10" maxLength="90" axisPosition="none" gradient="true">
              <x14:cfvo type="num">
                <xm:f>0</xm:f>
              </x14:cfvo>
              <x14:cfvo type="num">
                <xm:f>8</xm:f>
              </x14:cfvo>
              <x14:negativeFillColor rgb="FF9DB4DE"/>
              <x14:axisColor rgb="FF000000"/>
            </x14:dataBar>
          </x14:cfRule>
          <xm:sqref>B14:H32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Q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3"/>
    <col collapsed="false" customWidth="true" hidden="false" outlineLevel="0" max="8" min="8" style="0" width="15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5" min="15" style="0" width="18"/>
    <col collapsed="false" customWidth="true" hidden="false" outlineLevel="0" max="16" min="16" style="0" width="15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1" t="s">
        <v>915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92" t="s">
        <v>916</v>
      </c>
      <c r="B3" s="93" t="n">
        <f aca="false">Semana!$C$3</f>
        <v>37</v>
      </c>
      <c r="C3" s="94" t="n">
        <f aca="false">Semana!$E$3</f>
        <v>46272</v>
      </c>
      <c r="D3" s="95" t="s">
        <v>890</v>
      </c>
      <c r="E3" s="94" t="n">
        <f aca="false">Semana!$G$3</f>
        <v>46278</v>
      </c>
      <c r="F3" s="55" t="s">
        <v>917</v>
      </c>
      <c r="G3" s="55"/>
      <c r="H3" s="55"/>
      <c r="I3" s="55"/>
      <c r="J3" s="55"/>
      <c r="K3" s="55"/>
      <c r="L3" s="55"/>
      <c r="M3" s="55"/>
    </row>
    <row r="5" customFormat="false" ht="18" hidden="false" customHeight="true" outlineLevel="0" collapsed="false">
      <c r="A5" s="96" t="s">
        <v>918</v>
      </c>
      <c r="B5" s="96"/>
      <c r="C5" s="96"/>
      <c r="D5" s="96"/>
      <c r="E5" s="96"/>
      <c r="F5" s="96"/>
      <c r="G5" s="96" t="s">
        <v>896</v>
      </c>
      <c r="H5" s="96"/>
      <c r="I5" s="96"/>
      <c r="J5" s="96"/>
      <c r="K5" s="96"/>
      <c r="L5" s="96"/>
      <c r="M5" s="96"/>
    </row>
    <row r="6" customFormat="false" ht="25.5" hidden="false" customHeight="true" outlineLevel="0" collapsed="false">
      <c r="A6" s="97" t="n">
        <f aca="false">IFERROR(B15/B13,"")</f>
        <v>0.323076923076923</v>
      </c>
      <c r="B6" s="97"/>
      <c r="C6" s="97"/>
      <c r="D6" s="97"/>
      <c r="E6" s="97"/>
      <c r="F6" s="97"/>
      <c r="G6" s="98" t="n">
        <f aca="false">IFERROR(B18/B16,"")</f>
        <v>0.333333333333333</v>
      </c>
      <c r="H6" s="98"/>
      <c r="I6" s="98"/>
      <c r="J6" s="98"/>
      <c r="K6" s="98"/>
      <c r="L6" s="98"/>
      <c r="M6" s="98"/>
    </row>
    <row r="7" customFormat="false" ht="25.5" hidden="false" customHeight="true" outlineLevel="0" collapsed="false">
      <c r="A7" s="97"/>
      <c r="B7" s="97"/>
      <c r="C7" s="97"/>
      <c r="D7" s="97"/>
      <c r="E7" s="97"/>
      <c r="F7" s="97"/>
      <c r="G7" s="98"/>
      <c r="H7" s="98"/>
      <c r="I7" s="98"/>
      <c r="J7" s="98"/>
      <c r="K7" s="98"/>
      <c r="L7" s="98"/>
      <c r="M7" s="98"/>
    </row>
    <row r="8" customFormat="false" ht="15.75" hidden="false" customHeight="true" outlineLevel="0" collapsed="false">
      <c r="A8" s="99" t="str">
        <f aca="false">"do plano da semana, "&amp;B15&amp;" de "&amp;B13&amp;" atividades foram concluídas."&amp;CHAR(10)&amp;"Extra programação, serviço de terceiro e cancelada ficam fora dos dois lados."</f>
        <v>do plano da semana, 21 de 65 atividades foram concluídas.
Extra programação, serviço de terceiro e cancelada ficam fora dos dois lados.</v>
      </c>
      <c r="B8" s="99"/>
      <c r="C8" s="99"/>
      <c r="D8" s="99"/>
      <c r="E8" s="99"/>
      <c r="F8" s="99"/>
      <c r="G8" s="99" t="str">
        <f aca="false">"contando o extra, a oficina fez "&amp;B18&amp;" das "&amp;B16&amp;" atividades que teve."&amp;CHAR(10)&amp;"A distância entre os dois números é o tamanho do imprevisto na semana."</f>
        <v>contando o extra, a oficina fez 25 das 75 atividades que teve.
A distância entre os dois números é o tamanho do imprevisto na semana.</v>
      </c>
      <c r="H8" s="99"/>
      <c r="I8" s="99"/>
      <c r="J8" s="99"/>
      <c r="K8" s="99"/>
      <c r="L8" s="99"/>
      <c r="M8" s="99"/>
    </row>
    <row r="9" customFormat="false" ht="18" hidden="false" customHeight="true" outlineLevel="0" collapsed="false">
      <c r="A9" s="99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</row>
    <row r="11" customFormat="false" ht="15" hidden="false" customHeight="false" outlineLevel="0" collapsed="false">
      <c r="A11" s="38" t="s">
        <v>919</v>
      </c>
      <c r="B11" s="38" t="s">
        <v>920</v>
      </c>
      <c r="C11" s="100" t="s">
        <v>921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</row>
    <row r="12" customFormat="false" ht="16.5" hidden="false" customHeight="true" outlineLevel="0" collapsed="false">
      <c r="A12" s="101" t="s">
        <v>922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</row>
    <row r="13" customFormat="false" ht="16.5" hidden="false" customHeight="true" outlineLevel="0" collapsed="false">
      <c r="A13" s="23" t="s">
        <v>923</v>
      </c>
      <c r="B13" s="102" t="n">
        <f aca="false">COUNTIFS(Programação!$O$5:$O$1004,"&gt;="&amp;$C$3,Programação!$O$5:$O$1004,"&lt;="&amp;$E$3,Programação!$R$5:$R$1004,"&lt;&gt;Cancelada",Programação!$V$5:$V$1004,"Interna",Programação!$H$5:$H$1004,"&lt;&gt;Extra")</f>
        <v>65</v>
      </c>
      <c r="C13" s="103" t="s">
        <v>924</v>
      </c>
      <c r="D13" s="103"/>
      <c r="E13" s="103"/>
      <c r="F13" s="103"/>
      <c r="G13" s="103"/>
      <c r="H13" s="103"/>
      <c r="I13" s="103"/>
      <c r="J13" s="103"/>
      <c r="K13" s="103"/>
      <c r="L13" s="103"/>
      <c r="M13" s="103"/>
    </row>
    <row r="14" customFormat="false" ht="16.5" hidden="false" customHeight="true" outlineLevel="0" collapsed="false">
      <c r="A14" s="23" t="s">
        <v>925</v>
      </c>
      <c r="B14" s="102" t="n">
        <f aca="false">COUNTIFS(Programação!$O$5:$O$1004,"&gt;="&amp;$C$3,Programação!$O$5:$O$1004,"&lt;="&amp;$E$3,Programação!$H$5:$H$1004,"Extra",Programação!$R$5:$R$1004,"&lt;&gt;Cancelada",Programação!$V$5:$V$1004,"Interna")</f>
        <v>10</v>
      </c>
      <c r="C14" s="103" t="s">
        <v>926</v>
      </c>
      <c r="D14" s="103"/>
      <c r="E14" s="103"/>
      <c r="F14" s="103"/>
      <c r="G14" s="103"/>
      <c r="H14" s="103"/>
      <c r="I14" s="103"/>
      <c r="J14" s="103"/>
      <c r="K14" s="103"/>
      <c r="L14" s="103"/>
      <c r="M14" s="103"/>
    </row>
    <row r="15" customFormat="false" ht="16.5" hidden="false" customHeight="true" outlineLevel="0" collapsed="false">
      <c r="A15" s="23" t="s">
        <v>927</v>
      </c>
      <c r="B15" s="102" t="n">
        <f aca="false">SUMIFS(Programação!$AB$5:$AB$1004,Programação!$O$5:$O$1004,"&gt;="&amp;$C$3,Programação!$O$5:$O$1004,"&lt;="&amp;$E$3,Programação!$H$5:$H$1004,"&lt;&gt;Extra",Programação!$V$5:$V$1004,"Interna")</f>
        <v>21</v>
      </c>
      <c r="C15" s="103" t="s">
        <v>928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customFormat="false" ht="16.5" hidden="false" customHeight="true" outlineLevel="0" collapsed="false">
      <c r="A16" s="23" t="s">
        <v>929</v>
      </c>
      <c r="B16" s="102" t="n">
        <f aca="false">COUNTIFS(Programação!$O$5:$O$1004,"&gt;="&amp;$C$3,Programação!$O$5:$O$1004,"&lt;="&amp;$E$3,Programação!$R$5:$R$1004,"&lt;&gt;Cancelada",Programação!$V$5:$V$1004,"Interna")</f>
        <v>75</v>
      </c>
      <c r="C16" s="103" t="s">
        <v>930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</row>
    <row r="17" customFormat="false" ht="16.5" hidden="false" customHeight="true" outlineLevel="0" collapsed="false">
      <c r="A17" s="23" t="s">
        <v>931</v>
      </c>
      <c r="B17" s="102" t="n">
        <f aca="false">SUMIFS(Programação!$AB$5:$AB$1004,Programação!$O$5:$O$1004,"&gt;="&amp;$C$3,Programação!$O$5:$O$1004,"&lt;="&amp;$E$3,Programação!$H$5:$H$1004,"Extra",Programação!$V$5:$V$1004,"Interna")</f>
        <v>4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customFormat="false" ht="16.5" hidden="false" customHeight="true" outlineLevel="0" collapsed="false">
      <c r="A18" s="23" t="s">
        <v>932</v>
      </c>
      <c r="B18" s="102" t="n">
        <f aca="false">SUMIFS(Programação!$AB$5:$AB$1004,Programação!$O$5:$O$1004,"&gt;="&amp;$C$3,Programação!$O$5:$O$1004,"&lt;="&amp;$E$3,Programação!$V$5:$V$1004,"Interna")</f>
        <v>25</v>
      </c>
      <c r="C18" s="103" t="s">
        <v>930</v>
      </c>
      <c r="D18" s="103"/>
      <c r="E18" s="103"/>
      <c r="F18" s="103"/>
      <c r="G18" s="103"/>
      <c r="H18" s="103"/>
      <c r="I18" s="103"/>
      <c r="J18" s="103"/>
      <c r="K18" s="103"/>
      <c r="L18" s="103"/>
      <c r="M18" s="103"/>
    </row>
    <row r="19" customFormat="false" ht="16.5" hidden="false" customHeight="true" outlineLevel="0" collapsed="false">
      <c r="A19" s="101" t="s">
        <v>933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</row>
    <row r="20" customFormat="false" ht="16.5" hidden="false" customHeight="true" outlineLevel="0" collapsed="false">
      <c r="A20" s="104" t="s">
        <v>934</v>
      </c>
      <c r="B20" s="105" t="n">
        <f aca="false">IFERROR(B15/B13,"")</f>
        <v>0.323076923076923</v>
      </c>
      <c r="C20" s="106" t="s">
        <v>935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</row>
    <row r="21" customFormat="false" ht="16.5" hidden="false" customHeight="true" outlineLevel="0" collapsed="false">
      <c r="A21" s="104" t="s">
        <v>936</v>
      </c>
      <c r="B21" s="105" t="n">
        <f aca="false">IFERROR(B18/B16,"")</f>
        <v>0.333333333333333</v>
      </c>
      <c r="C21" s="106" t="s">
        <v>937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</row>
    <row r="22" customFormat="false" ht="16.5" hidden="false" customHeight="true" outlineLevel="0" collapsed="false">
      <c r="A22" s="23" t="s">
        <v>938</v>
      </c>
      <c r="B22" s="107" t="n">
        <f aca="false">IFERROR(B14/B16,"")</f>
        <v>0.133333333333333</v>
      </c>
      <c r="C22" s="103" t="s">
        <v>939</v>
      </c>
      <c r="D22" s="103"/>
      <c r="E22" s="103"/>
      <c r="F22" s="103"/>
      <c r="G22" s="103"/>
      <c r="H22" s="103"/>
      <c r="I22" s="103"/>
      <c r="J22" s="103"/>
      <c r="K22" s="103"/>
      <c r="L22" s="103"/>
      <c r="M22" s="103"/>
    </row>
    <row r="23" customFormat="false" ht="16.5" hidden="false" customHeight="true" outlineLevel="0" collapsed="false">
      <c r="A23" s="23" t="s">
        <v>940</v>
      </c>
      <c r="B23" s="102" t="n">
        <f aca="false">IF(SUMIFS(Programação!$AB$5:$AB$1004,Programação!$O$5:$O$1004,"&gt;="&amp;$C$3,Programação!$O$5:$O$1004,"&lt;="&amp;$E$3,Programação!$V$5:$V$1004,"Interna")=0,"",SUMIFS(Programação!$X$5:$X$1004,Programação!$O$5:$O$1004,"&gt;="&amp;$C$3,Programação!$O$5:$O$1004,"&lt;="&amp;$E$3,Programação!$H$5:$H$1004,"&lt;&gt;Extra",Programação!$V$5:$V$1004,"Interna"))</f>
        <v>20</v>
      </c>
      <c r="C23" s="103" t="s">
        <v>941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</row>
    <row r="24" customFormat="false" ht="16.5" hidden="false" customHeight="true" outlineLevel="0" collapsed="false">
      <c r="A24" s="23" t="s">
        <v>942</v>
      </c>
      <c r="B24" s="107" t="n">
        <f aca="false">IFERROR(B23/SUMIFS(Programação!$AB$5:$AB$1004,Programação!$O$5:$O$1004,"&gt;="&amp;$C$3,Programação!$O$5:$O$1004,"&lt;="&amp;$E$3,Programação!$R$5:$R$1004,"&lt;&gt;Cancelada",Programação!$V$5:$V$1004,"Interna",Programação!$H$5:$H$1004,"&lt;&gt;Extra"),"")</f>
        <v>0.952380952380952</v>
      </c>
      <c r="C24" s="103" t="s">
        <v>943</v>
      </c>
      <c r="D24" s="103"/>
      <c r="E24" s="103"/>
      <c r="F24" s="103"/>
      <c r="G24" s="103"/>
      <c r="H24" s="103"/>
      <c r="I24" s="103"/>
      <c r="J24" s="103"/>
      <c r="K24" s="103"/>
      <c r="L24" s="103"/>
      <c r="M24" s="103"/>
    </row>
    <row r="25" customFormat="false" ht="16.5" hidden="false" customHeight="true" outlineLevel="0" collapsed="false">
      <c r="A25" s="23" t="s">
        <v>944</v>
      </c>
      <c r="B25" s="107" t="n">
        <f aca="false">IF(SUMIFS(Programação!$AB$5:$AB$1004,Programação!$W$5:$W$1004,"&gt;="&amp;$C$3,Programação!$W$5:$W$1004,"&lt;="&amp;$E$3,Programação!$V$5:$V$1004,"Interna")=0,"",IFERROR(SUMIFS(Programação!$Y$5:$Y$1004,Programação!$W$5:$W$1004,"&gt;="&amp;$C$3,Programação!$W$5:$W$1004,"&lt;="&amp;$E$3,Programação!$H$5:$H$1004,"&lt;&gt;Extra",Programação!$V$5:$V$1004,"Interna")/COUNTIFS(Programação!$W$5:$W$1004,"&gt;="&amp;$C$3,Programação!$W$5:$W$1004,"&lt;="&amp;$E$3,Programação!$R$5:$R$1004,"&lt;&gt;Cancelada",Programação!$V$5:$V$1004,"Interna",Programação!$H$5:$H$1004,"&lt;&gt;Extra"),""))</f>
        <v>0.267857142857143</v>
      </c>
      <c r="C25" s="103" t="s">
        <v>945</v>
      </c>
      <c r="D25" s="103"/>
      <c r="E25" s="103"/>
      <c r="F25" s="103"/>
      <c r="G25" s="103"/>
      <c r="H25" s="103"/>
      <c r="I25" s="103"/>
      <c r="J25" s="103"/>
      <c r="K25" s="103"/>
      <c r="L25" s="103"/>
      <c r="M25" s="103"/>
    </row>
    <row r="26" customFormat="false" ht="16.5" hidden="false" customHeight="true" outlineLevel="0" collapsed="false">
      <c r="A26" s="23" t="s">
        <v>946</v>
      </c>
      <c r="B26" s="102" t="n">
        <f aca="false">COUNTIFS(Programação!$S$5:$S$1004,$B$3,Programação!$L$5:$L$1004,"&lt;&gt;"&amp;$B$3,Programação!$R$5:$R$1004,"&lt;&gt;Cancelada")</f>
        <v>0</v>
      </c>
      <c r="C26" s="103" t="s">
        <v>947</v>
      </c>
      <c r="D26" s="103"/>
      <c r="E26" s="103"/>
      <c r="F26" s="103"/>
      <c r="G26" s="103"/>
      <c r="H26" s="103"/>
      <c r="I26" s="103"/>
      <c r="J26" s="103"/>
      <c r="K26" s="103"/>
      <c r="L26" s="103"/>
      <c r="M26" s="103"/>
    </row>
    <row r="27" customFormat="false" ht="16.5" hidden="false" customHeight="true" outlineLevel="0" collapsed="false">
      <c r="A27" s="23" t="s">
        <v>906</v>
      </c>
      <c r="B27" s="102" t="n">
        <f aca="false">COUNTIFS(Programação!$B$5:$B$1004,"VENCIDA",Programação!$O$5:$O$1004,"&gt;="&amp;$C$3,Programação!$O$5:$O$1004,"&lt;="&amp;$E$3,Programação!$V$5:$V$1004,"Interna")</f>
        <v>1</v>
      </c>
      <c r="C27" s="103" t="s">
        <v>948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customFormat="false" ht="16.5" hidden="false" customHeight="true" outlineLevel="0" collapsed="false">
      <c r="A28" s="23" t="s">
        <v>949</v>
      </c>
      <c r="B28" s="102" t="n">
        <f aca="false">SUMIFS(Programação!$AA$5:$AA$1004,Programação!$O$5:$O$1004,"&gt;="&amp;$C$3,Programação!$O$5:$O$1004,"&lt;="&amp;$E$3,Programação!$V$5:$V$1004,"Interna")</f>
        <v>12</v>
      </c>
      <c r="C28" s="103" t="s">
        <v>950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</row>
    <row r="29" customFormat="false" ht="16.5" hidden="false" customHeight="true" outlineLevel="0" collapsed="false">
      <c r="A29" s="23" t="s">
        <v>951</v>
      </c>
      <c r="B29" s="108" t="n">
        <f aca="false">IFERROR(SUMIFS(Programação!$Z$5:$Z$1004,Programação!$O$5:$O$1004,"&gt;="&amp;$C$3,Programação!$O$5:$O$1004,"&lt;="&amp;$E$3,Programação!$V$5:$V$1004,"Interna")/COUNTIFS(Programação!$O$5:$O$1004,"&gt;="&amp;$C$3,Programação!$O$5:$O$1004,"&lt;="&amp;$E$3,Programação!$Z$5:$Z$1004,"&gt;0",Programação!$V$5:$V$1004,"Interna"),0)</f>
        <v>1</v>
      </c>
      <c r="C29" s="103" t="s">
        <v>952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customFormat="false" ht="16.5" hidden="false" customHeight="true" outlineLevel="0" collapsed="false">
      <c r="A30" s="101" t="s">
        <v>953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</row>
    <row r="31" customFormat="false" ht="16.5" hidden="false" customHeight="true" outlineLevel="0" collapsed="false">
      <c r="A31" s="23" t="s">
        <v>954</v>
      </c>
      <c r="B31" s="108" t="n">
        <f aca="false">IFERROR(B16/5,"")</f>
        <v>15</v>
      </c>
      <c r="C31" s="103" t="s">
        <v>955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03"/>
    </row>
    <row r="32" customFormat="false" ht="16.5" hidden="false" customHeight="true" outlineLevel="0" collapsed="false">
      <c r="A32" s="23" t="s">
        <v>956</v>
      </c>
      <c r="B32" s="108" t="n">
        <f aca="false">IFERROR(B18/5,"")</f>
        <v>5</v>
      </c>
      <c r="C32" s="103" t="s">
        <v>957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/>
    </row>
    <row r="33" customFormat="false" ht="16.5" hidden="false" customHeight="true" outlineLevel="0" collapsed="false">
      <c r="A33" s="23" t="s">
        <v>958</v>
      </c>
      <c r="B33" s="102" t="n">
        <f aca="false">SUMIFS(Programação!$N$5:$N$1004,Programação!$O$5:$O$1004,"&gt;="&amp;$C$3,Programação!$O$5:$O$1004,"&lt;="&amp;$E$3,Programação!$R$5:$R$1004,"&lt;&gt;Cancelada",Programação!$V$5:$V$1004,"Interna")</f>
        <v>333</v>
      </c>
      <c r="C33" s="103" t="s">
        <v>959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</row>
    <row r="34" customFormat="false" ht="16.5" hidden="false" customHeight="true" outlineLevel="0" collapsed="false">
      <c r="A34" s="101" t="s">
        <v>960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</row>
    <row r="35" customFormat="false" ht="16.5" hidden="false" customHeight="true" outlineLevel="0" collapsed="false">
      <c r="A35" s="23" t="s">
        <v>961</v>
      </c>
      <c r="B35" s="102" t="n">
        <f aca="false">COUNTIFS(Programação!$O$5:$O$1004,"&gt;="&amp;$C$3,Programação!$O$5:$O$1004,"&lt;="&amp;$E$3,Programação!$V$5:$V$1004,"Terceirizada",Programação!$R$5:$R$1004,"&lt;&gt;Cancelada")</f>
        <v>0</v>
      </c>
      <c r="C35" s="103" t="s">
        <v>962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customFormat="false" ht="16.5" hidden="false" customHeight="true" outlineLevel="0" collapsed="false">
      <c r="A36" s="23" t="s">
        <v>963</v>
      </c>
      <c r="B36" s="102" t="n">
        <f aca="false">COUNTIFS(Programação!$O$5:$O$1004,"&gt;="&amp;$C$3,Programação!$O$5:$O$1004,"&lt;="&amp;$E$3,Programação!$R$5:$R$1004,"Cancelada")</f>
        <v>4</v>
      </c>
      <c r="C36" s="103" t="s">
        <v>964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customFormat="false" ht="16.5" hidden="false" customHeight="true" outlineLevel="0" collapsed="false">
      <c r="A37" s="23" t="s">
        <v>965</v>
      </c>
      <c r="B37" s="102" t="n">
        <f aca="false">COUNTIFS(Programação!$O$5:$O$1004,"",Programação!$F$5:$F$1004,"&lt;&gt;",Programação!$R$5:$R$1004,"&lt;&gt;Cancelada")</f>
        <v>120</v>
      </c>
      <c r="C37" s="103" t="s">
        <v>966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customFormat="false" ht="16.5" hidden="false" customHeight="true" outlineLevel="0" collapsed="false">
      <c r="A38" s="101" t="s">
        <v>967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</row>
    <row r="39" customFormat="false" ht="16.5" hidden="false" customHeight="true" outlineLevel="0" collapsed="false">
      <c r="A39" s="23" t="s">
        <v>968</v>
      </c>
      <c r="B39" s="102" t="n">
        <f aca="false">COUNTIFS(Programação!$O$5:$O$1004,"&gt;="&amp;$C$3,Programação!$O$5:$O$1004,"&lt;="&amp;$E$3,Programação!$G$5:$G$1004,"Corretiva",Programação!$R$5:$R$1004,"&lt;&gt;Cancelada",Programação!$V$5:$V$1004,"Interna")</f>
        <v>60</v>
      </c>
      <c r="C39" s="103" t="s">
        <v>969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customFormat="false" ht="16.5" hidden="false" customHeight="true" outlineLevel="0" collapsed="false">
      <c r="A40" s="23" t="s">
        <v>970</v>
      </c>
      <c r="B40" s="102" t="n">
        <f aca="false">COUNTIFS(Programação!$O$5:$O$1004,"&gt;="&amp;$C$3,Programação!$O$5:$O$1004,"&lt;="&amp;$E$3,Programação!$G$5:$G$1004,"Preventiva",Programação!$R$5:$R$1004,"&lt;&gt;Cancelada",Programação!$V$5:$V$1004,"Interna")</f>
        <v>0</v>
      </c>
      <c r="C40" s="103" t="s">
        <v>971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customFormat="false" ht="16.5" hidden="false" customHeight="true" outlineLevel="0" collapsed="false">
      <c r="A41" s="23" t="s">
        <v>972</v>
      </c>
      <c r="B41" s="102" t="n">
        <f aca="false">COUNTIFS(Programação!$O$5:$O$1004,"&gt;="&amp;$C$3,Programação!$O$5:$O$1004,"&lt;="&amp;$E$3,Programação!$G$5:$G$1004,"Inspeção",Programação!$R$5:$R$1004,"&lt;&gt;Cancelada",Programação!$V$5:$V$1004,"Interna")</f>
        <v>15</v>
      </c>
      <c r="C41" s="103" t="s">
        <v>973</v>
      </c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customFormat="false" ht="16.5" hidden="false" customHeight="true" outlineLevel="0" collapsed="false">
      <c r="A42" s="23" t="s">
        <v>974</v>
      </c>
      <c r="B42" s="107" t="n">
        <f aca="false">IFERROR(B40/B16,"")</f>
        <v>0</v>
      </c>
      <c r="C42" s="103" t="s">
        <v>975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customFormat="false" ht="16.5" hidden="false" customHeight="true" outlineLevel="0" collapsed="false">
      <c r="A43" s="23" t="s">
        <v>976</v>
      </c>
      <c r="B43" s="102" t="n">
        <f aca="false">COUNTIFS(Programação!$F$5:$F$1004,"&lt;&gt;",Programação!$G$5:$G$1004,"Corretiva",Programação!$R$5:$R$1004,"&lt;&gt;Cancelada")</f>
        <v>310</v>
      </c>
      <c r="C43" s="103" t="s">
        <v>977</v>
      </c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customFormat="false" ht="16.5" hidden="false" customHeight="true" outlineLevel="0" collapsed="false">
      <c r="A44" s="23" t="s">
        <v>978</v>
      </c>
      <c r="B44" s="102" t="n">
        <f aca="false">COUNTIFS(Programação!$F$5:$F$1004,"&lt;&gt;",Programação!$G$5:$G$1004,"Preventiva",Programação!$R$5:$R$1004,"&lt;&gt;Cancelada")</f>
        <v>22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customFormat="false" ht="16.5" hidden="false" customHeight="true" outlineLevel="0" collapsed="false">
      <c r="A45" s="23" t="s">
        <v>979</v>
      </c>
      <c r="B45" s="107" t="n">
        <f aca="false">IFERROR(B44/COUNTIFS(Programação!$F$5:$F$1004,"&lt;&gt;",Programação!$R$5:$R$1004,"&lt;&gt;Cancelada"),"")</f>
        <v>0.0614525139664804</v>
      </c>
      <c r="C45" s="103" t="s">
        <v>980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customFormat="false" ht="16.5" hidden="false" customHeight="true" outlineLevel="0" collapsed="false">
      <c r="A46" s="101" t="s">
        <v>981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</row>
    <row r="47" customFormat="false" ht="16.5" hidden="false" customHeight="true" outlineLevel="0" collapsed="false">
      <c r="A47" s="23" t="s">
        <v>982</v>
      </c>
      <c r="B47" s="102" t="n">
        <f aca="false">COUNTIFS(Programação!$O$5:$O$1004,"&gt;="&amp;$C$3,Programação!$O$5:$O$1004,"&lt;="&amp;$E$3,Programação!$C$5:$C$1004,"&lt;&gt;",Programação!$R$5:$R$1004,"&lt;&gt;Cancelada",Programação!$V$5:$V$1004,"Interna")</f>
        <v>42</v>
      </c>
      <c r="C47" s="103" t="s">
        <v>983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customFormat="false" ht="16.5" hidden="false" customHeight="true" outlineLevel="0" collapsed="false">
      <c r="A48" s="23" t="s">
        <v>984</v>
      </c>
      <c r="B48" s="102" t="n">
        <f aca="false">COUNTIFS(Programação!$O$5:$O$1004,"&gt;="&amp;$C$3,Programação!$O$5:$O$1004,"&lt;="&amp;$E$3,Programação!$R$5:$R$1004,"&lt;&gt;Cancelada",Programação!$V$5:$V$1004,"Interna")-B47</f>
        <v>33</v>
      </c>
      <c r="C48" s="103" t="s">
        <v>985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customFormat="false" ht="16.5" hidden="false" customHeight="true" outlineLevel="0" collapsed="false">
      <c r="A49" s="23" t="s">
        <v>986</v>
      </c>
      <c r="B49" s="107" t="n">
        <f aca="false">IFERROR(B47/B16,"")</f>
        <v>0.56</v>
      </c>
      <c r="C49" s="103" t="s">
        <v>987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customFormat="false" ht="16.5" hidden="false" customHeight="true" outlineLevel="0" collapsed="false">
      <c r="A50" s="23" t="s">
        <v>988</v>
      </c>
      <c r="B50" s="102" t="n">
        <f aca="false">COUNTIFS(Programação!$F$5:$F$1004,"&lt;&gt;",Programação!$C$5:$C$1004,"&lt;&gt;",Programação!$R$5:$R$1004,"&lt;&gt;Cancelada")</f>
        <v>265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customFormat="false" ht="16.5" hidden="false" customHeight="true" outlineLevel="0" collapsed="false">
      <c r="A51" s="23" t="s">
        <v>989</v>
      </c>
      <c r="B51" s="102" t="n">
        <f aca="false">COUNTIFS(Programação!$F$5:$F$1004,"&lt;&gt;",Programação!$R$5:$R$1004,"&lt;&gt;Cancelada")-B50</f>
        <v>93</v>
      </c>
      <c r="C51" s="103" t="s">
        <v>990</v>
      </c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customFormat="false" ht="16.5" hidden="false" customHeight="true" outlineLevel="0" collapsed="false">
      <c r="A52" s="23" t="s">
        <v>991</v>
      </c>
      <c r="B52" s="107" t="n">
        <f aca="false">IFERROR(B50/COUNTIFS(Programação!$F$5:$F$1004,"&lt;&gt;",Programação!$R$5:$R$1004,"&lt;&gt;Cancelada"),"")</f>
        <v>0.740223463687151</v>
      </c>
      <c r="C52" s="103" t="s">
        <v>992</v>
      </c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4" customFormat="false" ht="15" hidden="false" customHeight="false" outlineLevel="0" collapsed="false">
      <c r="O54" s="109" t="s">
        <v>993</v>
      </c>
      <c r="P54" s="109" t="s">
        <v>994</v>
      </c>
      <c r="Q54" s="109" t="s">
        <v>904</v>
      </c>
    </row>
    <row r="55" customFormat="false" ht="15" hidden="false" customHeight="false" outlineLevel="0" collapsed="false">
      <c r="O55" s="109" t="s">
        <v>995</v>
      </c>
      <c r="P55" s="110" t="n">
        <f aca="false">B13</f>
        <v>65</v>
      </c>
      <c r="Q55" s="110" t="n">
        <f aca="false">B15</f>
        <v>21</v>
      </c>
    </row>
    <row r="56" customFormat="false" ht="15" hidden="false" customHeight="false" outlineLevel="0" collapsed="false">
      <c r="O56" s="109" t="s">
        <v>925</v>
      </c>
      <c r="P56" s="110" t="n">
        <f aca="false">B14</f>
        <v>10</v>
      </c>
      <c r="Q56" s="110" t="n">
        <f aca="false">B17</f>
        <v>4</v>
      </c>
    </row>
    <row r="58" customFormat="false" ht="15" hidden="false" customHeight="false" outlineLevel="0" collapsed="false">
      <c r="O58" s="109" t="s">
        <v>23</v>
      </c>
      <c r="P58" s="109" t="s">
        <v>903</v>
      </c>
      <c r="Q58" s="109"/>
    </row>
    <row r="59" customFormat="false" ht="15" hidden="false" customHeight="false" outlineLevel="0" collapsed="false">
      <c r="O59" s="109" t="s">
        <v>904</v>
      </c>
      <c r="P59" s="110" t="n">
        <f aca="false">B18</f>
        <v>25</v>
      </c>
      <c r="Q59" s="109"/>
    </row>
    <row r="60" customFormat="false" ht="15" hidden="false" customHeight="false" outlineLevel="0" collapsed="false">
      <c r="O60" s="109" t="s">
        <v>906</v>
      </c>
      <c r="P60" s="110" t="n">
        <f aca="false">B27</f>
        <v>1</v>
      </c>
      <c r="Q60" s="109"/>
    </row>
    <row r="61" customFormat="false" ht="15" hidden="false" customHeight="false" outlineLevel="0" collapsed="false">
      <c r="O61" s="109" t="s">
        <v>996</v>
      </c>
      <c r="P61" s="109" t="n">
        <f aca="false">MAX(0,B16-B18-B27)</f>
        <v>49</v>
      </c>
      <c r="Q61" s="109"/>
    </row>
    <row r="62" customFormat="false" ht="15" hidden="false" customHeight="false" outlineLevel="0" collapsed="false">
      <c r="O62" s="109" t="s">
        <v>963</v>
      </c>
      <c r="P62" s="110" t="n">
        <f aca="false">B36</f>
        <v>4</v>
      </c>
      <c r="Q62" s="109"/>
    </row>
    <row r="63" customFormat="false" ht="15" hidden="false" customHeight="false" outlineLevel="0" collapsed="false">
      <c r="O63" s="109" t="s">
        <v>364</v>
      </c>
      <c r="P63" s="110" t="n">
        <f aca="false">B35</f>
        <v>0</v>
      </c>
      <c r="Q63" s="109"/>
    </row>
    <row r="72" customFormat="false" ht="15" hidden="false" customHeight="false" outlineLevel="0" collapsed="false">
      <c r="A72" s="111" t="s">
        <v>997</v>
      </c>
      <c r="B72" s="111"/>
      <c r="C72" s="111"/>
      <c r="D72" s="111"/>
      <c r="E72" s="111"/>
      <c r="F72" s="111"/>
      <c r="H72" s="111" t="s">
        <v>998</v>
      </c>
      <c r="I72" s="111"/>
      <c r="J72" s="111"/>
      <c r="K72" s="111"/>
      <c r="L72" s="111"/>
      <c r="M72" s="111"/>
    </row>
    <row r="73" customFormat="false" ht="15" hidden="false" customHeight="false" outlineLevel="0" collapsed="false">
      <c r="A73" s="20" t="s">
        <v>999</v>
      </c>
      <c r="B73" s="20" t="s">
        <v>52</v>
      </c>
      <c r="C73" s="20" t="s">
        <v>57</v>
      </c>
      <c r="D73" s="20" t="s">
        <v>1000</v>
      </c>
      <c r="E73" s="20" t="s">
        <v>906</v>
      </c>
      <c r="F73" s="20" t="s">
        <v>81</v>
      </c>
      <c r="H73" s="20" t="s">
        <v>999</v>
      </c>
      <c r="I73" s="20" t="s">
        <v>52</v>
      </c>
      <c r="J73" s="20" t="s">
        <v>57</v>
      </c>
      <c r="K73" s="20" t="s">
        <v>1000</v>
      </c>
      <c r="L73" s="20" t="s">
        <v>906</v>
      </c>
      <c r="M73" s="20" t="s">
        <v>81</v>
      </c>
    </row>
    <row r="74" customFormat="false" ht="15.75" hidden="false" customHeight="true" outlineLevel="0" collapsed="false">
      <c r="A74" s="23" t="str">
        <f aca="false">IF(Listas!A5="","",Listas!A5)</f>
        <v>Adilton</v>
      </c>
      <c r="B74" s="81" t="n">
        <f aca="false">IF($A74="","",COUNTIFS(Programação!$I$5:$I$1004,$A74,Programação!$O$5:$O$1004,"&gt;="&amp;$C$3,Programação!$O$5:$O$1004,"&lt;="&amp;$E$3,Programação!$R$5:$R$1004,"&lt;&gt;Cancelada",Programação!$V$5:$V$1004,"Interna",Programação!$H$5:$H$1004,"&lt;&gt;Extra")+COUNTIFS(Programação!$J$5:$J$1004,$A74,Programação!$O$5:$O$1004,"&gt;="&amp;$C$3,Programação!$O$5:$O$1004,"&lt;="&amp;$E$3,Programação!$R$5:$R$1004,"&lt;&gt;Cancelada",Programação!$V$5:$V$1004,"Interna",Programação!$H$5:$H$1004,"&lt;&gt;Extra")+COUNTIFS(Programação!$K$5:$K$1004,$A74,Programação!$O$5:$O$1004,"&gt;="&amp;$C$3,Programação!$O$5:$O$1004,"&lt;="&amp;$E$3,Programação!$R$5:$R$1004,"&lt;&gt;Cancelada",Programação!$V$5:$V$1004,"Interna",Programação!$H$5:$H$1004,"&lt;&gt;Extra"))</f>
        <v>1</v>
      </c>
      <c r="C74" s="81" t="n">
        <f aca="false">IF($A74="","",SUMIFS(Programação!$AB$5:$AB$1004,Programação!$I$5:$I$1004,$A74,Programação!$O$5:$O$1004,"&gt;="&amp;$C$3,Programação!$O$5:$O$1004,"&lt;="&amp;$E$3,Programação!$H$5:$H$1004,"&lt;&gt;Extra",Programação!$V$5:$V$1004,"Interna")+SUMIFS(Programação!$AB$5:$AB$1004,Programação!$J$5:$J$1004,$A74,Programação!$O$5:$O$1004,"&gt;="&amp;$C$3,Programação!$O$5:$O$1004,"&lt;="&amp;$E$3,Programação!$H$5:$H$1004,"&lt;&gt;Extra",Programação!$V$5:$V$1004,"Interna")+SUMIFS(Programação!$AB$5:$AB$1004,Programação!$K$5:$K$1004,$A74,Programação!$O$5:$O$1004,"&gt;="&amp;$C$3,Programação!$O$5:$O$1004,"&lt;="&amp;$E$3,Programação!$H$5:$H$1004,"&lt;&gt;Extra",Programação!$V$5:$V$1004,"Interna"))</f>
        <v>1</v>
      </c>
      <c r="D74" s="82" t="n">
        <f aca="false">IF(OR($A74="",$B74=0),"",$C74/$B74)</f>
        <v>1</v>
      </c>
      <c r="E74" s="81" t="n">
        <f aca="false">IF($A74="","",COUNTIFS(Programação!$I$5:$I$1004,$A74,Programação!$B$5:$B$1004,"VENCIDA",Programação!$O$5:$O$1004,"&gt;="&amp;$C$3,Programação!$O$5:$O$1004,"&lt;="&amp;$E$3,Programação!$V$5:$V$1004,"Interna")+COUNTIFS(Programação!$J$5:$J$1004,$A74,Programação!$B$5:$B$1004,"VENCIDA",Programação!$O$5:$O$1004,"&gt;="&amp;$C$3,Programação!$O$5:$O$1004,"&lt;="&amp;$E$3,Programação!$V$5:$V$1004,"Interna")+COUNTIFS(Programação!$K$5:$K$1004,$A74,Programação!$B$5:$B$1004,"VENCIDA",Programação!$O$5:$O$1004,"&gt;="&amp;$C$3,Programação!$O$5:$O$1004,"&lt;="&amp;$E$3,Programação!$V$5:$V$1004,"Interna"))</f>
        <v>0</v>
      </c>
      <c r="F74" s="81" t="n">
        <f aca="false">IF($A74="","",COUNTIFS(Programação!$I$5:$I$1004,$A74,Programação!$O$5:$O$1004,"&gt;="&amp;$C$3,Programação!$O$5:$O$1004,"&lt;="&amp;$E$3,Programação!$H$5:$H$1004,"Extra",Programação!$R$5:$R$1004,"&lt;&gt;Cancelada",Programação!$V$5:$V$1004,"Interna")+COUNTIFS(Programação!$J$5:$J$1004,$A74,Programação!$O$5:$O$1004,"&gt;="&amp;$C$3,Programação!$O$5:$O$1004,"&lt;="&amp;$E$3,Programação!$H$5:$H$1004,"Extra",Programação!$R$5:$R$1004,"&lt;&gt;Cancelada",Programação!$V$5:$V$1004,"Interna")+COUNTIFS(Programação!$K$5:$K$1004,$A74,Programação!$O$5:$O$1004,"&gt;="&amp;$C$3,Programação!$O$5:$O$1004,"&lt;="&amp;$E$3,Programação!$H$5:$H$1004,"Extra",Programação!$R$5:$R$1004,"&lt;&gt;Cancelada",Programação!$V$5:$V$1004,"Interna"))</f>
        <v>0</v>
      </c>
      <c r="H74" s="23" t="str">
        <f aca="false">IF(Listas!B5="","",Listas!B5)</f>
        <v>F-1038</v>
      </c>
      <c r="I74" s="81" t="n">
        <f aca="false">IF($H74="","",COUNTIFS(Programação!$D$5:$D$1004,$H74,Programação!$O$5:$O$1004,"&gt;="&amp;$C$3,Programação!$O$5:$O$1004,"&lt;="&amp;$E$3,Programação!$R$5:$R$1004,"&lt;&gt;Cancelada",Programação!$V$5:$V$1004,"Interna",Programação!$H$5:$H$1004,"&lt;&gt;Extra"))</f>
        <v>0</v>
      </c>
      <c r="J74" s="81" t="n">
        <f aca="false">IF($H74="","",SUMIFS(Programação!$AB$5:$AB$1004,Programação!$D$5:$D$1004,$H74,Programação!$O$5:$O$1004,"&gt;="&amp;$C$3,Programação!$O$5:$O$1004,"&lt;="&amp;$E$3,Programação!$H$5:$H$1004,"&lt;&gt;Extra",Programação!$V$5:$V$1004,"Interna"))</f>
        <v>0</v>
      </c>
      <c r="K74" s="82" t="str">
        <f aca="false">IF(OR($H74="",$I74=0),"",$J74/$I74)</f>
        <v/>
      </c>
      <c r="L74" s="81" t="n">
        <f aca="false">IF($H74="","",COUNTIFS(Programação!$D$5:$D$1004,$H74,Programação!$B$5:$B$1004,"VENCIDA",Programação!$O$5:$O$1004,"&gt;="&amp;$C$3,Programação!$O$5:$O$1004,"&lt;="&amp;$E$3,Programação!$V$5:$V$1004,"Interna"))</f>
        <v>0</v>
      </c>
      <c r="M74" s="81" t="n">
        <f aca="false">IF($H74="","",COUNTIFS(Programação!$D$5:$D$1004,$H74,Programação!$O$5:$O$1004,"&gt;="&amp;$C$3,Programação!$O$5:$O$1004,"&lt;="&amp;$E$3,Programação!$H$5:$H$1004,"Extra",Programação!$R$5:$R$1004,"&lt;&gt;Cancelada",Programação!$V$5:$V$1004,"Interna"))</f>
        <v>0</v>
      </c>
    </row>
    <row r="75" customFormat="false" ht="15.75" hidden="false" customHeight="true" outlineLevel="0" collapsed="false">
      <c r="A75" s="23" t="str">
        <f aca="false">IF(Listas!A6="","",Listas!A6)</f>
        <v>Airton</v>
      </c>
      <c r="B75" s="81" t="n">
        <f aca="false">IF($A75="","",COUNTIFS(Programação!$I$5:$I$1004,$A75,Programação!$O$5:$O$1004,"&gt;="&amp;$C$3,Programação!$O$5:$O$1004,"&lt;="&amp;$E$3,Programação!$R$5:$R$1004,"&lt;&gt;Cancelada",Programação!$V$5:$V$1004,"Interna",Programação!$H$5:$H$1004,"&lt;&gt;Extra")+COUNTIFS(Programação!$J$5:$J$1004,$A75,Programação!$O$5:$O$1004,"&gt;="&amp;$C$3,Programação!$O$5:$O$1004,"&lt;="&amp;$E$3,Programação!$R$5:$R$1004,"&lt;&gt;Cancelada",Programação!$V$5:$V$1004,"Interna",Programação!$H$5:$H$1004,"&lt;&gt;Extra")+COUNTIFS(Programação!$K$5:$K$1004,$A75,Programação!$O$5:$O$1004,"&gt;="&amp;$C$3,Programação!$O$5:$O$1004,"&lt;="&amp;$E$3,Programação!$R$5:$R$1004,"&lt;&gt;Cancelada",Programação!$V$5:$V$1004,"Interna",Programação!$H$5:$H$1004,"&lt;&gt;Extra"))</f>
        <v>0</v>
      </c>
      <c r="C75" s="81" t="n">
        <f aca="false">IF($A75="","",SUMIFS(Programação!$AB$5:$AB$1004,Programação!$I$5:$I$1004,$A75,Programação!$O$5:$O$1004,"&gt;="&amp;$C$3,Programação!$O$5:$O$1004,"&lt;="&amp;$E$3,Programação!$H$5:$H$1004,"&lt;&gt;Extra",Programação!$V$5:$V$1004,"Interna")+SUMIFS(Programação!$AB$5:$AB$1004,Programação!$J$5:$J$1004,$A75,Programação!$O$5:$O$1004,"&gt;="&amp;$C$3,Programação!$O$5:$O$1004,"&lt;="&amp;$E$3,Programação!$H$5:$H$1004,"&lt;&gt;Extra",Programação!$V$5:$V$1004,"Interna")+SUMIFS(Programação!$AB$5:$AB$1004,Programação!$K$5:$K$1004,$A75,Programação!$O$5:$O$1004,"&gt;="&amp;$C$3,Programação!$O$5:$O$1004,"&lt;="&amp;$E$3,Programação!$H$5:$H$1004,"&lt;&gt;Extra",Programação!$V$5:$V$1004,"Interna"))</f>
        <v>0</v>
      </c>
      <c r="D75" s="82" t="str">
        <f aca="false">IF(OR($A75="",$B75=0),"",$C75/$B75)</f>
        <v/>
      </c>
      <c r="E75" s="81" t="n">
        <f aca="false">IF($A75="","",COUNTIFS(Programação!$I$5:$I$1004,$A75,Programação!$B$5:$B$1004,"VENCIDA",Programação!$O$5:$O$1004,"&gt;="&amp;$C$3,Programação!$O$5:$O$1004,"&lt;="&amp;$E$3,Programação!$V$5:$V$1004,"Interna")+COUNTIFS(Programação!$J$5:$J$1004,$A75,Programação!$B$5:$B$1004,"VENCIDA",Programação!$O$5:$O$1004,"&gt;="&amp;$C$3,Programação!$O$5:$O$1004,"&lt;="&amp;$E$3,Programação!$V$5:$V$1004,"Interna")+COUNTIFS(Programação!$K$5:$K$1004,$A75,Programação!$B$5:$B$1004,"VENCIDA",Programação!$O$5:$O$1004,"&gt;="&amp;$C$3,Programação!$O$5:$O$1004,"&lt;="&amp;$E$3,Programação!$V$5:$V$1004,"Interna"))</f>
        <v>0</v>
      </c>
      <c r="F75" s="81" t="n">
        <f aca="false">IF($A75="","",COUNTIFS(Programação!$I$5:$I$1004,$A75,Programação!$O$5:$O$1004,"&gt;="&amp;$C$3,Programação!$O$5:$O$1004,"&lt;="&amp;$E$3,Programação!$H$5:$H$1004,"Extra",Programação!$R$5:$R$1004,"&lt;&gt;Cancelada",Programação!$V$5:$V$1004,"Interna")+COUNTIFS(Programação!$J$5:$J$1004,$A75,Programação!$O$5:$O$1004,"&gt;="&amp;$C$3,Programação!$O$5:$O$1004,"&lt;="&amp;$E$3,Programação!$H$5:$H$1004,"Extra",Programação!$R$5:$R$1004,"&lt;&gt;Cancelada",Programação!$V$5:$V$1004,"Interna")+COUNTIFS(Programação!$K$5:$K$1004,$A75,Programação!$O$5:$O$1004,"&gt;="&amp;$C$3,Programação!$O$5:$O$1004,"&lt;="&amp;$E$3,Programação!$H$5:$H$1004,"Extra",Programação!$R$5:$R$1004,"&lt;&gt;Cancelada",Programação!$V$5:$V$1004,"Interna"))</f>
        <v>0</v>
      </c>
      <c r="H75" s="23" t="str">
        <f aca="false">IF(Listas!B6="","",Listas!B6)</f>
        <v>F-1039</v>
      </c>
      <c r="I75" s="81" t="n">
        <f aca="false">IF($H75="","",COUNTIFS(Programação!$D$5:$D$1004,$H75,Programação!$O$5:$O$1004,"&gt;="&amp;$C$3,Programação!$O$5:$O$1004,"&lt;="&amp;$E$3,Programação!$R$5:$R$1004,"&lt;&gt;Cancelada",Programação!$V$5:$V$1004,"Interna",Programação!$H$5:$H$1004,"&lt;&gt;Extra"))</f>
        <v>0</v>
      </c>
      <c r="J75" s="81" t="n">
        <f aca="false">IF($H75="","",SUMIFS(Programação!$AB$5:$AB$1004,Programação!$D$5:$D$1004,$H75,Programação!$O$5:$O$1004,"&gt;="&amp;$C$3,Programação!$O$5:$O$1004,"&lt;="&amp;$E$3,Programação!$H$5:$H$1004,"&lt;&gt;Extra",Programação!$V$5:$V$1004,"Interna"))</f>
        <v>0</v>
      </c>
      <c r="K75" s="82" t="str">
        <f aca="false">IF(OR($H75="",$I75=0),"",$J75/$I75)</f>
        <v/>
      </c>
      <c r="L75" s="81" t="n">
        <f aca="false">IF($H75="","",COUNTIFS(Programação!$D$5:$D$1004,$H75,Programação!$B$5:$B$1004,"VENCIDA",Programação!$O$5:$O$1004,"&gt;="&amp;$C$3,Programação!$O$5:$O$1004,"&lt;="&amp;$E$3,Programação!$V$5:$V$1004,"Interna"))</f>
        <v>0</v>
      </c>
      <c r="M75" s="81" t="n">
        <f aca="false">IF($H75="","",COUNTIFS(Programação!$D$5:$D$1004,$H75,Programação!$O$5:$O$1004,"&gt;="&amp;$C$3,Programação!$O$5:$O$1004,"&lt;="&amp;$E$3,Programação!$H$5:$H$1004,"Extra",Programação!$R$5:$R$1004,"&lt;&gt;Cancelada",Programação!$V$5:$V$1004,"Interna"))</f>
        <v>0</v>
      </c>
    </row>
    <row r="76" customFormat="false" ht="15.75" hidden="false" customHeight="true" outlineLevel="0" collapsed="false">
      <c r="A76" s="23" t="str">
        <f aca="false">IF(Listas!A7="","",Listas!A7)</f>
        <v>Alexandre</v>
      </c>
      <c r="B76" s="81" t="n">
        <f aca="false">IF($A76="","",COUNTIFS(Programação!$I$5:$I$1004,$A76,Programação!$O$5:$O$1004,"&gt;="&amp;$C$3,Programação!$O$5:$O$1004,"&lt;="&amp;$E$3,Programação!$R$5:$R$1004,"&lt;&gt;Cancelada",Programação!$V$5:$V$1004,"Interna",Programação!$H$5:$H$1004,"&lt;&gt;Extra")+COUNTIFS(Programação!$J$5:$J$1004,$A76,Programação!$O$5:$O$1004,"&gt;="&amp;$C$3,Programação!$O$5:$O$1004,"&lt;="&amp;$E$3,Programação!$R$5:$R$1004,"&lt;&gt;Cancelada",Programação!$V$5:$V$1004,"Interna",Programação!$H$5:$H$1004,"&lt;&gt;Extra")+COUNTIFS(Programação!$K$5:$K$1004,$A76,Programação!$O$5:$O$1004,"&gt;="&amp;$C$3,Programação!$O$5:$O$1004,"&lt;="&amp;$E$3,Programação!$R$5:$R$1004,"&lt;&gt;Cancelada",Programação!$V$5:$V$1004,"Interna",Programação!$H$5:$H$1004,"&lt;&gt;Extra"))</f>
        <v>4</v>
      </c>
      <c r="C76" s="81" t="n">
        <f aca="false">IF($A76="","",SUMIFS(Programação!$AB$5:$AB$1004,Programação!$I$5:$I$1004,$A76,Programação!$O$5:$O$1004,"&gt;="&amp;$C$3,Programação!$O$5:$O$1004,"&lt;="&amp;$E$3,Programação!$H$5:$H$1004,"&lt;&gt;Extra",Programação!$V$5:$V$1004,"Interna")+SUMIFS(Programação!$AB$5:$AB$1004,Programação!$J$5:$J$1004,$A76,Programação!$O$5:$O$1004,"&gt;="&amp;$C$3,Programação!$O$5:$O$1004,"&lt;="&amp;$E$3,Programação!$H$5:$H$1004,"&lt;&gt;Extra",Programação!$V$5:$V$1004,"Interna")+SUMIFS(Programação!$AB$5:$AB$1004,Programação!$K$5:$K$1004,$A76,Programação!$O$5:$O$1004,"&gt;="&amp;$C$3,Programação!$O$5:$O$1004,"&lt;="&amp;$E$3,Programação!$H$5:$H$1004,"&lt;&gt;Extra",Programação!$V$5:$V$1004,"Interna"))</f>
        <v>1</v>
      </c>
      <c r="D76" s="82" t="n">
        <f aca="false">IF(OR($A76="",$B76=0),"",$C76/$B76)</f>
        <v>0.25</v>
      </c>
      <c r="E76" s="81" t="n">
        <f aca="false">IF($A76="","",COUNTIFS(Programação!$I$5:$I$1004,$A76,Programação!$B$5:$B$1004,"VENCIDA",Programação!$O$5:$O$1004,"&gt;="&amp;$C$3,Programação!$O$5:$O$1004,"&lt;="&amp;$E$3,Programação!$V$5:$V$1004,"Interna")+COUNTIFS(Programação!$J$5:$J$1004,$A76,Programação!$B$5:$B$1004,"VENCIDA",Programação!$O$5:$O$1004,"&gt;="&amp;$C$3,Programação!$O$5:$O$1004,"&lt;="&amp;$E$3,Programação!$V$5:$V$1004,"Interna")+COUNTIFS(Programação!$K$5:$K$1004,$A76,Programação!$B$5:$B$1004,"VENCIDA",Programação!$O$5:$O$1004,"&gt;="&amp;$C$3,Programação!$O$5:$O$1004,"&lt;="&amp;$E$3,Programação!$V$5:$V$1004,"Interna"))</f>
        <v>0</v>
      </c>
      <c r="F76" s="81" t="n">
        <f aca="false">IF($A76="","",COUNTIFS(Programação!$I$5:$I$1004,$A76,Programação!$O$5:$O$1004,"&gt;="&amp;$C$3,Programação!$O$5:$O$1004,"&lt;="&amp;$E$3,Programação!$H$5:$H$1004,"Extra",Programação!$R$5:$R$1004,"&lt;&gt;Cancelada",Programação!$V$5:$V$1004,"Interna")+COUNTIFS(Programação!$J$5:$J$1004,$A76,Programação!$O$5:$O$1004,"&gt;="&amp;$C$3,Programação!$O$5:$O$1004,"&lt;="&amp;$E$3,Programação!$H$5:$H$1004,"Extra",Programação!$R$5:$R$1004,"&lt;&gt;Cancelada",Programação!$V$5:$V$1004,"Interna")+COUNTIFS(Programação!$K$5:$K$1004,$A76,Programação!$O$5:$O$1004,"&gt;="&amp;$C$3,Programação!$O$5:$O$1004,"&lt;="&amp;$E$3,Programação!$H$5:$H$1004,"Extra",Programação!$R$5:$R$1004,"&lt;&gt;Cancelada",Programação!$V$5:$V$1004,"Interna"))</f>
        <v>3</v>
      </c>
      <c r="H76" s="23" t="str">
        <f aca="false">IF(Listas!B7="","",Listas!B7)</f>
        <v>F-1060</v>
      </c>
      <c r="I76" s="81" t="n">
        <f aca="false">IF($H76="","",COUNTIFS(Programação!$D$5:$D$1004,$H76,Programação!$O$5:$O$1004,"&gt;="&amp;$C$3,Programação!$O$5:$O$1004,"&lt;="&amp;$E$3,Programação!$R$5:$R$1004,"&lt;&gt;Cancelada",Programação!$V$5:$V$1004,"Interna",Programação!$H$5:$H$1004,"&lt;&gt;Extra"))</f>
        <v>0</v>
      </c>
      <c r="J76" s="81" t="n">
        <f aca="false">IF($H76="","",SUMIFS(Programação!$AB$5:$AB$1004,Programação!$D$5:$D$1004,$H76,Programação!$O$5:$O$1004,"&gt;="&amp;$C$3,Programação!$O$5:$O$1004,"&lt;="&amp;$E$3,Programação!$H$5:$H$1004,"&lt;&gt;Extra",Programação!$V$5:$V$1004,"Interna"))</f>
        <v>0</v>
      </c>
      <c r="K76" s="82" t="str">
        <f aca="false">IF(OR($H76="",$I76=0),"",$J76/$I76)</f>
        <v/>
      </c>
      <c r="L76" s="81" t="n">
        <f aca="false">IF($H76="","",COUNTIFS(Programação!$D$5:$D$1004,$H76,Programação!$B$5:$B$1004,"VENCIDA",Programação!$O$5:$O$1004,"&gt;="&amp;$C$3,Programação!$O$5:$O$1004,"&lt;="&amp;$E$3,Programação!$V$5:$V$1004,"Interna"))</f>
        <v>0</v>
      </c>
      <c r="M76" s="81" t="n">
        <f aca="false">IF($H76="","",COUNTIFS(Programação!$D$5:$D$1004,$H76,Programação!$O$5:$O$1004,"&gt;="&amp;$C$3,Programação!$O$5:$O$1004,"&lt;="&amp;$E$3,Programação!$H$5:$H$1004,"Extra",Programação!$R$5:$R$1004,"&lt;&gt;Cancelada",Programação!$V$5:$V$1004,"Interna"))</f>
        <v>1</v>
      </c>
    </row>
    <row r="77" customFormat="false" ht="15.75" hidden="false" customHeight="true" outlineLevel="0" collapsed="false">
      <c r="A77" s="23" t="str">
        <f aca="false">IF(Listas!A8="","",Listas!A8)</f>
        <v>Edilberto</v>
      </c>
      <c r="B77" s="81" t="n">
        <f aca="false">IF($A77="","",COUNTIFS(Programação!$I$5:$I$1004,$A77,Programação!$O$5:$O$1004,"&gt;="&amp;$C$3,Programação!$O$5:$O$1004,"&lt;="&amp;$E$3,Programação!$R$5:$R$1004,"&lt;&gt;Cancelada",Programação!$V$5:$V$1004,"Interna",Programação!$H$5:$H$1004,"&lt;&gt;Extra")+COUNTIFS(Programação!$J$5:$J$1004,$A77,Programação!$O$5:$O$1004,"&gt;="&amp;$C$3,Programação!$O$5:$O$1004,"&lt;="&amp;$E$3,Programação!$R$5:$R$1004,"&lt;&gt;Cancelada",Programação!$V$5:$V$1004,"Interna",Programação!$H$5:$H$1004,"&lt;&gt;Extra")+COUNTIFS(Programação!$K$5:$K$1004,$A77,Programação!$O$5:$O$1004,"&gt;="&amp;$C$3,Programação!$O$5:$O$1004,"&lt;="&amp;$E$3,Programação!$R$5:$R$1004,"&lt;&gt;Cancelada",Programação!$V$5:$V$1004,"Interna",Programação!$H$5:$H$1004,"&lt;&gt;Extra"))</f>
        <v>0</v>
      </c>
      <c r="C77" s="81" t="n">
        <f aca="false">IF($A77="","",SUMIFS(Programação!$AB$5:$AB$1004,Programação!$I$5:$I$1004,$A77,Programação!$O$5:$O$1004,"&gt;="&amp;$C$3,Programação!$O$5:$O$1004,"&lt;="&amp;$E$3,Programação!$H$5:$H$1004,"&lt;&gt;Extra",Programação!$V$5:$V$1004,"Interna")+SUMIFS(Programação!$AB$5:$AB$1004,Programação!$J$5:$J$1004,$A77,Programação!$O$5:$O$1004,"&gt;="&amp;$C$3,Programação!$O$5:$O$1004,"&lt;="&amp;$E$3,Programação!$H$5:$H$1004,"&lt;&gt;Extra",Programação!$V$5:$V$1004,"Interna")+SUMIFS(Programação!$AB$5:$AB$1004,Programação!$K$5:$K$1004,$A77,Programação!$O$5:$O$1004,"&gt;="&amp;$C$3,Programação!$O$5:$O$1004,"&lt;="&amp;$E$3,Programação!$H$5:$H$1004,"&lt;&gt;Extra",Programação!$V$5:$V$1004,"Interna"))</f>
        <v>0</v>
      </c>
      <c r="D77" s="82" t="str">
        <f aca="false">IF(OR($A77="",$B77=0),"",$C77/$B77)</f>
        <v/>
      </c>
      <c r="E77" s="81" t="n">
        <f aca="false">IF($A77="","",COUNTIFS(Programação!$I$5:$I$1004,$A77,Programação!$B$5:$B$1004,"VENCIDA",Programação!$O$5:$O$1004,"&gt;="&amp;$C$3,Programação!$O$5:$O$1004,"&lt;="&amp;$E$3,Programação!$V$5:$V$1004,"Interna")+COUNTIFS(Programação!$J$5:$J$1004,$A77,Programação!$B$5:$B$1004,"VENCIDA",Programação!$O$5:$O$1004,"&gt;="&amp;$C$3,Programação!$O$5:$O$1004,"&lt;="&amp;$E$3,Programação!$V$5:$V$1004,"Interna")+COUNTIFS(Programação!$K$5:$K$1004,$A77,Programação!$B$5:$B$1004,"VENCIDA",Programação!$O$5:$O$1004,"&gt;="&amp;$C$3,Programação!$O$5:$O$1004,"&lt;="&amp;$E$3,Programação!$V$5:$V$1004,"Interna"))</f>
        <v>0</v>
      </c>
      <c r="F77" s="81" t="n">
        <f aca="false">IF($A77="","",COUNTIFS(Programação!$I$5:$I$1004,$A77,Programação!$O$5:$O$1004,"&gt;="&amp;$C$3,Programação!$O$5:$O$1004,"&lt;="&amp;$E$3,Programação!$H$5:$H$1004,"Extra",Programação!$R$5:$R$1004,"&lt;&gt;Cancelada",Programação!$V$5:$V$1004,"Interna")+COUNTIFS(Programação!$J$5:$J$1004,$A77,Programação!$O$5:$O$1004,"&gt;="&amp;$C$3,Programação!$O$5:$O$1004,"&lt;="&amp;$E$3,Programação!$H$5:$H$1004,"Extra",Programação!$R$5:$R$1004,"&lt;&gt;Cancelada",Programação!$V$5:$V$1004,"Interna")+COUNTIFS(Programação!$K$5:$K$1004,$A77,Programação!$O$5:$O$1004,"&gt;="&amp;$C$3,Programação!$O$5:$O$1004,"&lt;="&amp;$E$3,Programação!$H$5:$H$1004,"Extra",Programação!$R$5:$R$1004,"&lt;&gt;Cancelada",Programação!$V$5:$V$1004,"Interna"))</f>
        <v>1</v>
      </c>
      <c r="H77" s="23" t="str">
        <f aca="false">IF(Listas!B8="","",Listas!B8)</f>
        <v>F-1061</v>
      </c>
      <c r="I77" s="81" t="n">
        <f aca="false">IF($H77="","",COUNTIFS(Programação!$D$5:$D$1004,$H77,Programação!$O$5:$O$1004,"&gt;="&amp;$C$3,Programação!$O$5:$O$1004,"&lt;="&amp;$E$3,Programação!$R$5:$R$1004,"&lt;&gt;Cancelada",Programação!$V$5:$V$1004,"Interna",Programação!$H$5:$H$1004,"&lt;&gt;Extra"))</f>
        <v>0</v>
      </c>
      <c r="J77" s="81" t="n">
        <f aca="false">IF($H77="","",SUMIFS(Programação!$AB$5:$AB$1004,Programação!$D$5:$D$1004,$H77,Programação!$O$5:$O$1004,"&gt;="&amp;$C$3,Programação!$O$5:$O$1004,"&lt;="&amp;$E$3,Programação!$H$5:$H$1004,"&lt;&gt;Extra",Programação!$V$5:$V$1004,"Interna"))</f>
        <v>0</v>
      </c>
      <c r="K77" s="82" t="str">
        <f aca="false">IF(OR($H77="",$I77=0),"",$J77/$I77)</f>
        <v/>
      </c>
      <c r="L77" s="81" t="n">
        <f aca="false">IF($H77="","",COUNTIFS(Programação!$D$5:$D$1004,$H77,Programação!$B$5:$B$1004,"VENCIDA",Programação!$O$5:$O$1004,"&gt;="&amp;$C$3,Programação!$O$5:$O$1004,"&lt;="&amp;$E$3,Programação!$V$5:$V$1004,"Interna"))</f>
        <v>0</v>
      </c>
      <c r="M77" s="81" t="n">
        <f aca="false">IF($H77="","",COUNTIFS(Programação!$D$5:$D$1004,$H77,Programação!$O$5:$O$1004,"&gt;="&amp;$C$3,Programação!$O$5:$O$1004,"&lt;="&amp;$E$3,Programação!$H$5:$H$1004,"Extra",Programação!$R$5:$R$1004,"&lt;&gt;Cancelada",Programação!$V$5:$V$1004,"Interna"))</f>
        <v>1</v>
      </c>
    </row>
    <row r="78" customFormat="false" ht="15.75" hidden="false" customHeight="true" outlineLevel="0" collapsed="false">
      <c r="A78" s="23" t="str">
        <f aca="false">IF(Listas!A9="","",Listas!A9)</f>
        <v>Gabriel</v>
      </c>
      <c r="B78" s="81" t="n">
        <f aca="false">IF($A78="","",COUNTIFS(Programação!$I$5:$I$1004,$A78,Programação!$O$5:$O$1004,"&gt;="&amp;$C$3,Programação!$O$5:$O$1004,"&lt;="&amp;$E$3,Programação!$R$5:$R$1004,"&lt;&gt;Cancelada",Programação!$V$5:$V$1004,"Interna",Programação!$H$5:$H$1004,"&lt;&gt;Extra")+COUNTIFS(Programação!$J$5:$J$1004,$A78,Programação!$O$5:$O$1004,"&gt;="&amp;$C$3,Programação!$O$5:$O$1004,"&lt;="&amp;$E$3,Programação!$R$5:$R$1004,"&lt;&gt;Cancelada",Programação!$V$5:$V$1004,"Interna",Programação!$H$5:$H$1004,"&lt;&gt;Extra")+COUNTIFS(Programação!$K$5:$K$1004,$A78,Programação!$O$5:$O$1004,"&gt;="&amp;$C$3,Programação!$O$5:$O$1004,"&lt;="&amp;$E$3,Programação!$R$5:$R$1004,"&lt;&gt;Cancelada",Programação!$V$5:$V$1004,"Interna",Programação!$H$5:$H$1004,"&lt;&gt;Extra"))</f>
        <v>16</v>
      </c>
      <c r="C78" s="81" t="n">
        <f aca="false">IF($A78="","",SUMIFS(Programação!$AB$5:$AB$1004,Programação!$I$5:$I$1004,$A78,Programação!$O$5:$O$1004,"&gt;="&amp;$C$3,Programação!$O$5:$O$1004,"&lt;="&amp;$E$3,Programação!$H$5:$H$1004,"&lt;&gt;Extra",Programação!$V$5:$V$1004,"Interna")+SUMIFS(Programação!$AB$5:$AB$1004,Programação!$J$5:$J$1004,$A78,Programação!$O$5:$O$1004,"&gt;="&amp;$C$3,Programação!$O$5:$O$1004,"&lt;="&amp;$E$3,Programação!$H$5:$H$1004,"&lt;&gt;Extra",Programação!$V$5:$V$1004,"Interna")+SUMIFS(Programação!$AB$5:$AB$1004,Programação!$K$5:$K$1004,$A78,Programação!$O$5:$O$1004,"&gt;="&amp;$C$3,Programação!$O$5:$O$1004,"&lt;="&amp;$E$3,Programação!$H$5:$H$1004,"&lt;&gt;Extra",Programação!$V$5:$V$1004,"Interna"))</f>
        <v>13</v>
      </c>
      <c r="D78" s="82" t="n">
        <f aca="false">IF(OR($A78="",$B78=0),"",$C78/$B78)</f>
        <v>0.8125</v>
      </c>
      <c r="E78" s="81" t="n">
        <f aca="false">IF($A78="","",COUNTIFS(Programação!$I$5:$I$1004,$A78,Programação!$B$5:$B$1004,"VENCIDA",Programação!$O$5:$O$1004,"&gt;="&amp;$C$3,Programação!$O$5:$O$1004,"&lt;="&amp;$E$3,Programação!$V$5:$V$1004,"Interna")+COUNTIFS(Programação!$J$5:$J$1004,$A78,Programação!$B$5:$B$1004,"VENCIDA",Programação!$O$5:$O$1004,"&gt;="&amp;$C$3,Programação!$O$5:$O$1004,"&lt;="&amp;$E$3,Programação!$V$5:$V$1004,"Interna")+COUNTIFS(Programação!$K$5:$K$1004,$A78,Programação!$B$5:$B$1004,"VENCIDA",Programação!$O$5:$O$1004,"&gt;="&amp;$C$3,Programação!$O$5:$O$1004,"&lt;="&amp;$E$3,Programação!$V$5:$V$1004,"Interna"))</f>
        <v>1</v>
      </c>
      <c r="F78" s="81" t="n">
        <f aca="false">IF($A78="","",COUNTIFS(Programação!$I$5:$I$1004,$A78,Programação!$O$5:$O$1004,"&gt;="&amp;$C$3,Programação!$O$5:$O$1004,"&lt;="&amp;$E$3,Programação!$H$5:$H$1004,"Extra",Programação!$R$5:$R$1004,"&lt;&gt;Cancelada",Programação!$V$5:$V$1004,"Interna")+COUNTIFS(Programação!$J$5:$J$1004,$A78,Programação!$O$5:$O$1004,"&gt;="&amp;$C$3,Programação!$O$5:$O$1004,"&lt;="&amp;$E$3,Programação!$H$5:$H$1004,"Extra",Programação!$R$5:$R$1004,"&lt;&gt;Cancelada",Programação!$V$5:$V$1004,"Interna")+COUNTIFS(Programação!$K$5:$K$1004,$A78,Programação!$O$5:$O$1004,"&gt;="&amp;$C$3,Programação!$O$5:$O$1004,"&lt;="&amp;$E$3,Programação!$H$5:$H$1004,"Extra",Programação!$R$5:$R$1004,"&lt;&gt;Cancelada",Programação!$V$5:$V$1004,"Interna"))</f>
        <v>2</v>
      </c>
      <c r="H78" s="23" t="str">
        <f aca="false">IF(Listas!B9="","",Listas!B9)</f>
        <v>F-1062</v>
      </c>
      <c r="I78" s="81" t="n">
        <f aca="false">IF($H78="","",COUNTIFS(Programação!$D$5:$D$1004,$H78,Programação!$O$5:$O$1004,"&gt;="&amp;$C$3,Programação!$O$5:$O$1004,"&lt;="&amp;$E$3,Programação!$R$5:$R$1004,"&lt;&gt;Cancelada",Programação!$V$5:$V$1004,"Interna",Programação!$H$5:$H$1004,"&lt;&gt;Extra"))</f>
        <v>4</v>
      </c>
      <c r="J78" s="81" t="n">
        <f aca="false">IF($H78="","",SUMIFS(Programação!$AB$5:$AB$1004,Programação!$D$5:$D$1004,$H78,Programação!$O$5:$O$1004,"&gt;="&amp;$C$3,Programação!$O$5:$O$1004,"&lt;="&amp;$E$3,Programação!$H$5:$H$1004,"&lt;&gt;Extra",Programação!$V$5:$V$1004,"Interna"))</f>
        <v>4</v>
      </c>
      <c r="K78" s="82" t="n">
        <f aca="false">IF(OR($H78="",$I78=0),"",$J78/$I78)</f>
        <v>1</v>
      </c>
      <c r="L78" s="81" t="n">
        <f aca="false">IF($H78="","",COUNTIFS(Programação!$D$5:$D$1004,$H78,Programação!$B$5:$B$1004,"VENCIDA",Programação!$O$5:$O$1004,"&gt;="&amp;$C$3,Programação!$O$5:$O$1004,"&lt;="&amp;$E$3,Programação!$V$5:$V$1004,"Interna"))</f>
        <v>0</v>
      </c>
      <c r="M78" s="81" t="n">
        <f aca="false">IF($H78="","",COUNTIFS(Programação!$D$5:$D$1004,$H78,Programação!$O$5:$O$1004,"&gt;="&amp;$C$3,Programação!$O$5:$O$1004,"&lt;="&amp;$E$3,Programação!$H$5:$H$1004,"Extra",Programação!$R$5:$R$1004,"&lt;&gt;Cancelada",Programação!$V$5:$V$1004,"Interna"))</f>
        <v>1</v>
      </c>
    </row>
    <row r="79" customFormat="false" ht="15.75" hidden="false" customHeight="true" outlineLevel="0" collapsed="false">
      <c r="A79" s="23" t="str">
        <f aca="false">IF(Listas!A10="","",Listas!A10)</f>
        <v>Heliton</v>
      </c>
      <c r="B79" s="81" t="n">
        <f aca="false">IF($A79="","",COUNTIFS(Programação!$I$5:$I$1004,$A79,Programação!$O$5:$O$1004,"&gt;="&amp;$C$3,Programação!$O$5:$O$1004,"&lt;="&amp;$E$3,Programação!$R$5:$R$1004,"&lt;&gt;Cancelada",Programação!$V$5:$V$1004,"Interna",Programação!$H$5:$H$1004,"&lt;&gt;Extra")+COUNTIFS(Programação!$J$5:$J$1004,$A79,Programação!$O$5:$O$1004,"&gt;="&amp;$C$3,Programação!$O$5:$O$1004,"&lt;="&amp;$E$3,Programação!$R$5:$R$1004,"&lt;&gt;Cancelada",Programação!$V$5:$V$1004,"Interna",Programação!$H$5:$H$1004,"&lt;&gt;Extra")+COUNTIFS(Programação!$K$5:$K$1004,$A79,Programação!$O$5:$O$1004,"&gt;="&amp;$C$3,Programação!$O$5:$O$1004,"&lt;="&amp;$E$3,Programação!$R$5:$R$1004,"&lt;&gt;Cancelada",Programação!$V$5:$V$1004,"Interna",Programação!$H$5:$H$1004,"&lt;&gt;Extra"))</f>
        <v>6</v>
      </c>
      <c r="C79" s="81" t="n">
        <f aca="false">IF($A79="","",SUMIFS(Programação!$AB$5:$AB$1004,Programação!$I$5:$I$1004,$A79,Programação!$O$5:$O$1004,"&gt;="&amp;$C$3,Programação!$O$5:$O$1004,"&lt;="&amp;$E$3,Programação!$H$5:$H$1004,"&lt;&gt;Extra",Programação!$V$5:$V$1004,"Interna")+SUMIFS(Programação!$AB$5:$AB$1004,Programação!$J$5:$J$1004,$A79,Programação!$O$5:$O$1004,"&gt;="&amp;$C$3,Programação!$O$5:$O$1004,"&lt;="&amp;$E$3,Programação!$H$5:$H$1004,"&lt;&gt;Extra",Programação!$V$5:$V$1004,"Interna")+SUMIFS(Programação!$AB$5:$AB$1004,Programação!$K$5:$K$1004,$A79,Programação!$O$5:$O$1004,"&gt;="&amp;$C$3,Programação!$O$5:$O$1004,"&lt;="&amp;$E$3,Programação!$H$5:$H$1004,"&lt;&gt;Extra",Programação!$V$5:$V$1004,"Interna"))</f>
        <v>5</v>
      </c>
      <c r="D79" s="82" t="n">
        <f aca="false">IF(OR($A79="",$B79=0),"",$C79/$B79)</f>
        <v>0.833333333333333</v>
      </c>
      <c r="E79" s="81" t="n">
        <f aca="false">IF($A79="","",COUNTIFS(Programação!$I$5:$I$1004,$A79,Programação!$B$5:$B$1004,"VENCIDA",Programação!$O$5:$O$1004,"&gt;="&amp;$C$3,Programação!$O$5:$O$1004,"&lt;="&amp;$E$3,Programação!$V$5:$V$1004,"Interna")+COUNTIFS(Programação!$J$5:$J$1004,$A79,Programação!$B$5:$B$1004,"VENCIDA",Programação!$O$5:$O$1004,"&gt;="&amp;$C$3,Programação!$O$5:$O$1004,"&lt;="&amp;$E$3,Programação!$V$5:$V$1004,"Interna")+COUNTIFS(Programação!$K$5:$K$1004,$A79,Programação!$B$5:$B$1004,"VENCIDA",Programação!$O$5:$O$1004,"&gt;="&amp;$C$3,Programação!$O$5:$O$1004,"&lt;="&amp;$E$3,Programação!$V$5:$V$1004,"Interna"))</f>
        <v>0</v>
      </c>
      <c r="F79" s="81" t="n">
        <f aca="false">IF($A79="","",COUNTIFS(Programação!$I$5:$I$1004,$A79,Programação!$O$5:$O$1004,"&gt;="&amp;$C$3,Programação!$O$5:$O$1004,"&lt;="&amp;$E$3,Programação!$H$5:$H$1004,"Extra",Programação!$R$5:$R$1004,"&lt;&gt;Cancelada",Programação!$V$5:$V$1004,"Interna")+COUNTIFS(Programação!$J$5:$J$1004,$A79,Programação!$O$5:$O$1004,"&gt;="&amp;$C$3,Programação!$O$5:$O$1004,"&lt;="&amp;$E$3,Programação!$H$5:$H$1004,"Extra",Programação!$R$5:$R$1004,"&lt;&gt;Cancelada",Programação!$V$5:$V$1004,"Interna")+COUNTIFS(Programação!$K$5:$K$1004,$A79,Programação!$O$5:$O$1004,"&gt;="&amp;$C$3,Programação!$O$5:$O$1004,"&lt;="&amp;$E$3,Programação!$H$5:$H$1004,"Extra",Programação!$R$5:$R$1004,"&lt;&gt;Cancelada",Programação!$V$5:$V$1004,"Interna"))</f>
        <v>0</v>
      </c>
      <c r="H79" s="23" t="str">
        <f aca="false">IF(Listas!B10="","",Listas!B10)</f>
        <v>F-1063</v>
      </c>
      <c r="I79" s="81" t="n">
        <f aca="false">IF($H79="","",COUNTIFS(Programação!$D$5:$D$1004,$H79,Programação!$O$5:$O$1004,"&gt;="&amp;$C$3,Programação!$O$5:$O$1004,"&lt;="&amp;$E$3,Programação!$R$5:$R$1004,"&lt;&gt;Cancelada",Programação!$V$5:$V$1004,"Interna",Programação!$H$5:$H$1004,"&lt;&gt;Extra"))</f>
        <v>2</v>
      </c>
      <c r="J79" s="81" t="n">
        <f aca="false">IF($H79="","",SUMIFS(Programação!$AB$5:$AB$1004,Programação!$D$5:$D$1004,$H79,Programação!$O$5:$O$1004,"&gt;="&amp;$C$3,Programação!$O$5:$O$1004,"&lt;="&amp;$E$3,Programação!$H$5:$H$1004,"&lt;&gt;Extra",Programação!$V$5:$V$1004,"Interna"))</f>
        <v>2</v>
      </c>
      <c r="K79" s="82" t="n">
        <f aca="false">IF(OR($H79="",$I79=0),"",$J79/$I79)</f>
        <v>1</v>
      </c>
      <c r="L79" s="81" t="n">
        <f aca="false">IF($H79="","",COUNTIFS(Programação!$D$5:$D$1004,$H79,Programação!$B$5:$B$1004,"VENCIDA",Programação!$O$5:$O$1004,"&gt;="&amp;$C$3,Programação!$O$5:$O$1004,"&lt;="&amp;$E$3,Programação!$V$5:$V$1004,"Interna"))</f>
        <v>0</v>
      </c>
      <c r="M79" s="81" t="n">
        <f aca="false">IF($H79="","",COUNTIFS(Programação!$D$5:$D$1004,$H79,Programação!$O$5:$O$1004,"&gt;="&amp;$C$3,Programação!$O$5:$O$1004,"&lt;="&amp;$E$3,Programação!$H$5:$H$1004,"Extra",Programação!$R$5:$R$1004,"&lt;&gt;Cancelada",Programação!$V$5:$V$1004,"Interna"))</f>
        <v>1</v>
      </c>
    </row>
    <row r="80" customFormat="false" ht="15.75" hidden="false" customHeight="true" outlineLevel="0" collapsed="false">
      <c r="A80" s="23" t="str">
        <f aca="false">IF(Listas!A11="","",Listas!A11)</f>
        <v>Júnior</v>
      </c>
      <c r="B80" s="81" t="n">
        <f aca="false">IF($A80="","",COUNTIFS(Programação!$I$5:$I$1004,$A80,Programação!$O$5:$O$1004,"&gt;="&amp;$C$3,Programação!$O$5:$O$1004,"&lt;="&amp;$E$3,Programação!$R$5:$R$1004,"&lt;&gt;Cancelada",Programação!$V$5:$V$1004,"Interna",Programação!$H$5:$H$1004,"&lt;&gt;Extra")+COUNTIFS(Programação!$J$5:$J$1004,$A80,Programação!$O$5:$O$1004,"&gt;="&amp;$C$3,Programação!$O$5:$O$1004,"&lt;="&amp;$E$3,Programação!$R$5:$R$1004,"&lt;&gt;Cancelada",Programação!$V$5:$V$1004,"Interna",Programação!$H$5:$H$1004,"&lt;&gt;Extra")+COUNTIFS(Programação!$K$5:$K$1004,$A80,Programação!$O$5:$O$1004,"&gt;="&amp;$C$3,Programação!$O$5:$O$1004,"&lt;="&amp;$E$3,Programação!$R$5:$R$1004,"&lt;&gt;Cancelada",Programação!$V$5:$V$1004,"Interna",Programação!$H$5:$H$1004,"&lt;&gt;Extra"))</f>
        <v>17</v>
      </c>
      <c r="C80" s="81" t="n">
        <f aca="false">IF($A80="","",SUMIFS(Programação!$AB$5:$AB$1004,Programação!$I$5:$I$1004,$A80,Programação!$O$5:$O$1004,"&gt;="&amp;$C$3,Programação!$O$5:$O$1004,"&lt;="&amp;$E$3,Programação!$H$5:$H$1004,"&lt;&gt;Extra",Programação!$V$5:$V$1004,"Interna")+SUMIFS(Programação!$AB$5:$AB$1004,Programação!$J$5:$J$1004,$A80,Programação!$O$5:$O$1004,"&gt;="&amp;$C$3,Programação!$O$5:$O$1004,"&lt;="&amp;$E$3,Programação!$H$5:$H$1004,"&lt;&gt;Extra",Programação!$V$5:$V$1004,"Interna")+SUMIFS(Programação!$AB$5:$AB$1004,Programação!$K$5:$K$1004,$A80,Programação!$O$5:$O$1004,"&gt;="&amp;$C$3,Programação!$O$5:$O$1004,"&lt;="&amp;$E$3,Programação!$H$5:$H$1004,"&lt;&gt;Extra",Programação!$V$5:$V$1004,"Interna"))</f>
        <v>12</v>
      </c>
      <c r="D80" s="82" t="n">
        <f aca="false">IF(OR($A80="",$B80=0),"",$C80/$B80)</f>
        <v>0.705882352941177</v>
      </c>
      <c r="E80" s="81" t="n">
        <f aca="false">IF($A80="","",COUNTIFS(Programação!$I$5:$I$1004,$A80,Programação!$B$5:$B$1004,"VENCIDA",Programação!$O$5:$O$1004,"&gt;="&amp;$C$3,Programação!$O$5:$O$1004,"&lt;="&amp;$E$3,Programação!$V$5:$V$1004,"Interna")+COUNTIFS(Programação!$J$5:$J$1004,$A80,Programação!$B$5:$B$1004,"VENCIDA",Programação!$O$5:$O$1004,"&gt;="&amp;$C$3,Programação!$O$5:$O$1004,"&lt;="&amp;$E$3,Programação!$V$5:$V$1004,"Interna")+COUNTIFS(Programação!$K$5:$K$1004,$A80,Programação!$B$5:$B$1004,"VENCIDA",Programação!$O$5:$O$1004,"&gt;="&amp;$C$3,Programação!$O$5:$O$1004,"&lt;="&amp;$E$3,Programação!$V$5:$V$1004,"Interna"))</f>
        <v>1</v>
      </c>
      <c r="F80" s="81" t="n">
        <f aca="false">IF($A80="","",COUNTIFS(Programação!$I$5:$I$1004,$A80,Programação!$O$5:$O$1004,"&gt;="&amp;$C$3,Programação!$O$5:$O$1004,"&lt;="&amp;$E$3,Programação!$H$5:$H$1004,"Extra",Programação!$R$5:$R$1004,"&lt;&gt;Cancelada",Programação!$V$5:$V$1004,"Interna")+COUNTIFS(Programação!$J$5:$J$1004,$A80,Programação!$O$5:$O$1004,"&gt;="&amp;$C$3,Programação!$O$5:$O$1004,"&lt;="&amp;$E$3,Programação!$H$5:$H$1004,"Extra",Programação!$R$5:$R$1004,"&lt;&gt;Cancelada",Programação!$V$5:$V$1004,"Interna")+COUNTIFS(Programação!$K$5:$K$1004,$A80,Programação!$O$5:$O$1004,"&gt;="&amp;$C$3,Programação!$O$5:$O$1004,"&lt;="&amp;$E$3,Programação!$H$5:$H$1004,"Extra",Programação!$R$5:$R$1004,"&lt;&gt;Cancelada",Programação!$V$5:$V$1004,"Interna"))</f>
        <v>0</v>
      </c>
      <c r="H80" s="23" t="str">
        <f aca="false">IF(Listas!B11="","",Listas!B11)</f>
        <v>F-1064</v>
      </c>
      <c r="I80" s="81" t="n">
        <f aca="false">IF($H80="","",COUNTIFS(Programação!$D$5:$D$1004,$H80,Programação!$O$5:$O$1004,"&gt;="&amp;$C$3,Programação!$O$5:$O$1004,"&lt;="&amp;$E$3,Programação!$R$5:$R$1004,"&lt;&gt;Cancelada",Programação!$V$5:$V$1004,"Interna",Programação!$H$5:$H$1004,"&lt;&gt;Extra"))</f>
        <v>6</v>
      </c>
      <c r="J80" s="81" t="n">
        <f aca="false">IF($H80="","",SUMIFS(Programação!$AB$5:$AB$1004,Programação!$D$5:$D$1004,$H80,Programação!$O$5:$O$1004,"&gt;="&amp;$C$3,Programação!$O$5:$O$1004,"&lt;="&amp;$E$3,Programação!$H$5:$H$1004,"&lt;&gt;Extra",Programação!$V$5:$V$1004,"Interna"))</f>
        <v>3</v>
      </c>
      <c r="K80" s="82" t="n">
        <f aca="false">IF(OR($H80="",$I80=0),"",$J80/$I80)</f>
        <v>0.5</v>
      </c>
      <c r="L80" s="81" t="n">
        <f aca="false">IF($H80="","",COUNTIFS(Programação!$D$5:$D$1004,$H80,Programação!$B$5:$B$1004,"VENCIDA",Programação!$O$5:$O$1004,"&gt;="&amp;$C$3,Programação!$O$5:$O$1004,"&lt;="&amp;$E$3,Programação!$V$5:$V$1004,"Interna"))</f>
        <v>1</v>
      </c>
      <c r="M80" s="81" t="n">
        <f aca="false">IF($H80="","",COUNTIFS(Programação!$D$5:$D$1004,$H80,Programação!$O$5:$O$1004,"&gt;="&amp;$C$3,Programação!$O$5:$O$1004,"&lt;="&amp;$E$3,Programação!$H$5:$H$1004,"Extra",Programação!$R$5:$R$1004,"&lt;&gt;Cancelada",Programação!$V$5:$V$1004,"Interna"))</f>
        <v>0</v>
      </c>
    </row>
    <row r="81" customFormat="false" ht="15.75" hidden="false" customHeight="true" outlineLevel="0" collapsed="false">
      <c r="A81" s="23" t="str">
        <f aca="false">IF(Listas!A12="","",Listas!A12)</f>
        <v>Luiz Paulo</v>
      </c>
      <c r="B81" s="81" t="n">
        <f aca="false">IF($A81="","",COUNTIFS(Programação!$I$5:$I$1004,$A81,Programação!$O$5:$O$1004,"&gt;="&amp;$C$3,Programação!$O$5:$O$1004,"&lt;="&amp;$E$3,Programação!$R$5:$R$1004,"&lt;&gt;Cancelada",Programação!$V$5:$V$1004,"Interna",Programação!$H$5:$H$1004,"&lt;&gt;Extra")+COUNTIFS(Programação!$J$5:$J$1004,$A81,Programação!$O$5:$O$1004,"&gt;="&amp;$C$3,Programação!$O$5:$O$1004,"&lt;="&amp;$E$3,Programação!$R$5:$R$1004,"&lt;&gt;Cancelada",Programação!$V$5:$V$1004,"Interna",Programação!$H$5:$H$1004,"&lt;&gt;Extra")+COUNTIFS(Programação!$K$5:$K$1004,$A81,Programação!$O$5:$O$1004,"&gt;="&amp;$C$3,Programação!$O$5:$O$1004,"&lt;="&amp;$E$3,Programação!$R$5:$R$1004,"&lt;&gt;Cancelada",Programação!$V$5:$V$1004,"Interna",Programação!$H$5:$H$1004,"&lt;&gt;Extra"))</f>
        <v>2</v>
      </c>
      <c r="C81" s="81" t="n">
        <f aca="false">IF($A81="","",SUMIFS(Programação!$AB$5:$AB$1004,Programação!$I$5:$I$1004,$A81,Programação!$O$5:$O$1004,"&gt;="&amp;$C$3,Programação!$O$5:$O$1004,"&lt;="&amp;$E$3,Programação!$H$5:$H$1004,"&lt;&gt;Extra",Programação!$V$5:$V$1004,"Interna")+SUMIFS(Programação!$AB$5:$AB$1004,Programação!$J$5:$J$1004,$A81,Programação!$O$5:$O$1004,"&gt;="&amp;$C$3,Programação!$O$5:$O$1004,"&lt;="&amp;$E$3,Programação!$H$5:$H$1004,"&lt;&gt;Extra",Programação!$V$5:$V$1004,"Interna")+SUMIFS(Programação!$AB$5:$AB$1004,Programação!$K$5:$K$1004,$A81,Programação!$O$5:$O$1004,"&gt;="&amp;$C$3,Programação!$O$5:$O$1004,"&lt;="&amp;$E$3,Programação!$H$5:$H$1004,"&lt;&gt;Extra",Programação!$V$5:$V$1004,"Interna"))</f>
        <v>2</v>
      </c>
      <c r="D81" s="82" t="n">
        <f aca="false">IF(OR($A81="",$B81=0),"",$C81/$B81)</f>
        <v>1</v>
      </c>
      <c r="E81" s="81" t="n">
        <f aca="false">IF($A81="","",COUNTIFS(Programação!$I$5:$I$1004,$A81,Programação!$B$5:$B$1004,"VENCIDA",Programação!$O$5:$O$1004,"&gt;="&amp;$C$3,Programação!$O$5:$O$1004,"&lt;="&amp;$E$3,Programação!$V$5:$V$1004,"Interna")+COUNTIFS(Programação!$J$5:$J$1004,$A81,Programação!$B$5:$B$1004,"VENCIDA",Programação!$O$5:$O$1004,"&gt;="&amp;$C$3,Programação!$O$5:$O$1004,"&lt;="&amp;$E$3,Programação!$V$5:$V$1004,"Interna")+COUNTIFS(Programação!$K$5:$K$1004,$A81,Programação!$B$5:$B$1004,"VENCIDA",Programação!$O$5:$O$1004,"&gt;="&amp;$C$3,Programação!$O$5:$O$1004,"&lt;="&amp;$E$3,Programação!$V$5:$V$1004,"Interna"))</f>
        <v>0</v>
      </c>
      <c r="F81" s="81" t="n">
        <f aca="false">IF($A81="","",COUNTIFS(Programação!$I$5:$I$1004,$A81,Programação!$O$5:$O$1004,"&gt;="&amp;$C$3,Programação!$O$5:$O$1004,"&lt;="&amp;$E$3,Programação!$H$5:$H$1004,"Extra",Programação!$R$5:$R$1004,"&lt;&gt;Cancelada",Programação!$V$5:$V$1004,"Interna")+COUNTIFS(Programação!$J$5:$J$1004,$A81,Programação!$O$5:$O$1004,"&gt;="&amp;$C$3,Programação!$O$5:$O$1004,"&lt;="&amp;$E$3,Programação!$H$5:$H$1004,"Extra",Programação!$R$5:$R$1004,"&lt;&gt;Cancelada",Programação!$V$5:$V$1004,"Interna")+COUNTIFS(Programação!$K$5:$K$1004,$A81,Programação!$O$5:$O$1004,"&gt;="&amp;$C$3,Programação!$O$5:$O$1004,"&lt;="&amp;$E$3,Programação!$H$5:$H$1004,"Extra",Programação!$R$5:$R$1004,"&lt;&gt;Cancelada",Programação!$V$5:$V$1004,"Interna"))</f>
        <v>6</v>
      </c>
      <c r="H81" s="23" t="str">
        <f aca="false">IF(Listas!B12="","",Listas!B12)</f>
        <v>F-1065</v>
      </c>
      <c r="I81" s="81" t="n">
        <f aca="false">IF($H81="","",COUNTIFS(Programação!$D$5:$D$1004,$H81,Programação!$O$5:$O$1004,"&gt;="&amp;$C$3,Programação!$O$5:$O$1004,"&lt;="&amp;$E$3,Programação!$R$5:$R$1004,"&lt;&gt;Cancelada",Programação!$V$5:$V$1004,"Interna",Programação!$H$5:$H$1004,"&lt;&gt;Extra"))</f>
        <v>4</v>
      </c>
      <c r="J81" s="81" t="n">
        <f aca="false">IF($H81="","",SUMIFS(Programação!$AB$5:$AB$1004,Programação!$D$5:$D$1004,$H81,Programação!$O$5:$O$1004,"&gt;="&amp;$C$3,Programação!$O$5:$O$1004,"&lt;="&amp;$E$3,Programação!$H$5:$H$1004,"&lt;&gt;Extra",Programação!$V$5:$V$1004,"Interna"))</f>
        <v>4</v>
      </c>
      <c r="K81" s="82" t="n">
        <f aca="false">IF(OR($H81="",$I81=0),"",$J81/$I81)</f>
        <v>1</v>
      </c>
      <c r="L81" s="81" t="n">
        <f aca="false">IF($H81="","",COUNTIFS(Programação!$D$5:$D$1004,$H81,Programação!$B$5:$B$1004,"VENCIDA",Programação!$O$5:$O$1004,"&gt;="&amp;$C$3,Programação!$O$5:$O$1004,"&lt;="&amp;$E$3,Programação!$V$5:$V$1004,"Interna"))</f>
        <v>0</v>
      </c>
      <c r="M81" s="81" t="n">
        <f aca="false">IF($H81="","",COUNTIFS(Programação!$D$5:$D$1004,$H81,Programação!$O$5:$O$1004,"&gt;="&amp;$C$3,Programação!$O$5:$O$1004,"&lt;="&amp;$E$3,Programação!$H$5:$H$1004,"Extra",Programação!$R$5:$R$1004,"&lt;&gt;Cancelada",Programação!$V$5:$V$1004,"Interna"))</f>
        <v>0</v>
      </c>
    </row>
    <row r="82" customFormat="false" ht="15.75" hidden="false" customHeight="true" outlineLevel="0" collapsed="false">
      <c r="A82" s="23" t="str">
        <f aca="false">IF(Listas!A13="","",Listas!A13)</f>
        <v>Terceirizada</v>
      </c>
      <c r="B82" s="81" t="n">
        <f aca="false">IF($A82="","",COUNTIFS(Programação!$I$5:$I$1004,$A82,Programação!$O$5:$O$1004,"&gt;="&amp;$C$3,Programação!$O$5:$O$1004,"&lt;="&amp;$E$3,Programação!$R$5:$R$1004,"&lt;&gt;Cancelada",Programação!$V$5:$V$1004,"Interna",Programação!$H$5:$H$1004,"&lt;&gt;Extra")+COUNTIFS(Programação!$J$5:$J$1004,$A82,Programação!$O$5:$O$1004,"&gt;="&amp;$C$3,Programação!$O$5:$O$1004,"&lt;="&amp;$E$3,Programação!$R$5:$R$1004,"&lt;&gt;Cancelada",Programação!$V$5:$V$1004,"Interna",Programação!$H$5:$H$1004,"&lt;&gt;Extra")+COUNTIFS(Programação!$K$5:$K$1004,$A82,Programação!$O$5:$O$1004,"&gt;="&amp;$C$3,Programação!$O$5:$O$1004,"&lt;="&amp;$E$3,Programação!$R$5:$R$1004,"&lt;&gt;Cancelada",Programação!$V$5:$V$1004,"Interna",Programação!$H$5:$H$1004,"&lt;&gt;Extra"))</f>
        <v>1</v>
      </c>
      <c r="C82" s="81" t="n">
        <f aca="false">IF($A82="","",SUMIFS(Programação!$AB$5:$AB$1004,Programação!$I$5:$I$1004,$A82,Programação!$O$5:$O$1004,"&gt;="&amp;$C$3,Programação!$O$5:$O$1004,"&lt;="&amp;$E$3,Programação!$H$5:$H$1004,"&lt;&gt;Extra",Programação!$V$5:$V$1004,"Interna")+SUMIFS(Programação!$AB$5:$AB$1004,Programação!$J$5:$J$1004,$A82,Programação!$O$5:$O$1004,"&gt;="&amp;$C$3,Programação!$O$5:$O$1004,"&lt;="&amp;$E$3,Programação!$H$5:$H$1004,"&lt;&gt;Extra",Programação!$V$5:$V$1004,"Interna")+SUMIFS(Programação!$AB$5:$AB$1004,Programação!$K$5:$K$1004,$A82,Programação!$O$5:$O$1004,"&gt;="&amp;$C$3,Programação!$O$5:$O$1004,"&lt;="&amp;$E$3,Programação!$H$5:$H$1004,"&lt;&gt;Extra",Programação!$V$5:$V$1004,"Interna"))</f>
        <v>0</v>
      </c>
      <c r="D82" s="82" t="n">
        <f aca="false">IF(OR($A82="",$B82=0),"",$C82/$B82)</f>
        <v>0</v>
      </c>
      <c r="E82" s="81" t="n">
        <f aca="false">IF($A82="","",COUNTIFS(Programação!$I$5:$I$1004,$A82,Programação!$B$5:$B$1004,"VENCIDA",Programação!$O$5:$O$1004,"&gt;="&amp;$C$3,Programação!$O$5:$O$1004,"&lt;="&amp;$E$3,Programação!$V$5:$V$1004,"Interna")+COUNTIFS(Programação!$J$5:$J$1004,$A82,Programação!$B$5:$B$1004,"VENCIDA",Programação!$O$5:$O$1004,"&gt;="&amp;$C$3,Programação!$O$5:$O$1004,"&lt;="&amp;$E$3,Programação!$V$5:$V$1004,"Interna")+COUNTIFS(Programação!$K$5:$K$1004,$A82,Programação!$B$5:$B$1004,"VENCIDA",Programação!$O$5:$O$1004,"&gt;="&amp;$C$3,Programação!$O$5:$O$1004,"&lt;="&amp;$E$3,Programação!$V$5:$V$1004,"Interna"))</f>
        <v>0</v>
      </c>
      <c r="F82" s="81" t="n">
        <f aca="false">IF($A82="","",COUNTIFS(Programação!$I$5:$I$1004,$A82,Programação!$O$5:$O$1004,"&gt;="&amp;$C$3,Programação!$O$5:$O$1004,"&lt;="&amp;$E$3,Programação!$H$5:$H$1004,"Extra",Programação!$R$5:$R$1004,"&lt;&gt;Cancelada",Programação!$V$5:$V$1004,"Interna")+COUNTIFS(Programação!$J$5:$J$1004,$A82,Programação!$O$5:$O$1004,"&gt;="&amp;$C$3,Programação!$O$5:$O$1004,"&lt;="&amp;$E$3,Programação!$H$5:$H$1004,"Extra",Programação!$R$5:$R$1004,"&lt;&gt;Cancelada",Programação!$V$5:$V$1004,"Interna")+COUNTIFS(Programação!$K$5:$K$1004,$A82,Programação!$O$5:$O$1004,"&gt;="&amp;$C$3,Programação!$O$5:$O$1004,"&lt;="&amp;$E$3,Programação!$H$5:$H$1004,"Extra",Programação!$R$5:$R$1004,"&lt;&gt;Cancelada",Programação!$V$5:$V$1004,"Interna"))</f>
        <v>0</v>
      </c>
      <c r="H82" s="23" t="str">
        <f aca="false">IF(Listas!B13="","",Listas!B13)</f>
        <v>F-150</v>
      </c>
      <c r="I82" s="81" t="n">
        <f aca="false">IF($H82="","",COUNTIFS(Programação!$D$5:$D$1004,$H82,Programação!$O$5:$O$1004,"&gt;="&amp;$C$3,Programação!$O$5:$O$1004,"&lt;="&amp;$E$3,Programação!$R$5:$R$1004,"&lt;&gt;Cancelada",Programação!$V$5:$V$1004,"Interna",Programação!$H$5:$H$1004,"&lt;&gt;Extra"))</f>
        <v>0</v>
      </c>
      <c r="J82" s="81" t="n">
        <f aca="false">IF($H82="","",SUMIFS(Programação!$AB$5:$AB$1004,Programação!$D$5:$D$1004,$H82,Programação!$O$5:$O$1004,"&gt;="&amp;$C$3,Programação!$O$5:$O$1004,"&lt;="&amp;$E$3,Programação!$H$5:$H$1004,"&lt;&gt;Extra",Programação!$V$5:$V$1004,"Interna"))</f>
        <v>0</v>
      </c>
      <c r="K82" s="82" t="str">
        <f aca="false">IF(OR($H82="",$I82=0),"",$J82/$I82)</f>
        <v/>
      </c>
      <c r="L82" s="81" t="n">
        <f aca="false">IF($H82="","",COUNTIFS(Programação!$D$5:$D$1004,$H82,Programação!$B$5:$B$1004,"VENCIDA",Programação!$O$5:$O$1004,"&gt;="&amp;$C$3,Programação!$O$5:$O$1004,"&lt;="&amp;$E$3,Programação!$V$5:$V$1004,"Interna"))</f>
        <v>0</v>
      </c>
      <c r="M82" s="81" t="n">
        <f aca="false">IF($H82="","",COUNTIFS(Programação!$D$5:$D$1004,$H82,Programação!$O$5:$O$1004,"&gt;="&amp;$C$3,Programação!$O$5:$O$1004,"&lt;="&amp;$E$3,Programação!$H$5:$H$1004,"Extra",Programação!$R$5:$R$1004,"&lt;&gt;Cancelada",Programação!$V$5:$V$1004,"Interna"))</f>
        <v>0</v>
      </c>
    </row>
    <row r="83" customFormat="false" ht="15.75" hidden="false" customHeight="true" outlineLevel="0" collapsed="false">
      <c r="A83" s="23" t="str">
        <f aca="false">IF(Listas!A14="","",Listas!A14)</f>
        <v>Thawan</v>
      </c>
      <c r="B83" s="81" t="n">
        <f aca="false">IF($A83="","",COUNTIFS(Programação!$I$5:$I$1004,$A83,Programação!$O$5:$O$1004,"&gt;="&amp;$C$3,Programação!$O$5:$O$1004,"&lt;="&amp;$E$3,Programação!$R$5:$R$1004,"&lt;&gt;Cancelada",Programação!$V$5:$V$1004,"Interna",Programação!$H$5:$H$1004,"&lt;&gt;Extra")+COUNTIFS(Programação!$J$5:$J$1004,$A83,Programação!$O$5:$O$1004,"&gt;="&amp;$C$3,Programação!$O$5:$O$1004,"&lt;="&amp;$E$3,Programação!$R$5:$R$1004,"&lt;&gt;Cancelada",Programação!$V$5:$V$1004,"Interna",Programação!$H$5:$H$1004,"&lt;&gt;Extra")+COUNTIFS(Programação!$K$5:$K$1004,$A83,Programação!$O$5:$O$1004,"&gt;="&amp;$C$3,Programação!$O$5:$O$1004,"&lt;="&amp;$E$3,Programação!$R$5:$R$1004,"&lt;&gt;Cancelada",Programação!$V$5:$V$1004,"Interna",Programação!$H$5:$H$1004,"&lt;&gt;Extra"))</f>
        <v>0</v>
      </c>
      <c r="C83" s="81" t="n">
        <f aca="false">IF($A83="","",SUMIFS(Programação!$AB$5:$AB$1004,Programação!$I$5:$I$1004,$A83,Programação!$O$5:$O$1004,"&gt;="&amp;$C$3,Programação!$O$5:$O$1004,"&lt;="&amp;$E$3,Programação!$H$5:$H$1004,"&lt;&gt;Extra",Programação!$V$5:$V$1004,"Interna")+SUMIFS(Programação!$AB$5:$AB$1004,Programação!$J$5:$J$1004,$A83,Programação!$O$5:$O$1004,"&gt;="&amp;$C$3,Programação!$O$5:$O$1004,"&lt;="&amp;$E$3,Programação!$H$5:$H$1004,"&lt;&gt;Extra",Programação!$V$5:$V$1004,"Interna")+SUMIFS(Programação!$AB$5:$AB$1004,Programação!$K$5:$K$1004,$A83,Programação!$O$5:$O$1004,"&gt;="&amp;$C$3,Programação!$O$5:$O$1004,"&lt;="&amp;$E$3,Programação!$H$5:$H$1004,"&lt;&gt;Extra",Programação!$V$5:$V$1004,"Interna"))</f>
        <v>0</v>
      </c>
      <c r="D83" s="82" t="str">
        <f aca="false">IF(OR($A83="",$B83=0),"",$C83/$B83)</f>
        <v/>
      </c>
      <c r="E83" s="81" t="n">
        <f aca="false">IF($A83="","",COUNTIFS(Programação!$I$5:$I$1004,$A83,Programação!$B$5:$B$1004,"VENCIDA",Programação!$O$5:$O$1004,"&gt;="&amp;$C$3,Programação!$O$5:$O$1004,"&lt;="&amp;$E$3,Programação!$V$5:$V$1004,"Interna")+COUNTIFS(Programação!$J$5:$J$1004,$A83,Programação!$B$5:$B$1004,"VENCIDA",Programação!$O$5:$O$1004,"&gt;="&amp;$C$3,Programação!$O$5:$O$1004,"&lt;="&amp;$E$3,Programação!$V$5:$V$1004,"Interna")+COUNTIFS(Programação!$K$5:$K$1004,$A83,Programação!$B$5:$B$1004,"VENCIDA",Programação!$O$5:$O$1004,"&gt;="&amp;$C$3,Programação!$O$5:$O$1004,"&lt;="&amp;$E$3,Programação!$V$5:$V$1004,"Interna"))</f>
        <v>0</v>
      </c>
      <c r="F83" s="81" t="n">
        <f aca="false">IF($A83="","",COUNTIFS(Programação!$I$5:$I$1004,$A83,Programação!$O$5:$O$1004,"&gt;="&amp;$C$3,Programação!$O$5:$O$1004,"&lt;="&amp;$E$3,Programação!$H$5:$H$1004,"Extra",Programação!$R$5:$R$1004,"&lt;&gt;Cancelada",Programação!$V$5:$V$1004,"Interna")+COUNTIFS(Programação!$J$5:$J$1004,$A83,Programação!$O$5:$O$1004,"&gt;="&amp;$C$3,Programação!$O$5:$O$1004,"&lt;="&amp;$E$3,Programação!$H$5:$H$1004,"Extra",Programação!$R$5:$R$1004,"&lt;&gt;Cancelada",Programação!$V$5:$V$1004,"Interna")+COUNTIFS(Programação!$K$5:$K$1004,$A83,Programação!$O$5:$O$1004,"&gt;="&amp;$C$3,Programação!$O$5:$O$1004,"&lt;="&amp;$E$3,Programação!$H$5:$H$1004,"Extra",Programação!$R$5:$R$1004,"&lt;&gt;Cancelada",Programação!$V$5:$V$1004,"Interna"))</f>
        <v>0</v>
      </c>
      <c r="H83" s="23" t="str">
        <f aca="false">IF(Listas!B14="","",Listas!B14)</f>
        <v>F-246</v>
      </c>
      <c r="I83" s="81" t="n">
        <f aca="false">IF($H83="","",COUNTIFS(Programação!$D$5:$D$1004,$H83,Programação!$O$5:$O$1004,"&gt;="&amp;$C$3,Programação!$O$5:$O$1004,"&lt;="&amp;$E$3,Programação!$R$5:$R$1004,"&lt;&gt;Cancelada",Programação!$V$5:$V$1004,"Interna",Programação!$H$5:$H$1004,"&lt;&gt;Extra"))</f>
        <v>0</v>
      </c>
      <c r="J83" s="81" t="n">
        <f aca="false">IF($H83="","",SUMIFS(Programação!$AB$5:$AB$1004,Programação!$D$5:$D$1004,$H83,Programação!$O$5:$O$1004,"&gt;="&amp;$C$3,Programação!$O$5:$O$1004,"&lt;="&amp;$E$3,Programação!$H$5:$H$1004,"&lt;&gt;Extra",Programação!$V$5:$V$1004,"Interna"))</f>
        <v>0</v>
      </c>
      <c r="K83" s="82" t="str">
        <f aca="false">IF(OR($H83="",$I83=0),"",$J83/$I83)</f>
        <v/>
      </c>
      <c r="L83" s="81" t="n">
        <f aca="false">IF($H83="","",COUNTIFS(Programação!$D$5:$D$1004,$H83,Programação!$B$5:$B$1004,"VENCIDA",Programação!$O$5:$O$1004,"&gt;="&amp;$C$3,Programação!$O$5:$O$1004,"&lt;="&amp;$E$3,Programação!$V$5:$V$1004,"Interna"))</f>
        <v>0</v>
      </c>
      <c r="M83" s="81" t="n">
        <f aca="false">IF($H83="","",COUNTIFS(Programação!$D$5:$D$1004,$H83,Programação!$O$5:$O$1004,"&gt;="&amp;$C$3,Programação!$O$5:$O$1004,"&lt;="&amp;$E$3,Programação!$H$5:$H$1004,"Extra",Programação!$R$5:$R$1004,"&lt;&gt;Cancelada",Programação!$V$5:$V$1004,"Interna"))</f>
        <v>0</v>
      </c>
    </row>
    <row r="84" customFormat="false" ht="15.75" hidden="false" customHeight="true" outlineLevel="0" collapsed="false">
      <c r="A84" s="23" t="str">
        <f aca="false">IF(Listas!A15="","",Listas!A15)</f>
        <v>ASX (externo)</v>
      </c>
      <c r="B84" s="81" t="n">
        <f aca="false">IF($A84="","",COUNTIFS(Programação!$I$5:$I$1004,$A84,Programação!$O$5:$O$1004,"&gt;="&amp;$C$3,Programação!$O$5:$O$1004,"&lt;="&amp;$E$3,Programação!$R$5:$R$1004,"&lt;&gt;Cancelada",Programação!$V$5:$V$1004,"Interna",Programação!$H$5:$H$1004,"&lt;&gt;Extra")+COUNTIFS(Programação!$J$5:$J$1004,$A84,Programação!$O$5:$O$1004,"&gt;="&amp;$C$3,Programação!$O$5:$O$1004,"&lt;="&amp;$E$3,Programação!$R$5:$R$1004,"&lt;&gt;Cancelada",Programação!$V$5:$V$1004,"Interna",Programação!$H$5:$H$1004,"&lt;&gt;Extra")+COUNTIFS(Programação!$K$5:$K$1004,$A84,Programação!$O$5:$O$1004,"&gt;="&amp;$C$3,Programação!$O$5:$O$1004,"&lt;="&amp;$E$3,Programação!$R$5:$R$1004,"&lt;&gt;Cancelada",Programação!$V$5:$V$1004,"Interna",Programação!$H$5:$H$1004,"&lt;&gt;Extra"))</f>
        <v>0</v>
      </c>
      <c r="C84" s="81" t="n">
        <f aca="false">IF($A84="","",SUMIFS(Programação!$AB$5:$AB$1004,Programação!$I$5:$I$1004,$A84,Programação!$O$5:$O$1004,"&gt;="&amp;$C$3,Programação!$O$5:$O$1004,"&lt;="&amp;$E$3,Programação!$H$5:$H$1004,"&lt;&gt;Extra",Programação!$V$5:$V$1004,"Interna")+SUMIFS(Programação!$AB$5:$AB$1004,Programação!$J$5:$J$1004,$A84,Programação!$O$5:$O$1004,"&gt;="&amp;$C$3,Programação!$O$5:$O$1004,"&lt;="&amp;$E$3,Programação!$H$5:$H$1004,"&lt;&gt;Extra",Programação!$V$5:$V$1004,"Interna")+SUMIFS(Programação!$AB$5:$AB$1004,Programação!$K$5:$K$1004,$A84,Programação!$O$5:$O$1004,"&gt;="&amp;$C$3,Programação!$O$5:$O$1004,"&lt;="&amp;$E$3,Programação!$H$5:$H$1004,"&lt;&gt;Extra",Programação!$V$5:$V$1004,"Interna"))</f>
        <v>0</v>
      </c>
      <c r="D84" s="82" t="str">
        <f aca="false">IF(OR($A84="",$B84=0),"",$C84/$B84)</f>
        <v/>
      </c>
      <c r="E84" s="81" t="n">
        <f aca="false">IF($A84="","",COUNTIFS(Programação!$I$5:$I$1004,$A84,Programação!$B$5:$B$1004,"VENCIDA",Programação!$O$5:$O$1004,"&gt;="&amp;$C$3,Programação!$O$5:$O$1004,"&lt;="&amp;$E$3,Programação!$V$5:$V$1004,"Interna")+COUNTIFS(Programação!$J$5:$J$1004,$A84,Programação!$B$5:$B$1004,"VENCIDA",Programação!$O$5:$O$1004,"&gt;="&amp;$C$3,Programação!$O$5:$O$1004,"&lt;="&amp;$E$3,Programação!$V$5:$V$1004,"Interna")+COUNTIFS(Programação!$K$5:$K$1004,$A84,Programação!$B$5:$B$1004,"VENCIDA",Programação!$O$5:$O$1004,"&gt;="&amp;$C$3,Programação!$O$5:$O$1004,"&lt;="&amp;$E$3,Programação!$V$5:$V$1004,"Interna"))</f>
        <v>0</v>
      </c>
      <c r="F84" s="81" t="n">
        <f aca="false">IF($A84="","",COUNTIFS(Programação!$I$5:$I$1004,$A84,Programação!$O$5:$O$1004,"&gt;="&amp;$C$3,Programação!$O$5:$O$1004,"&lt;="&amp;$E$3,Programação!$H$5:$H$1004,"Extra",Programação!$R$5:$R$1004,"&lt;&gt;Cancelada",Programação!$V$5:$V$1004,"Interna")+COUNTIFS(Programação!$J$5:$J$1004,$A84,Programação!$O$5:$O$1004,"&gt;="&amp;$C$3,Programação!$O$5:$O$1004,"&lt;="&amp;$E$3,Programação!$H$5:$H$1004,"Extra",Programação!$R$5:$R$1004,"&lt;&gt;Cancelada",Programação!$V$5:$V$1004,"Interna")+COUNTIFS(Programação!$K$5:$K$1004,$A84,Programação!$O$5:$O$1004,"&gt;="&amp;$C$3,Programação!$O$5:$O$1004,"&lt;="&amp;$E$3,Programação!$H$5:$H$1004,"Extra",Programação!$R$5:$R$1004,"&lt;&gt;Cancelada",Programação!$V$5:$V$1004,"Interna"))</f>
        <v>0</v>
      </c>
      <c r="H84" s="23" t="str">
        <f aca="false">IF(Listas!B15="","",Listas!B15)</f>
        <v>F-326</v>
      </c>
      <c r="I84" s="81" t="n">
        <f aca="false">IF($H84="","",COUNTIFS(Programação!$D$5:$D$1004,$H84,Programação!$O$5:$O$1004,"&gt;="&amp;$C$3,Programação!$O$5:$O$1004,"&lt;="&amp;$E$3,Programação!$R$5:$R$1004,"&lt;&gt;Cancelada",Programação!$V$5:$V$1004,"Interna",Programação!$H$5:$H$1004,"&lt;&gt;Extra"))</f>
        <v>0</v>
      </c>
      <c r="J84" s="81" t="n">
        <f aca="false">IF($H84="","",SUMIFS(Programação!$AB$5:$AB$1004,Programação!$D$5:$D$1004,$H84,Programação!$O$5:$O$1004,"&gt;="&amp;$C$3,Programação!$O$5:$O$1004,"&lt;="&amp;$E$3,Programação!$H$5:$H$1004,"&lt;&gt;Extra",Programação!$V$5:$V$1004,"Interna"))</f>
        <v>0</v>
      </c>
      <c r="K84" s="82" t="str">
        <f aca="false">IF(OR($H84="",$I84=0),"",$J84/$I84)</f>
        <v/>
      </c>
      <c r="L84" s="81" t="n">
        <f aca="false">IF($H84="","",COUNTIFS(Programação!$D$5:$D$1004,$H84,Programação!$B$5:$B$1004,"VENCIDA",Programação!$O$5:$O$1004,"&gt;="&amp;$C$3,Programação!$O$5:$O$1004,"&lt;="&amp;$E$3,Programação!$V$5:$V$1004,"Interna"))</f>
        <v>0</v>
      </c>
      <c r="M84" s="81" t="n">
        <f aca="false">IF($H84="","",COUNTIFS(Programação!$D$5:$D$1004,$H84,Programação!$O$5:$O$1004,"&gt;="&amp;$C$3,Programação!$O$5:$O$1004,"&lt;="&amp;$E$3,Programação!$H$5:$H$1004,"Extra",Programação!$R$5:$R$1004,"&lt;&gt;Cancelada",Programação!$V$5:$V$1004,"Interna"))</f>
        <v>0</v>
      </c>
    </row>
    <row r="85" customFormat="false" ht="15.75" hidden="false" customHeight="true" outlineLevel="0" collapsed="false">
      <c r="A85" s="23" t="str">
        <f aca="false">IF(Listas!A16="","",Listas!A16)</f>
        <v>Cardan Nordeste (externo)</v>
      </c>
      <c r="B85" s="81" t="n">
        <f aca="false">IF($A85="","",COUNTIFS(Programação!$I$5:$I$1004,$A85,Programação!$O$5:$O$1004,"&gt;="&amp;$C$3,Programação!$O$5:$O$1004,"&lt;="&amp;$E$3,Programação!$R$5:$R$1004,"&lt;&gt;Cancelada",Programação!$V$5:$V$1004,"Interna",Programação!$H$5:$H$1004,"&lt;&gt;Extra")+COUNTIFS(Programação!$J$5:$J$1004,$A85,Programação!$O$5:$O$1004,"&gt;="&amp;$C$3,Programação!$O$5:$O$1004,"&lt;="&amp;$E$3,Programação!$R$5:$R$1004,"&lt;&gt;Cancelada",Programação!$V$5:$V$1004,"Interna",Programação!$H$5:$H$1004,"&lt;&gt;Extra")+COUNTIFS(Programação!$K$5:$K$1004,$A85,Programação!$O$5:$O$1004,"&gt;="&amp;$C$3,Programação!$O$5:$O$1004,"&lt;="&amp;$E$3,Programação!$R$5:$R$1004,"&lt;&gt;Cancelada",Programação!$V$5:$V$1004,"Interna",Programação!$H$5:$H$1004,"&lt;&gt;Extra"))</f>
        <v>0</v>
      </c>
      <c r="C85" s="81" t="n">
        <f aca="false">IF($A85="","",SUMIFS(Programação!$AB$5:$AB$1004,Programação!$I$5:$I$1004,$A85,Programação!$O$5:$O$1004,"&gt;="&amp;$C$3,Programação!$O$5:$O$1004,"&lt;="&amp;$E$3,Programação!$H$5:$H$1004,"&lt;&gt;Extra",Programação!$V$5:$V$1004,"Interna")+SUMIFS(Programação!$AB$5:$AB$1004,Programação!$J$5:$J$1004,$A85,Programação!$O$5:$O$1004,"&gt;="&amp;$C$3,Programação!$O$5:$O$1004,"&lt;="&amp;$E$3,Programação!$H$5:$H$1004,"&lt;&gt;Extra",Programação!$V$5:$V$1004,"Interna")+SUMIFS(Programação!$AB$5:$AB$1004,Programação!$K$5:$K$1004,$A85,Programação!$O$5:$O$1004,"&gt;="&amp;$C$3,Programação!$O$5:$O$1004,"&lt;="&amp;$E$3,Programação!$H$5:$H$1004,"&lt;&gt;Extra",Programação!$V$5:$V$1004,"Interna"))</f>
        <v>0</v>
      </c>
      <c r="D85" s="82" t="str">
        <f aca="false">IF(OR($A85="",$B85=0),"",$C85/$B85)</f>
        <v/>
      </c>
      <c r="E85" s="81" t="n">
        <f aca="false">IF($A85="","",COUNTIFS(Programação!$I$5:$I$1004,$A85,Programação!$B$5:$B$1004,"VENCIDA",Programação!$O$5:$O$1004,"&gt;="&amp;$C$3,Programação!$O$5:$O$1004,"&lt;="&amp;$E$3,Programação!$V$5:$V$1004,"Interna")+COUNTIFS(Programação!$J$5:$J$1004,$A85,Programação!$B$5:$B$1004,"VENCIDA",Programação!$O$5:$O$1004,"&gt;="&amp;$C$3,Programação!$O$5:$O$1004,"&lt;="&amp;$E$3,Programação!$V$5:$V$1004,"Interna")+COUNTIFS(Programação!$K$5:$K$1004,$A85,Programação!$B$5:$B$1004,"VENCIDA",Programação!$O$5:$O$1004,"&gt;="&amp;$C$3,Programação!$O$5:$O$1004,"&lt;="&amp;$E$3,Programação!$V$5:$V$1004,"Interna"))</f>
        <v>0</v>
      </c>
      <c r="F85" s="81" t="n">
        <f aca="false">IF($A85="","",COUNTIFS(Programação!$I$5:$I$1004,$A85,Programação!$O$5:$O$1004,"&gt;="&amp;$C$3,Programação!$O$5:$O$1004,"&lt;="&amp;$E$3,Programação!$H$5:$H$1004,"Extra",Programação!$R$5:$R$1004,"&lt;&gt;Cancelada",Programação!$V$5:$V$1004,"Interna")+COUNTIFS(Programação!$J$5:$J$1004,$A85,Programação!$O$5:$O$1004,"&gt;="&amp;$C$3,Programação!$O$5:$O$1004,"&lt;="&amp;$E$3,Programação!$H$5:$H$1004,"Extra",Programação!$R$5:$R$1004,"&lt;&gt;Cancelada",Programação!$V$5:$V$1004,"Interna")+COUNTIFS(Programação!$K$5:$K$1004,$A85,Programação!$O$5:$O$1004,"&gt;="&amp;$C$3,Programação!$O$5:$O$1004,"&lt;="&amp;$E$3,Programação!$H$5:$H$1004,"Extra",Programação!$R$5:$R$1004,"&lt;&gt;Cancelada",Programação!$V$5:$V$1004,"Interna"))</f>
        <v>0</v>
      </c>
      <c r="H85" s="23" t="str">
        <f aca="false">IF(Listas!B16="","",Listas!B16)</f>
        <v>F-327</v>
      </c>
      <c r="I85" s="81" t="n">
        <f aca="false">IF($H85="","",COUNTIFS(Programação!$D$5:$D$1004,$H85,Programação!$O$5:$O$1004,"&gt;="&amp;$C$3,Programação!$O$5:$O$1004,"&lt;="&amp;$E$3,Programação!$R$5:$R$1004,"&lt;&gt;Cancelada",Programação!$V$5:$V$1004,"Interna",Programação!$H$5:$H$1004,"&lt;&gt;Extra"))</f>
        <v>0</v>
      </c>
      <c r="J85" s="81" t="n">
        <f aca="false">IF($H85="","",SUMIFS(Programação!$AB$5:$AB$1004,Programação!$D$5:$D$1004,$H85,Programação!$O$5:$O$1004,"&gt;="&amp;$C$3,Programação!$O$5:$O$1004,"&lt;="&amp;$E$3,Programação!$H$5:$H$1004,"&lt;&gt;Extra",Programação!$V$5:$V$1004,"Interna"))</f>
        <v>0</v>
      </c>
      <c r="K85" s="82" t="str">
        <f aca="false">IF(OR($H85="",$I85=0),"",$J85/$I85)</f>
        <v/>
      </c>
      <c r="L85" s="81" t="n">
        <f aca="false">IF($H85="","",COUNTIFS(Programação!$D$5:$D$1004,$H85,Programação!$B$5:$B$1004,"VENCIDA",Programação!$O$5:$O$1004,"&gt;="&amp;$C$3,Programação!$O$5:$O$1004,"&lt;="&amp;$E$3,Programação!$V$5:$V$1004,"Interna"))</f>
        <v>0</v>
      </c>
      <c r="M85" s="81" t="n">
        <f aca="false">IF($H85="","",COUNTIFS(Programação!$D$5:$D$1004,$H85,Programação!$O$5:$O$1004,"&gt;="&amp;$C$3,Programação!$O$5:$O$1004,"&lt;="&amp;$E$3,Programação!$H$5:$H$1004,"Extra",Programação!$R$5:$R$1004,"&lt;&gt;Cancelada",Programação!$V$5:$V$1004,"Interna"))</f>
        <v>0</v>
      </c>
    </row>
    <row r="86" customFormat="false" ht="15.75" hidden="false" customHeight="true" outlineLevel="0" collapsed="false">
      <c r="A86" s="23" t="str">
        <f aca="false">IF(Listas!A17="","",Listas!A17)</f>
        <v>Eduardo da sticker (externo)</v>
      </c>
      <c r="B86" s="81" t="n">
        <f aca="false">IF($A86="","",COUNTIFS(Programação!$I$5:$I$1004,$A86,Programação!$O$5:$O$1004,"&gt;="&amp;$C$3,Programação!$O$5:$O$1004,"&lt;="&amp;$E$3,Programação!$R$5:$R$1004,"&lt;&gt;Cancelada",Programação!$V$5:$V$1004,"Interna",Programação!$H$5:$H$1004,"&lt;&gt;Extra")+COUNTIFS(Programação!$J$5:$J$1004,$A86,Programação!$O$5:$O$1004,"&gt;="&amp;$C$3,Programação!$O$5:$O$1004,"&lt;="&amp;$E$3,Programação!$R$5:$R$1004,"&lt;&gt;Cancelada",Programação!$V$5:$V$1004,"Interna",Programação!$H$5:$H$1004,"&lt;&gt;Extra")+COUNTIFS(Programação!$K$5:$K$1004,$A86,Programação!$O$5:$O$1004,"&gt;="&amp;$C$3,Programação!$O$5:$O$1004,"&lt;="&amp;$E$3,Programação!$R$5:$R$1004,"&lt;&gt;Cancelada",Programação!$V$5:$V$1004,"Interna",Programação!$H$5:$H$1004,"&lt;&gt;Extra"))</f>
        <v>0</v>
      </c>
      <c r="C86" s="81" t="n">
        <f aca="false">IF($A86="","",SUMIFS(Programação!$AB$5:$AB$1004,Programação!$I$5:$I$1004,$A86,Programação!$O$5:$O$1004,"&gt;="&amp;$C$3,Programação!$O$5:$O$1004,"&lt;="&amp;$E$3,Programação!$H$5:$H$1004,"&lt;&gt;Extra",Programação!$V$5:$V$1004,"Interna")+SUMIFS(Programação!$AB$5:$AB$1004,Programação!$J$5:$J$1004,$A86,Programação!$O$5:$O$1004,"&gt;="&amp;$C$3,Programação!$O$5:$O$1004,"&lt;="&amp;$E$3,Programação!$H$5:$H$1004,"&lt;&gt;Extra",Programação!$V$5:$V$1004,"Interna")+SUMIFS(Programação!$AB$5:$AB$1004,Programação!$K$5:$K$1004,$A86,Programação!$O$5:$O$1004,"&gt;="&amp;$C$3,Programação!$O$5:$O$1004,"&lt;="&amp;$E$3,Programação!$H$5:$H$1004,"&lt;&gt;Extra",Programação!$V$5:$V$1004,"Interna"))</f>
        <v>0</v>
      </c>
      <c r="D86" s="82" t="str">
        <f aca="false">IF(OR($A86="",$B86=0),"",$C86/$B86)</f>
        <v/>
      </c>
      <c r="E86" s="81" t="n">
        <f aca="false">IF($A86="","",COUNTIFS(Programação!$I$5:$I$1004,$A86,Programação!$B$5:$B$1004,"VENCIDA",Programação!$O$5:$O$1004,"&gt;="&amp;$C$3,Programação!$O$5:$O$1004,"&lt;="&amp;$E$3,Programação!$V$5:$V$1004,"Interna")+COUNTIFS(Programação!$J$5:$J$1004,$A86,Programação!$B$5:$B$1004,"VENCIDA",Programação!$O$5:$O$1004,"&gt;="&amp;$C$3,Programação!$O$5:$O$1004,"&lt;="&amp;$E$3,Programação!$V$5:$V$1004,"Interna")+COUNTIFS(Programação!$K$5:$K$1004,$A86,Programação!$B$5:$B$1004,"VENCIDA",Programação!$O$5:$O$1004,"&gt;="&amp;$C$3,Programação!$O$5:$O$1004,"&lt;="&amp;$E$3,Programação!$V$5:$V$1004,"Interna"))</f>
        <v>0</v>
      </c>
      <c r="F86" s="81" t="n">
        <f aca="false">IF($A86="","",COUNTIFS(Programação!$I$5:$I$1004,$A86,Programação!$O$5:$O$1004,"&gt;="&amp;$C$3,Programação!$O$5:$O$1004,"&lt;="&amp;$E$3,Programação!$H$5:$H$1004,"Extra",Programação!$R$5:$R$1004,"&lt;&gt;Cancelada",Programação!$V$5:$V$1004,"Interna")+COUNTIFS(Programação!$J$5:$J$1004,$A86,Programação!$O$5:$O$1004,"&gt;="&amp;$C$3,Programação!$O$5:$O$1004,"&lt;="&amp;$E$3,Programação!$H$5:$H$1004,"Extra",Programação!$R$5:$R$1004,"&lt;&gt;Cancelada",Programação!$V$5:$V$1004,"Interna")+COUNTIFS(Programação!$K$5:$K$1004,$A86,Programação!$O$5:$O$1004,"&gt;="&amp;$C$3,Programação!$O$5:$O$1004,"&lt;="&amp;$E$3,Programação!$H$5:$H$1004,"Extra",Programação!$R$5:$R$1004,"&lt;&gt;Cancelada",Programação!$V$5:$V$1004,"Interna"))</f>
        <v>0</v>
      </c>
      <c r="H86" s="23" t="str">
        <f aca="false">IF(Listas!B17="","",Listas!B17)</f>
        <v>F-328</v>
      </c>
      <c r="I86" s="81" t="n">
        <f aca="false">IF($H86="","",COUNTIFS(Programação!$D$5:$D$1004,$H86,Programação!$O$5:$O$1004,"&gt;="&amp;$C$3,Programação!$O$5:$O$1004,"&lt;="&amp;$E$3,Programação!$R$5:$R$1004,"&lt;&gt;Cancelada",Programação!$V$5:$V$1004,"Interna",Programação!$H$5:$H$1004,"&lt;&gt;Extra"))</f>
        <v>0</v>
      </c>
      <c r="J86" s="81" t="n">
        <f aca="false">IF($H86="","",SUMIFS(Programação!$AB$5:$AB$1004,Programação!$D$5:$D$1004,$H86,Programação!$O$5:$O$1004,"&gt;="&amp;$C$3,Programação!$O$5:$O$1004,"&lt;="&amp;$E$3,Programação!$H$5:$H$1004,"&lt;&gt;Extra",Programação!$V$5:$V$1004,"Interna"))</f>
        <v>0</v>
      </c>
      <c r="K86" s="82" t="str">
        <f aca="false">IF(OR($H86="",$I86=0),"",$J86/$I86)</f>
        <v/>
      </c>
      <c r="L86" s="81" t="n">
        <f aca="false">IF($H86="","",COUNTIFS(Programação!$D$5:$D$1004,$H86,Programação!$B$5:$B$1004,"VENCIDA",Programação!$O$5:$O$1004,"&gt;="&amp;$C$3,Programação!$O$5:$O$1004,"&lt;="&amp;$E$3,Programação!$V$5:$V$1004,"Interna"))</f>
        <v>0</v>
      </c>
      <c r="M86" s="81" t="n">
        <f aca="false">IF($H86="","",COUNTIFS(Programação!$D$5:$D$1004,$H86,Programação!$O$5:$O$1004,"&gt;="&amp;$C$3,Programação!$O$5:$O$1004,"&lt;="&amp;$E$3,Programação!$H$5:$H$1004,"Extra",Programação!$R$5:$R$1004,"&lt;&gt;Cancelada",Programação!$V$5:$V$1004,"Interna"))</f>
        <v>0</v>
      </c>
    </row>
    <row r="87" customFormat="false" ht="15.75" hidden="false" customHeight="true" outlineLevel="0" collapsed="false">
      <c r="A87" s="23" t="str">
        <f aca="false">IF(Listas!A18="","",Listas!A18)</f>
        <v>Molas Pinheiro (externo)</v>
      </c>
      <c r="B87" s="81" t="n">
        <f aca="false">IF($A87="","",COUNTIFS(Programação!$I$5:$I$1004,$A87,Programação!$O$5:$O$1004,"&gt;="&amp;$C$3,Programação!$O$5:$O$1004,"&lt;="&amp;$E$3,Programação!$R$5:$R$1004,"&lt;&gt;Cancelada",Programação!$V$5:$V$1004,"Interna",Programação!$H$5:$H$1004,"&lt;&gt;Extra")+COUNTIFS(Programação!$J$5:$J$1004,$A87,Programação!$O$5:$O$1004,"&gt;="&amp;$C$3,Programação!$O$5:$O$1004,"&lt;="&amp;$E$3,Programação!$R$5:$R$1004,"&lt;&gt;Cancelada",Programação!$V$5:$V$1004,"Interna",Programação!$H$5:$H$1004,"&lt;&gt;Extra")+COUNTIFS(Programação!$K$5:$K$1004,$A87,Programação!$O$5:$O$1004,"&gt;="&amp;$C$3,Programação!$O$5:$O$1004,"&lt;="&amp;$E$3,Programação!$R$5:$R$1004,"&lt;&gt;Cancelada",Programação!$V$5:$V$1004,"Interna",Programação!$H$5:$H$1004,"&lt;&gt;Extra"))</f>
        <v>0</v>
      </c>
      <c r="C87" s="81" t="n">
        <f aca="false">IF($A87="","",SUMIFS(Programação!$AB$5:$AB$1004,Programação!$I$5:$I$1004,$A87,Programação!$O$5:$O$1004,"&gt;="&amp;$C$3,Programação!$O$5:$O$1004,"&lt;="&amp;$E$3,Programação!$H$5:$H$1004,"&lt;&gt;Extra",Programação!$V$5:$V$1004,"Interna")+SUMIFS(Programação!$AB$5:$AB$1004,Programação!$J$5:$J$1004,$A87,Programação!$O$5:$O$1004,"&gt;="&amp;$C$3,Programação!$O$5:$O$1004,"&lt;="&amp;$E$3,Programação!$H$5:$H$1004,"&lt;&gt;Extra",Programação!$V$5:$V$1004,"Interna")+SUMIFS(Programação!$AB$5:$AB$1004,Programação!$K$5:$K$1004,$A87,Programação!$O$5:$O$1004,"&gt;="&amp;$C$3,Programação!$O$5:$O$1004,"&lt;="&amp;$E$3,Programação!$H$5:$H$1004,"&lt;&gt;Extra",Programação!$V$5:$V$1004,"Interna"))</f>
        <v>0</v>
      </c>
      <c r="D87" s="82" t="str">
        <f aca="false">IF(OR($A87="",$B87=0),"",$C87/$B87)</f>
        <v/>
      </c>
      <c r="E87" s="81" t="n">
        <f aca="false">IF($A87="","",COUNTIFS(Programação!$I$5:$I$1004,$A87,Programação!$B$5:$B$1004,"VENCIDA",Programação!$O$5:$O$1004,"&gt;="&amp;$C$3,Programação!$O$5:$O$1004,"&lt;="&amp;$E$3,Programação!$V$5:$V$1004,"Interna")+COUNTIFS(Programação!$J$5:$J$1004,$A87,Programação!$B$5:$B$1004,"VENCIDA",Programação!$O$5:$O$1004,"&gt;="&amp;$C$3,Programação!$O$5:$O$1004,"&lt;="&amp;$E$3,Programação!$V$5:$V$1004,"Interna")+COUNTIFS(Programação!$K$5:$K$1004,$A87,Programação!$B$5:$B$1004,"VENCIDA",Programação!$O$5:$O$1004,"&gt;="&amp;$C$3,Programação!$O$5:$O$1004,"&lt;="&amp;$E$3,Programação!$V$5:$V$1004,"Interna"))</f>
        <v>0</v>
      </c>
      <c r="F87" s="81" t="n">
        <f aca="false">IF($A87="","",COUNTIFS(Programação!$I$5:$I$1004,$A87,Programação!$O$5:$O$1004,"&gt;="&amp;$C$3,Programação!$O$5:$O$1004,"&lt;="&amp;$E$3,Programação!$H$5:$H$1004,"Extra",Programação!$R$5:$R$1004,"&lt;&gt;Cancelada",Programação!$V$5:$V$1004,"Interna")+COUNTIFS(Programação!$J$5:$J$1004,$A87,Programação!$O$5:$O$1004,"&gt;="&amp;$C$3,Programação!$O$5:$O$1004,"&lt;="&amp;$E$3,Programação!$H$5:$H$1004,"Extra",Programação!$R$5:$R$1004,"&lt;&gt;Cancelada",Programação!$V$5:$V$1004,"Interna")+COUNTIFS(Programação!$K$5:$K$1004,$A87,Programação!$O$5:$O$1004,"&gt;="&amp;$C$3,Programação!$O$5:$O$1004,"&lt;="&amp;$E$3,Programação!$H$5:$H$1004,"Extra",Programação!$R$5:$R$1004,"&lt;&gt;Cancelada",Programação!$V$5:$V$1004,"Interna"))</f>
        <v>0</v>
      </c>
      <c r="H87" s="23" t="str">
        <f aca="false">IF(Listas!B18="","",Listas!B18)</f>
        <v>F-331</v>
      </c>
      <c r="I87" s="81" t="n">
        <f aca="false">IF($H87="","",COUNTIFS(Programação!$D$5:$D$1004,$H87,Programação!$O$5:$O$1004,"&gt;="&amp;$C$3,Programação!$O$5:$O$1004,"&lt;="&amp;$E$3,Programação!$R$5:$R$1004,"&lt;&gt;Cancelada",Programação!$V$5:$V$1004,"Interna",Programação!$H$5:$H$1004,"&lt;&gt;Extra"))</f>
        <v>2</v>
      </c>
      <c r="J87" s="81" t="n">
        <f aca="false">IF($H87="","",SUMIFS(Programação!$AB$5:$AB$1004,Programação!$D$5:$D$1004,$H87,Programação!$O$5:$O$1004,"&gt;="&amp;$C$3,Programação!$O$5:$O$1004,"&lt;="&amp;$E$3,Programação!$H$5:$H$1004,"&lt;&gt;Extra",Programação!$V$5:$V$1004,"Interna"))</f>
        <v>2</v>
      </c>
      <c r="K87" s="82" t="n">
        <f aca="false">IF(OR($H87="",$I87=0),"",$J87/$I87)</f>
        <v>1</v>
      </c>
      <c r="L87" s="81" t="n">
        <f aca="false">IF($H87="","",COUNTIFS(Programação!$D$5:$D$1004,$H87,Programação!$B$5:$B$1004,"VENCIDA",Programação!$O$5:$O$1004,"&gt;="&amp;$C$3,Programação!$O$5:$O$1004,"&lt;="&amp;$E$3,Programação!$V$5:$V$1004,"Interna"))</f>
        <v>0</v>
      </c>
      <c r="M87" s="81" t="n">
        <f aca="false">IF($H87="","",COUNTIFS(Programação!$D$5:$D$1004,$H87,Programação!$O$5:$O$1004,"&gt;="&amp;$C$3,Programação!$O$5:$O$1004,"&lt;="&amp;$E$3,Programação!$H$5:$H$1004,"Extra",Programação!$R$5:$R$1004,"&lt;&gt;Cancelada",Programação!$V$5:$V$1004,"Interna"))</f>
        <v>0</v>
      </c>
    </row>
    <row r="88" customFormat="false" ht="15.75" hidden="false" customHeight="true" outlineLevel="0" collapsed="false">
      <c r="A88" s="23" t="str">
        <f aca="false">IF(Listas!A19="","",Listas!A19)</f>
        <v>Rodo Ceará (externo)</v>
      </c>
      <c r="B88" s="81" t="n">
        <f aca="false">IF($A88="","",COUNTIFS(Programação!$I$5:$I$1004,$A88,Programação!$O$5:$O$1004,"&gt;="&amp;$C$3,Programação!$O$5:$O$1004,"&lt;="&amp;$E$3,Programação!$R$5:$R$1004,"&lt;&gt;Cancelada",Programação!$V$5:$V$1004,"Interna",Programação!$H$5:$H$1004,"&lt;&gt;Extra")+COUNTIFS(Programação!$J$5:$J$1004,$A88,Programação!$O$5:$O$1004,"&gt;="&amp;$C$3,Programação!$O$5:$O$1004,"&lt;="&amp;$E$3,Programação!$R$5:$R$1004,"&lt;&gt;Cancelada",Programação!$V$5:$V$1004,"Interna",Programação!$H$5:$H$1004,"&lt;&gt;Extra")+COUNTIFS(Programação!$K$5:$K$1004,$A88,Programação!$O$5:$O$1004,"&gt;="&amp;$C$3,Programação!$O$5:$O$1004,"&lt;="&amp;$E$3,Programação!$R$5:$R$1004,"&lt;&gt;Cancelada",Programação!$V$5:$V$1004,"Interna",Programação!$H$5:$H$1004,"&lt;&gt;Extra"))</f>
        <v>0</v>
      </c>
      <c r="C88" s="81" t="n">
        <f aca="false">IF($A88="","",SUMIFS(Programação!$AB$5:$AB$1004,Programação!$I$5:$I$1004,$A88,Programação!$O$5:$O$1004,"&gt;="&amp;$C$3,Programação!$O$5:$O$1004,"&lt;="&amp;$E$3,Programação!$H$5:$H$1004,"&lt;&gt;Extra",Programação!$V$5:$V$1004,"Interna")+SUMIFS(Programação!$AB$5:$AB$1004,Programação!$J$5:$J$1004,$A88,Programação!$O$5:$O$1004,"&gt;="&amp;$C$3,Programação!$O$5:$O$1004,"&lt;="&amp;$E$3,Programação!$H$5:$H$1004,"&lt;&gt;Extra",Programação!$V$5:$V$1004,"Interna")+SUMIFS(Programação!$AB$5:$AB$1004,Programação!$K$5:$K$1004,$A88,Programação!$O$5:$O$1004,"&gt;="&amp;$C$3,Programação!$O$5:$O$1004,"&lt;="&amp;$E$3,Programação!$H$5:$H$1004,"&lt;&gt;Extra",Programação!$V$5:$V$1004,"Interna"))</f>
        <v>0</v>
      </c>
      <c r="D88" s="82" t="str">
        <f aca="false">IF(OR($A88="",$B88=0),"",$C88/$B88)</f>
        <v/>
      </c>
      <c r="E88" s="81" t="n">
        <f aca="false">IF($A88="","",COUNTIFS(Programação!$I$5:$I$1004,$A88,Programação!$B$5:$B$1004,"VENCIDA",Programação!$O$5:$O$1004,"&gt;="&amp;$C$3,Programação!$O$5:$O$1004,"&lt;="&amp;$E$3,Programação!$V$5:$V$1004,"Interna")+COUNTIFS(Programação!$J$5:$J$1004,$A88,Programação!$B$5:$B$1004,"VENCIDA",Programação!$O$5:$O$1004,"&gt;="&amp;$C$3,Programação!$O$5:$O$1004,"&lt;="&amp;$E$3,Programação!$V$5:$V$1004,"Interna")+COUNTIFS(Programação!$K$5:$K$1004,$A88,Programação!$B$5:$B$1004,"VENCIDA",Programação!$O$5:$O$1004,"&gt;="&amp;$C$3,Programação!$O$5:$O$1004,"&lt;="&amp;$E$3,Programação!$V$5:$V$1004,"Interna"))</f>
        <v>0</v>
      </c>
      <c r="F88" s="81" t="n">
        <f aca="false">IF($A88="","",COUNTIFS(Programação!$I$5:$I$1004,$A88,Programação!$O$5:$O$1004,"&gt;="&amp;$C$3,Programação!$O$5:$O$1004,"&lt;="&amp;$E$3,Programação!$H$5:$H$1004,"Extra",Programação!$R$5:$R$1004,"&lt;&gt;Cancelada",Programação!$V$5:$V$1004,"Interna")+COUNTIFS(Programação!$J$5:$J$1004,$A88,Programação!$O$5:$O$1004,"&gt;="&amp;$C$3,Programação!$O$5:$O$1004,"&lt;="&amp;$E$3,Programação!$H$5:$H$1004,"Extra",Programação!$R$5:$R$1004,"&lt;&gt;Cancelada",Programação!$V$5:$V$1004,"Interna")+COUNTIFS(Programação!$K$5:$K$1004,$A88,Programação!$O$5:$O$1004,"&gt;="&amp;$C$3,Programação!$O$5:$O$1004,"&lt;="&amp;$E$3,Programação!$H$5:$H$1004,"Extra",Programação!$R$5:$R$1004,"&lt;&gt;Cancelada",Programação!$V$5:$V$1004,"Interna"))</f>
        <v>0</v>
      </c>
      <c r="H88" s="23" t="str">
        <f aca="false">IF(Listas!B19="","",Listas!B19)</f>
        <v>F-332</v>
      </c>
      <c r="I88" s="81" t="n">
        <f aca="false">IF($H88="","",COUNTIFS(Programação!$D$5:$D$1004,$H88,Programação!$O$5:$O$1004,"&gt;="&amp;$C$3,Programação!$O$5:$O$1004,"&lt;="&amp;$E$3,Programação!$R$5:$R$1004,"&lt;&gt;Cancelada",Programação!$V$5:$V$1004,"Interna",Programação!$H$5:$H$1004,"&lt;&gt;Extra"))</f>
        <v>0</v>
      </c>
      <c r="J88" s="81" t="n">
        <f aca="false">IF($H88="","",SUMIFS(Programação!$AB$5:$AB$1004,Programação!$D$5:$D$1004,$H88,Programação!$O$5:$O$1004,"&gt;="&amp;$C$3,Programação!$O$5:$O$1004,"&lt;="&amp;$E$3,Programação!$H$5:$H$1004,"&lt;&gt;Extra",Programação!$V$5:$V$1004,"Interna"))</f>
        <v>0</v>
      </c>
      <c r="K88" s="82" t="str">
        <f aca="false">IF(OR($H88="",$I88=0),"",$J88/$I88)</f>
        <v/>
      </c>
      <c r="L88" s="81" t="n">
        <f aca="false">IF($H88="","",COUNTIFS(Programação!$D$5:$D$1004,$H88,Programação!$B$5:$B$1004,"VENCIDA",Programação!$O$5:$O$1004,"&gt;="&amp;$C$3,Programação!$O$5:$O$1004,"&lt;="&amp;$E$3,Programação!$V$5:$V$1004,"Interna"))</f>
        <v>0</v>
      </c>
      <c r="M88" s="81" t="n">
        <f aca="false">IF($H88="","",COUNTIFS(Programação!$D$5:$D$1004,$H88,Programação!$O$5:$O$1004,"&gt;="&amp;$C$3,Programação!$O$5:$O$1004,"&lt;="&amp;$E$3,Programação!$H$5:$H$1004,"Extra",Programação!$R$5:$R$1004,"&lt;&gt;Cancelada",Programação!$V$5:$V$1004,"Interna"))</f>
        <v>0</v>
      </c>
    </row>
    <row r="89" customFormat="false" ht="15.75" hidden="false" customHeight="true" outlineLevel="0" collapsed="false">
      <c r="A89" s="23" t="str">
        <f aca="false">IF(Listas!A20="","",Listas!A20)</f>
        <v/>
      </c>
      <c r="B89" s="81" t="str">
        <f aca="false">IF($A89="","",COUNTIFS(Programação!$I$5:$I$1004,$A89,Programação!$O$5:$O$1004,"&gt;="&amp;$C$3,Programação!$O$5:$O$1004,"&lt;="&amp;$E$3,Programação!$R$5:$R$1004,"&lt;&gt;Cancelada",Programação!$V$5:$V$1004,"Interna",Programação!$H$5:$H$1004,"&lt;&gt;Extra")+COUNTIFS(Programação!$J$5:$J$1004,$A89,Programação!$O$5:$O$1004,"&gt;="&amp;$C$3,Programação!$O$5:$O$1004,"&lt;="&amp;$E$3,Programação!$R$5:$R$1004,"&lt;&gt;Cancelada",Programação!$V$5:$V$1004,"Interna",Programação!$H$5:$H$1004,"&lt;&gt;Extra")+COUNTIFS(Programação!$K$5:$K$1004,$A89,Programação!$O$5:$O$1004,"&gt;="&amp;$C$3,Programação!$O$5:$O$1004,"&lt;="&amp;$E$3,Programação!$R$5:$R$1004,"&lt;&gt;Cancelada",Programação!$V$5:$V$1004,"Interna",Programação!$H$5:$H$1004,"&lt;&gt;Extra"))</f>
        <v/>
      </c>
      <c r="C89" s="81" t="str">
        <f aca="false">IF($A89="","",SUMIFS(Programação!$AB$5:$AB$1004,Programação!$I$5:$I$1004,$A89,Programação!$O$5:$O$1004,"&gt;="&amp;$C$3,Programação!$O$5:$O$1004,"&lt;="&amp;$E$3,Programação!$H$5:$H$1004,"&lt;&gt;Extra",Programação!$V$5:$V$1004,"Interna")+SUMIFS(Programação!$AB$5:$AB$1004,Programação!$J$5:$J$1004,$A89,Programação!$O$5:$O$1004,"&gt;="&amp;$C$3,Programação!$O$5:$O$1004,"&lt;="&amp;$E$3,Programação!$H$5:$H$1004,"&lt;&gt;Extra",Programação!$V$5:$V$1004,"Interna")+SUMIFS(Programação!$AB$5:$AB$1004,Programação!$K$5:$K$1004,$A89,Programação!$O$5:$O$1004,"&gt;="&amp;$C$3,Programação!$O$5:$O$1004,"&lt;="&amp;$E$3,Programação!$H$5:$H$1004,"&lt;&gt;Extra",Programação!$V$5:$V$1004,"Interna"))</f>
        <v/>
      </c>
      <c r="D89" s="82" t="str">
        <f aca="false">IF(OR($A89="",$B89=0),"",$C89/$B89)</f>
        <v/>
      </c>
      <c r="E89" s="81" t="str">
        <f aca="false">IF($A89="","",COUNTIFS(Programação!$I$5:$I$1004,$A89,Programação!$B$5:$B$1004,"VENCIDA",Programação!$O$5:$O$1004,"&gt;="&amp;$C$3,Programação!$O$5:$O$1004,"&lt;="&amp;$E$3,Programação!$V$5:$V$1004,"Interna")+COUNTIFS(Programação!$J$5:$J$1004,$A89,Programação!$B$5:$B$1004,"VENCIDA",Programação!$O$5:$O$1004,"&gt;="&amp;$C$3,Programação!$O$5:$O$1004,"&lt;="&amp;$E$3,Programação!$V$5:$V$1004,"Interna")+COUNTIFS(Programação!$K$5:$K$1004,$A89,Programação!$B$5:$B$1004,"VENCIDA",Programação!$O$5:$O$1004,"&gt;="&amp;$C$3,Programação!$O$5:$O$1004,"&lt;="&amp;$E$3,Programação!$V$5:$V$1004,"Interna"))</f>
        <v/>
      </c>
      <c r="F89" s="81" t="str">
        <f aca="false">IF($A89="","",COUNTIFS(Programação!$I$5:$I$1004,$A89,Programação!$O$5:$O$1004,"&gt;="&amp;$C$3,Programação!$O$5:$O$1004,"&lt;="&amp;$E$3,Programação!$H$5:$H$1004,"Extra",Programação!$R$5:$R$1004,"&lt;&gt;Cancelada",Programação!$V$5:$V$1004,"Interna")+COUNTIFS(Programação!$J$5:$J$1004,$A89,Programação!$O$5:$O$1004,"&gt;="&amp;$C$3,Programação!$O$5:$O$1004,"&lt;="&amp;$E$3,Programação!$H$5:$H$1004,"Extra",Programação!$R$5:$R$1004,"&lt;&gt;Cancelada",Programação!$V$5:$V$1004,"Interna")+COUNTIFS(Programação!$K$5:$K$1004,$A89,Programação!$O$5:$O$1004,"&gt;="&amp;$C$3,Programação!$O$5:$O$1004,"&lt;="&amp;$E$3,Programação!$H$5:$H$1004,"Extra",Programação!$R$5:$R$1004,"&lt;&gt;Cancelada",Programação!$V$5:$V$1004,"Interna"))</f>
        <v/>
      </c>
      <c r="H89" s="23" t="str">
        <f aca="false">IF(Listas!B20="","",Listas!B20)</f>
        <v>F-424</v>
      </c>
      <c r="I89" s="81" t="n">
        <f aca="false">IF($H89="","",COUNTIFS(Programação!$D$5:$D$1004,$H89,Programação!$O$5:$O$1004,"&gt;="&amp;$C$3,Programação!$O$5:$O$1004,"&lt;="&amp;$E$3,Programação!$R$5:$R$1004,"&lt;&gt;Cancelada",Programação!$V$5:$V$1004,"Interna",Programação!$H$5:$H$1004,"&lt;&gt;Extra"))</f>
        <v>0</v>
      </c>
      <c r="J89" s="81" t="n">
        <f aca="false">IF($H89="","",SUMIFS(Programação!$AB$5:$AB$1004,Programação!$D$5:$D$1004,$H89,Programação!$O$5:$O$1004,"&gt;="&amp;$C$3,Programação!$O$5:$O$1004,"&lt;="&amp;$E$3,Programação!$H$5:$H$1004,"&lt;&gt;Extra",Programação!$V$5:$V$1004,"Interna"))</f>
        <v>0</v>
      </c>
      <c r="K89" s="82" t="str">
        <f aca="false">IF(OR($H89="",$I89=0),"",$J89/$I89)</f>
        <v/>
      </c>
      <c r="L89" s="81" t="n">
        <f aca="false">IF($H89="","",COUNTIFS(Programação!$D$5:$D$1004,$H89,Programação!$B$5:$B$1004,"VENCIDA",Programação!$O$5:$O$1004,"&gt;="&amp;$C$3,Programação!$O$5:$O$1004,"&lt;="&amp;$E$3,Programação!$V$5:$V$1004,"Interna"))</f>
        <v>0</v>
      </c>
      <c r="M89" s="81" t="n">
        <f aca="false">IF($H89="","",COUNTIFS(Programação!$D$5:$D$1004,$H89,Programação!$O$5:$O$1004,"&gt;="&amp;$C$3,Programação!$O$5:$O$1004,"&lt;="&amp;$E$3,Programação!$H$5:$H$1004,"Extra",Programação!$R$5:$R$1004,"&lt;&gt;Cancelada",Programação!$V$5:$V$1004,"Interna"))</f>
        <v>0</v>
      </c>
    </row>
    <row r="90" customFormat="false" ht="15.75" hidden="false" customHeight="true" outlineLevel="0" collapsed="false">
      <c r="A90" s="23" t="str">
        <f aca="false">IF(Listas!A21="","",Listas!A21)</f>
        <v/>
      </c>
      <c r="B90" s="81" t="str">
        <f aca="false">IF($A90="","",COUNTIFS(Programação!$I$5:$I$1004,$A90,Programação!$O$5:$O$1004,"&gt;="&amp;$C$3,Programação!$O$5:$O$1004,"&lt;="&amp;$E$3,Programação!$R$5:$R$1004,"&lt;&gt;Cancelada",Programação!$V$5:$V$1004,"Interna",Programação!$H$5:$H$1004,"&lt;&gt;Extra")+COUNTIFS(Programação!$J$5:$J$1004,$A90,Programação!$O$5:$O$1004,"&gt;="&amp;$C$3,Programação!$O$5:$O$1004,"&lt;="&amp;$E$3,Programação!$R$5:$R$1004,"&lt;&gt;Cancelada",Programação!$V$5:$V$1004,"Interna",Programação!$H$5:$H$1004,"&lt;&gt;Extra")+COUNTIFS(Programação!$K$5:$K$1004,$A90,Programação!$O$5:$O$1004,"&gt;="&amp;$C$3,Programação!$O$5:$O$1004,"&lt;="&amp;$E$3,Programação!$R$5:$R$1004,"&lt;&gt;Cancelada",Programação!$V$5:$V$1004,"Interna",Programação!$H$5:$H$1004,"&lt;&gt;Extra"))</f>
        <v/>
      </c>
      <c r="C90" s="81" t="str">
        <f aca="false">IF($A90="","",SUMIFS(Programação!$AB$5:$AB$1004,Programação!$I$5:$I$1004,$A90,Programação!$O$5:$O$1004,"&gt;="&amp;$C$3,Programação!$O$5:$O$1004,"&lt;="&amp;$E$3,Programação!$H$5:$H$1004,"&lt;&gt;Extra",Programação!$V$5:$V$1004,"Interna")+SUMIFS(Programação!$AB$5:$AB$1004,Programação!$J$5:$J$1004,$A90,Programação!$O$5:$O$1004,"&gt;="&amp;$C$3,Programação!$O$5:$O$1004,"&lt;="&amp;$E$3,Programação!$H$5:$H$1004,"&lt;&gt;Extra",Programação!$V$5:$V$1004,"Interna")+SUMIFS(Programação!$AB$5:$AB$1004,Programação!$K$5:$K$1004,$A90,Programação!$O$5:$O$1004,"&gt;="&amp;$C$3,Programação!$O$5:$O$1004,"&lt;="&amp;$E$3,Programação!$H$5:$H$1004,"&lt;&gt;Extra",Programação!$V$5:$V$1004,"Interna"))</f>
        <v/>
      </c>
      <c r="D90" s="82" t="str">
        <f aca="false">IF(OR($A90="",$B90=0),"",$C90/$B90)</f>
        <v/>
      </c>
      <c r="E90" s="81" t="str">
        <f aca="false">IF($A90="","",COUNTIFS(Programação!$I$5:$I$1004,$A90,Programação!$B$5:$B$1004,"VENCIDA",Programação!$O$5:$O$1004,"&gt;="&amp;$C$3,Programação!$O$5:$O$1004,"&lt;="&amp;$E$3,Programação!$V$5:$V$1004,"Interna")+COUNTIFS(Programação!$J$5:$J$1004,$A90,Programação!$B$5:$B$1004,"VENCIDA",Programação!$O$5:$O$1004,"&gt;="&amp;$C$3,Programação!$O$5:$O$1004,"&lt;="&amp;$E$3,Programação!$V$5:$V$1004,"Interna")+COUNTIFS(Programação!$K$5:$K$1004,$A90,Programação!$B$5:$B$1004,"VENCIDA",Programação!$O$5:$O$1004,"&gt;="&amp;$C$3,Programação!$O$5:$O$1004,"&lt;="&amp;$E$3,Programação!$V$5:$V$1004,"Interna"))</f>
        <v/>
      </c>
      <c r="F90" s="81" t="str">
        <f aca="false">IF($A90="","",COUNTIFS(Programação!$I$5:$I$1004,$A90,Programação!$O$5:$O$1004,"&gt;="&amp;$C$3,Programação!$O$5:$O$1004,"&lt;="&amp;$E$3,Programação!$H$5:$H$1004,"Extra",Programação!$R$5:$R$1004,"&lt;&gt;Cancelada",Programação!$V$5:$V$1004,"Interna")+COUNTIFS(Programação!$J$5:$J$1004,$A90,Programação!$O$5:$O$1004,"&gt;="&amp;$C$3,Programação!$O$5:$O$1004,"&lt;="&amp;$E$3,Programação!$H$5:$H$1004,"Extra",Programação!$R$5:$R$1004,"&lt;&gt;Cancelada",Programação!$V$5:$V$1004,"Interna")+COUNTIFS(Programação!$K$5:$K$1004,$A90,Programação!$O$5:$O$1004,"&gt;="&amp;$C$3,Programação!$O$5:$O$1004,"&lt;="&amp;$E$3,Programação!$H$5:$H$1004,"Extra",Programação!$R$5:$R$1004,"&lt;&gt;Cancelada",Programação!$V$5:$V$1004,"Interna"))</f>
        <v/>
      </c>
      <c r="H90" s="23" t="str">
        <f aca="false">IF(Listas!B21="","",Listas!B21)</f>
        <v>F-425</v>
      </c>
      <c r="I90" s="81" t="n">
        <f aca="false">IF($H90="","",COUNTIFS(Programação!$D$5:$D$1004,$H90,Programação!$O$5:$O$1004,"&gt;="&amp;$C$3,Programação!$O$5:$O$1004,"&lt;="&amp;$E$3,Programação!$R$5:$R$1004,"&lt;&gt;Cancelada",Programação!$V$5:$V$1004,"Interna",Programação!$H$5:$H$1004,"&lt;&gt;Extra"))</f>
        <v>0</v>
      </c>
      <c r="J90" s="81" t="n">
        <f aca="false">IF($H90="","",SUMIFS(Programação!$AB$5:$AB$1004,Programação!$D$5:$D$1004,$H90,Programação!$O$5:$O$1004,"&gt;="&amp;$C$3,Programação!$O$5:$O$1004,"&lt;="&amp;$E$3,Programação!$H$5:$H$1004,"&lt;&gt;Extra",Programação!$V$5:$V$1004,"Interna"))</f>
        <v>0</v>
      </c>
      <c r="K90" s="82" t="str">
        <f aca="false">IF(OR($H90="",$I90=0),"",$J90/$I90)</f>
        <v/>
      </c>
      <c r="L90" s="81" t="n">
        <f aca="false">IF($H90="","",COUNTIFS(Programação!$D$5:$D$1004,$H90,Programação!$B$5:$B$1004,"VENCIDA",Programação!$O$5:$O$1004,"&gt;="&amp;$C$3,Programação!$O$5:$O$1004,"&lt;="&amp;$E$3,Programação!$V$5:$V$1004,"Interna"))</f>
        <v>0</v>
      </c>
      <c r="M90" s="81" t="n">
        <f aca="false">IF($H90="","",COUNTIFS(Programação!$D$5:$D$1004,$H90,Programação!$O$5:$O$1004,"&gt;="&amp;$C$3,Programação!$O$5:$O$1004,"&lt;="&amp;$E$3,Programação!$H$5:$H$1004,"Extra",Programação!$R$5:$R$1004,"&lt;&gt;Cancelada",Programação!$V$5:$V$1004,"Interna"))</f>
        <v>0</v>
      </c>
    </row>
    <row r="91" customFormat="false" ht="15.75" hidden="false" customHeight="true" outlineLevel="0" collapsed="false">
      <c r="A91" s="23" t="str">
        <f aca="false">IF(Listas!A22="","",Listas!A22)</f>
        <v/>
      </c>
      <c r="B91" s="81" t="str">
        <f aca="false">IF($A91="","",COUNTIFS(Programação!$I$5:$I$1004,$A91,Programação!$O$5:$O$1004,"&gt;="&amp;$C$3,Programação!$O$5:$O$1004,"&lt;="&amp;$E$3,Programação!$R$5:$R$1004,"&lt;&gt;Cancelada",Programação!$V$5:$V$1004,"Interna",Programação!$H$5:$H$1004,"&lt;&gt;Extra")+COUNTIFS(Programação!$J$5:$J$1004,$A91,Programação!$O$5:$O$1004,"&gt;="&amp;$C$3,Programação!$O$5:$O$1004,"&lt;="&amp;$E$3,Programação!$R$5:$R$1004,"&lt;&gt;Cancelada",Programação!$V$5:$V$1004,"Interna",Programação!$H$5:$H$1004,"&lt;&gt;Extra")+COUNTIFS(Programação!$K$5:$K$1004,$A91,Programação!$O$5:$O$1004,"&gt;="&amp;$C$3,Programação!$O$5:$O$1004,"&lt;="&amp;$E$3,Programação!$R$5:$R$1004,"&lt;&gt;Cancelada",Programação!$V$5:$V$1004,"Interna",Programação!$H$5:$H$1004,"&lt;&gt;Extra"))</f>
        <v/>
      </c>
      <c r="C91" s="81" t="str">
        <f aca="false">IF($A91="","",SUMIFS(Programação!$AB$5:$AB$1004,Programação!$I$5:$I$1004,$A91,Programação!$O$5:$O$1004,"&gt;="&amp;$C$3,Programação!$O$5:$O$1004,"&lt;="&amp;$E$3,Programação!$H$5:$H$1004,"&lt;&gt;Extra",Programação!$V$5:$V$1004,"Interna")+SUMIFS(Programação!$AB$5:$AB$1004,Programação!$J$5:$J$1004,$A91,Programação!$O$5:$O$1004,"&gt;="&amp;$C$3,Programação!$O$5:$O$1004,"&lt;="&amp;$E$3,Programação!$H$5:$H$1004,"&lt;&gt;Extra",Programação!$V$5:$V$1004,"Interna")+SUMIFS(Programação!$AB$5:$AB$1004,Programação!$K$5:$K$1004,$A91,Programação!$O$5:$O$1004,"&gt;="&amp;$C$3,Programação!$O$5:$O$1004,"&lt;="&amp;$E$3,Programação!$H$5:$H$1004,"&lt;&gt;Extra",Programação!$V$5:$V$1004,"Interna"))</f>
        <v/>
      </c>
      <c r="D91" s="82" t="str">
        <f aca="false">IF(OR($A91="",$B91=0),"",$C91/$B91)</f>
        <v/>
      </c>
      <c r="E91" s="81" t="str">
        <f aca="false">IF($A91="","",COUNTIFS(Programação!$I$5:$I$1004,$A91,Programação!$B$5:$B$1004,"VENCIDA",Programação!$O$5:$O$1004,"&gt;="&amp;$C$3,Programação!$O$5:$O$1004,"&lt;="&amp;$E$3,Programação!$V$5:$V$1004,"Interna")+COUNTIFS(Programação!$J$5:$J$1004,$A91,Programação!$B$5:$B$1004,"VENCIDA",Programação!$O$5:$O$1004,"&gt;="&amp;$C$3,Programação!$O$5:$O$1004,"&lt;="&amp;$E$3,Programação!$V$5:$V$1004,"Interna")+COUNTIFS(Programação!$K$5:$K$1004,$A91,Programação!$B$5:$B$1004,"VENCIDA",Programação!$O$5:$O$1004,"&gt;="&amp;$C$3,Programação!$O$5:$O$1004,"&lt;="&amp;$E$3,Programação!$V$5:$V$1004,"Interna"))</f>
        <v/>
      </c>
      <c r="F91" s="81" t="str">
        <f aca="false">IF($A91="","",COUNTIFS(Programação!$I$5:$I$1004,$A91,Programação!$O$5:$O$1004,"&gt;="&amp;$C$3,Programação!$O$5:$O$1004,"&lt;="&amp;$E$3,Programação!$H$5:$H$1004,"Extra",Programação!$R$5:$R$1004,"&lt;&gt;Cancelada",Programação!$V$5:$V$1004,"Interna")+COUNTIFS(Programação!$J$5:$J$1004,$A91,Programação!$O$5:$O$1004,"&gt;="&amp;$C$3,Programação!$O$5:$O$1004,"&lt;="&amp;$E$3,Programação!$H$5:$H$1004,"Extra",Programação!$R$5:$R$1004,"&lt;&gt;Cancelada",Programação!$V$5:$V$1004,"Interna")+COUNTIFS(Programação!$K$5:$K$1004,$A91,Programação!$O$5:$O$1004,"&gt;="&amp;$C$3,Programação!$O$5:$O$1004,"&lt;="&amp;$E$3,Programação!$H$5:$H$1004,"Extra",Programação!$R$5:$R$1004,"&lt;&gt;Cancelada",Programação!$V$5:$V$1004,"Interna"))</f>
        <v/>
      </c>
      <c r="H91" s="23" t="str">
        <f aca="false">IF(Listas!B22="","",Listas!B22)</f>
        <v>F-426</v>
      </c>
      <c r="I91" s="81" t="n">
        <f aca="false">IF($H91="","",COUNTIFS(Programação!$D$5:$D$1004,$H91,Programação!$O$5:$O$1004,"&gt;="&amp;$C$3,Programação!$O$5:$O$1004,"&lt;="&amp;$E$3,Programação!$R$5:$R$1004,"&lt;&gt;Cancelada",Programação!$V$5:$V$1004,"Interna",Programação!$H$5:$H$1004,"&lt;&gt;Extra"))</f>
        <v>0</v>
      </c>
      <c r="J91" s="81" t="n">
        <f aca="false">IF($H91="","",SUMIFS(Programação!$AB$5:$AB$1004,Programação!$D$5:$D$1004,$H91,Programação!$O$5:$O$1004,"&gt;="&amp;$C$3,Programação!$O$5:$O$1004,"&lt;="&amp;$E$3,Programação!$H$5:$H$1004,"&lt;&gt;Extra",Programação!$V$5:$V$1004,"Interna"))</f>
        <v>0</v>
      </c>
      <c r="K91" s="82" t="str">
        <f aca="false">IF(OR($H91="",$I91=0),"",$J91/$I91)</f>
        <v/>
      </c>
      <c r="L91" s="81" t="n">
        <f aca="false">IF($H91="","",COUNTIFS(Programação!$D$5:$D$1004,$H91,Programação!$B$5:$B$1004,"VENCIDA",Programação!$O$5:$O$1004,"&gt;="&amp;$C$3,Programação!$O$5:$O$1004,"&lt;="&amp;$E$3,Programação!$V$5:$V$1004,"Interna"))</f>
        <v>0</v>
      </c>
      <c r="M91" s="81" t="n">
        <f aca="false">IF($H91="","",COUNTIFS(Programação!$D$5:$D$1004,$H91,Programação!$O$5:$O$1004,"&gt;="&amp;$C$3,Programação!$O$5:$O$1004,"&lt;="&amp;$E$3,Programação!$H$5:$H$1004,"Extra",Programação!$R$5:$R$1004,"&lt;&gt;Cancelada",Programação!$V$5:$V$1004,"Interna"))</f>
        <v>1</v>
      </c>
    </row>
    <row r="92" customFormat="false" ht="15.75" hidden="false" customHeight="true" outlineLevel="0" collapsed="false">
      <c r="A92" s="112" t="s">
        <v>909</v>
      </c>
      <c r="B92" s="113" t="n">
        <f aca="false">COUNTIFS(Programação!$O$5:$O$1004,"&gt;="&amp;$C$3,Programação!$O$5:$O$1004,"&lt;="&amp;$E$3,Programação!$R$5:$R$1004,"&lt;&gt;Cancelada",Programação!$V$5:$V$1004,"Interna",Programação!$H$5:$H$1004,"&lt;&gt;Extra")</f>
        <v>65</v>
      </c>
      <c r="C92" s="113" t="n">
        <f aca="false">SUMIFS(Programação!$AB$5:$AB$1004,Programação!$O$5:$O$1004,"&gt;="&amp;$C$3,Programação!$O$5:$O$1004,"&lt;="&amp;$E$3,Programação!$H$5:$H$1004,"&lt;&gt;Extra",Programação!$V$5:$V$1004,"Interna")</f>
        <v>21</v>
      </c>
      <c r="D92" s="114" t="n">
        <f aca="false">IF($B92=0,"",$C92/$B92)</f>
        <v>0.323076923076923</v>
      </c>
      <c r="E92" s="113" t="n">
        <f aca="false">COUNTIFS(Programação!$B$5:$B$1004,"VENCIDA",Programação!$O$5:$O$1004,"&gt;="&amp;$C$3,Programação!$O$5:$O$1004,"&lt;="&amp;$E$3,Programação!$V$5:$V$1004,"Interna")</f>
        <v>1</v>
      </c>
      <c r="F92" s="113" t="n">
        <f aca="false">COUNTIFS(Programação!$O$5:$O$1004,"&gt;="&amp;$C$3,Programação!$O$5:$O$1004,"&lt;="&amp;$E$3,Programação!$H$5:$H$1004,"Extra",Programação!$R$5:$R$1004,"&lt;&gt;Cancelada",Programação!$V$5:$V$1004,"Interna")</f>
        <v>10</v>
      </c>
      <c r="H92" s="23" t="str">
        <f aca="false">IF(Listas!B23="","",Listas!B23)</f>
        <v>F-433</v>
      </c>
      <c r="I92" s="81" t="n">
        <f aca="false">IF($H92="","",COUNTIFS(Programação!$D$5:$D$1004,$H92,Programação!$O$5:$O$1004,"&gt;="&amp;$C$3,Programação!$O$5:$O$1004,"&lt;="&amp;$E$3,Programação!$R$5:$R$1004,"&lt;&gt;Cancelada",Programação!$V$5:$V$1004,"Interna",Programação!$H$5:$H$1004,"&lt;&gt;Extra"))</f>
        <v>0</v>
      </c>
      <c r="J92" s="81" t="n">
        <f aca="false">IF($H92="","",SUMIFS(Programação!$AB$5:$AB$1004,Programação!$D$5:$D$1004,$H92,Programação!$O$5:$O$1004,"&gt;="&amp;$C$3,Programação!$O$5:$O$1004,"&lt;="&amp;$E$3,Programação!$H$5:$H$1004,"&lt;&gt;Extra",Programação!$V$5:$V$1004,"Interna"))</f>
        <v>0</v>
      </c>
      <c r="K92" s="82" t="str">
        <f aca="false">IF(OR($H92="",$I92=0),"",$J92/$I92)</f>
        <v/>
      </c>
      <c r="L92" s="81" t="n">
        <f aca="false">IF($H92="","",COUNTIFS(Programação!$D$5:$D$1004,$H92,Programação!$B$5:$B$1004,"VENCIDA",Programação!$O$5:$O$1004,"&gt;="&amp;$C$3,Programação!$O$5:$O$1004,"&lt;="&amp;$E$3,Programação!$V$5:$V$1004,"Interna"))</f>
        <v>0</v>
      </c>
      <c r="M92" s="81" t="n">
        <f aca="false">IF($H92="","",COUNTIFS(Programação!$D$5:$D$1004,$H92,Programação!$O$5:$O$1004,"&gt;="&amp;$C$3,Programação!$O$5:$O$1004,"&lt;="&amp;$E$3,Programação!$H$5:$H$1004,"Extra",Programação!$R$5:$R$1004,"&lt;&gt;Cancelada",Programação!$V$5:$V$1004,"Interna"))</f>
        <v>0</v>
      </c>
    </row>
    <row r="93" customFormat="false" ht="15.75" hidden="false" customHeight="true" outlineLevel="0" collapsed="false">
      <c r="H93" s="23" t="str">
        <f aca="false">IF(Listas!B24="","",Listas!B24)</f>
        <v>F-434</v>
      </c>
      <c r="I93" s="81" t="n">
        <f aca="false">IF($H93="","",COUNTIFS(Programação!$D$5:$D$1004,$H93,Programação!$O$5:$O$1004,"&gt;="&amp;$C$3,Programação!$O$5:$O$1004,"&lt;="&amp;$E$3,Programação!$R$5:$R$1004,"&lt;&gt;Cancelada",Programação!$V$5:$V$1004,"Interna",Programação!$H$5:$H$1004,"&lt;&gt;Extra"))</f>
        <v>0</v>
      </c>
      <c r="J93" s="81" t="n">
        <f aca="false">IF($H93="","",SUMIFS(Programação!$AB$5:$AB$1004,Programação!$D$5:$D$1004,$H93,Programação!$O$5:$O$1004,"&gt;="&amp;$C$3,Programação!$O$5:$O$1004,"&lt;="&amp;$E$3,Programação!$H$5:$H$1004,"&lt;&gt;Extra",Programação!$V$5:$V$1004,"Interna"))</f>
        <v>0</v>
      </c>
      <c r="K93" s="82" t="str">
        <f aca="false">IF(OR($H93="",$I93=0),"",$J93/$I93)</f>
        <v/>
      </c>
      <c r="L93" s="81" t="n">
        <f aca="false">IF($H93="","",COUNTIFS(Programação!$D$5:$D$1004,$H93,Programação!$B$5:$B$1004,"VENCIDA",Programação!$O$5:$O$1004,"&gt;="&amp;$C$3,Programação!$O$5:$O$1004,"&lt;="&amp;$E$3,Programação!$V$5:$V$1004,"Interna"))</f>
        <v>0</v>
      </c>
      <c r="M93" s="81" t="n">
        <f aca="false">IF($H93="","",COUNTIFS(Programação!$D$5:$D$1004,$H93,Programação!$O$5:$O$1004,"&gt;="&amp;$C$3,Programação!$O$5:$O$1004,"&lt;="&amp;$E$3,Programação!$H$5:$H$1004,"Extra",Programação!$R$5:$R$1004,"&lt;&gt;Cancelada",Programação!$V$5:$V$1004,"Interna"))</f>
        <v>1</v>
      </c>
    </row>
    <row r="94" customFormat="false" ht="15.75" hidden="false" customHeight="true" outlineLevel="0" collapsed="false">
      <c r="H94" s="23" t="str">
        <f aca="false">IF(Listas!B25="","",Listas!B25)</f>
        <v>F-457</v>
      </c>
      <c r="I94" s="81" t="n">
        <f aca="false">IF($H94="","",COUNTIFS(Programação!$D$5:$D$1004,$H94,Programação!$O$5:$O$1004,"&gt;="&amp;$C$3,Programação!$O$5:$O$1004,"&lt;="&amp;$E$3,Programação!$R$5:$R$1004,"&lt;&gt;Cancelada",Programação!$V$5:$V$1004,"Interna",Programação!$H$5:$H$1004,"&lt;&gt;Extra"))</f>
        <v>0</v>
      </c>
      <c r="J94" s="81" t="n">
        <f aca="false">IF($H94="","",SUMIFS(Programação!$AB$5:$AB$1004,Programação!$D$5:$D$1004,$H94,Programação!$O$5:$O$1004,"&gt;="&amp;$C$3,Programação!$O$5:$O$1004,"&lt;="&amp;$E$3,Programação!$H$5:$H$1004,"&lt;&gt;Extra",Programação!$V$5:$V$1004,"Interna"))</f>
        <v>0</v>
      </c>
      <c r="K94" s="82" t="str">
        <f aca="false">IF(OR($H94="",$I94=0),"",$J94/$I94)</f>
        <v/>
      </c>
      <c r="L94" s="81" t="n">
        <f aca="false">IF($H94="","",COUNTIFS(Programação!$D$5:$D$1004,$H94,Programação!$B$5:$B$1004,"VENCIDA",Programação!$O$5:$O$1004,"&gt;="&amp;$C$3,Programação!$O$5:$O$1004,"&lt;="&amp;$E$3,Programação!$V$5:$V$1004,"Interna"))</f>
        <v>0</v>
      </c>
      <c r="M94" s="81" t="n">
        <f aca="false">IF($H94="","",COUNTIFS(Programação!$D$5:$D$1004,$H94,Programação!$O$5:$O$1004,"&gt;="&amp;$C$3,Programação!$O$5:$O$1004,"&lt;="&amp;$E$3,Programação!$H$5:$H$1004,"Extra",Programação!$R$5:$R$1004,"&lt;&gt;Cancelada",Programação!$V$5:$V$1004,"Interna"))</f>
        <v>0</v>
      </c>
    </row>
    <row r="95" customFormat="false" ht="15.75" hidden="false" customHeight="true" outlineLevel="0" collapsed="false">
      <c r="H95" s="23" t="str">
        <f aca="false">IF(Listas!B26="","",Listas!B26)</f>
        <v>F-458</v>
      </c>
      <c r="I95" s="81" t="n">
        <f aca="false">IF($H95="","",COUNTIFS(Programação!$D$5:$D$1004,$H95,Programação!$O$5:$O$1004,"&gt;="&amp;$C$3,Programação!$O$5:$O$1004,"&lt;="&amp;$E$3,Programação!$R$5:$R$1004,"&lt;&gt;Cancelada",Programação!$V$5:$V$1004,"Interna",Programação!$H$5:$H$1004,"&lt;&gt;Extra"))</f>
        <v>0</v>
      </c>
      <c r="J95" s="81" t="n">
        <f aca="false">IF($H95="","",SUMIFS(Programação!$AB$5:$AB$1004,Programação!$D$5:$D$1004,$H95,Programação!$O$5:$O$1004,"&gt;="&amp;$C$3,Programação!$O$5:$O$1004,"&lt;="&amp;$E$3,Programação!$H$5:$H$1004,"&lt;&gt;Extra",Programação!$V$5:$V$1004,"Interna"))</f>
        <v>0</v>
      </c>
      <c r="K95" s="82" t="str">
        <f aca="false">IF(OR($H95="",$I95=0),"",$J95/$I95)</f>
        <v/>
      </c>
      <c r="L95" s="81" t="n">
        <f aca="false">IF($H95="","",COUNTIFS(Programação!$D$5:$D$1004,$H95,Programação!$B$5:$B$1004,"VENCIDA",Programação!$O$5:$O$1004,"&gt;="&amp;$C$3,Programação!$O$5:$O$1004,"&lt;="&amp;$E$3,Programação!$V$5:$V$1004,"Interna"))</f>
        <v>0</v>
      </c>
      <c r="M95" s="81" t="n">
        <f aca="false">IF($H95="","",COUNTIFS(Programação!$D$5:$D$1004,$H95,Programação!$O$5:$O$1004,"&gt;="&amp;$C$3,Programação!$O$5:$O$1004,"&lt;="&amp;$E$3,Programação!$H$5:$H$1004,"Extra",Programação!$R$5:$R$1004,"&lt;&gt;Cancelada",Programação!$V$5:$V$1004,"Interna"))</f>
        <v>0</v>
      </c>
    </row>
    <row r="96" customFormat="false" ht="15.75" hidden="false" customHeight="true" outlineLevel="0" collapsed="false">
      <c r="H96" s="23" t="str">
        <f aca="false">IF(Listas!B27="","",Listas!B27)</f>
        <v>F-485</v>
      </c>
      <c r="I96" s="81" t="n">
        <f aca="false">IF($H96="","",COUNTIFS(Programação!$D$5:$D$1004,$H96,Programação!$O$5:$O$1004,"&gt;="&amp;$C$3,Programação!$O$5:$O$1004,"&lt;="&amp;$E$3,Programação!$R$5:$R$1004,"&lt;&gt;Cancelada",Programação!$V$5:$V$1004,"Interna",Programação!$H$5:$H$1004,"&lt;&gt;Extra"))</f>
        <v>0</v>
      </c>
      <c r="J96" s="81" t="n">
        <f aca="false">IF($H96="","",SUMIFS(Programação!$AB$5:$AB$1004,Programação!$D$5:$D$1004,$H96,Programação!$O$5:$O$1004,"&gt;="&amp;$C$3,Programação!$O$5:$O$1004,"&lt;="&amp;$E$3,Programação!$H$5:$H$1004,"&lt;&gt;Extra",Programação!$V$5:$V$1004,"Interna"))</f>
        <v>0</v>
      </c>
      <c r="K96" s="82" t="str">
        <f aca="false">IF(OR($H96="",$I96=0),"",$J96/$I96)</f>
        <v/>
      </c>
      <c r="L96" s="81" t="n">
        <f aca="false">IF($H96="","",COUNTIFS(Programação!$D$5:$D$1004,$H96,Programação!$B$5:$B$1004,"VENCIDA",Programação!$O$5:$O$1004,"&gt;="&amp;$C$3,Programação!$O$5:$O$1004,"&lt;="&amp;$E$3,Programação!$V$5:$V$1004,"Interna"))</f>
        <v>0</v>
      </c>
      <c r="M96" s="81" t="n">
        <f aca="false">IF($H96="","",COUNTIFS(Programação!$D$5:$D$1004,$H96,Programação!$O$5:$O$1004,"&gt;="&amp;$C$3,Programação!$O$5:$O$1004,"&lt;="&amp;$E$3,Programação!$H$5:$H$1004,"Extra",Programação!$R$5:$R$1004,"&lt;&gt;Cancelada",Programação!$V$5:$V$1004,"Interna"))</f>
        <v>0</v>
      </c>
    </row>
    <row r="97" customFormat="false" ht="15.75" hidden="false" customHeight="true" outlineLevel="0" collapsed="false">
      <c r="H97" s="23" t="str">
        <f aca="false">IF(Listas!B28="","",Listas!B28)</f>
        <v>F-580</v>
      </c>
      <c r="I97" s="81" t="n">
        <f aca="false">IF($H97="","",COUNTIFS(Programação!$D$5:$D$1004,$H97,Programação!$O$5:$O$1004,"&gt;="&amp;$C$3,Programação!$O$5:$O$1004,"&lt;="&amp;$E$3,Programação!$R$5:$R$1004,"&lt;&gt;Cancelada",Programação!$V$5:$V$1004,"Interna",Programação!$H$5:$H$1004,"&lt;&gt;Extra"))</f>
        <v>0</v>
      </c>
      <c r="J97" s="81" t="n">
        <f aca="false">IF($H97="","",SUMIFS(Programação!$AB$5:$AB$1004,Programação!$D$5:$D$1004,$H97,Programação!$O$5:$O$1004,"&gt;="&amp;$C$3,Programação!$O$5:$O$1004,"&lt;="&amp;$E$3,Programação!$H$5:$H$1004,"&lt;&gt;Extra",Programação!$V$5:$V$1004,"Interna"))</f>
        <v>0</v>
      </c>
      <c r="K97" s="82" t="str">
        <f aca="false">IF(OR($H97="",$I97=0),"",$J97/$I97)</f>
        <v/>
      </c>
      <c r="L97" s="81" t="n">
        <f aca="false">IF($H97="","",COUNTIFS(Programação!$D$5:$D$1004,$H97,Programação!$B$5:$B$1004,"VENCIDA",Programação!$O$5:$O$1004,"&gt;="&amp;$C$3,Programação!$O$5:$O$1004,"&lt;="&amp;$E$3,Programação!$V$5:$V$1004,"Interna"))</f>
        <v>0</v>
      </c>
      <c r="M97" s="81" t="n">
        <f aca="false">IF($H97="","",COUNTIFS(Programação!$D$5:$D$1004,$H97,Programação!$O$5:$O$1004,"&gt;="&amp;$C$3,Programação!$O$5:$O$1004,"&lt;="&amp;$E$3,Programação!$H$5:$H$1004,"Extra",Programação!$R$5:$R$1004,"&lt;&gt;Cancelada",Programação!$V$5:$V$1004,"Interna"))</f>
        <v>1</v>
      </c>
    </row>
    <row r="98" customFormat="false" ht="15.75" hidden="false" customHeight="true" outlineLevel="0" collapsed="false">
      <c r="H98" s="23" t="str">
        <f aca="false">IF(Listas!B29="","",Listas!B29)</f>
        <v>F-614</v>
      </c>
      <c r="I98" s="81" t="n">
        <f aca="false">IF($H98="","",COUNTIFS(Programação!$D$5:$D$1004,$H98,Programação!$O$5:$O$1004,"&gt;="&amp;$C$3,Programação!$O$5:$O$1004,"&lt;="&amp;$E$3,Programação!$R$5:$R$1004,"&lt;&gt;Cancelada",Programação!$V$5:$V$1004,"Interna",Programação!$H$5:$H$1004,"&lt;&gt;Extra"))</f>
        <v>0</v>
      </c>
      <c r="J98" s="81" t="n">
        <f aca="false">IF($H98="","",SUMIFS(Programação!$AB$5:$AB$1004,Programação!$D$5:$D$1004,$H98,Programação!$O$5:$O$1004,"&gt;="&amp;$C$3,Programação!$O$5:$O$1004,"&lt;="&amp;$E$3,Programação!$H$5:$H$1004,"&lt;&gt;Extra",Programação!$V$5:$V$1004,"Interna"))</f>
        <v>0</v>
      </c>
      <c r="K98" s="82" t="str">
        <f aca="false">IF(OR($H98="",$I98=0),"",$J98/$I98)</f>
        <v/>
      </c>
      <c r="L98" s="81" t="n">
        <f aca="false">IF($H98="","",COUNTIFS(Programação!$D$5:$D$1004,$H98,Programação!$B$5:$B$1004,"VENCIDA",Programação!$O$5:$O$1004,"&gt;="&amp;$C$3,Programação!$O$5:$O$1004,"&lt;="&amp;$E$3,Programação!$V$5:$V$1004,"Interna"))</f>
        <v>0</v>
      </c>
      <c r="M98" s="81" t="n">
        <f aca="false">IF($H98="","",COUNTIFS(Programação!$D$5:$D$1004,$H98,Programação!$O$5:$O$1004,"&gt;="&amp;$C$3,Programação!$O$5:$O$1004,"&lt;="&amp;$E$3,Programação!$H$5:$H$1004,"Extra",Programação!$R$5:$R$1004,"&lt;&gt;Cancelada",Programação!$V$5:$V$1004,"Interna"))</f>
        <v>0</v>
      </c>
    </row>
    <row r="99" customFormat="false" ht="15.75" hidden="false" customHeight="true" outlineLevel="0" collapsed="false">
      <c r="H99" s="23" t="str">
        <f aca="false">IF(Listas!B30="","",Listas!B30)</f>
        <v>F-616</v>
      </c>
      <c r="I99" s="81" t="n">
        <f aca="false">IF($H99="","",COUNTIFS(Programação!$D$5:$D$1004,$H99,Programação!$O$5:$O$1004,"&gt;="&amp;$C$3,Programação!$O$5:$O$1004,"&lt;="&amp;$E$3,Programação!$R$5:$R$1004,"&lt;&gt;Cancelada",Programação!$V$5:$V$1004,"Interna",Programação!$H$5:$H$1004,"&lt;&gt;Extra"))</f>
        <v>0</v>
      </c>
      <c r="J99" s="81" t="n">
        <f aca="false">IF($H99="","",SUMIFS(Programação!$AB$5:$AB$1004,Programação!$D$5:$D$1004,$H99,Programação!$O$5:$O$1004,"&gt;="&amp;$C$3,Programação!$O$5:$O$1004,"&lt;="&amp;$E$3,Programação!$H$5:$H$1004,"&lt;&gt;Extra",Programação!$V$5:$V$1004,"Interna"))</f>
        <v>0</v>
      </c>
      <c r="K99" s="82" t="str">
        <f aca="false">IF(OR($H99="",$I99=0),"",$J99/$I99)</f>
        <v/>
      </c>
      <c r="L99" s="81" t="n">
        <f aca="false">IF($H99="","",COUNTIFS(Programação!$D$5:$D$1004,$H99,Programação!$B$5:$B$1004,"VENCIDA",Programação!$O$5:$O$1004,"&gt;="&amp;$C$3,Programação!$O$5:$O$1004,"&lt;="&amp;$E$3,Programação!$V$5:$V$1004,"Interna"))</f>
        <v>0</v>
      </c>
      <c r="M99" s="81" t="n">
        <f aca="false">IF($H99="","",COUNTIFS(Programação!$D$5:$D$1004,$H99,Programação!$O$5:$O$1004,"&gt;="&amp;$C$3,Programação!$O$5:$O$1004,"&lt;="&amp;$E$3,Programação!$H$5:$H$1004,"Extra",Programação!$R$5:$R$1004,"&lt;&gt;Cancelada",Programação!$V$5:$V$1004,"Interna"))</f>
        <v>0</v>
      </c>
    </row>
    <row r="100" customFormat="false" ht="15.75" hidden="false" customHeight="true" outlineLevel="0" collapsed="false">
      <c r="H100" s="23" t="str">
        <f aca="false">IF(Listas!B31="","",Listas!B31)</f>
        <v>F-617</v>
      </c>
      <c r="I100" s="81" t="n">
        <f aca="false">IF($H100="","",COUNTIFS(Programação!$D$5:$D$1004,$H100,Programação!$O$5:$O$1004,"&gt;="&amp;$C$3,Programação!$O$5:$O$1004,"&lt;="&amp;$E$3,Programação!$R$5:$R$1004,"&lt;&gt;Cancelada",Programação!$V$5:$V$1004,"Interna",Programação!$H$5:$H$1004,"&lt;&gt;Extra"))</f>
        <v>0</v>
      </c>
      <c r="J100" s="81" t="n">
        <f aca="false">IF($H100="","",SUMIFS(Programação!$AB$5:$AB$1004,Programação!$D$5:$D$1004,$H100,Programação!$O$5:$O$1004,"&gt;="&amp;$C$3,Programação!$O$5:$O$1004,"&lt;="&amp;$E$3,Programação!$H$5:$H$1004,"&lt;&gt;Extra",Programação!$V$5:$V$1004,"Interna"))</f>
        <v>0</v>
      </c>
      <c r="K100" s="82" t="str">
        <f aca="false">IF(OR($H100="",$I100=0),"",$J100/$I100)</f>
        <v/>
      </c>
      <c r="L100" s="81" t="n">
        <f aca="false">IF($H100="","",COUNTIFS(Programação!$D$5:$D$1004,$H100,Programação!$B$5:$B$1004,"VENCIDA",Programação!$O$5:$O$1004,"&gt;="&amp;$C$3,Programação!$O$5:$O$1004,"&lt;="&amp;$E$3,Programação!$V$5:$V$1004,"Interna"))</f>
        <v>0</v>
      </c>
      <c r="M100" s="81" t="n">
        <f aca="false">IF($H100="","",COUNTIFS(Programação!$D$5:$D$1004,$H100,Programação!$O$5:$O$1004,"&gt;="&amp;$C$3,Programação!$O$5:$O$1004,"&lt;="&amp;$E$3,Programação!$H$5:$H$1004,"Extra",Programação!$R$5:$R$1004,"&lt;&gt;Cancelada",Programação!$V$5:$V$1004,"Interna"))</f>
        <v>0</v>
      </c>
    </row>
    <row r="101" customFormat="false" ht="15.75" hidden="false" customHeight="true" outlineLevel="0" collapsed="false">
      <c r="H101" s="23" t="str">
        <f aca="false">IF(Listas!B32="","",Listas!B32)</f>
        <v>F-618</v>
      </c>
      <c r="I101" s="81" t="n">
        <f aca="false">IF($H101="","",COUNTIFS(Programação!$D$5:$D$1004,$H101,Programação!$O$5:$O$1004,"&gt;="&amp;$C$3,Programação!$O$5:$O$1004,"&lt;="&amp;$E$3,Programação!$R$5:$R$1004,"&lt;&gt;Cancelada",Programação!$V$5:$V$1004,"Interna",Programação!$H$5:$H$1004,"&lt;&gt;Extra"))</f>
        <v>2</v>
      </c>
      <c r="J101" s="81" t="n">
        <f aca="false">IF($H101="","",SUMIFS(Programação!$AB$5:$AB$1004,Programação!$D$5:$D$1004,$H101,Programação!$O$5:$O$1004,"&gt;="&amp;$C$3,Programação!$O$5:$O$1004,"&lt;="&amp;$E$3,Programação!$H$5:$H$1004,"&lt;&gt;Extra",Programação!$V$5:$V$1004,"Interna"))</f>
        <v>0</v>
      </c>
      <c r="K101" s="82" t="n">
        <f aca="false">IF(OR($H101="",$I101=0),"",$J101/$I101)</f>
        <v>0</v>
      </c>
      <c r="L101" s="81" t="n">
        <f aca="false">IF($H101="","",COUNTIFS(Programação!$D$5:$D$1004,$H101,Programação!$B$5:$B$1004,"VENCIDA",Programação!$O$5:$O$1004,"&gt;="&amp;$C$3,Programação!$O$5:$O$1004,"&lt;="&amp;$E$3,Programação!$V$5:$V$1004,"Interna"))</f>
        <v>0</v>
      </c>
      <c r="M101" s="81" t="n">
        <f aca="false">IF($H101="","",COUNTIFS(Programação!$D$5:$D$1004,$H101,Programação!$O$5:$O$1004,"&gt;="&amp;$C$3,Programação!$O$5:$O$1004,"&lt;="&amp;$E$3,Programação!$H$5:$H$1004,"Extra",Programação!$R$5:$R$1004,"&lt;&gt;Cancelada",Programação!$V$5:$V$1004,"Interna"))</f>
        <v>0</v>
      </c>
    </row>
    <row r="102" customFormat="false" ht="15.75" hidden="false" customHeight="true" outlineLevel="0" collapsed="false">
      <c r="H102" s="23" t="str">
        <f aca="false">IF(Listas!B33="","",Listas!B33)</f>
        <v>F-621</v>
      </c>
      <c r="I102" s="81" t="n">
        <f aca="false">IF($H102="","",COUNTIFS(Programação!$D$5:$D$1004,$H102,Programação!$O$5:$O$1004,"&gt;="&amp;$C$3,Programação!$O$5:$O$1004,"&lt;="&amp;$E$3,Programação!$R$5:$R$1004,"&lt;&gt;Cancelada",Programação!$V$5:$V$1004,"Interna",Programação!$H$5:$H$1004,"&lt;&gt;Extra"))</f>
        <v>0</v>
      </c>
      <c r="J102" s="81" t="n">
        <f aca="false">IF($H102="","",SUMIFS(Programação!$AB$5:$AB$1004,Programação!$D$5:$D$1004,$H102,Programação!$O$5:$O$1004,"&gt;="&amp;$C$3,Programação!$O$5:$O$1004,"&lt;="&amp;$E$3,Programação!$H$5:$H$1004,"&lt;&gt;Extra",Programação!$V$5:$V$1004,"Interna"))</f>
        <v>0</v>
      </c>
      <c r="K102" s="82" t="str">
        <f aca="false">IF(OR($H102="",$I102=0),"",$J102/$I102)</f>
        <v/>
      </c>
      <c r="L102" s="81" t="n">
        <f aca="false">IF($H102="","",COUNTIFS(Programação!$D$5:$D$1004,$H102,Programação!$B$5:$B$1004,"VENCIDA",Programação!$O$5:$O$1004,"&gt;="&amp;$C$3,Programação!$O$5:$O$1004,"&lt;="&amp;$E$3,Programação!$V$5:$V$1004,"Interna"))</f>
        <v>0</v>
      </c>
      <c r="M102" s="81" t="n">
        <f aca="false">IF($H102="","",COUNTIFS(Programação!$D$5:$D$1004,$H102,Programação!$O$5:$O$1004,"&gt;="&amp;$C$3,Programação!$O$5:$O$1004,"&lt;="&amp;$E$3,Programação!$H$5:$H$1004,"Extra",Programação!$R$5:$R$1004,"&lt;&gt;Cancelada",Programação!$V$5:$V$1004,"Interna"))</f>
        <v>0</v>
      </c>
    </row>
    <row r="103" customFormat="false" ht="15.75" hidden="false" customHeight="true" outlineLevel="0" collapsed="false">
      <c r="H103" s="23" t="str">
        <f aca="false">IF(Listas!B34="","",Listas!B34)</f>
        <v>F-624</v>
      </c>
      <c r="I103" s="81" t="n">
        <f aca="false">IF($H103="","",COUNTIFS(Programação!$D$5:$D$1004,$H103,Programação!$O$5:$O$1004,"&gt;="&amp;$C$3,Programação!$O$5:$O$1004,"&lt;="&amp;$E$3,Programação!$R$5:$R$1004,"&lt;&gt;Cancelada",Programação!$V$5:$V$1004,"Interna",Programação!$H$5:$H$1004,"&lt;&gt;Extra"))</f>
        <v>0</v>
      </c>
      <c r="J103" s="81" t="n">
        <f aca="false">IF($H103="","",SUMIFS(Programação!$AB$5:$AB$1004,Programação!$D$5:$D$1004,$H103,Programação!$O$5:$O$1004,"&gt;="&amp;$C$3,Programação!$O$5:$O$1004,"&lt;="&amp;$E$3,Programação!$H$5:$H$1004,"&lt;&gt;Extra",Programação!$V$5:$V$1004,"Interna"))</f>
        <v>0</v>
      </c>
      <c r="K103" s="82" t="str">
        <f aca="false">IF(OR($H103="",$I103=0),"",$J103/$I103)</f>
        <v/>
      </c>
      <c r="L103" s="81" t="n">
        <f aca="false">IF($H103="","",COUNTIFS(Programação!$D$5:$D$1004,$H103,Programação!$B$5:$B$1004,"VENCIDA",Programação!$O$5:$O$1004,"&gt;="&amp;$C$3,Programação!$O$5:$O$1004,"&lt;="&amp;$E$3,Programação!$V$5:$V$1004,"Interna"))</f>
        <v>0</v>
      </c>
      <c r="M103" s="81" t="n">
        <f aca="false">IF($H103="","",COUNTIFS(Programação!$D$5:$D$1004,$H103,Programação!$O$5:$O$1004,"&gt;="&amp;$C$3,Programação!$O$5:$O$1004,"&lt;="&amp;$E$3,Programação!$H$5:$H$1004,"Extra",Programação!$R$5:$R$1004,"&lt;&gt;Cancelada",Programação!$V$5:$V$1004,"Interna"))</f>
        <v>0</v>
      </c>
    </row>
    <row r="104" customFormat="false" ht="15.75" hidden="false" customHeight="true" outlineLevel="0" collapsed="false">
      <c r="H104" s="23" t="str">
        <f aca="false">IF(Listas!B35="","",Listas!B35)</f>
        <v>F-626</v>
      </c>
      <c r="I104" s="81" t="n">
        <f aca="false">IF($H104="","",COUNTIFS(Programação!$D$5:$D$1004,$H104,Programação!$O$5:$O$1004,"&gt;="&amp;$C$3,Programação!$O$5:$O$1004,"&lt;="&amp;$E$3,Programação!$R$5:$R$1004,"&lt;&gt;Cancelada",Programação!$V$5:$V$1004,"Interna",Programação!$H$5:$H$1004,"&lt;&gt;Extra"))</f>
        <v>0</v>
      </c>
      <c r="J104" s="81" t="n">
        <f aca="false">IF($H104="","",SUMIFS(Programação!$AB$5:$AB$1004,Programação!$D$5:$D$1004,$H104,Programação!$O$5:$O$1004,"&gt;="&amp;$C$3,Programação!$O$5:$O$1004,"&lt;="&amp;$E$3,Programação!$H$5:$H$1004,"&lt;&gt;Extra",Programação!$V$5:$V$1004,"Interna"))</f>
        <v>0</v>
      </c>
      <c r="K104" s="82" t="str">
        <f aca="false">IF(OR($H104="",$I104=0),"",$J104/$I104)</f>
        <v/>
      </c>
      <c r="L104" s="81" t="n">
        <f aca="false">IF($H104="","",COUNTIFS(Programação!$D$5:$D$1004,$H104,Programação!$B$5:$B$1004,"VENCIDA",Programação!$O$5:$O$1004,"&gt;="&amp;$C$3,Programação!$O$5:$O$1004,"&lt;="&amp;$E$3,Programação!$V$5:$V$1004,"Interna"))</f>
        <v>0</v>
      </c>
      <c r="M104" s="81" t="n">
        <f aca="false">IF($H104="","",COUNTIFS(Programação!$D$5:$D$1004,$H104,Programação!$O$5:$O$1004,"&gt;="&amp;$C$3,Programação!$O$5:$O$1004,"&lt;="&amp;$E$3,Programação!$H$5:$H$1004,"Extra",Programação!$R$5:$R$1004,"&lt;&gt;Cancelada",Programação!$V$5:$V$1004,"Interna"))</f>
        <v>0</v>
      </c>
    </row>
    <row r="105" customFormat="false" ht="15.75" hidden="false" customHeight="true" outlineLevel="0" collapsed="false">
      <c r="H105" s="23" t="str">
        <f aca="false">IF(Listas!B36="","",Listas!B36)</f>
        <v>F-627</v>
      </c>
      <c r="I105" s="81" t="n">
        <f aca="false">IF($H105="","",COUNTIFS(Programação!$D$5:$D$1004,$H105,Programação!$O$5:$O$1004,"&gt;="&amp;$C$3,Programação!$O$5:$O$1004,"&lt;="&amp;$E$3,Programação!$R$5:$R$1004,"&lt;&gt;Cancelada",Programação!$V$5:$V$1004,"Interna",Programação!$H$5:$H$1004,"&lt;&gt;Extra"))</f>
        <v>0</v>
      </c>
      <c r="J105" s="81" t="n">
        <f aca="false">IF($H105="","",SUMIFS(Programação!$AB$5:$AB$1004,Programação!$D$5:$D$1004,$H105,Programação!$O$5:$O$1004,"&gt;="&amp;$C$3,Programação!$O$5:$O$1004,"&lt;="&amp;$E$3,Programação!$H$5:$H$1004,"&lt;&gt;Extra",Programação!$V$5:$V$1004,"Interna"))</f>
        <v>0</v>
      </c>
      <c r="K105" s="82" t="str">
        <f aca="false">IF(OR($H105="",$I105=0),"",$J105/$I105)</f>
        <v/>
      </c>
      <c r="L105" s="81" t="n">
        <f aca="false">IF($H105="","",COUNTIFS(Programação!$D$5:$D$1004,$H105,Programação!$B$5:$B$1004,"VENCIDA",Programação!$O$5:$O$1004,"&gt;="&amp;$C$3,Programação!$O$5:$O$1004,"&lt;="&amp;$E$3,Programação!$V$5:$V$1004,"Interna"))</f>
        <v>0</v>
      </c>
      <c r="M105" s="81" t="n">
        <f aca="false">IF($H105="","",COUNTIFS(Programação!$D$5:$D$1004,$H105,Programação!$O$5:$O$1004,"&gt;="&amp;$C$3,Programação!$O$5:$O$1004,"&lt;="&amp;$E$3,Programação!$H$5:$H$1004,"Extra",Programação!$R$5:$R$1004,"&lt;&gt;Cancelada",Programação!$V$5:$V$1004,"Interna"))</f>
        <v>0</v>
      </c>
    </row>
    <row r="106" customFormat="false" ht="15.75" hidden="false" customHeight="true" outlineLevel="0" collapsed="false">
      <c r="H106" s="23" t="str">
        <f aca="false">IF(Listas!B37="","",Listas!B37)</f>
        <v>F-696</v>
      </c>
      <c r="I106" s="81" t="n">
        <f aca="false">IF($H106="","",COUNTIFS(Programação!$D$5:$D$1004,$H106,Programação!$O$5:$O$1004,"&gt;="&amp;$C$3,Programação!$O$5:$O$1004,"&lt;="&amp;$E$3,Programação!$R$5:$R$1004,"&lt;&gt;Cancelada",Programação!$V$5:$V$1004,"Interna",Programação!$H$5:$H$1004,"&lt;&gt;Extra"))</f>
        <v>0</v>
      </c>
      <c r="J106" s="81" t="n">
        <f aca="false">IF($H106="","",SUMIFS(Programação!$AB$5:$AB$1004,Programação!$D$5:$D$1004,$H106,Programação!$O$5:$O$1004,"&gt;="&amp;$C$3,Programação!$O$5:$O$1004,"&lt;="&amp;$E$3,Programação!$H$5:$H$1004,"&lt;&gt;Extra",Programação!$V$5:$V$1004,"Interna"))</f>
        <v>0</v>
      </c>
      <c r="K106" s="82" t="str">
        <f aca="false">IF(OR($H106="",$I106=0),"",$J106/$I106)</f>
        <v/>
      </c>
      <c r="L106" s="81" t="n">
        <f aca="false">IF($H106="","",COUNTIFS(Programação!$D$5:$D$1004,$H106,Programação!$B$5:$B$1004,"VENCIDA",Programação!$O$5:$O$1004,"&gt;="&amp;$C$3,Programação!$O$5:$O$1004,"&lt;="&amp;$E$3,Programação!$V$5:$V$1004,"Interna"))</f>
        <v>0</v>
      </c>
      <c r="M106" s="81" t="n">
        <f aca="false">IF($H106="","",COUNTIFS(Programação!$D$5:$D$1004,$H106,Programação!$O$5:$O$1004,"&gt;="&amp;$C$3,Programação!$O$5:$O$1004,"&lt;="&amp;$E$3,Programação!$H$5:$H$1004,"Extra",Programação!$R$5:$R$1004,"&lt;&gt;Cancelada",Programação!$V$5:$V$1004,"Interna"))</f>
        <v>0</v>
      </c>
    </row>
    <row r="107" customFormat="false" ht="15.75" hidden="false" customHeight="true" outlineLevel="0" collapsed="false">
      <c r="H107" s="23" t="str">
        <f aca="false">IF(Listas!B38="","",Listas!B38)</f>
        <v>F-711</v>
      </c>
      <c r="I107" s="81" t="n">
        <f aca="false">IF($H107="","",COUNTIFS(Programação!$D$5:$D$1004,$H107,Programação!$O$5:$O$1004,"&gt;="&amp;$C$3,Programação!$O$5:$O$1004,"&lt;="&amp;$E$3,Programação!$R$5:$R$1004,"&lt;&gt;Cancelada",Programação!$V$5:$V$1004,"Interna",Programação!$H$5:$H$1004,"&lt;&gt;Extra"))</f>
        <v>0</v>
      </c>
      <c r="J107" s="81" t="n">
        <f aca="false">IF($H107="","",SUMIFS(Programação!$AB$5:$AB$1004,Programação!$D$5:$D$1004,$H107,Programação!$O$5:$O$1004,"&gt;="&amp;$C$3,Programação!$O$5:$O$1004,"&lt;="&amp;$E$3,Programação!$H$5:$H$1004,"&lt;&gt;Extra",Programação!$V$5:$V$1004,"Interna"))</f>
        <v>0</v>
      </c>
      <c r="K107" s="82" t="str">
        <f aca="false">IF(OR($H107="",$I107=0),"",$J107/$I107)</f>
        <v/>
      </c>
      <c r="L107" s="81" t="n">
        <f aca="false">IF($H107="","",COUNTIFS(Programação!$D$5:$D$1004,$H107,Programação!$B$5:$B$1004,"VENCIDA",Programação!$O$5:$O$1004,"&gt;="&amp;$C$3,Programação!$O$5:$O$1004,"&lt;="&amp;$E$3,Programação!$V$5:$V$1004,"Interna"))</f>
        <v>0</v>
      </c>
      <c r="M107" s="81" t="n">
        <f aca="false">IF($H107="","",COUNTIFS(Programação!$D$5:$D$1004,$H107,Programação!$O$5:$O$1004,"&gt;="&amp;$C$3,Programação!$O$5:$O$1004,"&lt;="&amp;$E$3,Programação!$H$5:$H$1004,"Extra",Programação!$R$5:$R$1004,"&lt;&gt;Cancelada",Programação!$V$5:$V$1004,"Interna"))</f>
        <v>0</v>
      </c>
    </row>
    <row r="108" customFormat="false" ht="15.75" hidden="false" customHeight="true" outlineLevel="0" collapsed="false">
      <c r="H108" s="23" t="str">
        <f aca="false">IF(Listas!B39="","",Listas!B39)</f>
        <v>F-744</v>
      </c>
      <c r="I108" s="81" t="n">
        <f aca="false">IF($H108="","",COUNTIFS(Programação!$D$5:$D$1004,$H108,Programação!$O$5:$O$1004,"&gt;="&amp;$C$3,Programação!$O$5:$O$1004,"&lt;="&amp;$E$3,Programação!$R$5:$R$1004,"&lt;&gt;Cancelada",Programação!$V$5:$V$1004,"Interna",Programação!$H$5:$H$1004,"&lt;&gt;Extra"))</f>
        <v>0</v>
      </c>
      <c r="J108" s="81" t="n">
        <f aca="false">IF($H108="","",SUMIFS(Programação!$AB$5:$AB$1004,Programação!$D$5:$D$1004,$H108,Programação!$O$5:$O$1004,"&gt;="&amp;$C$3,Programação!$O$5:$O$1004,"&lt;="&amp;$E$3,Programação!$H$5:$H$1004,"&lt;&gt;Extra",Programação!$V$5:$V$1004,"Interna"))</f>
        <v>0</v>
      </c>
      <c r="K108" s="82" t="str">
        <f aca="false">IF(OR($H108="",$I108=0),"",$J108/$I108)</f>
        <v/>
      </c>
      <c r="L108" s="81" t="n">
        <f aca="false">IF($H108="","",COUNTIFS(Programação!$D$5:$D$1004,$H108,Programação!$B$5:$B$1004,"VENCIDA",Programação!$O$5:$O$1004,"&gt;="&amp;$C$3,Programação!$O$5:$O$1004,"&lt;="&amp;$E$3,Programação!$V$5:$V$1004,"Interna"))</f>
        <v>0</v>
      </c>
      <c r="M108" s="81" t="n">
        <f aca="false">IF($H108="","",COUNTIFS(Programação!$D$5:$D$1004,$H108,Programação!$O$5:$O$1004,"&gt;="&amp;$C$3,Programação!$O$5:$O$1004,"&lt;="&amp;$E$3,Programação!$H$5:$H$1004,"Extra",Programação!$R$5:$R$1004,"&lt;&gt;Cancelada",Programação!$V$5:$V$1004,"Interna"))</f>
        <v>1</v>
      </c>
    </row>
    <row r="109" customFormat="false" ht="15.75" hidden="false" customHeight="true" outlineLevel="0" collapsed="false">
      <c r="H109" s="23" t="str">
        <f aca="false">IF(Listas!B40="","",Listas!B40)</f>
        <v>F-745</v>
      </c>
      <c r="I109" s="81" t="n">
        <f aca="false">IF($H109="","",COUNTIFS(Programação!$D$5:$D$1004,$H109,Programação!$O$5:$O$1004,"&gt;="&amp;$C$3,Programação!$O$5:$O$1004,"&lt;="&amp;$E$3,Programação!$R$5:$R$1004,"&lt;&gt;Cancelada",Programação!$V$5:$V$1004,"Interna",Programação!$H$5:$H$1004,"&lt;&gt;Extra"))</f>
        <v>0</v>
      </c>
      <c r="J109" s="81" t="n">
        <f aca="false">IF($H109="","",SUMIFS(Programação!$AB$5:$AB$1004,Programação!$D$5:$D$1004,$H109,Programação!$O$5:$O$1004,"&gt;="&amp;$C$3,Programação!$O$5:$O$1004,"&lt;="&amp;$E$3,Programação!$H$5:$H$1004,"&lt;&gt;Extra",Programação!$V$5:$V$1004,"Interna"))</f>
        <v>0</v>
      </c>
      <c r="K109" s="82" t="str">
        <f aca="false">IF(OR($H109="",$I109=0),"",$J109/$I109)</f>
        <v/>
      </c>
      <c r="L109" s="81" t="n">
        <f aca="false">IF($H109="","",COUNTIFS(Programação!$D$5:$D$1004,$H109,Programação!$B$5:$B$1004,"VENCIDA",Programação!$O$5:$O$1004,"&gt;="&amp;$C$3,Programação!$O$5:$O$1004,"&lt;="&amp;$E$3,Programação!$V$5:$V$1004,"Interna"))</f>
        <v>0</v>
      </c>
      <c r="M109" s="81" t="n">
        <f aca="false">IF($H109="","",COUNTIFS(Programação!$D$5:$D$1004,$H109,Programação!$O$5:$O$1004,"&gt;="&amp;$C$3,Programação!$O$5:$O$1004,"&lt;="&amp;$E$3,Programação!$H$5:$H$1004,"Extra",Programação!$R$5:$R$1004,"&lt;&gt;Cancelada",Programação!$V$5:$V$1004,"Interna"))</f>
        <v>0</v>
      </c>
    </row>
    <row r="110" customFormat="false" ht="15.75" hidden="false" customHeight="true" outlineLevel="0" collapsed="false">
      <c r="H110" s="23" t="str">
        <f aca="false">IF(Listas!B41="","",Listas!B41)</f>
        <v>F-763</v>
      </c>
      <c r="I110" s="81" t="n">
        <f aca="false">IF($H110="","",COUNTIFS(Programação!$D$5:$D$1004,$H110,Programação!$O$5:$O$1004,"&gt;="&amp;$C$3,Programação!$O$5:$O$1004,"&lt;="&amp;$E$3,Programação!$R$5:$R$1004,"&lt;&gt;Cancelada",Programação!$V$5:$V$1004,"Interna",Programação!$H$5:$H$1004,"&lt;&gt;Extra"))</f>
        <v>0</v>
      </c>
      <c r="J110" s="81" t="n">
        <f aca="false">IF($H110="","",SUMIFS(Programação!$AB$5:$AB$1004,Programação!$D$5:$D$1004,$H110,Programação!$O$5:$O$1004,"&gt;="&amp;$C$3,Programação!$O$5:$O$1004,"&lt;="&amp;$E$3,Programação!$H$5:$H$1004,"&lt;&gt;Extra",Programação!$V$5:$V$1004,"Interna"))</f>
        <v>0</v>
      </c>
      <c r="K110" s="82" t="str">
        <f aca="false">IF(OR($H110="",$I110=0),"",$J110/$I110)</f>
        <v/>
      </c>
      <c r="L110" s="81" t="n">
        <f aca="false">IF($H110="","",COUNTIFS(Programação!$D$5:$D$1004,$H110,Programação!$B$5:$B$1004,"VENCIDA",Programação!$O$5:$O$1004,"&gt;="&amp;$C$3,Programação!$O$5:$O$1004,"&lt;="&amp;$E$3,Programação!$V$5:$V$1004,"Interna"))</f>
        <v>0</v>
      </c>
      <c r="M110" s="81" t="n">
        <f aca="false">IF($H110="","",COUNTIFS(Programação!$D$5:$D$1004,$H110,Programação!$O$5:$O$1004,"&gt;="&amp;$C$3,Programação!$O$5:$O$1004,"&lt;="&amp;$E$3,Programação!$H$5:$H$1004,"Extra",Programação!$R$5:$R$1004,"&lt;&gt;Cancelada",Programação!$V$5:$V$1004,"Interna"))</f>
        <v>0</v>
      </c>
    </row>
    <row r="111" customFormat="false" ht="15.75" hidden="false" customHeight="true" outlineLevel="0" collapsed="false">
      <c r="H111" s="23" t="str">
        <f aca="false">IF(Listas!B42="","",Listas!B42)</f>
        <v>F-789</v>
      </c>
      <c r="I111" s="81" t="n">
        <f aca="false">IF($H111="","",COUNTIFS(Programação!$D$5:$D$1004,$H111,Programação!$O$5:$O$1004,"&gt;="&amp;$C$3,Programação!$O$5:$O$1004,"&lt;="&amp;$E$3,Programação!$R$5:$R$1004,"&lt;&gt;Cancelada",Programação!$V$5:$V$1004,"Interna",Programação!$H$5:$H$1004,"&lt;&gt;Extra"))</f>
        <v>0</v>
      </c>
      <c r="J111" s="81" t="n">
        <f aca="false">IF($H111="","",SUMIFS(Programação!$AB$5:$AB$1004,Programação!$D$5:$D$1004,$H111,Programação!$O$5:$O$1004,"&gt;="&amp;$C$3,Programação!$O$5:$O$1004,"&lt;="&amp;$E$3,Programação!$H$5:$H$1004,"&lt;&gt;Extra",Programação!$V$5:$V$1004,"Interna"))</f>
        <v>0</v>
      </c>
      <c r="K111" s="82" t="str">
        <f aca="false">IF(OR($H111="",$I111=0),"",$J111/$I111)</f>
        <v/>
      </c>
      <c r="L111" s="81" t="n">
        <f aca="false">IF($H111="","",COUNTIFS(Programação!$D$5:$D$1004,$H111,Programação!$B$5:$B$1004,"VENCIDA",Programação!$O$5:$O$1004,"&gt;="&amp;$C$3,Programação!$O$5:$O$1004,"&lt;="&amp;$E$3,Programação!$V$5:$V$1004,"Interna"))</f>
        <v>0</v>
      </c>
      <c r="M111" s="81" t="n">
        <f aca="false">IF($H111="","",COUNTIFS(Programação!$D$5:$D$1004,$H111,Programação!$O$5:$O$1004,"&gt;="&amp;$C$3,Programação!$O$5:$O$1004,"&lt;="&amp;$E$3,Programação!$H$5:$H$1004,"Extra",Programação!$R$5:$R$1004,"&lt;&gt;Cancelada",Programação!$V$5:$V$1004,"Interna"))</f>
        <v>0</v>
      </c>
    </row>
    <row r="112" customFormat="false" ht="15.75" hidden="false" customHeight="true" outlineLevel="0" collapsed="false">
      <c r="H112" s="23" t="str">
        <f aca="false">IF(Listas!B43="","",Listas!B43)</f>
        <v>F-814</v>
      </c>
      <c r="I112" s="81" t="n">
        <f aca="false">IF($H112="","",COUNTIFS(Programação!$D$5:$D$1004,$H112,Programação!$O$5:$O$1004,"&gt;="&amp;$C$3,Programação!$O$5:$O$1004,"&lt;="&amp;$E$3,Programação!$R$5:$R$1004,"&lt;&gt;Cancelada",Programação!$V$5:$V$1004,"Interna",Programação!$H$5:$H$1004,"&lt;&gt;Extra"))</f>
        <v>4</v>
      </c>
      <c r="J112" s="81" t="n">
        <f aca="false">IF($H112="","",SUMIFS(Programação!$AB$5:$AB$1004,Programação!$D$5:$D$1004,$H112,Programação!$O$5:$O$1004,"&gt;="&amp;$C$3,Programação!$O$5:$O$1004,"&lt;="&amp;$E$3,Programação!$H$5:$H$1004,"&lt;&gt;Extra",Programação!$V$5:$V$1004,"Interna"))</f>
        <v>4</v>
      </c>
      <c r="K112" s="82" t="n">
        <f aca="false">IF(OR($H112="",$I112=0),"",$J112/$I112)</f>
        <v>1</v>
      </c>
      <c r="L112" s="81" t="n">
        <f aca="false">IF($H112="","",COUNTIFS(Programação!$D$5:$D$1004,$H112,Programação!$B$5:$B$1004,"VENCIDA",Programação!$O$5:$O$1004,"&gt;="&amp;$C$3,Programação!$O$5:$O$1004,"&lt;="&amp;$E$3,Programação!$V$5:$V$1004,"Interna"))</f>
        <v>0</v>
      </c>
      <c r="M112" s="81" t="n">
        <f aca="false">IF($H112="","",COUNTIFS(Programação!$D$5:$D$1004,$H112,Programação!$O$5:$O$1004,"&gt;="&amp;$C$3,Programação!$O$5:$O$1004,"&lt;="&amp;$E$3,Programação!$H$5:$H$1004,"Extra",Programação!$R$5:$R$1004,"&lt;&gt;Cancelada",Programação!$V$5:$V$1004,"Interna"))</f>
        <v>0</v>
      </c>
    </row>
    <row r="113" customFormat="false" ht="15.75" hidden="false" customHeight="true" outlineLevel="0" collapsed="false">
      <c r="H113" s="23" t="str">
        <f aca="false">IF(Listas!B44="","",Listas!B44)</f>
        <v>F-815</v>
      </c>
      <c r="I113" s="81" t="n">
        <f aca="false">IF($H113="","",COUNTIFS(Programação!$D$5:$D$1004,$H113,Programação!$O$5:$O$1004,"&gt;="&amp;$C$3,Programação!$O$5:$O$1004,"&lt;="&amp;$E$3,Programação!$R$5:$R$1004,"&lt;&gt;Cancelada",Programação!$V$5:$V$1004,"Interna",Programação!$H$5:$H$1004,"&lt;&gt;Extra"))</f>
        <v>7</v>
      </c>
      <c r="J113" s="81" t="n">
        <f aca="false">IF($H113="","",SUMIFS(Programação!$AB$5:$AB$1004,Programação!$D$5:$D$1004,$H113,Programação!$O$5:$O$1004,"&gt;="&amp;$C$3,Programação!$O$5:$O$1004,"&lt;="&amp;$E$3,Programação!$H$5:$H$1004,"&lt;&gt;Extra",Programação!$V$5:$V$1004,"Interna"))</f>
        <v>2</v>
      </c>
      <c r="K113" s="82" t="n">
        <f aca="false">IF(OR($H113="",$I113=0),"",$J113/$I113)</f>
        <v>0.285714285714286</v>
      </c>
      <c r="L113" s="81" t="n">
        <f aca="false">IF($H113="","",COUNTIFS(Programação!$D$5:$D$1004,$H113,Programação!$B$5:$B$1004,"VENCIDA",Programação!$O$5:$O$1004,"&gt;="&amp;$C$3,Programação!$O$5:$O$1004,"&lt;="&amp;$E$3,Programação!$V$5:$V$1004,"Interna"))</f>
        <v>0</v>
      </c>
      <c r="M113" s="81" t="n">
        <f aca="false">IF($H113="","",COUNTIFS(Programação!$D$5:$D$1004,$H113,Programação!$O$5:$O$1004,"&gt;="&amp;$C$3,Programação!$O$5:$O$1004,"&lt;="&amp;$E$3,Programação!$H$5:$H$1004,"Extra",Programação!$R$5:$R$1004,"&lt;&gt;Cancelada",Programação!$V$5:$V$1004,"Interna"))</f>
        <v>0</v>
      </c>
    </row>
    <row r="114" customFormat="false" ht="15.75" hidden="false" customHeight="true" outlineLevel="0" collapsed="false">
      <c r="H114" s="23" t="str">
        <f aca="false">IF(Listas!B45="","",Listas!B45)</f>
        <v>F-817</v>
      </c>
      <c r="I114" s="81" t="n">
        <f aca="false">IF($H114="","",COUNTIFS(Programação!$D$5:$D$1004,$H114,Programação!$O$5:$O$1004,"&gt;="&amp;$C$3,Programação!$O$5:$O$1004,"&lt;="&amp;$E$3,Programação!$R$5:$R$1004,"&lt;&gt;Cancelada",Programação!$V$5:$V$1004,"Interna",Programação!$H$5:$H$1004,"&lt;&gt;Extra"))</f>
        <v>0</v>
      </c>
      <c r="J114" s="81" t="n">
        <f aca="false">IF($H114="","",SUMIFS(Programação!$AB$5:$AB$1004,Programação!$D$5:$D$1004,$H114,Programação!$O$5:$O$1004,"&gt;="&amp;$C$3,Programação!$O$5:$O$1004,"&lt;="&amp;$E$3,Programação!$H$5:$H$1004,"&lt;&gt;Extra",Programação!$V$5:$V$1004,"Interna"))</f>
        <v>0</v>
      </c>
      <c r="K114" s="82" t="str">
        <f aca="false">IF(OR($H114="",$I114=0),"",$J114/$I114)</f>
        <v/>
      </c>
      <c r="L114" s="81" t="n">
        <f aca="false">IF($H114="","",COUNTIFS(Programação!$D$5:$D$1004,$H114,Programação!$B$5:$B$1004,"VENCIDA",Programação!$O$5:$O$1004,"&gt;="&amp;$C$3,Programação!$O$5:$O$1004,"&lt;="&amp;$E$3,Programação!$V$5:$V$1004,"Interna"))</f>
        <v>0</v>
      </c>
      <c r="M114" s="81" t="n">
        <f aca="false">IF($H114="","",COUNTIFS(Programação!$D$5:$D$1004,$H114,Programação!$O$5:$O$1004,"&gt;="&amp;$C$3,Programação!$O$5:$O$1004,"&lt;="&amp;$E$3,Programação!$H$5:$H$1004,"Extra",Programação!$R$5:$R$1004,"&lt;&gt;Cancelada",Programação!$V$5:$V$1004,"Interna"))</f>
        <v>0</v>
      </c>
    </row>
    <row r="115" customFormat="false" ht="15.75" hidden="false" customHeight="true" outlineLevel="0" collapsed="false">
      <c r="H115" s="23" t="str">
        <f aca="false">IF(Listas!B46="","",Listas!B46)</f>
        <v>F-818</v>
      </c>
      <c r="I115" s="81" t="n">
        <f aca="false">IF($H115="","",COUNTIFS(Programação!$D$5:$D$1004,$H115,Programação!$O$5:$O$1004,"&gt;="&amp;$C$3,Programação!$O$5:$O$1004,"&lt;="&amp;$E$3,Programação!$R$5:$R$1004,"&lt;&gt;Cancelada",Programação!$V$5:$V$1004,"Interna",Programação!$H$5:$H$1004,"&lt;&gt;Extra"))</f>
        <v>21</v>
      </c>
      <c r="J115" s="81" t="n">
        <f aca="false">IF($H115="","",SUMIFS(Programação!$AB$5:$AB$1004,Programação!$D$5:$D$1004,$H115,Programação!$O$5:$O$1004,"&gt;="&amp;$C$3,Programação!$O$5:$O$1004,"&lt;="&amp;$E$3,Programação!$H$5:$H$1004,"&lt;&gt;Extra",Programação!$V$5:$V$1004,"Interna"))</f>
        <v>0</v>
      </c>
      <c r="K115" s="82" t="n">
        <f aca="false">IF(OR($H115="",$I115=0),"",$J115/$I115)</f>
        <v>0</v>
      </c>
      <c r="L115" s="81" t="n">
        <f aca="false">IF($H115="","",COUNTIFS(Programação!$D$5:$D$1004,$H115,Programação!$B$5:$B$1004,"VENCIDA",Programação!$O$5:$O$1004,"&gt;="&amp;$C$3,Programação!$O$5:$O$1004,"&lt;="&amp;$E$3,Programação!$V$5:$V$1004,"Interna"))</f>
        <v>0</v>
      </c>
      <c r="M115" s="81" t="n">
        <f aca="false">IF($H115="","",COUNTIFS(Programação!$D$5:$D$1004,$H115,Programação!$O$5:$O$1004,"&gt;="&amp;$C$3,Programação!$O$5:$O$1004,"&lt;="&amp;$E$3,Programação!$H$5:$H$1004,"Extra",Programação!$R$5:$R$1004,"&lt;&gt;Cancelada",Programação!$V$5:$V$1004,"Interna"))</f>
        <v>0</v>
      </c>
    </row>
    <row r="116" customFormat="false" ht="15.75" hidden="false" customHeight="true" outlineLevel="0" collapsed="false">
      <c r="H116" s="23" t="str">
        <f aca="false">IF(Listas!B47="","",Listas!B47)</f>
        <v>F-848</v>
      </c>
      <c r="I116" s="81" t="n">
        <f aca="false">IF($H116="","",COUNTIFS(Programação!$D$5:$D$1004,$H116,Programação!$O$5:$O$1004,"&gt;="&amp;$C$3,Programação!$O$5:$O$1004,"&lt;="&amp;$E$3,Programação!$R$5:$R$1004,"&lt;&gt;Cancelada",Programação!$V$5:$V$1004,"Interna",Programação!$H$5:$H$1004,"&lt;&gt;Extra"))</f>
        <v>0</v>
      </c>
      <c r="J116" s="81" t="n">
        <f aca="false">IF($H116="","",SUMIFS(Programação!$AB$5:$AB$1004,Programação!$D$5:$D$1004,$H116,Programação!$O$5:$O$1004,"&gt;="&amp;$C$3,Programação!$O$5:$O$1004,"&lt;="&amp;$E$3,Programação!$H$5:$H$1004,"&lt;&gt;Extra",Programação!$V$5:$V$1004,"Interna"))</f>
        <v>0</v>
      </c>
      <c r="K116" s="82" t="str">
        <f aca="false">IF(OR($H116="",$I116=0),"",$J116/$I116)</f>
        <v/>
      </c>
      <c r="L116" s="81" t="n">
        <f aca="false">IF($H116="","",COUNTIFS(Programação!$D$5:$D$1004,$H116,Programação!$B$5:$B$1004,"VENCIDA",Programação!$O$5:$O$1004,"&gt;="&amp;$C$3,Programação!$O$5:$O$1004,"&lt;="&amp;$E$3,Programação!$V$5:$V$1004,"Interna"))</f>
        <v>0</v>
      </c>
      <c r="M116" s="81" t="n">
        <f aca="false">IF($H116="","",COUNTIFS(Programação!$D$5:$D$1004,$H116,Programação!$O$5:$O$1004,"&gt;="&amp;$C$3,Programação!$O$5:$O$1004,"&lt;="&amp;$E$3,Programação!$H$5:$H$1004,"Extra",Programação!$R$5:$R$1004,"&lt;&gt;Cancelada",Programação!$V$5:$V$1004,"Interna"))</f>
        <v>0</v>
      </c>
    </row>
    <row r="117" customFormat="false" ht="15.75" hidden="false" customHeight="true" outlineLevel="0" collapsed="false">
      <c r="H117" s="23" t="str">
        <f aca="false">IF(Listas!B48="","",Listas!B48)</f>
        <v>F-856</v>
      </c>
      <c r="I117" s="81" t="n">
        <f aca="false">IF($H117="","",COUNTIFS(Programação!$D$5:$D$1004,$H117,Programação!$O$5:$O$1004,"&gt;="&amp;$C$3,Programação!$O$5:$O$1004,"&lt;="&amp;$E$3,Programação!$R$5:$R$1004,"&lt;&gt;Cancelada",Programação!$V$5:$V$1004,"Interna",Programação!$H$5:$H$1004,"&lt;&gt;Extra"))</f>
        <v>0</v>
      </c>
      <c r="J117" s="81" t="n">
        <f aca="false">IF($H117="","",SUMIFS(Programação!$AB$5:$AB$1004,Programação!$D$5:$D$1004,$H117,Programação!$O$5:$O$1004,"&gt;="&amp;$C$3,Programação!$O$5:$O$1004,"&lt;="&amp;$E$3,Programação!$H$5:$H$1004,"&lt;&gt;Extra",Programação!$V$5:$V$1004,"Interna"))</f>
        <v>0</v>
      </c>
      <c r="K117" s="82" t="str">
        <f aca="false">IF(OR($H117="",$I117=0),"",$J117/$I117)</f>
        <v/>
      </c>
      <c r="L117" s="81" t="n">
        <f aca="false">IF($H117="","",COUNTIFS(Programação!$D$5:$D$1004,$H117,Programação!$B$5:$B$1004,"VENCIDA",Programação!$O$5:$O$1004,"&gt;="&amp;$C$3,Programação!$O$5:$O$1004,"&lt;="&amp;$E$3,Programação!$V$5:$V$1004,"Interna"))</f>
        <v>0</v>
      </c>
      <c r="M117" s="81" t="n">
        <f aca="false">IF($H117="","",COUNTIFS(Programação!$D$5:$D$1004,$H117,Programação!$O$5:$O$1004,"&gt;="&amp;$C$3,Programação!$O$5:$O$1004,"&lt;="&amp;$E$3,Programação!$H$5:$H$1004,"Extra",Programação!$R$5:$R$1004,"&lt;&gt;Cancelada",Programação!$V$5:$V$1004,"Interna"))</f>
        <v>0</v>
      </c>
    </row>
    <row r="118" customFormat="false" ht="15.75" hidden="false" customHeight="true" outlineLevel="0" collapsed="false">
      <c r="H118" s="23" t="str">
        <f aca="false">IF(Listas!B49="","",Listas!B49)</f>
        <v>F-871</v>
      </c>
      <c r="I118" s="81" t="n">
        <f aca="false">IF($H118="","",COUNTIFS(Programação!$D$5:$D$1004,$H118,Programação!$O$5:$O$1004,"&gt;="&amp;$C$3,Programação!$O$5:$O$1004,"&lt;="&amp;$E$3,Programação!$R$5:$R$1004,"&lt;&gt;Cancelada",Programação!$V$5:$V$1004,"Interna",Programação!$H$5:$H$1004,"&lt;&gt;Extra"))</f>
        <v>0</v>
      </c>
      <c r="J118" s="81" t="n">
        <f aca="false">IF($H118="","",SUMIFS(Programação!$AB$5:$AB$1004,Programação!$D$5:$D$1004,$H118,Programação!$O$5:$O$1004,"&gt;="&amp;$C$3,Programação!$O$5:$O$1004,"&lt;="&amp;$E$3,Programação!$H$5:$H$1004,"&lt;&gt;Extra",Programação!$V$5:$V$1004,"Interna"))</f>
        <v>0</v>
      </c>
      <c r="K118" s="82" t="str">
        <f aca="false">IF(OR($H118="",$I118=0),"",$J118/$I118)</f>
        <v/>
      </c>
      <c r="L118" s="81" t="n">
        <f aca="false">IF($H118="","",COUNTIFS(Programação!$D$5:$D$1004,$H118,Programação!$B$5:$B$1004,"VENCIDA",Programação!$O$5:$O$1004,"&gt;="&amp;$C$3,Programação!$O$5:$O$1004,"&lt;="&amp;$E$3,Programação!$V$5:$V$1004,"Interna"))</f>
        <v>0</v>
      </c>
      <c r="M118" s="81" t="n">
        <f aca="false">IF($H118="","",COUNTIFS(Programação!$D$5:$D$1004,$H118,Programação!$O$5:$O$1004,"&gt;="&amp;$C$3,Programação!$O$5:$O$1004,"&lt;="&amp;$E$3,Programação!$H$5:$H$1004,"Extra",Programação!$R$5:$R$1004,"&lt;&gt;Cancelada",Programação!$V$5:$V$1004,"Interna"))</f>
        <v>0</v>
      </c>
    </row>
    <row r="119" customFormat="false" ht="15.75" hidden="false" customHeight="true" outlineLevel="0" collapsed="false">
      <c r="H119" s="23" t="str">
        <f aca="false">IF(Listas!B50="","",Listas!B50)</f>
        <v>F-938</v>
      </c>
      <c r="I119" s="81" t="n">
        <f aca="false">IF($H119="","",COUNTIFS(Programação!$D$5:$D$1004,$H119,Programação!$O$5:$O$1004,"&gt;="&amp;$C$3,Programação!$O$5:$O$1004,"&lt;="&amp;$E$3,Programação!$R$5:$R$1004,"&lt;&gt;Cancelada",Programação!$V$5:$V$1004,"Interna",Programação!$H$5:$H$1004,"&lt;&gt;Extra"))</f>
        <v>0</v>
      </c>
      <c r="J119" s="81" t="n">
        <f aca="false">IF($H119="","",SUMIFS(Programação!$AB$5:$AB$1004,Programação!$D$5:$D$1004,$H119,Programação!$O$5:$O$1004,"&gt;="&amp;$C$3,Programação!$O$5:$O$1004,"&lt;="&amp;$E$3,Programação!$H$5:$H$1004,"&lt;&gt;Extra",Programação!$V$5:$V$1004,"Interna"))</f>
        <v>0</v>
      </c>
      <c r="K119" s="82" t="str">
        <f aca="false">IF(OR($H119="",$I119=0),"",$J119/$I119)</f>
        <v/>
      </c>
      <c r="L119" s="81" t="n">
        <f aca="false">IF($H119="","",COUNTIFS(Programação!$D$5:$D$1004,$H119,Programação!$B$5:$B$1004,"VENCIDA",Programação!$O$5:$O$1004,"&gt;="&amp;$C$3,Programação!$O$5:$O$1004,"&lt;="&amp;$E$3,Programação!$V$5:$V$1004,"Interna"))</f>
        <v>0</v>
      </c>
      <c r="M119" s="81" t="n">
        <f aca="false">IF($H119="","",COUNTIFS(Programação!$D$5:$D$1004,$H119,Programação!$O$5:$O$1004,"&gt;="&amp;$C$3,Programação!$O$5:$O$1004,"&lt;="&amp;$E$3,Programação!$H$5:$H$1004,"Extra",Programação!$R$5:$R$1004,"&lt;&gt;Cancelada",Programação!$V$5:$V$1004,"Interna"))</f>
        <v>1</v>
      </c>
    </row>
    <row r="120" customFormat="false" ht="15.75" hidden="false" customHeight="true" outlineLevel="0" collapsed="false">
      <c r="H120" s="23" t="str">
        <f aca="false">IF(Listas!B51="","",Listas!B51)</f>
        <v>F-962</v>
      </c>
      <c r="I120" s="81" t="n">
        <f aca="false">IF($H120="","",COUNTIFS(Programação!$D$5:$D$1004,$H120,Programação!$O$5:$O$1004,"&gt;="&amp;$C$3,Programação!$O$5:$O$1004,"&lt;="&amp;$E$3,Programação!$R$5:$R$1004,"&lt;&gt;Cancelada",Programação!$V$5:$V$1004,"Interna",Programação!$H$5:$H$1004,"&lt;&gt;Extra"))</f>
        <v>13</v>
      </c>
      <c r="J120" s="81" t="n">
        <f aca="false">IF($H120="","",SUMIFS(Programação!$AB$5:$AB$1004,Programação!$D$5:$D$1004,$H120,Programação!$O$5:$O$1004,"&gt;="&amp;$C$3,Programação!$O$5:$O$1004,"&lt;="&amp;$E$3,Programação!$H$5:$H$1004,"&lt;&gt;Extra",Programação!$V$5:$V$1004,"Interna"))</f>
        <v>0</v>
      </c>
      <c r="K120" s="82" t="n">
        <f aca="false">IF(OR($H120="",$I120=0),"",$J120/$I120)</f>
        <v>0</v>
      </c>
      <c r="L120" s="81" t="n">
        <f aca="false">IF($H120="","",COUNTIFS(Programação!$D$5:$D$1004,$H120,Programação!$B$5:$B$1004,"VENCIDA",Programação!$O$5:$O$1004,"&gt;="&amp;$C$3,Programação!$O$5:$O$1004,"&lt;="&amp;$E$3,Programação!$V$5:$V$1004,"Interna"))</f>
        <v>0</v>
      </c>
      <c r="M120" s="81" t="n">
        <f aca="false">IF($H120="","",COUNTIFS(Programação!$D$5:$D$1004,$H120,Programação!$O$5:$O$1004,"&gt;="&amp;$C$3,Programação!$O$5:$O$1004,"&lt;="&amp;$E$3,Programação!$H$5:$H$1004,"Extra",Programação!$R$5:$R$1004,"&lt;&gt;Cancelada",Programação!$V$5:$V$1004,"Interna"))</f>
        <v>1</v>
      </c>
    </row>
    <row r="121" customFormat="false" ht="15.75" hidden="false" customHeight="true" outlineLevel="0" collapsed="false">
      <c r="H121" s="23" t="str">
        <f aca="false">IF(Listas!B52="","",Listas!B52)</f>
        <v>F-964</v>
      </c>
      <c r="I121" s="81" t="n">
        <f aca="false">IF($H121="","",COUNTIFS(Programação!$D$5:$D$1004,$H121,Programação!$O$5:$O$1004,"&gt;="&amp;$C$3,Programação!$O$5:$O$1004,"&lt;="&amp;$E$3,Programação!$R$5:$R$1004,"&lt;&gt;Cancelada",Programação!$V$5:$V$1004,"Interna",Programação!$H$5:$H$1004,"&lt;&gt;Extra"))</f>
        <v>0</v>
      </c>
      <c r="J121" s="81" t="n">
        <f aca="false">IF($H121="","",SUMIFS(Programação!$AB$5:$AB$1004,Programação!$D$5:$D$1004,$H121,Programação!$O$5:$O$1004,"&gt;="&amp;$C$3,Programação!$O$5:$O$1004,"&lt;="&amp;$E$3,Programação!$H$5:$H$1004,"&lt;&gt;Extra",Programação!$V$5:$V$1004,"Interna"))</f>
        <v>0</v>
      </c>
      <c r="K121" s="82" t="str">
        <f aca="false">IF(OR($H121="",$I121=0),"",$J121/$I121)</f>
        <v/>
      </c>
      <c r="L121" s="81" t="n">
        <f aca="false">IF($H121="","",COUNTIFS(Programação!$D$5:$D$1004,$H121,Programação!$B$5:$B$1004,"VENCIDA",Programação!$O$5:$O$1004,"&gt;="&amp;$C$3,Programação!$O$5:$O$1004,"&lt;="&amp;$E$3,Programação!$V$5:$V$1004,"Interna"))</f>
        <v>0</v>
      </c>
      <c r="M121" s="81" t="n">
        <f aca="false">IF($H121="","",COUNTIFS(Programação!$D$5:$D$1004,$H121,Programação!$O$5:$O$1004,"&gt;="&amp;$C$3,Programação!$O$5:$O$1004,"&lt;="&amp;$E$3,Programação!$H$5:$H$1004,"Extra",Programação!$R$5:$R$1004,"&lt;&gt;Cancelada",Programação!$V$5:$V$1004,"Interna"))</f>
        <v>0</v>
      </c>
    </row>
    <row r="122" customFormat="false" ht="15.75" hidden="false" customHeight="true" outlineLevel="0" collapsed="false">
      <c r="H122" s="23" t="str">
        <f aca="false">IF(Listas!B53="","",Listas!B53)</f>
        <v>F-966</v>
      </c>
      <c r="I122" s="81" t="n">
        <f aca="false">IF($H122="","",COUNTIFS(Programação!$D$5:$D$1004,$H122,Programação!$O$5:$O$1004,"&gt;="&amp;$C$3,Programação!$O$5:$O$1004,"&lt;="&amp;$E$3,Programação!$R$5:$R$1004,"&lt;&gt;Cancelada",Programação!$V$5:$V$1004,"Interna",Programação!$H$5:$H$1004,"&lt;&gt;Extra"))</f>
        <v>0</v>
      </c>
      <c r="J122" s="81" t="n">
        <f aca="false">IF($H122="","",SUMIFS(Programação!$AB$5:$AB$1004,Programação!$D$5:$D$1004,$H122,Programação!$O$5:$O$1004,"&gt;="&amp;$C$3,Programação!$O$5:$O$1004,"&lt;="&amp;$E$3,Programação!$H$5:$H$1004,"&lt;&gt;Extra",Programação!$V$5:$V$1004,"Interna"))</f>
        <v>0</v>
      </c>
      <c r="K122" s="82" t="str">
        <f aca="false">IF(OR($H122="",$I122=0),"",$J122/$I122)</f>
        <v/>
      </c>
      <c r="L122" s="81" t="n">
        <f aca="false">IF($H122="","",COUNTIFS(Programação!$D$5:$D$1004,$H122,Programação!$B$5:$B$1004,"VENCIDA",Programação!$O$5:$O$1004,"&gt;="&amp;$C$3,Programação!$O$5:$O$1004,"&lt;="&amp;$E$3,Programação!$V$5:$V$1004,"Interna"))</f>
        <v>0</v>
      </c>
      <c r="M122" s="81" t="n">
        <f aca="false">IF($H122="","",COUNTIFS(Programação!$D$5:$D$1004,$H122,Programação!$O$5:$O$1004,"&gt;="&amp;$C$3,Programação!$O$5:$O$1004,"&lt;="&amp;$E$3,Programação!$H$5:$H$1004,"Extra",Programação!$R$5:$R$1004,"&lt;&gt;Cancelada",Programação!$V$5:$V$1004,"Interna"))</f>
        <v>0</v>
      </c>
    </row>
    <row r="123" customFormat="false" ht="15.75" hidden="false" customHeight="true" outlineLevel="0" collapsed="false">
      <c r="H123" s="23" t="str">
        <f aca="false">IF(Listas!B54="","",Listas!B54)</f>
        <v>F-967</v>
      </c>
      <c r="I123" s="81" t="n">
        <f aca="false">IF($H123="","",COUNTIFS(Programação!$D$5:$D$1004,$H123,Programação!$O$5:$O$1004,"&gt;="&amp;$C$3,Programação!$O$5:$O$1004,"&lt;="&amp;$E$3,Programação!$R$5:$R$1004,"&lt;&gt;Cancelada",Programação!$V$5:$V$1004,"Interna",Programação!$H$5:$H$1004,"&lt;&gt;Extra"))</f>
        <v>0</v>
      </c>
      <c r="J123" s="81" t="n">
        <f aca="false">IF($H123="","",SUMIFS(Programação!$AB$5:$AB$1004,Programação!$D$5:$D$1004,$H123,Programação!$O$5:$O$1004,"&gt;="&amp;$C$3,Programação!$O$5:$O$1004,"&lt;="&amp;$E$3,Programação!$H$5:$H$1004,"&lt;&gt;Extra",Programação!$V$5:$V$1004,"Interna"))</f>
        <v>0</v>
      </c>
      <c r="K123" s="82" t="str">
        <f aca="false">IF(OR($H123="",$I123=0),"",$J123/$I123)</f>
        <v/>
      </c>
      <c r="L123" s="81" t="n">
        <f aca="false">IF($H123="","",COUNTIFS(Programação!$D$5:$D$1004,$H123,Programação!$B$5:$B$1004,"VENCIDA",Programação!$O$5:$O$1004,"&gt;="&amp;$C$3,Programação!$O$5:$O$1004,"&lt;="&amp;$E$3,Programação!$V$5:$V$1004,"Interna"))</f>
        <v>0</v>
      </c>
      <c r="M123" s="81" t="n">
        <f aca="false">IF($H123="","",COUNTIFS(Programação!$D$5:$D$1004,$H123,Programação!$O$5:$O$1004,"&gt;="&amp;$C$3,Programação!$O$5:$O$1004,"&lt;="&amp;$E$3,Programação!$H$5:$H$1004,"Extra",Programação!$R$5:$R$1004,"&lt;&gt;Cancelada",Programação!$V$5:$V$1004,"Interna"))</f>
        <v>0</v>
      </c>
    </row>
    <row r="124" customFormat="false" ht="15.75" hidden="false" customHeight="true" outlineLevel="0" collapsed="false">
      <c r="H124" s="23" t="str">
        <f aca="false">IF(Listas!B55="","",Listas!B55)</f>
        <v>F-968</v>
      </c>
      <c r="I124" s="81" t="n">
        <f aca="false">IF($H124="","",COUNTIFS(Programação!$D$5:$D$1004,$H124,Programação!$O$5:$O$1004,"&gt;="&amp;$C$3,Programação!$O$5:$O$1004,"&lt;="&amp;$E$3,Programação!$R$5:$R$1004,"&lt;&gt;Cancelada",Programação!$V$5:$V$1004,"Interna",Programação!$H$5:$H$1004,"&lt;&gt;Extra"))</f>
        <v>0</v>
      </c>
      <c r="J124" s="81" t="n">
        <f aca="false">IF($H124="","",SUMIFS(Programação!$AB$5:$AB$1004,Programação!$D$5:$D$1004,$H124,Programação!$O$5:$O$1004,"&gt;="&amp;$C$3,Programação!$O$5:$O$1004,"&lt;="&amp;$E$3,Programação!$H$5:$H$1004,"&lt;&gt;Extra",Programação!$V$5:$V$1004,"Interna"))</f>
        <v>0</v>
      </c>
      <c r="K124" s="82" t="str">
        <f aca="false">IF(OR($H124="",$I124=0),"",$J124/$I124)</f>
        <v/>
      </c>
      <c r="L124" s="81" t="n">
        <f aca="false">IF($H124="","",COUNTIFS(Programação!$D$5:$D$1004,$H124,Programação!$B$5:$B$1004,"VENCIDA",Programação!$O$5:$O$1004,"&gt;="&amp;$C$3,Programação!$O$5:$O$1004,"&lt;="&amp;$E$3,Programação!$V$5:$V$1004,"Interna"))</f>
        <v>0</v>
      </c>
      <c r="M124" s="81" t="n">
        <f aca="false">IF($H124="","",COUNTIFS(Programação!$D$5:$D$1004,$H124,Programação!$O$5:$O$1004,"&gt;="&amp;$C$3,Programação!$O$5:$O$1004,"&lt;="&amp;$E$3,Programação!$H$5:$H$1004,"Extra",Programação!$R$5:$R$1004,"&lt;&gt;Cancelada",Programação!$V$5:$V$1004,"Interna"))</f>
        <v>0</v>
      </c>
    </row>
    <row r="125" customFormat="false" ht="15.75" hidden="false" customHeight="true" outlineLevel="0" collapsed="false">
      <c r="H125" s="23" t="str">
        <f aca="false">IF(Listas!B56="","",Listas!B56)</f>
        <v>F-972</v>
      </c>
      <c r="I125" s="81" t="n">
        <f aca="false">IF($H125="","",COUNTIFS(Programação!$D$5:$D$1004,$H125,Programação!$O$5:$O$1004,"&gt;="&amp;$C$3,Programação!$O$5:$O$1004,"&lt;="&amp;$E$3,Programação!$R$5:$R$1004,"&lt;&gt;Cancelada",Programação!$V$5:$V$1004,"Interna",Programação!$H$5:$H$1004,"&lt;&gt;Extra"))</f>
        <v>0</v>
      </c>
      <c r="J125" s="81" t="n">
        <f aca="false">IF($H125="","",SUMIFS(Programação!$AB$5:$AB$1004,Programação!$D$5:$D$1004,$H125,Programação!$O$5:$O$1004,"&gt;="&amp;$C$3,Programação!$O$5:$O$1004,"&lt;="&amp;$E$3,Programação!$H$5:$H$1004,"&lt;&gt;Extra",Programação!$V$5:$V$1004,"Interna"))</f>
        <v>0</v>
      </c>
      <c r="K125" s="82" t="str">
        <f aca="false">IF(OR($H125="",$I125=0),"",$J125/$I125)</f>
        <v/>
      </c>
      <c r="L125" s="81" t="n">
        <f aca="false">IF($H125="","",COUNTIFS(Programação!$D$5:$D$1004,$H125,Programação!$B$5:$B$1004,"VENCIDA",Programação!$O$5:$O$1004,"&gt;="&amp;$C$3,Programação!$O$5:$O$1004,"&lt;="&amp;$E$3,Programação!$V$5:$V$1004,"Interna"))</f>
        <v>0</v>
      </c>
      <c r="M125" s="81" t="n">
        <f aca="false">IF($H125="","",COUNTIFS(Programação!$D$5:$D$1004,$H125,Programação!$O$5:$O$1004,"&gt;="&amp;$C$3,Programação!$O$5:$O$1004,"&lt;="&amp;$E$3,Programação!$H$5:$H$1004,"Extra",Programação!$R$5:$R$1004,"&lt;&gt;Cancelada",Programação!$V$5:$V$1004,"Interna"))</f>
        <v>0</v>
      </c>
    </row>
    <row r="126" customFormat="false" ht="15.75" hidden="false" customHeight="true" outlineLevel="0" collapsed="false">
      <c r="H126" s="23" t="str">
        <f aca="false">IF(Listas!B57="","",Listas!B57)</f>
        <v>Não informada</v>
      </c>
      <c r="I126" s="81" t="n">
        <f aca="false">IF($H126="","",COUNTIFS(Programação!$D$5:$D$1004,$H126,Programação!$O$5:$O$1004,"&gt;="&amp;$C$3,Programação!$O$5:$O$1004,"&lt;="&amp;$E$3,Programação!$R$5:$R$1004,"&lt;&gt;Cancelada",Programação!$V$5:$V$1004,"Interna",Programação!$H$5:$H$1004,"&lt;&gt;Extra"))</f>
        <v>0</v>
      </c>
      <c r="J126" s="81" t="n">
        <f aca="false">IF($H126="","",SUMIFS(Programação!$AB$5:$AB$1004,Programação!$D$5:$D$1004,$H126,Programação!$O$5:$O$1004,"&gt;="&amp;$C$3,Programação!$O$5:$O$1004,"&lt;="&amp;$E$3,Programação!$H$5:$H$1004,"&lt;&gt;Extra",Programação!$V$5:$V$1004,"Interna"))</f>
        <v>0</v>
      </c>
      <c r="K126" s="82" t="str">
        <f aca="false">IF(OR($H126="",$I126=0),"",$J126/$I126)</f>
        <v/>
      </c>
      <c r="L126" s="81" t="n">
        <f aca="false">IF($H126="","",COUNTIFS(Programação!$D$5:$D$1004,$H126,Programação!$B$5:$B$1004,"VENCIDA",Programação!$O$5:$O$1004,"&gt;="&amp;$C$3,Programação!$O$5:$O$1004,"&lt;="&amp;$E$3,Programação!$V$5:$V$1004,"Interna"))</f>
        <v>0</v>
      </c>
      <c r="M126" s="81" t="n">
        <f aca="false">IF($H126="","",COUNTIFS(Programação!$D$5:$D$1004,$H126,Programação!$O$5:$O$1004,"&gt;="&amp;$C$3,Programação!$O$5:$O$1004,"&lt;="&amp;$E$3,Programação!$H$5:$H$1004,"Extra",Programação!$R$5:$R$1004,"&lt;&gt;Cancelada",Programação!$V$5:$V$1004,"Interna"))</f>
        <v>0</v>
      </c>
    </row>
    <row r="127" customFormat="false" ht="15.75" hidden="false" customHeight="true" outlineLevel="0" collapsed="false">
      <c r="H127" s="23" t="str">
        <f aca="false">IF(Listas!B58="","",Listas!B58)</f>
        <v/>
      </c>
      <c r="I127" s="81" t="str">
        <f aca="false">IF($H127="","",COUNTIFS(Programação!$D$5:$D$1004,$H127,Programação!$O$5:$O$1004,"&gt;="&amp;$C$3,Programação!$O$5:$O$1004,"&lt;="&amp;$E$3,Programação!$R$5:$R$1004,"&lt;&gt;Cancelada",Programação!$V$5:$V$1004,"Interna",Programação!$H$5:$H$1004,"&lt;&gt;Extra"))</f>
        <v/>
      </c>
      <c r="J127" s="81" t="str">
        <f aca="false">IF($H127="","",SUMIFS(Programação!$AB$5:$AB$1004,Programação!$D$5:$D$1004,$H127,Programação!$O$5:$O$1004,"&gt;="&amp;$C$3,Programação!$O$5:$O$1004,"&lt;="&amp;$E$3,Programação!$H$5:$H$1004,"&lt;&gt;Extra",Programação!$V$5:$V$1004,"Interna"))</f>
        <v/>
      </c>
      <c r="K127" s="82" t="str">
        <f aca="false">IF(OR($H127="",$I127=0),"",$J127/$I127)</f>
        <v/>
      </c>
      <c r="L127" s="81" t="str">
        <f aca="false">IF($H127="","",COUNTIFS(Programação!$D$5:$D$1004,$H127,Programação!$B$5:$B$1004,"VENCIDA",Programação!$O$5:$O$1004,"&gt;="&amp;$C$3,Programação!$O$5:$O$1004,"&lt;="&amp;$E$3,Programação!$V$5:$V$1004,"Interna"))</f>
        <v/>
      </c>
      <c r="M127" s="81" t="str">
        <f aca="false">IF($H127="","",COUNTIFS(Programação!$D$5:$D$1004,$H127,Programação!$O$5:$O$1004,"&gt;="&amp;$C$3,Programação!$O$5:$O$1004,"&lt;="&amp;$E$3,Programação!$H$5:$H$1004,"Extra",Programação!$R$5:$R$1004,"&lt;&gt;Cancelada",Programação!$V$5:$V$1004,"Interna"))</f>
        <v/>
      </c>
    </row>
    <row r="128" customFormat="false" ht="15.75" hidden="false" customHeight="true" outlineLevel="0" collapsed="false">
      <c r="H128" s="23" t="str">
        <f aca="false">IF(Listas!B59="","",Listas!B59)</f>
        <v/>
      </c>
      <c r="I128" s="81" t="str">
        <f aca="false">IF($H128="","",COUNTIFS(Programação!$D$5:$D$1004,$H128,Programação!$O$5:$O$1004,"&gt;="&amp;$C$3,Programação!$O$5:$O$1004,"&lt;="&amp;$E$3,Programação!$R$5:$R$1004,"&lt;&gt;Cancelada",Programação!$V$5:$V$1004,"Interna",Programação!$H$5:$H$1004,"&lt;&gt;Extra"))</f>
        <v/>
      </c>
      <c r="J128" s="81" t="str">
        <f aca="false">IF($H128="","",SUMIFS(Programação!$AB$5:$AB$1004,Programação!$D$5:$D$1004,$H128,Programação!$O$5:$O$1004,"&gt;="&amp;$C$3,Programação!$O$5:$O$1004,"&lt;="&amp;$E$3,Programação!$H$5:$H$1004,"&lt;&gt;Extra",Programação!$V$5:$V$1004,"Interna"))</f>
        <v/>
      </c>
      <c r="K128" s="82" t="str">
        <f aca="false">IF(OR($H128="",$I128=0),"",$J128/$I128)</f>
        <v/>
      </c>
      <c r="L128" s="81" t="str">
        <f aca="false">IF($H128="","",COUNTIFS(Programação!$D$5:$D$1004,$H128,Programação!$B$5:$B$1004,"VENCIDA",Programação!$O$5:$O$1004,"&gt;="&amp;$C$3,Programação!$O$5:$O$1004,"&lt;="&amp;$E$3,Programação!$V$5:$V$1004,"Interna"))</f>
        <v/>
      </c>
      <c r="M128" s="81" t="str">
        <f aca="false">IF($H128="","",COUNTIFS(Programação!$D$5:$D$1004,$H128,Programação!$O$5:$O$1004,"&gt;="&amp;$C$3,Programação!$O$5:$O$1004,"&lt;="&amp;$E$3,Programação!$H$5:$H$1004,"Extra",Programação!$R$5:$R$1004,"&lt;&gt;Cancelada",Programação!$V$5:$V$1004,"Interna"))</f>
        <v/>
      </c>
    </row>
    <row r="129" customFormat="false" ht="15.75" hidden="false" customHeight="true" outlineLevel="0" collapsed="false">
      <c r="H129" s="23" t="str">
        <f aca="false">IF(Listas!B60="","",Listas!B60)</f>
        <v/>
      </c>
      <c r="I129" s="81" t="str">
        <f aca="false">IF($H129="","",COUNTIFS(Programação!$D$5:$D$1004,$H129,Programação!$O$5:$O$1004,"&gt;="&amp;$C$3,Programação!$O$5:$O$1004,"&lt;="&amp;$E$3,Programação!$R$5:$R$1004,"&lt;&gt;Cancelada",Programação!$V$5:$V$1004,"Interna",Programação!$H$5:$H$1004,"&lt;&gt;Extra"))</f>
        <v/>
      </c>
      <c r="J129" s="81" t="str">
        <f aca="false">IF($H129="","",SUMIFS(Programação!$AB$5:$AB$1004,Programação!$D$5:$D$1004,$H129,Programação!$O$5:$O$1004,"&gt;="&amp;$C$3,Programação!$O$5:$O$1004,"&lt;="&amp;$E$3,Programação!$H$5:$H$1004,"&lt;&gt;Extra",Programação!$V$5:$V$1004,"Interna"))</f>
        <v/>
      </c>
      <c r="K129" s="82" t="str">
        <f aca="false">IF(OR($H129="",$I129=0),"",$J129/$I129)</f>
        <v/>
      </c>
      <c r="L129" s="81" t="str">
        <f aca="false">IF($H129="","",COUNTIFS(Programação!$D$5:$D$1004,$H129,Programação!$B$5:$B$1004,"VENCIDA",Programação!$O$5:$O$1004,"&gt;="&amp;$C$3,Programação!$O$5:$O$1004,"&lt;="&amp;$E$3,Programação!$V$5:$V$1004,"Interna"))</f>
        <v/>
      </c>
      <c r="M129" s="81" t="str">
        <f aca="false">IF($H129="","",COUNTIFS(Programação!$D$5:$D$1004,$H129,Programação!$O$5:$O$1004,"&gt;="&amp;$C$3,Programação!$O$5:$O$1004,"&lt;="&amp;$E$3,Programação!$H$5:$H$1004,"Extra",Programação!$R$5:$R$1004,"&lt;&gt;Cancelada",Programação!$V$5:$V$1004,"Interna"))</f>
        <v/>
      </c>
    </row>
    <row r="132" customFormat="false" ht="15" hidden="false" customHeight="false" outlineLevel="0" collapsed="false">
      <c r="A132" s="111" t="s">
        <v>1001</v>
      </c>
      <c r="B132" s="111"/>
      <c r="C132" s="111"/>
      <c r="D132" s="111"/>
      <c r="E132" s="111"/>
      <c r="F132" s="111"/>
    </row>
    <row r="133" customFormat="false" ht="15" hidden="false" customHeight="false" outlineLevel="0" collapsed="false">
      <c r="A133" s="20" t="s">
        <v>999</v>
      </c>
      <c r="B133" s="20" t="s">
        <v>52</v>
      </c>
      <c r="C133" s="20" t="s">
        <v>57</v>
      </c>
      <c r="D133" s="20" t="s">
        <v>1000</v>
      </c>
      <c r="E133" s="20" t="s">
        <v>906</v>
      </c>
      <c r="F133" s="20" t="s">
        <v>81</v>
      </c>
    </row>
    <row r="134" customFormat="false" ht="15.75" hidden="false" customHeight="true" outlineLevel="0" collapsed="false">
      <c r="A134" s="23" t="str">
        <f aca="false">IF(Listas!C5="","",Listas!C5)</f>
        <v>Corretiva</v>
      </c>
      <c r="B134" s="81" t="n">
        <f aca="false">IF($A134="","",COUNTIFS(Programação!$G$5:$G$1004,$A134,Programação!$O$5:$O$1004,"&gt;="&amp;$C$3,Programação!$O$5:$O$1004,"&lt;="&amp;$E$3,Programação!$R$5:$R$1004,"&lt;&gt;Cancelada",Programação!$V$5:$V$1004,"Interna",Programação!$H$5:$H$1004,"&lt;&gt;Extra"))</f>
        <v>50</v>
      </c>
      <c r="C134" s="81" t="n">
        <f aca="false">IF($A134="","",SUMIFS(Programação!$AB$5:$AB$1004,Programação!$G$5:$G$1004,$A134,Programação!$O$5:$O$1004,"&gt;="&amp;$C$3,Programação!$O$5:$O$1004,"&lt;="&amp;$E$3,Programação!$H$5:$H$1004,"&lt;&gt;Extra",Programação!$V$5:$V$1004,"Interna"))</f>
        <v>9</v>
      </c>
      <c r="D134" s="82" t="n">
        <f aca="false">IF(OR($A134="",$B134=0),"",$C134/$B134)</f>
        <v>0.18</v>
      </c>
      <c r="E134" s="81" t="n">
        <f aca="false">IF($A134="","",COUNTIFS(Programação!$G$5:$G$1004,$A134,Programação!$B$5:$B$1004,"VENCIDA",Programação!$O$5:$O$1004,"&gt;="&amp;$C$3,Programação!$O$5:$O$1004,"&lt;="&amp;$E$3,Programação!$V$5:$V$1004,"Interna"))</f>
        <v>0</v>
      </c>
      <c r="F134" s="81" t="n">
        <f aca="false">IF($A134="","",COUNTIFS(Programação!$G$5:$G$1004,$A134,Programação!$O$5:$O$1004,"&gt;="&amp;$C$3,Programação!$O$5:$O$1004,"&lt;="&amp;$E$3,Programação!$H$5:$H$1004,"Extra",Programação!$R$5:$R$1004,"&lt;&gt;Cancelada",Programação!$V$5:$V$1004,"Interna"))</f>
        <v>10</v>
      </c>
    </row>
    <row r="135" customFormat="false" ht="15.75" hidden="false" customHeight="true" outlineLevel="0" collapsed="false">
      <c r="A135" s="23" t="str">
        <f aca="false">IF(Listas!C6="","",Listas!C6)</f>
        <v>Preventiva</v>
      </c>
      <c r="B135" s="81" t="n">
        <f aca="false">IF($A135="","",COUNTIFS(Programação!$G$5:$G$1004,$A135,Programação!$O$5:$O$1004,"&gt;="&amp;$C$3,Programação!$O$5:$O$1004,"&lt;="&amp;$E$3,Programação!$R$5:$R$1004,"&lt;&gt;Cancelada",Programação!$V$5:$V$1004,"Interna",Programação!$H$5:$H$1004,"&lt;&gt;Extra"))</f>
        <v>0</v>
      </c>
      <c r="C135" s="81" t="n">
        <f aca="false">IF($A135="","",SUMIFS(Programação!$AB$5:$AB$1004,Programação!$G$5:$G$1004,$A135,Programação!$O$5:$O$1004,"&gt;="&amp;$C$3,Programação!$O$5:$O$1004,"&lt;="&amp;$E$3,Programação!$H$5:$H$1004,"&lt;&gt;Extra",Programação!$V$5:$V$1004,"Interna"))</f>
        <v>0</v>
      </c>
      <c r="D135" s="82" t="str">
        <f aca="false">IF(OR($A135="",$B135=0),"",$C135/$B135)</f>
        <v/>
      </c>
      <c r="E135" s="81" t="n">
        <f aca="false">IF($A135="","",COUNTIFS(Programação!$G$5:$G$1004,$A135,Programação!$B$5:$B$1004,"VENCIDA",Programação!$O$5:$O$1004,"&gt;="&amp;$C$3,Programação!$O$5:$O$1004,"&lt;="&amp;$E$3,Programação!$V$5:$V$1004,"Interna"))</f>
        <v>0</v>
      </c>
      <c r="F135" s="81" t="n">
        <f aca="false">IF($A135="","",COUNTIFS(Programação!$G$5:$G$1004,$A135,Programação!$O$5:$O$1004,"&gt;="&amp;$C$3,Programação!$O$5:$O$1004,"&lt;="&amp;$E$3,Programação!$H$5:$H$1004,"Extra",Programação!$R$5:$R$1004,"&lt;&gt;Cancelada",Programação!$V$5:$V$1004,"Interna"))</f>
        <v>0</v>
      </c>
    </row>
    <row r="136" customFormat="false" ht="15.75" hidden="false" customHeight="true" outlineLevel="0" collapsed="false">
      <c r="A136" s="23" t="str">
        <f aca="false">IF(Listas!C7="","",Listas!C7)</f>
        <v>Preditiva</v>
      </c>
      <c r="B136" s="81" t="n">
        <f aca="false">IF($A136="","",COUNTIFS(Programação!$G$5:$G$1004,$A136,Programação!$O$5:$O$1004,"&gt;="&amp;$C$3,Programação!$O$5:$O$1004,"&lt;="&amp;$E$3,Programação!$R$5:$R$1004,"&lt;&gt;Cancelada",Programação!$V$5:$V$1004,"Interna",Programação!$H$5:$H$1004,"&lt;&gt;Extra"))</f>
        <v>0</v>
      </c>
      <c r="C136" s="81" t="n">
        <f aca="false">IF($A136="","",SUMIFS(Programação!$AB$5:$AB$1004,Programação!$G$5:$G$1004,$A136,Programação!$O$5:$O$1004,"&gt;="&amp;$C$3,Programação!$O$5:$O$1004,"&lt;="&amp;$E$3,Programação!$H$5:$H$1004,"&lt;&gt;Extra",Programação!$V$5:$V$1004,"Interna"))</f>
        <v>0</v>
      </c>
      <c r="D136" s="82" t="str">
        <f aca="false">IF(OR($A136="",$B136=0),"",$C136/$B136)</f>
        <v/>
      </c>
      <c r="E136" s="81" t="n">
        <f aca="false">IF($A136="","",COUNTIFS(Programação!$G$5:$G$1004,$A136,Programação!$B$5:$B$1004,"VENCIDA",Programação!$O$5:$O$1004,"&gt;="&amp;$C$3,Programação!$O$5:$O$1004,"&lt;="&amp;$E$3,Programação!$V$5:$V$1004,"Interna"))</f>
        <v>0</v>
      </c>
      <c r="F136" s="81" t="n">
        <f aca="false">IF($A136="","",COUNTIFS(Programação!$G$5:$G$1004,$A136,Programação!$O$5:$O$1004,"&gt;="&amp;$C$3,Programação!$O$5:$O$1004,"&lt;="&amp;$E$3,Programação!$H$5:$H$1004,"Extra",Programação!$R$5:$R$1004,"&lt;&gt;Cancelada",Programação!$V$5:$V$1004,"Interna"))</f>
        <v>0</v>
      </c>
    </row>
    <row r="137" customFormat="false" ht="15.75" hidden="false" customHeight="true" outlineLevel="0" collapsed="false">
      <c r="A137" s="23" t="str">
        <f aca="false">IF(Listas!C8="","",Listas!C8)</f>
        <v>Melhoria</v>
      </c>
      <c r="B137" s="81" t="n">
        <f aca="false">IF($A137="","",COUNTIFS(Programação!$G$5:$G$1004,$A137,Programação!$O$5:$O$1004,"&gt;="&amp;$C$3,Programação!$O$5:$O$1004,"&lt;="&amp;$E$3,Programação!$R$5:$R$1004,"&lt;&gt;Cancelada",Programação!$V$5:$V$1004,"Interna",Programação!$H$5:$H$1004,"&lt;&gt;Extra"))</f>
        <v>0</v>
      </c>
      <c r="C137" s="81" t="n">
        <f aca="false">IF($A137="","",SUMIFS(Programação!$AB$5:$AB$1004,Programação!$G$5:$G$1004,$A137,Programação!$O$5:$O$1004,"&gt;="&amp;$C$3,Programação!$O$5:$O$1004,"&lt;="&amp;$E$3,Programação!$H$5:$H$1004,"&lt;&gt;Extra",Programação!$V$5:$V$1004,"Interna"))</f>
        <v>0</v>
      </c>
      <c r="D137" s="82" t="str">
        <f aca="false">IF(OR($A137="",$B137=0),"",$C137/$B137)</f>
        <v/>
      </c>
      <c r="E137" s="81" t="n">
        <f aca="false">IF($A137="","",COUNTIFS(Programação!$G$5:$G$1004,$A137,Programação!$B$5:$B$1004,"VENCIDA",Programação!$O$5:$O$1004,"&gt;="&amp;$C$3,Programação!$O$5:$O$1004,"&lt;="&amp;$E$3,Programação!$V$5:$V$1004,"Interna"))</f>
        <v>0</v>
      </c>
      <c r="F137" s="81" t="n">
        <f aca="false">IF($A137="","",COUNTIFS(Programação!$G$5:$G$1004,$A137,Programação!$O$5:$O$1004,"&gt;="&amp;$C$3,Programação!$O$5:$O$1004,"&lt;="&amp;$E$3,Programação!$H$5:$H$1004,"Extra",Programação!$R$5:$R$1004,"&lt;&gt;Cancelada",Programação!$V$5:$V$1004,"Interna"))</f>
        <v>0</v>
      </c>
    </row>
    <row r="138" customFormat="false" ht="15.75" hidden="false" customHeight="true" outlineLevel="0" collapsed="false">
      <c r="A138" s="23" t="str">
        <f aca="false">IF(Listas!C9="","",Listas!C9)</f>
        <v>Inspeção</v>
      </c>
      <c r="B138" s="81" t="n">
        <f aca="false">IF($A138="","",COUNTIFS(Programação!$G$5:$G$1004,$A138,Programação!$O$5:$O$1004,"&gt;="&amp;$C$3,Programação!$O$5:$O$1004,"&lt;="&amp;$E$3,Programação!$R$5:$R$1004,"&lt;&gt;Cancelada",Programação!$V$5:$V$1004,"Interna",Programação!$H$5:$H$1004,"&lt;&gt;Extra"))</f>
        <v>15</v>
      </c>
      <c r="C138" s="81" t="n">
        <f aca="false">IF($A138="","",SUMIFS(Programação!$AB$5:$AB$1004,Programação!$G$5:$G$1004,$A138,Programação!$O$5:$O$1004,"&gt;="&amp;$C$3,Programação!$O$5:$O$1004,"&lt;="&amp;$E$3,Programação!$H$5:$H$1004,"&lt;&gt;Extra",Programação!$V$5:$V$1004,"Interna"))</f>
        <v>12</v>
      </c>
      <c r="D138" s="82" t="n">
        <f aca="false">IF(OR($A138="",$B138=0),"",$C138/$B138)</f>
        <v>0.8</v>
      </c>
      <c r="E138" s="81" t="n">
        <f aca="false">IF($A138="","",COUNTIFS(Programação!$G$5:$G$1004,$A138,Programação!$B$5:$B$1004,"VENCIDA",Programação!$O$5:$O$1004,"&gt;="&amp;$C$3,Programação!$O$5:$O$1004,"&lt;="&amp;$E$3,Programação!$V$5:$V$1004,"Interna"))</f>
        <v>1</v>
      </c>
      <c r="F138" s="81" t="n">
        <f aca="false">IF($A138="","",COUNTIFS(Programação!$G$5:$G$1004,$A138,Programação!$O$5:$O$1004,"&gt;="&amp;$C$3,Programação!$O$5:$O$1004,"&lt;="&amp;$E$3,Programação!$H$5:$H$1004,"Extra",Programação!$R$5:$R$1004,"&lt;&gt;Cancelada",Programação!$V$5:$V$1004,"Interna"))</f>
        <v>0</v>
      </c>
    </row>
    <row r="139" customFormat="false" ht="15.75" hidden="false" customHeight="true" outlineLevel="0" collapsed="false">
      <c r="A139" s="23" t="str">
        <f aca="false">IF(Listas!C10="","",Listas!C10)</f>
        <v>Borracharia</v>
      </c>
      <c r="B139" s="81" t="n">
        <f aca="false">IF($A139="","",COUNTIFS(Programação!$G$5:$G$1004,$A139,Programação!$O$5:$O$1004,"&gt;="&amp;$C$3,Programação!$O$5:$O$1004,"&lt;="&amp;$E$3,Programação!$R$5:$R$1004,"&lt;&gt;Cancelada",Programação!$V$5:$V$1004,"Interna",Programação!$H$5:$H$1004,"&lt;&gt;Extra"))</f>
        <v>0</v>
      </c>
      <c r="C139" s="81" t="n">
        <f aca="false">IF($A139="","",SUMIFS(Programação!$AB$5:$AB$1004,Programação!$G$5:$G$1004,$A139,Programação!$O$5:$O$1004,"&gt;="&amp;$C$3,Programação!$O$5:$O$1004,"&lt;="&amp;$E$3,Programação!$H$5:$H$1004,"&lt;&gt;Extra",Programação!$V$5:$V$1004,"Interna"))</f>
        <v>0</v>
      </c>
      <c r="D139" s="82" t="str">
        <f aca="false">IF(OR($A139="",$B139=0),"",$C139/$B139)</f>
        <v/>
      </c>
      <c r="E139" s="81" t="n">
        <f aca="false">IF($A139="","",COUNTIFS(Programação!$G$5:$G$1004,$A139,Programação!$B$5:$B$1004,"VENCIDA",Programação!$O$5:$O$1004,"&gt;="&amp;$C$3,Programação!$O$5:$O$1004,"&lt;="&amp;$E$3,Programação!$V$5:$V$1004,"Interna"))</f>
        <v>0</v>
      </c>
      <c r="F139" s="81" t="n">
        <f aca="false">IF($A139="","",COUNTIFS(Programação!$G$5:$G$1004,$A139,Programação!$O$5:$O$1004,"&gt;="&amp;$C$3,Programação!$O$5:$O$1004,"&lt;="&amp;$E$3,Programação!$H$5:$H$1004,"Extra",Programação!$R$5:$R$1004,"&lt;&gt;Cancelada",Programação!$V$5:$V$1004,"Interna"))</f>
        <v>0</v>
      </c>
    </row>
    <row r="140" customFormat="false" ht="15.75" hidden="false" customHeight="true" outlineLevel="0" collapsed="false">
      <c r="A140" s="23" t="str">
        <f aca="false">IF(Listas!C11="","",Listas!C11)</f>
        <v>Mecânica</v>
      </c>
      <c r="B140" s="81" t="n">
        <f aca="false">IF($A140="","",COUNTIFS(Programação!$G$5:$G$1004,$A140,Programação!$O$5:$O$1004,"&gt;="&amp;$C$3,Programação!$O$5:$O$1004,"&lt;="&amp;$E$3,Programação!$R$5:$R$1004,"&lt;&gt;Cancelada",Programação!$V$5:$V$1004,"Interna",Programação!$H$5:$H$1004,"&lt;&gt;Extra"))</f>
        <v>0</v>
      </c>
      <c r="C140" s="81" t="n">
        <f aca="false">IF($A140="","",SUMIFS(Programação!$AB$5:$AB$1004,Programação!$G$5:$G$1004,$A140,Programação!$O$5:$O$1004,"&gt;="&amp;$C$3,Programação!$O$5:$O$1004,"&lt;="&amp;$E$3,Programação!$H$5:$H$1004,"&lt;&gt;Extra",Programação!$V$5:$V$1004,"Interna"))</f>
        <v>0</v>
      </c>
      <c r="D140" s="82" t="str">
        <f aca="false">IF(OR($A140="",$B140=0),"",$C140/$B140)</f>
        <v/>
      </c>
      <c r="E140" s="81" t="n">
        <f aca="false">IF($A140="","",COUNTIFS(Programação!$G$5:$G$1004,$A140,Programação!$B$5:$B$1004,"VENCIDA",Programação!$O$5:$O$1004,"&gt;="&amp;$C$3,Programação!$O$5:$O$1004,"&lt;="&amp;$E$3,Programação!$V$5:$V$1004,"Interna"))</f>
        <v>0</v>
      </c>
      <c r="F140" s="81" t="n">
        <f aca="false">IF($A140="","",COUNTIFS(Programação!$G$5:$G$1004,$A140,Programação!$O$5:$O$1004,"&gt;="&amp;$C$3,Programação!$O$5:$O$1004,"&lt;="&amp;$E$3,Programação!$H$5:$H$1004,"Extra",Programação!$R$5:$R$1004,"&lt;&gt;Cancelada",Programação!$V$5:$V$1004,"Interna"))</f>
        <v>0</v>
      </c>
    </row>
    <row r="141" customFormat="false" ht="15.75" hidden="false" customHeight="true" outlineLevel="0" collapsed="false">
      <c r="A141" s="23" t="str">
        <f aca="false">IF(Listas!C12="","",Listas!C12)</f>
        <v>Não classificado</v>
      </c>
      <c r="B141" s="81" t="n">
        <f aca="false">IF($A141="","",COUNTIFS(Programação!$G$5:$G$1004,$A141,Programação!$O$5:$O$1004,"&gt;="&amp;$C$3,Programação!$O$5:$O$1004,"&lt;="&amp;$E$3,Programação!$R$5:$R$1004,"&lt;&gt;Cancelada",Programação!$V$5:$V$1004,"Interna",Programação!$H$5:$H$1004,"&lt;&gt;Extra"))</f>
        <v>0</v>
      </c>
      <c r="C141" s="81" t="n">
        <f aca="false">IF($A141="","",SUMIFS(Programação!$AB$5:$AB$1004,Programação!$G$5:$G$1004,$A141,Programação!$O$5:$O$1004,"&gt;="&amp;$C$3,Programação!$O$5:$O$1004,"&lt;="&amp;$E$3,Programação!$H$5:$H$1004,"&lt;&gt;Extra",Programação!$V$5:$V$1004,"Interna"))</f>
        <v>0</v>
      </c>
      <c r="D141" s="82" t="str">
        <f aca="false">IF(OR($A141="",$B141=0),"",$C141/$B141)</f>
        <v/>
      </c>
      <c r="E141" s="81" t="n">
        <f aca="false">IF($A141="","",COUNTIFS(Programação!$G$5:$G$1004,$A141,Programação!$B$5:$B$1004,"VENCIDA",Programação!$O$5:$O$1004,"&gt;="&amp;$C$3,Programação!$O$5:$O$1004,"&lt;="&amp;$E$3,Programação!$V$5:$V$1004,"Interna"))</f>
        <v>0</v>
      </c>
      <c r="F141" s="81" t="n">
        <f aca="false">IF($A141="","",COUNTIFS(Programação!$G$5:$G$1004,$A141,Programação!$O$5:$O$1004,"&gt;="&amp;$C$3,Programação!$O$5:$O$1004,"&lt;="&amp;$E$3,Programação!$H$5:$H$1004,"Extra",Programação!$R$5:$R$1004,"&lt;&gt;Cancelada",Programação!$V$5:$V$1004,"Interna"))</f>
        <v>0</v>
      </c>
    </row>
    <row r="142" customFormat="false" ht="15.75" hidden="false" customHeight="true" outlineLevel="0" collapsed="false">
      <c r="A142" s="23" t="str">
        <f aca="false">IF(Listas!C13="","",Listas!C13)</f>
        <v/>
      </c>
      <c r="B142" s="81" t="str">
        <f aca="false">IF($A142="","",COUNTIFS(Programação!$G$5:$G$1004,$A142,Programação!$O$5:$O$1004,"&gt;="&amp;$C$3,Programação!$O$5:$O$1004,"&lt;="&amp;$E$3,Programação!$R$5:$R$1004,"&lt;&gt;Cancelada",Programação!$V$5:$V$1004,"Interna",Programação!$H$5:$H$1004,"&lt;&gt;Extra"))</f>
        <v/>
      </c>
      <c r="C142" s="81" t="str">
        <f aca="false">IF($A142="","",SUMIFS(Programação!$AB$5:$AB$1004,Programação!$G$5:$G$1004,$A142,Programação!$O$5:$O$1004,"&gt;="&amp;$C$3,Programação!$O$5:$O$1004,"&lt;="&amp;$E$3,Programação!$H$5:$H$1004,"&lt;&gt;Extra",Programação!$V$5:$V$1004,"Interna"))</f>
        <v/>
      </c>
      <c r="D142" s="82" t="str">
        <f aca="false">IF(OR($A142="",$B142=0),"",$C142/$B142)</f>
        <v/>
      </c>
      <c r="E142" s="81" t="str">
        <f aca="false">IF($A142="","",COUNTIFS(Programação!$G$5:$G$1004,$A142,Programação!$B$5:$B$1004,"VENCIDA",Programação!$O$5:$O$1004,"&gt;="&amp;$C$3,Programação!$O$5:$O$1004,"&lt;="&amp;$E$3,Programação!$V$5:$V$1004,"Interna"))</f>
        <v/>
      </c>
      <c r="F142" s="81" t="str">
        <f aca="false">IF($A142="","",COUNTIFS(Programação!$G$5:$G$1004,$A142,Programação!$O$5:$O$1004,"&gt;="&amp;$C$3,Programação!$O$5:$O$1004,"&lt;="&amp;$E$3,Programação!$H$5:$H$1004,"Extra",Programação!$R$5:$R$1004,"&lt;&gt;Cancelada",Programação!$V$5:$V$1004,"Interna"))</f>
        <v/>
      </c>
    </row>
    <row r="143" customFormat="false" ht="15.75" hidden="false" customHeight="true" outlineLevel="0" collapsed="false">
      <c r="A143" s="23" t="str">
        <f aca="false">IF(Listas!C14="","",Listas!C14)</f>
        <v/>
      </c>
      <c r="B143" s="81" t="str">
        <f aca="false">IF($A143="","",COUNTIFS(Programação!$G$5:$G$1004,$A143,Programação!$O$5:$O$1004,"&gt;="&amp;$C$3,Programação!$O$5:$O$1004,"&lt;="&amp;$E$3,Programação!$R$5:$R$1004,"&lt;&gt;Cancelada",Programação!$V$5:$V$1004,"Interna",Programação!$H$5:$H$1004,"&lt;&gt;Extra"))</f>
        <v/>
      </c>
      <c r="C143" s="81" t="str">
        <f aca="false">IF($A143="","",SUMIFS(Programação!$AB$5:$AB$1004,Programação!$G$5:$G$1004,$A143,Programação!$O$5:$O$1004,"&gt;="&amp;$C$3,Programação!$O$5:$O$1004,"&lt;="&amp;$E$3,Programação!$H$5:$H$1004,"&lt;&gt;Extra",Programação!$V$5:$V$1004,"Interna"))</f>
        <v/>
      </c>
      <c r="D143" s="82" t="str">
        <f aca="false">IF(OR($A143="",$B143=0),"",$C143/$B143)</f>
        <v/>
      </c>
      <c r="E143" s="81" t="str">
        <f aca="false">IF($A143="","",COUNTIFS(Programação!$G$5:$G$1004,$A143,Programação!$B$5:$B$1004,"VENCIDA",Programação!$O$5:$O$1004,"&gt;="&amp;$C$3,Programação!$O$5:$O$1004,"&lt;="&amp;$E$3,Programação!$V$5:$V$1004,"Interna"))</f>
        <v/>
      </c>
      <c r="F143" s="81" t="str">
        <f aca="false">IF($A143="","",COUNTIFS(Programação!$G$5:$G$1004,$A143,Programação!$O$5:$O$1004,"&gt;="&amp;$C$3,Programação!$O$5:$O$1004,"&lt;="&amp;$E$3,Programação!$H$5:$H$1004,"Extra",Programação!$R$5:$R$1004,"&lt;&gt;Cancelada",Programação!$V$5:$V$1004,"Interna"))</f>
        <v/>
      </c>
    </row>
  </sheetData>
  <mergeCells count="53">
    <mergeCell ref="A1:M1"/>
    <mergeCell ref="F3:M3"/>
    <mergeCell ref="A5:F5"/>
    <mergeCell ref="G5:M5"/>
    <mergeCell ref="A6:F7"/>
    <mergeCell ref="G6:M7"/>
    <mergeCell ref="A8:F9"/>
    <mergeCell ref="G8:M9"/>
    <mergeCell ref="C11:M11"/>
    <mergeCell ref="A12:M12"/>
    <mergeCell ref="C13:M13"/>
    <mergeCell ref="C14:M14"/>
    <mergeCell ref="C15:M15"/>
    <mergeCell ref="C16:M16"/>
    <mergeCell ref="C17:M17"/>
    <mergeCell ref="C18:M18"/>
    <mergeCell ref="A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A30:M30"/>
    <mergeCell ref="C31:M31"/>
    <mergeCell ref="C32:M32"/>
    <mergeCell ref="C33:M33"/>
    <mergeCell ref="A34:M34"/>
    <mergeCell ref="C35:M35"/>
    <mergeCell ref="C36:M36"/>
    <mergeCell ref="C37:M37"/>
    <mergeCell ref="A38:M38"/>
    <mergeCell ref="C39:M39"/>
    <mergeCell ref="C40:M40"/>
    <mergeCell ref="C41:M41"/>
    <mergeCell ref="C42:M42"/>
    <mergeCell ref="C43:M43"/>
    <mergeCell ref="C44:M44"/>
    <mergeCell ref="C45:M45"/>
    <mergeCell ref="A46:M46"/>
    <mergeCell ref="C47:M47"/>
    <mergeCell ref="C48:M48"/>
    <mergeCell ref="C49:M49"/>
    <mergeCell ref="C50:M50"/>
    <mergeCell ref="C51:M51"/>
    <mergeCell ref="C52:M52"/>
    <mergeCell ref="A72:F72"/>
    <mergeCell ref="H72:M72"/>
    <mergeCell ref="A132:F132"/>
  </mergeCells>
  <conditionalFormatting sqref="B20">
    <cfRule type="cellIs" priority="2" operator="greaterThanOrEqual" aboveAverage="0" equalAverage="0" bottom="0" percent="0" rank="0" text="" dxfId="61">
      <formula>0.85</formula>
    </cfRule>
    <cfRule type="cellIs" priority="3" operator="lessThan" aboveAverage="0" equalAverage="0" bottom="0" percent="0" rank="0" text="" dxfId="62">
      <formula>0.6</formula>
    </cfRule>
  </conditionalFormatting>
  <conditionalFormatting sqref="B21">
    <cfRule type="cellIs" priority="4" operator="greaterThanOrEqual" aboveAverage="0" equalAverage="0" bottom="0" percent="0" rank="0" text="" dxfId="61">
      <formula>0.85</formula>
    </cfRule>
    <cfRule type="cellIs" priority="5" operator="lessThan" aboveAverage="0" equalAverage="0" bottom="0" percent="0" rank="0" text="" dxfId="62">
      <formula>0.6</formula>
    </cfRule>
  </conditionalFormatting>
  <conditionalFormatting sqref="B24">
    <cfRule type="cellIs" priority="6" operator="greaterThanOrEqual" aboveAverage="0" equalAverage="0" bottom="0" percent="0" rank="0" text="" dxfId="61">
      <formula>0.85</formula>
    </cfRule>
    <cfRule type="cellIs" priority="7" operator="lessThan" aboveAverage="0" equalAverage="0" bottom="0" percent="0" rank="0" text="" dxfId="62">
      <formula>0.6</formula>
    </cfRule>
  </conditionalFormatting>
  <conditionalFormatting sqref="B25">
    <cfRule type="cellIs" priority="8" operator="greaterThanOrEqual" aboveAverage="0" equalAverage="0" bottom="0" percent="0" rank="0" text="" dxfId="61">
      <formula>0.85</formula>
    </cfRule>
    <cfRule type="cellIs" priority="9" operator="lessThan" aboveAverage="0" equalAverage="0" bottom="0" percent="0" rank="0" text="" dxfId="62">
      <formula>0.6</formula>
    </cfRule>
  </conditionalFormatting>
  <conditionalFormatting sqref="B27">
    <cfRule type="cellIs" priority="10" operator="greaterThan" aboveAverage="0" equalAverage="0" bottom="0" percent="0" rank="0" text="" dxfId="63">
      <formula>0</formula>
    </cfRule>
  </conditionalFormatting>
  <conditionalFormatting sqref="B14">
    <cfRule type="cellIs" priority="11" operator="greaterThan" aboveAverage="0" equalAverage="0" bottom="0" percent="0" rank="0" text="" dxfId="64">
      <formula>0</formula>
    </cfRule>
  </conditionalFormatting>
  <conditionalFormatting sqref="B22">
    <cfRule type="cellIs" priority="12" operator="greaterThan" aboveAverage="0" equalAverage="0" bottom="0" percent="0" rank="0" text="" dxfId="64">
      <formula>0</formula>
    </cfRule>
  </conditionalFormatting>
  <conditionalFormatting sqref="A6">
    <cfRule type="cellIs" priority="13" operator="greaterThanOrEqual" aboveAverage="0" equalAverage="0" bottom="0" percent="0" rank="0" text="" dxfId="65">
      <formula>0.85</formula>
    </cfRule>
    <cfRule type="cellIs" priority="14" operator="lessThan" aboveAverage="0" equalAverage="0" bottom="0" percent="0" rank="0" text="" dxfId="66">
      <formula>0.6</formula>
    </cfRule>
  </conditionalFormatting>
  <conditionalFormatting sqref="G6">
    <cfRule type="cellIs" priority="15" operator="greaterThanOrEqual" aboveAverage="0" equalAverage="0" bottom="0" percent="0" rank="0" text="" dxfId="65">
      <formula>0.85</formula>
    </cfRule>
    <cfRule type="cellIs" priority="16" operator="lessThan" aboveAverage="0" equalAverage="0" bottom="0" percent="0" rank="0" text="" dxfId="66">
      <formula>0.6</formula>
    </cfRule>
  </conditionalFormatting>
  <conditionalFormatting sqref="F74:F91">
    <cfRule type="cellIs" priority="17" operator="greaterThan" aboveAverage="0" equalAverage="0" bottom="0" percent="0" rank="0" text="" dxfId="67">
      <formula>0</formula>
    </cfRule>
  </conditionalFormatting>
  <conditionalFormatting sqref="D74:D91">
    <cfRule type="cellIs" priority="18" operator="greaterThanOrEqual" aboveAverage="0" equalAverage="0" bottom="0" percent="0" rank="0" text="" dxfId="59">
      <formula>0.85</formula>
    </cfRule>
    <cfRule type="cellIs" priority="19" operator="lessThan" aboveAverage="0" equalAverage="0" bottom="0" percent="0" rank="0" text="" dxfId="60">
      <formula>0.6</formula>
    </cfRule>
  </conditionalFormatting>
  <conditionalFormatting sqref="E74:E91">
    <cfRule type="cellIs" priority="20" operator="greaterThan" aboveAverage="0" equalAverage="0" bottom="0" percent="0" rank="0" text="" dxfId="68">
      <formula>0</formula>
    </cfRule>
  </conditionalFormatting>
  <conditionalFormatting sqref="M74:M129">
    <cfRule type="cellIs" priority="21" operator="greaterThan" aboveAverage="0" equalAverage="0" bottom="0" percent="0" rank="0" text="" dxfId="67">
      <formula>0</formula>
    </cfRule>
  </conditionalFormatting>
  <conditionalFormatting sqref="K74:K129">
    <cfRule type="cellIs" priority="22" operator="greaterThanOrEqual" aboveAverage="0" equalAverage="0" bottom="0" percent="0" rank="0" text="" dxfId="59">
      <formula>0.85</formula>
    </cfRule>
    <cfRule type="cellIs" priority="23" operator="lessThan" aboveAverage="0" equalAverage="0" bottom="0" percent="0" rank="0" text="" dxfId="60">
      <formula>0.6</formula>
    </cfRule>
  </conditionalFormatting>
  <conditionalFormatting sqref="L74:L129">
    <cfRule type="cellIs" priority="24" operator="greaterThan" aboveAverage="0" equalAverage="0" bottom="0" percent="0" rank="0" text="" dxfId="68">
      <formula>0</formula>
    </cfRule>
  </conditionalFormatting>
  <conditionalFormatting sqref="F134:F143">
    <cfRule type="cellIs" priority="25" operator="greaterThan" aboveAverage="0" equalAverage="0" bottom="0" percent="0" rank="0" text="" dxfId="67">
      <formula>0</formula>
    </cfRule>
  </conditionalFormatting>
  <conditionalFormatting sqref="D134:D143">
    <cfRule type="cellIs" priority="26" operator="greaterThanOrEqual" aboveAverage="0" equalAverage="0" bottom="0" percent="0" rank="0" text="" dxfId="59">
      <formula>0.85</formula>
    </cfRule>
    <cfRule type="cellIs" priority="27" operator="lessThan" aboveAverage="0" equalAverage="0" bottom="0" percent="0" rank="0" text="" dxfId="60">
      <formula>0.6</formula>
    </cfRule>
  </conditionalFormatting>
  <conditionalFormatting sqref="E134:E143">
    <cfRule type="cellIs" priority="28" operator="greaterThan" aboveAverage="0" equalAverage="0" bottom="0" percent="0" rank="0" text="" dxfId="68">
      <formula>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I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7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1002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74" t="s">
        <v>1003</v>
      </c>
      <c r="B2" s="74"/>
      <c r="C2" s="74"/>
      <c r="D2" s="74"/>
      <c r="E2" s="74"/>
      <c r="F2" s="74"/>
      <c r="G2" s="74"/>
      <c r="H2" s="74"/>
      <c r="I2" s="74"/>
    </row>
    <row r="3" customFormat="false" ht="24" hidden="false" customHeight="true" outlineLevel="0" collapsed="false">
      <c r="A3" s="115" t="s">
        <v>1004</v>
      </c>
      <c r="B3" s="115"/>
      <c r="C3" s="115" t="s">
        <v>1005</v>
      </c>
      <c r="D3" s="115" t="s">
        <v>1006</v>
      </c>
      <c r="E3" s="115" t="s">
        <v>1007</v>
      </c>
      <c r="F3" s="115"/>
      <c r="G3" s="115" t="s">
        <v>1008</v>
      </c>
      <c r="H3" s="115"/>
      <c r="I3" s="115" t="s">
        <v>1009</v>
      </c>
    </row>
    <row r="4" customFormat="false" ht="30" hidden="false" customHeight="true" outlineLevel="0" collapsed="false">
      <c r="A4" s="51" t="n">
        <f aca="false">COUNTIFS($A$9:$A$308,"&lt;&gt;")</f>
        <v>5</v>
      </c>
      <c r="B4" s="51"/>
      <c r="C4" s="53" t="n">
        <f aca="false">COUNTIFS($A$9:$A$308,"&lt;&gt;",$E$9:$E$308,"&lt;&gt;")</f>
        <v>2</v>
      </c>
      <c r="D4" s="53" t="n">
        <f aca="false">COUNTIFS($A$9:$A$308,"&lt;&gt;",$E$9:$E$308,"&lt;&gt;")-COUNTIFS($A$9:$A$308,"&lt;&gt;",$F$9:$F$308,"&gt;0")</f>
        <v>0</v>
      </c>
      <c r="E4" s="116" t="n">
        <f aca="false">IF($C$4=0,"",$D$4/$C$4)</f>
        <v>0</v>
      </c>
      <c r="F4" s="116"/>
      <c r="G4" s="117" t="n">
        <f aca="false">IF(COUNTIFS($A$9:$A$308,"&lt;&gt;",$F$9:$F$308,"&gt;0")=0,"",SUMIFS($F$9:$F$308,$A$9:$A$308,"&lt;&gt;")/COUNTIFS($A$9:$A$308,"&lt;&gt;",$F$9:$F$308,"&gt;0"))</f>
        <v>1.5</v>
      </c>
      <c r="H4" s="117"/>
      <c r="I4" s="54" t="n">
        <f aca="false">SUMIFS($F$9:$F$308,$A$9:$A$308,"&lt;&gt;")</f>
        <v>3</v>
      </c>
    </row>
    <row r="6" customFormat="false" ht="18" hidden="false" customHeight="true" outlineLevel="0" collapsed="false">
      <c r="A6" s="118" t="s">
        <v>1010</v>
      </c>
      <c r="B6" s="118"/>
      <c r="C6" s="118"/>
      <c r="D6" s="118"/>
      <c r="E6" s="118"/>
      <c r="F6" s="118"/>
      <c r="G6" s="118"/>
      <c r="H6" s="118"/>
      <c r="I6" s="118"/>
    </row>
    <row r="8" customFormat="false" ht="25.5" hidden="false" customHeight="true" outlineLevel="0" collapsed="false">
      <c r="A8" s="119" t="s">
        <v>17</v>
      </c>
      <c r="B8" s="119" t="s">
        <v>1011</v>
      </c>
      <c r="C8" s="119" t="s">
        <v>1012</v>
      </c>
      <c r="D8" s="119" t="s">
        <v>1013</v>
      </c>
      <c r="E8" s="119" t="s">
        <v>1014</v>
      </c>
      <c r="F8" s="119" t="s">
        <v>55</v>
      </c>
      <c r="G8" s="119" t="s">
        <v>23</v>
      </c>
      <c r="H8" s="119" t="s">
        <v>1015</v>
      </c>
      <c r="I8" s="119" t="s">
        <v>1016</v>
      </c>
    </row>
    <row r="9" customFormat="false" ht="21" hidden="false" customHeight="true" outlineLevel="0" collapsed="false">
      <c r="A9" s="120" t="s">
        <v>177</v>
      </c>
      <c r="B9" s="121" t="s">
        <v>1017</v>
      </c>
      <c r="C9" s="122" t="n">
        <v>46267</v>
      </c>
      <c r="D9" s="122" t="n">
        <v>46268</v>
      </c>
      <c r="E9" s="122" t="n">
        <v>46269</v>
      </c>
      <c r="F9" s="123" t="n">
        <f aca="false">IF(OR($A9="",$D9="",$E9=""),"",MAX(0,$E9-$D9))</f>
        <v>1</v>
      </c>
      <c r="G9" s="120" t="str">
        <f aca="false">IF($A9="","",IF($E9&lt;&gt;"",IF(N($F9)&gt;0,"Entregue com atraso","Entregue no prazo"),IF($D9="","Sem data prometida",IF($D9&lt;Hoje!$L$1,"ATRASADA","Aguardando"))))</f>
        <v>Entregue com atraso</v>
      </c>
      <c r="H9" s="121" t="s">
        <v>1018</v>
      </c>
      <c r="I9" s="121"/>
    </row>
    <row r="10" customFormat="false" ht="21" hidden="false" customHeight="true" outlineLevel="0" collapsed="false">
      <c r="A10" s="120" t="s">
        <v>177</v>
      </c>
      <c r="B10" s="121" t="s">
        <v>1019</v>
      </c>
      <c r="C10" s="122" t="n">
        <v>46267</v>
      </c>
      <c r="D10" s="122" t="n">
        <v>46268</v>
      </c>
      <c r="E10" s="122"/>
      <c r="F10" s="123" t="str">
        <f aca="false">IF(OR($A10="",$D10="",$E10=""),"",MAX(0,$E10-$D10))</f>
        <v/>
      </c>
      <c r="G10" s="120" t="str">
        <f aca="false">IF($A10="","",IF($E10&lt;&gt;"",IF(N($F10)&gt;0,"Entregue com atraso","Entregue no prazo"),IF($D10="","Sem data prometida",IF($D10&lt;Hoje!$L$1,"ATRASADA","Aguardando"))))</f>
        <v>ATRASADA</v>
      </c>
      <c r="H10" s="121" t="s">
        <v>1020</v>
      </c>
      <c r="I10" s="121"/>
    </row>
    <row r="11" customFormat="false" ht="21" hidden="false" customHeight="true" outlineLevel="0" collapsed="false">
      <c r="A11" s="120" t="s">
        <v>1021</v>
      </c>
      <c r="B11" s="121" t="s">
        <v>1022</v>
      </c>
      <c r="C11" s="122" t="n">
        <v>46265</v>
      </c>
      <c r="D11" s="122" t="n">
        <v>46266</v>
      </c>
      <c r="E11" s="122"/>
      <c r="F11" s="123" t="str">
        <f aca="false">IF(OR($A11="",$D11="",$E11=""),"",MAX(0,$E11-$D11))</f>
        <v/>
      </c>
      <c r="G11" s="120" t="str">
        <f aca="false">IF($A11="","",IF($E11&lt;&gt;"",IF(N($F11)&gt;0,"Entregue com atraso","Entregue no prazo"),IF($D11="","Sem data prometida",IF($D11&lt;Hoje!$L$1,"ATRASADA","Aguardando"))))</f>
        <v>ATRASADA</v>
      </c>
      <c r="H11" s="121" t="s">
        <v>1023</v>
      </c>
      <c r="I11" s="121"/>
    </row>
    <row r="12" customFormat="false" ht="21" hidden="false" customHeight="true" outlineLevel="0" collapsed="false">
      <c r="A12" s="120" t="s">
        <v>1024</v>
      </c>
      <c r="B12" s="121" t="s">
        <v>1025</v>
      </c>
      <c r="C12" s="122" t="n">
        <v>46267</v>
      </c>
      <c r="D12" s="122" t="n">
        <v>46268</v>
      </c>
      <c r="E12" s="122"/>
      <c r="F12" s="123" t="str">
        <f aca="false">IF(OR($A12="",$D12="",$E12=""),"",MAX(0,$E12-$D12))</f>
        <v/>
      </c>
      <c r="G12" s="120" t="str">
        <f aca="false">IF($A12="","",IF($E12&lt;&gt;"",IF(N($F12)&gt;0,"Entregue com atraso","Entregue no prazo"),IF($D12="","Sem data prometida",IF($D12&lt;Hoje!$L$1,"ATRASADA","Aguardando"))))</f>
        <v>ATRASADA</v>
      </c>
      <c r="H12" s="121" t="s">
        <v>1026</v>
      </c>
      <c r="I12" s="121"/>
    </row>
    <row r="13" customFormat="false" ht="21" hidden="false" customHeight="true" outlineLevel="0" collapsed="false">
      <c r="A13" s="120" t="s">
        <v>451</v>
      </c>
      <c r="B13" s="121" t="s">
        <v>1027</v>
      </c>
      <c r="C13" s="122" t="n">
        <v>46261</v>
      </c>
      <c r="D13" s="122" t="n">
        <v>46267</v>
      </c>
      <c r="E13" s="122" t="n">
        <v>46269</v>
      </c>
      <c r="F13" s="123" t="n">
        <f aca="false">IF(OR($A13="",$D13="",$E13=""),"",MAX(0,$E13-$D13))</f>
        <v>2</v>
      </c>
      <c r="G13" s="120" t="str">
        <f aca="false">IF($A13="","",IF($E13&lt;&gt;"",IF(N($F13)&gt;0,"Entregue com atraso","Entregue no prazo"),IF($D13="","Sem data prometida",IF($D13&lt;Hoje!$L$1,"ATRASADA","Aguardando"))))</f>
        <v>Entregue com atraso</v>
      </c>
      <c r="H13" s="121" t="s">
        <v>1028</v>
      </c>
      <c r="I13" s="121"/>
    </row>
    <row r="14" customFormat="false" ht="21" hidden="false" customHeight="true" outlineLevel="0" collapsed="false">
      <c r="A14" s="120"/>
      <c r="B14" s="121"/>
      <c r="C14" s="122"/>
      <c r="D14" s="122"/>
      <c r="E14" s="122"/>
      <c r="F14" s="123" t="str">
        <f aca="false">IF(OR($A14="",$D14="",$E14=""),"",MAX(0,$E14-$D14))</f>
        <v/>
      </c>
      <c r="G14" s="120" t="str">
        <f aca="false">IF($A14="","",IF($E14&lt;&gt;"",IF(N($F14)&gt;0,"Entregue com atraso","Entregue no prazo"),IF($D14="","Sem data prometida",IF($D14&lt;Hoje!$L$1,"ATRASADA","Aguardando"))))</f>
        <v/>
      </c>
      <c r="H14" s="121"/>
      <c r="I14" s="121"/>
    </row>
    <row r="15" customFormat="false" ht="21" hidden="false" customHeight="true" outlineLevel="0" collapsed="false">
      <c r="A15" s="120"/>
      <c r="B15" s="121"/>
      <c r="C15" s="122"/>
      <c r="D15" s="122"/>
      <c r="E15" s="122"/>
      <c r="F15" s="123" t="str">
        <f aca="false">IF(OR($A15="",$D15="",$E15=""),"",MAX(0,$E15-$D15))</f>
        <v/>
      </c>
      <c r="G15" s="120" t="str">
        <f aca="false">IF($A15="","",IF($E15&lt;&gt;"",IF(N($F15)&gt;0,"Entregue com atraso","Entregue no prazo"),IF($D15="","Sem data prometida",IF($D15&lt;Hoje!$L$1,"ATRASADA","Aguardando"))))</f>
        <v/>
      </c>
      <c r="H15" s="121"/>
      <c r="I15" s="121"/>
    </row>
    <row r="16" customFormat="false" ht="21" hidden="false" customHeight="true" outlineLevel="0" collapsed="false">
      <c r="A16" s="120"/>
      <c r="B16" s="121"/>
      <c r="C16" s="122"/>
      <c r="D16" s="122"/>
      <c r="E16" s="122"/>
      <c r="F16" s="123" t="str">
        <f aca="false">IF(OR($A16="",$D16="",$E16=""),"",MAX(0,$E16-$D16))</f>
        <v/>
      </c>
      <c r="G16" s="120" t="str">
        <f aca="false">IF($A16="","",IF($E16&lt;&gt;"",IF(N($F16)&gt;0,"Entregue com atraso","Entregue no prazo"),IF($D16="","Sem data prometida",IF($D16&lt;Hoje!$L$1,"ATRASADA","Aguardando"))))</f>
        <v/>
      </c>
      <c r="H16" s="121"/>
      <c r="I16" s="121"/>
    </row>
    <row r="17" customFormat="false" ht="21" hidden="false" customHeight="true" outlineLevel="0" collapsed="false">
      <c r="A17" s="120"/>
      <c r="B17" s="121"/>
      <c r="C17" s="122"/>
      <c r="D17" s="122"/>
      <c r="E17" s="122"/>
      <c r="F17" s="123" t="str">
        <f aca="false">IF(OR($A17="",$D17="",$E17=""),"",MAX(0,$E17-$D17))</f>
        <v/>
      </c>
      <c r="G17" s="120" t="str">
        <f aca="false">IF($A17="","",IF($E17&lt;&gt;"",IF(N($F17)&gt;0,"Entregue com atraso","Entregue no prazo"),IF($D17="","Sem data prometida",IF($D17&lt;Hoje!$L$1,"ATRASADA","Aguardando"))))</f>
        <v/>
      </c>
      <c r="H17" s="121"/>
      <c r="I17" s="121"/>
    </row>
    <row r="18" customFormat="false" ht="21" hidden="false" customHeight="true" outlineLevel="0" collapsed="false">
      <c r="A18" s="120"/>
      <c r="B18" s="121"/>
      <c r="C18" s="122"/>
      <c r="D18" s="122"/>
      <c r="E18" s="122"/>
      <c r="F18" s="123" t="str">
        <f aca="false">IF(OR($A18="",$D18="",$E18=""),"",MAX(0,$E18-$D18))</f>
        <v/>
      </c>
      <c r="G18" s="120" t="str">
        <f aca="false">IF($A18="","",IF($E18&lt;&gt;"",IF(N($F18)&gt;0,"Entregue com atraso","Entregue no prazo"),IF($D18="","Sem data prometida",IF($D18&lt;Hoje!$L$1,"ATRASADA","Aguardando"))))</f>
        <v/>
      </c>
      <c r="H18" s="121"/>
      <c r="I18" s="121"/>
    </row>
    <row r="19" customFormat="false" ht="21" hidden="false" customHeight="true" outlineLevel="0" collapsed="false">
      <c r="A19" s="120"/>
      <c r="B19" s="121"/>
      <c r="C19" s="122"/>
      <c r="D19" s="122"/>
      <c r="E19" s="122"/>
      <c r="F19" s="123" t="str">
        <f aca="false">IF(OR($A19="",$D19="",$E19=""),"",MAX(0,$E19-$D19))</f>
        <v/>
      </c>
      <c r="G19" s="120" t="str">
        <f aca="false">IF($A19="","",IF($E19&lt;&gt;"",IF(N($F19)&gt;0,"Entregue com atraso","Entregue no prazo"),IF($D19="","Sem data prometida",IF($D19&lt;Hoje!$L$1,"ATRASADA","Aguardando"))))</f>
        <v/>
      </c>
      <c r="H19" s="121"/>
      <c r="I19" s="121"/>
    </row>
    <row r="20" customFormat="false" ht="21" hidden="false" customHeight="true" outlineLevel="0" collapsed="false">
      <c r="A20" s="120"/>
      <c r="B20" s="121"/>
      <c r="C20" s="122"/>
      <c r="D20" s="122"/>
      <c r="E20" s="122"/>
      <c r="F20" s="123" t="str">
        <f aca="false">IF(OR($A20="",$D20="",$E20=""),"",MAX(0,$E20-$D20))</f>
        <v/>
      </c>
      <c r="G20" s="120" t="str">
        <f aca="false">IF($A20="","",IF($E20&lt;&gt;"",IF(N($F20)&gt;0,"Entregue com atraso","Entregue no prazo"),IF($D20="","Sem data prometida",IF($D20&lt;Hoje!$L$1,"ATRASADA","Aguardando"))))</f>
        <v/>
      </c>
      <c r="H20" s="121"/>
      <c r="I20" s="121"/>
    </row>
    <row r="21" customFormat="false" ht="21" hidden="false" customHeight="true" outlineLevel="0" collapsed="false">
      <c r="A21" s="120"/>
      <c r="B21" s="121"/>
      <c r="C21" s="122"/>
      <c r="D21" s="122"/>
      <c r="E21" s="122"/>
      <c r="F21" s="123" t="str">
        <f aca="false">IF(OR($A21="",$D21="",$E21=""),"",MAX(0,$E21-$D21))</f>
        <v/>
      </c>
      <c r="G21" s="120" t="str">
        <f aca="false">IF($A21="","",IF($E21&lt;&gt;"",IF(N($F21)&gt;0,"Entregue com atraso","Entregue no prazo"),IF($D21="","Sem data prometida",IF($D21&lt;Hoje!$L$1,"ATRASADA","Aguardando"))))</f>
        <v/>
      </c>
      <c r="H21" s="121"/>
      <c r="I21" s="121"/>
    </row>
    <row r="22" customFormat="false" ht="21" hidden="false" customHeight="true" outlineLevel="0" collapsed="false">
      <c r="A22" s="120"/>
      <c r="B22" s="121"/>
      <c r="C22" s="122"/>
      <c r="D22" s="122"/>
      <c r="E22" s="122"/>
      <c r="F22" s="123" t="str">
        <f aca="false">IF(OR($A22="",$D22="",$E22=""),"",MAX(0,$E22-$D22))</f>
        <v/>
      </c>
      <c r="G22" s="120" t="str">
        <f aca="false">IF($A22="","",IF($E22&lt;&gt;"",IF(N($F22)&gt;0,"Entregue com atraso","Entregue no prazo"),IF($D22="","Sem data prometida",IF($D22&lt;Hoje!$L$1,"ATRASADA","Aguardando"))))</f>
        <v/>
      </c>
      <c r="H22" s="121"/>
      <c r="I22" s="121"/>
    </row>
    <row r="23" customFormat="false" ht="21" hidden="false" customHeight="true" outlineLevel="0" collapsed="false">
      <c r="A23" s="120"/>
      <c r="B23" s="121"/>
      <c r="C23" s="122"/>
      <c r="D23" s="122"/>
      <c r="E23" s="122"/>
      <c r="F23" s="123" t="str">
        <f aca="false">IF(OR($A23="",$D23="",$E23=""),"",MAX(0,$E23-$D23))</f>
        <v/>
      </c>
      <c r="G23" s="120" t="str">
        <f aca="false">IF($A23="","",IF($E23&lt;&gt;"",IF(N($F23)&gt;0,"Entregue com atraso","Entregue no prazo"),IF($D23="","Sem data prometida",IF($D23&lt;Hoje!$L$1,"ATRASADA","Aguardando"))))</f>
        <v/>
      </c>
      <c r="H23" s="121"/>
      <c r="I23" s="121"/>
    </row>
    <row r="24" customFormat="false" ht="21" hidden="false" customHeight="true" outlineLevel="0" collapsed="false">
      <c r="A24" s="120"/>
      <c r="B24" s="121"/>
      <c r="C24" s="122"/>
      <c r="D24" s="122"/>
      <c r="E24" s="122"/>
      <c r="F24" s="123" t="str">
        <f aca="false">IF(OR($A24="",$D24="",$E24=""),"",MAX(0,$E24-$D24))</f>
        <v/>
      </c>
      <c r="G24" s="120" t="str">
        <f aca="false">IF($A24="","",IF($E24&lt;&gt;"",IF(N($F24)&gt;0,"Entregue com atraso","Entregue no prazo"),IF($D24="","Sem data prometida",IF($D24&lt;Hoje!$L$1,"ATRASADA","Aguardando"))))</f>
        <v/>
      </c>
      <c r="H24" s="121"/>
      <c r="I24" s="121"/>
    </row>
    <row r="25" customFormat="false" ht="21" hidden="false" customHeight="true" outlineLevel="0" collapsed="false">
      <c r="A25" s="120"/>
      <c r="B25" s="121"/>
      <c r="C25" s="122"/>
      <c r="D25" s="122"/>
      <c r="E25" s="122"/>
      <c r="F25" s="123" t="str">
        <f aca="false">IF(OR($A25="",$D25="",$E25=""),"",MAX(0,$E25-$D25))</f>
        <v/>
      </c>
      <c r="G25" s="120" t="str">
        <f aca="false">IF($A25="","",IF($E25&lt;&gt;"",IF(N($F25)&gt;0,"Entregue com atraso","Entregue no prazo"),IF($D25="","Sem data prometida",IF($D25&lt;Hoje!$L$1,"ATRASADA","Aguardando"))))</f>
        <v/>
      </c>
      <c r="H25" s="121"/>
      <c r="I25" s="121"/>
    </row>
    <row r="26" customFormat="false" ht="21" hidden="false" customHeight="true" outlineLevel="0" collapsed="false">
      <c r="A26" s="120"/>
      <c r="B26" s="121"/>
      <c r="C26" s="122"/>
      <c r="D26" s="122"/>
      <c r="E26" s="122"/>
      <c r="F26" s="123" t="str">
        <f aca="false">IF(OR($A26="",$D26="",$E26=""),"",MAX(0,$E26-$D26))</f>
        <v/>
      </c>
      <c r="G26" s="120" t="str">
        <f aca="false">IF($A26="","",IF($E26&lt;&gt;"",IF(N($F26)&gt;0,"Entregue com atraso","Entregue no prazo"),IF($D26="","Sem data prometida",IF($D26&lt;Hoje!$L$1,"ATRASADA","Aguardando"))))</f>
        <v/>
      </c>
      <c r="H26" s="121"/>
      <c r="I26" s="121"/>
    </row>
    <row r="27" customFormat="false" ht="21" hidden="false" customHeight="true" outlineLevel="0" collapsed="false">
      <c r="A27" s="120"/>
      <c r="B27" s="121"/>
      <c r="C27" s="122"/>
      <c r="D27" s="122"/>
      <c r="E27" s="122"/>
      <c r="F27" s="123" t="str">
        <f aca="false">IF(OR($A27="",$D27="",$E27=""),"",MAX(0,$E27-$D27))</f>
        <v/>
      </c>
      <c r="G27" s="120" t="str">
        <f aca="false">IF($A27="","",IF($E27&lt;&gt;"",IF(N($F27)&gt;0,"Entregue com atraso","Entregue no prazo"),IF($D27="","Sem data prometida",IF($D27&lt;Hoje!$L$1,"ATRASADA","Aguardando"))))</f>
        <v/>
      </c>
      <c r="H27" s="121"/>
      <c r="I27" s="121"/>
    </row>
    <row r="28" customFormat="false" ht="21" hidden="false" customHeight="true" outlineLevel="0" collapsed="false">
      <c r="A28" s="120"/>
      <c r="B28" s="121"/>
      <c r="C28" s="122"/>
      <c r="D28" s="122"/>
      <c r="E28" s="122"/>
      <c r="F28" s="123" t="str">
        <f aca="false">IF(OR($A28="",$D28="",$E28=""),"",MAX(0,$E28-$D28))</f>
        <v/>
      </c>
      <c r="G28" s="120" t="str">
        <f aca="false">IF($A28="","",IF($E28&lt;&gt;"",IF(N($F28)&gt;0,"Entregue com atraso","Entregue no prazo"),IF($D28="","Sem data prometida",IF($D28&lt;Hoje!$L$1,"ATRASADA","Aguardando"))))</f>
        <v/>
      </c>
      <c r="H28" s="121"/>
      <c r="I28" s="121"/>
    </row>
    <row r="29" customFormat="false" ht="21" hidden="false" customHeight="true" outlineLevel="0" collapsed="false">
      <c r="A29" s="120"/>
      <c r="B29" s="121"/>
      <c r="C29" s="122"/>
      <c r="D29" s="122"/>
      <c r="E29" s="122"/>
      <c r="F29" s="123" t="str">
        <f aca="false">IF(OR($A29="",$D29="",$E29=""),"",MAX(0,$E29-$D29))</f>
        <v/>
      </c>
      <c r="G29" s="120" t="str">
        <f aca="false">IF($A29="","",IF($E29&lt;&gt;"",IF(N($F29)&gt;0,"Entregue com atraso","Entregue no prazo"),IF($D29="","Sem data prometida",IF($D29&lt;Hoje!$L$1,"ATRASADA","Aguardando"))))</f>
        <v/>
      </c>
      <c r="H29" s="121"/>
      <c r="I29" s="121"/>
    </row>
    <row r="30" customFormat="false" ht="21" hidden="false" customHeight="true" outlineLevel="0" collapsed="false">
      <c r="A30" s="120"/>
      <c r="B30" s="121"/>
      <c r="C30" s="122"/>
      <c r="D30" s="122"/>
      <c r="E30" s="122"/>
      <c r="F30" s="123" t="str">
        <f aca="false">IF(OR($A30="",$D30="",$E30=""),"",MAX(0,$E30-$D30))</f>
        <v/>
      </c>
      <c r="G30" s="120" t="str">
        <f aca="false">IF($A30="","",IF($E30&lt;&gt;"",IF(N($F30)&gt;0,"Entregue com atraso","Entregue no prazo"),IF($D30="","Sem data prometida",IF($D30&lt;Hoje!$L$1,"ATRASADA","Aguardando"))))</f>
        <v/>
      </c>
      <c r="H30" s="121"/>
      <c r="I30" s="121"/>
    </row>
    <row r="31" customFormat="false" ht="21" hidden="false" customHeight="true" outlineLevel="0" collapsed="false">
      <c r="A31" s="120"/>
      <c r="B31" s="121"/>
      <c r="C31" s="122"/>
      <c r="D31" s="122"/>
      <c r="E31" s="122"/>
      <c r="F31" s="123" t="str">
        <f aca="false">IF(OR($A31="",$D31="",$E31=""),"",MAX(0,$E31-$D31))</f>
        <v/>
      </c>
      <c r="G31" s="120" t="str">
        <f aca="false">IF($A31="","",IF($E31&lt;&gt;"",IF(N($F31)&gt;0,"Entregue com atraso","Entregue no prazo"),IF($D31="","Sem data prometida",IF($D31&lt;Hoje!$L$1,"ATRASADA","Aguardando"))))</f>
        <v/>
      </c>
      <c r="H31" s="121"/>
      <c r="I31" s="121"/>
    </row>
    <row r="32" customFormat="false" ht="21" hidden="false" customHeight="true" outlineLevel="0" collapsed="false">
      <c r="A32" s="120"/>
      <c r="B32" s="121"/>
      <c r="C32" s="122"/>
      <c r="D32" s="122"/>
      <c r="E32" s="122"/>
      <c r="F32" s="123" t="str">
        <f aca="false">IF(OR($A32="",$D32="",$E32=""),"",MAX(0,$E32-$D32))</f>
        <v/>
      </c>
      <c r="G32" s="120" t="str">
        <f aca="false">IF($A32="","",IF($E32&lt;&gt;"",IF(N($F32)&gt;0,"Entregue com atraso","Entregue no prazo"),IF($D32="","Sem data prometida",IF($D32&lt;Hoje!$L$1,"ATRASADA","Aguardando"))))</f>
        <v/>
      </c>
      <c r="H32" s="121"/>
      <c r="I32" s="121"/>
    </row>
    <row r="33" customFormat="false" ht="21" hidden="false" customHeight="true" outlineLevel="0" collapsed="false">
      <c r="A33" s="120"/>
      <c r="B33" s="121"/>
      <c r="C33" s="122"/>
      <c r="D33" s="122"/>
      <c r="E33" s="122"/>
      <c r="F33" s="123" t="str">
        <f aca="false">IF(OR($A33="",$D33="",$E33=""),"",MAX(0,$E33-$D33))</f>
        <v/>
      </c>
      <c r="G33" s="120" t="str">
        <f aca="false">IF($A33="","",IF($E33&lt;&gt;"",IF(N($F33)&gt;0,"Entregue com atraso","Entregue no prazo"),IF($D33="","Sem data prometida",IF($D33&lt;Hoje!$L$1,"ATRASADA","Aguardando"))))</f>
        <v/>
      </c>
      <c r="H33" s="121"/>
      <c r="I33" s="121"/>
    </row>
    <row r="34" customFormat="false" ht="21" hidden="false" customHeight="true" outlineLevel="0" collapsed="false">
      <c r="A34" s="120"/>
      <c r="B34" s="121"/>
      <c r="C34" s="122"/>
      <c r="D34" s="122"/>
      <c r="E34" s="122"/>
      <c r="F34" s="123" t="str">
        <f aca="false">IF(OR($A34="",$D34="",$E34=""),"",MAX(0,$E34-$D34))</f>
        <v/>
      </c>
      <c r="G34" s="120" t="str">
        <f aca="false">IF($A34="","",IF($E34&lt;&gt;"",IF(N($F34)&gt;0,"Entregue com atraso","Entregue no prazo"),IF($D34="","Sem data prometida",IF($D34&lt;Hoje!$L$1,"ATRASADA","Aguardando"))))</f>
        <v/>
      </c>
      <c r="H34" s="121"/>
      <c r="I34" s="121"/>
    </row>
    <row r="35" customFormat="false" ht="21" hidden="false" customHeight="true" outlineLevel="0" collapsed="false">
      <c r="A35" s="120"/>
      <c r="B35" s="121"/>
      <c r="C35" s="122"/>
      <c r="D35" s="122"/>
      <c r="E35" s="122"/>
      <c r="F35" s="123" t="str">
        <f aca="false">IF(OR($A35="",$D35="",$E35=""),"",MAX(0,$E35-$D35))</f>
        <v/>
      </c>
      <c r="G35" s="120" t="str">
        <f aca="false">IF($A35="","",IF($E35&lt;&gt;"",IF(N($F35)&gt;0,"Entregue com atraso","Entregue no prazo"),IF($D35="","Sem data prometida",IF($D35&lt;Hoje!$L$1,"ATRASADA","Aguardando"))))</f>
        <v/>
      </c>
      <c r="H35" s="121"/>
      <c r="I35" s="121"/>
    </row>
    <row r="36" customFormat="false" ht="21" hidden="false" customHeight="true" outlineLevel="0" collapsed="false">
      <c r="A36" s="120"/>
      <c r="B36" s="121"/>
      <c r="C36" s="122"/>
      <c r="D36" s="122"/>
      <c r="E36" s="122"/>
      <c r="F36" s="123" t="str">
        <f aca="false">IF(OR($A36="",$D36="",$E36=""),"",MAX(0,$E36-$D36))</f>
        <v/>
      </c>
      <c r="G36" s="120" t="str">
        <f aca="false">IF($A36="","",IF($E36&lt;&gt;"",IF(N($F36)&gt;0,"Entregue com atraso","Entregue no prazo"),IF($D36="","Sem data prometida",IF($D36&lt;Hoje!$L$1,"ATRASADA","Aguardando"))))</f>
        <v/>
      </c>
      <c r="H36" s="121"/>
      <c r="I36" s="121"/>
    </row>
    <row r="37" customFormat="false" ht="21" hidden="false" customHeight="true" outlineLevel="0" collapsed="false">
      <c r="A37" s="120"/>
      <c r="B37" s="121"/>
      <c r="C37" s="122"/>
      <c r="D37" s="122"/>
      <c r="E37" s="122"/>
      <c r="F37" s="123" t="str">
        <f aca="false">IF(OR($A37="",$D37="",$E37=""),"",MAX(0,$E37-$D37))</f>
        <v/>
      </c>
      <c r="G37" s="120" t="str">
        <f aca="false">IF($A37="","",IF($E37&lt;&gt;"",IF(N($F37)&gt;0,"Entregue com atraso","Entregue no prazo"),IF($D37="","Sem data prometida",IF($D37&lt;Hoje!$L$1,"ATRASADA","Aguardando"))))</f>
        <v/>
      </c>
      <c r="H37" s="121"/>
      <c r="I37" s="121"/>
    </row>
    <row r="38" customFormat="false" ht="21" hidden="false" customHeight="true" outlineLevel="0" collapsed="false">
      <c r="A38" s="120"/>
      <c r="B38" s="121"/>
      <c r="C38" s="122"/>
      <c r="D38" s="122"/>
      <c r="E38" s="122"/>
      <c r="F38" s="123" t="str">
        <f aca="false">IF(OR($A38="",$D38="",$E38=""),"",MAX(0,$E38-$D38))</f>
        <v/>
      </c>
      <c r="G38" s="120" t="str">
        <f aca="false">IF($A38="","",IF($E38&lt;&gt;"",IF(N($F38)&gt;0,"Entregue com atraso","Entregue no prazo"),IF($D38="","Sem data prometida",IF($D38&lt;Hoje!$L$1,"ATRASADA","Aguardando"))))</f>
        <v/>
      </c>
      <c r="H38" s="121"/>
      <c r="I38" s="121"/>
    </row>
    <row r="39" customFormat="false" ht="21" hidden="false" customHeight="true" outlineLevel="0" collapsed="false">
      <c r="A39" s="120"/>
      <c r="B39" s="121"/>
      <c r="C39" s="122"/>
      <c r="D39" s="122"/>
      <c r="E39" s="122"/>
      <c r="F39" s="123" t="str">
        <f aca="false">IF(OR($A39="",$D39="",$E39=""),"",MAX(0,$E39-$D39))</f>
        <v/>
      </c>
      <c r="G39" s="120" t="str">
        <f aca="false">IF($A39="","",IF($E39&lt;&gt;"",IF(N($F39)&gt;0,"Entregue com atraso","Entregue no prazo"),IF($D39="","Sem data prometida",IF($D39&lt;Hoje!$L$1,"ATRASADA","Aguardando"))))</f>
        <v/>
      </c>
      <c r="H39" s="121"/>
      <c r="I39" s="121"/>
    </row>
    <row r="40" customFormat="false" ht="21" hidden="false" customHeight="true" outlineLevel="0" collapsed="false">
      <c r="A40" s="120"/>
      <c r="B40" s="121"/>
      <c r="C40" s="122"/>
      <c r="D40" s="122"/>
      <c r="E40" s="122"/>
      <c r="F40" s="123" t="str">
        <f aca="false">IF(OR($A40="",$D40="",$E40=""),"",MAX(0,$E40-$D40))</f>
        <v/>
      </c>
      <c r="G40" s="120" t="str">
        <f aca="false">IF($A40="","",IF($E40&lt;&gt;"",IF(N($F40)&gt;0,"Entregue com atraso","Entregue no prazo"),IF($D40="","Sem data prometida",IF($D40&lt;Hoje!$L$1,"ATRASADA","Aguardando"))))</f>
        <v/>
      </c>
      <c r="H40" s="121"/>
      <c r="I40" s="121"/>
    </row>
    <row r="41" customFormat="false" ht="21" hidden="false" customHeight="true" outlineLevel="0" collapsed="false">
      <c r="A41" s="120"/>
      <c r="B41" s="121"/>
      <c r="C41" s="122"/>
      <c r="D41" s="122"/>
      <c r="E41" s="122"/>
      <c r="F41" s="123" t="str">
        <f aca="false">IF(OR($A41="",$D41="",$E41=""),"",MAX(0,$E41-$D41))</f>
        <v/>
      </c>
      <c r="G41" s="120" t="str">
        <f aca="false">IF($A41="","",IF($E41&lt;&gt;"",IF(N($F41)&gt;0,"Entregue com atraso","Entregue no prazo"),IF($D41="","Sem data prometida",IF($D41&lt;Hoje!$L$1,"ATRASADA","Aguardando"))))</f>
        <v/>
      </c>
      <c r="H41" s="121"/>
      <c r="I41" s="121"/>
    </row>
    <row r="42" customFormat="false" ht="21" hidden="false" customHeight="true" outlineLevel="0" collapsed="false">
      <c r="A42" s="120"/>
      <c r="B42" s="121"/>
      <c r="C42" s="122"/>
      <c r="D42" s="122"/>
      <c r="E42" s="122"/>
      <c r="F42" s="123" t="str">
        <f aca="false">IF(OR($A42="",$D42="",$E42=""),"",MAX(0,$E42-$D42))</f>
        <v/>
      </c>
      <c r="G42" s="120" t="str">
        <f aca="false">IF($A42="","",IF($E42&lt;&gt;"",IF(N($F42)&gt;0,"Entregue com atraso","Entregue no prazo"),IF($D42="","Sem data prometida",IF($D42&lt;Hoje!$L$1,"ATRASADA","Aguardando"))))</f>
        <v/>
      </c>
      <c r="H42" s="121"/>
      <c r="I42" s="121"/>
    </row>
    <row r="43" customFormat="false" ht="21" hidden="false" customHeight="true" outlineLevel="0" collapsed="false">
      <c r="A43" s="120"/>
      <c r="B43" s="121"/>
      <c r="C43" s="122"/>
      <c r="D43" s="122"/>
      <c r="E43" s="122"/>
      <c r="F43" s="123" t="str">
        <f aca="false">IF(OR($A43="",$D43="",$E43=""),"",MAX(0,$E43-$D43))</f>
        <v/>
      </c>
      <c r="G43" s="120" t="str">
        <f aca="false">IF($A43="","",IF($E43&lt;&gt;"",IF(N($F43)&gt;0,"Entregue com atraso","Entregue no prazo"),IF($D43="","Sem data prometida",IF($D43&lt;Hoje!$L$1,"ATRASADA","Aguardando"))))</f>
        <v/>
      </c>
      <c r="H43" s="121"/>
      <c r="I43" s="121"/>
    </row>
    <row r="44" customFormat="false" ht="21" hidden="false" customHeight="true" outlineLevel="0" collapsed="false">
      <c r="A44" s="120"/>
      <c r="B44" s="121"/>
      <c r="C44" s="122"/>
      <c r="D44" s="122"/>
      <c r="E44" s="122"/>
      <c r="F44" s="123" t="str">
        <f aca="false">IF(OR($A44="",$D44="",$E44=""),"",MAX(0,$E44-$D44))</f>
        <v/>
      </c>
      <c r="G44" s="120" t="str">
        <f aca="false">IF($A44="","",IF($E44&lt;&gt;"",IF(N($F44)&gt;0,"Entregue com atraso","Entregue no prazo"),IF($D44="","Sem data prometida",IF($D44&lt;Hoje!$L$1,"ATRASADA","Aguardando"))))</f>
        <v/>
      </c>
      <c r="H44" s="121"/>
      <c r="I44" s="121"/>
    </row>
    <row r="45" customFormat="false" ht="21" hidden="false" customHeight="true" outlineLevel="0" collapsed="false">
      <c r="A45" s="120"/>
      <c r="B45" s="121"/>
      <c r="C45" s="122"/>
      <c r="D45" s="122"/>
      <c r="E45" s="122"/>
      <c r="F45" s="123" t="str">
        <f aca="false">IF(OR($A45="",$D45="",$E45=""),"",MAX(0,$E45-$D45))</f>
        <v/>
      </c>
      <c r="G45" s="120" t="str">
        <f aca="false">IF($A45="","",IF($E45&lt;&gt;"",IF(N($F45)&gt;0,"Entregue com atraso","Entregue no prazo"),IF($D45="","Sem data prometida",IF($D45&lt;Hoje!$L$1,"ATRASADA","Aguardando"))))</f>
        <v/>
      </c>
      <c r="H45" s="121"/>
      <c r="I45" s="121"/>
    </row>
    <row r="46" customFormat="false" ht="21" hidden="false" customHeight="true" outlineLevel="0" collapsed="false">
      <c r="A46" s="120"/>
      <c r="B46" s="121"/>
      <c r="C46" s="122"/>
      <c r="D46" s="122"/>
      <c r="E46" s="122"/>
      <c r="F46" s="123" t="str">
        <f aca="false">IF(OR($A46="",$D46="",$E46=""),"",MAX(0,$E46-$D46))</f>
        <v/>
      </c>
      <c r="G46" s="120" t="str">
        <f aca="false">IF($A46="","",IF($E46&lt;&gt;"",IF(N($F46)&gt;0,"Entregue com atraso","Entregue no prazo"),IF($D46="","Sem data prometida",IF($D46&lt;Hoje!$L$1,"ATRASADA","Aguardando"))))</f>
        <v/>
      </c>
      <c r="H46" s="121"/>
      <c r="I46" s="121"/>
    </row>
    <row r="47" customFormat="false" ht="21" hidden="false" customHeight="true" outlineLevel="0" collapsed="false">
      <c r="A47" s="120"/>
      <c r="B47" s="121"/>
      <c r="C47" s="122"/>
      <c r="D47" s="122"/>
      <c r="E47" s="122"/>
      <c r="F47" s="123" t="str">
        <f aca="false">IF(OR($A47="",$D47="",$E47=""),"",MAX(0,$E47-$D47))</f>
        <v/>
      </c>
      <c r="G47" s="120" t="str">
        <f aca="false">IF($A47="","",IF($E47&lt;&gt;"",IF(N($F47)&gt;0,"Entregue com atraso","Entregue no prazo"),IF($D47="","Sem data prometida",IF($D47&lt;Hoje!$L$1,"ATRASADA","Aguardando"))))</f>
        <v/>
      </c>
      <c r="H47" s="121"/>
      <c r="I47" s="121"/>
    </row>
    <row r="48" customFormat="false" ht="21" hidden="false" customHeight="true" outlineLevel="0" collapsed="false">
      <c r="A48" s="120"/>
      <c r="B48" s="121"/>
      <c r="C48" s="122"/>
      <c r="D48" s="122"/>
      <c r="E48" s="122"/>
      <c r="F48" s="123" t="str">
        <f aca="false">IF(OR($A48="",$D48="",$E48=""),"",MAX(0,$E48-$D48))</f>
        <v/>
      </c>
      <c r="G48" s="120" t="str">
        <f aca="false">IF($A48="","",IF($E48&lt;&gt;"",IF(N($F48)&gt;0,"Entregue com atraso","Entregue no prazo"),IF($D48="","Sem data prometida",IF($D48&lt;Hoje!$L$1,"ATRASADA","Aguardando"))))</f>
        <v/>
      </c>
      <c r="H48" s="121"/>
      <c r="I48" s="121"/>
    </row>
    <row r="49" customFormat="false" ht="21" hidden="false" customHeight="true" outlineLevel="0" collapsed="false">
      <c r="A49" s="120"/>
      <c r="B49" s="121"/>
      <c r="C49" s="122"/>
      <c r="D49" s="122"/>
      <c r="E49" s="122"/>
      <c r="F49" s="123" t="str">
        <f aca="false">IF(OR($A49="",$D49="",$E49=""),"",MAX(0,$E49-$D49))</f>
        <v/>
      </c>
      <c r="G49" s="120" t="str">
        <f aca="false">IF($A49="","",IF($E49&lt;&gt;"",IF(N($F49)&gt;0,"Entregue com atraso","Entregue no prazo"),IF($D49="","Sem data prometida",IF($D49&lt;Hoje!$L$1,"ATRASADA","Aguardando"))))</f>
        <v/>
      </c>
      <c r="H49" s="121"/>
      <c r="I49" s="121"/>
    </row>
    <row r="50" customFormat="false" ht="21" hidden="false" customHeight="true" outlineLevel="0" collapsed="false">
      <c r="A50" s="120"/>
      <c r="B50" s="121"/>
      <c r="C50" s="122"/>
      <c r="D50" s="122"/>
      <c r="E50" s="122"/>
      <c r="F50" s="123" t="str">
        <f aca="false">IF(OR($A50="",$D50="",$E50=""),"",MAX(0,$E50-$D50))</f>
        <v/>
      </c>
      <c r="G50" s="120" t="str">
        <f aca="false">IF($A50="","",IF($E50&lt;&gt;"",IF(N($F50)&gt;0,"Entregue com atraso","Entregue no prazo"),IF($D50="","Sem data prometida",IF($D50&lt;Hoje!$L$1,"ATRASADA","Aguardando"))))</f>
        <v/>
      </c>
      <c r="H50" s="121"/>
      <c r="I50" s="121"/>
    </row>
    <row r="51" customFormat="false" ht="21" hidden="false" customHeight="true" outlineLevel="0" collapsed="false">
      <c r="A51" s="120"/>
      <c r="B51" s="121"/>
      <c r="C51" s="122"/>
      <c r="D51" s="122"/>
      <c r="E51" s="122"/>
      <c r="F51" s="123" t="str">
        <f aca="false">IF(OR($A51="",$D51="",$E51=""),"",MAX(0,$E51-$D51))</f>
        <v/>
      </c>
      <c r="G51" s="120" t="str">
        <f aca="false">IF($A51="","",IF($E51&lt;&gt;"",IF(N($F51)&gt;0,"Entregue com atraso","Entregue no prazo"),IF($D51="","Sem data prometida",IF($D51&lt;Hoje!$L$1,"ATRASADA","Aguardando"))))</f>
        <v/>
      </c>
      <c r="H51" s="121"/>
      <c r="I51" s="121"/>
    </row>
    <row r="52" customFormat="false" ht="21" hidden="false" customHeight="true" outlineLevel="0" collapsed="false">
      <c r="A52" s="120"/>
      <c r="B52" s="121"/>
      <c r="C52" s="122"/>
      <c r="D52" s="122"/>
      <c r="E52" s="122"/>
      <c r="F52" s="123" t="str">
        <f aca="false">IF(OR($A52="",$D52="",$E52=""),"",MAX(0,$E52-$D52))</f>
        <v/>
      </c>
      <c r="G52" s="120" t="str">
        <f aca="false">IF($A52="","",IF($E52&lt;&gt;"",IF(N($F52)&gt;0,"Entregue com atraso","Entregue no prazo"),IF($D52="","Sem data prometida",IF($D52&lt;Hoje!$L$1,"ATRASADA","Aguardando"))))</f>
        <v/>
      </c>
      <c r="H52" s="121"/>
      <c r="I52" s="121"/>
    </row>
    <row r="53" customFormat="false" ht="21" hidden="false" customHeight="true" outlineLevel="0" collapsed="false">
      <c r="A53" s="120"/>
      <c r="B53" s="121"/>
      <c r="C53" s="122"/>
      <c r="D53" s="122"/>
      <c r="E53" s="122"/>
      <c r="F53" s="123" t="str">
        <f aca="false">IF(OR($A53="",$D53="",$E53=""),"",MAX(0,$E53-$D53))</f>
        <v/>
      </c>
      <c r="G53" s="120" t="str">
        <f aca="false">IF($A53="","",IF($E53&lt;&gt;"",IF(N($F53)&gt;0,"Entregue com atraso","Entregue no prazo"),IF($D53="","Sem data prometida",IF($D53&lt;Hoje!$L$1,"ATRASADA","Aguardando"))))</f>
        <v/>
      </c>
      <c r="H53" s="121"/>
      <c r="I53" s="121"/>
    </row>
    <row r="54" customFormat="false" ht="21" hidden="false" customHeight="true" outlineLevel="0" collapsed="false">
      <c r="A54" s="120"/>
      <c r="B54" s="121"/>
      <c r="C54" s="122"/>
      <c r="D54" s="122"/>
      <c r="E54" s="122"/>
      <c r="F54" s="123" t="str">
        <f aca="false">IF(OR($A54="",$D54="",$E54=""),"",MAX(0,$E54-$D54))</f>
        <v/>
      </c>
      <c r="G54" s="120" t="str">
        <f aca="false">IF($A54="","",IF($E54&lt;&gt;"",IF(N($F54)&gt;0,"Entregue com atraso","Entregue no prazo"),IF($D54="","Sem data prometida",IF($D54&lt;Hoje!$L$1,"ATRASADA","Aguardando"))))</f>
        <v/>
      </c>
      <c r="H54" s="121"/>
      <c r="I54" s="121"/>
    </row>
    <row r="55" customFormat="false" ht="21" hidden="false" customHeight="true" outlineLevel="0" collapsed="false">
      <c r="A55" s="120"/>
      <c r="B55" s="121"/>
      <c r="C55" s="122"/>
      <c r="D55" s="122"/>
      <c r="E55" s="122"/>
      <c r="F55" s="123" t="str">
        <f aca="false">IF(OR($A55="",$D55="",$E55=""),"",MAX(0,$E55-$D55))</f>
        <v/>
      </c>
      <c r="G55" s="120" t="str">
        <f aca="false">IF($A55="","",IF($E55&lt;&gt;"",IF(N($F55)&gt;0,"Entregue com atraso","Entregue no prazo"),IF($D55="","Sem data prometida",IF($D55&lt;Hoje!$L$1,"ATRASADA","Aguardando"))))</f>
        <v/>
      </c>
      <c r="H55" s="121"/>
      <c r="I55" s="121"/>
    </row>
    <row r="56" customFormat="false" ht="21" hidden="false" customHeight="true" outlineLevel="0" collapsed="false">
      <c r="A56" s="120"/>
      <c r="B56" s="121"/>
      <c r="C56" s="122"/>
      <c r="D56" s="122"/>
      <c r="E56" s="122"/>
      <c r="F56" s="123" t="str">
        <f aca="false">IF(OR($A56="",$D56="",$E56=""),"",MAX(0,$E56-$D56))</f>
        <v/>
      </c>
      <c r="G56" s="120" t="str">
        <f aca="false">IF($A56="","",IF($E56&lt;&gt;"",IF(N($F56)&gt;0,"Entregue com atraso","Entregue no prazo"),IF($D56="","Sem data prometida",IF($D56&lt;Hoje!$L$1,"ATRASADA","Aguardando"))))</f>
        <v/>
      </c>
      <c r="H56" s="121"/>
      <c r="I56" s="121"/>
    </row>
    <row r="57" customFormat="false" ht="21" hidden="false" customHeight="true" outlineLevel="0" collapsed="false">
      <c r="A57" s="120"/>
      <c r="B57" s="121"/>
      <c r="C57" s="122"/>
      <c r="D57" s="122"/>
      <c r="E57" s="122"/>
      <c r="F57" s="123" t="str">
        <f aca="false">IF(OR($A57="",$D57="",$E57=""),"",MAX(0,$E57-$D57))</f>
        <v/>
      </c>
      <c r="G57" s="120" t="str">
        <f aca="false">IF($A57="","",IF($E57&lt;&gt;"",IF(N($F57)&gt;0,"Entregue com atraso","Entregue no prazo"),IF($D57="","Sem data prometida",IF($D57&lt;Hoje!$L$1,"ATRASADA","Aguardando"))))</f>
        <v/>
      </c>
      <c r="H57" s="121"/>
      <c r="I57" s="121"/>
    </row>
    <row r="58" customFormat="false" ht="21" hidden="false" customHeight="true" outlineLevel="0" collapsed="false">
      <c r="A58" s="120"/>
      <c r="B58" s="121"/>
      <c r="C58" s="122"/>
      <c r="D58" s="122"/>
      <c r="E58" s="122"/>
      <c r="F58" s="123" t="str">
        <f aca="false">IF(OR($A58="",$D58="",$E58=""),"",MAX(0,$E58-$D58))</f>
        <v/>
      </c>
      <c r="G58" s="120" t="str">
        <f aca="false">IF($A58="","",IF($E58&lt;&gt;"",IF(N($F58)&gt;0,"Entregue com atraso","Entregue no prazo"),IF($D58="","Sem data prometida",IF($D58&lt;Hoje!$L$1,"ATRASADA","Aguardando"))))</f>
        <v/>
      </c>
      <c r="H58" s="121"/>
      <c r="I58" s="121"/>
    </row>
    <row r="59" customFormat="false" ht="21" hidden="false" customHeight="true" outlineLevel="0" collapsed="false">
      <c r="A59" s="120"/>
      <c r="B59" s="121"/>
      <c r="C59" s="122"/>
      <c r="D59" s="122"/>
      <c r="E59" s="122"/>
      <c r="F59" s="123" t="str">
        <f aca="false">IF(OR($A59="",$D59="",$E59=""),"",MAX(0,$E59-$D59))</f>
        <v/>
      </c>
      <c r="G59" s="120" t="str">
        <f aca="false">IF($A59="","",IF($E59&lt;&gt;"",IF(N($F59)&gt;0,"Entregue com atraso","Entregue no prazo"),IF($D59="","Sem data prometida",IF($D59&lt;Hoje!$L$1,"ATRASADA","Aguardando"))))</f>
        <v/>
      </c>
      <c r="H59" s="121"/>
      <c r="I59" s="121"/>
    </row>
    <row r="60" customFormat="false" ht="21" hidden="false" customHeight="true" outlineLevel="0" collapsed="false">
      <c r="A60" s="120"/>
      <c r="B60" s="121"/>
      <c r="C60" s="122"/>
      <c r="D60" s="122"/>
      <c r="E60" s="122"/>
      <c r="F60" s="123" t="str">
        <f aca="false">IF(OR($A60="",$D60="",$E60=""),"",MAX(0,$E60-$D60))</f>
        <v/>
      </c>
      <c r="G60" s="120" t="str">
        <f aca="false">IF($A60="","",IF($E60&lt;&gt;"",IF(N($F60)&gt;0,"Entregue com atraso","Entregue no prazo"),IF($D60="","Sem data prometida",IF($D60&lt;Hoje!$L$1,"ATRASADA","Aguardando"))))</f>
        <v/>
      </c>
      <c r="H60" s="121"/>
      <c r="I60" s="121"/>
    </row>
    <row r="61" customFormat="false" ht="21" hidden="false" customHeight="true" outlineLevel="0" collapsed="false">
      <c r="A61" s="120"/>
      <c r="B61" s="121"/>
      <c r="C61" s="122"/>
      <c r="D61" s="122"/>
      <c r="E61" s="122"/>
      <c r="F61" s="123" t="str">
        <f aca="false">IF(OR($A61="",$D61="",$E61=""),"",MAX(0,$E61-$D61))</f>
        <v/>
      </c>
      <c r="G61" s="120" t="str">
        <f aca="false">IF($A61="","",IF($E61&lt;&gt;"",IF(N($F61)&gt;0,"Entregue com atraso","Entregue no prazo"),IF($D61="","Sem data prometida",IF($D61&lt;Hoje!$L$1,"ATRASADA","Aguardando"))))</f>
        <v/>
      </c>
      <c r="H61" s="121"/>
      <c r="I61" s="121"/>
    </row>
    <row r="62" customFormat="false" ht="21" hidden="false" customHeight="true" outlineLevel="0" collapsed="false">
      <c r="A62" s="120"/>
      <c r="B62" s="121"/>
      <c r="C62" s="122"/>
      <c r="D62" s="122"/>
      <c r="E62" s="122"/>
      <c r="F62" s="123" t="str">
        <f aca="false">IF(OR($A62="",$D62="",$E62=""),"",MAX(0,$E62-$D62))</f>
        <v/>
      </c>
      <c r="G62" s="120" t="str">
        <f aca="false">IF($A62="","",IF($E62&lt;&gt;"",IF(N($F62)&gt;0,"Entregue com atraso","Entregue no prazo"),IF($D62="","Sem data prometida",IF($D62&lt;Hoje!$L$1,"ATRASADA","Aguardando"))))</f>
        <v/>
      </c>
      <c r="H62" s="121"/>
      <c r="I62" s="121"/>
    </row>
    <row r="63" customFormat="false" ht="21" hidden="false" customHeight="true" outlineLevel="0" collapsed="false">
      <c r="A63" s="120"/>
      <c r="B63" s="121"/>
      <c r="C63" s="122"/>
      <c r="D63" s="122"/>
      <c r="E63" s="122"/>
      <c r="F63" s="123" t="str">
        <f aca="false">IF(OR($A63="",$D63="",$E63=""),"",MAX(0,$E63-$D63))</f>
        <v/>
      </c>
      <c r="G63" s="120" t="str">
        <f aca="false">IF($A63="","",IF($E63&lt;&gt;"",IF(N($F63)&gt;0,"Entregue com atraso","Entregue no prazo"),IF($D63="","Sem data prometida",IF($D63&lt;Hoje!$L$1,"ATRASADA","Aguardando"))))</f>
        <v/>
      </c>
      <c r="H63" s="121"/>
      <c r="I63" s="121"/>
    </row>
    <row r="64" customFormat="false" ht="21" hidden="false" customHeight="true" outlineLevel="0" collapsed="false">
      <c r="A64" s="120"/>
      <c r="B64" s="121"/>
      <c r="C64" s="122"/>
      <c r="D64" s="122"/>
      <c r="E64" s="122"/>
      <c r="F64" s="123" t="str">
        <f aca="false">IF(OR($A64="",$D64="",$E64=""),"",MAX(0,$E64-$D64))</f>
        <v/>
      </c>
      <c r="G64" s="120" t="str">
        <f aca="false">IF($A64="","",IF($E64&lt;&gt;"",IF(N($F64)&gt;0,"Entregue com atraso","Entregue no prazo"),IF($D64="","Sem data prometida",IF($D64&lt;Hoje!$L$1,"ATRASADA","Aguardando"))))</f>
        <v/>
      </c>
      <c r="H64" s="121"/>
      <c r="I64" s="121"/>
    </row>
    <row r="65" customFormat="false" ht="21" hidden="false" customHeight="true" outlineLevel="0" collapsed="false">
      <c r="A65" s="120"/>
      <c r="B65" s="121"/>
      <c r="C65" s="122"/>
      <c r="D65" s="122"/>
      <c r="E65" s="122"/>
      <c r="F65" s="123" t="str">
        <f aca="false">IF(OR($A65="",$D65="",$E65=""),"",MAX(0,$E65-$D65))</f>
        <v/>
      </c>
      <c r="G65" s="120" t="str">
        <f aca="false">IF($A65="","",IF($E65&lt;&gt;"",IF(N($F65)&gt;0,"Entregue com atraso","Entregue no prazo"),IF($D65="","Sem data prometida",IF($D65&lt;Hoje!$L$1,"ATRASADA","Aguardando"))))</f>
        <v/>
      </c>
      <c r="H65" s="121"/>
      <c r="I65" s="121"/>
    </row>
    <row r="66" customFormat="false" ht="21" hidden="false" customHeight="true" outlineLevel="0" collapsed="false">
      <c r="A66" s="120"/>
      <c r="B66" s="121"/>
      <c r="C66" s="122"/>
      <c r="D66" s="122"/>
      <c r="E66" s="122"/>
      <c r="F66" s="123" t="str">
        <f aca="false">IF(OR($A66="",$D66="",$E66=""),"",MAX(0,$E66-$D66))</f>
        <v/>
      </c>
      <c r="G66" s="120" t="str">
        <f aca="false">IF($A66="","",IF($E66&lt;&gt;"",IF(N($F66)&gt;0,"Entregue com atraso","Entregue no prazo"),IF($D66="","Sem data prometida",IF($D66&lt;Hoje!$L$1,"ATRASADA","Aguardando"))))</f>
        <v/>
      </c>
      <c r="H66" s="121"/>
      <c r="I66" s="121"/>
    </row>
    <row r="67" customFormat="false" ht="21" hidden="false" customHeight="true" outlineLevel="0" collapsed="false">
      <c r="A67" s="120"/>
      <c r="B67" s="121"/>
      <c r="C67" s="122"/>
      <c r="D67" s="122"/>
      <c r="E67" s="122"/>
      <c r="F67" s="123" t="str">
        <f aca="false">IF(OR($A67="",$D67="",$E67=""),"",MAX(0,$E67-$D67))</f>
        <v/>
      </c>
      <c r="G67" s="120" t="str">
        <f aca="false">IF($A67="","",IF($E67&lt;&gt;"",IF(N($F67)&gt;0,"Entregue com atraso","Entregue no prazo"),IF($D67="","Sem data prometida",IF($D67&lt;Hoje!$L$1,"ATRASADA","Aguardando"))))</f>
        <v/>
      </c>
      <c r="H67" s="121"/>
      <c r="I67" s="121"/>
    </row>
    <row r="68" customFormat="false" ht="21" hidden="false" customHeight="true" outlineLevel="0" collapsed="false">
      <c r="A68" s="120"/>
      <c r="B68" s="121"/>
      <c r="C68" s="122"/>
      <c r="D68" s="122"/>
      <c r="E68" s="122"/>
      <c r="F68" s="123" t="str">
        <f aca="false">IF(OR($A68="",$D68="",$E68=""),"",MAX(0,$E68-$D68))</f>
        <v/>
      </c>
      <c r="G68" s="120" t="str">
        <f aca="false">IF($A68="","",IF($E68&lt;&gt;"",IF(N($F68)&gt;0,"Entregue com atraso","Entregue no prazo"),IF($D68="","Sem data prometida",IF($D68&lt;Hoje!$L$1,"ATRASADA","Aguardando"))))</f>
        <v/>
      </c>
      <c r="H68" s="121"/>
      <c r="I68" s="121"/>
    </row>
    <row r="69" customFormat="false" ht="21" hidden="false" customHeight="true" outlineLevel="0" collapsed="false">
      <c r="A69" s="120"/>
      <c r="B69" s="121"/>
      <c r="C69" s="122"/>
      <c r="D69" s="122"/>
      <c r="E69" s="122"/>
      <c r="F69" s="123" t="str">
        <f aca="false">IF(OR($A69="",$D69="",$E69=""),"",MAX(0,$E69-$D69))</f>
        <v/>
      </c>
      <c r="G69" s="120" t="str">
        <f aca="false">IF($A69="","",IF($E69&lt;&gt;"",IF(N($F69)&gt;0,"Entregue com atraso","Entregue no prazo"),IF($D69="","Sem data prometida",IF($D69&lt;Hoje!$L$1,"ATRASADA","Aguardando"))))</f>
        <v/>
      </c>
      <c r="H69" s="121"/>
      <c r="I69" s="121"/>
    </row>
    <row r="70" customFormat="false" ht="21" hidden="false" customHeight="true" outlineLevel="0" collapsed="false">
      <c r="A70" s="120"/>
      <c r="B70" s="121"/>
      <c r="C70" s="122"/>
      <c r="D70" s="122"/>
      <c r="E70" s="122"/>
      <c r="F70" s="123" t="str">
        <f aca="false">IF(OR($A70="",$D70="",$E70=""),"",MAX(0,$E70-$D70))</f>
        <v/>
      </c>
      <c r="G70" s="120" t="str">
        <f aca="false">IF($A70="","",IF($E70&lt;&gt;"",IF(N($F70)&gt;0,"Entregue com atraso","Entregue no prazo"),IF($D70="","Sem data prometida",IF($D70&lt;Hoje!$L$1,"ATRASADA","Aguardando"))))</f>
        <v/>
      </c>
      <c r="H70" s="121"/>
      <c r="I70" s="121"/>
    </row>
    <row r="71" customFormat="false" ht="21" hidden="false" customHeight="true" outlineLevel="0" collapsed="false">
      <c r="A71" s="120"/>
      <c r="B71" s="121"/>
      <c r="C71" s="122"/>
      <c r="D71" s="122"/>
      <c r="E71" s="122"/>
      <c r="F71" s="123" t="str">
        <f aca="false">IF(OR($A71="",$D71="",$E71=""),"",MAX(0,$E71-$D71))</f>
        <v/>
      </c>
      <c r="G71" s="120" t="str">
        <f aca="false">IF($A71="","",IF($E71&lt;&gt;"",IF(N($F71)&gt;0,"Entregue com atraso","Entregue no prazo"),IF($D71="","Sem data prometida",IF($D71&lt;Hoje!$L$1,"ATRASADA","Aguardando"))))</f>
        <v/>
      </c>
      <c r="H71" s="121"/>
      <c r="I71" s="121"/>
    </row>
    <row r="72" customFormat="false" ht="21" hidden="false" customHeight="true" outlineLevel="0" collapsed="false">
      <c r="A72" s="120"/>
      <c r="B72" s="121"/>
      <c r="C72" s="122"/>
      <c r="D72" s="122"/>
      <c r="E72" s="122"/>
      <c r="F72" s="123" t="str">
        <f aca="false">IF(OR($A72="",$D72="",$E72=""),"",MAX(0,$E72-$D72))</f>
        <v/>
      </c>
      <c r="G72" s="120" t="str">
        <f aca="false">IF($A72="","",IF($E72&lt;&gt;"",IF(N($F72)&gt;0,"Entregue com atraso","Entregue no prazo"),IF($D72="","Sem data prometida",IF($D72&lt;Hoje!$L$1,"ATRASADA","Aguardando"))))</f>
        <v/>
      </c>
      <c r="H72" s="121"/>
      <c r="I72" s="121"/>
    </row>
    <row r="73" customFormat="false" ht="21" hidden="false" customHeight="true" outlineLevel="0" collapsed="false">
      <c r="A73" s="120"/>
      <c r="B73" s="121"/>
      <c r="C73" s="122"/>
      <c r="D73" s="122"/>
      <c r="E73" s="122"/>
      <c r="F73" s="123" t="str">
        <f aca="false">IF(OR($A73="",$D73="",$E73=""),"",MAX(0,$E73-$D73))</f>
        <v/>
      </c>
      <c r="G73" s="120" t="str">
        <f aca="false">IF($A73="","",IF($E73&lt;&gt;"",IF(N($F73)&gt;0,"Entregue com atraso","Entregue no prazo"),IF($D73="","Sem data prometida",IF($D73&lt;Hoje!$L$1,"ATRASADA","Aguardando"))))</f>
        <v/>
      </c>
      <c r="H73" s="121"/>
      <c r="I73" s="121"/>
    </row>
    <row r="74" customFormat="false" ht="21" hidden="false" customHeight="true" outlineLevel="0" collapsed="false">
      <c r="A74" s="120"/>
      <c r="B74" s="121"/>
      <c r="C74" s="122"/>
      <c r="D74" s="122"/>
      <c r="E74" s="122"/>
      <c r="F74" s="123" t="str">
        <f aca="false">IF(OR($A74="",$D74="",$E74=""),"",MAX(0,$E74-$D74))</f>
        <v/>
      </c>
      <c r="G74" s="120" t="str">
        <f aca="false">IF($A74="","",IF($E74&lt;&gt;"",IF(N($F74)&gt;0,"Entregue com atraso","Entregue no prazo"),IF($D74="","Sem data prometida",IF($D74&lt;Hoje!$L$1,"ATRASADA","Aguardando"))))</f>
        <v/>
      </c>
      <c r="H74" s="121"/>
      <c r="I74" s="121"/>
    </row>
    <row r="75" customFormat="false" ht="21" hidden="false" customHeight="true" outlineLevel="0" collapsed="false">
      <c r="A75" s="120"/>
      <c r="B75" s="121"/>
      <c r="C75" s="122"/>
      <c r="D75" s="122"/>
      <c r="E75" s="122"/>
      <c r="F75" s="123" t="str">
        <f aca="false">IF(OR($A75="",$D75="",$E75=""),"",MAX(0,$E75-$D75))</f>
        <v/>
      </c>
      <c r="G75" s="120" t="str">
        <f aca="false">IF($A75="","",IF($E75&lt;&gt;"",IF(N($F75)&gt;0,"Entregue com atraso","Entregue no prazo"),IF($D75="","Sem data prometida",IF($D75&lt;Hoje!$L$1,"ATRASADA","Aguardando"))))</f>
        <v/>
      </c>
      <c r="H75" s="121"/>
      <c r="I75" s="121"/>
    </row>
    <row r="76" customFormat="false" ht="21" hidden="false" customHeight="true" outlineLevel="0" collapsed="false">
      <c r="A76" s="120"/>
      <c r="B76" s="121"/>
      <c r="C76" s="122"/>
      <c r="D76" s="122"/>
      <c r="E76" s="122"/>
      <c r="F76" s="123" t="str">
        <f aca="false">IF(OR($A76="",$D76="",$E76=""),"",MAX(0,$E76-$D76))</f>
        <v/>
      </c>
      <c r="G76" s="120" t="str">
        <f aca="false">IF($A76="","",IF($E76&lt;&gt;"",IF(N($F76)&gt;0,"Entregue com atraso","Entregue no prazo"),IF($D76="","Sem data prometida",IF($D76&lt;Hoje!$L$1,"ATRASADA","Aguardando"))))</f>
        <v/>
      </c>
      <c r="H76" s="121"/>
      <c r="I76" s="121"/>
    </row>
    <row r="77" customFormat="false" ht="21" hidden="false" customHeight="true" outlineLevel="0" collapsed="false">
      <c r="A77" s="120"/>
      <c r="B77" s="121"/>
      <c r="C77" s="122"/>
      <c r="D77" s="122"/>
      <c r="E77" s="122"/>
      <c r="F77" s="123" t="str">
        <f aca="false">IF(OR($A77="",$D77="",$E77=""),"",MAX(0,$E77-$D77))</f>
        <v/>
      </c>
      <c r="G77" s="120" t="str">
        <f aca="false">IF($A77="","",IF($E77&lt;&gt;"",IF(N($F77)&gt;0,"Entregue com atraso","Entregue no prazo"),IF($D77="","Sem data prometida",IF($D77&lt;Hoje!$L$1,"ATRASADA","Aguardando"))))</f>
        <v/>
      </c>
      <c r="H77" s="121"/>
      <c r="I77" s="121"/>
    </row>
    <row r="78" customFormat="false" ht="21" hidden="false" customHeight="true" outlineLevel="0" collapsed="false">
      <c r="A78" s="120"/>
      <c r="B78" s="121"/>
      <c r="C78" s="122"/>
      <c r="D78" s="122"/>
      <c r="E78" s="122"/>
      <c r="F78" s="123" t="str">
        <f aca="false">IF(OR($A78="",$D78="",$E78=""),"",MAX(0,$E78-$D78))</f>
        <v/>
      </c>
      <c r="G78" s="120" t="str">
        <f aca="false">IF($A78="","",IF($E78&lt;&gt;"",IF(N($F78)&gt;0,"Entregue com atraso","Entregue no prazo"),IF($D78="","Sem data prometida",IF($D78&lt;Hoje!$L$1,"ATRASADA","Aguardando"))))</f>
        <v/>
      </c>
      <c r="H78" s="121"/>
      <c r="I78" s="121"/>
    </row>
    <row r="79" customFormat="false" ht="21" hidden="false" customHeight="true" outlineLevel="0" collapsed="false">
      <c r="A79" s="120"/>
      <c r="B79" s="121"/>
      <c r="C79" s="122"/>
      <c r="D79" s="122"/>
      <c r="E79" s="122"/>
      <c r="F79" s="123" t="str">
        <f aca="false">IF(OR($A79="",$D79="",$E79=""),"",MAX(0,$E79-$D79))</f>
        <v/>
      </c>
      <c r="G79" s="120" t="str">
        <f aca="false">IF($A79="","",IF($E79&lt;&gt;"",IF(N($F79)&gt;0,"Entregue com atraso","Entregue no prazo"),IF($D79="","Sem data prometida",IF($D79&lt;Hoje!$L$1,"ATRASADA","Aguardando"))))</f>
        <v/>
      </c>
      <c r="H79" s="121"/>
      <c r="I79" s="121"/>
    </row>
    <row r="80" customFormat="false" ht="21" hidden="false" customHeight="true" outlineLevel="0" collapsed="false">
      <c r="A80" s="120"/>
      <c r="B80" s="121"/>
      <c r="C80" s="122"/>
      <c r="D80" s="122"/>
      <c r="E80" s="122"/>
      <c r="F80" s="123" t="str">
        <f aca="false">IF(OR($A80="",$D80="",$E80=""),"",MAX(0,$E80-$D80))</f>
        <v/>
      </c>
      <c r="G80" s="120" t="str">
        <f aca="false">IF($A80="","",IF($E80&lt;&gt;"",IF(N($F80)&gt;0,"Entregue com atraso","Entregue no prazo"),IF($D80="","Sem data prometida",IF($D80&lt;Hoje!$L$1,"ATRASADA","Aguardando"))))</f>
        <v/>
      </c>
      <c r="H80" s="121"/>
      <c r="I80" s="121"/>
    </row>
    <row r="81" customFormat="false" ht="21" hidden="false" customHeight="true" outlineLevel="0" collapsed="false">
      <c r="A81" s="120"/>
      <c r="B81" s="121"/>
      <c r="C81" s="122"/>
      <c r="D81" s="122"/>
      <c r="E81" s="122"/>
      <c r="F81" s="123" t="str">
        <f aca="false">IF(OR($A81="",$D81="",$E81=""),"",MAX(0,$E81-$D81))</f>
        <v/>
      </c>
      <c r="G81" s="120" t="str">
        <f aca="false">IF($A81="","",IF($E81&lt;&gt;"",IF(N($F81)&gt;0,"Entregue com atraso","Entregue no prazo"),IF($D81="","Sem data prometida",IF($D81&lt;Hoje!$L$1,"ATRASADA","Aguardando"))))</f>
        <v/>
      </c>
      <c r="H81" s="121"/>
      <c r="I81" s="121"/>
    </row>
    <row r="82" customFormat="false" ht="21" hidden="false" customHeight="true" outlineLevel="0" collapsed="false">
      <c r="A82" s="120"/>
      <c r="B82" s="121"/>
      <c r="C82" s="122"/>
      <c r="D82" s="122"/>
      <c r="E82" s="122"/>
      <c r="F82" s="123" t="str">
        <f aca="false">IF(OR($A82="",$D82="",$E82=""),"",MAX(0,$E82-$D82))</f>
        <v/>
      </c>
      <c r="G82" s="120" t="str">
        <f aca="false">IF($A82="","",IF($E82&lt;&gt;"",IF(N($F82)&gt;0,"Entregue com atraso","Entregue no prazo"),IF($D82="","Sem data prometida",IF($D82&lt;Hoje!$L$1,"ATRASADA","Aguardando"))))</f>
        <v/>
      </c>
      <c r="H82" s="121"/>
      <c r="I82" s="121"/>
    </row>
    <row r="83" customFormat="false" ht="21" hidden="false" customHeight="true" outlineLevel="0" collapsed="false">
      <c r="A83" s="120"/>
      <c r="B83" s="121"/>
      <c r="C83" s="122"/>
      <c r="D83" s="122"/>
      <c r="E83" s="122"/>
      <c r="F83" s="123" t="str">
        <f aca="false">IF(OR($A83="",$D83="",$E83=""),"",MAX(0,$E83-$D83))</f>
        <v/>
      </c>
      <c r="G83" s="120" t="str">
        <f aca="false">IF($A83="","",IF($E83&lt;&gt;"",IF(N($F83)&gt;0,"Entregue com atraso","Entregue no prazo"),IF($D83="","Sem data prometida",IF($D83&lt;Hoje!$L$1,"ATRASADA","Aguardando"))))</f>
        <v/>
      </c>
      <c r="H83" s="121"/>
      <c r="I83" s="121"/>
    </row>
    <row r="84" customFormat="false" ht="21" hidden="false" customHeight="true" outlineLevel="0" collapsed="false">
      <c r="A84" s="120"/>
      <c r="B84" s="121"/>
      <c r="C84" s="122"/>
      <c r="D84" s="122"/>
      <c r="E84" s="122"/>
      <c r="F84" s="123" t="str">
        <f aca="false">IF(OR($A84="",$D84="",$E84=""),"",MAX(0,$E84-$D84))</f>
        <v/>
      </c>
      <c r="G84" s="120" t="str">
        <f aca="false">IF($A84="","",IF($E84&lt;&gt;"",IF(N($F84)&gt;0,"Entregue com atraso","Entregue no prazo"),IF($D84="","Sem data prometida",IF($D84&lt;Hoje!$L$1,"ATRASADA","Aguardando"))))</f>
        <v/>
      </c>
      <c r="H84" s="121"/>
      <c r="I84" s="121"/>
    </row>
    <row r="85" customFormat="false" ht="21" hidden="false" customHeight="true" outlineLevel="0" collapsed="false">
      <c r="A85" s="120"/>
      <c r="B85" s="121"/>
      <c r="C85" s="122"/>
      <c r="D85" s="122"/>
      <c r="E85" s="122"/>
      <c r="F85" s="123" t="str">
        <f aca="false">IF(OR($A85="",$D85="",$E85=""),"",MAX(0,$E85-$D85))</f>
        <v/>
      </c>
      <c r="G85" s="120" t="str">
        <f aca="false">IF($A85="","",IF($E85&lt;&gt;"",IF(N($F85)&gt;0,"Entregue com atraso","Entregue no prazo"),IF($D85="","Sem data prometida",IF($D85&lt;Hoje!$L$1,"ATRASADA","Aguardando"))))</f>
        <v/>
      </c>
      <c r="H85" s="121"/>
      <c r="I85" s="121"/>
    </row>
    <row r="86" customFormat="false" ht="21" hidden="false" customHeight="true" outlineLevel="0" collapsed="false">
      <c r="A86" s="120"/>
      <c r="B86" s="121"/>
      <c r="C86" s="122"/>
      <c r="D86" s="122"/>
      <c r="E86" s="122"/>
      <c r="F86" s="123" t="str">
        <f aca="false">IF(OR($A86="",$D86="",$E86=""),"",MAX(0,$E86-$D86))</f>
        <v/>
      </c>
      <c r="G86" s="120" t="str">
        <f aca="false">IF($A86="","",IF($E86&lt;&gt;"",IF(N($F86)&gt;0,"Entregue com atraso","Entregue no prazo"),IF($D86="","Sem data prometida",IF($D86&lt;Hoje!$L$1,"ATRASADA","Aguardando"))))</f>
        <v/>
      </c>
      <c r="H86" s="121"/>
      <c r="I86" s="121"/>
    </row>
    <row r="87" customFormat="false" ht="21" hidden="false" customHeight="true" outlineLevel="0" collapsed="false">
      <c r="A87" s="120"/>
      <c r="B87" s="121"/>
      <c r="C87" s="122"/>
      <c r="D87" s="122"/>
      <c r="E87" s="122"/>
      <c r="F87" s="123" t="str">
        <f aca="false">IF(OR($A87="",$D87="",$E87=""),"",MAX(0,$E87-$D87))</f>
        <v/>
      </c>
      <c r="G87" s="120" t="str">
        <f aca="false">IF($A87="","",IF($E87&lt;&gt;"",IF(N($F87)&gt;0,"Entregue com atraso","Entregue no prazo"),IF($D87="","Sem data prometida",IF($D87&lt;Hoje!$L$1,"ATRASADA","Aguardando"))))</f>
        <v/>
      </c>
      <c r="H87" s="121"/>
      <c r="I87" s="121"/>
    </row>
    <row r="88" customFormat="false" ht="21" hidden="false" customHeight="true" outlineLevel="0" collapsed="false">
      <c r="A88" s="120"/>
      <c r="B88" s="121"/>
      <c r="C88" s="122"/>
      <c r="D88" s="122"/>
      <c r="E88" s="122"/>
      <c r="F88" s="123" t="str">
        <f aca="false">IF(OR($A88="",$D88="",$E88=""),"",MAX(0,$E88-$D88))</f>
        <v/>
      </c>
      <c r="G88" s="120" t="str">
        <f aca="false">IF($A88="","",IF($E88&lt;&gt;"",IF(N($F88)&gt;0,"Entregue com atraso","Entregue no prazo"),IF($D88="","Sem data prometida",IF($D88&lt;Hoje!$L$1,"ATRASADA","Aguardando"))))</f>
        <v/>
      </c>
      <c r="H88" s="121"/>
      <c r="I88" s="121"/>
    </row>
    <row r="89" customFormat="false" ht="21" hidden="false" customHeight="true" outlineLevel="0" collapsed="false">
      <c r="A89" s="120"/>
      <c r="B89" s="121"/>
      <c r="C89" s="122"/>
      <c r="D89" s="122"/>
      <c r="E89" s="122"/>
      <c r="F89" s="123" t="str">
        <f aca="false">IF(OR($A89="",$D89="",$E89=""),"",MAX(0,$E89-$D89))</f>
        <v/>
      </c>
      <c r="G89" s="120" t="str">
        <f aca="false">IF($A89="","",IF($E89&lt;&gt;"",IF(N($F89)&gt;0,"Entregue com atraso","Entregue no prazo"),IF($D89="","Sem data prometida",IF($D89&lt;Hoje!$L$1,"ATRASADA","Aguardando"))))</f>
        <v/>
      </c>
      <c r="H89" s="121"/>
      <c r="I89" s="121"/>
    </row>
    <row r="90" customFormat="false" ht="21" hidden="false" customHeight="true" outlineLevel="0" collapsed="false">
      <c r="A90" s="120"/>
      <c r="B90" s="121"/>
      <c r="C90" s="122"/>
      <c r="D90" s="122"/>
      <c r="E90" s="122"/>
      <c r="F90" s="123" t="str">
        <f aca="false">IF(OR($A90="",$D90="",$E90=""),"",MAX(0,$E90-$D90))</f>
        <v/>
      </c>
      <c r="G90" s="120" t="str">
        <f aca="false">IF($A90="","",IF($E90&lt;&gt;"",IF(N($F90)&gt;0,"Entregue com atraso","Entregue no prazo"),IF($D90="","Sem data prometida",IF($D90&lt;Hoje!$L$1,"ATRASADA","Aguardando"))))</f>
        <v/>
      </c>
      <c r="H90" s="121"/>
      <c r="I90" s="121"/>
    </row>
    <row r="91" customFormat="false" ht="21" hidden="false" customHeight="true" outlineLevel="0" collapsed="false">
      <c r="A91" s="120"/>
      <c r="B91" s="121"/>
      <c r="C91" s="122"/>
      <c r="D91" s="122"/>
      <c r="E91" s="122"/>
      <c r="F91" s="123" t="str">
        <f aca="false">IF(OR($A91="",$D91="",$E91=""),"",MAX(0,$E91-$D91))</f>
        <v/>
      </c>
      <c r="G91" s="120" t="str">
        <f aca="false">IF($A91="","",IF($E91&lt;&gt;"",IF(N($F91)&gt;0,"Entregue com atraso","Entregue no prazo"),IF($D91="","Sem data prometida",IF($D91&lt;Hoje!$L$1,"ATRASADA","Aguardando"))))</f>
        <v/>
      </c>
      <c r="H91" s="121"/>
      <c r="I91" s="121"/>
    </row>
    <row r="92" customFormat="false" ht="21" hidden="false" customHeight="true" outlineLevel="0" collapsed="false">
      <c r="A92" s="120"/>
      <c r="B92" s="121"/>
      <c r="C92" s="122"/>
      <c r="D92" s="122"/>
      <c r="E92" s="122"/>
      <c r="F92" s="123" t="str">
        <f aca="false">IF(OR($A92="",$D92="",$E92=""),"",MAX(0,$E92-$D92))</f>
        <v/>
      </c>
      <c r="G92" s="120" t="str">
        <f aca="false">IF($A92="","",IF($E92&lt;&gt;"",IF(N($F92)&gt;0,"Entregue com atraso","Entregue no prazo"),IF($D92="","Sem data prometida",IF($D92&lt;Hoje!$L$1,"ATRASADA","Aguardando"))))</f>
        <v/>
      </c>
      <c r="H92" s="121"/>
      <c r="I92" s="121"/>
    </row>
    <row r="93" customFormat="false" ht="21" hidden="false" customHeight="true" outlineLevel="0" collapsed="false">
      <c r="A93" s="120"/>
      <c r="B93" s="121"/>
      <c r="C93" s="122"/>
      <c r="D93" s="122"/>
      <c r="E93" s="122"/>
      <c r="F93" s="123" t="str">
        <f aca="false">IF(OR($A93="",$D93="",$E93=""),"",MAX(0,$E93-$D93))</f>
        <v/>
      </c>
      <c r="G93" s="120" t="str">
        <f aca="false">IF($A93="","",IF($E93&lt;&gt;"",IF(N($F93)&gt;0,"Entregue com atraso","Entregue no prazo"),IF($D93="","Sem data prometida",IF($D93&lt;Hoje!$L$1,"ATRASADA","Aguardando"))))</f>
        <v/>
      </c>
      <c r="H93" s="121"/>
      <c r="I93" s="121"/>
    </row>
    <row r="94" customFormat="false" ht="21" hidden="false" customHeight="true" outlineLevel="0" collapsed="false">
      <c r="A94" s="120"/>
      <c r="B94" s="121"/>
      <c r="C94" s="122"/>
      <c r="D94" s="122"/>
      <c r="E94" s="122"/>
      <c r="F94" s="123" t="str">
        <f aca="false">IF(OR($A94="",$D94="",$E94=""),"",MAX(0,$E94-$D94))</f>
        <v/>
      </c>
      <c r="G94" s="120" t="str">
        <f aca="false">IF($A94="","",IF($E94&lt;&gt;"",IF(N($F94)&gt;0,"Entregue com atraso","Entregue no prazo"),IF($D94="","Sem data prometida",IF($D94&lt;Hoje!$L$1,"ATRASADA","Aguardando"))))</f>
        <v/>
      </c>
      <c r="H94" s="121"/>
      <c r="I94" s="121"/>
    </row>
    <row r="95" customFormat="false" ht="21" hidden="false" customHeight="true" outlineLevel="0" collapsed="false">
      <c r="A95" s="120"/>
      <c r="B95" s="121"/>
      <c r="C95" s="122"/>
      <c r="D95" s="122"/>
      <c r="E95" s="122"/>
      <c r="F95" s="123" t="str">
        <f aca="false">IF(OR($A95="",$D95="",$E95=""),"",MAX(0,$E95-$D95))</f>
        <v/>
      </c>
      <c r="G95" s="120" t="str">
        <f aca="false">IF($A95="","",IF($E95&lt;&gt;"",IF(N($F95)&gt;0,"Entregue com atraso","Entregue no prazo"),IF($D95="","Sem data prometida",IF($D95&lt;Hoje!$L$1,"ATRASADA","Aguardando"))))</f>
        <v/>
      </c>
      <c r="H95" s="121"/>
      <c r="I95" s="121"/>
    </row>
    <row r="96" customFormat="false" ht="21" hidden="false" customHeight="true" outlineLevel="0" collapsed="false">
      <c r="A96" s="120"/>
      <c r="B96" s="121"/>
      <c r="C96" s="122"/>
      <c r="D96" s="122"/>
      <c r="E96" s="122"/>
      <c r="F96" s="123" t="str">
        <f aca="false">IF(OR($A96="",$D96="",$E96=""),"",MAX(0,$E96-$D96))</f>
        <v/>
      </c>
      <c r="G96" s="120" t="str">
        <f aca="false">IF($A96="","",IF($E96&lt;&gt;"",IF(N($F96)&gt;0,"Entregue com atraso","Entregue no prazo"),IF($D96="","Sem data prometida",IF($D96&lt;Hoje!$L$1,"ATRASADA","Aguardando"))))</f>
        <v/>
      </c>
      <c r="H96" s="121"/>
      <c r="I96" s="121"/>
    </row>
    <row r="97" customFormat="false" ht="21" hidden="false" customHeight="true" outlineLevel="0" collapsed="false">
      <c r="A97" s="120"/>
      <c r="B97" s="121"/>
      <c r="C97" s="122"/>
      <c r="D97" s="122"/>
      <c r="E97" s="122"/>
      <c r="F97" s="123" t="str">
        <f aca="false">IF(OR($A97="",$D97="",$E97=""),"",MAX(0,$E97-$D97))</f>
        <v/>
      </c>
      <c r="G97" s="120" t="str">
        <f aca="false">IF($A97="","",IF($E97&lt;&gt;"",IF(N($F97)&gt;0,"Entregue com atraso","Entregue no prazo"),IF($D97="","Sem data prometida",IF($D97&lt;Hoje!$L$1,"ATRASADA","Aguardando"))))</f>
        <v/>
      </c>
      <c r="H97" s="121"/>
      <c r="I97" s="121"/>
    </row>
    <row r="98" customFormat="false" ht="21" hidden="false" customHeight="true" outlineLevel="0" collapsed="false">
      <c r="A98" s="120"/>
      <c r="B98" s="121"/>
      <c r="C98" s="122"/>
      <c r="D98" s="122"/>
      <c r="E98" s="122"/>
      <c r="F98" s="123" t="str">
        <f aca="false">IF(OR($A98="",$D98="",$E98=""),"",MAX(0,$E98-$D98))</f>
        <v/>
      </c>
      <c r="G98" s="120" t="str">
        <f aca="false">IF($A98="","",IF($E98&lt;&gt;"",IF(N($F98)&gt;0,"Entregue com atraso","Entregue no prazo"),IF($D98="","Sem data prometida",IF($D98&lt;Hoje!$L$1,"ATRASADA","Aguardando"))))</f>
        <v/>
      </c>
      <c r="H98" s="121"/>
      <c r="I98" s="121"/>
    </row>
    <row r="99" customFormat="false" ht="21" hidden="false" customHeight="true" outlineLevel="0" collapsed="false">
      <c r="A99" s="120"/>
      <c r="B99" s="121"/>
      <c r="C99" s="122"/>
      <c r="D99" s="122"/>
      <c r="E99" s="122"/>
      <c r="F99" s="123" t="str">
        <f aca="false">IF(OR($A99="",$D99="",$E99=""),"",MAX(0,$E99-$D99))</f>
        <v/>
      </c>
      <c r="G99" s="120" t="str">
        <f aca="false">IF($A99="","",IF($E99&lt;&gt;"",IF(N($F99)&gt;0,"Entregue com atraso","Entregue no prazo"),IF($D99="","Sem data prometida",IF($D99&lt;Hoje!$L$1,"ATRASADA","Aguardando"))))</f>
        <v/>
      </c>
      <c r="H99" s="121"/>
      <c r="I99" s="121"/>
    </row>
    <row r="100" customFormat="false" ht="21" hidden="false" customHeight="true" outlineLevel="0" collapsed="false">
      <c r="A100" s="120"/>
      <c r="B100" s="121"/>
      <c r="C100" s="122"/>
      <c r="D100" s="122"/>
      <c r="E100" s="122"/>
      <c r="F100" s="123" t="str">
        <f aca="false">IF(OR($A100="",$D100="",$E100=""),"",MAX(0,$E100-$D100))</f>
        <v/>
      </c>
      <c r="G100" s="120" t="str">
        <f aca="false">IF($A100="","",IF($E100&lt;&gt;"",IF(N($F100)&gt;0,"Entregue com atraso","Entregue no prazo"),IF($D100="","Sem data prometida",IF($D100&lt;Hoje!$L$1,"ATRASADA","Aguardando"))))</f>
        <v/>
      </c>
      <c r="H100" s="121"/>
      <c r="I100" s="121"/>
    </row>
    <row r="101" customFormat="false" ht="21" hidden="false" customHeight="true" outlineLevel="0" collapsed="false">
      <c r="A101" s="120"/>
      <c r="B101" s="121"/>
      <c r="C101" s="122"/>
      <c r="D101" s="122"/>
      <c r="E101" s="122"/>
      <c r="F101" s="123" t="str">
        <f aca="false">IF(OR($A101="",$D101="",$E101=""),"",MAX(0,$E101-$D101))</f>
        <v/>
      </c>
      <c r="G101" s="120" t="str">
        <f aca="false">IF($A101="","",IF($E101&lt;&gt;"",IF(N($F101)&gt;0,"Entregue com atraso","Entregue no prazo"),IF($D101="","Sem data prometida",IF($D101&lt;Hoje!$L$1,"ATRASADA","Aguardando"))))</f>
        <v/>
      </c>
      <c r="H101" s="121"/>
      <c r="I101" s="121"/>
    </row>
    <row r="102" customFormat="false" ht="21" hidden="false" customHeight="true" outlineLevel="0" collapsed="false">
      <c r="A102" s="120"/>
      <c r="B102" s="121"/>
      <c r="C102" s="122"/>
      <c r="D102" s="122"/>
      <c r="E102" s="122"/>
      <c r="F102" s="123" t="str">
        <f aca="false">IF(OR($A102="",$D102="",$E102=""),"",MAX(0,$E102-$D102))</f>
        <v/>
      </c>
      <c r="G102" s="120" t="str">
        <f aca="false">IF($A102="","",IF($E102&lt;&gt;"",IF(N($F102)&gt;0,"Entregue com atraso","Entregue no prazo"),IF($D102="","Sem data prometida",IF($D102&lt;Hoje!$L$1,"ATRASADA","Aguardando"))))</f>
        <v/>
      </c>
      <c r="H102" s="121"/>
      <c r="I102" s="121"/>
    </row>
    <row r="103" customFormat="false" ht="21" hidden="false" customHeight="true" outlineLevel="0" collapsed="false">
      <c r="A103" s="120"/>
      <c r="B103" s="121"/>
      <c r="C103" s="122"/>
      <c r="D103" s="122"/>
      <c r="E103" s="122"/>
      <c r="F103" s="123" t="str">
        <f aca="false">IF(OR($A103="",$D103="",$E103=""),"",MAX(0,$E103-$D103))</f>
        <v/>
      </c>
      <c r="G103" s="120" t="str">
        <f aca="false">IF($A103="","",IF($E103&lt;&gt;"",IF(N($F103)&gt;0,"Entregue com atraso","Entregue no prazo"),IF($D103="","Sem data prometida",IF($D103&lt;Hoje!$L$1,"ATRASADA","Aguardando"))))</f>
        <v/>
      </c>
      <c r="H103" s="121"/>
      <c r="I103" s="121"/>
    </row>
    <row r="104" customFormat="false" ht="21" hidden="false" customHeight="true" outlineLevel="0" collapsed="false">
      <c r="A104" s="120"/>
      <c r="B104" s="121"/>
      <c r="C104" s="122"/>
      <c r="D104" s="122"/>
      <c r="E104" s="122"/>
      <c r="F104" s="123" t="str">
        <f aca="false">IF(OR($A104="",$D104="",$E104=""),"",MAX(0,$E104-$D104))</f>
        <v/>
      </c>
      <c r="G104" s="120" t="str">
        <f aca="false">IF($A104="","",IF($E104&lt;&gt;"",IF(N($F104)&gt;0,"Entregue com atraso","Entregue no prazo"),IF($D104="","Sem data prometida",IF($D104&lt;Hoje!$L$1,"ATRASADA","Aguardando"))))</f>
        <v/>
      </c>
      <c r="H104" s="121"/>
      <c r="I104" s="121"/>
    </row>
    <row r="105" customFormat="false" ht="21" hidden="false" customHeight="true" outlineLevel="0" collapsed="false">
      <c r="A105" s="120"/>
      <c r="B105" s="121"/>
      <c r="C105" s="122"/>
      <c r="D105" s="122"/>
      <c r="E105" s="122"/>
      <c r="F105" s="123" t="str">
        <f aca="false">IF(OR($A105="",$D105="",$E105=""),"",MAX(0,$E105-$D105))</f>
        <v/>
      </c>
      <c r="G105" s="120" t="str">
        <f aca="false">IF($A105="","",IF($E105&lt;&gt;"",IF(N($F105)&gt;0,"Entregue com atraso","Entregue no prazo"),IF($D105="","Sem data prometida",IF($D105&lt;Hoje!$L$1,"ATRASADA","Aguardando"))))</f>
        <v/>
      </c>
      <c r="H105" s="121"/>
      <c r="I105" s="121"/>
    </row>
    <row r="106" customFormat="false" ht="21" hidden="false" customHeight="true" outlineLevel="0" collapsed="false">
      <c r="A106" s="120"/>
      <c r="B106" s="121"/>
      <c r="C106" s="122"/>
      <c r="D106" s="122"/>
      <c r="E106" s="122"/>
      <c r="F106" s="123" t="str">
        <f aca="false">IF(OR($A106="",$D106="",$E106=""),"",MAX(0,$E106-$D106))</f>
        <v/>
      </c>
      <c r="G106" s="120" t="str">
        <f aca="false">IF($A106="","",IF($E106&lt;&gt;"",IF(N($F106)&gt;0,"Entregue com atraso","Entregue no prazo"),IF($D106="","Sem data prometida",IF($D106&lt;Hoje!$L$1,"ATRASADA","Aguardando"))))</f>
        <v/>
      </c>
      <c r="H106" s="121"/>
      <c r="I106" s="121"/>
    </row>
    <row r="107" customFormat="false" ht="21" hidden="false" customHeight="true" outlineLevel="0" collapsed="false">
      <c r="A107" s="120"/>
      <c r="B107" s="121"/>
      <c r="C107" s="122"/>
      <c r="D107" s="122"/>
      <c r="E107" s="122"/>
      <c r="F107" s="123" t="str">
        <f aca="false">IF(OR($A107="",$D107="",$E107=""),"",MAX(0,$E107-$D107))</f>
        <v/>
      </c>
      <c r="G107" s="120" t="str">
        <f aca="false">IF($A107="","",IF($E107&lt;&gt;"",IF(N($F107)&gt;0,"Entregue com atraso","Entregue no prazo"),IF($D107="","Sem data prometida",IF($D107&lt;Hoje!$L$1,"ATRASADA","Aguardando"))))</f>
        <v/>
      </c>
      <c r="H107" s="121"/>
      <c r="I107" s="121"/>
    </row>
    <row r="108" customFormat="false" ht="21" hidden="false" customHeight="true" outlineLevel="0" collapsed="false">
      <c r="A108" s="120"/>
      <c r="B108" s="121"/>
      <c r="C108" s="122"/>
      <c r="D108" s="122"/>
      <c r="E108" s="122"/>
      <c r="F108" s="123" t="str">
        <f aca="false">IF(OR($A108="",$D108="",$E108=""),"",MAX(0,$E108-$D108))</f>
        <v/>
      </c>
      <c r="G108" s="120" t="str">
        <f aca="false">IF($A108="","",IF($E108&lt;&gt;"",IF(N($F108)&gt;0,"Entregue com atraso","Entregue no prazo"),IF($D108="","Sem data prometida",IF($D108&lt;Hoje!$L$1,"ATRASADA","Aguardando"))))</f>
        <v/>
      </c>
      <c r="H108" s="121"/>
      <c r="I108" s="121"/>
    </row>
    <row r="109" customFormat="false" ht="21" hidden="false" customHeight="true" outlineLevel="0" collapsed="false">
      <c r="A109" s="120"/>
      <c r="B109" s="121"/>
      <c r="C109" s="122"/>
      <c r="D109" s="122"/>
      <c r="E109" s="122"/>
      <c r="F109" s="123" t="str">
        <f aca="false">IF(OR($A109="",$D109="",$E109=""),"",MAX(0,$E109-$D109))</f>
        <v/>
      </c>
      <c r="G109" s="120" t="str">
        <f aca="false">IF($A109="","",IF($E109&lt;&gt;"",IF(N($F109)&gt;0,"Entregue com atraso","Entregue no prazo"),IF($D109="","Sem data prometida",IF($D109&lt;Hoje!$L$1,"ATRASADA","Aguardando"))))</f>
        <v/>
      </c>
      <c r="H109" s="121"/>
      <c r="I109" s="121"/>
    </row>
    <row r="110" customFormat="false" ht="21" hidden="false" customHeight="true" outlineLevel="0" collapsed="false">
      <c r="A110" s="120"/>
      <c r="B110" s="121"/>
      <c r="C110" s="122"/>
      <c r="D110" s="122"/>
      <c r="E110" s="122"/>
      <c r="F110" s="123" t="str">
        <f aca="false">IF(OR($A110="",$D110="",$E110=""),"",MAX(0,$E110-$D110))</f>
        <v/>
      </c>
      <c r="G110" s="120" t="str">
        <f aca="false">IF($A110="","",IF($E110&lt;&gt;"",IF(N($F110)&gt;0,"Entregue com atraso","Entregue no prazo"),IF($D110="","Sem data prometida",IF($D110&lt;Hoje!$L$1,"ATRASADA","Aguardando"))))</f>
        <v/>
      </c>
      <c r="H110" s="121"/>
      <c r="I110" s="121"/>
    </row>
    <row r="111" customFormat="false" ht="21" hidden="false" customHeight="true" outlineLevel="0" collapsed="false">
      <c r="A111" s="120"/>
      <c r="B111" s="121"/>
      <c r="C111" s="122"/>
      <c r="D111" s="122"/>
      <c r="E111" s="122"/>
      <c r="F111" s="123" t="str">
        <f aca="false">IF(OR($A111="",$D111="",$E111=""),"",MAX(0,$E111-$D111))</f>
        <v/>
      </c>
      <c r="G111" s="120" t="str">
        <f aca="false">IF($A111="","",IF($E111&lt;&gt;"",IF(N($F111)&gt;0,"Entregue com atraso","Entregue no prazo"),IF($D111="","Sem data prometida",IF($D111&lt;Hoje!$L$1,"ATRASADA","Aguardando"))))</f>
        <v/>
      </c>
      <c r="H111" s="121"/>
      <c r="I111" s="121"/>
    </row>
    <row r="112" customFormat="false" ht="21" hidden="false" customHeight="true" outlineLevel="0" collapsed="false">
      <c r="A112" s="120"/>
      <c r="B112" s="121"/>
      <c r="C112" s="122"/>
      <c r="D112" s="122"/>
      <c r="E112" s="122"/>
      <c r="F112" s="123" t="str">
        <f aca="false">IF(OR($A112="",$D112="",$E112=""),"",MAX(0,$E112-$D112))</f>
        <v/>
      </c>
      <c r="G112" s="120" t="str">
        <f aca="false">IF($A112="","",IF($E112&lt;&gt;"",IF(N($F112)&gt;0,"Entregue com atraso","Entregue no prazo"),IF($D112="","Sem data prometida",IF($D112&lt;Hoje!$L$1,"ATRASADA","Aguardando"))))</f>
        <v/>
      </c>
      <c r="H112" s="121"/>
      <c r="I112" s="121"/>
    </row>
    <row r="113" customFormat="false" ht="21" hidden="false" customHeight="true" outlineLevel="0" collapsed="false">
      <c r="A113" s="120"/>
      <c r="B113" s="121"/>
      <c r="C113" s="122"/>
      <c r="D113" s="122"/>
      <c r="E113" s="122"/>
      <c r="F113" s="123" t="str">
        <f aca="false">IF(OR($A113="",$D113="",$E113=""),"",MAX(0,$E113-$D113))</f>
        <v/>
      </c>
      <c r="G113" s="120" t="str">
        <f aca="false">IF($A113="","",IF($E113&lt;&gt;"",IF(N($F113)&gt;0,"Entregue com atraso","Entregue no prazo"),IF($D113="","Sem data prometida",IF($D113&lt;Hoje!$L$1,"ATRASADA","Aguardando"))))</f>
        <v/>
      </c>
      <c r="H113" s="121"/>
      <c r="I113" s="121"/>
    </row>
    <row r="114" customFormat="false" ht="21" hidden="false" customHeight="true" outlineLevel="0" collapsed="false">
      <c r="A114" s="120"/>
      <c r="B114" s="121"/>
      <c r="C114" s="122"/>
      <c r="D114" s="122"/>
      <c r="E114" s="122"/>
      <c r="F114" s="123" t="str">
        <f aca="false">IF(OR($A114="",$D114="",$E114=""),"",MAX(0,$E114-$D114))</f>
        <v/>
      </c>
      <c r="G114" s="120" t="str">
        <f aca="false">IF($A114="","",IF($E114&lt;&gt;"",IF(N($F114)&gt;0,"Entregue com atraso","Entregue no prazo"),IF($D114="","Sem data prometida",IF($D114&lt;Hoje!$L$1,"ATRASADA","Aguardando"))))</f>
        <v/>
      </c>
      <c r="H114" s="121"/>
      <c r="I114" s="121"/>
    </row>
    <row r="115" customFormat="false" ht="21" hidden="false" customHeight="true" outlineLevel="0" collapsed="false">
      <c r="A115" s="120"/>
      <c r="B115" s="121"/>
      <c r="C115" s="122"/>
      <c r="D115" s="122"/>
      <c r="E115" s="122"/>
      <c r="F115" s="123" t="str">
        <f aca="false">IF(OR($A115="",$D115="",$E115=""),"",MAX(0,$E115-$D115))</f>
        <v/>
      </c>
      <c r="G115" s="120" t="str">
        <f aca="false">IF($A115="","",IF($E115&lt;&gt;"",IF(N($F115)&gt;0,"Entregue com atraso","Entregue no prazo"),IF($D115="","Sem data prometida",IF($D115&lt;Hoje!$L$1,"ATRASADA","Aguardando"))))</f>
        <v/>
      </c>
      <c r="H115" s="121"/>
      <c r="I115" s="121"/>
    </row>
    <row r="116" customFormat="false" ht="21" hidden="false" customHeight="true" outlineLevel="0" collapsed="false">
      <c r="A116" s="120"/>
      <c r="B116" s="121"/>
      <c r="C116" s="122"/>
      <c r="D116" s="122"/>
      <c r="E116" s="122"/>
      <c r="F116" s="123" t="str">
        <f aca="false">IF(OR($A116="",$D116="",$E116=""),"",MAX(0,$E116-$D116))</f>
        <v/>
      </c>
      <c r="G116" s="120" t="str">
        <f aca="false">IF($A116="","",IF($E116&lt;&gt;"",IF(N($F116)&gt;0,"Entregue com atraso","Entregue no prazo"),IF($D116="","Sem data prometida",IF($D116&lt;Hoje!$L$1,"ATRASADA","Aguardando"))))</f>
        <v/>
      </c>
      <c r="H116" s="121"/>
      <c r="I116" s="121"/>
    </row>
    <row r="117" customFormat="false" ht="21" hidden="false" customHeight="true" outlineLevel="0" collapsed="false">
      <c r="A117" s="120"/>
      <c r="B117" s="121"/>
      <c r="C117" s="122"/>
      <c r="D117" s="122"/>
      <c r="E117" s="122"/>
      <c r="F117" s="123" t="str">
        <f aca="false">IF(OR($A117="",$D117="",$E117=""),"",MAX(0,$E117-$D117))</f>
        <v/>
      </c>
      <c r="G117" s="120" t="str">
        <f aca="false">IF($A117="","",IF($E117&lt;&gt;"",IF(N($F117)&gt;0,"Entregue com atraso","Entregue no prazo"),IF($D117="","Sem data prometida",IF($D117&lt;Hoje!$L$1,"ATRASADA","Aguardando"))))</f>
        <v/>
      </c>
      <c r="H117" s="121"/>
      <c r="I117" s="121"/>
    </row>
    <row r="118" customFormat="false" ht="21" hidden="false" customHeight="true" outlineLevel="0" collapsed="false">
      <c r="A118" s="120"/>
      <c r="B118" s="121"/>
      <c r="C118" s="122"/>
      <c r="D118" s="122"/>
      <c r="E118" s="122"/>
      <c r="F118" s="123" t="str">
        <f aca="false">IF(OR($A118="",$D118="",$E118=""),"",MAX(0,$E118-$D118))</f>
        <v/>
      </c>
      <c r="G118" s="120" t="str">
        <f aca="false">IF($A118="","",IF($E118&lt;&gt;"",IF(N($F118)&gt;0,"Entregue com atraso","Entregue no prazo"),IF($D118="","Sem data prometida",IF($D118&lt;Hoje!$L$1,"ATRASADA","Aguardando"))))</f>
        <v/>
      </c>
      <c r="H118" s="121"/>
      <c r="I118" s="121"/>
    </row>
    <row r="119" customFormat="false" ht="21" hidden="false" customHeight="true" outlineLevel="0" collapsed="false">
      <c r="A119" s="120"/>
      <c r="B119" s="121"/>
      <c r="C119" s="122"/>
      <c r="D119" s="122"/>
      <c r="E119" s="122"/>
      <c r="F119" s="123" t="str">
        <f aca="false">IF(OR($A119="",$D119="",$E119=""),"",MAX(0,$E119-$D119))</f>
        <v/>
      </c>
      <c r="G119" s="120" t="str">
        <f aca="false">IF($A119="","",IF($E119&lt;&gt;"",IF(N($F119)&gt;0,"Entregue com atraso","Entregue no prazo"),IF($D119="","Sem data prometida",IF($D119&lt;Hoje!$L$1,"ATRASADA","Aguardando"))))</f>
        <v/>
      </c>
      <c r="H119" s="121"/>
      <c r="I119" s="121"/>
    </row>
    <row r="120" customFormat="false" ht="21" hidden="false" customHeight="true" outlineLevel="0" collapsed="false">
      <c r="A120" s="120"/>
      <c r="B120" s="121"/>
      <c r="C120" s="122"/>
      <c r="D120" s="122"/>
      <c r="E120" s="122"/>
      <c r="F120" s="123" t="str">
        <f aca="false">IF(OR($A120="",$D120="",$E120=""),"",MAX(0,$E120-$D120))</f>
        <v/>
      </c>
      <c r="G120" s="120" t="str">
        <f aca="false">IF($A120="","",IF($E120&lt;&gt;"",IF(N($F120)&gt;0,"Entregue com atraso","Entregue no prazo"),IF($D120="","Sem data prometida",IF($D120&lt;Hoje!$L$1,"ATRASADA","Aguardando"))))</f>
        <v/>
      </c>
      <c r="H120" s="121"/>
      <c r="I120" s="121"/>
    </row>
    <row r="121" customFormat="false" ht="21" hidden="false" customHeight="true" outlineLevel="0" collapsed="false">
      <c r="A121" s="120"/>
      <c r="B121" s="121"/>
      <c r="C121" s="122"/>
      <c r="D121" s="122"/>
      <c r="E121" s="122"/>
      <c r="F121" s="123" t="str">
        <f aca="false">IF(OR($A121="",$D121="",$E121=""),"",MAX(0,$E121-$D121))</f>
        <v/>
      </c>
      <c r="G121" s="120" t="str">
        <f aca="false">IF($A121="","",IF($E121&lt;&gt;"",IF(N($F121)&gt;0,"Entregue com atraso","Entregue no prazo"),IF($D121="","Sem data prometida",IF($D121&lt;Hoje!$L$1,"ATRASADA","Aguardando"))))</f>
        <v/>
      </c>
      <c r="H121" s="121"/>
      <c r="I121" s="121"/>
    </row>
    <row r="122" customFormat="false" ht="21" hidden="false" customHeight="true" outlineLevel="0" collapsed="false">
      <c r="A122" s="120"/>
      <c r="B122" s="121"/>
      <c r="C122" s="122"/>
      <c r="D122" s="122"/>
      <c r="E122" s="122"/>
      <c r="F122" s="123" t="str">
        <f aca="false">IF(OR($A122="",$D122="",$E122=""),"",MAX(0,$E122-$D122))</f>
        <v/>
      </c>
      <c r="G122" s="120" t="str">
        <f aca="false">IF($A122="","",IF($E122&lt;&gt;"",IF(N($F122)&gt;0,"Entregue com atraso","Entregue no prazo"),IF($D122="","Sem data prometida",IF($D122&lt;Hoje!$L$1,"ATRASADA","Aguardando"))))</f>
        <v/>
      </c>
      <c r="H122" s="121"/>
      <c r="I122" s="121"/>
    </row>
    <row r="123" customFormat="false" ht="21" hidden="false" customHeight="true" outlineLevel="0" collapsed="false">
      <c r="A123" s="120"/>
      <c r="B123" s="121"/>
      <c r="C123" s="122"/>
      <c r="D123" s="122"/>
      <c r="E123" s="122"/>
      <c r="F123" s="123" t="str">
        <f aca="false">IF(OR($A123="",$D123="",$E123=""),"",MAX(0,$E123-$D123))</f>
        <v/>
      </c>
      <c r="G123" s="120" t="str">
        <f aca="false">IF($A123="","",IF($E123&lt;&gt;"",IF(N($F123)&gt;0,"Entregue com atraso","Entregue no prazo"),IF($D123="","Sem data prometida",IF($D123&lt;Hoje!$L$1,"ATRASADA","Aguardando"))))</f>
        <v/>
      </c>
      <c r="H123" s="121"/>
      <c r="I123" s="121"/>
    </row>
    <row r="124" customFormat="false" ht="21" hidden="false" customHeight="true" outlineLevel="0" collapsed="false">
      <c r="A124" s="120"/>
      <c r="B124" s="121"/>
      <c r="C124" s="122"/>
      <c r="D124" s="122"/>
      <c r="E124" s="122"/>
      <c r="F124" s="123" t="str">
        <f aca="false">IF(OR($A124="",$D124="",$E124=""),"",MAX(0,$E124-$D124))</f>
        <v/>
      </c>
      <c r="G124" s="120" t="str">
        <f aca="false">IF($A124="","",IF($E124&lt;&gt;"",IF(N($F124)&gt;0,"Entregue com atraso","Entregue no prazo"),IF($D124="","Sem data prometida",IF($D124&lt;Hoje!$L$1,"ATRASADA","Aguardando"))))</f>
        <v/>
      </c>
      <c r="H124" s="121"/>
      <c r="I124" s="121"/>
    </row>
    <row r="125" customFormat="false" ht="21" hidden="false" customHeight="true" outlineLevel="0" collapsed="false">
      <c r="A125" s="120"/>
      <c r="B125" s="121"/>
      <c r="C125" s="122"/>
      <c r="D125" s="122"/>
      <c r="E125" s="122"/>
      <c r="F125" s="123" t="str">
        <f aca="false">IF(OR($A125="",$D125="",$E125=""),"",MAX(0,$E125-$D125))</f>
        <v/>
      </c>
      <c r="G125" s="120" t="str">
        <f aca="false">IF($A125="","",IF($E125&lt;&gt;"",IF(N($F125)&gt;0,"Entregue com atraso","Entregue no prazo"),IF($D125="","Sem data prometida",IF($D125&lt;Hoje!$L$1,"ATRASADA","Aguardando"))))</f>
        <v/>
      </c>
      <c r="H125" s="121"/>
      <c r="I125" s="121"/>
    </row>
    <row r="126" customFormat="false" ht="21" hidden="false" customHeight="true" outlineLevel="0" collapsed="false">
      <c r="A126" s="120"/>
      <c r="B126" s="121"/>
      <c r="C126" s="122"/>
      <c r="D126" s="122"/>
      <c r="E126" s="122"/>
      <c r="F126" s="123" t="str">
        <f aca="false">IF(OR($A126="",$D126="",$E126=""),"",MAX(0,$E126-$D126))</f>
        <v/>
      </c>
      <c r="G126" s="120" t="str">
        <f aca="false">IF($A126="","",IF($E126&lt;&gt;"",IF(N($F126)&gt;0,"Entregue com atraso","Entregue no prazo"),IF($D126="","Sem data prometida",IF($D126&lt;Hoje!$L$1,"ATRASADA","Aguardando"))))</f>
        <v/>
      </c>
      <c r="H126" s="121"/>
      <c r="I126" s="121"/>
    </row>
    <row r="127" customFormat="false" ht="21" hidden="false" customHeight="true" outlineLevel="0" collapsed="false">
      <c r="A127" s="120"/>
      <c r="B127" s="121"/>
      <c r="C127" s="122"/>
      <c r="D127" s="122"/>
      <c r="E127" s="122"/>
      <c r="F127" s="123" t="str">
        <f aca="false">IF(OR($A127="",$D127="",$E127=""),"",MAX(0,$E127-$D127))</f>
        <v/>
      </c>
      <c r="G127" s="120" t="str">
        <f aca="false">IF($A127="","",IF($E127&lt;&gt;"",IF(N($F127)&gt;0,"Entregue com atraso","Entregue no prazo"),IF($D127="","Sem data prometida",IF($D127&lt;Hoje!$L$1,"ATRASADA","Aguardando"))))</f>
        <v/>
      </c>
      <c r="H127" s="121"/>
      <c r="I127" s="121"/>
    </row>
    <row r="128" customFormat="false" ht="21" hidden="false" customHeight="true" outlineLevel="0" collapsed="false">
      <c r="A128" s="120"/>
      <c r="B128" s="121"/>
      <c r="C128" s="122"/>
      <c r="D128" s="122"/>
      <c r="E128" s="122"/>
      <c r="F128" s="123" t="str">
        <f aca="false">IF(OR($A128="",$D128="",$E128=""),"",MAX(0,$E128-$D128))</f>
        <v/>
      </c>
      <c r="G128" s="120" t="str">
        <f aca="false">IF($A128="","",IF($E128&lt;&gt;"",IF(N($F128)&gt;0,"Entregue com atraso","Entregue no prazo"),IF($D128="","Sem data prometida",IF($D128&lt;Hoje!$L$1,"ATRASADA","Aguardando"))))</f>
        <v/>
      </c>
      <c r="H128" s="121"/>
      <c r="I128" s="121"/>
    </row>
    <row r="129" customFormat="false" ht="21" hidden="false" customHeight="true" outlineLevel="0" collapsed="false">
      <c r="A129" s="120"/>
      <c r="B129" s="121"/>
      <c r="C129" s="122"/>
      <c r="D129" s="122"/>
      <c r="E129" s="122"/>
      <c r="F129" s="123" t="str">
        <f aca="false">IF(OR($A129="",$D129="",$E129=""),"",MAX(0,$E129-$D129))</f>
        <v/>
      </c>
      <c r="G129" s="120" t="str">
        <f aca="false">IF($A129="","",IF($E129&lt;&gt;"",IF(N($F129)&gt;0,"Entregue com atraso","Entregue no prazo"),IF($D129="","Sem data prometida",IF($D129&lt;Hoje!$L$1,"ATRASADA","Aguardando"))))</f>
        <v/>
      </c>
      <c r="H129" s="121"/>
      <c r="I129" s="121"/>
    </row>
    <row r="130" customFormat="false" ht="21" hidden="false" customHeight="true" outlineLevel="0" collapsed="false">
      <c r="A130" s="120"/>
      <c r="B130" s="121"/>
      <c r="C130" s="122"/>
      <c r="D130" s="122"/>
      <c r="E130" s="122"/>
      <c r="F130" s="123" t="str">
        <f aca="false">IF(OR($A130="",$D130="",$E130=""),"",MAX(0,$E130-$D130))</f>
        <v/>
      </c>
      <c r="G130" s="120" t="str">
        <f aca="false">IF($A130="","",IF($E130&lt;&gt;"",IF(N($F130)&gt;0,"Entregue com atraso","Entregue no prazo"),IF($D130="","Sem data prometida",IF($D130&lt;Hoje!$L$1,"ATRASADA","Aguardando"))))</f>
        <v/>
      </c>
      <c r="H130" s="121"/>
      <c r="I130" s="121"/>
    </row>
    <row r="131" customFormat="false" ht="21" hidden="false" customHeight="true" outlineLevel="0" collapsed="false">
      <c r="A131" s="120"/>
      <c r="B131" s="121"/>
      <c r="C131" s="122"/>
      <c r="D131" s="122"/>
      <c r="E131" s="122"/>
      <c r="F131" s="123" t="str">
        <f aca="false">IF(OR($A131="",$D131="",$E131=""),"",MAX(0,$E131-$D131))</f>
        <v/>
      </c>
      <c r="G131" s="120" t="str">
        <f aca="false">IF($A131="","",IF($E131&lt;&gt;"",IF(N($F131)&gt;0,"Entregue com atraso","Entregue no prazo"),IF($D131="","Sem data prometida",IF($D131&lt;Hoje!$L$1,"ATRASADA","Aguardando"))))</f>
        <v/>
      </c>
      <c r="H131" s="121"/>
      <c r="I131" s="121"/>
    </row>
    <row r="132" customFormat="false" ht="21" hidden="false" customHeight="true" outlineLevel="0" collapsed="false">
      <c r="A132" s="120"/>
      <c r="B132" s="121"/>
      <c r="C132" s="122"/>
      <c r="D132" s="122"/>
      <c r="E132" s="122"/>
      <c r="F132" s="123" t="str">
        <f aca="false">IF(OR($A132="",$D132="",$E132=""),"",MAX(0,$E132-$D132))</f>
        <v/>
      </c>
      <c r="G132" s="120" t="str">
        <f aca="false">IF($A132="","",IF($E132&lt;&gt;"",IF(N($F132)&gt;0,"Entregue com atraso","Entregue no prazo"),IF($D132="","Sem data prometida",IF($D132&lt;Hoje!$L$1,"ATRASADA","Aguardando"))))</f>
        <v/>
      </c>
      <c r="H132" s="121"/>
      <c r="I132" s="121"/>
    </row>
    <row r="133" customFormat="false" ht="21" hidden="false" customHeight="true" outlineLevel="0" collapsed="false">
      <c r="A133" s="120"/>
      <c r="B133" s="121"/>
      <c r="C133" s="122"/>
      <c r="D133" s="122"/>
      <c r="E133" s="122"/>
      <c r="F133" s="123" t="str">
        <f aca="false">IF(OR($A133="",$D133="",$E133=""),"",MAX(0,$E133-$D133))</f>
        <v/>
      </c>
      <c r="G133" s="120" t="str">
        <f aca="false">IF($A133="","",IF($E133&lt;&gt;"",IF(N($F133)&gt;0,"Entregue com atraso","Entregue no prazo"),IF($D133="","Sem data prometida",IF($D133&lt;Hoje!$L$1,"ATRASADA","Aguardando"))))</f>
        <v/>
      </c>
      <c r="H133" s="121"/>
      <c r="I133" s="121"/>
    </row>
    <row r="134" customFormat="false" ht="21" hidden="false" customHeight="true" outlineLevel="0" collapsed="false">
      <c r="A134" s="120"/>
      <c r="B134" s="121"/>
      <c r="C134" s="122"/>
      <c r="D134" s="122"/>
      <c r="E134" s="122"/>
      <c r="F134" s="123" t="str">
        <f aca="false">IF(OR($A134="",$D134="",$E134=""),"",MAX(0,$E134-$D134))</f>
        <v/>
      </c>
      <c r="G134" s="120" t="str">
        <f aca="false">IF($A134="","",IF($E134&lt;&gt;"",IF(N($F134)&gt;0,"Entregue com atraso","Entregue no prazo"),IF($D134="","Sem data prometida",IF($D134&lt;Hoje!$L$1,"ATRASADA","Aguardando"))))</f>
        <v/>
      </c>
      <c r="H134" s="121"/>
      <c r="I134" s="121"/>
    </row>
    <row r="135" customFormat="false" ht="21" hidden="false" customHeight="true" outlineLevel="0" collapsed="false">
      <c r="A135" s="120"/>
      <c r="B135" s="121"/>
      <c r="C135" s="122"/>
      <c r="D135" s="122"/>
      <c r="E135" s="122"/>
      <c r="F135" s="123" t="str">
        <f aca="false">IF(OR($A135="",$D135="",$E135=""),"",MAX(0,$E135-$D135))</f>
        <v/>
      </c>
      <c r="G135" s="120" t="str">
        <f aca="false">IF($A135="","",IF($E135&lt;&gt;"",IF(N($F135)&gt;0,"Entregue com atraso","Entregue no prazo"),IF($D135="","Sem data prometida",IF($D135&lt;Hoje!$L$1,"ATRASADA","Aguardando"))))</f>
        <v/>
      </c>
      <c r="H135" s="121"/>
      <c r="I135" s="121"/>
    </row>
    <row r="136" customFormat="false" ht="21" hidden="false" customHeight="true" outlineLevel="0" collapsed="false">
      <c r="A136" s="120"/>
      <c r="B136" s="121"/>
      <c r="C136" s="122"/>
      <c r="D136" s="122"/>
      <c r="E136" s="122"/>
      <c r="F136" s="123" t="str">
        <f aca="false">IF(OR($A136="",$D136="",$E136=""),"",MAX(0,$E136-$D136))</f>
        <v/>
      </c>
      <c r="G136" s="120" t="str">
        <f aca="false">IF($A136="","",IF($E136&lt;&gt;"",IF(N($F136)&gt;0,"Entregue com atraso","Entregue no prazo"),IF($D136="","Sem data prometida",IF($D136&lt;Hoje!$L$1,"ATRASADA","Aguardando"))))</f>
        <v/>
      </c>
      <c r="H136" s="121"/>
      <c r="I136" s="121"/>
    </row>
    <row r="137" customFormat="false" ht="21" hidden="false" customHeight="true" outlineLevel="0" collapsed="false">
      <c r="A137" s="120"/>
      <c r="B137" s="121"/>
      <c r="C137" s="122"/>
      <c r="D137" s="122"/>
      <c r="E137" s="122"/>
      <c r="F137" s="123" t="str">
        <f aca="false">IF(OR($A137="",$D137="",$E137=""),"",MAX(0,$E137-$D137))</f>
        <v/>
      </c>
      <c r="G137" s="120" t="str">
        <f aca="false">IF($A137="","",IF($E137&lt;&gt;"",IF(N($F137)&gt;0,"Entregue com atraso","Entregue no prazo"),IF($D137="","Sem data prometida",IF($D137&lt;Hoje!$L$1,"ATRASADA","Aguardando"))))</f>
        <v/>
      </c>
      <c r="H137" s="121"/>
      <c r="I137" s="121"/>
    </row>
    <row r="138" customFormat="false" ht="21" hidden="false" customHeight="true" outlineLevel="0" collapsed="false">
      <c r="A138" s="120"/>
      <c r="B138" s="121"/>
      <c r="C138" s="122"/>
      <c r="D138" s="122"/>
      <c r="E138" s="122"/>
      <c r="F138" s="123" t="str">
        <f aca="false">IF(OR($A138="",$D138="",$E138=""),"",MAX(0,$E138-$D138))</f>
        <v/>
      </c>
      <c r="G138" s="120" t="str">
        <f aca="false">IF($A138="","",IF($E138&lt;&gt;"",IF(N($F138)&gt;0,"Entregue com atraso","Entregue no prazo"),IF($D138="","Sem data prometida",IF($D138&lt;Hoje!$L$1,"ATRASADA","Aguardando"))))</f>
        <v/>
      </c>
      <c r="H138" s="121"/>
      <c r="I138" s="121"/>
    </row>
    <row r="139" customFormat="false" ht="21" hidden="false" customHeight="true" outlineLevel="0" collapsed="false">
      <c r="A139" s="120"/>
      <c r="B139" s="121"/>
      <c r="C139" s="122"/>
      <c r="D139" s="122"/>
      <c r="E139" s="122"/>
      <c r="F139" s="123" t="str">
        <f aca="false">IF(OR($A139="",$D139="",$E139=""),"",MAX(0,$E139-$D139))</f>
        <v/>
      </c>
      <c r="G139" s="120" t="str">
        <f aca="false">IF($A139="","",IF($E139&lt;&gt;"",IF(N($F139)&gt;0,"Entregue com atraso","Entregue no prazo"),IF($D139="","Sem data prometida",IF($D139&lt;Hoje!$L$1,"ATRASADA","Aguardando"))))</f>
        <v/>
      </c>
      <c r="H139" s="121"/>
      <c r="I139" s="121"/>
    </row>
    <row r="140" customFormat="false" ht="21" hidden="false" customHeight="true" outlineLevel="0" collapsed="false">
      <c r="A140" s="120"/>
      <c r="B140" s="121"/>
      <c r="C140" s="122"/>
      <c r="D140" s="122"/>
      <c r="E140" s="122"/>
      <c r="F140" s="123" t="str">
        <f aca="false">IF(OR($A140="",$D140="",$E140=""),"",MAX(0,$E140-$D140))</f>
        <v/>
      </c>
      <c r="G140" s="120" t="str">
        <f aca="false">IF($A140="","",IF($E140&lt;&gt;"",IF(N($F140)&gt;0,"Entregue com atraso","Entregue no prazo"),IF($D140="","Sem data prometida",IF($D140&lt;Hoje!$L$1,"ATRASADA","Aguardando"))))</f>
        <v/>
      </c>
      <c r="H140" s="121"/>
      <c r="I140" s="121"/>
    </row>
    <row r="141" customFormat="false" ht="21" hidden="false" customHeight="true" outlineLevel="0" collapsed="false">
      <c r="A141" s="120"/>
      <c r="B141" s="121"/>
      <c r="C141" s="122"/>
      <c r="D141" s="122"/>
      <c r="E141" s="122"/>
      <c r="F141" s="123" t="str">
        <f aca="false">IF(OR($A141="",$D141="",$E141=""),"",MAX(0,$E141-$D141))</f>
        <v/>
      </c>
      <c r="G141" s="120" t="str">
        <f aca="false">IF($A141="","",IF($E141&lt;&gt;"",IF(N($F141)&gt;0,"Entregue com atraso","Entregue no prazo"),IF($D141="","Sem data prometida",IF($D141&lt;Hoje!$L$1,"ATRASADA","Aguardando"))))</f>
        <v/>
      </c>
      <c r="H141" s="121"/>
      <c r="I141" s="121"/>
    </row>
    <row r="142" customFormat="false" ht="21" hidden="false" customHeight="true" outlineLevel="0" collapsed="false">
      <c r="A142" s="120"/>
      <c r="B142" s="121"/>
      <c r="C142" s="122"/>
      <c r="D142" s="122"/>
      <c r="E142" s="122"/>
      <c r="F142" s="123" t="str">
        <f aca="false">IF(OR($A142="",$D142="",$E142=""),"",MAX(0,$E142-$D142))</f>
        <v/>
      </c>
      <c r="G142" s="120" t="str">
        <f aca="false">IF($A142="","",IF($E142&lt;&gt;"",IF(N($F142)&gt;0,"Entregue com atraso","Entregue no prazo"),IF($D142="","Sem data prometida",IF($D142&lt;Hoje!$L$1,"ATRASADA","Aguardando"))))</f>
        <v/>
      </c>
      <c r="H142" s="121"/>
      <c r="I142" s="121"/>
    </row>
    <row r="143" customFormat="false" ht="21" hidden="false" customHeight="true" outlineLevel="0" collapsed="false">
      <c r="A143" s="120"/>
      <c r="B143" s="121"/>
      <c r="C143" s="122"/>
      <c r="D143" s="122"/>
      <c r="E143" s="122"/>
      <c r="F143" s="123" t="str">
        <f aca="false">IF(OR($A143="",$D143="",$E143=""),"",MAX(0,$E143-$D143))</f>
        <v/>
      </c>
      <c r="G143" s="120" t="str">
        <f aca="false">IF($A143="","",IF($E143&lt;&gt;"",IF(N($F143)&gt;0,"Entregue com atraso","Entregue no prazo"),IF($D143="","Sem data prometida",IF($D143&lt;Hoje!$L$1,"ATRASADA","Aguardando"))))</f>
        <v/>
      </c>
      <c r="H143" s="121"/>
      <c r="I143" s="121"/>
    </row>
    <row r="144" customFormat="false" ht="21" hidden="false" customHeight="true" outlineLevel="0" collapsed="false">
      <c r="A144" s="120"/>
      <c r="B144" s="121"/>
      <c r="C144" s="122"/>
      <c r="D144" s="122"/>
      <c r="E144" s="122"/>
      <c r="F144" s="123" t="str">
        <f aca="false">IF(OR($A144="",$D144="",$E144=""),"",MAX(0,$E144-$D144))</f>
        <v/>
      </c>
      <c r="G144" s="120" t="str">
        <f aca="false">IF($A144="","",IF($E144&lt;&gt;"",IF(N($F144)&gt;0,"Entregue com atraso","Entregue no prazo"),IF($D144="","Sem data prometida",IF($D144&lt;Hoje!$L$1,"ATRASADA","Aguardando"))))</f>
        <v/>
      </c>
      <c r="H144" s="121"/>
      <c r="I144" s="121"/>
    </row>
    <row r="145" customFormat="false" ht="21" hidden="false" customHeight="true" outlineLevel="0" collapsed="false">
      <c r="A145" s="120"/>
      <c r="B145" s="121"/>
      <c r="C145" s="122"/>
      <c r="D145" s="122"/>
      <c r="E145" s="122"/>
      <c r="F145" s="123" t="str">
        <f aca="false">IF(OR($A145="",$D145="",$E145=""),"",MAX(0,$E145-$D145))</f>
        <v/>
      </c>
      <c r="G145" s="120" t="str">
        <f aca="false">IF($A145="","",IF($E145&lt;&gt;"",IF(N($F145)&gt;0,"Entregue com atraso","Entregue no prazo"),IF($D145="","Sem data prometida",IF($D145&lt;Hoje!$L$1,"ATRASADA","Aguardando"))))</f>
        <v/>
      </c>
      <c r="H145" s="121"/>
      <c r="I145" s="121"/>
    </row>
    <row r="146" customFormat="false" ht="21" hidden="false" customHeight="true" outlineLevel="0" collapsed="false">
      <c r="A146" s="120"/>
      <c r="B146" s="121"/>
      <c r="C146" s="122"/>
      <c r="D146" s="122"/>
      <c r="E146" s="122"/>
      <c r="F146" s="123" t="str">
        <f aca="false">IF(OR($A146="",$D146="",$E146=""),"",MAX(0,$E146-$D146))</f>
        <v/>
      </c>
      <c r="G146" s="120" t="str">
        <f aca="false">IF($A146="","",IF($E146&lt;&gt;"",IF(N($F146)&gt;0,"Entregue com atraso","Entregue no prazo"),IF($D146="","Sem data prometida",IF($D146&lt;Hoje!$L$1,"ATRASADA","Aguardando"))))</f>
        <v/>
      </c>
      <c r="H146" s="121"/>
      <c r="I146" s="121"/>
    </row>
    <row r="147" customFormat="false" ht="21" hidden="false" customHeight="true" outlineLevel="0" collapsed="false">
      <c r="A147" s="120"/>
      <c r="B147" s="121"/>
      <c r="C147" s="122"/>
      <c r="D147" s="122"/>
      <c r="E147" s="122"/>
      <c r="F147" s="123" t="str">
        <f aca="false">IF(OR($A147="",$D147="",$E147=""),"",MAX(0,$E147-$D147))</f>
        <v/>
      </c>
      <c r="G147" s="120" t="str">
        <f aca="false">IF($A147="","",IF($E147&lt;&gt;"",IF(N($F147)&gt;0,"Entregue com atraso","Entregue no prazo"),IF($D147="","Sem data prometida",IF($D147&lt;Hoje!$L$1,"ATRASADA","Aguardando"))))</f>
        <v/>
      </c>
      <c r="H147" s="121"/>
      <c r="I147" s="121"/>
    </row>
    <row r="148" customFormat="false" ht="21" hidden="false" customHeight="true" outlineLevel="0" collapsed="false">
      <c r="A148" s="120"/>
      <c r="B148" s="121"/>
      <c r="C148" s="122"/>
      <c r="D148" s="122"/>
      <c r="E148" s="122"/>
      <c r="F148" s="123" t="str">
        <f aca="false">IF(OR($A148="",$D148="",$E148=""),"",MAX(0,$E148-$D148))</f>
        <v/>
      </c>
      <c r="G148" s="120" t="str">
        <f aca="false">IF($A148="","",IF($E148&lt;&gt;"",IF(N($F148)&gt;0,"Entregue com atraso","Entregue no prazo"),IF($D148="","Sem data prometida",IF($D148&lt;Hoje!$L$1,"ATRASADA","Aguardando"))))</f>
        <v/>
      </c>
      <c r="H148" s="121"/>
      <c r="I148" s="121"/>
    </row>
    <row r="149" customFormat="false" ht="21" hidden="false" customHeight="true" outlineLevel="0" collapsed="false">
      <c r="A149" s="120"/>
      <c r="B149" s="121"/>
      <c r="C149" s="122"/>
      <c r="D149" s="122"/>
      <c r="E149" s="122"/>
      <c r="F149" s="123" t="str">
        <f aca="false">IF(OR($A149="",$D149="",$E149=""),"",MAX(0,$E149-$D149))</f>
        <v/>
      </c>
      <c r="G149" s="120" t="str">
        <f aca="false">IF($A149="","",IF($E149&lt;&gt;"",IF(N($F149)&gt;0,"Entregue com atraso","Entregue no prazo"),IF($D149="","Sem data prometida",IF($D149&lt;Hoje!$L$1,"ATRASADA","Aguardando"))))</f>
        <v/>
      </c>
      <c r="H149" s="121"/>
      <c r="I149" s="121"/>
    </row>
    <row r="150" customFormat="false" ht="21" hidden="false" customHeight="true" outlineLevel="0" collapsed="false">
      <c r="A150" s="120"/>
      <c r="B150" s="121"/>
      <c r="C150" s="122"/>
      <c r="D150" s="122"/>
      <c r="E150" s="122"/>
      <c r="F150" s="123" t="str">
        <f aca="false">IF(OR($A150="",$D150="",$E150=""),"",MAX(0,$E150-$D150))</f>
        <v/>
      </c>
      <c r="G150" s="120" t="str">
        <f aca="false">IF($A150="","",IF($E150&lt;&gt;"",IF(N($F150)&gt;0,"Entregue com atraso","Entregue no prazo"),IF($D150="","Sem data prometida",IF($D150&lt;Hoje!$L$1,"ATRASADA","Aguardando"))))</f>
        <v/>
      </c>
      <c r="H150" s="121"/>
      <c r="I150" s="121"/>
    </row>
    <row r="151" customFormat="false" ht="21" hidden="false" customHeight="true" outlineLevel="0" collapsed="false">
      <c r="A151" s="120"/>
      <c r="B151" s="121"/>
      <c r="C151" s="122"/>
      <c r="D151" s="122"/>
      <c r="E151" s="122"/>
      <c r="F151" s="123" t="str">
        <f aca="false">IF(OR($A151="",$D151="",$E151=""),"",MAX(0,$E151-$D151))</f>
        <v/>
      </c>
      <c r="G151" s="120" t="str">
        <f aca="false">IF($A151="","",IF($E151&lt;&gt;"",IF(N($F151)&gt;0,"Entregue com atraso","Entregue no prazo"),IF($D151="","Sem data prometida",IF($D151&lt;Hoje!$L$1,"ATRASADA","Aguardando"))))</f>
        <v/>
      </c>
      <c r="H151" s="121"/>
      <c r="I151" s="121"/>
    </row>
    <row r="152" customFormat="false" ht="21" hidden="false" customHeight="true" outlineLevel="0" collapsed="false">
      <c r="A152" s="120"/>
      <c r="B152" s="121"/>
      <c r="C152" s="122"/>
      <c r="D152" s="122"/>
      <c r="E152" s="122"/>
      <c r="F152" s="123" t="str">
        <f aca="false">IF(OR($A152="",$D152="",$E152=""),"",MAX(0,$E152-$D152))</f>
        <v/>
      </c>
      <c r="G152" s="120" t="str">
        <f aca="false">IF($A152="","",IF($E152&lt;&gt;"",IF(N($F152)&gt;0,"Entregue com atraso","Entregue no prazo"),IF($D152="","Sem data prometida",IF($D152&lt;Hoje!$L$1,"ATRASADA","Aguardando"))))</f>
        <v/>
      </c>
      <c r="H152" s="121"/>
      <c r="I152" s="121"/>
    </row>
    <row r="153" customFormat="false" ht="21" hidden="false" customHeight="true" outlineLevel="0" collapsed="false">
      <c r="A153" s="120"/>
      <c r="B153" s="121"/>
      <c r="C153" s="122"/>
      <c r="D153" s="122"/>
      <c r="E153" s="122"/>
      <c r="F153" s="123" t="str">
        <f aca="false">IF(OR($A153="",$D153="",$E153=""),"",MAX(0,$E153-$D153))</f>
        <v/>
      </c>
      <c r="G153" s="120" t="str">
        <f aca="false">IF($A153="","",IF($E153&lt;&gt;"",IF(N($F153)&gt;0,"Entregue com atraso","Entregue no prazo"),IF($D153="","Sem data prometida",IF($D153&lt;Hoje!$L$1,"ATRASADA","Aguardando"))))</f>
        <v/>
      </c>
      <c r="H153" s="121"/>
      <c r="I153" s="121"/>
    </row>
    <row r="154" customFormat="false" ht="21" hidden="false" customHeight="true" outlineLevel="0" collapsed="false">
      <c r="A154" s="120"/>
      <c r="B154" s="121"/>
      <c r="C154" s="122"/>
      <c r="D154" s="122"/>
      <c r="E154" s="122"/>
      <c r="F154" s="123" t="str">
        <f aca="false">IF(OR($A154="",$D154="",$E154=""),"",MAX(0,$E154-$D154))</f>
        <v/>
      </c>
      <c r="G154" s="120" t="str">
        <f aca="false">IF($A154="","",IF($E154&lt;&gt;"",IF(N($F154)&gt;0,"Entregue com atraso","Entregue no prazo"),IF($D154="","Sem data prometida",IF($D154&lt;Hoje!$L$1,"ATRASADA","Aguardando"))))</f>
        <v/>
      </c>
      <c r="H154" s="121"/>
      <c r="I154" s="121"/>
    </row>
    <row r="155" customFormat="false" ht="21" hidden="false" customHeight="true" outlineLevel="0" collapsed="false">
      <c r="A155" s="120"/>
      <c r="B155" s="121"/>
      <c r="C155" s="122"/>
      <c r="D155" s="122"/>
      <c r="E155" s="122"/>
      <c r="F155" s="123" t="str">
        <f aca="false">IF(OR($A155="",$D155="",$E155=""),"",MAX(0,$E155-$D155))</f>
        <v/>
      </c>
      <c r="G155" s="120" t="str">
        <f aca="false">IF($A155="","",IF($E155&lt;&gt;"",IF(N($F155)&gt;0,"Entregue com atraso","Entregue no prazo"),IF($D155="","Sem data prometida",IF($D155&lt;Hoje!$L$1,"ATRASADA","Aguardando"))))</f>
        <v/>
      </c>
      <c r="H155" s="121"/>
      <c r="I155" s="121"/>
    </row>
    <row r="156" customFormat="false" ht="21" hidden="false" customHeight="true" outlineLevel="0" collapsed="false">
      <c r="A156" s="120"/>
      <c r="B156" s="121"/>
      <c r="C156" s="122"/>
      <c r="D156" s="122"/>
      <c r="E156" s="122"/>
      <c r="F156" s="123" t="str">
        <f aca="false">IF(OR($A156="",$D156="",$E156=""),"",MAX(0,$E156-$D156))</f>
        <v/>
      </c>
      <c r="G156" s="120" t="str">
        <f aca="false">IF($A156="","",IF($E156&lt;&gt;"",IF(N($F156)&gt;0,"Entregue com atraso","Entregue no prazo"),IF($D156="","Sem data prometida",IF($D156&lt;Hoje!$L$1,"ATRASADA","Aguardando"))))</f>
        <v/>
      </c>
      <c r="H156" s="121"/>
      <c r="I156" s="121"/>
    </row>
    <row r="157" customFormat="false" ht="21" hidden="false" customHeight="true" outlineLevel="0" collapsed="false">
      <c r="A157" s="120"/>
      <c r="B157" s="121"/>
      <c r="C157" s="122"/>
      <c r="D157" s="122"/>
      <c r="E157" s="122"/>
      <c r="F157" s="123" t="str">
        <f aca="false">IF(OR($A157="",$D157="",$E157=""),"",MAX(0,$E157-$D157))</f>
        <v/>
      </c>
      <c r="G157" s="120" t="str">
        <f aca="false">IF($A157="","",IF($E157&lt;&gt;"",IF(N($F157)&gt;0,"Entregue com atraso","Entregue no prazo"),IF($D157="","Sem data prometida",IF($D157&lt;Hoje!$L$1,"ATRASADA","Aguardando"))))</f>
        <v/>
      </c>
      <c r="H157" s="121"/>
      <c r="I157" s="121"/>
    </row>
    <row r="158" customFormat="false" ht="21" hidden="false" customHeight="true" outlineLevel="0" collapsed="false">
      <c r="A158" s="120"/>
      <c r="B158" s="121"/>
      <c r="C158" s="122"/>
      <c r="D158" s="122"/>
      <c r="E158" s="122"/>
      <c r="F158" s="123" t="str">
        <f aca="false">IF(OR($A158="",$D158="",$E158=""),"",MAX(0,$E158-$D158))</f>
        <v/>
      </c>
      <c r="G158" s="120" t="str">
        <f aca="false">IF($A158="","",IF($E158&lt;&gt;"",IF(N($F158)&gt;0,"Entregue com atraso","Entregue no prazo"),IF($D158="","Sem data prometida",IF($D158&lt;Hoje!$L$1,"ATRASADA","Aguardando"))))</f>
        <v/>
      </c>
      <c r="H158" s="121"/>
      <c r="I158" s="121"/>
    </row>
    <row r="159" customFormat="false" ht="21" hidden="false" customHeight="true" outlineLevel="0" collapsed="false">
      <c r="A159" s="120"/>
      <c r="B159" s="121"/>
      <c r="C159" s="122"/>
      <c r="D159" s="122"/>
      <c r="E159" s="122"/>
      <c r="F159" s="123" t="str">
        <f aca="false">IF(OR($A159="",$D159="",$E159=""),"",MAX(0,$E159-$D159))</f>
        <v/>
      </c>
      <c r="G159" s="120" t="str">
        <f aca="false">IF($A159="","",IF($E159&lt;&gt;"",IF(N($F159)&gt;0,"Entregue com atraso","Entregue no prazo"),IF($D159="","Sem data prometida",IF($D159&lt;Hoje!$L$1,"ATRASADA","Aguardando"))))</f>
        <v/>
      </c>
      <c r="H159" s="121"/>
      <c r="I159" s="121"/>
    </row>
    <row r="160" customFormat="false" ht="21" hidden="false" customHeight="true" outlineLevel="0" collapsed="false">
      <c r="A160" s="120"/>
      <c r="B160" s="121"/>
      <c r="C160" s="122"/>
      <c r="D160" s="122"/>
      <c r="E160" s="122"/>
      <c r="F160" s="123" t="str">
        <f aca="false">IF(OR($A160="",$D160="",$E160=""),"",MAX(0,$E160-$D160))</f>
        <v/>
      </c>
      <c r="G160" s="120" t="str">
        <f aca="false">IF($A160="","",IF($E160&lt;&gt;"",IF(N($F160)&gt;0,"Entregue com atraso","Entregue no prazo"),IF($D160="","Sem data prometida",IF($D160&lt;Hoje!$L$1,"ATRASADA","Aguardando"))))</f>
        <v/>
      </c>
      <c r="H160" s="121"/>
      <c r="I160" s="121"/>
    </row>
    <row r="161" customFormat="false" ht="21" hidden="false" customHeight="true" outlineLevel="0" collapsed="false">
      <c r="A161" s="120"/>
      <c r="B161" s="121"/>
      <c r="C161" s="122"/>
      <c r="D161" s="122"/>
      <c r="E161" s="122"/>
      <c r="F161" s="123" t="str">
        <f aca="false">IF(OR($A161="",$D161="",$E161=""),"",MAX(0,$E161-$D161))</f>
        <v/>
      </c>
      <c r="G161" s="120" t="str">
        <f aca="false">IF($A161="","",IF($E161&lt;&gt;"",IF(N($F161)&gt;0,"Entregue com atraso","Entregue no prazo"),IF($D161="","Sem data prometida",IF($D161&lt;Hoje!$L$1,"ATRASADA","Aguardando"))))</f>
        <v/>
      </c>
      <c r="H161" s="121"/>
      <c r="I161" s="121"/>
    </row>
    <row r="162" customFormat="false" ht="21" hidden="false" customHeight="true" outlineLevel="0" collapsed="false">
      <c r="A162" s="120"/>
      <c r="B162" s="121"/>
      <c r="C162" s="122"/>
      <c r="D162" s="122"/>
      <c r="E162" s="122"/>
      <c r="F162" s="123" t="str">
        <f aca="false">IF(OR($A162="",$D162="",$E162=""),"",MAX(0,$E162-$D162))</f>
        <v/>
      </c>
      <c r="G162" s="120" t="str">
        <f aca="false">IF($A162="","",IF($E162&lt;&gt;"",IF(N($F162)&gt;0,"Entregue com atraso","Entregue no prazo"),IF($D162="","Sem data prometida",IF($D162&lt;Hoje!$L$1,"ATRASADA","Aguardando"))))</f>
        <v/>
      </c>
      <c r="H162" s="121"/>
      <c r="I162" s="121"/>
    </row>
    <row r="163" customFormat="false" ht="21" hidden="false" customHeight="true" outlineLevel="0" collapsed="false">
      <c r="A163" s="120"/>
      <c r="B163" s="121"/>
      <c r="C163" s="122"/>
      <c r="D163" s="122"/>
      <c r="E163" s="122"/>
      <c r="F163" s="123" t="str">
        <f aca="false">IF(OR($A163="",$D163="",$E163=""),"",MAX(0,$E163-$D163))</f>
        <v/>
      </c>
      <c r="G163" s="120" t="str">
        <f aca="false">IF($A163="","",IF($E163&lt;&gt;"",IF(N($F163)&gt;0,"Entregue com atraso","Entregue no prazo"),IF($D163="","Sem data prometida",IF($D163&lt;Hoje!$L$1,"ATRASADA","Aguardando"))))</f>
        <v/>
      </c>
      <c r="H163" s="121"/>
      <c r="I163" s="121"/>
    </row>
    <row r="164" customFormat="false" ht="21" hidden="false" customHeight="true" outlineLevel="0" collapsed="false">
      <c r="A164" s="120"/>
      <c r="B164" s="121"/>
      <c r="C164" s="122"/>
      <c r="D164" s="122"/>
      <c r="E164" s="122"/>
      <c r="F164" s="123" t="str">
        <f aca="false">IF(OR($A164="",$D164="",$E164=""),"",MAX(0,$E164-$D164))</f>
        <v/>
      </c>
      <c r="G164" s="120" t="str">
        <f aca="false">IF($A164="","",IF($E164&lt;&gt;"",IF(N($F164)&gt;0,"Entregue com atraso","Entregue no prazo"),IF($D164="","Sem data prometida",IF($D164&lt;Hoje!$L$1,"ATRASADA","Aguardando"))))</f>
        <v/>
      </c>
      <c r="H164" s="121"/>
      <c r="I164" s="121"/>
    </row>
    <row r="165" customFormat="false" ht="21" hidden="false" customHeight="true" outlineLevel="0" collapsed="false">
      <c r="A165" s="120"/>
      <c r="B165" s="121"/>
      <c r="C165" s="122"/>
      <c r="D165" s="122"/>
      <c r="E165" s="122"/>
      <c r="F165" s="123" t="str">
        <f aca="false">IF(OR($A165="",$D165="",$E165=""),"",MAX(0,$E165-$D165))</f>
        <v/>
      </c>
      <c r="G165" s="120" t="str">
        <f aca="false">IF($A165="","",IF($E165&lt;&gt;"",IF(N($F165)&gt;0,"Entregue com atraso","Entregue no prazo"),IF($D165="","Sem data prometida",IF($D165&lt;Hoje!$L$1,"ATRASADA","Aguardando"))))</f>
        <v/>
      </c>
      <c r="H165" s="121"/>
      <c r="I165" s="121"/>
    </row>
    <row r="166" customFormat="false" ht="21" hidden="false" customHeight="true" outlineLevel="0" collapsed="false">
      <c r="A166" s="120"/>
      <c r="B166" s="121"/>
      <c r="C166" s="122"/>
      <c r="D166" s="122"/>
      <c r="E166" s="122"/>
      <c r="F166" s="123" t="str">
        <f aca="false">IF(OR($A166="",$D166="",$E166=""),"",MAX(0,$E166-$D166))</f>
        <v/>
      </c>
      <c r="G166" s="120" t="str">
        <f aca="false">IF($A166="","",IF($E166&lt;&gt;"",IF(N($F166)&gt;0,"Entregue com atraso","Entregue no prazo"),IF($D166="","Sem data prometida",IF($D166&lt;Hoje!$L$1,"ATRASADA","Aguardando"))))</f>
        <v/>
      </c>
      <c r="H166" s="121"/>
      <c r="I166" s="121"/>
    </row>
    <row r="167" customFormat="false" ht="21" hidden="false" customHeight="true" outlineLevel="0" collapsed="false">
      <c r="A167" s="120"/>
      <c r="B167" s="121"/>
      <c r="C167" s="122"/>
      <c r="D167" s="122"/>
      <c r="E167" s="122"/>
      <c r="F167" s="123" t="str">
        <f aca="false">IF(OR($A167="",$D167="",$E167=""),"",MAX(0,$E167-$D167))</f>
        <v/>
      </c>
      <c r="G167" s="120" t="str">
        <f aca="false">IF($A167="","",IF($E167&lt;&gt;"",IF(N($F167)&gt;0,"Entregue com atraso","Entregue no prazo"),IF($D167="","Sem data prometida",IF($D167&lt;Hoje!$L$1,"ATRASADA","Aguardando"))))</f>
        <v/>
      </c>
      <c r="H167" s="121"/>
      <c r="I167" s="121"/>
    </row>
    <row r="168" customFormat="false" ht="21" hidden="false" customHeight="true" outlineLevel="0" collapsed="false">
      <c r="A168" s="120"/>
      <c r="B168" s="121"/>
      <c r="C168" s="122"/>
      <c r="D168" s="122"/>
      <c r="E168" s="122"/>
      <c r="F168" s="123" t="str">
        <f aca="false">IF(OR($A168="",$D168="",$E168=""),"",MAX(0,$E168-$D168))</f>
        <v/>
      </c>
      <c r="G168" s="120" t="str">
        <f aca="false">IF($A168="","",IF($E168&lt;&gt;"",IF(N($F168)&gt;0,"Entregue com atraso","Entregue no prazo"),IF($D168="","Sem data prometida",IF($D168&lt;Hoje!$L$1,"ATRASADA","Aguardando"))))</f>
        <v/>
      </c>
      <c r="H168" s="121"/>
      <c r="I168" s="121"/>
    </row>
    <row r="169" customFormat="false" ht="21" hidden="false" customHeight="true" outlineLevel="0" collapsed="false">
      <c r="A169" s="120"/>
      <c r="B169" s="121"/>
      <c r="C169" s="122"/>
      <c r="D169" s="122"/>
      <c r="E169" s="122"/>
      <c r="F169" s="123" t="str">
        <f aca="false">IF(OR($A169="",$D169="",$E169=""),"",MAX(0,$E169-$D169))</f>
        <v/>
      </c>
      <c r="G169" s="120" t="str">
        <f aca="false">IF($A169="","",IF($E169&lt;&gt;"",IF(N($F169)&gt;0,"Entregue com atraso","Entregue no prazo"),IF($D169="","Sem data prometida",IF($D169&lt;Hoje!$L$1,"ATRASADA","Aguardando"))))</f>
        <v/>
      </c>
      <c r="H169" s="121"/>
      <c r="I169" s="121"/>
    </row>
    <row r="170" customFormat="false" ht="21" hidden="false" customHeight="true" outlineLevel="0" collapsed="false">
      <c r="A170" s="120"/>
      <c r="B170" s="121"/>
      <c r="C170" s="122"/>
      <c r="D170" s="122"/>
      <c r="E170" s="122"/>
      <c r="F170" s="123" t="str">
        <f aca="false">IF(OR($A170="",$D170="",$E170=""),"",MAX(0,$E170-$D170))</f>
        <v/>
      </c>
      <c r="G170" s="120" t="str">
        <f aca="false">IF($A170="","",IF($E170&lt;&gt;"",IF(N($F170)&gt;0,"Entregue com atraso","Entregue no prazo"),IF($D170="","Sem data prometida",IF($D170&lt;Hoje!$L$1,"ATRASADA","Aguardando"))))</f>
        <v/>
      </c>
      <c r="H170" s="121"/>
      <c r="I170" s="121"/>
    </row>
    <row r="171" customFormat="false" ht="21" hidden="false" customHeight="true" outlineLevel="0" collapsed="false">
      <c r="A171" s="120"/>
      <c r="B171" s="121"/>
      <c r="C171" s="122"/>
      <c r="D171" s="122"/>
      <c r="E171" s="122"/>
      <c r="F171" s="123" t="str">
        <f aca="false">IF(OR($A171="",$D171="",$E171=""),"",MAX(0,$E171-$D171))</f>
        <v/>
      </c>
      <c r="G171" s="120" t="str">
        <f aca="false">IF($A171="","",IF($E171&lt;&gt;"",IF(N($F171)&gt;0,"Entregue com atraso","Entregue no prazo"),IF($D171="","Sem data prometida",IF($D171&lt;Hoje!$L$1,"ATRASADA","Aguardando"))))</f>
        <v/>
      </c>
      <c r="H171" s="121"/>
      <c r="I171" s="121"/>
    </row>
    <row r="172" customFormat="false" ht="21" hidden="false" customHeight="true" outlineLevel="0" collapsed="false">
      <c r="A172" s="120"/>
      <c r="B172" s="121"/>
      <c r="C172" s="122"/>
      <c r="D172" s="122"/>
      <c r="E172" s="122"/>
      <c r="F172" s="123" t="str">
        <f aca="false">IF(OR($A172="",$D172="",$E172=""),"",MAX(0,$E172-$D172))</f>
        <v/>
      </c>
      <c r="G172" s="120" t="str">
        <f aca="false">IF($A172="","",IF($E172&lt;&gt;"",IF(N($F172)&gt;0,"Entregue com atraso","Entregue no prazo"),IF($D172="","Sem data prometida",IF($D172&lt;Hoje!$L$1,"ATRASADA","Aguardando"))))</f>
        <v/>
      </c>
      <c r="H172" s="121"/>
      <c r="I172" s="121"/>
    </row>
    <row r="173" customFormat="false" ht="21" hidden="false" customHeight="true" outlineLevel="0" collapsed="false">
      <c r="A173" s="120"/>
      <c r="B173" s="121"/>
      <c r="C173" s="122"/>
      <c r="D173" s="122"/>
      <c r="E173" s="122"/>
      <c r="F173" s="123" t="str">
        <f aca="false">IF(OR($A173="",$D173="",$E173=""),"",MAX(0,$E173-$D173))</f>
        <v/>
      </c>
      <c r="G173" s="120" t="str">
        <f aca="false">IF($A173="","",IF($E173&lt;&gt;"",IF(N($F173)&gt;0,"Entregue com atraso","Entregue no prazo"),IF($D173="","Sem data prometida",IF($D173&lt;Hoje!$L$1,"ATRASADA","Aguardando"))))</f>
        <v/>
      </c>
      <c r="H173" s="121"/>
      <c r="I173" s="121"/>
    </row>
    <row r="174" customFormat="false" ht="21" hidden="false" customHeight="true" outlineLevel="0" collapsed="false">
      <c r="A174" s="120"/>
      <c r="B174" s="121"/>
      <c r="C174" s="122"/>
      <c r="D174" s="122"/>
      <c r="E174" s="122"/>
      <c r="F174" s="123" t="str">
        <f aca="false">IF(OR($A174="",$D174="",$E174=""),"",MAX(0,$E174-$D174))</f>
        <v/>
      </c>
      <c r="G174" s="120" t="str">
        <f aca="false">IF($A174="","",IF($E174&lt;&gt;"",IF(N($F174)&gt;0,"Entregue com atraso","Entregue no prazo"),IF($D174="","Sem data prometida",IF($D174&lt;Hoje!$L$1,"ATRASADA","Aguardando"))))</f>
        <v/>
      </c>
      <c r="H174" s="121"/>
      <c r="I174" s="121"/>
    </row>
    <row r="175" customFormat="false" ht="21" hidden="false" customHeight="true" outlineLevel="0" collapsed="false">
      <c r="A175" s="120"/>
      <c r="B175" s="121"/>
      <c r="C175" s="122"/>
      <c r="D175" s="122"/>
      <c r="E175" s="122"/>
      <c r="F175" s="123" t="str">
        <f aca="false">IF(OR($A175="",$D175="",$E175=""),"",MAX(0,$E175-$D175))</f>
        <v/>
      </c>
      <c r="G175" s="120" t="str">
        <f aca="false">IF($A175="","",IF($E175&lt;&gt;"",IF(N($F175)&gt;0,"Entregue com atraso","Entregue no prazo"),IF($D175="","Sem data prometida",IF($D175&lt;Hoje!$L$1,"ATRASADA","Aguardando"))))</f>
        <v/>
      </c>
      <c r="H175" s="121"/>
      <c r="I175" s="121"/>
    </row>
    <row r="176" customFormat="false" ht="21" hidden="false" customHeight="true" outlineLevel="0" collapsed="false">
      <c r="A176" s="120"/>
      <c r="B176" s="121"/>
      <c r="C176" s="122"/>
      <c r="D176" s="122"/>
      <c r="E176" s="122"/>
      <c r="F176" s="123" t="str">
        <f aca="false">IF(OR($A176="",$D176="",$E176=""),"",MAX(0,$E176-$D176))</f>
        <v/>
      </c>
      <c r="G176" s="120" t="str">
        <f aca="false">IF($A176="","",IF($E176&lt;&gt;"",IF(N($F176)&gt;0,"Entregue com atraso","Entregue no prazo"),IF($D176="","Sem data prometida",IF($D176&lt;Hoje!$L$1,"ATRASADA","Aguardando"))))</f>
        <v/>
      </c>
      <c r="H176" s="121"/>
      <c r="I176" s="121"/>
    </row>
    <row r="177" customFormat="false" ht="21" hidden="false" customHeight="true" outlineLevel="0" collapsed="false">
      <c r="A177" s="120"/>
      <c r="B177" s="121"/>
      <c r="C177" s="122"/>
      <c r="D177" s="122"/>
      <c r="E177" s="122"/>
      <c r="F177" s="123" t="str">
        <f aca="false">IF(OR($A177="",$D177="",$E177=""),"",MAX(0,$E177-$D177))</f>
        <v/>
      </c>
      <c r="G177" s="120" t="str">
        <f aca="false">IF($A177="","",IF($E177&lt;&gt;"",IF(N($F177)&gt;0,"Entregue com atraso","Entregue no prazo"),IF($D177="","Sem data prometida",IF($D177&lt;Hoje!$L$1,"ATRASADA","Aguardando"))))</f>
        <v/>
      </c>
      <c r="H177" s="121"/>
      <c r="I177" s="121"/>
    </row>
    <row r="178" customFormat="false" ht="21" hidden="false" customHeight="true" outlineLevel="0" collapsed="false">
      <c r="A178" s="120"/>
      <c r="B178" s="121"/>
      <c r="C178" s="122"/>
      <c r="D178" s="122"/>
      <c r="E178" s="122"/>
      <c r="F178" s="123" t="str">
        <f aca="false">IF(OR($A178="",$D178="",$E178=""),"",MAX(0,$E178-$D178))</f>
        <v/>
      </c>
      <c r="G178" s="120" t="str">
        <f aca="false">IF($A178="","",IF($E178&lt;&gt;"",IF(N($F178)&gt;0,"Entregue com atraso","Entregue no prazo"),IF($D178="","Sem data prometida",IF($D178&lt;Hoje!$L$1,"ATRASADA","Aguardando"))))</f>
        <v/>
      </c>
      <c r="H178" s="121"/>
      <c r="I178" s="121"/>
    </row>
    <row r="179" customFormat="false" ht="21" hidden="false" customHeight="true" outlineLevel="0" collapsed="false">
      <c r="A179" s="120"/>
      <c r="B179" s="121"/>
      <c r="C179" s="122"/>
      <c r="D179" s="122"/>
      <c r="E179" s="122"/>
      <c r="F179" s="123" t="str">
        <f aca="false">IF(OR($A179="",$D179="",$E179=""),"",MAX(0,$E179-$D179))</f>
        <v/>
      </c>
      <c r="G179" s="120" t="str">
        <f aca="false">IF($A179="","",IF($E179&lt;&gt;"",IF(N($F179)&gt;0,"Entregue com atraso","Entregue no prazo"),IF($D179="","Sem data prometida",IF($D179&lt;Hoje!$L$1,"ATRASADA","Aguardando"))))</f>
        <v/>
      </c>
      <c r="H179" s="121"/>
      <c r="I179" s="121"/>
    </row>
    <row r="180" customFormat="false" ht="21" hidden="false" customHeight="true" outlineLevel="0" collapsed="false">
      <c r="A180" s="120"/>
      <c r="B180" s="121"/>
      <c r="C180" s="122"/>
      <c r="D180" s="122"/>
      <c r="E180" s="122"/>
      <c r="F180" s="123" t="str">
        <f aca="false">IF(OR($A180="",$D180="",$E180=""),"",MAX(0,$E180-$D180))</f>
        <v/>
      </c>
      <c r="G180" s="120" t="str">
        <f aca="false">IF($A180="","",IF($E180&lt;&gt;"",IF(N($F180)&gt;0,"Entregue com atraso","Entregue no prazo"),IF($D180="","Sem data prometida",IF($D180&lt;Hoje!$L$1,"ATRASADA","Aguardando"))))</f>
        <v/>
      </c>
      <c r="H180" s="121"/>
      <c r="I180" s="121"/>
    </row>
    <row r="181" customFormat="false" ht="21" hidden="false" customHeight="true" outlineLevel="0" collapsed="false">
      <c r="A181" s="120"/>
      <c r="B181" s="121"/>
      <c r="C181" s="122"/>
      <c r="D181" s="122"/>
      <c r="E181" s="122"/>
      <c r="F181" s="123" t="str">
        <f aca="false">IF(OR($A181="",$D181="",$E181=""),"",MAX(0,$E181-$D181))</f>
        <v/>
      </c>
      <c r="G181" s="120" t="str">
        <f aca="false">IF($A181="","",IF($E181&lt;&gt;"",IF(N($F181)&gt;0,"Entregue com atraso","Entregue no prazo"),IF($D181="","Sem data prometida",IF($D181&lt;Hoje!$L$1,"ATRASADA","Aguardando"))))</f>
        <v/>
      </c>
      <c r="H181" s="121"/>
      <c r="I181" s="121"/>
    </row>
    <row r="182" customFormat="false" ht="21" hidden="false" customHeight="true" outlineLevel="0" collapsed="false">
      <c r="A182" s="120"/>
      <c r="B182" s="121"/>
      <c r="C182" s="122"/>
      <c r="D182" s="122"/>
      <c r="E182" s="122"/>
      <c r="F182" s="123" t="str">
        <f aca="false">IF(OR($A182="",$D182="",$E182=""),"",MAX(0,$E182-$D182))</f>
        <v/>
      </c>
      <c r="G182" s="120" t="str">
        <f aca="false">IF($A182="","",IF($E182&lt;&gt;"",IF(N($F182)&gt;0,"Entregue com atraso","Entregue no prazo"),IF($D182="","Sem data prometida",IF($D182&lt;Hoje!$L$1,"ATRASADA","Aguardando"))))</f>
        <v/>
      </c>
      <c r="H182" s="121"/>
      <c r="I182" s="121"/>
    </row>
    <row r="183" customFormat="false" ht="21" hidden="false" customHeight="true" outlineLevel="0" collapsed="false">
      <c r="A183" s="120"/>
      <c r="B183" s="121"/>
      <c r="C183" s="122"/>
      <c r="D183" s="122"/>
      <c r="E183" s="122"/>
      <c r="F183" s="123" t="str">
        <f aca="false">IF(OR($A183="",$D183="",$E183=""),"",MAX(0,$E183-$D183))</f>
        <v/>
      </c>
      <c r="G183" s="120" t="str">
        <f aca="false">IF($A183="","",IF($E183&lt;&gt;"",IF(N($F183)&gt;0,"Entregue com atraso","Entregue no prazo"),IF($D183="","Sem data prometida",IF($D183&lt;Hoje!$L$1,"ATRASADA","Aguardando"))))</f>
        <v/>
      </c>
      <c r="H183" s="121"/>
      <c r="I183" s="121"/>
    </row>
    <row r="184" customFormat="false" ht="21" hidden="false" customHeight="true" outlineLevel="0" collapsed="false">
      <c r="A184" s="120"/>
      <c r="B184" s="121"/>
      <c r="C184" s="122"/>
      <c r="D184" s="122"/>
      <c r="E184" s="122"/>
      <c r="F184" s="123" t="str">
        <f aca="false">IF(OR($A184="",$D184="",$E184=""),"",MAX(0,$E184-$D184))</f>
        <v/>
      </c>
      <c r="G184" s="120" t="str">
        <f aca="false">IF($A184="","",IF($E184&lt;&gt;"",IF(N($F184)&gt;0,"Entregue com atraso","Entregue no prazo"),IF($D184="","Sem data prometida",IF($D184&lt;Hoje!$L$1,"ATRASADA","Aguardando"))))</f>
        <v/>
      </c>
      <c r="H184" s="121"/>
      <c r="I184" s="121"/>
    </row>
    <row r="185" customFormat="false" ht="21" hidden="false" customHeight="true" outlineLevel="0" collapsed="false">
      <c r="A185" s="120"/>
      <c r="B185" s="121"/>
      <c r="C185" s="122"/>
      <c r="D185" s="122"/>
      <c r="E185" s="122"/>
      <c r="F185" s="123" t="str">
        <f aca="false">IF(OR($A185="",$D185="",$E185=""),"",MAX(0,$E185-$D185))</f>
        <v/>
      </c>
      <c r="G185" s="120" t="str">
        <f aca="false">IF($A185="","",IF($E185&lt;&gt;"",IF(N($F185)&gt;0,"Entregue com atraso","Entregue no prazo"),IF($D185="","Sem data prometida",IF($D185&lt;Hoje!$L$1,"ATRASADA","Aguardando"))))</f>
        <v/>
      </c>
      <c r="H185" s="121"/>
      <c r="I185" s="121"/>
    </row>
    <row r="186" customFormat="false" ht="21" hidden="false" customHeight="true" outlineLevel="0" collapsed="false">
      <c r="A186" s="120"/>
      <c r="B186" s="121"/>
      <c r="C186" s="122"/>
      <c r="D186" s="122"/>
      <c r="E186" s="122"/>
      <c r="F186" s="123" t="str">
        <f aca="false">IF(OR($A186="",$D186="",$E186=""),"",MAX(0,$E186-$D186))</f>
        <v/>
      </c>
      <c r="G186" s="120" t="str">
        <f aca="false">IF($A186="","",IF($E186&lt;&gt;"",IF(N($F186)&gt;0,"Entregue com atraso","Entregue no prazo"),IF($D186="","Sem data prometida",IF($D186&lt;Hoje!$L$1,"ATRASADA","Aguardando"))))</f>
        <v/>
      </c>
      <c r="H186" s="121"/>
      <c r="I186" s="121"/>
    </row>
    <row r="187" customFormat="false" ht="21" hidden="false" customHeight="true" outlineLevel="0" collapsed="false">
      <c r="A187" s="120"/>
      <c r="B187" s="121"/>
      <c r="C187" s="122"/>
      <c r="D187" s="122"/>
      <c r="E187" s="122"/>
      <c r="F187" s="123" t="str">
        <f aca="false">IF(OR($A187="",$D187="",$E187=""),"",MAX(0,$E187-$D187))</f>
        <v/>
      </c>
      <c r="G187" s="120" t="str">
        <f aca="false">IF($A187="","",IF($E187&lt;&gt;"",IF(N($F187)&gt;0,"Entregue com atraso","Entregue no prazo"),IF($D187="","Sem data prometida",IF($D187&lt;Hoje!$L$1,"ATRASADA","Aguardando"))))</f>
        <v/>
      </c>
      <c r="H187" s="121"/>
      <c r="I187" s="121"/>
    </row>
    <row r="188" customFormat="false" ht="21" hidden="false" customHeight="true" outlineLevel="0" collapsed="false">
      <c r="A188" s="120"/>
      <c r="B188" s="121"/>
      <c r="C188" s="122"/>
      <c r="D188" s="122"/>
      <c r="E188" s="122"/>
      <c r="F188" s="123" t="str">
        <f aca="false">IF(OR($A188="",$D188="",$E188=""),"",MAX(0,$E188-$D188))</f>
        <v/>
      </c>
      <c r="G188" s="120" t="str">
        <f aca="false">IF($A188="","",IF($E188&lt;&gt;"",IF(N($F188)&gt;0,"Entregue com atraso","Entregue no prazo"),IF($D188="","Sem data prometida",IF($D188&lt;Hoje!$L$1,"ATRASADA","Aguardando"))))</f>
        <v/>
      </c>
      <c r="H188" s="121"/>
      <c r="I188" s="121"/>
    </row>
    <row r="189" customFormat="false" ht="21" hidden="false" customHeight="true" outlineLevel="0" collapsed="false">
      <c r="A189" s="120"/>
      <c r="B189" s="121"/>
      <c r="C189" s="122"/>
      <c r="D189" s="122"/>
      <c r="E189" s="122"/>
      <c r="F189" s="123" t="str">
        <f aca="false">IF(OR($A189="",$D189="",$E189=""),"",MAX(0,$E189-$D189))</f>
        <v/>
      </c>
      <c r="G189" s="120" t="str">
        <f aca="false">IF($A189="","",IF($E189&lt;&gt;"",IF(N($F189)&gt;0,"Entregue com atraso","Entregue no prazo"),IF($D189="","Sem data prometida",IF($D189&lt;Hoje!$L$1,"ATRASADA","Aguardando"))))</f>
        <v/>
      </c>
      <c r="H189" s="121"/>
      <c r="I189" s="121"/>
    </row>
    <row r="190" customFormat="false" ht="21" hidden="false" customHeight="true" outlineLevel="0" collapsed="false">
      <c r="A190" s="120"/>
      <c r="B190" s="121"/>
      <c r="C190" s="122"/>
      <c r="D190" s="122"/>
      <c r="E190" s="122"/>
      <c r="F190" s="123" t="str">
        <f aca="false">IF(OR($A190="",$D190="",$E190=""),"",MAX(0,$E190-$D190))</f>
        <v/>
      </c>
      <c r="G190" s="120" t="str">
        <f aca="false">IF($A190="","",IF($E190&lt;&gt;"",IF(N($F190)&gt;0,"Entregue com atraso","Entregue no prazo"),IF($D190="","Sem data prometida",IF($D190&lt;Hoje!$L$1,"ATRASADA","Aguardando"))))</f>
        <v/>
      </c>
      <c r="H190" s="121"/>
      <c r="I190" s="121"/>
    </row>
    <row r="191" customFormat="false" ht="21" hidden="false" customHeight="true" outlineLevel="0" collapsed="false">
      <c r="A191" s="120"/>
      <c r="B191" s="121"/>
      <c r="C191" s="122"/>
      <c r="D191" s="122"/>
      <c r="E191" s="122"/>
      <c r="F191" s="123" t="str">
        <f aca="false">IF(OR($A191="",$D191="",$E191=""),"",MAX(0,$E191-$D191))</f>
        <v/>
      </c>
      <c r="G191" s="120" t="str">
        <f aca="false">IF($A191="","",IF($E191&lt;&gt;"",IF(N($F191)&gt;0,"Entregue com atraso","Entregue no prazo"),IF($D191="","Sem data prometida",IF($D191&lt;Hoje!$L$1,"ATRASADA","Aguardando"))))</f>
        <v/>
      </c>
      <c r="H191" s="121"/>
      <c r="I191" s="121"/>
    </row>
    <row r="192" customFormat="false" ht="21" hidden="false" customHeight="true" outlineLevel="0" collapsed="false">
      <c r="A192" s="120"/>
      <c r="B192" s="121"/>
      <c r="C192" s="122"/>
      <c r="D192" s="122"/>
      <c r="E192" s="122"/>
      <c r="F192" s="123" t="str">
        <f aca="false">IF(OR($A192="",$D192="",$E192=""),"",MAX(0,$E192-$D192))</f>
        <v/>
      </c>
      <c r="G192" s="120" t="str">
        <f aca="false">IF($A192="","",IF($E192&lt;&gt;"",IF(N($F192)&gt;0,"Entregue com atraso","Entregue no prazo"),IF($D192="","Sem data prometida",IF($D192&lt;Hoje!$L$1,"ATRASADA","Aguardando"))))</f>
        <v/>
      </c>
      <c r="H192" s="121"/>
      <c r="I192" s="121"/>
    </row>
    <row r="193" customFormat="false" ht="21" hidden="false" customHeight="true" outlineLevel="0" collapsed="false">
      <c r="A193" s="120"/>
      <c r="B193" s="121"/>
      <c r="C193" s="122"/>
      <c r="D193" s="122"/>
      <c r="E193" s="122"/>
      <c r="F193" s="123" t="str">
        <f aca="false">IF(OR($A193="",$D193="",$E193=""),"",MAX(0,$E193-$D193))</f>
        <v/>
      </c>
      <c r="G193" s="120" t="str">
        <f aca="false">IF($A193="","",IF($E193&lt;&gt;"",IF(N($F193)&gt;0,"Entregue com atraso","Entregue no prazo"),IF($D193="","Sem data prometida",IF($D193&lt;Hoje!$L$1,"ATRASADA","Aguardando"))))</f>
        <v/>
      </c>
      <c r="H193" s="121"/>
      <c r="I193" s="121"/>
    </row>
    <row r="194" customFormat="false" ht="21" hidden="false" customHeight="true" outlineLevel="0" collapsed="false">
      <c r="A194" s="120"/>
      <c r="B194" s="121"/>
      <c r="C194" s="122"/>
      <c r="D194" s="122"/>
      <c r="E194" s="122"/>
      <c r="F194" s="123" t="str">
        <f aca="false">IF(OR($A194="",$D194="",$E194=""),"",MAX(0,$E194-$D194))</f>
        <v/>
      </c>
      <c r="G194" s="120" t="str">
        <f aca="false">IF($A194="","",IF($E194&lt;&gt;"",IF(N($F194)&gt;0,"Entregue com atraso","Entregue no prazo"),IF($D194="","Sem data prometida",IF($D194&lt;Hoje!$L$1,"ATRASADA","Aguardando"))))</f>
        <v/>
      </c>
      <c r="H194" s="121"/>
      <c r="I194" s="121"/>
    </row>
    <row r="195" customFormat="false" ht="21" hidden="false" customHeight="true" outlineLevel="0" collapsed="false">
      <c r="A195" s="120"/>
      <c r="B195" s="121"/>
      <c r="C195" s="122"/>
      <c r="D195" s="122"/>
      <c r="E195" s="122"/>
      <c r="F195" s="123" t="str">
        <f aca="false">IF(OR($A195="",$D195="",$E195=""),"",MAX(0,$E195-$D195))</f>
        <v/>
      </c>
      <c r="G195" s="120" t="str">
        <f aca="false">IF($A195="","",IF($E195&lt;&gt;"",IF(N($F195)&gt;0,"Entregue com atraso","Entregue no prazo"),IF($D195="","Sem data prometida",IF($D195&lt;Hoje!$L$1,"ATRASADA","Aguardando"))))</f>
        <v/>
      </c>
      <c r="H195" s="121"/>
      <c r="I195" s="121"/>
    </row>
    <row r="196" customFormat="false" ht="21" hidden="false" customHeight="true" outlineLevel="0" collapsed="false">
      <c r="A196" s="120"/>
      <c r="B196" s="121"/>
      <c r="C196" s="122"/>
      <c r="D196" s="122"/>
      <c r="E196" s="122"/>
      <c r="F196" s="123" t="str">
        <f aca="false">IF(OR($A196="",$D196="",$E196=""),"",MAX(0,$E196-$D196))</f>
        <v/>
      </c>
      <c r="G196" s="120" t="str">
        <f aca="false">IF($A196="","",IF($E196&lt;&gt;"",IF(N($F196)&gt;0,"Entregue com atraso","Entregue no prazo"),IF($D196="","Sem data prometida",IF($D196&lt;Hoje!$L$1,"ATRASADA","Aguardando"))))</f>
        <v/>
      </c>
      <c r="H196" s="121"/>
      <c r="I196" s="121"/>
    </row>
    <row r="197" customFormat="false" ht="21" hidden="false" customHeight="true" outlineLevel="0" collapsed="false">
      <c r="A197" s="120"/>
      <c r="B197" s="121"/>
      <c r="C197" s="122"/>
      <c r="D197" s="122"/>
      <c r="E197" s="122"/>
      <c r="F197" s="123" t="str">
        <f aca="false">IF(OR($A197="",$D197="",$E197=""),"",MAX(0,$E197-$D197))</f>
        <v/>
      </c>
      <c r="G197" s="120" t="str">
        <f aca="false">IF($A197="","",IF($E197&lt;&gt;"",IF(N($F197)&gt;0,"Entregue com atraso","Entregue no prazo"),IF($D197="","Sem data prometida",IF($D197&lt;Hoje!$L$1,"ATRASADA","Aguardando"))))</f>
        <v/>
      </c>
      <c r="H197" s="121"/>
      <c r="I197" s="121"/>
    </row>
    <row r="198" customFormat="false" ht="21" hidden="false" customHeight="true" outlineLevel="0" collapsed="false">
      <c r="A198" s="120"/>
      <c r="B198" s="121"/>
      <c r="C198" s="122"/>
      <c r="D198" s="122"/>
      <c r="E198" s="122"/>
      <c r="F198" s="123" t="str">
        <f aca="false">IF(OR($A198="",$D198="",$E198=""),"",MAX(0,$E198-$D198))</f>
        <v/>
      </c>
      <c r="G198" s="120" t="str">
        <f aca="false">IF($A198="","",IF($E198&lt;&gt;"",IF(N($F198)&gt;0,"Entregue com atraso","Entregue no prazo"),IF($D198="","Sem data prometida",IF($D198&lt;Hoje!$L$1,"ATRASADA","Aguardando"))))</f>
        <v/>
      </c>
      <c r="H198" s="121"/>
      <c r="I198" s="121"/>
    </row>
    <row r="199" customFormat="false" ht="21" hidden="false" customHeight="true" outlineLevel="0" collapsed="false">
      <c r="A199" s="120"/>
      <c r="B199" s="121"/>
      <c r="C199" s="122"/>
      <c r="D199" s="122"/>
      <c r="E199" s="122"/>
      <c r="F199" s="123" t="str">
        <f aca="false">IF(OR($A199="",$D199="",$E199=""),"",MAX(0,$E199-$D199))</f>
        <v/>
      </c>
      <c r="G199" s="120" t="str">
        <f aca="false">IF($A199="","",IF($E199&lt;&gt;"",IF(N($F199)&gt;0,"Entregue com atraso","Entregue no prazo"),IF($D199="","Sem data prometida",IF($D199&lt;Hoje!$L$1,"ATRASADA","Aguardando"))))</f>
        <v/>
      </c>
      <c r="H199" s="121"/>
      <c r="I199" s="121"/>
    </row>
    <row r="200" customFormat="false" ht="21" hidden="false" customHeight="true" outlineLevel="0" collapsed="false">
      <c r="A200" s="120"/>
      <c r="B200" s="121"/>
      <c r="C200" s="122"/>
      <c r="D200" s="122"/>
      <c r="E200" s="122"/>
      <c r="F200" s="123" t="str">
        <f aca="false">IF(OR($A200="",$D200="",$E200=""),"",MAX(0,$E200-$D200))</f>
        <v/>
      </c>
      <c r="G200" s="120" t="str">
        <f aca="false">IF($A200="","",IF($E200&lt;&gt;"",IF(N($F200)&gt;0,"Entregue com atraso","Entregue no prazo"),IF($D200="","Sem data prometida",IF($D200&lt;Hoje!$L$1,"ATRASADA","Aguardando"))))</f>
        <v/>
      </c>
      <c r="H200" s="121"/>
      <c r="I200" s="121"/>
    </row>
    <row r="201" customFormat="false" ht="21" hidden="false" customHeight="true" outlineLevel="0" collapsed="false">
      <c r="A201" s="120"/>
      <c r="B201" s="121"/>
      <c r="C201" s="122"/>
      <c r="D201" s="122"/>
      <c r="E201" s="122"/>
      <c r="F201" s="123" t="str">
        <f aca="false">IF(OR($A201="",$D201="",$E201=""),"",MAX(0,$E201-$D201))</f>
        <v/>
      </c>
      <c r="G201" s="120" t="str">
        <f aca="false">IF($A201="","",IF($E201&lt;&gt;"",IF(N($F201)&gt;0,"Entregue com atraso","Entregue no prazo"),IF($D201="","Sem data prometida",IF($D201&lt;Hoje!$L$1,"ATRASADA","Aguardando"))))</f>
        <v/>
      </c>
      <c r="H201" s="121"/>
      <c r="I201" s="121"/>
    </row>
    <row r="202" customFormat="false" ht="21" hidden="false" customHeight="true" outlineLevel="0" collapsed="false">
      <c r="A202" s="120"/>
      <c r="B202" s="121"/>
      <c r="C202" s="122"/>
      <c r="D202" s="122"/>
      <c r="E202" s="122"/>
      <c r="F202" s="123" t="str">
        <f aca="false">IF(OR($A202="",$D202="",$E202=""),"",MAX(0,$E202-$D202))</f>
        <v/>
      </c>
      <c r="G202" s="120" t="str">
        <f aca="false">IF($A202="","",IF($E202&lt;&gt;"",IF(N($F202)&gt;0,"Entregue com atraso","Entregue no prazo"),IF($D202="","Sem data prometida",IF($D202&lt;Hoje!$L$1,"ATRASADA","Aguardando"))))</f>
        <v/>
      </c>
      <c r="H202" s="121"/>
      <c r="I202" s="121"/>
    </row>
    <row r="203" customFormat="false" ht="21" hidden="false" customHeight="true" outlineLevel="0" collapsed="false">
      <c r="A203" s="120"/>
      <c r="B203" s="121"/>
      <c r="C203" s="122"/>
      <c r="D203" s="122"/>
      <c r="E203" s="122"/>
      <c r="F203" s="123" t="str">
        <f aca="false">IF(OR($A203="",$D203="",$E203=""),"",MAX(0,$E203-$D203))</f>
        <v/>
      </c>
      <c r="G203" s="120" t="str">
        <f aca="false">IF($A203="","",IF($E203&lt;&gt;"",IF(N($F203)&gt;0,"Entregue com atraso","Entregue no prazo"),IF($D203="","Sem data prometida",IF($D203&lt;Hoje!$L$1,"ATRASADA","Aguardando"))))</f>
        <v/>
      </c>
      <c r="H203" s="121"/>
      <c r="I203" s="121"/>
    </row>
    <row r="204" customFormat="false" ht="21" hidden="false" customHeight="true" outlineLevel="0" collapsed="false">
      <c r="A204" s="120"/>
      <c r="B204" s="121"/>
      <c r="C204" s="122"/>
      <c r="D204" s="122"/>
      <c r="E204" s="122"/>
      <c r="F204" s="123" t="str">
        <f aca="false">IF(OR($A204="",$D204="",$E204=""),"",MAX(0,$E204-$D204))</f>
        <v/>
      </c>
      <c r="G204" s="120" t="str">
        <f aca="false">IF($A204="","",IF($E204&lt;&gt;"",IF(N($F204)&gt;0,"Entregue com atraso","Entregue no prazo"),IF($D204="","Sem data prometida",IF($D204&lt;Hoje!$L$1,"ATRASADA","Aguardando"))))</f>
        <v/>
      </c>
      <c r="H204" s="121"/>
      <c r="I204" s="121"/>
    </row>
    <row r="205" customFormat="false" ht="21" hidden="false" customHeight="true" outlineLevel="0" collapsed="false">
      <c r="A205" s="120"/>
      <c r="B205" s="121"/>
      <c r="C205" s="122"/>
      <c r="D205" s="122"/>
      <c r="E205" s="122"/>
      <c r="F205" s="123" t="str">
        <f aca="false">IF(OR($A205="",$D205="",$E205=""),"",MAX(0,$E205-$D205))</f>
        <v/>
      </c>
      <c r="G205" s="120" t="str">
        <f aca="false">IF($A205="","",IF($E205&lt;&gt;"",IF(N($F205)&gt;0,"Entregue com atraso","Entregue no prazo"),IF($D205="","Sem data prometida",IF($D205&lt;Hoje!$L$1,"ATRASADA","Aguardando"))))</f>
        <v/>
      </c>
      <c r="H205" s="121"/>
      <c r="I205" s="121"/>
    </row>
    <row r="206" customFormat="false" ht="21" hidden="false" customHeight="true" outlineLevel="0" collapsed="false">
      <c r="A206" s="120"/>
      <c r="B206" s="121"/>
      <c r="C206" s="122"/>
      <c r="D206" s="122"/>
      <c r="E206" s="122"/>
      <c r="F206" s="123" t="str">
        <f aca="false">IF(OR($A206="",$D206="",$E206=""),"",MAX(0,$E206-$D206))</f>
        <v/>
      </c>
      <c r="G206" s="120" t="str">
        <f aca="false">IF($A206="","",IF($E206&lt;&gt;"",IF(N($F206)&gt;0,"Entregue com atraso","Entregue no prazo"),IF($D206="","Sem data prometida",IF($D206&lt;Hoje!$L$1,"ATRASADA","Aguardando"))))</f>
        <v/>
      </c>
      <c r="H206" s="121"/>
      <c r="I206" s="121"/>
    </row>
    <row r="207" customFormat="false" ht="21" hidden="false" customHeight="true" outlineLevel="0" collapsed="false">
      <c r="A207" s="120"/>
      <c r="B207" s="121"/>
      <c r="C207" s="122"/>
      <c r="D207" s="122"/>
      <c r="E207" s="122"/>
      <c r="F207" s="123" t="str">
        <f aca="false">IF(OR($A207="",$D207="",$E207=""),"",MAX(0,$E207-$D207))</f>
        <v/>
      </c>
      <c r="G207" s="120" t="str">
        <f aca="false">IF($A207="","",IF($E207&lt;&gt;"",IF(N($F207)&gt;0,"Entregue com atraso","Entregue no prazo"),IF($D207="","Sem data prometida",IF($D207&lt;Hoje!$L$1,"ATRASADA","Aguardando"))))</f>
        <v/>
      </c>
      <c r="H207" s="121"/>
      <c r="I207" s="121"/>
    </row>
    <row r="208" customFormat="false" ht="21" hidden="false" customHeight="true" outlineLevel="0" collapsed="false">
      <c r="A208" s="120"/>
      <c r="B208" s="121"/>
      <c r="C208" s="122"/>
      <c r="D208" s="122"/>
      <c r="E208" s="122"/>
      <c r="F208" s="123" t="str">
        <f aca="false">IF(OR($A208="",$D208="",$E208=""),"",MAX(0,$E208-$D208))</f>
        <v/>
      </c>
      <c r="G208" s="120" t="str">
        <f aca="false">IF($A208="","",IF($E208&lt;&gt;"",IF(N($F208)&gt;0,"Entregue com atraso","Entregue no prazo"),IF($D208="","Sem data prometida",IF($D208&lt;Hoje!$L$1,"ATRASADA","Aguardando"))))</f>
        <v/>
      </c>
      <c r="H208" s="121"/>
      <c r="I208" s="121"/>
    </row>
    <row r="209" customFormat="false" ht="21" hidden="false" customHeight="true" outlineLevel="0" collapsed="false">
      <c r="A209" s="120"/>
      <c r="B209" s="121"/>
      <c r="C209" s="122"/>
      <c r="D209" s="122"/>
      <c r="E209" s="122"/>
      <c r="F209" s="123" t="str">
        <f aca="false">IF(OR($A209="",$D209="",$E209=""),"",MAX(0,$E209-$D209))</f>
        <v/>
      </c>
      <c r="G209" s="120" t="str">
        <f aca="false">IF($A209="","",IF($E209&lt;&gt;"",IF(N($F209)&gt;0,"Entregue com atraso","Entregue no prazo"),IF($D209="","Sem data prometida",IF($D209&lt;Hoje!$L$1,"ATRASADA","Aguardando"))))</f>
        <v/>
      </c>
      <c r="H209" s="121"/>
      <c r="I209" s="121"/>
    </row>
    <row r="210" customFormat="false" ht="21" hidden="false" customHeight="true" outlineLevel="0" collapsed="false">
      <c r="A210" s="120"/>
      <c r="B210" s="121"/>
      <c r="C210" s="122"/>
      <c r="D210" s="122"/>
      <c r="E210" s="122"/>
      <c r="F210" s="123" t="str">
        <f aca="false">IF(OR($A210="",$D210="",$E210=""),"",MAX(0,$E210-$D210))</f>
        <v/>
      </c>
      <c r="G210" s="120" t="str">
        <f aca="false">IF($A210="","",IF($E210&lt;&gt;"",IF(N($F210)&gt;0,"Entregue com atraso","Entregue no prazo"),IF($D210="","Sem data prometida",IF($D210&lt;Hoje!$L$1,"ATRASADA","Aguardando"))))</f>
        <v/>
      </c>
      <c r="H210" s="121"/>
      <c r="I210" s="121"/>
    </row>
    <row r="211" customFormat="false" ht="21" hidden="false" customHeight="true" outlineLevel="0" collapsed="false">
      <c r="A211" s="120"/>
      <c r="B211" s="121"/>
      <c r="C211" s="122"/>
      <c r="D211" s="122"/>
      <c r="E211" s="122"/>
      <c r="F211" s="123" t="str">
        <f aca="false">IF(OR($A211="",$D211="",$E211=""),"",MAX(0,$E211-$D211))</f>
        <v/>
      </c>
      <c r="G211" s="120" t="str">
        <f aca="false">IF($A211="","",IF($E211&lt;&gt;"",IF(N($F211)&gt;0,"Entregue com atraso","Entregue no prazo"),IF($D211="","Sem data prometida",IF($D211&lt;Hoje!$L$1,"ATRASADA","Aguardando"))))</f>
        <v/>
      </c>
      <c r="H211" s="121"/>
      <c r="I211" s="121"/>
    </row>
    <row r="212" customFormat="false" ht="21" hidden="false" customHeight="true" outlineLevel="0" collapsed="false">
      <c r="A212" s="120"/>
      <c r="B212" s="121"/>
      <c r="C212" s="122"/>
      <c r="D212" s="122"/>
      <c r="E212" s="122"/>
      <c r="F212" s="123" t="str">
        <f aca="false">IF(OR($A212="",$D212="",$E212=""),"",MAX(0,$E212-$D212))</f>
        <v/>
      </c>
      <c r="G212" s="120" t="str">
        <f aca="false">IF($A212="","",IF($E212&lt;&gt;"",IF(N($F212)&gt;0,"Entregue com atraso","Entregue no prazo"),IF($D212="","Sem data prometida",IF($D212&lt;Hoje!$L$1,"ATRASADA","Aguardando"))))</f>
        <v/>
      </c>
      <c r="H212" s="121"/>
      <c r="I212" s="121"/>
    </row>
    <row r="213" customFormat="false" ht="21" hidden="false" customHeight="true" outlineLevel="0" collapsed="false">
      <c r="A213" s="120"/>
      <c r="B213" s="121"/>
      <c r="C213" s="122"/>
      <c r="D213" s="122"/>
      <c r="E213" s="122"/>
      <c r="F213" s="123" t="str">
        <f aca="false">IF(OR($A213="",$D213="",$E213=""),"",MAX(0,$E213-$D213))</f>
        <v/>
      </c>
      <c r="G213" s="120" t="str">
        <f aca="false">IF($A213="","",IF($E213&lt;&gt;"",IF(N($F213)&gt;0,"Entregue com atraso","Entregue no prazo"),IF($D213="","Sem data prometida",IF($D213&lt;Hoje!$L$1,"ATRASADA","Aguardando"))))</f>
        <v/>
      </c>
      <c r="H213" s="121"/>
      <c r="I213" s="121"/>
    </row>
    <row r="214" customFormat="false" ht="21" hidden="false" customHeight="true" outlineLevel="0" collapsed="false">
      <c r="A214" s="120"/>
      <c r="B214" s="121"/>
      <c r="C214" s="122"/>
      <c r="D214" s="122"/>
      <c r="E214" s="122"/>
      <c r="F214" s="123" t="str">
        <f aca="false">IF(OR($A214="",$D214="",$E214=""),"",MAX(0,$E214-$D214))</f>
        <v/>
      </c>
      <c r="G214" s="120" t="str">
        <f aca="false">IF($A214="","",IF($E214&lt;&gt;"",IF(N($F214)&gt;0,"Entregue com atraso","Entregue no prazo"),IF($D214="","Sem data prometida",IF($D214&lt;Hoje!$L$1,"ATRASADA","Aguardando"))))</f>
        <v/>
      </c>
      <c r="H214" s="121"/>
      <c r="I214" s="121"/>
    </row>
    <row r="215" customFormat="false" ht="21" hidden="false" customHeight="true" outlineLevel="0" collapsed="false">
      <c r="A215" s="120"/>
      <c r="B215" s="121"/>
      <c r="C215" s="122"/>
      <c r="D215" s="122"/>
      <c r="E215" s="122"/>
      <c r="F215" s="123" t="str">
        <f aca="false">IF(OR($A215="",$D215="",$E215=""),"",MAX(0,$E215-$D215))</f>
        <v/>
      </c>
      <c r="G215" s="120" t="str">
        <f aca="false">IF($A215="","",IF($E215&lt;&gt;"",IF(N($F215)&gt;0,"Entregue com atraso","Entregue no prazo"),IF($D215="","Sem data prometida",IF($D215&lt;Hoje!$L$1,"ATRASADA","Aguardando"))))</f>
        <v/>
      </c>
      <c r="H215" s="121"/>
      <c r="I215" s="121"/>
    </row>
    <row r="216" customFormat="false" ht="21" hidden="false" customHeight="true" outlineLevel="0" collapsed="false">
      <c r="A216" s="120"/>
      <c r="B216" s="121"/>
      <c r="C216" s="122"/>
      <c r="D216" s="122"/>
      <c r="E216" s="122"/>
      <c r="F216" s="123" t="str">
        <f aca="false">IF(OR($A216="",$D216="",$E216=""),"",MAX(0,$E216-$D216))</f>
        <v/>
      </c>
      <c r="G216" s="120" t="str">
        <f aca="false">IF($A216="","",IF($E216&lt;&gt;"",IF(N($F216)&gt;0,"Entregue com atraso","Entregue no prazo"),IF($D216="","Sem data prometida",IF($D216&lt;Hoje!$L$1,"ATRASADA","Aguardando"))))</f>
        <v/>
      </c>
      <c r="H216" s="121"/>
      <c r="I216" s="121"/>
    </row>
    <row r="217" customFormat="false" ht="21" hidden="false" customHeight="true" outlineLevel="0" collapsed="false">
      <c r="A217" s="120"/>
      <c r="B217" s="121"/>
      <c r="C217" s="122"/>
      <c r="D217" s="122"/>
      <c r="E217" s="122"/>
      <c r="F217" s="123" t="str">
        <f aca="false">IF(OR($A217="",$D217="",$E217=""),"",MAX(0,$E217-$D217))</f>
        <v/>
      </c>
      <c r="G217" s="120" t="str">
        <f aca="false">IF($A217="","",IF($E217&lt;&gt;"",IF(N($F217)&gt;0,"Entregue com atraso","Entregue no prazo"),IF($D217="","Sem data prometida",IF($D217&lt;Hoje!$L$1,"ATRASADA","Aguardando"))))</f>
        <v/>
      </c>
      <c r="H217" s="121"/>
      <c r="I217" s="121"/>
    </row>
    <row r="218" customFormat="false" ht="21" hidden="false" customHeight="true" outlineLevel="0" collapsed="false">
      <c r="A218" s="120"/>
      <c r="B218" s="121"/>
      <c r="C218" s="122"/>
      <c r="D218" s="122"/>
      <c r="E218" s="122"/>
      <c r="F218" s="123" t="str">
        <f aca="false">IF(OR($A218="",$D218="",$E218=""),"",MAX(0,$E218-$D218))</f>
        <v/>
      </c>
      <c r="G218" s="120" t="str">
        <f aca="false">IF($A218="","",IF($E218&lt;&gt;"",IF(N($F218)&gt;0,"Entregue com atraso","Entregue no prazo"),IF($D218="","Sem data prometida",IF($D218&lt;Hoje!$L$1,"ATRASADA","Aguardando"))))</f>
        <v/>
      </c>
      <c r="H218" s="121"/>
      <c r="I218" s="121"/>
    </row>
    <row r="219" customFormat="false" ht="21" hidden="false" customHeight="true" outlineLevel="0" collapsed="false">
      <c r="A219" s="120"/>
      <c r="B219" s="121"/>
      <c r="C219" s="122"/>
      <c r="D219" s="122"/>
      <c r="E219" s="122"/>
      <c r="F219" s="123" t="str">
        <f aca="false">IF(OR($A219="",$D219="",$E219=""),"",MAX(0,$E219-$D219))</f>
        <v/>
      </c>
      <c r="G219" s="120" t="str">
        <f aca="false">IF($A219="","",IF($E219&lt;&gt;"",IF(N($F219)&gt;0,"Entregue com atraso","Entregue no prazo"),IF($D219="","Sem data prometida",IF($D219&lt;Hoje!$L$1,"ATRASADA","Aguardando"))))</f>
        <v/>
      </c>
      <c r="H219" s="121"/>
      <c r="I219" s="121"/>
    </row>
    <row r="220" customFormat="false" ht="21" hidden="false" customHeight="true" outlineLevel="0" collapsed="false">
      <c r="A220" s="120"/>
      <c r="B220" s="121"/>
      <c r="C220" s="122"/>
      <c r="D220" s="122"/>
      <c r="E220" s="122"/>
      <c r="F220" s="123" t="str">
        <f aca="false">IF(OR($A220="",$D220="",$E220=""),"",MAX(0,$E220-$D220))</f>
        <v/>
      </c>
      <c r="G220" s="120" t="str">
        <f aca="false">IF($A220="","",IF($E220&lt;&gt;"",IF(N($F220)&gt;0,"Entregue com atraso","Entregue no prazo"),IF($D220="","Sem data prometida",IF($D220&lt;Hoje!$L$1,"ATRASADA","Aguardando"))))</f>
        <v/>
      </c>
      <c r="H220" s="121"/>
      <c r="I220" s="121"/>
    </row>
    <row r="221" customFormat="false" ht="21" hidden="false" customHeight="true" outlineLevel="0" collapsed="false">
      <c r="A221" s="120"/>
      <c r="B221" s="121"/>
      <c r="C221" s="122"/>
      <c r="D221" s="122"/>
      <c r="E221" s="122"/>
      <c r="F221" s="123" t="str">
        <f aca="false">IF(OR($A221="",$D221="",$E221=""),"",MAX(0,$E221-$D221))</f>
        <v/>
      </c>
      <c r="G221" s="120" t="str">
        <f aca="false">IF($A221="","",IF($E221&lt;&gt;"",IF(N($F221)&gt;0,"Entregue com atraso","Entregue no prazo"),IF($D221="","Sem data prometida",IF($D221&lt;Hoje!$L$1,"ATRASADA","Aguardando"))))</f>
        <v/>
      </c>
      <c r="H221" s="121"/>
      <c r="I221" s="121"/>
    </row>
    <row r="222" customFormat="false" ht="21" hidden="false" customHeight="true" outlineLevel="0" collapsed="false">
      <c r="A222" s="120"/>
      <c r="B222" s="121"/>
      <c r="C222" s="122"/>
      <c r="D222" s="122"/>
      <c r="E222" s="122"/>
      <c r="F222" s="123" t="str">
        <f aca="false">IF(OR($A222="",$D222="",$E222=""),"",MAX(0,$E222-$D222))</f>
        <v/>
      </c>
      <c r="G222" s="120" t="str">
        <f aca="false">IF($A222="","",IF($E222&lt;&gt;"",IF(N($F222)&gt;0,"Entregue com atraso","Entregue no prazo"),IF($D222="","Sem data prometida",IF($D222&lt;Hoje!$L$1,"ATRASADA","Aguardando"))))</f>
        <v/>
      </c>
      <c r="H222" s="121"/>
      <c r="I222" s="121"/>
    </row>
    <row r="223" customFormat="false" ht="21" hidden="false" customHeight="true" outlineLevel="0" collapsed="false">
      <c r="A223" s="120"/>
      <c r="B223" s="121"/>
      <c r="C223" s="122"/>
      <c r="D223" s="122"/>
      <c r="E223" s="122"/>
      <c r="F223" s="123" t="str">
        <f aca="false">IF(OR($A223="",$D223="",$E223=""),"",MAX(0,$E223-$D223))</f>
        <v/>
      </c>
      <c r="G223" s="120" t="str">
        <f aca="false">IF($A223="","",IF($E223&lt;&gt;"",IF(N($F223)&gt;0,"Entregue com atraso","Entregue no prazo"),IF($D223="","Sem data prometida",IF($D223&lt;Hoje!$L$1,"ATRASADA","Aguardando"))))</f>
        <v/>
      </c>
      <c r="H223" s="121"/>
      <c r="I223" s="121"/>
    </row>
    <row r="224" customFormat="false" ht="21" hidden="false" customHeight="true" outlineLevel="0" collapsed="false">
      <c r="A224" s="120"/>
      <c r="B224" s="121"/>
      <c r="C224" s="122"/>
      <c r="D224" s="122"/>
      <c r="E224" s="122"/>
      <c r="F224" s="123" t="str">
        <f aca="false">IF(OR($A224="",$D224="",$E224=""),"",MAX(0,$E224-$D224))</f>
        <v/>
      </c>
      <c r="G224" s="120" t="str">
        <f aca="false">IF($A224="","",IF($E224&lt;&gt;"",IF(N($F224)&gt;0,"Entregue com atraso","Entregue no prazo"),IF($D224="","Sem data prometida",IF($D224&lt;Hoje!$L$1,"ATRASADA","Aguardando"))))</f>
        <v/>
      </c>
      <c r="H224" s="121"/>
      <c r="I224" s="121"/>
    </row>
    <row r="225" customFormat="false" ht="21" hidden="false" customHeight="true" outlineLevel="0" collapsed="false">
      <c r="A225" s="120"/>
      <c r="B225" s="121"/>
      <c r="C225" s="122"/>
      <c r="D225" s="122"/>
      <c r="E225" s="122"/>
      <c r="F225" s="123" t="str">
        <f aca="false">IF(OR($A225="",$D225="",$E225=""),"",MAX(0,$E225-$D225))</f>
        <v/>
      </c>
      <c r="G225" s="120" t="str">
        <f aca="false">IF($A225="","",IF($E225&lt;&gt;"",IF(N($F225)&gt;0,"Entregue com atraso","Entregue no prazo"),IF($D225="","Sem data prometida",IF($D225&lt;Hoje!$L$1,"ATRASADA","Aguardando"))))</f>
        <v/>
      </c>
      <c r="H225" s="121"/>
      <c r="I225" s="121"/>
    </row>
    <row r="226" customFormat="false" ht="21" hidden="false" customHeight="true" outlineLevel="0" collapsed="false">
      <c r="A226" s="120"/>
      <c r="B226" s="121"/>
      <c r="C226" s="122"/>
      <c r="D226" s="122"/>
      <c r="E226" s="122"/>
      <c r="F226" s="123" t="str">
        <f aca="false">IF(OR($A226="",$D226="",$E226=""),"",MAX(0,$E226-$D226))</f>
        <v/>
      </c>
      <c r="G226" s="120" t="str">
        <f aca="false">IF($A226="","",IF($E226&lt;&gt;"",IF(N($F226)&gt;0,"Entregue com atraso","Entregue no prazo"),IF($D226="","Sem data prometida",IF($D226&lt;Hoje!$L$1,"ATRASADA","Aguardando"))))</f>
        <v/>
      </c>
      <c r="H226" s="121"/>
      <c r="I226" s="121"/>
    </row>
    <row r="227" customFormat="false" ht="21" hidden="false" customHeight="true" outlineLevel="0" collapsed="false">
      <c r="A227" s="120"/>
      <c r="B227" s="121"/>
      <c r="C227" s="122"/>
      <c r="D227" s="122"/>
      <c r="E227" s="122"/>
      <c r="F227" s="123" t="str">
        <f aca="false">IF(OR($A227="",$D227="",$E227=""),"",MAX(0,$E227-$D227))</f>
        <v/>
      </c>
      <c r="G227" s="120" t="str">
        <f aca="false">IF($A227="","",IF($E227&lt;&gt;"",IF(N($F227)&gt;0,"Entregue com atraso","Entregue no prazo"),IF($D227="","Sem data prometida",IF($D227&lt;Hoje!$L$1,"ATRASADA","Aguardando"))))</f>
        <v/>
      </c>
      <c r="H227" s="121"/>
      <c r="I227" s="121"/>
    </row>
    <row r="228" customFormat="false" ht="21" hidden="false" customHeight="true" outlineLevel="0" collapsed="false">
      <c r="A228" s="120"/>
      <c r="B228" s="121"/>
      <c r="C228" s="122"/>
      <c r="D228" s="122"/>
      <c r="E228" s="122"/>
      <c r="F228" s="123" t="str">
        <f aca="false">IF(OR($A228="",$D228="",$E228=""),"",MAX(0,$E228-$D228))</f>
        <v/>
      </c>
      <c r="G228" s="120" t="str">
        <f aca="false">IF($A228="","",IF($E228&lt;&gt;"",IF(N($F228)&gt;0,"Entregue com atraso","Entregue no prazo"),IF($D228="","Sem data prometida",IF($D228&lt;Hoje!$L$1,"ATRASADA","Aguardando"))))</f>
        <v/>
      </c>
      <c r="H228" s="121"/>
      <c r="I228" s="121"/>
    </row>
    <row r="229" customFormat="false" ht="21" hidden="false" customHeight="true" outlineLevel="0" collapsed="false">
      <c r="A229" s="120"/>
      <c r="B229" s="121"/>
      <c r="C229" s="122"/>
      <c r="D229" s="122"/>
      <c r="E229" s="122"/>
      <c r="F229" s="123" t="str">
        <f aca="false">IF(OR($A229="",$D229="",$E229=""),"",MAX(0,$E229-$D229))</f>
        <v/>
      </c>
      <c r="G229" s="120" t="str">
        <f aca="false">IF($A229="","",IF($E229&lt;&gt;"",IF(N($F229)&gt;0,"Entregue com atraso","Entregue no prazo"),IF($D229="","Sem data prometida",IF($D229&lt;Hoje!$L$1,"ATRASADA","Aguardando"))))</f>
        <v/>
      </c>
      <c r="H229" s="121"/>
      <c r="I229" s="121"/>
    </row>
    <row r="230" customFormat="false" ht="21" hidden="false" customHeight="true" outlineLevel="0" collapsed="false">
      <c r="A230" s="120"/>
      <c r="B230" s="121"/>
      <c r="C230" s="122"/>
      <c r="D230" s="122"/>
      <c r="E230" s="122"/>
      <c r="F230" s="123" t="str">
        <f aca="false">IF(OR($A230="",$D230="",$E230=""),"",MAX(0,$E230-$D230))</f>
        <v/>
      </c>
      <c r="G230" s="120" t="str">
        <f aca="false">IF($A230="","",IF($E230&lt;&gt;"",IF(N($F230)&gt;0,"Entregue com atraso","Entregue no prazo"),IF($D230="","Sem data prometida",IF($D230&lt;Hoje!$L$1,"ATRASADA","Aguardando"))))</f>
        <v/>
      </c>
      <c r="H230" s="121"/>
      <c r="I230" s="121"/>
    </row>
    <row r="231" customFormat="false" ht="21" hidden="false" customHeight="true" outlineLevel="0" collapsed="false">
      <c r="A231" s="120"/>
      <c r="B231" s="121"/>
      <c r="C231" s="122"/>
      <c r="D231" s="122"/>
      <c r="E231" s="122"/>
      <c r="F231" s="123" t="str">
        <f aca="false">IF(OR($A231="",$D231="",$E231=""),"",MAX(0,$E231-$D231))</f>
        <v/>
      </c>
      <c r="G231" s="120" t="str">
        <f aca="false">IF($A231="","",IF($E231&lt;&gt;"",IF(N($F231)&gt;0,"Entregue com atraso","Entregue no prazo"),IF($D231="","Sem data prometida",IF($D231&lt;Hoje!$L$1,"ATRASADA","Aguardando"))))</f>
        <v/>
      </c>
      <c r="H231" s="121"/>
      <c r="I231" s="121"/>
    </row>
    <row r="232" customFormat="false" ht="21" hidden="false" customHeight="true" outlineLevel="0" collapsed="false">
      <c r="A232" s="120"/>
      <c r="B232" s="121"/>
      <c r="C232" s="122"/>
      <c r="D232" s="122"/>
      <c r="E232" s="122"/>
      <c r="F232" s="123" t="str">
        <f aca="false">IF(OR($A232="",$D232="",$E232=""),"",MAX(0,$E232-$D232))</f>
        <v/>
      </c>
      <c r="G232" s="120" t="str">
        <f aca="false">IF($A232="","",IF($E232&lt;&gt;"",IF(N($F232)&gt;0,"Entregue com atraso","Entregue no prazo"),IF($D232="","Sem data prometida",IF($D232&lt;Hoje!$L$1,"ATRASADA","Aguardando"))))</f>
        <v/>
      </c>
      <c r="H232" s="121"/>
      <c r="I232" s="121"/>
    </row>
    <row r="233" customFormat="false" ht="21" hidden="false" customHeight="true" outlineLevel="0" collapsed="false">
      <c r="A233" s="120"/>
      <c r="B233" s="121"/>
      <c r="C233" s="122"/>
      <c r="D233" s="122"/>
      <c r="E233" s="122"/>
      <c r="F233" s="123" t="str">
        <f aca="false">IF(OR($A233="",$D233="",$E233=""),"",MAX(0,$E233-$D233))</f>
        <v/>
      </c>
      <c r="G233" s="120" t="str">
        <f aca="false">IF($A233="","",IF($E233&lt;&gt;"",IF(N($F233)&gt;0,"Entregue com atraso","Entregue no prazo"),IF($D233="","Sem data prometida",IF($D233&lt;Hoje!$L$1,"ATRASADA","Aguardando"))))</f>
        <v/>
      </c>
      <c r="H233" s="121"/>
      <c r="I233" s="121"/>
    </row>
    <row r="234" customFormat="false" ht="21" hidden="false" customHeight="true" outlineLevel="0" collapsed="false">
      <c r="A234" s="120"/>
      <c r="B234" s="121"/>
      <c r="C234" s="122"/>
      <c r="D234" s="122"/>
      <c r="E234" s="122"/>
      <c r="F234" s="123" t="str">
        <f aca="false">IF(OR($A234="",$D234="",$E234=""),"",MAX(0,$E234-$D234))</f>
        <v/>
      </c>
      <c r="G234" s="120" t="str">
        <f aca="false">IF($A234="","",IF($E234&lt;&gt;"",IF(N($F234)&gt;0,"Entregue com atraso","Entregue no prazo"),IF($D234="","Sem data prometida",IF($D234&lt;Hoje!$L$1,"ATRASADA","Aguardando"))))</f>
        <v/>
      </c>
      <c r="H234" s="121"/>
      <c r="I234" s="121"/>
    </row>
    <row r="235" customFormat="false" ht="21" hidden="false" customHeight="true" outlineLevel="0" collapsed="false">
      <c r="A235" s="120"/>
      <c r="B235" s="121"/>
      <c r="C235" s="122"/>
      <c r="D235" s="122"/>
      <c r="E235" s="122"/>
      <c r="F235" s="123" t="str">
        <f aca="false">IF(OR($A235="",$D235="",$E235=""),"",MAX(0,$E235-$D235))</f>
        <v/>
      </c>
      <c r="G235" s="120" t="str">
        <f aca="false">IF($A235="","",IF($E235&lt;&gt;"",IF(N($F235)&gt;0,"Entregue com atraso","Entregue no prazo"),IF($D235="","Sem data prometida",IF($D235&lt;Hoje!$L$1,"ATRASADA","Aguardando"))))</f>
        <v/>
      </c>
      <c r="H235" s="121"/>
      <c r="I235" s="121"/>
    </row>
    <row r="236" customFormat="false" ht="21" hidden="false" customHeight="true" outlineLevel="0" collapsed="false">
      <c r="A236" s="120"/>
      <c r="B236" s="121"/>
      <c r="C236" s="122"/>
      <c r="D236" s="122"/>
      <c r="E236" s="122"/>
      <c r="F236" s="123" t="str">
        <f aca="false">IF(OR($A236="",$D236="",$E236=""),"",MAX(0,$E236-$D236))</f>
        <v/>
      </c>
      <c r="G236" s="120" t="str">
        <f aca="false">IF($A236="","",IF($E236&lt;&gt;"",IF(N($F236)&gt;0,"Entregue com atraso","Entregue no prazo"),IF($D236="","Sem data prometida",IF($D236&lt;Hoje!$L$1,"ATRASADA","Aguardando"))))</f>
        <v/>
      </c>
      <c r="H236" s="121"/>
      <c r="I236" s="121"/>
    </row>
    <row r="237" customFormat="false" ht="21" hidden="false" customHeight="true" outlineLevel="0" collapsed="false">
      <c r="A237" s="120"/>
      <c r="B237" s="121"/>
      <c r="C237" s="122"/>
      <c r="D237" s="122"/>
      <c r="E237" s="122"/>
      <c r="F237" s="123" t="str">
        <f aca="false">IF(OR($A237="",$D237="",$E237=""),"",MAX(0,$E237-$D237))</f>
        <v/>
      </c>
      <c r="G237" s="120" t="str">
        <f aca="false">IF($A237="","",IF($E237&lt;&gt;"",IF(N($F237)&gt;0,"Entregue com atraso","Entregue no prazo"),IF($D237="","Sem data prometida",IF($D237&lt;Hoje!$L$1,"ATRASADA","Aguardando"))))</f>
        <v/>
      </c>
      <c r="H237" s="121"/>
      <c r="I237" s="121"/>
    </row>
    <row r="238" customFormat="false" ht="21" hidden="false" customHeight="true" outlineLevel="0" collapsed="false">
      <c r="A238" s="120"/>
      <c r="B238" s="121"/>
      <c r="C238" s="122"/>
      <c r="D238" s="122"/>
      <c r="E238" s="122"/>
      <c r="F238" s="123" t="str">
        <f aca="false">IF(OR($A238="",$D238="",$E238=""),"",MAX(0,$E238-$D238))</f>
        <v/>
      </c>
      <c r="G238" s="120" t="str">
        <f aca="false">IF($A238="","",IF($E238&lt;&gt;"",IF(N($F238)&gt;0,"Entregue com atraso","Entregue no prazo"),IF($D238="","Sem data prometida",IF($D238&lt;Hoje!$L$1,"ATRASADA","Aguardando"))))</f>
        <v/>
      </c>
      <c r="H238" s="121"/>
      <c r="I238" s="121"/>
    </row>
    <row r="239" customFormat="false" ht="21" hidden="false" customHeight="true" outlineLevel="0" collapsed="false">
      <c r="A239" s="120"/>
      <c r="B239" s="121"/>
      <c r="C239" s="122"/>
      <c r="D239" s="122"/>
      <c r="E239" s="122"/>
      <c r="F239" s="123" t="str">
        <f aca="false">IF(OR($A239="",$D239="",$E239=""),"",MAX(0,$E239-$D239))</f>
        <v/>
      </c>
      <c r="G239" s="120" t="str">
        <f aca="false">IF($A239="","",IF($E239&lt;&gt;"",IF(N($F239)&gt;0,"Entregue com atraso","Entregue no prazo"),IF($D239="","Sem data prometida",IF($D239&lt;Hoje!$L$1,"ATRASADA","Aguardando"))))</f>
        <v/>
      </c>
      <c r="H239" s="121"/>
      <c r="I239" s="121"/>
    </row>
    <row r="240" customFormat="false" ht="21" hidden="false" customHeight="true" outlineLevel="0" collapsed="false">
      <c r="A240" s="120"/>
      <c r="B240" s="121"/>
      <c r="C240" s="122"/>
      <c r="D240" s="122"/>
      <c r="E240" s="122"/>
      <c r="F240" s="123" t="str">
        <f aca="false">IF(OR($A240="",$D240="",$E240=""),"",MAX(0,$E240-$D240))</f>
        <v/>
      </c>
      <c r="G240" s="120" t="str">
        <f aca="false">IF($A240="","",IF($E240&lt;&gt;"",IF(N($F240)&gt;0,"Entregue com atraso","Entregue no prazo"),IF($D240="","Sem data prometida",IF($D240&lt;Hoje!$L$1,"ATRASADA","Aguardando"))))</f>
        <v/>
      </c>
      <c r="H240" s="121"/>
      <c r="I240" s="121"/>
    </row>
    <row r="241" customFormat="false" ht="21" hidden="false" customHeight="true" outlineLevel="0" collapsed="false">
      <c r="A241" s="120"/>
      <c r="B241" s="121"/>
      <c r="C241" s="122"/>
      <c r="D241" s="122"/>
      <c r="E241" s="122"/>
      <c r="F241" s="123" t="str">
        <f aca="false">IF(OR($A241="",$D241="",$E241=""),"",MAX(0,$E241-$D241))</f>
        <v/>
      </c>
      <c r="G241" s="120" t="str">
        <f aca="false">IF($A241="","",IF($E241&lt;&gt;"",IF(N($F241)&gt;0,"Entregue com atraso","Entregue no prazo"),IF($D241="","Sem data prometida",IF($D241&lt;Hoje!$L$1,"ATRASADA","Aguardando"))))</f>
        <v/>
      </c>
      <c r="H241" s="121"/>
      <c r="I241" s="121"/>
    </row>
    <row r="242" customFormat="false" ht="21" hidden="false" customHeight="true" outlineLevel="0" collapsed="false">
      <c r="A242" s="120"/>
      <c r="B242" s="121"/>
      <c r="C242" s="122"/>
      <c r="D242" s="122"/>
      <c r="E242" s="122"/>
      <c r="F242" s="123" t="str">
        <f aca="false">IF(OR($A242="",$D242="",$E242=""),"",MAX(0,$E242-$D242))</f>
        <v/>
      </c>
      <c r="G242" s="120" t="str">
        <f aca="false">IF($A242="","",IF($E242&lt;&gt;"",IF(N($F242)&gt;0,"Entregue com atraso","Entregue no prazo"),IF($D242="","Sem data prometida",IF($D242&lt;Hoje!$L$1,"ATRASADA","Aguardando"))))</f>
        <v/>
      </c>
      <c r="H242" s="121"/>
      <c r="I242" s="121"/>
    </row>
    <row r="243" customFormat="false" ht="21" hidden="false" customHeight="true" outlineLevel="0" collapsed="false">
      <c r="A243" s="120"/>
      <c r="B243" s="121"/>
      <c r="C243" s="122"/>
      <c r="D243" s="122"/>
      <c r="E243" s="122"/>
      <c r="F243" s="123" t="str">
        <f aca="false">IF(OR($A243="",$D243="",$E243=""),"",MAX(0,$E243-$D243))</f>
        <v/>
      </c>
      <c r="G243" s="120" t="str">
        <f aca="false">IF($A243="","",IF($E243&lt;&gt;"",IF(N($F243)&gt;0,"Entregue com atraso","Entregue no prazo"),IF($D243="","Sem data prometida",IF($D243&lt;Hoje!$L$1,"ATRASADA","Aguardando"))))</f>
        <v/>
      </c>
      <c r="H243" s="121"/>
      <c r="I243" s="121"/>
    </row>
    <row r="244" customFormat="false" ht="21" hidden="false" customHeight="true" outlineLevel="0" collapsed="false">
      <c r="A244" s="120"/>
      <c r="B244" s="121"/>
      <c r="C244" s="122"/>
      <c r="D244" s="122"/>
      <c r="E244" s="122"/>
      <c r="F244" s="123" t="str">
        <f aca="false">IF(OR($A244="",$D244="",$E244=""),"",MAX(0,$E244-$D244))</f>
        <v/>
      </c>
      <c r="G244" s="120" t="str">
        <f aca="false">IF($A244="","",IF($E244&lt;&gt;"",IF(N($F244)&gt;0,"Entregue com atraso","Entregue no prazo"),IF($D244="","Sem data prometida",IF($D244&lt;Hoje!$L$1,"ATRASADA","Aguardando"))))</f>
        <v/>
      </c>
      <c r="H244" s="121"/>
      <c r="I244" s="121"/>
    </row>
    <row r="245" customFormat="false" ht="21" hidden="false" customHeight="true" outlineLevel="0" collapsed="false">
      <c r="A245" s="120"/>
      <c r="B245" s="121"/>
      <c r="C245" s="122"/>
      <c r="D245" s="122"/>
      <c r="E245" s="122"/>
      <c r="F245" s="123" t="str">
        <f aca="false">IF(OR($A245="",$D245="",$E245=""),"",MAX(0,$E245-$D245))</f>
        <v/>
      </c>
      <c r="G245" s="120" t="str">
        <f aca="false">IF($A245="","",IF($E245&lt;&gt;"",IF(N($F245)&gt;0,"Entregue com atraso","Entregue no prazo"),IF($D245="","Sem data prometida",IF($D245&lt;Hoje!$L$1,"ATRASADA","Aguardando"))))</f>
        <v/>
      </c>
      <c r="H245" s="121"/>
      <c r="I245" s="121"/>
    </row>
    <row r="246" customFormat="false" ht="21" hidden="false" customHeight="true" outlineLevel="0" collapsed="false">
      <c r="A246" s="120"/>
      <c r="B246" s="121"/>
      <c r="C246" s="122"/>
      <c r="D246" s="122"/>
      <c r="E246" s="122"/>
      <c r="F246" s="123" t="str">
        <f aca="false">IF(OR($A246="",$D246="",$E246=""),"",MAX(0,$E246-$D246))</f>
        <v/>
      </c>
      <c r="G246" s="120" t="str">
        <f aca="false">IF($A246="","",IF($E246&lt;&gt;"",IF(N($F246)&gt;0,"Entregue com atraso","Entregue no prazo"),IF($D246="","Sem data prometida",IF($D246&lt;Hoje!$L$1,"ATRASADA","Aguardando"))))</f>
        <v/>
      </c>
      <c r="H246" s="121"/>
      <c r="I246" s="121"/>
    </row>
    <row r="247" customFormat="false" ht="21" hidden="false" customHeight="true" outlineLevel="0" collapsed="false">
      <c r="A247" s="120"/>
      <c r="B247" s="121"/>
      <c r="C247" s="122"/>
      <c r="D247" s="122"/>
      <c r="E247" s="122"/>
      <c r="F247" s="123" t="str">
        <f aca="false">IF(OR($A247="",$D247="",$E247=""),"",MAX(0,$E247-$D247))</f>
        <v/>
      </c>
      <c r="G247" s="120" t="str">
        <f aca="false">IF($A247="","",IF($E247&lt;&gt;"",IF(N($F247)&gt;0,"Entregue com atraso","Entregue no prazo"),IF($D247="","Sem data prometida",IF($D247&lt;Hoje!$L$1,"ATRASADA","Aguardando"))))</f>
        <v/>
      </c>
      <c r="H247" s="121"/>
      <c r="I247" s="121"/>
    </row>
    <row r="248" customFormat="false" ht="21" hidden="false" customHeight="true" outlineLevel="0" collapsed="false">
      <c r="A248" s="120"/>
      <c r="B248" s="121"/>
      <c r="C248" s="122"/>
      <c r="D248" s="122"/>
      <c r="E248" s="122"/>
      <c r="F248" s="123" t="str">
        <f aca="false">IF(OR($A248="",$D248="",$E248=""),"",MAX(0,$E248-$D248))</f>
        <v/>
      </c>
      <c r="G248" s="120" t="str">
        <f aca="false">IF($A248="","",IF($E248&lt;&gt;"",IF(N($F248)&gt;0,"Entregue com atraso","Entregue no prazo"),IF($D248="","Sem data prometida",IF($D248&lt;Hoje!$L$1,"ATRASADA","Aguardando"))))</f>
        <v/>
      </c>
      <c r="H248" s="121"/>
      <c r="I248" s="121"/>
    </row>
    <row r="249" customFormat="false" ht="21" hidden="false" customHeight="true" outlineLevel="0" collapsed="false">
      <c r="A249" s="120"/>
      <c r="B249" s="121"/>
      <c r="C249" s="122"/>
      <c r="D249" s="122"/>
      <c r="E249" s="122"/>
      <c r="F249" s="123" t="str">
        <f aca="false">IF(OR($A249="",$D249="",$E249=""),"",MAX(0,$E249-$D249))</f>
        <v/>
      </c>
      <c r="G249" s="120" t="str">
        <f aca="false">IF($A249="","",IF($E249&lt;&gt;"",IF(N($F249)&gt;0,"Entregue com atraso","Entregue no prazo"),IF($D249="","Sem data prometida",IF($D249&lt;Hoje!$L$1,"ATRASADA","Aguardando"))))</f>
        <v/>
      </c>
      <c r="H249" s="121"/>
      <c r="I249" s="121"/>
    </row>
    <row r="250" customFormat="false" ht="21" hidden="false" customHeight="true" outlineLevel="0" collapsed="false">
      <c r="A250" s="120"/>
      <c r="B250" s="121"/>
      <c r="C250" s="122"/>
      <c r="D250" s="122"/>
      <c r="E250" s="122"/>
      <c r="F250" s="123" t="str">
        <f aca="false">IF(OR($A250="",$D250="",$E250=""),"",MAX(0,$E250-$D250))</f>
        <v/>
      </c>
      <c r="G250" s="120" t="str">
        <f aca="false">IF($A250="","",IF($E250&lt;&gt;"",IF(N($F250)&gt;0,"Entregue com atraso","Entregue no prazo"),IF($D250="","Sem data prometida",IF($D250&lt;Hoje!$L$1,"ATRASADA","Aguardando"))))</f>
        <v/>
      </c>
      <c r="H250" s="121"/>
      <c r="I250" s="121"/>
    </row>
    <row r="251" customFormat="false" ht="21" hidden="false" customHeight="true" outlineLevel="0" collapsed="false">
      <c r="A251" s="120"/>
      <c r="B251" s="121"/>
      <c r="C251" s="122"/>
      <c r="D251" s="122"/>
      <c r="E251" s="122"/>
      <c r="F251" s="123" t="str">
        <f aca="false">IF(OR($A251="",$D251="",$E251=""),"",MAX(0,$E251-$D251))</f>
        <v/>
      </c>
      <c r="G251" s="120" t="str">
        <f aca="false">IF($A251="","",IF($E251&lt;&gt;"",IF(N($F251)&gt;0,"Entregue com atraso","Entregue no prazo"),IF($D251="","Sem data prometida",IF($D251&lt;Hoje!$L$1,"ATRASADA","Aguardando"))))</f>
        <v/>
      </c>
      <c r="H251" s="121"/>
      <c r="I251" s="121"/>
    </row>
    <row r="252" customFormat="false" ht="21" hidden="false" customHeight="true" outlineLevel="0" collapsed="false">
      <c r="A252" s="120"/>
      <c r="B252" s="121"/>
      <c r="C252" s="122"/>
      <c r="D252" s="122"/>
      <c r="E252" s="122"/>
      <c r="F252" s="123" t="str">
        <f aca="false">IF(OR($A252="",$D252="",$E252=""),"",MAX(0,$E252-$D252))</f>
        <v/>
      </c>
      <c r="G252" s="120" t="str">
        <f aca="false">IF($A252="","",IF($E252&lt;&gt;"",IF(N($F252)&gt;0,"Entregue com atraso","Entregue no prazo"),IF($D252="","Sem data prometida",IF($D252&lt;Hoje!$L$1,"ATRASADA","Aguardando"))))</f>
        <v/>
      </c>
      <c r="H252" s="121"/>
      <c r="I252" s="121"/>
    </row>
    <row r="253" customFormat="false" ht="21" hidden="false" customHeight="true" outlineLevel="0" collapsed="false">
      <c r="A253" s="120"/>
      <c r="B253" s="121"/>
      <c r="C253" s="122"/>
      <c r="D253" s="122"/>
      <c r="E253" s="122"/>
      <c r="F253" s="123" t="str">
        <f aca="false">IF(OR($A253="",$D253="",$E253=""),"",MAX(0,$E253-$D253))</f>
        <v/>
      </c>
      <c r="G253" s="120" t="str">
        <f aca="false">IF($A253="","",IF($E253&lt;&gt;"",IF(N($F253)&gt;0,"Entregue com atraso","Entregue no prazo"),IF($D253="","Sem data prometida",IF($D253&lt;Hoje!$L$1,"ATRASADA","Aguardando"))))</f>
        <v/>
      </c>
      <c r="H253" s="121"/>
      <c r="I253" s="121"/>
    </row>
    <row r="254" customFormat="false" ht="21" hidden="false" customHeight="true" outlineLevel="0" collapsed="false">
      <c r="A254" s="120"/>
      <c r="B254" s="121"/>
      <c r="C254" s="122"/>
      <c r="D254" s="122"/>
      <c r="E254" s="122"/>
      <c r="F254" s="123" t="str">
        <f aca="false">IF(OR($A254="",$D254="",$E254=""),"",MAX(0,$E254-$D254))</f>
        <v/>
      </c>
      <c r="G254" s="120" t="str">
        <f aca="false">IF($A254="","",IF($E254&lt;&gt;"",IF(N($F254)&gt;0,"Entregue com atraso","Entregue no prazo"),IF($D254="","Sem data prometida",IF($D254&lt;Hoje!$L$1,"ATRASADA","Aguardando"))))</f>
        <v/>
      </c>
      <c r="H254" s="121"/>
      <c r="I254" s="121"/>
    </row>
    <row r="255" customFormat="false" ht="21" hidden="false" customHeight="true" outlineLevel="0" collapsed="false">
      <c r="A255" s="120"/>
      <c r="B255" s="121"/>
      <c r="C255" s="122"/>
      <c r="D255" s="122"/>
      <c r="E255" s="122"/>
      <c r="F255" s="123" t="str">
        <f aca="false">IF(OR($A255="",$D255="",$E255=""),"",MAX(0,$E255-$D255))</f>
        <v/>
      </c>
      <c r="G255" s="120" t="str">
        <f aca="false">IF($A255="","",IF($E255&lt;&gt;"",IF(N($F255)&gt;0,"Entregue com atraso","Entregue no prazo"),IF($D255="","Sem data prometida",IF($D255&lt;Hoje!$L$1,"ATRASADA","Aguardando"))))</f>
        <v/>
      </c>
      <c r="H255" s="121"/>
      <c r="I255" s="121"/>
    </row>
    <row r="256" customFormat="false" ht="21" hidden="false" customHeight="true" outlineLevel="0" collapsed="false">
      <c r="A256" s="120"/>
      <c r="B256" s="121"/>
      <c r="C256" s="122"/>
      <c r="D256" s="122"/>
      <c r="E256" s="122"/>
      <c r="F256" s="123" t="str">
        <f aca="false">IF(OR($A256="",$D256="",$E256=""),"",MAX(0,$E256-$D256))</f>
        <v/>
      </c>
      <c r="G256" s="120" t="str">
        <f aca="false">IF($A256="","",IF($E256&lt;&gt;"",IF(N($F256)&gt;0,"Entregue com atraso","Entregue no prazo"),IF($D256="","Sem data prometida",IF($D256&lt;Hoje!$L$1,"ATRASADA","Aguardando"))))</f>
        <v/>
      </c>
      <c r="H256" s="121"/>
      <c r="I256" s="121"/>
    </row>
    <row r="257" customFormat="false" ht="21" hidden="false" customHeight="true" outlineLevel="0" collapsed="false">
      <c r="A257" s="120"/>
      <c r="B257" s="121"/>
      <c r="C257" s="122"/>
      <c r="D257" s="122"/>
      <c r="E257" s="122"/>
      <c r="F257" s="123" t="str">
        <f aca="false">IF(OR($A257="",$D257="",$E257=""),"",MAX(0,$E257-$D257))</f>
        <v/>
      </c>
      <c r="G257" s="120" t="str">
        <f aca="false">IF($A257="","",IF($E257&lt;&gt;"",IF(N($F257)&gt;0,"Entregue com atraso","Entregue no prazo"),IF($D257="","Sem data prometida",IF($D257&lt;Hoje!$L$1,"ATRASADA","Aguardando"))))</f>
        <v/>
      </c>
      <c r="H257" s="121"/>
      <c r="I257" s="121"/>
    </row>
    <row r="258" customFormat="false" ht="21" hidden="false" customHeight="true" outlineLevel="0" collapsed="false">
      <c r="A258" s="120"/>
      <c r="B258" s="121"/>
      <c r="C258" s="122"/>
      <c r="D258" s="122"/>
      <c r="E258" s="122"/>
      <c r="F258" s="123" t="str">
        <f aca="false">IF(OR($A258="",$D258="",$E258=""),"",MAX(0,$E258-$D258))</f>
        <v/>
      </c>
      <c r="G258" s="120" t="str">
        <f aca="false">IF($A258="","",IF($E258&lt;&gt;"",IF(N($F258)&gt;0,"Entregue com atraso","Entregue no prazo"),IF($D258="","Sem data prometida",IF($D258&lt;Hoje!$L$1,"ATRASADA","Aguardando"))))</f>
        <v/>
      </c>
      <c r="H258" s="121"/>
      <c r="I258" s="121"/>
    </row>
    <row r="259" customFormat="false" ht="21" hidden="false" customHeight="true" outlineLevel="0" collapsed="false">
      <c r="A259" s="120"/>
      <c r="B259" s="121"/>
      <c r="C259" s="122"/>
      <c r="D259" s="122"/>
      <c r="E259" s="122"/>
      <c r="F259" s="123" t="str">
        <f aca="false">IF(OR($A259="",$D259="",$E259=""),"",MAX(0,$E259-$D259))</f>
        <v/>
      </c>
      <c r="G259" s="120" t="str">
        <f aca="false">IF($A259="","",IF($E259&lt;&gt;"",IF(N($F259)&gt;0,"Entregue com atraso","Entregue no prazo"),IF($D259="","Sem data prometida",IF($D259&lt;Hoje!$L$1,"ATRASADA","Aguardando"))))</f>
        <v/>
      </c>
      <c r="H259" s="121"/>
      <c r="I259" s="121"/>
    </row>
    <row r="260" customFormat="false" ht="21" hidden="false" customHeight="true" outlineLevel="0" collapsed="false">
      <c r="A260" s="120"/>
      <c r="B260" s="121"/>
      <c r="C260" s="122"/>
      <c r="D260" s="122"/>
      <c r="E260" s="122"/>
      <c r="F260" s="123" t="str">
        <f aca="false">IF(OR($A260="",$D260="",$E260=""),"",MAX(0,$E260-$D260))</f>
        <v/>
      </c>
      <c r="G260" s="120" t="str">
        <f aca="false">IF($A260="","",IF($E260&lt;&gt;"",IF(N($F260)&gt;0,"Entregue com atraso","Entregue no prazo"),IF($D260="","Sem data prometida",IF($D260&lt;Hoje!$L$1,"ATRASADA","Aguardando"))))</f>
        <v/>
      </c>
      <c r="H260" s="121"/>
      <c r="I260" s="121"/>
    </row>
    <row r="261" customFormat="false" ht="21" hidden="false" customHeight="true" outlineLevel="0" collapsed="false">
      <c r="A261" s="120"/>
      <c r="B261" s="121"/>
      <c r="C261" s="122"/>
      <c r="D261" s="122"/>
      <c r="E261" s="122"/>
      <c r="F261" s="123" t="str">
        <f aca="false">IF(OR($A261="",$D261="",$E261=""),"",MAX(0,$E261-$D261))</f>
        <v/>
      </c>
      <c r="G261" s="120" t="str">
        <f aca="false">IF($A261="","",IF($E261&lt;&gt;"",IF(N($F261)&gt;0,"Entregue com atraso","Entregue no prazo"),IF($D261="","Sem data prometida",IF($D261&lt;Hoje!$L$1,"ATRASADA","Aguardando"))))</f>
        <v/>
      </c>
      <c r="H261" s="121"/>
      <c r="I261" s="121"/>
    </row>
    <row r="262" customFormat="false" ht="21" hidden="false" customHeight="true" outlineLevel="0" collapsed="false">
      <c r="A262" s="120"/>
      <c r="B262" s="121"/>
      <c r="C262" s="122"/>
      <c r="D262" s="122"/>
      <c r="E262" s="122"/>
      <c r="F262" s="123" t="str">
        <f aca="false">IF(OR($A262="",$D262="",$E262=""),"",MAX(0,$E262-$D262))</f>
        <v/>
      </c>
      <c r="G262" s="120" t="str">
        <f aca="false">IF($A262="","",IF($E262&lt;&gt;"",IF(N($F262)&gt;0,"Entregue com atraso","Entregue no prazo"),IF($D262="","Sem data prometida",IF($D262&lt;Hoje!$L$1,"ATRASADA","Aguardando"))))</f>
        <v/>
      </c>
      <c r="H262" s="121"/>
      <c r="I262" s="121"/>
    </row>
    <row r="263" customFormat="false" ht="21" hidden="false" customHeight="true" outlineLevel="0" collapsed="false">
      <c r="A263" s="120"/>
      <c r="B263" s="121"/>
      <c r="C263" s="122"/>
      <c r="D263" s="122"/>
      <c r="E263" s="122"/>
      <c r="F263" s="123" t="str">
        <f aca="false">IF(OR($A263="",$D263="",$E263=""),"",MAX(0,$E263-$D263))</f>
        <v/>
      </c>
      <c r="G263" s="120" t="str">
        <f aca="false">IF($A263="","",IF($E263&lt;&gt;"",IF(N($F263)&gt;0,"Entregue com atraso","Entregue no prazo"),IF($D263="","Sem data prometida",IF($D263&lt;Hoje!$L$1,"ATRASADA","Aguardando"))))</f>
        <v/>
      </c>
      <c r="H263" s="121"/>
      <c r="I263" s="121"/>
    </row>
    <row r="264" customFormat="false" ht="21" hidden="false" customHeight="true" outlineLevel="0" collapsed="false">
      <c r="A264" s="120"/>
      <c r="B264" s="121"/>
      <c r="C264" s="122"/>
      <c r="D264" s="122"/>
      <c r="E264" s="122"/>
      <c r="F264" s="123" t="str">
        <f aca="false">IF(OR($A264="",$D264="",$E264=""),"",MAX(0,$E264-$D264))</f>
        <v/>
      </c>
      <c r="G264" s="120" t="str">
        <f aca="false">IF($A264="","",IF($E264&lt;&gt;"",IF(N($F264)&gt;0,"Entregue com atraso","Entregue no prazo"),IF($D264="","Sem data prometida",IF($D264&lt;Hoje!$L$1,"ATRASADA","Aguardando"))))</f>
        <v/>
      </c>
      <c r="H264" s="121"/>
      <c r="I264" s="121"/>
    </row>
    <row r="265" customFormat="false" ht="21" hidden="false" customHeight="true" outlineLevel="0" collapsed="false">
      <c r="A265" s="120"/>
      <c r="B265" s="121"/>
      <c r="C265" s="122"/>
      <c r="D265" s="122"/>
      <c r="E265" s="122"/>
      <c r="F265" s="123" t="str">
        <f aca="false">IF(OR($A265="",$D265="",$E265=""),"",MAX(0,$E265-$D265))</f>
        <v/>
      </c>
      <c r="G265" s="120" t="str">
        <f aca="false">IF($A265="","",IF($E265&lt;&gt;"",IF(N($F265)&gt;0,"Entregue com atraso","Entregue no prazo"),IF($D265="","Sem data prometida",IF($D265&lt;Hoje!$L$1,"ATRASADA","Aguardando"))))</f>
        <v/>
      </c>
      <c r="H265" s="121"/>
      <c r="I265" s="121"/>
    </row>
    <row r="266" customFormat="false" ht="21" hidden="false" customHeight="true" outlineLevel="0" collapsed="false">
      <c r="A266" s="120"/>
      <c r="B266" s="121"/>
      <c r="C266" s="122"/>
      <c r="D266" s="122"/>
      <c r="E266" s="122"/>
      <c r="F266" s="123" t="str">
        <f aca="false">IF(OR($A266="",$D266="",$E266=""),"",MAX(0,$E266-$D266))</f>
        <v/>
      </c>
      <c r="G266" s="120" t="str">
        <f aca="false">IF($A266="","",IF($E266&lt;&gt;"",IF(N($F266)&gt;0,"Entregue com atraso","Entregue no prazo"),IF($D266="","Sem data prometida",IF($D266&lt;Hoje!$L$1,"ATRASADA","Aguardando"))))</f>
        <v/>
      </c>
      <c r="H266" s="121"/>
      <c r="I266" s="121"/>
    </row>
    <row r="267" customFormat="false" ht="21" hidden="false" customHeight="true" outlineLevel="0" collapsed="false">
      <c r="A267" s="120"/>
      <c r="B267" s="121"/>
      <c r="C267" s="122"/>
      <c r="D267" s="122"/>
      <c r="E267" s="122"/>
      <c r="F267" s="123" t="str">
        <f aca="false">IF(OR($A267="",$D267="",$E267=""),"",MAX(0,$E267-$D267))</f>
        <v/>
      </c>
      <c r="G267" s="120" t="str">
        <f aca="false">IF($A267="","",IF($E267&lt;&gt;"",IF(N($F267)&gt;0,"Entregue com atraso","Entregue no prazo"),IF($D267="","Sem data prometida",IF($D267&lt;Hoje!$L$1,"ATRASADA","Aguardando"))))</f>
        <v/>
      </c>
      <c r="H267" s="121"/>
      <c r="I267" s="121"/>
    </row>
    <row r="268" customFormat="false" ht="21" hidden="false" customHeight="true" outlineLevel="0" collapsed="false">
      <c r="A268" s="120"/>
      <c r="B268" s="121"/>
      <c r="C268" s="122"/>
      <c r="D268" s="122"/>
      <c r="E268" s="122"/>
      <c r="F268" s="123" t="str">
        <f aca="false">IF(OR($A268="",$D268="",$E268=""),"",MAX(0,$E268-$D268))</f>
        <v/>
      </c>
      <c r="G268" s="120" t="str">
        <f aca="false">IF($A268="","",IF($E268&lt;&gt;"",IF(N($F268)&gt;0,"Entregue com atraso","Entregue no prazo"),IF($D268="","Sem data prometida",IF($D268&lt;Hoje!$L$1,"ATRASADA","Aguardando"))))</f>
        <v/>
      </c>
      <c r="H268" s="121"/>
      <c r="I268" s="121"/>
    </row>
    <row r="269" customFormat="false" ht="21" hidden="false" customHeight="true" outlineLevel="0" collapsed="false">
      <c r="A269" s="120"/>
      <c r="B269" s="121"/>
      <c r="C269" s="122"/>
      <c r="D269" s="122"/>
      <c r="E269" s="122"/>
      <c r="F269" s="123" t="str">
        <f aca="false">IF(OR($A269="",$D269="",$E269=""),"",MAX(0,$E269-$D269))</f>
        <v/>
      </c>
      <c r="G269" s="120" t="str">
        <f aca="false">IF($A269="","",IF($E269&lt;&gt;"",IF(N($F269)&gt;0,"Entregue com atraso","Entregue no prazo"),IF($D269="","Sem data prometida",IF($D269&lt;Hoje!$L$1,"ATRASADA","Aguardando"))))</f>
        <v/>
      </c>
      <c r="H269" s="121"/>
      <c r="I269" s="121"/>
    </row>
    <row r="270" customFormat="false" ht="21" hidden="false" customHeight="true" outlineLevel="0" collapsed="false">
      <c r="A270" s="120"/>
      <c r="B270" s="121"/>
      <c r="C270" s="122"/>
      <c r="D270" s="122"/>
      <c r="E270" s="122"/>
      <c r="F270" s="123" t="str">
        <f aca="false">IF(OR($A270="",$D270="",$E270=""),"",MAX(0,$E270-$D270))</f>
        <v/>
      </c>
      <c r="G270" s="120" t="str">
        <f aca="false">IF($A270="","",IF($E270&lt;&gt;"",IF(N($F270)&gt;0,"Entregue com atraso","Entregue no prazo"),IF($D270="","Sem data prometida",IF($D270&lt;Hoje!$L$1,"ATRASADA","Aguardando"))))</f>
        <v/>
      </c>
      <c r="H270" s="121"/>
      <c r="I270" s="121"/>
    </row>
    <row r="271" customFormat="false" ht="21" hidden="false" customHeight="true" outlineLevel="0" collapsed="false">
      <c r="A271" s="120"/>
      <c r="B271" s="121"/>
      <c r="C271" s="122"/>
      <c r="D271" s="122"/>
      <c r="E271" s="122"/>
      <c r="F271" s="123" t="str">
        <f aca="false">IF(OR($A271="",$D271="",$E271=""),"",MAX(0,$E271-$D271))</f>
        <v/>
      </c>
      <c r="G271" s="120" t="str">
        <f aca="false">IF($A271="","",IF($E271&lt;&gt;"",IF(N($F271)&gt;0,"Entregue com atraso","Entregue no prazo"),IF($D271="","Sem data prometida",IF($D271&lt;Hoje!$L$1,"ATRASADA","Aguardando"))))</f>
        <v/>
      </c>
      <c r="H271" s="121"/>
      <c r="I271" s="121"/>
    </row>
    <row r="272" customFormat="false" ht="21" hidden="false" customHeight="true" outlineLevel="0" collapsed="false">
      <c r="A272" s="120"/>
      <c r="B272" s="121"/>
      <c r="C272" s="122"/>
      <c r="D272" s="122"/>
      <c r="E272" s="122"/>
      <c r="F272" s="123" t="str">
        <f aca="false">IF(OR($A272="",$D272="",$E272=""),"",MAX(0,$E272-$D272))</f>
        <v/>
      </c>
      <c r="G272" s="120" t="str">
        <f aca="false">IF($A272="","",IF($E272&lt;&gt;"",IF(N($F272)&gt;0,"Entregue com atraso","Entregue no prazo"),IF($D272="","Sem data prometida",IF($D272&lt;Hoje!$L$1,"ATRASADA","Aguardando"))))</f>
        <v/>
      </c>
      <c r="H272" s="121"/>
      <c r="I272" s="121"/>
    </row>
    <row r="273" customFormat="false" ht="21" hidden="false" customHeight="true" outlineLevel="0" collapsed="false">
      <c r="A273" s="120"/>
      <c r="B273" s="121"/>
      <c r="C273" s="122"/>
      <c r="D273" s="122"/>
      <c r="E273" s="122"/>
      <c r="F273" s="123" t="str">
        <f aca="false">IF(OR($A273="",$D273="",$E273=""),"",MAX(0,$E273-$D273))</f>
        <v/>
      </c>
      <c r="G273" s="120" t="str">
        <f aca="false">IF($A273="","",IF($E273&lt;&gt;"",IF(N($F273)&gt;0,"Entregue com atraso","Entregue no prazo"),IF($D273="","Sem data prometida",IF($D273&lt;Hoje!$L$1,"ATRASADA","Aguardando"))))</f>
        <v/>
      </c>
      <c r="H273" s="121"/>
      <c r="I273" s="121"/>
    </row>
    <row r="274" customFormat="false" ht="21" hidden="false" customHeight="true" outlineLevel="0" collapsed="false">
      <c r="A274" s="120"/>
      <c r="B274" s="121"/>
      <c r="C274" s="122"/>
      <c r="D274" s="122"/>
      <c r="E274" s="122"/>
      <c r="F274" s="123" t="str">
        <f aca="false">IF(OR($A274="",$D274="",$E274=""),"",MAX(0,$E274-$D274))</f>
        <v/>
      </c>
      <c r="G274" s="120" t="str">
        <f aca="false">IF($A274="","",IF($E274&lt;&gt;"",IF(N($F274)&gt;0,"Entregue com atraso","Entregue no prazo"),IF($D274="","Sem data prometida",IF($D274&lt;Hoje!$L$1,"ATRASADA","Aguardando"))))</f>
        <v/>
      </c>
      <c r="H274" s="121"/>
      <c r="I274" s="121"/>
    </row>
    <row r="275" customFormat="false" ht="21" hidden="false" customHeight="true" outlineLevel="0" collapsed="false">
      <c r="A275" s="120"/>
      <c r="B275" s="121"/>
      <c r="C275" s="122"/>
      <c r="D275" s="122"/>
      <c r="E275" s="122"/>
      <c r="F275" s="123" t="str">
        <f aca="false">IF(OR($A275="",$D275="",$E275=""),"",MAX(0,$E275-$D275))</f>
        <v/>
      </c>
      <c r="G275" s="120" t="str">
        <f aca="false">IF($A275="","",IF($E275&lt;&gt;"",IF(N($F275)&gt;0,"Entregue com atraso","Entregue no prazo"),IF($D275="","Sem data prometida",IF($D275&lt;Hoje!$L$1,"ATRASADA","Aguardando"))))</f>
        <v/>
      </c>
      <c r="H275" s="121"/>
      <c r="I275" s="121"/>
    </row>
    <row r="276" customFormat="false" ht="21" hidden="false" customHeight="true" outlineLevel="0" collapsed="false">
      <c r="A276" s="120"/>
      <c r="B276" s="121"/>
      <c r="C276" s="122"/>
      <c r="D276" s="122"/>
      <c r="E276" s="122"/>
      <c r="F276" s="123" t="str">
        <f aca="false">IF(OR($A276="",$D276="",$E276=""),"",MAX(0,$E276-$D276))</f>
        <v/>
      </c>
      <c r="G276" s="120" t="str">
        <f aca="false">IF($A276="","",IF($E276&lt;&gt;"",IF(N($F276)&gt;0,"Entregue com atraso","Entregue no prazo"),IF($D276="","Sem data prometida",IF($D276&lt;Hoje!$L$1,"ATRASADA","Aguardando"))))</f>
        <v/>
      </c>
      <c r="H276" s="121"/>
      <c r="I276" s="121"/>
    </row>
    <row r="277" customFormat="false" ht="21" hidden="false" customHeight="true" outlineLevel="0" collapsed="false">
      <c r="A277" s="120"/>
      <c r="B277" s="121"/>
      <c r="C277" s="122"/>
      <c r="D277" s="122"/>
      <c r="E277" s="122"/>
      <c r="F277" s="123" t="str">
        <f aca="false">IF(OR($A277="",$D277="",$E277=""),"",MAX(0,$E277-$D277))</f>
        <v/>
      </c>
      <c r="G277" s="120" t="str">
        <f aca="false">IF($A277="","",IF($E277&lt;&gt;"",IF(N($F277)&gt;0,"Entregue com atraso","Entregue no prazo"),IF($D277="","Sem data prometida",IF($D277&lt;Hoje!$L$1,"ATRASADA","Aguardando"))))</f>
        <v/>
      </c>
      <c r="H277" s="121"/>
      <c r="I277" s="121"/>
    </row>
    <row r="278" customFormat="false" ht="21" hidden="false" customHeight="true" outlineLevel="0" collapsed="false">
      <c r="A278" s="120"/>
      <c r="B278" s="121"/>
      <c r="C278" s="122"/>
      <c r="D278" s="122"/>
      <c r="E278" s="122"/>
      <c r="F278" s="123" t="str">
        <f aca="false">IF(OR($A278="",$D278="",$E278=""),"",MAX(0,$E278-$D278))</f>
        <v/>
      </c>
      <c r="G278" s="120" t="str">
        <f aca="false">IF($A278="","",IF($E278&lt;&gt;"",IF(N($F278)&gt;0,"Entregue com atraso","Entregue no prazo"),IF($D278="","Sem data prometida",IF($D278&lt;Hoje!$L$1,"ATRASADA","Aguardando"))))</f>
        <v/>
      </c>
      <c r="H278" s="121"/>
      <c r="I278" s="121"/>
    </row>
    <row r="279" customFormat="false" ht="21" hidden="false" customHeight="true" outlineLevel="0" collapsed="false">
      <c r="A279" s="120"/>
      <c r="B279" s="121"/>
      <c r="C279" s="122"/>
      <c r="D279" s="122"/>
      <c r="E279" s="122"/>
      <c r="F279" s="123" t="str">
        <f aca="false">IF(OR($A279="",$D279="",$E279=""),"",MAX(0,$E279-$D279))</f>
        <v/>
      </c>
      <c r="G279" s="120" t="str">
        <f aca="false">IF($A279="","",IF($E279&lt;&gt;"",IF(N($F279)&gt;0,"Entregue com atraso","Entregue no prazo"),IF($D279="","Sem data prometida",IF($D279&lt;Hoje!$L$1,"ATRASADA","Aguardando"))))</f>
        <v/>
      </c>
      <c r="H279" s="121"/>
      <c r="I279" s="121"/>
    </row>
    <row r="280" customFormat="false" ht="21" hidden="false" customHeight="true" outlineLevel="0" collapsed="false">
      <c r="A280" s="120"/>
      <c r="B280" s="121"/>
      <c r="C280" s="122"/>
      <c r="D280" s="122"/>
      <c r="E280" s="122"/>
      <c r="F280" s="123" t="str">
        <f aca="false">IF(OR($A280="",$D280="",$E280=""),"",MAX(0,$E280-$D280))</f>
        <v/>
      </c>
      <c r="G280" s="120" t="str">
        <f aca="false">IF($A280="","",IF($E280&lt;&gt;"",IF(N($F280)&gt;0,"Entregue com atraso","Entregue no prazo"),IF($D280="","Sem data prometida",IF($D280&lt;Hoje!$L$1,"ATRASADA","Aguardando"))))</f>
        <v/>
      </c>
      <c r="H280" s="121"/>
      <c r="I280" s="121"/>
    </row>
    <row r="281" customFormat="false" ht="21" hidden="false" customHeight="true" outlineLevel="0" collapsed="false">
      <c r="A281" s="120"/>
      <c r="B281" s="121"/>
      <c r="C281" s="122"/>
      <c r="D281" s="122"/>
      <c r="E281" s="122"/>
      <c r="F281" s="123" t="str">
        <f aca="false">IF(OR($A281="",$D281="",$E281=""),"",MAX(0,$E281-$D281))</f>
        <v/>
      </c>
      <c r="G281" s="120" t="str">
        <f aca="false">IF($A281="","",IF($E281&lt;&gt;"",IF(N($F281)&gt;0,"Entregue com atraso","Entregue no prazo"),IF($D281="","Sem data prometida",IF($D281&lt;Hoje!$L$1,"ATRASADA","Aguardando"))))</f>
        <v/>
      </c>
      <c r="H281" s="121"/>
      <c r="I281" s="121"/>
    </row>
    <row r="282" customFormat="false" ht="21" hidden="false" customHeight="true" outlineLevel="0" collapsed="false">
      <c r="A282" s="120"/>
      <c r="B282" s="121"/>
      <c r="C282" s="122"/>
      <c r="D282" s="122"/>
      <c r="E282" s="122"/>
      <c r="F282" s="123" t="str">
        <f aca="false">IF(OR($A282="",$D282="",$E282=""),"",MAX(0,$E282-$D282))</f>
        <v/>
      </c>
      <c r="G282" s="120" t="str">
        <f aca="false">IF($A282="","",IF($E282&lt;&gt;"",IF(N($F282)&gt;0,"Entregue com atraso","Entregue no prazo"),IF($D282="","Sem data prometida",IF($D282&lt;Hoje!$L$1,"ATRASADA","Aguardando"))))</f>
        <v/>
      </c>
      <c r="H282" s="121"/>
      <c r="I282" s="121"/>
    </row>
    <row r="283" customFormat="false" ht="21" hidden="false" customHeight="true" outlineLevel="0" collapsed="false">
      <c r="A283" s="120"/>
      <c r="B283" s="121"/>
      <c r="C283" s="122"/>
      <c r="D283" s="122"/>
      <c r="E283" s="122"/>
      <c r="F283" s="123" t="str">
        <f aca="false">IF(OR($A283="",$D283="",$E283=""),"",MAX(0,$E283-$D283))</f>
        <v/>
      </c>
      <c r="G283" s="120" t="str">
        <f aca="false">IF($A283="","",IF($E283&lt;&gt;"",IF(N($F283)&gt;0,"Entregue com atraso","Entregue no prazo"),IF($D283="","Sem data prometida",IF($D283&lt;Hoje!$L$1,"ATRASADA","Aguardando"))))</f>
        <v/>
      </c>
      <c r="H283" s="121"/>
      <c r="I283" s="121"/>
    </row>
    <row r="284" customFormat="false" ht="21" hidden="false" customHeight="true" outlineLevel="0" collapsed="false">
      <c r="A284" s="120"/>
      <c r="B284" s="121"/>
      <c r="C284" s="122"/>
      <c r="D284" s="122"/>
      <c r="E284" s="122"/>
      <c r="F284" s="123" t="str">
        <f aca="false">IF(OR($A284="",$D284="",$E284=""),"",MAX(0,$E284-$D284))</f>
        <v/>
      </c>
      <c r="G284" s="120" t="str">
        <f aca="false">IF($A284="","",IF($E284&lt;&gt;"",IF(N($F284)&gt;0,"Entregue com atraso","Entregue no prazo"),IF($D284="","Sem data prometida",IF($D284&lt;Hoje!$L$1,"ATRASADA","Aguardando"))))</f>
        <v/>
      </c>
      <c r="H284" s="121"/>
      <c r="I284" s="121"/>
    </row>
    <row r="285" customFormat="false" ht="21" hidden="false" customHeight="true" outlineLevel="0" collapsed="false">
      <c r="A285" s="120"/>
      <c r="B285" s="121"/>
      <c r="C285" s="122"/>
      <c r="D285" s="122"/>
      <c r="E285" s="122"/>
      <c r="F285" s="123" t="str">
        <f aca="false">IF(OR($A285="",$D285="",$E285=""),"",MAX(0,$E285-$D285))</f>
        <v/>
      </c>
      <c r="G285" s="120" t="str">
        <f aca="false">IF($A285="","",IF($E285&lt;&gt;"",IF(N($F285)&gt;0,"Entregue com atraso","Entregue no prazo"),IF($D285="","Sem data prometida",IF($D285&lt;Hoje!$L$1,"ATRASADA","Aguardando"))))</f>
        <v/>
      </c>
      <c r="H285" s="121"/>
      <c r="I285" s="121"/>
    </row>
    <row r="286" customFormat="false" ht="21" hidden="false" customHeight="true" outlineLevel="0" collapsed="false">
      <c r="A286" s="120"/>
      <c r="B286" s="121"/>
      <c r="C286" s="122"/>
      <c r="D286" s="122"/>
      <c r="E286" s="122"/>
      <c r="F286" s="123" t="str">
        <f aca="false">IF(OR($A286="",$D286="",$E286=""),"",MAX(0,$E286-$D286))</f>
        <v/>
      </c>
      <c r="G286" s="120" t="str">
        <f aca="false">IF($A286="","",IF($E286&lt;&gt;"",IF(N($F286)&gt;0,"Entregue com atraso","Entregue no prazo"),IF($D286="","Sem data prometida",IF($D286&lt;Hoje!$L$1,"ATRASADA","Aguardando"))))</f>
        <v/>
      </c>
      <c r="H286" s="121"/>
      <c r="I286" s="121"/>
    </row>
    <row r="287" customFormat="false" ht="21" hidden="false" customHeight="true" outlineLevel="0" collapsed="false">
      <c r="A287" s="120"/>
      <c r="B287" s="121"/>
      <c r="C287" s="122"/>
      <c r="D287" s="122"/>
      <c r="E287" s="122"/>
      <c r="F287" s="123" t="str">
        <f aca="false">IF(OR($A287="",$D287="",$E287=""),"",MAX(0,$E287-$D287))</f>
        <v/>
      </c>
      <c r="G287" s="120" t="str">
        <f aca="false">IF($A287="","",IF($E287&lt;&gt;"",IF(N($F287)&gt;0,"Entregue com atraso","Entregue no prazo"),IF($D287="","Sem data prometida",IF($D287&lt;Hoje!$L$1,"ATRASADA","Aguardando"))))</f>
        <v/>
      </c>
      <c r="H287" s="121"/>
      <c r="I287" s="121"/>
    </row>
    <row r="288" customFormat="false" ht="21" hidden="false" customHeight="true" outlineLevel="0" collapsed="false">
      <c r="A288" s="120"/>
      <c r="B288" s="121"/>
      <c r="C288" s="122"/>
      <c r="D288" s="122"/>
      <c r="E288" s="122"/>
      <c r="F288" s="123" t="str">
        <f aca="false">IF(OR($A288="",$D288="",$E288=""),"",MAX(0,$E288-$D288))</f>
        <v/>
      </c>
      <c r="G288" s="120" t="str">
        <f aca="false">IF($A288="","",IF($E288&lt;&gt;"",IF(N($F288)&gt;0,"Entregue com atraso","Entregue no prazo"),IF($D288="","Sem data prometida",IF($D288&lt;Hoje!$L$1,"ATRASADA","Aguardando"))))</f>
        <v/>
      </c>
      <c r="H288" s="121"/>
      <c r="I288" s="121"/>
    </row>
    <row r="289" customFormat="false" ht="21" hidden="false" customHeight="true" outlineLevel="0" collapsed="false">
      <c r="A289" s="120"/>
      <c r="B289" s="121"/>
      <c r="C289" s="122"/>
      <c r="D289" s="122"/>
      <c r="E289" s="122"/>
      <c r="F289" s="123" t="str">
        <f aca="false">IF(OR($A289="",$D289="",$E289=""),"",MAX(0,$E289-$D289))</f>
        <v/>
      </c>
      <c r="G289" s="120" t="str">
        <f aca="false">IF($A289="","",IF($E289&lt;&gt;"",IF(N($F289)&gt;0,"Entregue com atraso","Entregue no prazo"),IF($D289="","Sem data prometida",IF($D289&lt;Hoje!$L$1,"ATRASADA","Aguardando"))))</f>
        <v/>
      </c>
      <c r="H289" s="121"/>
      <c r="I289" s="121"/>
    </row>
    <row r="290" customFormat="false" ht="21" hidden="false" customHeight="true" outlineLevel="0" collapsed="false">
      <c r="A290" s="120"/>
      <c r="B290" s="121"/>
      <c r="C290" s="122"/>
      <c r="D290" s="122"/>
      <c r="E290" s="122"/>
      <c r="F290" s="123" t="str">
        <f aca="false">IF(OR($A290="",$D290="",$E290=""),"",MAX(0,$E290-$D290))</f>
        <v/>
      </c>
      <c r="G290" s="120" t="str">
        <f aca="false">IF($A290="","",IF($E290&lt;&gt;"",IF(N($F290)&gt;0,"Entregue com atraso","Entregue no prazo"),IF($D290="","Sem data prometida",IF($D290&lt;Hoje!$L$1,"ATRASADA","Aguardando"))))</f>
        <v/>
      </c>
      <c r="H290" s="121"/>
      <c r="I290" s="121"/>
    </row>
    <row r="291" customFormat="false" ht="21" hidden="false" customHeight="true" outlineLevel="0" collapsed="false">
      <c r="A291" s="120"/>
      <c r="B291" s="121"/>
      <c r="C291" s="122"/>
      <c r="D291" s="122"/>
      <c r="E291" s="122"/>
      <c r="F291" s="123" t="str">
        <f aca="false">IF(OR($A291="",$D291="",$E291=""),"",MAX(0,$E291-$D291))</f>
        <v/>
      </c>
      <c r="G291" s="120" t="str">
        <f aca="false">IF($A291="","",IF($E291&lt;&gt;"",IF(N($F291)&gt;0,"Entregue com atraso","Entregue no prazo"),IF($D291="","Sem data prometida",IF($D291&lt;Hoje!$L$1,"ATRASADA","Aguardando"))))</f>
        <v/>
      </c>
      <c r="H291" s="121"/>
      <c r="I291" s="121"/>
    </row>
    <row r="292" customFormat="false" ht="21" hidden="false" customHeight="true" outlineLevel="0" collapsed="false">
      <c r="A292" s="120"/>
      <c r="B292" s="121"/>
      <c r="C292" s="122"/>
      <c r="D292" s="122"/>
      <c r="E292" s="122"/>
      <c r="F292" s="123" t="str">
        <f aca="false">IF(OR($A292="",$D292="",$E292=""),"",MAX(0,$E292-$D292))</f>
        <v/>
      </c>
      <c r="G292" s="120" t="str">
        <f aca="false">IF($A292="","",IF($E292&lt;&gt;"",IF(N($F292)&gt;0,"Entregue com atraso","Entregue no prazo"),IF($D292="","Sem data prometida",IF($D292&lt;Hoje!$L$1,"ATRASADA","Aguardando"))))</f>
        <v/>
      </c>
      <c r="H292" s="121"/>
      <c r="I292" s="121"/>
    </row>
    <row r="293" customFormat="false" ht="21" hidden="false" customHeight="true" outlineLevel="0" collapsed="false">
      <c r="A293" s="120"/>
      <c r="B293" s="121"/>
      <c r="C293" s="122"/>
      <c r="D293" s="122"/>
      <c r="E293" s="122"/>
      <c r="F293" s="123" t="str">
        <f aca="false">IF(OR($A293="",$D293="",$E293=""),"",MAX(0,$E293-$D293))</f>
        <v/>
      </c>
      <c r="G293" s="120" t="str">
        <f aca="false">IF($A293="","",IF($E293&lt;&gt;"",IF(N($F293)&gt;0,"Entregue com atraso","Entregue no prazo"),IF($D293="","Sem data prometida",IF($D293&lt;Hoje!$L$1,"ATRASADA","Aguardando"))))</f>
        <v/>
      </c>
      <c r="H293" s="121"/>
      <c r="I293" s="121"/>
    </row>
    <row r="294" customFormat="false" ht="21" hidden="false" customHeight="true" outlineLevel="0" collapsed="false">
      <c r="A294" s="120"/>
      <c r="B294" s="121"/>
      <c r="C294" s="122"/>
      <c r="D294" s="122"/>
      <c r="E294" s="122"/>
      <c r="F294" s="123" t="str">
        <f aca="false">IF(OR($A294="",$D294="",$E294=""),"",MAX(0,$E294-$D294))</f>
        <v/>
      </c>
      <c r="G294" s="120" t="str">
        <f aca="false">IF($A294="","",IF($E294&lt;&gt;"",IF(N($F294)&gt;0,"Entregue com atraso","Entregue no prazo"),IF($D294="","Sem data prometida",IF($D294&lt;Hoje!$L$1,"ATRASADA","Aguardando"))))</f>
        <v/>
      </c>
      <c r="H294" s="121"/>
      <c r="I294" s="121"/>
    </row>
    <row r="295" customFormat="false" ht="21" hidden="false" customHeight="true" outlineLevel="0" collapsed="false">
      <c r="A295" s="120"/>
      <c r="B295" s="121"/>
      <c r="C295" s="122"/>
      <c r="D295" s="122"/>
      <c r="E295" s="122"/>
      <c r="F295" s="123" t="str">
        <f aca="false">IF(OR($A295="",$D295="",$E295=""),"",MAX(0,$E295-$D295))</f>
        <v/>
      </c>
      <c r="G295" s="120" t="str">
        <f aca="false">IF($A295="","",IF($E295&lt;&gt;"",IF(N($F295)&gt;0,"Entregue com atraso","Entregue no prazo"),IF($D295="","Sem data prometida",IF($D295&lt;Hoje!$L$1,"ATRASADA","Aguardando"))))</f>
        <v/>
      </c>
      <c r="H295" s="121"/>
      <c r="I295" s="121"/>
    </row>
    <row r="296" customFormat="false" ht="21" hidden="false" customHeight="true" outlineLevel="0" collapsed="false">
      <c r="A296" s="120"/>
      <c r="B296" s="121"/>
      <c r="C296" s="122"/>
      <c r="D296" s="122"/>
      <c r="E296" s="122"/>
      <c r="F296" s="123" t="str">
        <f aca="false">IF(OR($A296="",$D296="",$E296=""),"",MAX(0,$E296-$D296))</f>
        <v/>
      </c>
      <c r="G296" s="120" t="str">
        <f aca="false">IF($A296="","",IF($E296&lt;&gt;"",IF(N($F296)&gt;0,"Entregue com atraso","Entregue no prazo"),IF($D296="","Sem data prometida",IF($D296&lt;Hoje!$L$1,"ATRASADA","Aguardando"))))</f>
        <v/>
      </c>
      <c r="H296" s="121"/>
      <c r="I296" s="121"/>
    </row>
    <row r="297" customFormat="false" ht="21" hidden="false" customHeight="true" outlineLevel="0" collapsed="false">
      <c r="A297" s="120"/>
      <c r="B297" s="121"/>
      <c r="C297" s="122"/>
      <c r="D297" s="122"/>
      <c r="E297" s="122"/>
      <c r="F297" s="123" t="str">
        <f aca="false">IF(OR($A297="",$D297="",$E297=""),"",MAX(0,$E297-$D297))</f>
        <v/>
      </c>
      <c r="G297" s="120" t="str">
        <f aca="false">IF($A297="","",IF($E297&lt;&gt;"",IF(N($F297)&gt;0,"Entregue com atraso","Entregue no prazo"),IF($D297="","Sem data prometida",IF($D297&lt;Hoje!$L$1,"ATRASADA","Aguardando"))))</f>
        <v/>
      </c>
      <c r="H297" s="121"/>
      <c r="I297" s="121"/>
    </row>
    <row r="298" customFormat="false" ht="21" hidden="false" customHeight="true" outlineLevel="0" collapsed="false">
      <c r="A298" s="120"/>
      <c r="B298" s="121"/>
      <c r="C298" s="122"/>
      <c r="D298" s="122"/>
      <c r="E298" s="122"/>
      <c r="F298" s="123" t="str">
        <f aca="false">IF(OR($A298="",$D298="",$E298=""),"",MAX(0,$E298-$D298))</f>
        <v/>
      </c>
      <c r="G298" s="120" t="str">
        <f aca="false">IF($A298="","",IF($E298&lt;&gt;"",IF(N($F298)&gt;0,"Entregue com atraso","Entregue no prazo"),IF($D298="","Sem data prometida",IF($D298&lt;Hoje!$L$1,"ATRASADA","Aguardando"))))</f>
        <v/>
      </c>
      <c r="H298" s="121"/>
      <c r="I298" s="121"/>
    </row>
    <row r="299" customFormat="false" ht="21" hidden="false" customHeight="true" outlineLevel="0" collapsed="false">
      <c r="A299" s="120"/>
      <c r="B299" s="121"/>
      <c r="C299" s="122"/>
      <c r="D299" s="122"/>
      <c r="E299" s="122"/>
      <c r="F299" s="123" t="str">
        <f aca="false">IF(OR($A299="",$D299="",$E299=""),"",MAX(0,$E299-$D299))</f>
        <v/>
      </c>
      <c r="G299" s="120" t="str">
        <f aca="false">IF($A299="","",IF($E299&lt;&gt;"",IF(N($F299)&gt;0,"Entregue com atraso","Entregue no prazo"),IF($D299="","Sem data prometida",IF($D299&lt;Hoje!$L$1,"ATRASADA","Aguardando"))))</f>
        <v/>
      </c>
      <c r="H299" s="121"/>
      <c r="I299" s="121"/>
    </row>
    <row r="300" customFormat="false" ht="21" hidden="false" customHeight="true" outlineLevel="0" collapsed="false">
      <c r="A300" s="120"/>
      <c r="B300" s="121"/>
      <c r="C300" s="122"/>
      <c r="D300" s="122"/>
      <c r="E300" s="122"/>
      <c r="F300" s="123" t="str">
        <f aca="false">IF(OR($A300="",$D300="",$E300=""),"",MAX(0,$E300-$D300))</f>
        <v/>
      </c>
      <c r="G300" s="120" t="str">
        <f aca="false">IF($A300="","",IF($E300&lt;&gt;"",IF(N($F300)&gt;0,"Entregue com atraso","Entregue no prazo"),IF($D300="","Sem data prometida",IF($D300&lt;Hoje!$L$1,"ATRASADA","Aguardando"))))</f>
        <v/>
      </c>
      <c r="H300" s="121"/>
      <c r="I300" s="121"/>
    </row>
    <row r="301" customFormat="false" ht="21" hidden="false" customHeight="true" outlineLevel="0" collapsed="false">
      <c r="A301" s="120"/>
      <c r="B301" s="121"/>
      <c r="C301" s="122"/>
      <c r="D301" s="122"/>
      <c r="E301" s="122"/>
      <c r="F301" s="123" t="str">
        <f aca="false">IF(OR($A301="",$D301="",$E301=""),"",MAX(0,$E301-$D301))</f>
        <v/>
      </c>
      <c r="G301" s="120" t="str">
        <f aca="false">IF($A301="","",IF($E301&lt;&gt;"",IF(N($F301)&gt;0,"Entregue com atraso","Entregue no prazo"),IF($D301="","Sem data prometida",IF($D301&lt;Hoje!$L$1,"ATRASADA","Aguardando"))))</f>
        <v/>
      </c>
      <c r="H301" s="121"/>
      <c r="I301" s="121"/>
    </row>
    <row r="302" customFormat="false" ht="21" hidden="false" customHeight="true" outlineLevel="0" collapsed="false">
      <c r="A302" s="120"/>
      <c r="B302" s="121"/>
      <c r="C302" s="122"/>
      <c r="D302" s="122"/>
      <c r="E302" s="122"/>
      <c r="F302" s="123" t="str">
        <f aca="false">IF(OR($A302="",$D302="",$E302=""),"",MAX(0,$E302-$D302))</f>
        <v/>
      </c>
      <c r="G302" s="120" t="str">
        <f aca="false">IF($A302="","",IF($E302&lt;&gt;"",IF(N($F302)&gt;0,"Entregue com atraso","Entregue no prazo"),IF($D302="","Sem data prometida",IF($D302&lt;Hoje!$L$1,"ATRASADA","Aguardando"))))</f>
        <v/>
      </c>
      <c r="H302" s="121"/>
      <c r="I302" s="121"/>
    </row>
    <row r="303" customFormat="false" ht="21" hidden="false" customHeight="true" outlineLevel="0" collapsed="false">
      <c r="A303" s="120"/>
      <c r="B303" s="121"/>
      <c r="C303" s="122"/>
      <c r="D303" s="122"/>
      <c r="E303" s="122"/>
      <c r="F303" s="123" t="str">
        <f aca="false">IF(OR($A303="",$D303="",$E303=""),"",MAX(0,$E303-$D303))</f>
        <v/>
      </c>
      <c r="G303" s="120" t="str">
        <f aca="false">IF($A303="","",IF($E303&lt;&gt;"",IF(N($F303)&gt;0,"Entregue com atraso","Entregue no prazo"),IF($D303="","Sem data prometida",IF($D303&lt;Hoje!$L$1,"ATRASADA","Aguardando"))))</f>
        <v/>
      </c>
      <c r="H303" s="121"/>
      <c r="I303" s="121"/>
    </row>
    <row r="304" customFormat="false" ht="21" hidden="false" customHeight="true" outlineLevel="0" collapsed="false">
      <c r="A304" s="120"/>
      <c r="B304" s="121"/>
      <c r="C304" s="122"/>
      <c r="D304" s="122"/>
      <c r="E304" s="122"/>
      <c r="F304" s="123" t="str">
        <f aca="false">IF(OR($A304="",$D304="",$E304=""),"",MAX(0,$E304-$D304))</f>
        <v/>
      </c>
      <c r="G304" s="120" t="str">
        <f aca="false">IF($A304="","",IF($E304&lt;&gt;"",IF(N($F304)&gt;0,"Entregue com atraso","Entregue no prazo"),IF($D304="","Sem data prometida",IF($D304&lt;Hoje!$L$1,"ATRASADA","Aguardando"))))</f>
        <v/>
      </c>
      <c r="H304" s="121"/>
      <c r="I304" s="121"/>
    </row>
    <row r="305" customFormat="false" ht="21" hidden="false" customHeight="true" outlineLevel="0" collapsed="false">
      <c r="A305" s="120"/>
      <c r="B305" s="121"/>
      <c r="C305" s="122"/>
      <c r="D305" s="122"/>
      <c r="E305" s="122"/>
      <c r="F305" s="123" t="str">
        <f aca="false">IF(OR($A305="",$D305="",$E305=""),"",MAX(0,$E305-$D305))</f>
        <v/>
      </c>
      <c r="G305" s="120" t="str">
        <f aca="false">IF($A305="","",IF($E305&lt;&gt;"",IF(N($F305)&gt;0,"Entregue com atraso","Entregue no prazo"),IF($D305="","Sem data prometida",IF($D305&lt;Hoje!$L$1,"ATRASADA","Aguardando"))))</f>
        <v/>
      </c>
      <c r="H305" s="121"/>
      <c r="I305" s="121"/>
    </row>
    <row r="306" customFormat="false" ht="21" hidden="false" customHeight="true" outlineLevel="0" collapsed="false">
      <c r="A306" s="120"/>
      <c r="B306" s="121"/>
      <c r="C306" s="122"/>
      <c r="D306" s="122"/>
      <c r="E306" s="122"/>
      <c r="F306" s="123" t="str">
        <f aca="false">IF(OR($A306="",$D306="",$E306=""),"",MAX(0,$E306-$D306))</f>
        <v/>
      </c>
      <c r="G306" s="120" t="str">
        <f aca="false">IF($A306="","",IF($E306&lt;&gt;"",IF(N($F306)&gt;0,"Entregue com atraso","Entregue no prazo"),IF($D306="","Sem data prometida",IF($D306&lt;Hoje!$L$1,"ATRASADA","Aguardando"))))</f>
        <v/>
      </c>
      <c r="H306" s="121"/>
      <c r="I306" s="121"/>
    </row>
    <row r="307" customFormat="false" ht="21" hidden="false" customHeight="true" outlineLevel="0" collapsed="false">
      <c r="A307" s="120"/>
      <c r="B307" s="121"/>
      <c r="C307" s="122"/>
      <c r="D307" s="122"/>
      <c r="E307" s="122"/>
      <c r="F307" s="123" t="str">
        <f aca="false">IF(OR($A307="",$D307="",$E307=""),"",MAX(0,$E307-$D307))</f>
        <v/>
      </c>
      <c r="G307" s="120" t="str">
        <f aca="false">IF($A307="","",IF($E307&lt;&gt;"",IF(N($F307)&gt;0,"Entregue com atraso","Entregue no prazo"),IF($D307="","Sem data prometida",IF($D307&lt;Hoje!$L$1,"ATRASADA","Aguardando"))))</f>
        <v/>
      </c>
      <c r="H307" s="121"/>
      <c r="I307" s="121"/>
    </row>
    <row r="308" customFormat="false" ht="21" hidden="false" customHeight="true" outlineLevel="0" collapsed="false">
      <c r="A308" s="120"/>
      <c r="B308" s="121"/>
      <c r="C308" s="122"/>
      <c r="D308" s="122"/>
      <c r="E308" s="122"/>
      <c r="F308" s="123" t="str">
        <f aca="false">IF(OR($A308="",$D308="",$E308=""),"",MAX(0,$E308-$D308))</f>
        <v/>
      </c>
      <c r="G308" s="120" t="str">
        <f aca="false">IF($A308="","",IF($E308&lt;&gt;"",IF(N($F308)&gt;0,"Entregue com atraso","Entregue no prazo"),IF($D308="","Sem data prometida",IF($D308&lt;Hoje!$L$1,"ATRASADA","Aguardando"))))</f>
        <v/>
      </c>
      <c r="H308" s="121"/>
      <c r="I308" s="121"/>
    </row>
  </sheetData>
  <autoFilter ref="A8:I308"/>
  <mergeCells count="9">
    <mergeCell ref="A1:I1"/>
    <mergeCell ref="A2:I2"/>
    <mergeCell ref="A3:B3"/>
    <mergeCell ref="E3:F3"/>
    <mergeCell ref="G3:H3"/>
    <mergeCell ref="A4:B4"/>
    <mergeCell ref="E4:F4"/>
    <mergeCell ref="G4:H4"/>
    <mergeCell ref="A6:I6"/>
  </mergeCells>
  <conditionalFormatting sqref="E4">
    <cfRule type="cellIs" priority="2" operator="greaterThanOrEqual" aboveAverage="0" equalAverage="0" bottom="0" percent="0" rank="0" text="" dxfId="70">
      <formula>0.85</formula>
    </cfRule>
    <cfRule type="cellIs" priority="3" operator="lessThan" aboveAverage="0" equalAverage="0" bottom="0" percent="0" rank="0" text="" dxfId="71">
      <formula>0.6</formula>
    </cfRule>
  </conditionalFormatting>
  <conditionalFormatting sqref="G9:G308">
    <cfRule type="expression" priority="4" aboveAverage="0" equalAverage="0" bottom="0" percent="0" rank="0" text="" dxfId="3">
      <formula>$G9="Entregue no prazo"</formula>
    </cfRule>
    <cfRule type="expression" priority="5" aboveAverage="0" equalAverage="0" bottom="0" percent="0" rank="0" text="" dxfId="41">
      <formula>$G9="Entregue com atraso"</formula>
    </cfRule>
    <cfRule type="expression" priority="6" aboveAverage="0" equalAverage="0" bottom="0" percent="0" rank="0" text="" dxfId="5">
      <formula>$G9="ATRASADA"</formula>
    </cfRule>
    <cfRule type="expression" priority="7" aboveAverage="0" equalAverage="0" bottom="0" percent="0" rank="0" text="" dxfId="6">
      <formula>$G9="Aguardando"</formula>
    </cfRule>
    <cfRule type="expression" priority="8" aboveAverage="0" equalAverage="0" bottom="0" percent="0" rank="0" text="" dxfId="40">
      <formula>$G9="Sem data prometida"</formula>
    </cfRule>
  </conditionalFormatting>
  <conditionalFormatting sqref="F9:F308">
    <cfRule type="expression" priority="9" aboveAverage="0" equalAverage="0" bottom="0" percent="0" rank="0" text="" dxfId="5">
      <formula>N($F9)&gt;0</formula>
    </cfRule>
  </conditionalFormatting>
  <conditionalFormatting sqref="D9:D308">
    <cfRule type="expression" priority="10" aboveAverage="0" equalAverage="0" bottom="0" percent="0" rank="0" text="" dxfId="5">
      <formula>AND($A9&lt;&gt;"",$D9&lt;&gt;"",$E9="",$D9&lt;Hoje!$L$1)</formula>
    </cfRule>
  </conditionalFormatting>
  <conditionalFormatting sqref="A9:I308">
    <cfRule type="expression" priority="11" aboveAverage="0" equalAverage="0" bottom="0" percent="0" rank="0" text="" dxfId="72">
      <formula>$E9&lt;&gt;""</formula>
    </cfRule>
  </conditionalFormatting>
  <dataValidations count="1">
    <dataValidation allowBlank="true" error="Frota fora da lista — pode continuar." errorStyle="warning" errorTitle="Frota" operator="between" showDropDown="false" showErrorMessage="true" showInputMessage="false" sqref="A9:A308" type="list">
      <formula1>Listas!$B$5:$B$120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7"/>
  </cols>
  <sheetData>
    <row r="1" customFormat="false" ht="33.75" hidden="false" customHeight="true" outlineLevel="0" collapsed="false">
      <c r="A1" s="124" t="s">
        <v>1029</v>
      </c>
      <c r="B1" s="124"/>
      <c r="C1" s="124"/>
      <c r="D1" s="124"/>
      <c r="E1" s="124"/>
      <c r="F1" s="124"/>
      <c r="G1" s="124"/>
      <c r="H1" s="124"/>
    </row>
    <row r="2" customFormat="false" ht="19.5" hidden="false" customHeight="true" outlineLevel="0" collapsed="false">
      <c r="A2" s="125" t="s">
        <v>1030</v>
      </c>
      <c r="B2" s="125"/>
      <c r="C2" s="125"/>
      <c r="D2" s="125"/>
      <c r="E2" s="125"/>
      <c r="F2" s="125"/>
      <c r="G2" s="125"/>
      <c r="H2" s="125"/>
    </row>
    <row r="4" customFormat="false" ht="24" hidden="false" customHeight="true" outlineLevel="0" collapsed="false">
      <c r="A4" s="111" t="s">
        <v>1031</v>
      </c>
      <c r="B4" s="111"/>
      <c r="C4" s="111"/>
      <c r="D4" s="111"/>
      <c r="E4" s="111"/>
      <c r="F4" s="111"/>
      <c r="G4" s="111"/>
      <c r="H4" s="111"/>
    </row>
    <row r="5" customFormat="false" ht="42" hidden="false" customHeight="true" outlineLevel="0" collapsed="false">
      <c r="A5" s="126" t="s">
        <v>1032</v>
      </c>
      <c r="B5" s="126"/>
      <c r="C5" s="126"/>
      <c r="D5" s="126"/>
      <c r="E5" s="126"/>
      <c r="F5" s="126"/>
      <c r="G5" s="126"/>
      <c r="H5" s="126"/>
    </row>
    <row r="6" customFormat="false" ht="42" hidden="false" customHeight="true" outlineLevel="0" collapsed="false">
      <c r="A6" s="126" t="s">
        <v>1033</v>
      </c>
      <c r="B6" s="126"/>
      <c r="C6" s="126"/>
      <c r="D6" s="126"/>
      <c r="E6" s="126"/>
      <c r="F6" s="126"/>
      <c r="G6" s="126"/>
      <c r="H6" s="126"/>
    </row>
    <row r="7" customFormat="false" ht="36" hidden="false" customHeight="true" outlineLevel="0" collapsed="false">
      <c r="A7" s="127" t="s">
        <v>1034</v>
      </c>
      <c r="B7" s="127"/>
      <c r="C7" s="127"/>
      <c r="D7" s="127"/>
      <c r="E7" s="127"/>
      <c r="F7" s="127"/>
      <c r="G7" s="127"/>
      <c r="H7" s="127"/>
    </row>
    <row r="9" customFormat="false" ht="24" hidden="false" customHeight="true" outlineLevel="0" collapsed="false">
      <c r="A9" s="111" t="s">
        <v>1035</v>
      </c>
      <c r="B9" s="111"/>
      <c r="C9" s="111"/>
      <c r="D9" s="111"/>
      <c r="E9" s="111"/>
      <c r="F9" s="111"/>
      <c r="G9" s="111"/>
      <c r="H9" s="111"/>
    </row>
    <row r="10" customFormat="false" ht="33.75" hidden="false" customHeight="true" outlineLevel="0" collapsed="false">
      <c r="A10" s="128" t="s">
        <v>1036</v>
      </c>
      <c r="B10" s="129" t="s">
        <v>1037</v>
      </c>
      <c r="C10" s="129"/>
      <c r="D10" s="129"/>
      <c r="E10" s="129"/>
      <c r="F10" s="129"/>
      <c r="G10" s="129"/>
      <c r="H10" s="129"/>
    </row>
    <row r="11" customFormat="false" ht="33.75" hidden="false" customHeight="true" outlineLevel="0" collapsed="false">
      <c r="A11" s="128" t="s">
        <v>1038</v>
      </c>
      <c r="B11" s="129" t="s">
        <v>1039</v>
      </c>
      <c r="C11" s="129"/>
      <c r="D11" s="129"/>
      <c r="E11" s="129"/>
      <c r="F11" s="129"/>
      <c r="G11" s="129"/>
      <c r="H11" s="129"/>
    </row>
    <row r="12" customFormat="false" ht="33.75" hidden="false" customHeight="true" outlineLevel="0" collapsed="false">
      <c r="A12" s="128" t="s">
        <v>1040</v>
      </c>
      <c r="B12" s="129" t="s">
        <v>1041</v>
      </c>
      <c r="C12" s="129"/>
      <c r="D12" s="129"/>
      <c r="E12" s="129"/>
      <c r="F12" s="129"/>
      <c r="G12" s="129"/>
      <c r="H12" s="129"/>
    </row>
    <row r="13" customFormat="false" ht="33.75" hidden="false" customHeight="true" outlineLevel="0" collapsed="false">
      <c r="A13" s="128" t="s">
        <v>1042</v>
      </c>
      <c r="B13" s="129" t="s">
        <v>1043</v>
      </c>
      <c r="C13" s="129"/>
      <c r="D13" s="129"/>
      <c r="E13" s="129"/>
      <c r="F13" s="129"/>
      <c r="G13" s="129"/>
      <c r="H13" s="129"/>
    </row>
    <row r="15" customFormat="false" ht="24" hidden="false" customHeight="true" outlineLevel="0" collapsed="false">
      <c r="A15" s="111" t="s">
        <v>1044</v>
      </c>
      <c r="B15" s="111"/>
      <c r="C15" s="111"/>
      <c r="D15" s="111"/>
      <c r="E15" s="111"/>
      <c r="F15" s="111"/>
      <c r="G15" s="111"/>
      <c r="H15" s="111"/>
    </row>
    <row r="16" customFormat="false" ht="30" hidden="false" customHeight="true" outlineLevel="0" collapsed="false">
      <c r="A16" s="126" t="s">
        <v>1045</v>
      </c>
      <c r="B16" s="126"/>
      <c r="C16" s="126"/>
      <c r="D16" s="126"/>
      <c r="E16" s="126"/>
      <c r="F16" s="126"/>
      <c r="G16" s="126"/>
      <c r="H16" s="126"/>
    </row>
    <row r="17" customFormat="false" ht="42" hidden="false" customHeight="true" outlineLevel="0" collapsed="false">
      <c r="A17" s="126" t="s">
        <v>1046</v>
      </c>
      <c r="B17" s="126"/>
      <c r="C17" s="126"/>
      <c r="D17" s="126"/>
      <c r="E17" s="126"/>
      <c r="F17" s="126"/>
      <c r="G17" s="126"/>
      <c r="H17" s="126"/>
    </row>
    <row r="18" customFormat="false" ht="30" hidden="false" customHeight="true" outlineLevel="0" collapsed="false">
      <c r="A18" s="126" t="s">
        <v>1047</v>
      </c>
      <c r="B18" s="126"/>
      <c r="C18" s="126"/>
      <c r="D18" s="126"/>
      <c r="E18" s="126"/>
      <c r="F18" s="126"/>
      <c r="G18" s="126"/>
      <c r="H18" s="126"/>
    </row>
    <row r="20" customFormat="false" ht="24" hidden="false" customHeight="true" outlineLevel="0" collapsed="false">
      <c r="A20" s="111" t="s">
        <v>1048</v>
      </c>
      <c r="B20" s="111"/>
      <c r="C20" s="111"/>
      <c r="D20" s="111"/>
      <c r="E20" s="111"/>
      <c r="F20" s="111"/>
      <c r="G20" s="111"/>
      <c r="H20" s="111"/>
    </row>
    <row r="21" customFormat="false" ht="27.75" hidden="false" customHeight="true" outlineLevel="0" collapsed="false">
      <c r="A21" s="126" t="s">
        <v>1049</v>
      </c>
      <c r="B21" s="126"/>
      <c r="C21" s="126"/>
      <c r="D21" s="126"/>
      <c r="E21" s="126"/>
      <c r="F21" s="126"/>
      <c r="G21" s="126"/>
      <c r="H21" s="126"/>
    </row>
    <row r="22" customFormat="false" ht="25.5" hidden="false" customHeight="true" outlineLevel="0" collapsed="false">
      <c r="A22" s="126" t="s">
        <v>1050</v>
      </c>
      <c r="B22" s="126"/>
      <c r="C22" s="126"/>
      <c r="D22" s="126"/>
      <c r="E22" s="126"/>
      <c r="F22" s="126"/>
      <c r="G22" s="126"/>
      <c r="H22" s="126"/>
    </row>
    <row r="24" customFormat="false" ht="24" hidden="false" customHeight="true" outlineLevel="0" collapsed="false">
      <c r="A24" s="111" t="s">
        <v>1051</v>
      </c>
      <c r="B24" s="111"/>
      <c r="C24" s="111"/>
      <c r="D24" s="111"/>
      <c r="E24" s="111"/>
      <c r="F24" s="111"/>
      <c r="G24" s="111"/>
      <c r="H24" s="111"/>
    </row>
    <row r="25" customFormat="false" ht="31.5" hidden="false" customHeight="true" outlineLevel="0" collapsed="false">
      <c r="A25" s="126" t="s">
        <v>1052</v>
      </c>
      <c r="B25" s="126"/>
      <c r="C25" s="126"/>
      <c r="D25" s="126"/>
      <c r="E25" s="126"/>
      <c r="F25" s="126"/>
      <c r="G25" s="126"/>
      <c r="H25" s="126"/>
    </row>
    <row r="26" customFormat="false" ht="27.75" hidden="false" customHeight="true" outlineLevel="0" collapsed="false">
      <c r="A26" s="126" t="s">
        <v>1053</v>
      </c>
      <c r="B26" s="126"/>
      <c r="C26" s="126"/>
      <c r="D26" s="126"/>
      <c r="E26" s="126"/>
      <c r="F26" s="126"/>
      <c r="G26" s="126"/>
      <c r="H26" s="126"/>
    </row>
    <row r="27" customFormat="false" ht="27.75" hidden="false" customHeight="true" outlineLevel="0" collapsed="false">
      <c r="A27" s="127" t="s">
        <v>1054</v>
      </c>
      <c r="B27" s="127"/>
      <c r="C27" s="127"/>
      <c r="D27" s="127"/>
      <c r="E27" s="127"/>
      <c r="F27" s="127"/>
      <c r="G27" s="127"/>
      <c r="H27" s="127"/>
    </row>
    <row r="29" customFormat="false" ht="24" hidden="false" customHeight="true" outlineLevel="0" collapsed="false">
      <c r="A29" s="111" t="s">
        <v>1055</v>
      </c>
      <c r="B29" s="111"/>
      <c r="C29" s="111"/>
      <c r="D29" s="111"/>
      <c r="E29" s="111"/>
      <c r="F29" s="111"/>
      <c r="G29" s="111"/>
      <c r="H29" s="111"/>
    </row>
    <row r="30" customFormat="false" ht="25.5" hidden="false" customHeight="true" outlineLevel="0" collapsed="false">
      <c r="A30" s="130" t="s">
        <v>1056</v>
      </c>
      <c r="B30" s="130"/>
      <c r="C30" s="130"/>
      <c r="D30" s="130"/>
      <c r="E30" s="130"/>
      <c r="F30" s="130"/>
      <c r="G30" s="130"/>
      <c r="H30" s="130"/>
    </row>
    <row r="31" customFormat="false" ht="31.5" hidden="false" customHeight="true" outlineLevel="0" collapsed="false">
      <c r="A31" s="131" t="s">
        <v>1057</v>
      </c>
      <c r="B31" s="131"/>
      <c r="C31" s="132" t="s">
        <v>1058</v>
      </c>
      <c r="D31" s="132"/>
      <c r="E31" s="132"/>
      <c r="F31" s="132"/>
      <c r="G31" s="132"/>
      <c r="H31" s="132"/>
    </row>
    <row r="32" customFormat="false" ht="31.5" hidden="false" customHeight="true" outlineLevel="0" collapsed="false">
      <c r="A32" s="131" t="s">
        <v>925</v>
      </c>
      <c r="B32" s="131"/>
      <c r="C32" s="132" t="s">
        <v>1059</v>
      </c>
      <c r="D32" s="132"/>
      <c r="E32" s="132"/>
      <c r="F32" s="132"/>
      <c r="G32" s="132"/>
      <c r="H32" s="132"/>
    </row>
    <row r="33" customFormat="false" ht="31.5" hidden="false" customHeight="true" outlineLevel="0" collapsed="false">
      <c r="A33" s="131" t="s">
        <v>191</v>
      </c>
      <c r="B33" s="131"/>
      <c r="C33" s="132" t="s">
        <v>1060</v>
      </c>
      <c r="D33" s="132"/>
      <c r="E33" s="132"/>
      <c r="F33" s="132"/>
      <c r="G33" s="132"/>
      <c r="H33" s="132"/>
    </row>
    <row r="34" customFormat="false" ht="31.5" hidden="false" customHeight="true" outlineLevel="0" collapsed="false">
      <c r="A34" s="131" t="s">
        <v>936</v>
      </c>
      <c r="B34" s="131"/>
      <c r="C34" s="132" t="s">
        <v>1061</v>
      </c>
      <c r="D34" s="132"/>
      <c r="E34" s="132"/>
      <c r="F34" s="132"/>
      <c r="G34" s="132"/>
      <c r="H34" s="132"/>
    </row>
    <row r="35" customFormat="false" ht="31.5" hidden="false" customHeight="true" outlineLevel="0" collapsed="false">
      <c r="A35" s="131" t="s">
        <v>1062</v>
      </c>
      <c r="B35" s="131"/>
      <c r="C35" s="132" t="s">
        <v>1063</v>
      </c>
      <c r="D35" s="132"/>
      <c r="E35" s="132"/>
      <c r="F35" s="132"/>
      <c r="G35" s="132"/>
      <c r="H35" s="132"/>
    </row>
    <row r="37" customFormat="false" ht="24" hidden="false" customHeight="true" outlineLevel="0" collapsed="false">
      <c r="A37" s="111" t="s">
        <v>1064</v>
      </c>
      <c r="B37" s="111"/>
      <c r="C37" s="111"/>
      <c r="D37" s="111"/>
      <c r="E37" s="111"/>
      <c r="F37" s="111"/>
      <c r="G37" s="111"/>
      <c r="H37" s="111"/>
    </row>
    <row r="38" customFormat="false" ht="30" hidden="false" customHeight="true" outlineLevel="0" collapsed="false">
      <c r="A38" s="131" t="s">
        <v>1065</v>
      </c>
      <c r="B38" s="131"/>
      <c r="C38" s="132" t="s">
        <v>1066</v>
      </c>
      <c r="D38" s="132"/>
      <c r="E38" s="132"/>
      <c r="F38" s="132"/>
      <c r="G38" s="132"/>
      <c r="H38" s="132"/>
    </row>
    <row r="39" customFormat="false" ht="30" hidden="false" customHeight="true" outlineLevel="0" collapsed="false">
      <c r="A39" s="131" t="s">
        <v>1067</v>
      </c>
      <c r="B39" s="131"/>
      <c r="C39" s="132" t="s">
        <v>1068</v>
      </c>
      <c r="D39" s="132"/>
      <c r="E39" s="132"/>
      <c r="F39" s="132"/>
      <c r="G39" s="132"/>
      <c r="H39" s="132"/>
    </row>
    <row r="40" customFormat="false" ht="30" hidden="false" customHeight="true" outlineLevel="0" collapsed="false">
      <c r="A40" s="131" t="s">
        <v>1069</v>
      </c>
      <c r="B40" s="131"/>
      <c r="C40" s="132" t="s">
        <v>1070</v>
      </c>
      <c r="D40" s="132"/>
      <c r="E40" s="132"/>
      <c r="F40" s="132"/>
      <c r="G40" s="132"/>
      <c r="H40" s="132"/>
    </row>
    <row r="41" customFormat="false" ht="30" hidden="false" customHeight="true" outlineLevel="0" collapsed="false">
      <c r="A41" s="131" t="s">
        <v>1071</v>
      </c>
      <c r="B41" s="131"/>
      <c r="C41" s="132" t="s">
        <v>1072</v>
      </c>
      <c r="D41" s="132"/>
      <c r="E41" s="132"/>
      <c r="F41" s="132"/>
      <c r="G41" s="132"/>
      <c r="H41" s="132"/>
    </row>
    <row r="42" customFormat="false" ht="30" hidden="false" customHeight="true" outlineLevel="0" collapsed="false">
      <c r="A42" s="131" t="s">
        <v>1073</v>
      </c>
      <c r="B42" s="131"/>
      <c r="C42" s="132" t="s">
        <v>1074</v>
      </c>
      <c r="D42" s="132"/>
      <c r="E42" s="132"/>
      <c r="F42" s="132"/>
      <c r="G42" s="132"/>
      <c r="H42" s="132"/>
    </row>
    <row r="44" customFormat="false" ht="24" hidden="false" customHeight="true" outlineLevel="0" collapsed="false">
      <c r="A44" s="111" t="s">
        <v>1075</v>
      </c>
      <c r="B44" s="111"/>
      <c r="C44" s="111"/>
      <c r="D44" s="111"/>
      <c r="E44" s="111"/>
      <c r="F44" s="111"/>
      <c r="G44" s="111"/>
      <c r="H44" s="111"/>
    </row>
    <row r="45" customFormat="false" ht="31.5" hidden="false" customHeight="true" outlineLevel="0" collapsed="false">
      <c r="A45" s="127" t="s">
        <v>1076</v>
      </c>
      <c r="B45" s="127"/>
      <c r="C45" s="127"/>
      <c r="D45" s="127"/>
      <c r="E45" s="127"/>
      <c r="F45" s="127"/>
      <c r="G45" s="127"/>
      <c r="H45" s="127"/>
    </row>
    <row r="47" customFormat="false" ht="18" hidden="false" customHeight="true" outlineLevel="0" collapsed="false">
      <c r="A47" s="133" t="s">
        <v>1077</v>
      </c>
      <c r="B47" s="133"/>
      <c r="C47" s="24" t="s">
        <v>1078</v>
      </c>
      <c r="D47" s="24"/>
      <c r="E47" s="24"/>
      <c r="F47" s="24"/>
      <c r="G47" s="24"/>
      <c r="H47" s="24"/>
    </row>
    <row r="48" customFormat="false" ht="18" hidden="false" customHeight="true" outlineLevel="0" collapsed="false">
      <c r="A48" s="134" t="s">
        <v>1079</v>
      </c>
      <c r="B48" s="134"/>
      <c r="C48" s="24" t="s">
        <v>1080</v>
      </c>
      <c r="D48" s="24"/>
      <c r="E48" s="24"/>
      <c r="F48" s="24"/>
      <c r="G48" s="24"/>
      <c r="H48" s="24"/>
    </row>
    <row r="49" customFormat="false" ht="18" hidden="false" customHeight="true" outlineLevel="0" collapsed="false">
      <c r="A49" s="135" t="s">
        <v>1081</v>
      </c>
      <c r="B49" s="135"/>
      <c r="C49" s="24" t="s">
        <v>1082</v>
      </c>
      <c r="D49" s="24"/>
      <c r="E49" s="24"/>
      <c r="F49" s="24"/>
      <c r="G49" s="24"/>
      <c r="H49" s="24"/>
    </row>
    <row r="50" customFormat="false" ht="18" hidden="false" customHeight="true" outlineLevel="0" collapsed="false">
      <c r="A50" s="136" t="s">
        <v>85</v>
      </c>
      <c r="B50" s="136"/>
      <c r="C50" s="24" t="s">
        <v>1083</v>
      </c>
      <c r="D50" s="24"/>
      <c r="E50" s="24"/>
      <c r="F50" s="24"/>
      <c r="G50" s="24"/>
      <c r="H50" s="24"/>
    </row>
    <row r="51" customFormat="false" ht="18" hidden="false" customHeight="true" outlineLevel="0" collapsed="false">
      <c r="A51" s="137" t="s">
        <v>1084</v>
      </c>
      <c r="B51" s="137"/>
      <c r="C51" s="24" t="s">
        <v>1085</v>
      </c>
      <c r="D51" s="24"/>
      <c r="E51" s="24"/>
      <c r="F51" s="24"/>
      <c r="G51" s="24"/>
      <c r="H51" s="24"/>
    </row>
    <row r="52" customFormat="false" ht="18" hidden="false" customHeight="true" outlineLevel="0" collapsed="false">
      <c r="A52" s="135" t="s">
        <v>1086</v>
      </c>
      <c r="B52" s="135"/>
      <c r="C52" s="24" t="s">
        <v>1087</v>
      </c>
      <c r="D52" s="24"/>
      <c r="E52" s="24"/>
      <c r="F52" s="24"/>
      <c r="G52" s="24"/>
      <c r="H52" s="24"/>
    </row>
    <row r="53" customFormat="false" ht="18" hidden="false" customHeight="true" outlineLevel="0" collapsed="false">
      <c r="A53" s="138" t="s">
        <v>100</v>
      </c>
      <c r="B53" s="138"/>
      <c r="C53" s="24" t="s">
        <v>1088</v>
      </c>
      <c r="D53" s="24"/>
      <c r="E53" s="24"/>
      <c r="F53" s="24"/>
      <c r="G53" s="24"/>
      <c r="H53" s="24"/>
    </row>
    <row r="54" customFormat="false" ht="18" hidden="false" customHeight="true" outlineLevel="0" collapsed="false">
      <c r="A54" s="139" t="s">
        <v>1089</v>
      </c>
      <c r="B54" s="139"/>
      <c r="C54" s="24" t="s">
        <v>1090</v>
      </c>
      <c r="D54" s="24"/>
      <c r="E54" s="24"/>
      <c r="F54" s="24"/>
      <c r="G54" s="24"/>
      <c r="H54" s="24"/>
    </row>
    <row r="55" customFormat="false" ht="18" hidden="false" customHeight="true" outlineLevel="0" collapsed="false">
      <c r="A55" s="140" t="s">
        <v>1091</v>
      </c>
      <c r="B55" s="140"/>
      <c r="C55" s="24" t="s">
        <v>1092</v>
      </c>
      <c r="D55" s="24"/>
      <c r="E55" s="24"/>
      <c r="F55" s="24"/>
      <c r="G55" s="24"/>
      <c r="H55" s="24"/>
    </row>
    <row r="56" customFormat="false" ht="18" hidden="false" customHeight="true" outlineLevel="0" collapsed="false">
      <c r="A56" s="140" t="s">
        <v>1093</v>
      </c>
      <c r="B56" s="140"/>
      <c r="C56" s="24" t="s">
        <v>1094</v>
      </c>
      <c r="D56" s="24"/>
      <c r="E56" s="24"/>
      <c r="F56" s="24"/>
      <c r="G56" s="24"/>
      <c r="H56" s="24"/>
    </row>
    <row r="57" customFormat="false" ht="18" hidden="false" customHeight="true" outlineLevel="0" collapsed="false">
      <c r="A57" s="141" t="s">
        <v>191</v>
      </c>
      <c r="B57" s="141"/>
      <c r="C57" s="24" t="s">
        <v>1095</v>
      </c>
      <c r="D57" s="24"/>
      <c r="E57" s="24"/>
      <c r="F57" s="24"/>
      <c r="G57" s="24"/>
      <c r="H57" s="24"/>
    </row>
    <row r="58" customFormat="false" ht="18" hidden="false" customHeight="true" outlineLevel="0" collapsed="false">
      <c r="A58" s="142" t="s">
        <v>1096</v>
      </c>
      <c r="B58" s="142"/>
      <c r="C58" s="24" t="s">
        <v>1097</v>
      </c>
      <c r="D58" s="24"/>
      <c r="E58" s="24"/>
      <c r="F58" s="24"/>
      <c r="G58" s="24"/>
      <c r="H58" s="24"/>
    </row>
    <row r="59" customFormat="false" ht="18" hidden="false" customHeight="true" outlineLevel="0" collapsed="false">
      <c r="A59" s="143" t="s">
        <v>1098</v>
      </c>
      <c r="B59" s="143"/>
      <c r="C59" s="24" t="s">
        <v>1099</v>
      </c>
      <c r="D59" s="24"/>
      <c r="E59" s="24"/>
      <c r="F59" s="24"/>
      <c r="G59" s="24"/>
      <c r="H59" s="24"/>
    </row>
    <row r="60" customFormat="false" ht="18" hidden="false" customHeight="true" outlineLevel="0" collapsed="false">
      <c r="A60" s="144" t="s">
        <v>1100</v>
      </c>
      <c r="B60" s="144"/>
      <c r="C60" s="24" t="s">
        <v>1101</v>
      </c>
      <c r="D60" s="24"/>
      <c r="E60" s="24"/>
      <c r="F60" s="24"/>
      <c r="G60" s="24"/>
      <c r="H60" s="24"/>
    </row>
    <row r="62" customFormat="false" ht="30" hidden="false" customHeight="true" outlineLevel="0" collapsed="false">
      <c r="A62" s="127" t="s">
        <v>1102</v>
      </c>
      <c r="B62" s="127"/>
      <c r="C62" s="127"/>
      <c r="D62" s="127"/>
      <c r="E62" s="127"/>
      <c r="F62" s="127"/>
      <c r="G62" s="127"/>
      <c r="H62" s="127"/>
    </row>
    <row r="65" customFormat="false" ht="24" hidden="false" customHeight="true" outlineLevel="0" collapsed="false">
      <c r="A65" s="111" t="s">
        <v>1103</v>
      </c>
      <c r="B65" s="111"/>
      <c r="C65" s="111"/>
      <c r="D65" s="111"/>
      <c r="E65" s="111"/>
      <c r="F65" s="111"/>
      <c r="G65" s="111"/>
      <c r="H65" s="111"/>
    </row>
    <row r="66" customFormat="false" ht="30" hidden="false" customHeight="true" outlineLevel="0" collapsed="false">
      <c r="A66" s="127" t="s">
        <v>1104</v>
      </c>
      <c r="B66" s="127"/>
      <c r="C66" s="127"/>
      <c r="D66" s="127"/>
      <c r="E66" s="127"/>
      <c r="F66" s="127"/>
      <c r="G66" s="127"/>
      <c r="H66" s="127"/>
    </row>
    <row r="68" customFormat="false" ht="33.75" hidden="false" customHeight="true" outlineLevel="0" collapsed="false">
      <c r="A68" s="127" t="s">
        <v>1105</v>
      </c>
      <c r="B68" s="127"/>
      <c r="C68" s="127"/>
      <c r="D68" s="127"/>
      <c r="E68" s="127"/>
      <c r="F68" s="127"/>
      <c r="G68" s="127"/>
      <c r="H68" s="127"/>
    </row>
    <row r="70" customFormat="false" ht="25.5" hidden="false" customHeight="true" outlineLevel="0" collapsed="false">
      <c r="A70" s="127" t="s">
        <v>1106</v>
      </c>
      <c r="B70" s="127"/>
      <c r="C70" s="127"/>
      <c r="D70" s="127"/>
      <c r="E70" s="127"/>
      <c r="F70" s="127"/>
      <c r="G70" s="127"/>
      <c r="H70" s="127"/>
    </row>
  </sheetData>
  <mergeCells count="80">
    <mergeCell ref="A1:H1"/>
    <mergeCell ref="A2:H2"/>
    <mergeCell ref="A4:H4"/>
    <mergeCell ref="A5:H5"/>
    <mergeCell ref="A6:H6"/>
    <mergeCell ref="A7:H7"/>
    <mergeCell ref="A9:H9"/>
    <mergeCell ref="B10:H10"/>
    <mergeCell ref="B11:H11"/>
    <mergeCell ref="B12:H12"/>
    <mergeCell ref="B13:H13"/>
    <mergeCell ref="A15:H15"/>
    <mergeCell ref="A16:H16"/>
    <mergeCell ref="A17:H17"/>
    <mergeCell ref="A18:H18"/>
    <mergeCell ref="A20:H20"/>
    <mergeCell ref="A21:H21"/>
    <mergeCell ref="A22:H22"/>
    <mergeCell ref="A24:H24"/>
    <mergeCell ref="A25:H25"/>
    <mergeCell ref="A26:H26"/>
    <mergeCell ref="A27:H27"/>
    <mergeCell ref="A29:H29"/>
    <mergeCell ref="A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7:H37"/>
    <mergeCell ref="A38:B38"/>
    <mergeCell ref="C38:H38"/>
    <mergeCell ref="A39:B39"/>
    <mergeCell ref="C39:H39"/>
    <mergeCell ref="A40:B40"/>
    <mergeCell ref="C40:H40"/>
    <mergeCell ref="A41:B41"/>
    <mergeCell ref="C41:H41"/>
    <mergeCell ref="A42:B42"/>
    <mergeCell ref="C42:H42"/>
    <mergeCell ref="A44:H44"/>
    <mergeCell ref="A45:H45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  <mergeCell ref="A62:H62"/>
    <mergeCell ref="A65:H65"/>
    <mergeCell ref="A66:H66"/>
    <mergeCell ref="A68:H68"/>
    <mergeCell ref="A70:H7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164E"/>
    <pageSetUpPr fitToPage="true"/>
  </sheetPr>
  <dimension ref="A1:H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45" t="s">
        <v>1107</v>
      </c>
      <c r="B1" s="145"/>
      <c r="C1" s="145"/>
      <c r="D1" s="145"/>
      <c r="E1" s="145"/>
      <c r="F1" s="145"/>
      <c r="G1" s="145"/>
      <c r="H1" s="145"/>
    </row>
    <row r="2" customFormat="false" ht="15" hidden="false" customHeight="false" outlineLevel="0" collapsed="false">
      <c r="A2" s="55" t="s">
        <v>1108</v>
      </c>
      <c r="B2" s="55"/>
      <c r="C2" s="55"/>
      <c r="D2" s="55"/>
      <c r="E2" s="55"/>
      <c r="F2" s="55"/>
      <c r="G2" s="55"/>
      <c r="H2" s="55"/>
    </row>
    <row r="4" customFormat="false" ht="25.5" hidden="false" customHeight="true" outlineLevel="0" collapsed="false">
      <c r="A4" s="146" t="s">
        <v>1109</v>
      </c>
      <c r="B4" s="146" t="s">
        <v>1110</v>
      </c>
      <c r="C4" s="146" t="s">
        <v>1111</v>
      </c>
      <c r="D4" s="146" t="s">
        <v>47</v>
      </c>
      <c r="E4" s="146" t="s">
        <v>1112</v>
      </c>
      <c r="F4" s="146" t="s">
        <v>44</v>
      </c>
      <c r="G4" s="146" t="s">
        <v>68</v>
      </c>
      <c r="H4" s="146" t="s">
        <v>1113</v>
      </c>
    </row>
    <row r="5" customFormat="false" ht="15" hidden="false" customHeight="false" outlineLevel="0" collapsed="false">
      <c r="A5" s="23" t="s">
        <v>106</v>
      </c>
      <c r="B5" s="23" t="s">
        <v>494</v>
      </c>
      <c r="C5" s="23" t="s">
        <v>80</v>
      </c>
      <c r="D5" s="23" t="s">
        <v>100</v>
      </c>
      <c r="E5" s="23" t="s">
        <v>114</v>
      </c>
      <c r="F5" s="23" t="s">
        <v>108</v>
      </c>
      <c r="G5" s="23" t="s">
        <v>829</v>
      </c>
      <c r="H5" s="23"/>
    </row>
    <row r="6" customFormat="false" ht="15" hidden="false" customHeight="false" outlineLevel="0" collapsed="false">
      <c r="A6" s="23" t="s">
        <v>82</v>
      </c>
      <c r="B6" s="23" t="s">
        <v>518</v>
      </c>
      <c r="C6" s="23" t="s">
        <v>135</v>
      </c>
      <c r="D6" s="23" t="s">
        <v>1086</v>
      </c>
      <c r="E6" s="23" t="s">
        <v>463</v>
      </c>
      <c r="F6" s="23" t="s">
        <v>131</v>
      </c>
      <c r="G6" s="23" t="s">
        <v>853</v>
      </c>
      <c r="H6" s="23"/>
    </row>
    <row r="7" customFormat="false" ht="15" hidden="false" customHeight="false" outlineLevel="0" collapsed="false">
      <c r="A7" s="23" t="s">
        <v>182</v>
      </c>
      <c r="B7" s="23" t="s">
        <v>869</v>
      </c>
      <c r="C7" s="23" t="s">
        <v>1114</v>
      </c>
      <c r="D7" s="23" t="s">
        <v>85</v>
      </c>
      <c r="E7" s="23" t="s">
        <v>1115</v>
      </c>
      <c r="F7" s="23" t="s">
        <v>84</v>
      </c>
      <c r="G7" s="23" t="s">
        <v>856</v>
      </c>
      <c r="H7" s="23"/>
    </row>
    <row r="8" customFormat="false" ht="15" hidden="false" customHeight="false" outlineLevel="0" collapsed="false">
      <c r="A8" s="23" t="s">
        <v>866</v>
      </c>
      <c r="B8" s="23" t="s">
        <v>870</v>
      </c>
      <c r="C8" s="23" t="s">
        <v>1116</v>
      </c>
      <c r="D8" s="23" t="s">
        <v>191</v>
      </c>
      <c r="E8" s="23" t="s">
        <v>137</v>
      </c>
      <c r="F8" s="23" t="s">
        <v>173</v>
      </c>
      <c r="G8" s="23"/>
      <c r="H8" s="23"/>
    </row>
    <row r="9" customFormat="false" ht="15" hidden="false" customHeight="false" outlineLevel="0" collapsed="false">
      <c r="A9" s="23" t="s">
        <v>107</v>
      </c>
      <c r="B9" s="23" t="s">
        <v>716</v>
      </c>
      <c r="C9" s="23" t="s">
        <v>594</v>
      </c>
      <c r="D9" s="23"/>
      <c r="E9" s="23" t="s">
        <v>109</v>
      </c>
      <c r="F9" s="23" t="s">
        <v>142</v>
      </c>
      <c r="G9" s="23"/>
      <c r="H9" s="23"/>
    </row>
    <row r="10" customFormat="false" ht="15" hidden="false" customHeight="false" outlineLevel="0" collapsed="false">
      <c r="A10" s="23" t="s">
        <v>283</v>
      </c>
      <c r="B10" s="23" t="s">
        <v>713</v>
      </c>
      <c r="C10" s="23" t="s">
        <v>628</v>
      </c>
      <c r="D10" s="23"/>
      <c r="E10" s="23" t="s">
        <v>1117</v>
      </c>
      <c r="F10" s="23" t="s">
        <v>1118</v>
      </c>
      <c r="G10" s="23"/>
      <c r="H10" s="23"/>
    </row>
    <row r="11" customFormat="false" ht="15" hidden="false" customHeight="false" outlineLevel="0" collapsed="false">
      <c r="A11" s="23" t="s">
        <v>88</v>
      </c>
      <c r="B11" s="23" t="s">
        <v>448</v>
      </c>
      <c r="C11" s="23" t="s">
        <v>1119</v>
      </c>
      <c r="D11" s="23"/>
      <c r="E11" s="23" t="s">
        <v>293</v>
      </c>
      <c r="F11" s="23" t="s">
        <v>1120</v>
      </c>
      <c r="G11" s="23"/>
      <c r="H11" s="23"/>
    </row>
    <row r="12" customFormat="false" ht="15" hidden="false" customHeight="false" outlineLevel="0" collapsed="false">
      <c r="A12" s="23" t="s">
        <v>83</v>
      </c>
      <c r="B12" s="23" t="s">
        <v>450</v>
      </c>
      <c r="C12" s="23" t="s">
        <v>633</v>
      </c>
      <c r="D12" s="23"/>
      <c r="E12" s="23" t="s">
        <v>1121</v>
      </c>
      <c r="F12" s="23"/>
      <c r="G12" s="23"/>
      <c r="H12" s="23"/>
    </row>
    <row r="13" customFormat="false" ht="15" hidden="false" customHeight="false" outlineLevel="0" collapsed="false">
      <c r="A13" s="23" t="s">
        <v>364</v>
      </c>
      <c r="B13" s="23" t="s">
        <v>871</v>
      </c>
      <c r="C13" s="23"/>
      <c r="D13" s="23"/>
      <c r="E13" s="23" t="s">
        <v>284</v>
      </c>
      <c r="F13" s="23"/>
      <c r="G13" s="23"/>
      <c r="H13" s="23"/>
    </row>
    <row r="14" customFormat="false" ht="15" hidden="false" customHeight="false" outlineLevel="0" collapsed="false">
      <c r="A14" s="23" t="s">
        <v>638</v>
      </c>
      <c r="B14" s="23" t="s">
        <v>1122</v>
      </c>
      <c r="C14" s="23"/>
      <c r="D14" s="23"/>
      <c r="E14" s="23" t="s">
        <v>1123</v>
      </c>
      <c r="F14" s="23"/>
      <c r="G14" s="23"/>
      <c r="H14" s="23"/>
    </row>
    <row r="15" customFormat="false" ht="15" hidden="false" customHeight="false" outlineLevel="0" collapsed="false">
      <c r="A15" s="23" t="s">
        <v>1124</v>
      </c>
      <c r="B15" s="23" t="s">
        <v>77</v>
      </c>
      <c r="C15" s="23"/>
      <c r="D15" s="23"/>
      <c r="E15" s="23" t="s">
        <v>707</v>
      </c>
      <c r="F15" s="23"/>
      <c r="G15" s="23"/>
      <c r="H15" s="23"/>
    </row>
    <row r="16" customFormat="false" ht="15" hidden="false" customHeight="false" outlineLevel="0" collapsed="false">
      <c r="A16" s="23" t="s">
        <v>581</v>
      </c>
      <c r="B16" s="23" t="s">
        <v>97</v>
      </c>
      <c r="C16" s="23"/>
      <c r="D16" s="23"/>
      <c r="E16" s="23"/>
      <c r="F16" s="23"/>
      <c r="G16" s="23"/>
      <c r="H16" s="23"/>
    </row>
    <row r="17" customFormat="false" ht="15" hidden="false" customHeight="false" outlineLevel="0" collapsed="false">
      <c r="A17" s="23" t="s">
        <v>1125</v>
      </c>
      <c r="B17" s="23" t="s">
        <v>1126</v>
      </c>
      <c r="C17" s="23"/>
      <c r="D17" s="23"/>
      <c r="E17" s="23"/>
      <c r="F17" s="23"/>
      <c r="G17" s="23"/>
      <c r="H17" s="23"/>
    </row>
    <row r="18" customFormat="false" ht="15" hidden="false" customHeight="false" outlineLevel="0" collapsed="false">
      <c r="A18" s="23" t="s">
        <v>1127</v>
      </c>
      <c r="B18" s="23" t="s">
        <v>134</v>
      </c>
      <c r="C18" s="23"/>
      <c r="D18" s="23"/>
      <c r="E18" s="23"/>
      <c r="F18" s="23"/>
      <c r="G18" s="23"/>
      <c r="H18" s="23"/>
    </row>
    <row r="19" customFormat="false" ht="15" hidden="false" customHeight="false" outlineLevel="0" collapsed="false">
      <c r="A19" s="23" t="s">
        <v>589</v>
      </c>
      <c r="B19" s="23" t="s">
        <v>684</v>
      </c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23"/>
      <c r="B20" s="23" t="s">
        <v>1128</v>
      </c>
      <c r="C20" s="23"/>
      <c r="D20" s="23"/>
      <c r="E20" s="23"/>
      <c r="F20" s="23"/>
      <c r="G20" s="23"/>
      <c r="H20" s="23"/>
    </row>
    <row r="21" customFormat="false" ht="15" hidden="false" customHeight="false" outlineLevel="0" collapsed="false">
      <c r="A21" s="23"/>
      <c r="B21" s="23" t="s">
        <v>595</v>
      </c>
      <c r="C21" s="23"/>
      <c r="D21" s="23"/>
      <c r="E21" s="23"/>
      <c r="F21" s="23"/>
      <c r="G21" s="23"/>
      <c r="H21" s="23"/>
    </row>
    <row r="22" customFormat="false" ht="15" hidden="false" customHeight="false" outlineLevel="0" collapsed="false">
      <c r="A22" s="23"/>
      <c r="B22" s="23" t="s">
        <v>861</v>
      </c>
      <c r="C22" s="23"/>
      <c r="D22" s="23"/>
      <c r="E22" s="23"/>
      <c r="F22" s="23"/>
      <c r="G22" s="23"/>
      <c r="H22" s="23"/>
    </row>
    <row r="23" customFormat="false" ht="15" hidden="false" customHeight="false" outlineLevel="0" collapsed="false">
      <c r="A23" s="23"/>
      <c r="B23" s="23" t="s">
        <v>600</v>
      </c>
      <c r="C23" s="23"/>
      <c r="D23" s="23"/>
      <c r="E23" s="23"/>
      <c r="F23" s="23"/>
      <c r="G23" s="23"/>
      <c r="H23" s="23"/>
    </row>
    <row r="24" customFormat="false" ht="15" hidden="false" customHeight="false" outlineLevel="0" collapsed="false">
      <c r="A24" s="23"/>
      <c r="B24" s="23" t="s">
        <v>867</v>
      </c>
      <c r="C24" s="23"/>
      <c r="D24" s="23"/>
      <c r="E24" s="23"/>
      <c r="F24" s="23"/>
      <c r="G24" s="23"/>
      <c r="H24" s="23"/>
    </row>
    <row r="25" customFormat="false" ht="15" hidden="false" customHeight="false" outlineLevel="0" collapsed="false">
      <c r="A25" s="23"/>
      <c r="B25" s="23" t="s">
        <v>171</v>
      </c>
      <c r="C25" s="23"/>
      <c r="D25" s="23"/>
      <c r="E25" s="23"/>
      <c r="F25" s="23"/>
      <c r="G25" s="23"/>
      <c r="H25" s="23"/>
    </row>
    <row r="26" customFormat="false" ht="15" hidden="false" customHeight="false" outlineLevel="0" collapsed="false">
      <c r="A26" s="23"/>
      <c r="B26" s="23" t="s">
        <v>175</v>
      </c>
      <c r="C26" s="23"/>
      <c r="D26" s="23"/>
      <c r="E26" s="23"/>
      <c r="F26" s="23"/>
      <c r="G26" s="23"/>
      <c r="H26" s="23"/>
    </row>
    <row r="27" customFormat="false" ht="15" hidden="false" customHeight="false" outlineLevel="0" collapsed="false">
      <c r="A27" s="23"/>
      <c r="B27" s="23" t="s">
        <v>1129</v>
      </c>
      <c r="C27" s="23"/>
      <c r="D27" s="23"/>
      <c r="E27" s="23"/>
      <c r="F27" s="23"/>
      <c r="G27" s="23"/>
      <c r="H27" s="23"/>
    </row>
    <row r="28" customFormat="false" ht="15" hidden="false" customHeight="false" outlineLevel="0" collapsed="false">
      <c r="A28" s="23"/>
      <c r="B28" s="23" t="s">
        <v>630</v>
      </c>
      <c r="C28" s="23"/>
      <c r="D28" s="23"/>
      <c r="E28" s="23"/>
      <c r="F28" s="23"/>
      <c r="G28" s="23"/>
      <c r="H28" s="23"/>
    </row>
    <row r="29" customFormat="false" ht="15" hidden="false" customHeight="false" outlineLevel="0" collapsed="false">
      <c r="A29" s="23"/>
      <c r="B29" s="23" t="s">
        <v>1130</v>
      </c>
      <c r="C29" s="23"/>
      <c r="D29" s="23"/>
      <c r="E29" s="23"/>
      <c r="F29" s="23"/>
      <c r="G29" s="23"/>
      <c r="H29" s="23"/>
    </row>
    <row r="30" customFormat="false" ht="15" hidden="false" customHeight="false" outlineLevel="0" collapsed="false">
      <c r="A30" s="23"/>
      <c r="B30" s="23" t="s">
        <v>489</v>
      </c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A31" s="23"/>
      <c r="B31" s="23" t="s">
        <v>177</v>
      </c>
      <c r="C31" s="23"/>
      <c r="D31" s="23"/>
      <c r="E31" s="23"/>
      <c r="F31" s="23"/>
      <c r="G31" s="23"/>
      <c r="H31" s="23"/>
    </row>
    <row r="32" customFormat="false" ht="15" hidden="false" customHeight="false" outlineLevel="0" collapsed="false">
      <c r="A32" s="23"/>
      <c r="B32" s="23" t="s">
        <v>646</v>
      </c>
      <c r="C32" s="23"/>
      <c r="D32" s="23"/>
      <c r="E32" s="23"/>
      <c r="F32" s="23"/>
      <c r="G32" s="23"/>
      <c r="H32" s="23"/>
    </row>
    <row r="33" customFormat="false" ht="15" hidden="false" customHeight="false" outlineLevel="0" collapsed="false">
      <c r="A33" s="23"/>
      <c r="B33" s="23" t="s">
        <v>599</v>
      </c>
      <c r="C33" s="23"/>
      <c r="D33" s="23"/>
      <c r="E33" s="23"/>
      <c r="F33" s="23"/>
      <c r="G33" s="23"/>
      <c r="H33" s="23"/>
    </row>
    <row r="34" customFormat="false" ht="15" hidden="false" customHeight="false" outlineLevel="0" collapsed="false">
      <c r="A34" s="23"/>
      <c r="B34" s="23" t="s">
        <v>229</v>
      </c>
      <c r="C34" s="23"/>
      <c r="D34" s="23"/>
      <c r="E34" s="23"/>
      <c r="F34" s="23"/>
      <c r="G34" s="23"/>
      <c r="H34" s="23"/>
    </row>
    <row r="35" customFormat="false" ht="15" hidden="false" customHeight="false" outlineLevel="0" collapsed="false">
      <c r="A35" s="23"/>
      <c r="B35" s="23" t="s">
        <v>258</v>
      </c>
      <c r="C35" s="23"/>
      <c r="D35" s="23"/>
      <c r="E35" s="23"/>
      <c r="F35" s="23"/>
      <c r="G35" s="23"/>
      <c r="H35" s="23"/>
    </row>
    <row r="36" customFormat="false" ht="15" hidden="false" customHeight="false" outlineLevel="0" collapsed="false">
      <c r="A36" s="23"/>
      <c r="B36" s="23" t="s">
        <v>1024</v>
      </c>
      <c r="C36" s="23"/>
      <c r="D36" s="23"/>
      <c r="E36" s="23"/>
      <c r="F36" s="23"/>
      <c r="G36" s="23"/>
      <c r="H36" s="23"/>
    </row>
    <row r="37" customFormat="false" ht="15" hidden="false" customHeight="false" outlineLevel="0" collapsed="false">
      <c r="A37" s="23"/>
      <c r="B37" s="23" t="s">
        <v>275</v>
      </c>
      <c r="C37" s="23"/>
      <c r="D37" s="23"/>
      <c r="E37" s="23"/>
      <c r="F37" s="23"/>
      <c r="G37" s="23"/>
      <c r="H37" s="23"/>
    </row>
    <row r="38" customFormat="false" ht="15" hidden="false" customHeight="false" outlineLevel="0" collapsed="false">
      <c r="A38" s="23"/>
      <c r="B38" s="23" t="s">
        <v>486</v>
      </c>
      <c r="C38" s="23"/>
      <c r="D38" s="23"/>
      <c r="E38" s="23"/>
      <c r="F38" s="23"/>
      <c r="G38" s="23"/>
      <c r="H38" s="23"/>
    </row>
    <row r="39" customFormat="false" ht="15" hidden="false" customHeight="false" outlineLevel="0" collapsed="false">
      <c r="A39" s="23"/>
      <c r="B39" s="23" t="s">
        <v>868</v>
      </c>
      <c r="C39" s="23"/>
      <c r="D39" s="23"/>
      <c r="E39" s="23"/>
      <c r="F39" s="23"/>
      <c r="G39" s="23"/>
      <c r="H39" s="23"/>
    </row>
    <row r="40" customFormat="false" ht="15" hidden="false" customHeight="false" outlineLevel="0" collapsed="false">
      <c r="A40" s="23"/>
      <c r="B40" s="23" t="s">
        <v>602</v>
      </c>
      <c r="C40" s="23"/>
      <c r="D40" s="23"/>
      <c r="E40" s="23"/>
      <c r="F40" s="23"/>
      <c r="G40" s="23"/>
      <c r="H40" s="23"/>
    </row>
    <row r="41" customFormat="false" ht="15" hidden="false" customHeight="false" outlineLevel="0" collapsed="false">
      <c r="A41" s="23"/>
      <c r="B41" s="23" t="s">
        <v>1131</v>
      </c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A42" s="23"/>
      <c r="B42" s="23" t="s">
        <v>278</v>
      </c>
      <c r="C42" s="23"/>
      <c r="D42" s="23"/>
      <c r="E42" s="23"/>
      <c r="F42" s="23"/>
      <c r="G42" s="23"/>
      <c r="H42" s="23"/>
    </row>
    <row r="43" customFormat="false" ht="15" hidden="false" customHeight="false" outlineLevel="0" collapsed="false">
      <c r="A43" s="23"/>
      <c r="B43" s="23" t="s">
        <v>461</v>
      </c>
      <c r="C43" s="23"/>
      <c r="D43" s="23"/>
      <c r="E43" s="23"/>
      <c r="F43" s="23"/>
      <c r="G43" s="23"/>
      <c r="H43" s="23"/>
    </row>
    <row r="44" customFormat="false" ht="15" hidden="false" customHeight="false" outlineLevel="0" collapsed="false">
      <c r="A44" s="23"/>
      <c r="B44" s="23" t="s">
        <v>281</v>
      </c>
      <c r="C44" s="23"/>
      <c r="D44" s="23"/>
      <c r="E44" s="23"/>
      <c r="F44" s="23"/>
      <c r="G44" s="23"/>
      <c r="H44" s="23"/>
    </row>
    <row r="45" customFormat="false" ht="15" hidden="false" customHeight="false" outlineLevel="0" collapsed="false">
      <c r="A45" s="23"/>
      <c r="B45" s="23" t="s">
        <v>601</v>
      </c>
      <c r="C45" s="23"/>
      <c r="D45" s="23"/>
      <c r="E45" s="23"/>
      <c r="F45" s="23"/>
      <c r="G45" s="23"/>
      <c r="H45" s="23"/>
    </row>
    <row r="46" customFormat="false" ht="15" hidden="false" customHeight="false" outlineLevel="0" collapsed="false">
      <c r="A46" s="23"/>
      <c r="B46" s="23" t="s">
        <v>537</v>
      </c>
      <c r="C46" s="23"/>
      <c r="D46" s="23"/>
      <c r="E46" s="23"/>
      <c r="F46" s="23"/>
      <c r="G46" s="23"/>
      <c r="H46" s="23"/>
    </row>
    <row r="47" customFormat="false" ht="15" hidden="false" customHeight="false" outlineLevel="0" collapsed="false">
      <c r="A47" s="23"/>
      <c r="B47" s="23" t="s">
        <v>644</v>
      </c>
      <c r="C47" s="23"/>
      <c r="D47" s="23"/>
      <c r="E47" s="23"/>
      <c r="F47" s="23"/>
      <c r="G47" s="23"/>
      <c r="H47" s="23"/>
    </row>
    <row r="48" customFormat="false" ht="15" hidden="false" customHeight="false" outlineLevel="0" collapsed="false">
      <c r="A48" s="23"/>
      <c r="B48" s="23" t="s">
        <v>365</v>
      </c>
      <c r="C48" s="23"/>
      <c r="D48" s="23"/>
      <c r="E48" s="23"/>
      <c r="F48" s="23"/>
      <c r="G48" s="23"/>
      <c r="H48" s="23"/>
    </row>
    <row r="49" customFormat="false" ht="15" hidden="false" customHeight="false" outlineLevel="0" collapsed="false">
      <c r="A49" s="23"/>
      <c r="B49" s="23" t="s">
        <v>1132</v>
      </c>
      <c r="C49" s="23"/>
      <c r="D49" s="23"/>
      <c r="E49" s="23"/>
      <c r="F49" s="23"/>
      <c r="G49" s="23"/>
      <c r="H49" s="23"/>
    </row>
    <row r="50" customFormat="false" ht="15" hidden="false" customHeight="false" outlineLevel="0" collapsed="false">
      <c r="A50" s="23"/>
      <c r="B50" s="23" t="s">
        <v>378</v>
      </c>
      <c r="C50" s="23"/>
      <c r="D50" s="23"/>
      <c r="E50" s="23"/>
      <c r="F50" s="23"/>
      <c r="G50" s="23"/>
      <c r="H50" s="23"/>
    </row>
    <row r="51" customFormat="false" ht="15" hidden="false" customHeight="false" outlineLevel="0" collapsed="false">
      <c r="A51" s="23"/>
      <c r="B51" s="23" t="s">
        <v>827</v>
      </c>
      <c r="C51" s="23"/>
      <c r="D51" s="23"/>
      <c r="E51" s="23"/>
      <c r="F51" s="23"/>
      <c r="G51" s="23"/>
      <c r="H51" s="23" t="s">
        <v>1133</v>
      </c>
    </row>
    <row r="52" customFormat="false" ht="15" hidden="false" customHeight="false" outlineLevel="0" collapsed="false">
      <c r="A52" s="23"/>
      <c r="B52" s="23" t="s">
        <v>382</v>
      </c>
      <c r="C52" s="23"/>
      <c r="D52" s="23"/>
      <c r="E52" s="23"/>
      <c r="F52" s="23"/>
      <c r="G52" s="23"/>
      <c r="H52" s="23"/>
    </row>
    <row r="53" customFormat="false" ht="15" hidden="false" customHeight="false" outlineLevel="0" collapsed="false">
      <c r="A53" s="23"/>
      <c r="B53" s="23" t="s">
        <v>451</v>
      </c>
      <c r="C53" s="23"/>
      <c r="D53" s="23"/>
      <c r="E53" s="23"/>
      <c r="F53" s="23"/>
      <c r="G53" s="23"/>
      <c r="H53" s="23"/>
    </row>
    <row r="54" customFormat="false" ht="15" hidden="false" customHeight="false" outlineLevel="0" collapsed="false">
      <c r="A54" s="23"/>
      <c r="B54" s="23" t="s">
        <v>804</v>
      </c>
      <c r="C54" s="23"/>
      <c r="D54" s="23"/>
      <c r="E54" s="23"/>
      <c r="F54" s="23"/>
      <c r="G54" s="23"/>
      <c r="H54" s="23" t="s">
        <v>1133</v>
      </c>
    </row>
    <row r="55" customFormat="false" ht="15" hidden="false" customHeight="false" outlineLevel="0" collapsed="false">
      <c r="A55" s="23"/>
      <c r="B55" s="23" t="s">
        <v>591</v>
      </c>
      <c r="C55" s="23"/>
      <c r="D55" s="23"/>
      <c r="E55" s="23"/>
      <c r="F55" s="23"/>
      <c r="G55" s="23"/>
      <c r="H55" s="23" t="s">
        <v>1133</v>
      </c>
    </row>
    <row r="56" customFormat="false" ht="15" hidden="false" customHeight="false" outlineLevel="0" collapsed="false">
      <c r="A56" s="23"/>
      <c r="B56" s="23" t="s">
        <v>652</v>
      </c>
      <c r="C56" s="23"/>
      <c r="D56" s="23"/>
      <c r="E56" s="23"/>
      <c r="F56" s="23"/>
      <c r="G56" s="23"/>
      <c r="H56" s="23" t="s">
        <v>1133</v>
      </c>
    </row>
    <row r="57" customFormat="false" ht="15" hidden="false" customHeight="false" outlineLevel="0" collapsed="false">
      <c r="A57" s="23"/>
      <c r="B57" s="23" t="s">
        <v>1021</v>
      </c>
      <c r="C57" s="23"/>
      <c r="D57" s="23"/>
      <c r="E57" s="23"/>
      <c r="F57" s="23"/>
      <c r="G57" s="23"/>
      <c r="H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  <c r="H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  <c r="H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  <c r="H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  <c r="H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  <c r="H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  <c r="H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  <c r="H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  <c r="H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  <c r="H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  <c r="H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  <c r="H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  <c r="H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  <c r="H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  <c r="H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  <c r="H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  <c r="H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  <c r="H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  <c r="H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  <c r="H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  <c r="H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  <c r="H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  <c r="H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  <c r="H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  <c r="H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  <c r="H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  <c r="H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  <c r="H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  <c r="H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  <c r="H94" s="23"/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  <c r="G95" s="23"/>
      <c r="H95" s="23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  <c r="G96" s="23"/>
      <c r="H96" s="23"/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  <c r="G97" s="23"/>
      <c r="H97" s="23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  <c r="G98" s="23"/>
      <c r="H98" s="23"/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  <c r="G99" s="23"/>
      <c r="H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  <c r="G100" s="23"/>
      <c r="H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  <c r="G101" s="23"/>
      <c r="H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  <c r="G102" s="23"/>
      <c r="H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  <c r="G103" s="23"/>
      <c r="H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  <c r="G104" s="23"/>
      <c r="H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  <c r="G105" s="23"/>
      <c r="H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  <c r="G106" s="23"/>
      <c r="H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  <c r="G107" s="23"/>
      <c r="H107" s="23"/>
    </row>
    <row r="108" customFormat="false" ht="15" hidden="false" customHeight="false" outlineLevel="0" collapsed="false">
      <c r="A108" s="23"/>
      <c r="B108" s="23"/>
      <c r="C108" s="23"/>
      <c r="D108" s="23"/>
      <c r="E108" s="23"/>
      <c r="F108" s="23"/>
      <c r="G108" s="23"/>
      <c r="H108" s="23"/>
    </row>
    <row r="109" customFormat="false" ht="15" hidden="false" customHeight="false" outlineLevel="0" collapsed="false">
      <c r="A109" s="23"/>
      <c r="B109" s="23"/>
      <c r="C109" s="23"/>
      <c r="D109" s="23"/>
      <c r="E109" s="23"/>
      <c r="F109" s="23"/>
      <c r="G109" s="23"/>
      <c r="H109" s="23"/>
    </row>
    <row r="110" customFormat="false" ht="15" hidden="false" customHeight="false" outlineLevel="0" collapsed="false">
      <c r="A110" s="23"/>
      <c r="B110" s="23"/>
      <c r="C110" s="23"/>
      <c r="D110" s="23"/>
      <c r="E110" s="23"/>
      <c r="F110" s="23"/>
      <c r="G110" s="23"/>
      <c r="H110" s="23"/>
    </row>
    <row r="111" customFormat="false" ht="15" hidden="false" customHeight="false" outlineLevel="0" collapsed="false">
      <c r="A111" s="23"/>
      <c r="B111" s="23"/>
      <c r="C111" s="23"/>
      <c r="D111" s="23"/>
      <c r="E111" s="23"/>
      <c r="F111" s="23"/>
      <c r="G111" s="23"/>
      <c r="H111" s="23"/>
    </row>
    <row r="112" customFormat="false" ht="15" hidden="false" customHeight="false" outlineLevel="0" collapsed="false">
      <c r="A112" s="23"/>
      <c r="B112" s="23"/>
      <c r="C112" s="23"/>
      <c r="D112" s="23"/>
      <c r="E112" s="23"/>
      <c r="F112" s="23"/>
      <c r="G112" s="23"/>
      <c r="H112" s="23"/>
    </row>
    <row r="113" customFormat="false" ht="15" hidden="false" customHeight="false" outlineLevel="0" collapsed="false">
      <c r="A113" s="23"/>
      <c r="B113" s="23"/>
      <c r="C113" s="23"/>
      <c r="D113" s="23"/>
      <c r="E113" s="23"/>
      <c r="F113" s="23"/>
      <c r="G113" s="23"/>
      <c r="H113" s="23"/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  <c r="G114" s="23"/>
      <c r="H114" s="23"/>
    </row>
    <row r="115" customFormat="false" ht="15" hidden="false" customHeight="false" outlineLevel="0" collapsed="false">
      <c r="A115" s="23"/>
      <c r="B115" s="23"/>
      <c r="C115" s="23"/>
      <c r="D115" s="23"/>
      <c r="E115" s="23"/>
      <c r="F115" s="23"/>
      <c r="G115" s="23"/>
      <c r="H115" s="23"/>
    </row>
    <row r="116" customFormat="false" ht="15" hidden="false" customHeight="false" outlineLevel="0" collapsed="false">
      <c r="A116" s="23"/>
      <c r="B116" s="23"/>
      <c r="C116" s="23"/>
      <c r="D116" s="23"/>
      <c r="E116" s="23"/>
      <c r="F116" s="23"/>
      <c r="G116" s="23"/>
      <c r="H116" s="23"/>
    </row>
    <row r="117" customFormat="false" ht="15" hidden="false" customHeight="false" outlineLevel="0" collapsed="false">
      <c r="A117" s="23"/>
      <c r="B117" s="23"/>
      <c r="C117" s="23"/>
      <c r="D117" s="23"/>
      <c r="E117" s="23"/>
      <c r="F117" s="23"/>
      <c r="G117" s="23"/>
      <c r="H117" s="23"/>
    </row>
    <row r="118" customFormat="false" ht="15" hidden="false" customHeight="false" outlineLevel="0" collapsed="false">
      <c r="A118" s="23"/>
      <c r="B118" s="23"/>
      <c r="C118" s="23"/>
      <c r="D118" s="23"/>
      <c r="E118" s="23"/>
      <c r="F118" s="23"/>
      <c r="G118" s="23"/>
      <c r="H118" s="23"/>
    </row>
    <row r="119" customFormat="false" ht="15" hidden="false" customHeight="false" outlineLevel="0" collapsed="false">
      <c r="A119" s="23"/>
      <c r="B119" s="23"/>
      <c r="C119" s="23"/>
      <c r="D119" s="23"/>
      <c r="E119" s="23"/>
      <c r="F119" s="23"/>
      <c r="G119" s="23"/>
      <c r="H119" s="23"/>
    </row>
    <row r="120" customFormat="false" ht="15" hidden="false" customHeight="false" outlineLevel="0" collapsed="false">
      <c r="A120" s="23"/>
      <c r="B120" s="23"/>
      <c r="C120" s="23"/>
      <c r="D120" s="23"/>
      <c r="E120" s="23"/>
      <c r="F120" s="23"/>
      <c r="G120" s="23"/>
      <c r="H120" s="2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2026-09-09T14:39:48Z</dcterms:created>
  <dc:creator>openpyxl</dc:creator>
  <dc:description/>
  <dc:language>en-US</dc:language>
  <cp:lastModifiedBy/>
  <dcterms:modified xsi:type="dcterms:W3CDTF">2026-09-09T14:39:54Z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