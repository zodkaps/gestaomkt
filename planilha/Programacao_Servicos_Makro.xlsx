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Aderência!$A$1:$M$112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Programação!$A$1:$U$203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Programação!$A$3:$AI$1004</definedName>
    <definedName function="false" hidden="false" localSheetId="4" name="_xlnm.Print_Area" vbProcedure="false">Semana!$A$1:$N$36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término previsto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6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<sst xmlns="http://schemas.openxmlformats.org/spreadsheetml/2006/main" count="1866" uniqueCount="549">
  <si>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</si>
  <si>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</si>
  <si>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</si>
  <si>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</si>
  <si>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</si>
  <si>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</si>
  <si>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</si>
  <si>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</si>
  <si>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</si>
  <si>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</si>
  <si>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</si>
  <si>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</si>
  <si>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</si>
  <si>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</si>
  <si>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</si>
  <si>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</si>
  <si>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</si>
  <si>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</si>
  <si>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</si>
  <si>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</si>
  <si>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</si>
  <si>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</si>
  <si>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</si>
  <si>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</si>
  <si>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</si>
  <si>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</si>
  <si>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</si>
  <si>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</si>
  <si>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</si>
  <si>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</si>
  <si>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</si>
  <si>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</si>
  <si>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</si>
  <si>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</si>
  <si>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</si>
  <si>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</si>
  <si>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</si>
  <si>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</si>
  <si>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</si>
  <si>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</si>
  <si>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</si>
  <si>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</si>
  <si>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</si>
  <si>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</si>
  <si>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</si>
  <si>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</si>
  <si>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</si>
  <si>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</si>
  <si>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</si>
  <si>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</si>
  <si>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</si>
  <si>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</si>
  <si>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</si>
  <si>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</si>
  <si>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</si>
  <si>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</si>
  <si>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</si>
  <si>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</si>
  <si>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</si>
  <si>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</si>
  <si>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</si>
  <si>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</si>
  <si>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</si>
  <si>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</si>
  <si>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</si>
  <si>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</si>
  <si>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</si>
  <si>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</si>
  <si>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</si>
  <si>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</si>
  <si>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</si>
  <si>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</si>
  <si>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</si>
  <si>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</si>
  <si>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</si>
  <si>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</si>
  <si>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</si>
  <si>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</si>
  <si>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</si>
  <si>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</si>
  <si>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</si>
  <si>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</si>
  <si>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</si>
  <si>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</si>
  <si>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</si>
  <si>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</si>
  <si>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</si>
  <si>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</si>
  <si>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</si>
  <si>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</si>
  <si>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</si>
  <si>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</si>
  <si>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</si>
  <si>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</si>
  <si>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</si>
  <si>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</si>
  <si>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</si>
  <si>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</si>
  <si>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</si>
  <si>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</si>
  <si>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</si>
  <si>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</si>
  <si>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</si>
  <si>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</si>
  <si>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</si>
  <si>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</si>
  <si>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</si>
  <si>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</si>
  <si>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</si>
  <si>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</si>
  <si>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</si>
  <si>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</si>
  <si>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</si>
  <si>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</si>
  <si>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</si>
  <si>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</si>
  <si>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</si>
  <si>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</si>
  <si>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</si>
  <si>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</si>
  <si>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</si>
  <si>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</si>
  <si>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</si>
  <si>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</si>
  <si>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</si>
  <si>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</si>
  <si>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</si>
  <si>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</si>
  <si>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</si>
  <si>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</si>
  <si>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</si>
  <si>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</si>
  <si>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</si>
  <si>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</si>
  <si>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</si>
  <si>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</si>
  <si>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</si>
  <si>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</si>
  <si>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</si>
  <si>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</si>
  <si>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</si>
  <si>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</si>
  <si>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</si>
  <si>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</si>
  <si>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</si>
  <si>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</si>
  <si>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</si>
  <si>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</si>
  <si>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</si>
  <si>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</si>
  <si>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</si>
  <si>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</si>
  <si>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</si>
  <si>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</si>
  <si>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</si>
  <si>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</si>
  <si>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</si>
  <si>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</si>
  <si>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</si>
  <si>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</si>
  <si>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</si>
  <si>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</si>
  <si>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</si>
  <si>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</si>
  <si>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</si>
  <si>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</si>
  <si>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</si>
  <si>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</si>
  <si>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</si>
  <si>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</si>
  <si>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</si>
  <si>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</si>
  <si>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</si>
  <si>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</si>
  <si>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</si>
  <si>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</si>
  <si>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</si>
  <si>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</si>
  <si>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</si>
  <si>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</si>
  <si>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</si>
  <si>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</si>
  <si>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</si>
  <si>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</si>
  <si>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</si>
  <si>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</si>
  <si>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</si>
  <si>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</si>
  <si>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</si>
  <si>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</si>
  <si>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</si>
  <si>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</si>
  <si>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</si>
  <si>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</si>
  <si>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Fim do serviço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</si>
  <si>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</si>
  <si>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</si>
  <si>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</si>
  <si>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</si>
  <si>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</si>
  <si>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</si>
  <si>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</si>
  <si>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</si>
  <si>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</si>
  <si>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</si>
  <si>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</si>
  <si>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</si>
  <si>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</si>
  <si>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</si>
  <si>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</si>
  <si>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</si>
  <si>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</si>
  <si>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Calibração e troca de pneus</t>
  </si>
  <si>
    <t xml:space="preserve">Calibrar e trocar pneus</t>
  </si>
  <si>
    <t xml:space="preserve">021188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</si>
  <si>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</si>
  <si>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</si>
  <si>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</si>
  <si>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</si>
  <si>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</si>
  <si>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</si>
  <si>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</si>
  <si>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</si>
  <si>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</si>
  <si>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</si>
  <si>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</si>
  <si>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</si>
  <si>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</si>
  <si>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</si>
  <si>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</si>
  <si>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</si>
  <si>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</si>
  <si>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</si>
  <si>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</si>
  <si>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</si>
  <si>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</si>
  <si>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</si>
  <si>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</si>
  <si>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</si>
  <si>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</si>
  <si>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</si>
  <si>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</si>
  <si>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</si>
  <si>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</si>
  <si>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</si>
  <si>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</si>
  <si>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</si>
  <si>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</si>
  <si>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</si>
  <si>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</si>
  <si>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</si>
  <si>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</si>
  <si>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</si>
  <si>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</si>
  <si>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</si>
  <si>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</si>
  <si>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</si>
  <si>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</si>
  <si>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</si>
  <si>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</si>
  <si>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21186</t>
  </si>
  <si>
    <t xml:space="preserve">Realizar troca ou calibração dos pneus</t>
  </si>
  <si>
    <t xml:space="preserve">Mudou a prioridade trocado pela frota 1064 e 1065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</si>
  <si>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</si>
  <si>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</si>
  <si>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</si>
  <si>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</si>
  <si>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</si>
  <si>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</si>
  <si>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</si>
  <si>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</si>
  <si>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</si>
  <si>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</si>
  <si>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</si>
  <si>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</si>
  <si>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</si>
  <si>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</si>
  <si>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</si>
  <si>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</si>
  <si>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</si>
  <si>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</si>
  <si>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</si>
  <si>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</si>
  <si>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</si>
  <si>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</si>
  <si>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</si>
  <si>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</si>
  <si>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</si>
  <si>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</si>
  <si>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</si>
  <si>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</si>
  <si>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</si>
  <si>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</si>
  <si>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</si>
  <si>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</si>
  <si>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</si>
  <si>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</si>
  <si>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</si>
  <si>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</si>
  <si>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</si>
  <si>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</si>
  <si>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</si>
  <si>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</si>
  <si>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</si>
  <si>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</si>
  <si>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</si>
  <si>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</si>
  <si>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</si>
  <si>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</si>
  <si>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</si>
  <si>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</si>
  <si>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</si>
  <si>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</si>
  <si>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</si>
  <si>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</si>
  <si>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</si>
  <si>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</si>
  <si>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</si>
  <si>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</si>
  <si>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</si>
  <si>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</si>
  <si>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</si>
  <si>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</si>
  <si>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</si>
  <si>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</si>
  <si>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</si>
  <si>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</si>
  <si>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</si>
  <si>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</si>
  <si>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</si>
  <si>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</si>
  <si>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</si>
  <si>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</si>
  <si>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</si>
  <si>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</si>
  <si>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</si>
  <si>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</si>
  <si>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</si>
  <si>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</si>
  <si>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</si>
  <si>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</si>
  <si>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</si>
  <si>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</si>
  <si>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</si>
  <si>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</si>
  <si>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</si>
  <si>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</si>
  <si>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</si>
  <si>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</si>
  <si>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</si>
  <si>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</si>
  <si>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</si>
  <si>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</si>
  <si>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</si>
  <si>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</si>
  <si>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</si>
  <si>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</si>
  <si>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</si>
  <si>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</si>
  <si>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</si>
  <si>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</si>
  <si>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</si>
  <si>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</si>
  <si>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</si>
  <si>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</si>
  <si>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</si>
  <si>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</si>
  <si>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</si>
  <si>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</si>
  <si>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</si>
  <si>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</si>
  <si>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</si>
  <si>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</si>
  <si>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</si>
  <si>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</si>
  <si>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</si>
  <si>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</si>
  <si>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</si>
  <si>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</si>
  <si>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</si>
  <si>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</si>
  <si>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</si>
  <si>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</si>
  <si>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</si>
  <si>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</si>
  <si>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</si>
  <si>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</si>
  <si>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</si>
  <si>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</si>
  <si>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</si>
  <si>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</si>
  <si>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</si>
  <si>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</si>
  <si>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</si>
  <si>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</si>
  <si>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</si>
  <si>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</si>
  <si>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</si>
  <si>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</si>
  <si>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</si>
  <si>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</si>
  <si>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</si>
  <si>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</si>
  <si>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</si>
  <si>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</si>
  <si>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</si>
  <si>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</si>
  <si>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</si>
  <si>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</si>
  <si>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</si>
  <si>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</si>
  <si>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</si>
  <si>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</si>
  <si>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</si>
  <si>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</si>
  <si>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</si>
  <si>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</si>
  <si>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</si>
  <si>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</si>
  <si>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</si>
  <si>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</si>
  <si>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</si>
  <si>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</si>
  <si>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</si>
  <si>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</si>
  <si>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</si>
  <si>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</si>
  <si>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</si>
  <si>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</si>
  <si>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</si>
  <si>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</si>
  <si>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</si>
  <si>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</si>
  <si>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</si>
  <si>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</si>
  <si>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</si>
  <si>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</si>
  <si>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</si>
  <si>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</si>
  <si>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</si>
  <si>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</si>
  <si>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</si>
  <si>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</si>
  <si>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</si>
  <si>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</si>
  <si>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</si>
  <si>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</si>
  <si>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</si>
  <si>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</si>
  <si>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</si>
  <si>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</si>
  <si>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</si>
  <si>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</si>
  <si>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</si>
  <si>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TROCAR E FERRAR PNEUS</t>
  </si>
  <si>
    <t xml:space="preserve">TROCAR PNEUS E FERRAR</t>
  </si>
  <si>
    <t xml:space="preserve">PRIORIDADE DO KAIRO</t>
  </si>
  <si>
    <t xml:space="preserve">Verificar pendencias</t>
  </si>
  <si>
    <t xml:space="preserve">Chegou do Pará em 31/08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</si>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</sst>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9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40</c:v>
                </c:pt>
                <c:pt idx="1">
                  <c:v>5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34521548"/>
        <c:axId val="74605831"/>
      </c:barChart>
      <c:catAx>
        <c:axId val="345215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4605831"/>
        <c:crosses val="autoZero"/>
        <c:auto val="1"/>
        <c:lblAlgn val="ctr"/>
        <c:lblOffset val="100"/>
        <c:noMultiLvlLbl val="0"/>
      </c:catAx>
      <c:valAx>
        <c:axId val="74605831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45215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5</c:v>
                </c:pt>
                <c:pt idx="1">
                  <c:v>0</c:v>
                </c:pt>
                <c:pt idx="2">
                  <c:v>40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62963722"/>
        <c:axId val="71511948"/>
      </c:barChart>
      <c:catAx>
        <c:axId val="62963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1511948"/>
        <c:crosses val="autoZero"/>
        <c:auto val="1"/>
        <c:lblAlgn val="ctr"/>
        <c:lblOffset val="100"/>
        <c:noMultiLvlLbl val="0"/>
      </c:catAx>
      <c:valAx>
        <c:axId val="7151194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29637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46265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0.508107595975151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46265</v>
      </c>
      <c r="D3" s="9" t="str">
        <f aca="false">IF($C$3="","",TEXT($C$3,"[$-416]dddd"))</f>
        <v>segunda-feira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0</v>
      </c>
      <c r="B6" s="13"/>
      <c r="C6" s="14" t="n">
        <f aca="false">SUMIFS(Programação!$AB$5:$AB$1004,Programação!$P$5:$P$1004,$C$3,Programação!$V$5:$V$1004,"Interna",Programação!$R$5:$R$1004,"&lt;&gt;Cancelada")</f>
        <v>0</v>
      </c>
      <c r="D6" s="15" t="str">
        <f aca="false">IF($A$6=0,"",$C$6/$A$6)</f>
        <v/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37</v>
      </c>
      <c r="G6" s="16"/>
      <c r="H6" s="17" t="n">
        <f aca="false">COUNTIFS(Programação!$P$5:$P$1004,"&lt;"&amp;$C$3,Programação!$AB$5:$AB$1004,0,Programação!$R$5:$R$1004,"&lt;&gt;Cancelada",Programação!$V$5:$V$1004,"Interna")</f>
        <v>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Realizar troca de óleo e filtro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46267</v>
      </c>
      <c r="G10" s="20" t="str">
        <f aca="false">IF($A10="","",IF($H10&lt;&gt;"","Concluída",IF($F10&lt;$C$3,"Atrasada",IF($F10=$C$3,"Fecha neste dia","Em execução"))))</f>
        <v>Concluída</v>
      </c>
      <c r="H10" s="23" t="n">
        <f aca="false">IF($L$3&lt;1,"",IF(INDEX(Programação!$Q$5:$Q$1004,MATCH(1,Programação!$AE$5:$AE$1004,0))="","",INDEX(Programação!$Q$5:$Q$1004,MATCH(1,Programação!$AE$5:$AE$1004,0))))</f>
        <v>46262</v>
      </c>
      <c r="I10" s="20" t="n">
        <f aca="false">IF($L$3&lt;1,"",MATCH(1,Programação!$AE$5:$AE$1004,0)+4)</f>
        <v>23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Diagnosticar e corrigir falha no sistema do motor: temperatura dos gases de escape (serviço interno base Mossoró)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46267</v>
      </c>
      <c r="G11" s="20" t="str">
        <f aca="false">IF($A11="","",IF($H11&lt;&gt;"","Concluída",IF($F11&lt;$C$3,"Atrasada",IF($F11=$C$3,"Fecha neste dia","Em execução"))))</f>
        <v>Em execução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24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Realizar lavagem e sanar vazamento na bomba de direção hidráulica (serviço interno base Mossoró)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46267</v>
      </c>
      <c r="G12" s="20" t="str">
        <f aca="false">IF($A12="","",IF($H12&lt;&gt;"","Concluída",IF($F12&lt;$C$3,"Atrasada",IF($F12=$C$3,"Fecha neste dia","Em execução"))))</f>
        <v>Em execução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26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Sanar vazamento na mangueira da bomba de direção (serviço interno base Mossoró solicitar codigo do tubo original)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46267</v>
      </c>
      <c r="G13" s="20" t="str">
        <f aca="false">IF($A13="","",IF($H13&lt;&gt;"","Concluída",IF($F13&lt;$C$3,"Atrasada",IF($F13=$C$3,"Fecha neste dia","Em execução"))))</f>
        <v>Em execução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27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Corrigir fixação elétrica solta na frente do intercooler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46266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28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Fixar chicote elétrico solto na longarina LD (serviço interno base Mossoró)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Concluída</v>
      </c>
      <c r="H15" s="23" t="n">
        <f aca="false">IF($L$3&lt;6,"",IF(INDEX(Programação!$Q$5:$Q$1004,MATCH(6,Programação!$AE$5:$AE$1004,0))="","",INDEX(Programação!$Q$5:$Q$1004,MATCH(6,Programação!$AE$5:$AE$1004,0))))</f>
        <v>46262</v>
      </c>
      <c r="I15" s="20" t="n">
        <f aca="false">IF($L$3&lt;6,"",MATCH(6,Programação!$AE$5:$AE$1004,0)+4)</f>
        <v>29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Repor acabamento inferior frontal do parachoque (20711859)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Repor vidrala sanefa/carga e corrigir empeno no varão (1628953 peça adaptada)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Corrigir iluminação interna da cabine (serviço interno base Mossoró)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32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Fixar mangueiras soltas na longarina LE (serviço interno base Mossoró)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Concluída</v>
      </c>
      <c r="H19" s="23" t="n">
        <f aca="false">IF($L$3&lt;10,"",IF(INDEX(Programação!$Q$5:$Q$1004,MATCH(10,Programação!$AE$5:$AE$1004,0))="","",INDEX(Programação!$Q$5:$Q$1004,MATCH(10,Programação!$AE$5:$AE$1004,0))))</f>
        <v>46262</v>
      </c>
      <c r="I19" s="20" t="n">
        <f aca="false">IF($L$3&lt;10,"",MATCH(10,Programação!$AE$5:$AE$1004,0)+4)</f>
        <v>33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Preventiva</v>
      </c>
      <c r="C20" s="22" t="str">
        <f aca="false">IF($L$3&lt;11,"",INDEX(Programação!$F$5:$F$1004,MATCH(11,Programação!$AE$5:$AE$1004,0)))</f>
        <v>Motor esguicho</v>
      </c>
      <c r="D20" s="21" t="str">
        <f aca="false">IF($L$3&lt;11,"",INDEX(Programação!$AG$5:$AG$1004,MATCH(11,Programação!$AE$5:$AE$1004,0)))</f>
        <v>Adilton · Gabriel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F-331</v>
      </c>
      <c r="B21" s="21" t="str">
        <f aca="false">IF($L$3&lt;12,"",INDEX(Programação!$E$5:$E$1004,MATCH(12,Programação!$AE$5:$AE$1004,0)))</f>
        <v>Preventiva</v>
      </c>
      <c r="C21" s="22" t="str">
        <f aca="false">IF($L$3&lt;12,"",INDEX(Programação!$F$5:$F$1004,MATCH(12,Programação!$AE$5:$AE$1004,0)))</f>
        <v>Mola gás</v>
      </c>
      <c r="D21" s="21" t="str">
        <f aca="false">IF($L$3&lt;12,"",INDEX(Programação!$AG$5:$AG$1004,MATCH(12,Programação!$AE$5:$AE$1004,0)))</f>
        <v>Adilton · Gabriel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35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F-331</v>
      </c>
      <c r="B22" s="21" t="str">
        <f aca="false">IF($L$3&lt;13,"",INDEX(Programação!$E$5:$E$1004,MATCH(13,Programação!$AE$5:$AE$1004,0)))</f>
        <v>Preventiva</v>
      </c>
      <c r="C22" s="22" t="str">
        <f aca="false">IF($L$3&lt;13,"",INDEX(Programação!$F$5:$F$1004,MATCH(13,Programação!$AE$5:$AE$1004,0)))</f>
        <v>Lamina d'agua</v>
      </c>
      <c r="D22" s="21" t="str">
        <f aca="false">IF($L$3&lt;13,"",INDEX(Programação!$AG$5:$AG$1004,MATCH(13,Programação!$AE$5:$AE$1004,0)))</f>
        <v>Adilton · Gabriel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36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F-331</v>
      </c>
      <c r="B23" s="21" t="str">
        <f aca="false">IF($L$3&lt;14,"",INDEX(Programação!$E$5:$E$1004,MATCH(14,Programação!$AE$5:$AE$1004,0)))</f>
        <v>Preventiva</v>
      </c>
      <c r="C23" s="22" t="str">
        <f aca="false">IF($L$3&lt;14,"",INDEX(Programação!$F$5:$F$1004,MATCH(14,Programação!$AE$5:$AE$1004,0)))</f>
        <v>Mola do pedal</v>
      </c>
      <c r="D23" s="21" t="str">
        <f aca="false">IF($L$3&lt;14,"",INDEX(Programação!$AG$5:$AG$1004,MATCH(14,Programação!$AE$5:$AE$1004,0)))</f>
        <v>Adilton · Gabriel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37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F-331</v>
      </c>
      <c r="B24" s="21" t="str">
        <f aca="false">IF($L$3&lt;15,"",INDEX(Programação!$E$5:$E$1004,MATCH(15,Programação!$AE$5:$AE$1004,0)))</f>
        <v>Preventiva</v>
      </c>
      <c r="C24" s="22" t="str">
        <f aca="false">IF($L$3&lt;15,"",INDEX(Programação!$F$5:$F$1004,MATCH(15,Programação!$AE$5:$AE$1004,0)))</f>
        <v>Interruptor</v>
      </c>
      <c r="D24" s="21" t="str">
        <f aca="false">IF($L$3&lt;15,"",INDEX(Programação!$AG$5:$AG$1004,MATCH(15,Programação!$AE$5:$AE$1004,0)))</f>
        <v>Adilton · Gabriel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38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F-331</v>
      </c>
      <c r="B25" s="21" t="str">
        <f aca="false">IF($L$3&lt;16,"",INDEX(Programação!$E$5:$E$1004,MATCH(16,Programação!$AE$5:$AE$1004,0)))</f>
        <v>Alinhar pneus</v>
      </c>
      <c r="C25" s="22" t="str">
        <f aca="false">IF($L$3&lt;16,"",INDEX(Programação!$F$5:$F$1004,MATCH(16,Programação!$AE$5:$AE$1004,0)))</f>
        <v>Realizar alinhamento</v>
      </c>
      <c r="D25" s="21" t="str">
        <f aca="false">IF($L$3&lt;16,"",INDEX(Programação!$AG$5:$AG$1004,MATCH(16,Programação!$AE$5:$AE$1004,0)))</f>
        <v>Airton · Luiz Paulo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46267</v>
      </c>
      <c r="G25" s="20" t="str">
        <f aca="false">IF($A25="","",IF($H25&lt;&gt;"","Concluída",IF($F25&lt;$C$3,"Atrasada",IF($F25=$C$3,"Fecha neste dia","Em execução"))))</f>
        <v>Em execução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39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Realizar limpeza nos bornes das baterias;</v>
      </c>
      <c r="D26" s="21" t="str">
        <f aca="false">IF($L$3&lt;17,"",INDEX(Programação!$AG$5:$AG$1004,MATCH(17,Programação!$AE$5:$AE$1004,0)))</f>
        <v>Alexandre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46267</v>
      </c>
      <c r="G26" s="20" t="str">
        <f aca="false">IF($A26="","",IF($H26&lt;&gt;"","Concluída",IF($F26&lt;$C$3,"Atrasada",IF($F26=$C$3,"Fecha neste dia","Em execução"))))</f>
        <v>Em execução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44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Fixar farol dianteiro LD, substituir bojo do mesmo avariado e repor acabamento da bomba de bascular;82209849/82056991</v>
      </c>
      <c r="D27" s="21" t="str">
        <f aca="false">IF($L$3&lt;18,"",INDEX(Programação!$AG$5:$AG$1004,MATCH(18,Programação!$AE$5:$AE$1004,0)))</f>
        <v>Alexandre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Em execução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45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Reposicionar lanterna corujinha do teto LE e revisar iluminação;</v>
      </c>
      <c r="D28" s="21" t="str">
        <f aca="false">IF($L$3&lt;19,"",INDEX(Programação!$AG$5:$AG$1004,MATCH(19,Programação!$AE$5:$AE$1004,0)))</f>
        <v>Alexandre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Em execução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46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Diagnosticar e corrigir falhas: ABS e caixa de marchas (embreagem);</v>
      </c>
      <c r="D29" s="21" t="str">
        <f aca="false">IF($L$3&lt;20,"",INDEX(Programação!$AG$5:$AG$1004,MATCH(20,Programação!$AE$5:$AE$1004,0)))</f>
        <v>Alexandre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Em execução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47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Corrigir tacógrafo com dificuldade de visualização do display;</v>
      </c>
      <c r="D30" s="21" t="str">
        <f aca="false">IF($L$3&lt;21,"",INDEX(Programação!$AG$5:$AG$1004,MATCH(21,Programação!$AE$5:$AE$1004,0)))</f>
        <v>Alexandre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Em execução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48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palhetas do limpador de para-brisas (LD não limpa) 8189631(2 UND)</v>
      </c>
      <c r="D31" s="21" t="str">
        <f aca="false">IF($L$3&lt;22,"",INDEX(Programação!$AG$5:$AG$1004,MATCH(22,Programação!$AE$5:$AE$1004,0)))</f>
        <v>Júnior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49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Fixar tubo de escapamento inferior;</v>
      </c>
      <c r="D32" s="21" t="str">
        <f aca="false">IF($L$3&lt;23,"",INDEX(Programação!$AG$5:$AG$1004,MATCH(23,Programação!$AE$5:$AE$1004,0)))</f>
        <v>Júnior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Em execução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50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F-617</v>
      </c>
      <c r="B33" s="21" t="str">
        <f aca="false">IF($L$3&lt;24,"",INDEX(Programação!$E$5:$E$1004,MATCH(24,Programação!$AE$5:$AE$1004,0)))</f>
        <v>Baixa de carteira</v>
      </c>
      <c r="C33" s="22" t="str">
        <f aca="false">IF($L$3&lt;24,"",INDEX(Programação!$F$5:$F$1004,MATCH(24,Programação!$AE$5:$AE$1004,0)))</f>
        <v>Fixar placa dianteira e traseira;</v>
      </c>
      <c r="D33" s="21" t="str">
        <f aca="false">IF($L$3&lt;24,"",INDEX(Programação!$AG$5:$AG$1004,MATCH(24,Programação!$AE$5:$AE$1004,0)))</f>
        <v>Júnior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46267</v>
      </c>
      <c r="G33" s="20" t="str">
        <f aca="false">IF($A33="","",IF($H33&lt;&gt;"","Concluída",IF($F33&lt;$C$3,"Atrasada",IF($F33=$C$3,"Fecha neste dia","Em execução"))))</f>
        <v>Em execução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51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F-617</v>
      </c>
      <c r="B34" s="21" t="str">
        <f aca="false">IF($L$3&lt;25,"",INDEX(Programação!$E$5:$E$1004,MATCH(25,Programação!$AE$5:$AE$1004,0)))</f>
        <v>Baixa de carteira</v>
      </c>
      <c r="C34" s="22" t="str">
        <f aca="false">IF($L$3&lt;25,"",INDEX(Programação!$F$5:$F$1004,MATCH(25,Programação!$AE$5:$AE$1004,0)))</f>
        <v>Fixar retrovisor LD e inferior LE;</v>
      </c>
      <c r="D34" s="21" t="str">
        <f aca="false">IF($L$3&lt;25,"",INDEX(Programação!$AG$5:$AG$1004,MATCH(25,Programação!$AE$5:$AE$1004,0)))</f>
        <v>Júnior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46267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52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F-617</v>
      </c>
      <c r="B35" s="21" t="str">
        <f aca="false">IF($L$3&lt;26,"",INDEX(Programação!$E$5:$E$1004,MATCH(26,Programação!$AE$5:$AE$1004,0)))</f>
        <v>Baixa de carteira</v>
      </c>
      <c r="C35" s="22" t="str">
        <f aca="false">IF($L$3&lt;26,"",INDEX(Programação!$F$5:$F$1004,MATCH(26,Programação!$AE$5:$AE$1004,0)))</f>
        <v>Fixar extensão da porta e saia lateral LD;</v>
      </c>
      <c r="D35" s="21" t="str">
        <f aca="false">IF($L$3&lt;26,"",INDEX(Programação!$AG$5:$AG$1004,MATCH(26,Programação!$AE$5:$AE$1004,0)))</f>
        <v>Júnior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46267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53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F-617</v>
      </c>
      <c r="B36" s="21" t="str">
        <f aca="false">IF($L$3&lt;27,"",INDEX(Programação!$E$5:$E$1004,MATCH(27,Programação!$AE$5:$AE$1004,0)))</f>
        <v>Baixa de carteira</v>
      </c>
      <c r="C36" s="22" t="str">
        <f aca="false">IF($L$3&lt;27,"",INDEX(Programação!$F$5:$F$1004,MATCH(27,Programação!$AE$5:$AE$1004,0)))</f>
        <v>Repor quebra-sol do motorista (está dentro da cabine);</v>
      </c>
      <c r="D36" s="21" t="str">
        <f aca="false">IF($L$3&lt;27,"",INDEX(Programação!$AG$5:$AG$1004,MATCH(27,Programação!$AE$5:$AE$1004,0)))</f>
        <v>Júnior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46267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54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F-617</v>
      </c>
      <c r="B37" s="21" t="str">
        <f aca="false">IF($L$3&lt;28,"",INDEX(Programação!$E$5:$E$1004,MATCH(28,Programação!$AE$5:$AE$1004,0)))</f>
        <v>Baixa de carteira</v>
      </c>
      <c r="C37" s="22" t="str">
        <f aca="false">IF($L$3&lt;28,"",INDEX(Programação!$F$5:$F$1004,MATCH(28,Programação!$AE$5:$AE$1004,0)))</f>
        <v>Substituir junta da tampa de válvulas com vazamento;20538793</v>
      </c>
      <c r="D37" s="21" t="str">
        <f aca="false">IF($L$3&lt;28,"",INDEX(Programação!$AG$5:$AG$1004,MATCH(28,Programação!$AE$5:$AE$1004,0)))</f>
        <v>Júnior</v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46267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55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F-617</v>
      </c>
      <c r="B38" s="21" t="str">
        <f aca="false">IF($L$3&lt;29,"",INDEX(Programação!$E$5:$E$1004,MATCH(29,Programação!$AE$5:$AE$1004,0)))</f>
        <v>Baixa de carteira</v>
      </c>
      <c r="C38" s="22" t="str">
        <f aca="false">IF($L$3&lt;29,"",INDEX(Programação!$F$5:$F$1004,MATCH(29,Programação!$AE$5:$AE$1004,0)))</f>
        <v>Corrigir vazamento na mangueira de arrefecimento do compressor;</v>
      </c>
      <c r="D38" s="21" t="str">
        <f aca="false">IF($L$3&lt;29,"",INDEX(Programação!$AG$5:$AG$1004,MATCH(29,Programação!$AE$5:$AE$1004,0)))</f>
        <v>Júnior</v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46267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56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F-617</v>
      </c>
      <c r="B39" s="21" t="str">
        <f aca="false">IF($L$3&lt;30,"",INDEX(Programação!$E$5:$E$1004,MATCH(30,Programação!$AE$5:$AE$1004,0)))</f>
        <v>Baixa de carteira</v>
      </c>
      <c r="C39" s="22" t="str">
        <f aca="false">IF($L$3&lt;30,"",INDEX(Programação!$F$5:$F$1004,MATCH(30,Programação!$AE$5:$AE$1004,0)))</f>
        <v>Completar óleo hidráulico da direção;</v>
      </c>
      <c r="D39" s="21" t="str">
        <f aca="false">IF($L$3&lt;30,"",INDEX(Programação!$AG$5:$AG$1004,MATCH(30,Programação!$AE$5:$AE$1004,0)))</f>
        <v>Júnior</v>
      </c>
      <c r="E39" s="23" t="n">
        <f aca="false">IF($L$3&lt;30,"",INDEX(Programação!$O$5:$O$1004,MATCH(30,Programação!$AE$5:$AE$1004,0)))</f>
        <v>46265</v>
      </c>
      <c r="F39" s="23" t="n">
        <f aca="false">IF($L$3&lt;30,"",INDEX(Programação!$P$5:$P$1004,MATCH(30,Programação!$AE$5:$AE$1004,0)))</f>
        <v>46267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57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F-617</v>
      </c>
      <c r="B40" s="21" t="str">
        <f aca="false">IF($L$3&lt;31,"",INDEX(Programação!$E$5:$E$1004,MATCH(31,Programação!$AE$5:$AE$1004,0)))</f>
        <v>Baixa de carteira</v>
      </c>
      <c r="C40" s="22" t="str">
        <f aca="false">IF($L$3&lt;31,"",INDEX(Programação!$F$5:$F$1004,MATCH(31,Programação!$AE$5:$AE$1004,0)))</f>
        <v>Substituir copo do filtro racor com vazamento; verificar item em estoque ou realizar pedido 20869391</v>
      </c>
      <c r="D40" s="21" t="str">
        <f aca="false">IF($L$3&lt;31,"",INDEX(Programação!$AG$5:$AG$1004,MATCH(31,Programação!$AE$5:$AE$1004,0)))</f>
        <v>Júnior</v>
      </c>
      <c r="E40" s="23" t="n">
        <f aca="false">IF($L$3&lt;31,"",INDEX(Programação!$O$5:$O$1004,MATCH(31,Programação!$AE$5:$AE$1004,0)))</f>
        <v>46265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Em execução</v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n">
        <f aca="false">IF($L$3&lt;31,"",MATCH(31,Programação!$AE$5:$AE$1004,0)+4)</f>
        <v>58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F-617</v>
      </c>
      <c r="B41" s="21" t="str">
        <f aca="false">IF($L$3&lt;32,"",INDEX(Programação!$E$5:$E$1004,MATCH(32,Programação!$AE$5:$AE$1004,0)))</f>
        <v>Baixa de carteira</v>
      </c>
      <c r="C41" s="22" t="str">
        <f aca="false">IF($L$3&lt;32,"",INDEX(Programação!$F$5:$F$1004,MATCH(32,Programação!$AE$5:$AE$1004,0)))</f>
        <v>Substituir lanterna</v>
      </c>
      <c r="D41" s="21" t="str">
        <f aca="false">IF($L$3&lt;32,"",INDEX(Programação!$AG$5:$AG$1004,MATCH(32,Programação!$AE$5:$AE$1004,0)))</f>
        <v>Alexandre</v>
      </c>
      <c r="E41" s="23" t="n">
        <f aca="false">IF($L$3&lt;32,"",INDEX(Programação!$O$5:$O$1004,MATCH(32,Programação!$AE$5:$AE$1004,0)))</f>
        <v>46265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Em execução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59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F-617</v>
      </c>
      <c r="B42" s="21" t="str">
        <f aca="false">IF($L$3&lt;33,"",INDEX(Programação!$E$5:$E$1004,MATCH(33,Programação!$AE$5:$AE$1004,0)))</f>
        <v>Baixa de carteira</v>
      </c>
      <c r="C42" s="22" t="str">
        <f aca="false">IF($L$3&lt;33,"",INDEX(Programação!$F$5:$F$1004,MATCH(33,Programação!$AE$5:$AE$1004,0)))</f>
        <v>Substituir chicote eletrico</v>
      </c>
      <c r="D42" s="21" t="str">
        <f aca="false">IF($L$3&lt;33,"",INDEX(Programação!$AG$5:$AG$1004,MATCH(33,Programação!$AE$5:$AE$1004,0)))</f>
        <v>Alexandre</v>
      </c>
      <c r="E42" s="23" t="n">
        <f aca="false">IF($L$3&lt;33,"",INDEX(Programação!$O$5:$O$1004,MATCH(33,Programação!$AE$5:$AE$1004,0)))</f>
        <v>46265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Em execução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60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Baixa de pendências backlog</v>
      </c>
      <c r="C43" s="22" t="str">
        <f aca="false">IF($L$3&lt;34,"",INDEX(Programação!$F$5:$F$1004,MATCH(34,Programação!$AE$5:$AE$1004,0)))</f>
        <v>Completar nível de óleo do motor e corrigir vazamentos no mesmo (OS ABRIR OS · serviço interno Matriz)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46265</v>
      </c>
      <c r="F43" s="23" t="n">
        <f aca="false">IF($L$3&lt;34,"",INDEX(Programação!$P$5:$P$1004,MATCH(34,Programação!$AE$5:$AE$1004,0)))</f>
        <v>46267</v>
      </c>
      <c r="G43" s="20" t="str">
        <f aca="false">IF($A43="","",IF($H43&lt;&gt;"","Concluída",IF($F43&lt;$C$3,"Atrasada",IF($F43=$C$3,"Fecha neste dia","Em execução"))))</f>
        <v>Em execução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92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Baixa de pendências backlog</v>
      </c>
      <c r="C44" s="22" t="str">
        <f aca="false">IF($L$3&lt;35,"",INDEX(Programação!$F$5:$F$1004,MATCH(35,Programação!$AE$5:$AE$1004,0)))</f>
        <v>Substituir junta da tampa de válvulas com vazamento (OS 7157 · 20804638 (junta motor D11))</v>
      </c>
      <c r="D44" s="21" t="str">
        <f aca="false">IF($L$3&lt;35,"",INDEX(Programação!$AG$5:$AG$1004,MATCH(35,Programação!$AE$5:$AE$1004,0)))</f>
        <v>Heliton</v>
      </c>
      <c r="E44" s="23" t="n">
        <f aca="false">IF($L$3&lt;35,"",INDEX(Programação!$O$5:$O$1004,MATCH(35,Programação!$AE$5:$AE$1004,0)))</f>
        <v>46265</v>
      </c>
      <c r="F44" s="23" t="n">
        <f aca="false">IF($L$3&lt;35,"",INDEX(Programação!$P$5:$P$1004,MATCH(35,Programação!$AE$5:$AE$1004,0)))</f>
        <v>46267</v>
      </c>
      <c r="G44" s="20" t="str">
        <f aca="false">IF($A44="","",IF($H44&lt;&gt;"","Concluída",IF($F44&lt;$C$3,"Atrasada",IF($F44=$C$3,"Fecha neste dia","Em execução"))))</f>
        <v>Em execução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93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F-815</v>
      </c>
      <c r="B45" s="21" t="str">
        <f aca="false">IF($L$3&lt;36,"",INDEX(Programação!$E$5:$E$1004,MATCH(36,Programação!$AE$5:$AE$1004,0)))</f>
        <v>Baixa de pendências backlog</v>
      </c>
      <c r="C45" s="22" t="str">
        <f aca="false">IF($L$3&lt;36,"",INDEX(Programação!$F$5:$F$1004,MATCH(36,Programação!$AE$5:$AE$1004,0)))</f>
        <v>Substituir chave geral avariada (OS 7158 · 21243844)</v>
      </c>
      <c r="D45" s="21" t="str">
        <f aca="false">IF($L$3&lt;36,"",INDEX(Programação!$AG$5:$AG$1004,MATCH(36,Programação!$AE$5:$AE$1004,0)))</f>
        <v>Heliton</v>
      </c>
      <c r="E45" s="23" t="n">
        <f aca="false">IF($L$3&lt;36,"",INDEX(Programação!$O$5:$O$1004,MATCH(36,Programação!$AE$5:$AE$1004,0)))</f>
        <v>46265</v>
      </c>
      <c r="F45" s="23" t="n">
        <f aca="false">IF($L$3&lt;36,"",INDEX(Programação!$P$5:$P$1004,MATCH(36,Programação!$AE$5:$AE$1004,0)))</f>
        <v>46267</v>
      </c>
      <c r="G45" s="20" t="str">
        <f aca="false">IF($A45="","",IF($H45&lt;&gt;"","Concluída",IF($F45&lt;$C$3,"Atrasada",IF($F45=$C$3,"Fecha neste dia","Em execução"))))</f>
        <v>Em execução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101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F-815</v>
      </c>
      <c r="B46" s="21" t="str">
        <f aca="false">IF($L$3&lt;37,"",INDEX(Programação!$E$5:$E$1004,MATCH(37,Programação!$AE$5:$AE$1004,0)))</f>
        <v>Baixa de pendências backlog</v>
      </c>
      <c r="C46" s="22" t="str">
        <f aca="false">IF($L$3&lt;37,"",INDEX(Programação!$F$5:$F$1004,MATCH(37,Programação!$AE$5:$AE$1004,0)))</f>
        <v>Repor tampa de proteção das tomadas frontais (erraque) LD (OS 7159 · 20410141)</v>
      </c>
      <c r="D46" s="21" t="str">
        <f aca="false">IF($L$3&lt;37,"",INDEX(Programação!$AG$5:$AG$1004,MATCH(37,Programação!$AE$5:$AE$1004,0)))</f>
        <v>Heliton</v>
      </c>
      <c r="E46" s="23" t="n">
        <f aca="false">IF($L$3&lt;37,"",INDEX(Programação!$O$5:$O$1004,MATCH(37,Programação!$AE$5:$AE$1004,0)))</f>
        <v>46265</v>
      </c>
      <c r="F46" s="23" t="n">
        <f aca="false">IF($L$3&lt;37,"",INDEX(Programação!$P$5:$P$1004,MATCH(37,Programação!$AE$5:$AE$1004,0)))</f>
        <v>46267</v>
      </c>
      <c r="G46" s="20" t="str">
        <f aca="false">IF($A46="","",IF($H46&lt;&gt;"","Concluída",IF($F46&lt;$C$3,"Atrasada",IF($F46=$C$3,"Fecha neste dia","Em execução"))))</f>
        <v>Em execução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102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F-815</v>
      </c>
      <c r="B47" s="21" t="str">
        <f aca="false">IF($L$3&lt;38,"",INDEX(Programação!$E$5:$E$1004,MATCH(38,Programação!$AE$5:$AE$1004,0)))</f>
        <v>Baixa de pendências backlog</v>
      </c>
      <c r="C47" s="22" t="str">
        <f aca="false">IF($L$3&lt;38,"",INDEX(Programação!$F$5:$F$1004,MATCH(38,Programação!$AE$5:$AE$1004,0)))</f>
        <v>Substituir amortecedor dianteiro da cabine LD com desgaste nas buchas, apresentando ruído "ferro com ferro" ao movimentar a mesma (OS</v>
      </c>
      <c r="D47" s="21" t="str">
        <f aca="false">IF($L$3&lt;38,"",INDEX(Programação!$AG$5:$AG$1004,MATCH(38,Programação!$AE$5:$AE$1004,0)))</f>
        <v>Heliton</v>
      </c>
      <c r="E47" s="23" t="n">
        <f aca="false">IF($L$3&lt;38,"",INDEX(Programação!$O$5:$O$1004,MATCH(38,Programação!$AE$5:$AE$1004,0)))</f>
        <v>46265</v>
      </c>
      <c r="F47" s="23" t="n">
        <f aca="false">IF($L$3&lt;38,"",INDEX(Programação!$P$5:$P$1004,MATCH(38,Programação!$AE$5:$AE$1004,0)))</f>
        <v>46267</v>
      </c>
      <c r="G47" s="20" t="str">
        <f aca="false">IF($A47="","",IF($H47&lt;&gt;"","Concluída",IF($F47&lt;$C$3,"Atrasada",IF($F47=$C$3,"Fecha neste dia","Em execução"))))</f>
        <v>Em execução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107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F-815</v>
      </c>
      <c r="B48" s="21" t="str">
        <f aca="false">IF($L$3&lt;39,"",INDEX(Programação!$E$5:$E$1004,MATCH(39,Programação!$AE$5:$AE$1004,0)))</f>
        <v>Baixa de pendências backlog</v>
      </c>
      <c r="C48" s="22" t="str">
        <f aca="false">IF($L$3&lt;39,"",INDEX(Programação!$F$5:$F$1004,MATCH(39,Programação!$AE$5:$AE$1004,0)))</f>
        <v>Substituir vedação da tampa do cubo de roda dianteiro LD (OS 7161 · 3986189)</v>
      </c>
      <c r="D48" s="21" t="str">
        <f aca="false">IF($L$3&lt;39,"",INDEX(Programação!$AG$5:$AG$1004,MATCH(39,Programação!$AE$5:$AE$1004,0)))</f>
        <v>Heliton</v>
      </c>
      <c r="E48" s="23" t="n">
        <f aca="false">IF($L$3&lt;39,"",INDEX(Programação!$O$5:$O$1004,MATCH(39,Programação!$AE$5:$AE$1004,0)))</f>
        <v>46265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Em execução</v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n">
        <f aca="false">IF($L$3&lt;39,"",MATCH(39,Programação!$AE$5:$AE$1004,0)+4)</f>
        <v>109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F-815</v>
      </c>
      <c r="B49" s="21" t="str">
        <f aca="false">IF($L$3&lt;40,"",INDEX(Programação!$E$5:$E$1004,MATCH(40,Programação!$AE$5:$AE$1004,0)))</f>
        <v>Baixa de pendências backlog</v>
      </c>
      <c r="C49" s="22" t="str">
        <f aca="false">IF($L$3&lt;40,"",INDEX(Programação!$F$5:$F$1004,MATCH(40,Programação!$AE$5:$AE$1004,0)))</f>
        <v>Substituir flexível do escapamento avariado, evitando danificar mangueiras e chicotes (OS 7162 · 20442244)</v>
      </c>
      <c r="D49" s="21" t="str">
        <f aca="false">IF($L$3&lt;40,"",INDEX(Programação!$AG$5:$AG$1004,MATCH(40,Programação!$AE$5:$AE$1004,0)))</f>
        <v>Heliton</v>
      </c>
      <c r="E49" s="23" t="n">
        <f aca="false">IF($L$3&lt;40,"",INDEX(Programação!$O$5:$O$1004,MATCH(40,Programação!$AE$5:$AE$1004,0)))</f>
        <v>46265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Em execução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111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F-815</v>
      </c>
      <c r="B50" s="21" t="str">
        <f aca="false">IF($L$3&lt;41,"",INDEX(Programação!$E$5:$E$1004,MATCH(41,Programação!$AE$5:$AE$1004,0)))</f>
        <v>Baixa de pendências backlog</v>
      </c>
      <c r="C50" s="22" t="str">
        <f aca="false">IF($L$3&lt;41,"",INDEX(Programação!$F$5:$F$1004,MATCH(41,Programação!$AE$5:$AE$1004,0)))</f>
        <v>Repor tampa do reservatório do limpador de parabrisas (OS 7164 · 24425399)</v>
      </c>
      <c r="D50" s="21" t="str">
        <f aca="false">IF($L$3&lt;41,"",INDEX(Programação!$AG$5:$AG$1004,MATCH(41,Programação!$AE$5:$AE$1004,0)))</f>
        <v>Heliton</v>
      </c>
      <c r="E50" s="23" t="n">
        <f aca="false">IF($L$3&lt;41,"",INDEX(Programação!$O$5:$O$1004,MATCH(41,Programação!$AE$5:$AE$1004,0)))</f>
        <v>46265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Em execução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115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/>
      </c>
      <c r="B59" s="21" t="str">
        <f aca="false">IF($L$4&lt;1,"",INDEX(Programação!$E$5:$E$1004,MATCH(1,Programação!$AF$5:$AF$1004,0)))</f>
        <v/>
      </c>
      <c r="C59" s="22" t="str">
        <f aca="false">IF($L$4&lt;1,"",INDEX(Programação!$F$5:$F$1004,MATCH(1,Programação!$AF$5:$AF$1004,0)))</f>
        <v/>
      </c>
      <c r="D59" s="21" t="str">
        <f aca="false">IF($L$4&lt;1,"",INDEX(Programação!$AG$5:$AG$1004,MATCH(1,Programação!$AF$5:$AF$1004,0)))</f>
        <v/>
      </c>
      <c r="E59" s="23" t="str">
        <f aca="false">IF($L$4&lt;1,"",INDEX(Programação!$O$5:$O$1004,MATCH(1,Programação!$AF$5:$AF$1004,0)))</f>
        <v/>
      </c>
      <c r="F59" s="23" t="str">
        <f aca="false">IF($L$4&lt;1,"",INDEX(Programação!$P$5:$P$1004,MATCH(1,Programação!$AF$5:$AF$1004,0)))</f>
        <v/>
      </c>
      <c r="G59" s="20" t="str">
        <f aca="false">IF($A59="","",IF($H59&lt;&gt;"","Concluída",IF($F59&lt;$C$3,"Atrasada",IF($F59=$C$3,"Fecha neste dia","Em execução"))))</f>
        <v/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str">
        <f aca="false">IF($L$4&lt;1,"",MATCH(1,Programação!$AF$5:$AF$1004,0)+4)</f>
        <v/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/>
      </c>
      <c r="B60" s="21" t="str">
        <f aca="false">IF($L$4&lt;2,"",INDEX(Programação!$E$5:$E$1004,MATCH(2,Programação!$AF$5:$AF$1004,0)))</f>
        <v/>
      </c>
      <c r="C60" s="22" t="str">
        <f aca="false">IF($L$4&lt;2,"",INDEX(Programação!$F$5:$F$1004,MATCH(2,Programação!$AF$5:$AF$1004,0)))</f>
        <v/>
      </c>
      <c r="D60" s="21" t="str">
        <f aca="false">IF($L$4&lt;2,"",INDEX(Programação!$AG$5:$AG$1004,MATCH(2,Programação!$AF$5:$AF$1004,0)))</f>
        <v/>
      </c>
      <c r="E60" s="23" t="str">
        <f aca="false">IF($L$4&lt;2,"",INDEX(Programação!$O$5:$O$1004,MATCH(2,Programação!$AF$5:$AF$1004,0)))</f>
        <v/>
      </c>
      <c r="F60" s="23" t="str">
        <f aca="false">IF($L$4&lt;2,"",INDEX(Programação!$P$5:$P$1004,MATCH(2,Programação!$AF$5:$AF$1004,0)))</f>
        <v/>
      </c>
      <c r="G60" s="20" t="str">
        <f aca="false">IF($A60="","",IF($H60&lt;&gt;"","Concluída",IF($F60&lt;$C$3,"Atrasada",IF($F60=$C$3,"Fecha neste dia","Em execução"))))</f>
        <v/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str">
        <f aca="false">IF($L$4&lt;2,"",MATCH(2,Programação!$AF$5:$AF$1004,0)+4)</f>
        <v/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/>
      </c>
      <c r="B61" s="21" t="str">
        <f aca="false">IF($L$4&lt;3,"",INDEX(Programação!$E$5:$E$1004,MATCH(3,Programação!$AF$5:$AF$1004,0)))</f>
        <v/>
      </c>
      <c r="C61" s="22" t="str">
        <f aca="false">IF($L$4&lt;3,"",INDEX(Programação!$F$5:$F$1004,MATCH(3,Programação!$AF$5:$AF$1004,0)))</f>
        <v/>
      </c>
      <c r="D61" s="21" t="str">
        <f aca="false">IF($L$4&lt;3,"",INDEX(Programação!$AG$5:$AG$1004,MATCH(3,Programação!$AF$5:$AF$1004,0)))</f>
        <v/>
      </c>
      <c r="E61" s="23" t="str">
        <f aca="false">IF($L$4&lt;3,"",INDEX(Programação!$O$5:$O$1004,MATCH(3,Programação!$AF$5:$AF$1004,0)))</f>
        <v/>
      </c>
      <c r="F61" s="23" t="str">
        <f aca="false">IF($L$4&lt;3,"",INDEX(Programação!$P$5:$P$1004,MATCH(3,Programação!$AF$5:$AF$1004,0)))</f>
        <v/>
      </c>
      <c r="G61" s="20" t="str">
        <f aca="false">IF($A61="","",IF($H61&lt;&gt;"","Concluída",IF($F61&lt;$C$3,"Atrasada",IF($F61=$C$3,"Fecha neste dia","Em execução"))))</f>
        <v/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str">
        <f aca="false">IF($L$4&lt;3,"",MATCH(3,Programação!$AF$5:$AF$1004,0)+4)</f>
        <v/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/>
      </c>
      <c r="B62" s="21" t="str">
        <f aca="false">IF($L$4&lt;4,"",INDEX(Programação!$E$5:$E$1004,MATCH(4,Programação!$AF$5:$AF$1004,0)))</f>
        <v/>
      </c>
      <c r="C62" s="22" t="str">
        <f aca="false">IF($L$4&lt;4,"",INDEX(Programação!$F$5:$F$1004,MATCH(4,Programação!$AF$5:$AF$1004,0)))</f>
        <v/>
      </c>
      <c r="D62" s="21" t="str">
        <f aca="false">IF($L$4&lt;4,"",INDEX(Programação!$AG$5:$AG$1004,MATCH(4,Programação!$AF$5:$AF$1004,0)))</f>
        <v/>
      </c>
      <c r="E62" s="23" t="str">
        <f aca="false">IF($L$4&lt;4,"",INDEX(Programação!$O$5:$O$1004,MATCH(4,Programação!$AF$5:$AF$1004,0)))</f>
        <v/>
      </c>
      <c r="F62" s="23" t="str">
        <f aca="false">IF($L$4&lt;4,"",INDEX(Programação!$P$5:$P$1004,MATCH(4,Programação!$AF$5:$AF$1004,0)))</f>
        <v/>
      </c>
      <c r="G62" s="20" t="str">
        <f aca="false">IF($A62="","",IF($H62&lt;&gt;"","Concluída",IF($F62&lt;$C$3,"Atrasada",IF($F62=$C$3,"Fecha neste dia","Em execução"))))</f>
        <v/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str">
        <f aca="false">IF($L$4&lt;4,"",MATCH(4,Programação!$AF$5:$AF$1004,0)+4)</f>
        <v/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/>
      </c>
      <c r="B63" s="21" t="str">
        <f aca="false">IF($L$4&lt;5,"",INDEX(Programação!$E$5:$E$1004,MATCH(5,Programação!$AF$5:$AF$1004,0)))</f>
        <v/>
      </c>
      <c r="C63" s="22" t="str">
        <f aca="false">IF($L$4&lt;5,"",INDEX(Programação!$F$5:$F$1004,MATCH(5,Programação!$AF$5:$AF$1004,0)))</f>
        <v/>
      </c>
      <c r="D63" s="21" t="str">
        <f aca="false">IF($L$4&lt;5,"",INDEX(Programação!$AG$5:$AG$1004,MATCH(5,Programação!$AF$5:$AF$1004,0)))</f>
        <v/>
      </c>
      <c r="E63" s="23" t="str">
        <f aca="false">IF($L$4&lt;5,"",INDEX(Programação!$O$5:$O$1004,MATCH(5,Programação!$AF$5:$AF$1004,0)))</f>
        <v/>
      </c>
      <c r="F63" s="23" t="str">
        <f aca="false">IF($L$4&lt;5,"",INDEX(Programação!$P$5:$P$1004,MATCH(5,Programação!$AF$5:$AF$1004,0)))</f>
        <v/>
      </c>
      <c r="G63" s="20" t="str">
        <f aca="false">IF($A63="","",IF($H63&lt;&gt;"","Concluída",IF($F63&lt;$C$3,"Atrasada",IF($F63=$C$3,"Fecha neste dia","Em execução"))))</f>
        <v/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str">
        <f aca="false">IF($L$4&lt;5,"",MATCH(5,Programação!$AF$5:$AF$1004,0)+4)</f>
        <v/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/>
      </c>
      <c r="B64" s="21" t="str">
        <f aca="false">IF($L$4&lt;6,"",INDEX(Programação!$E$5:$E$1004,MATCH(6,Programação!$AF$5:$AF$1004,0)))</f>
        <v/>
      </c>
      <c r="C64" s="22" t="str">
        <f aca="false">IF($L$4&lt;6,"",INDEX(Programação!$F$5:$F$1004,MATCH(6,Programação!$AF$5:$AF$1004,0)))</f>
        <v/>
      </c>
      <c r="D64" s="21" t="str">
        <f aca="false">IF($L$4&lt;6,"",INDEX(Programação!$AG$5:$AG$1004,MATCH(6,Programação!$AF$5:$AF$1004,0)))</f>
        <v/>
      </c>
      <c r="E64" s="23" t="str">
        <f aca="false">IF($L$4&lt;6,"",INDEX(Programação!$O$5:$O$1004,MATCH(6,Programação!$AF$5:$AF$1004,0)))</f>
        <v/>
      </c>
      <c r="F64" s="23" t="str">
        <f aca="false">IF($L$4&lt;6,"",INDEX(Programação!$P$5:$P$1004,MATCH(6,Programação!$AF$5:$AF$1004,0)))</f>
        <v/>
      </c>
      <c r="G64" s="20" t="str">
        <f aca="false">IF($A64="","",IF($H64&lt;&gt;"","Concluída",IF($F64&lt;$C$3,"Atrasada",IF($F64=$C$3,"Fecha neste dia","Em execução"))))</f>
        <v/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str">
        <f aca="false">IF($L$4&lt;6,"",MATCH(6,Programação!$AF$5:$AF$1004,0)+4)</f>
        <v/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/>
      </c>
      <c r="B65" s="21" t="str">
        <f aca="false">IF($L$4&lt;7,"",INDEX(Programação!$E$5:$E$1004,MATCH(7,Programação!$AF$5:$AF$1004,0)))</f>
        <v/>
      </c>
      <c r="C65" s="22" t="str">
        <f aca="false">IF($L$4&lt;7,"",INDEX(Programação!$F$5:$F$1004,MATCH(7,Programação!$AF$5:$AF$1004,0)))</f>
        <v/>
      </c>
      <c r="D65" s="21" t="str">
        <f aca="false">IF($L$4&lt;7,"",INDEX(Programação!$AG$5:$AG$1004,MATCH(7,Programação!$AF$5:$AF$1004,0)))</f>
        <v/>
      </c>
      <c r="E65" s="23" t="str">
        <f aca="false">IF($L$4&lt;7,"",INDEX(Programação!$O$5:$O$1004,MATCH(7,Programação!$AF$5:$AF$1004,0)))</f>
        <v/>
      </c>
      <c r="F65" s="23" t="str">
        <f aca="false">IF($L$4&lt;7,"",INDEX(Programação!$P$5:$P$1004,MATCH(7,Programação!$AF$5:$AF$1004,0)))</f>
        <v/>
      </c>
      <c r="G65" s="20" t="str">
        <f aca="false">IF($A65="","",IF($H65&lt;&gt;"","Concluída",IF($F65&lt;$C$3,"Atrasada",IF($F65=$C$3,"Fecha neste dia","Em execução"))))</f>
        <v/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str">
        <f aca="false">IF($L$4&lt;7,"",MATCH(7,Programação!$AF$5:$AF$1004,0)+4)</f>
        <v/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/>
      </c>
      <c r="B66" s="21" t="str">
        <f aca="false">IF($L$4&lt;8,"",INDEX(Programação!$E$5:$E$1004,MATCH(8,Programação!$AF$5:$AF$1004,0)))</f>
        <v/>
      </c>
      <c r="C66" s="22" t="str">
        <f aca="false">IF($L$4&lt;8,"",INDEX(Programação!$F$5:$F$1004,MATCH(8,Programação!$AF$5:$AF$1004,0)))</f>
        <v/>
      </c>
      <c r="D66" s="21" t="str">
        <f aca="false">IF($L$4&lt;8,"",INDEX(Programação!$AG$5:$AG$1004,MATCH(8,Programação!$AF$5:$AF$1004,0)))</f>
        <v/>
      </c>
      <c r="E66" s="23" t="str">
        <f aca="false">IF($L$4&lt;8,"",INDEX(Programação!$O$5:$O$1004,MATCH(8,Programação!$AF$5:$AF$1004,0)))</f>
        <v/>
      </c>
      <c r="F66" s="23" t="str">
        <f aca="false">IF($L$4&lt;8,"",INDEX(Programação!$P$5:$P$1004,MATCH(8,Programação!$AF$5:$AF$1004,0)))</f>
        <v/>
      </c>
      <c r="G66" s="20" t="str">
        <f aca="false">IF($A66="","",IF($H66&lt;&gt;"","Concluída",IF($F66&lt;$C$3,"Atrasada",IF($F66=$C$3,"Fecha neste dia","Em execução"))))</f>
        <v/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str">
        <f aca="false">IF($L$4&lt;8,"",MATCH(8,Programação!$AF$5:$AF$1004,0)+4)</f>
        <v/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/>
      </c>
      <c r="B67" s="21" t="str">
        <f aca="false">IF($L$4&lt;9,"",INDEX(Programação!$E$5:$E$1004,MATCH(9,Programação!$AF$5:$AF$1004,0)))</f>
        <v/>
      </c>
      <c r="C67" s="22" t="str">
        <f aca="false">IF($L$4&lt;9,"",INDEX(Programação!$F$5:$F$1004,MATCH(9,Programação!$AF$5:$AF$1004,0)))</f>
        <v/>
      </c>
      <c r="D67" s="21" t="str">
        <f aca="false">IF($L$4&lt;9,"",INDEX(Programação!$AG$5:$AG$1004,MATCH(9,Programação!$AF$5:$AF$1004,0)))</f>
        <v/>
      </c>
      <c r="E67" s="23" t="str">
        <f aca="false">IF($L$4&lt;9,"",INDEX(Programação!$O$5:$O$1004,MATCH(9,Programação!$AF$5:$AF$1004,0)))</f>
        <v/>
      </c>
      <c r="F67" s="23" t="str">
        <f aca="false">IF($L$4&lt;9,"",INDEX(Programação!$P$5:$P$1004,MATCH(9,Programação!$AF$5:$AF$1004,0)))</f>
        <v/>
      </c>
      <c r="G67" s="20" t="str">
        <f aca="false">IF($A67="","",IF($H67&lt;&gt;"","Concluída",IF($F67&lt;$C$3,"Atrasada",IF($F67=$C$3,"Fecha neste dia","Em execução"))))</f>
        <v/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str">
        <f aca="false">IF($L$4&lt;9,"",MATCH(9,Programação!$AF$5:$AF$1004,0)+4)</f>
        <v/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/>
      </c>
      <c r="B68" s="21" t="str">
        <f aca="false">IF($L$4&lt;10,"",INDEX(Programação!$E$5:$E$1004,MATCH(10,Programação!$AF$5:$AF$1004,0)))</f>
        <v/>
      </c>
      <c r="C68" s="22" t="str">
        <f aca="false">IF($L$4&lt;10,"",INDEX(Programação!$F$5:$F$1004,MATCH(10,Programação!$AF$5:$AF$1004,0)))</f>
        <v/>
      </c>
      <c r="D68" s="21" t="str">
        <f aca="false">IF($L$4&lt;10,"",INDEX(Programação!$AG$5:$AG$1004,MATCH(10,Programação!$AF$5:$AF$1004,0)))</f>
        <v/>
      </c>
      <c r="E68" s="23" t="str">
        <f aca="false">IF($L$4&lt;10,"",INDEX(Programação!$O$5:$O$1004,MATCH(10,Programação!$AF$5:$AF$1004,0)))</f>
        <v/>
      </c>
      <c r="F68" s="23" t="str">
        <f aca="false">IF($L$4&lt;10,"",INDEX(Programação!$P$5:$P$1004,MATCH(10,Programação!$AF$5:$AF$1004,0)))</f>
        <v/>
      </c>
      <c r="G68" s="20" t="str">
        <f aca="false">IF($A68="","",IF($H68&lt;&gt;"","Concluída",IF($F68&lt;$C$3,"Atrasada",IF($F68=$C$3,"Fecha neste dia","Em execução"))))</f>
        <v/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str">
        <f aca="false">IF($L$4&lt;10,"",MATCH(10,Programação!$AF$5:$AF$1004,0)+4)</f>
        <v/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/>
      <c r="B17" s="21" t="s">
        <v>155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156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157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158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159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160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161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162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163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164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165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166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167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168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169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170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171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172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173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174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175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176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177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I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5" min="22" style="0" width="12"/>
  </cols>
  <sheetData>
    <row r="1" customFormat="false" ht="30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8" hidden="false" customHeight="true" outlineLevel="0" collapsed="false">
      <c r="A2" s="50" t="s">
        <v>179</v>
      </c>
      <c r="B2" s="50"/>
      <c r="C2" s="51" t="s">
        <v>180</v>
      </c>
      <c r="D2" s="51"/>
      <c r="E2" s="51"/>
      <c r="F2" s="51"/>
      <c r="G2" s="51"/>
      <c r="H2" s="51"/>
      <c r="I2" s="52" t="s">
        <v>181</v>
      </c>
      <c r="J2" s="52"/>
      <c r="K2" s="52"/>
      <c r="L2" s="53" t="s">
        <v>182</v>
      </c>
      <c r="M2" s="53"/>
      <c r="N2" s="53"/>
      <c r="O2" s="50" t="s">
        <v>179</v>
      </c>
      <c r="P2" s="50"/>
      <c r="Q2" s="54" t="s">
        <v>183</v>
      </c>
      <c r="R2" s="54"/>
      <c r="S2" s="54"/>
      <c r="T2" s="54"/>
      <c r="U2" s="54"/>
      <c r="V2" s="50" t="s">
        <v>184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</row>
    <row r="3" customFormat="false" ht="31.5" hidden="false" customHeight="true" outlineLevel="0" collapsed="false">
      <c r="A3" s="19" t="s">
        <v>185</v>
      </c>
      <c r="B3" s="19" t="s">
        <v>20</v>
      </c>
      <c r="C3" s="55" t="s">
        <v>186</v>
      </c>
      <c r="D3" s="55" t="s">
        <v>14</v>
      </c>
      <c r="E3" s="55" t="s">
        <v>15</v>
      </c>
      <c r="F3" s="55" t="s">
        <v>16</v>
      </c>
      <c r="G3" s="55" t="s">
        <v>187</v>
      </c>
      <c r="H3" s="55" t="s">
        <v>188</v>
      </c>
      <c r="I3" s="55" t="s">
        <v>189</v>
      </c>
      <c r="J3" s="55" t="s">
        <v>190</v>
      </c>
      <c r="K3" s="55" t="s">
        <v>191</v>
      </c>
      <c r="L3" s="55" t="s">
        <v>192</v>
      </c>
      <c r="M3" s="55" t="s">
        <v>107</v>
      </c>
      <c r="N3" s="55" t="s">
        <v>193</v>
      </c>
      <c r="O3" s="19" t="s">
        <v>18</v>
      </c>
      <c r="P3" s="19" t="s">
        <v>194</v>
      </c>
      <c r="Q3" s="55" t="s">
        <v>21</v>
      </c>
      <c r="R3" s="55" t="s">
        <v>105</v>
      </c>
      <c r="S3" s="55" t="s">
        <v>195</v>
      </c>
      <c r="T3" s="55" t="s">
        <v>196</v>
      </c>
      <c r="U3" s="55" t="s">
        <v>197</v>
      </c>
      <c r="V3" s="19" t="s">
        <v>198</v>
      </c>
      <c r="W3" s="19" t="s">
        <v>199</v>
      </c>
      <c r="X3" s="19" t="s">
        <v>200</v>
      </c>
      <c r="Y3" s="19" t="s">
        <v>201</v>
      </c>
      <c r="Z3" s="19" t="s">
        <v>202</v>
      </c>
      <c r="AA3" s="19" t="s">
        <v>203</v>
      </c>
      <c r="AB3" s="19" t="s">
        <v>204</v>
      </c>
      <c r="AC3" s="19" t="s">
        <v>205</v>
      </c>
      <c r="AD3" s="19" t="s">
        <v>206</v>
      </c>
      <c r="AE3" s="19" t="s">
        <v>207</v>
      </c>
      <c r="AF3" s="19" t="s">
        <v>208</v>
      </c>
      <c r="AG3" s="19" t="s">
        <v>209</v>
      </c>
      <c r="AH3" s="19" t="s">
        <v>210</v>
      </c>
      <c r="AI3" s="19" t="s">
        <v>211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Programada</v>
      </c>
      <c r="C5" s="58"/>
      <c r="D5" s="59" t="s">
        <v>134</v>
      </c>
      <c r="E5" s="59" t="s">
        <v>212</v>
      </c>
      <c r="F5" s="59" t="s">
        <v>213</v>
      </c>
      <c r="G5" s="60" t="s">
        <v>110</v>
      </c>
      <c r="H5" s="60" t="s">
        <v>88</v>
      </c>
      <c r="I5" s="61" t="s">
        <v>113</v>
      </c>
      <c r="J5" s="61" t="s">
        <v>137</v>
      </c>
      <c r="K5" s="61"/>
      <c r="L5" s="62" t="n">
        <v>36</v>
      </c>
      <c r="M5" s="63" t="s">
        <v>127</v>
      </c>
      <c r="N5" s="62" t="n">
        <v>1</v>
      </c>
      <c r="O5" s="64" t="n">
        <f aca="false">IF(OR($L5="",$M5=""),"",(DATE(Semana!$J$3,1,4)-WEEKDAY(DATE(Semana!$J$3,1,4),3))+($L5-1)*7+MATCH($M5,Listas!$F$5:$F$11,0)-1)</f>
        <v>46268</v>
      </c>
      <c r="P5" s="64" t="n">
        <f aca="false">IF($O5="","",$O5+MAX(1,IF($N5="",1,$N5))-1)</f>
        <v>46268</v>
      </c>
      <c r="Q5" s="65"/>
      <c r="R5" s="60"/>
      <c r="S5" s="66" t="n">
        <v>35</v>
      </c>
      <c r="T5" s="59" t="s">
        <v>131</v>
      </c>
      <c r="U5" s="59"/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46261</v>
      </c>
      <c r="X5" s="57" t="n">
        <f aca="false">IF($F5="","",IF(OR($Q5="",$O5=""),0,IF($Q5&lt;=$O5,1,0)))</f>
        <v>0</v>
      </c>
      <c r="Y5" s="57" t="n">
        <f aca="false">IF($F5="","",IF(OR($Q5="",$W5=""),0,IF($Q5&lt;=$W5,1,0)))</f>
        <v>0</v>
      </c>
      <c r="Z5" s="57" t="str">
        <f aca="false">IF(OR($Q5="",$O5=""),"",MAX(0,$Q5-$O5))</f>
        <v/>
      </c>
      <c r="AA5" s="57" t="n">
        <f aca="false">IF($F5="","",IF(AND($S5&lt;&gt;"",$L5&lt;&gt;"",$S5&lt;&gt;$L5),1,0))</f>
        <v>1</v>
      </c>
      <c r="AB5" s="57" t="n">
        <f aca="false">IF($F5="","",IF($R5="Cancelada",0,IF(OR($Q5&lt;&gt;"",$R5="Concluída"),1,0)))</f>
        <v>0</v>
      </c>
      <c r="AC5" s="57" t="n">
        <f aca="false">IF($P5="",0,IF($P5&lt;Hoje!$L$1,1,IF(AND($P5=Hoje!$L$1,Hoje!$L$2&gt;Semana!$M$3),1,0)))</f>
        <v>0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214</v>
      </c>
      <c r="D6" s="59" t="s">
        <v>138</v>
      </c>
      <c r="E6" s="59" t="s">
        <v>212</v>
      </c>
      <c r="F6" s="59" t="s">
        <v>215</v>
      </c>
      <c r="G6" s="60" t="s">
        <v>110</v>
      </c>
      <c r="H6" s="60" t="s">
        <v>216</v>
      </c>
      <c r="I6" s="61" t="s">
        <v>113</v>
      </c>
      <c r="J6" s="61" t="s">
        <v>137</v>
      </c>
      <c r="K6" s="61"/>
      <c r="L6" s="62" t="n">
        <v>35</v>
      </c>
      <c r="M6" s="63" t="s">
        <v>122</v>
      </c>
      <c r="N6" s="62" t="n">
        <v>2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IF($O6="","",$O6+MAX(1,IF($N6="",1,$N6))-1)</f>
        <v>46261</v>
      </c>
      <c r="Q6" s="65" t="n">
        <v>46260</v>
      </c>
      <c r="R6" s="60" t="s">
        <v>82</v>
      </c>
      <c r="S6" s="66"/>
      <c r="T6" s="59"/>
      <c r="U6" s="59" t="s">
        <v>217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0.5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Airton · Luiz Paulo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214</v>
      </c>
      <c r="D7" s="59" t="s">
        <v>138</v>
      </c>
      <c r="E7" s="59" t="s">
        <v>212</v>
      </c>
      <c r="F7" s="59" t="s">
        <v>218</v>
      </c>
      <c r="G7" s="60" t="s">
        <v>110</v>
      </c>
      <c r="H7" s="60" t="s">
        <v>216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3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IF($O7="","",$O7+MAX(1,IF($N7="",1,$N7))-1)</f>
        <v>46262</v>
      </c>
      <c r="Q7" s="65" t="n">
        <v>46260</v>
      </c>
      <c r="R7" s="60" t="s">
        <v>82</v>
      </c>
      <c r="S7" s="66"/>
      <c r="T7" s="59"/>
      <c r="U7" s="59" t="s">
        <v>217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214</v>
      </c>
      <c r="D8" s="59" t="s">
        <v>138</v>
      </c>
      <c r="E8" s="59" t="s">
        <v>212</v>
      </c>
      <c r="F8" s="59" t="s">
        <v>219</v>
      </c>
      <c r="G8" s="60" t="s">
        <v>110</v>
      </c>
      <c r="H8" s="60" t="s">
        <v>216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IF($O8="","",$O8+MAX(1,IF($N8="",1,$N8))-1)</f>
        <v>46263</v>
      </c>
      <c r="Q8" s="65" t="n">
        <v>46260</v>
      </c>
      <c r="R8" s="60" t="s">
        <v>82</v>
      </c>
      <c r="S8" s="66"/>
      <c r="T8" s="59"/>
      <c r="U8" s="59" t="s">
        <v>217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214</v>
      </c>
      <c r="D9" s="59" t="s">
        <v>138</v>
      </c>
      <c r="E9" s="59" t="s">
        <v>212</v>
      </c>
      <c r="F9" s="59" t="s">
        <v>220</v>
      </c>
      <c r="G9" s="60" t="s">
        <v>110</v>
      </c>
      <c r="H9" s="60" t="s">
        <v>216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IF($O9="","",$O9+MAX(1,IF($N9="",1,$N9))-1)</f>
        <v>46263</v>
      </c>
      <c r="Q9" s="65" t="n">
        <v>46260</v>
      </c>
      <c r="R9" s="60" t="s">
        <v>82</v>
      </c>
      <c r="S9" s="66"/>
      <c r="T9" s="59"/>
      <c r="U9" s="59" t="s">
        <v>217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214</v>
      </c>
      <c r="D10" s="59" t="s">
        <v>138</v>
      </c>
      <c r="E10" s="59" t="s">
        <v>212</v>
      </c>
      <c r="F10" s="59" t="s">
        <v>221</v>
      </c>
      <c r="G10" s="60" t="s">
        <v>110</v>
      </c>
      <c r="H10" s="60" t="s">
        <v>216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2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IF($O10="","",$O10+MAX(1,IF($N10="",1,$N10))-1)</f>
        <v>46261</v>
      </c>
      <c r="Q10" s="65" t="n">
        <v>46260</v>
      </c>
      <c r="R10" s="60" t="s">
        <v>82</v>
      </c>
      <c r="S10" s="66"/>
      <c r="T10" s="59"/>
      <c r="U10" s="59" t="s">
        <v>217</v>
      </c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222</v>
      </c>
      <c r="D11" s="59" t="s">
        <v>142</v>
      </c>
      <c r="E11" s="59" t="s">
        <v>223</v>
      </c>
      <c r="F11" s="59" t="s">
        <v>224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IF($O11="","",$O11+MAX(1,IF($N11="",1,$N11))-1)</f>
        <v>46262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58" t="s">
        <v>222</v>
      </c>
      <c r="D12" s="59" t="s">
        <v>142</v>
      </c>
      <c r="E12" s="59" t="s">
        <v>223</v>
      </c>
      <c r="F12" s="59" t="s">
        <v>225</v>
      </c>
      <c r="G12" s="60" t="s">
        <v>110</v>
      </c>
      <c r="H12" s="60" t="s">
        <v>88</v>
      </c>
      <c r="I12" s="61" t="s">
        <v>133</v>
      </c>
      <c r="J12" s="61"/>
      <c r="K12" s="61"/>
      <c r="L12" s="62" t="n">
        <v>35</v>
      </c>
      <c r="M12" s="63" t="s">
        <v>122</v>
      </c>
      <c r="N12" s="62" t="n">
        <v>2</v>
      </c>
      <c r="O12" s="64" t="n">
        <f aca="false">IF(OR($L12="",$M12=""),"",(DATE(Semana!$J$3,1,4)-WEEKDAY(DATE(Semana!$J$3,1,4),3))+($L12-1)*7+MATCH($M12,Listas!$F$5:$F$11,0)-1)</f>
        <v>46260</v>
      </c>
      <c r="P12" s="64" t="n">
        <f aca="false">IF($O12="","",$O12+MAX(1,IF($N12="",1,$N12))-1)</f>
        <v>46261</v>
      </c>
      <c r="Q12" s="65" t="n">
        <v>46260</v>
      </c>
      <c r="R12" s="60" t="s">
        <v>82</v>
      </c>
      <c r="S12" s="66"/>
      <c r="T12" s="59"/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46260</v>
      </c>
      <c r="X12" s="57" t="n">
        <f aca="false">IF($F12="","",IF(OR($Q12="",$O12=""),0,IF($Q12&lt;=$O12,1,0)))</f>
        <v>1</v>
      </c>
      <c r="Y12" s="57" t="n">
        <f aca="false">IF($F12="","",IF(OR($Q12="",$W12=""),0,IF($Q12&lt;=$W12,1,0)))</f>
        <v>1</v>
      </c>
      <c r="Z12" s="57" t="n">
        <f aca="false">IF(OR($Q12="",$O12=""),"",MAX(0,$Q12-$O12))</f>
        <v>0</v>
      </c>
      <c r="AA12" s="57" t="n">
        <f aca="false">IF($F12="","",IF(AND($S12&lt;&gt;"",$L12&lt;&gt;"",$S12&lt;&gt;$L12),1,0))</f>
        <v>0</v>
      </c>
      <c r="AB12" s="57" t="n">
        <f aca="false">IF($F12="","",IF($R12="Cancelada",0,IF(OR($Q12&lt;&gt;"",$R12="Concluída"),1,0)))</f>
        <v>1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1</v>
      </c>
      <c r="AE12" s="57" t="str">
        <f aca="false">IF($AH12=0,"",SUM($AH$4:$AH12))</f>
        <v/>
      </c>
      <c r="AF12" s="57" t="str">
        <f aca="false">IF($AI12=0,"",SUM($AI$4:$AI12))</f>
        <v/>
      </c>
      <c r="AG12" s="67" t="str">
        <f aca="false">IF($F12="","",$I12&amp;IF($J12="",""," · "&amp;$J12)&amp;IF($K12="",""," · "&amp;$K12))</f>
        <v>Júnior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0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Na carteira</v>
      </c>
      <c r="C13" s="58"/>
      <c r="D13" s="59" t="s">
        <v>142</v>
      </c>
      <c r="E13" s="59" t="s">
        <v>223</v>
      </c>
      <c r="F13" s="59" t="s">
        <v>226</v>
      </c>
      <c r="G13" s="60" t="s">
        <v>110</v>
      </c>
      <c r="H13" s="60" t="s">
        <v>88</v>
      </c>
      <c r="I13" s="61"/>
      <c r="J13" s="61"/>
      <c r="K13" s="61"/>
      <c r="L13" s="62"/>
      <c r="M13" s="63"/>
      <c r="N13" s="62" t="n">
        <v>3</v>
      </c>
      <c r="O13" s="64" t="str">
        <f aca="false">IF(OR($L13="",$M13=""),"",(DATE(Semana!$J$3,1,4)-WEEKDAY(DATE(Semana!$J$3,1,4),3))+($L13-1)*7+MATCH($M13,Listas!$F$5:$F$11,0)-1)</f>
        <v/>
      </c>
      <c r="P13" s="64" t="str">
        <f aca="false">IF($O13="","",$O13+MAX(1,IF($N13="",1,$N13))-1)</f>
        <v/>
      </c>
      <c r="Q13" s="65"/>
      <c r="R13" s="60"/>
      <c r="S13" s="66"/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str">
        <f aca="false">IF($O13="","",IF($S13="",$O13,(DATE(Semana!$J$3,1,4)-WEEKDAY(DATE(Semana!$J$3,1,4),3))+($S13-1)*7+IF($M13="",0,MATCH($M13,Listas!$F$5:$F$11,0)-1)))</f>
        <v/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0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0</v>
      </c>
      <c r="AD13" s="57" t="n">
        <f aca="false">IF($F13="","",IF(COUNTA($I13:$K13)=0,0,1/COUNTA($I13:$K13)))</f>
        <v>0</v>
      </c>
      <c r="AE13" s="57" t="str">
        <f aca="false">IF($AH13=0,"",SUM($AH$4:$AH13))</f>
        <v/>
      </c>
      <c r="AF13" s="57" t="str">
        <f aca="false">IF($AI13=0,"",SUM($AI$4:$AI13))</f>
        <v/>
      </c>
      <c r="AG13" s="67" t="str">
        <f aca="false">IF($F13="","",$I13&amp;IF($J13="",""," · "&amp;$J13)&amp;IF($K13="",""," · "&amp;$K13))</f>
        <v/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0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Na carteira</v>
      </c>
      <c r="C14" s="58"/>
      <c r="D14" s="59" t="s">
        <v>142</v>
      </c>
      <c r="E14" s="59" t="s">
        <v>223</v>
      </c>
      <c r="F14" s="59" t="s">
        <v>227</v>
      </c>
      <c r="G14" s="60" t="s">
        <v>110</v>
      </c>
      <c r="H14" s="60" t="s">
        <v>88</v>
      </c>
      <c r="I14" s="61"/>
      <c r="J14" s="61"/>
      <c r="K14" s="61"/>
      <c r="L14" s="62"/>
      <c r="M14" s="63"/>
      <c r="N14" s="62" t="n">
        <v>3</v>
      </c>
      <c r="O14" s="64" t="str">
        <f aca="false">IF(OR($L14="",$M14=""),"",(DATE(Semana!$J$3,1,4)-WEEKDAY(DATE(Semana!$J$3,1,4),3))+($L14-1)*7+MATCH($M14,Listas!$F$5:$F$11,0)-1)</f>
        <v/>
      </c>
      <c r="P14" s="64" t="str">
        <f aca="false">IF($O14="","",$O14+MAX(1,IF($N14="",1,$N14))-1)</f>
        <v/>
      </c>
      <c r="Q14" s="65"/>
      <c r="R14" s="60"/>
      <c r="S14" s="66"/>
      <c r="T14" s="59" t="s">
        <v>131</v>
      </c>
      <c r="U14" s="59"/>
      <c r="V14" s="57" t="str">
        <f aca="false">IF($F14="","",IF(ISNUMBER(SEARCH("(externo)",$I14&amp;$J14&amp;$K14)),"Terceirizada","Interna"))</f>
        <v>Interna</v>
      </c>
      <c r="W14" s="64" t="str">
        <f aca="false">IF($O14="","",IF($S14="",$O14,(DATE(Semana!$J$3,1,4)-WEEKDAY(DATE(Semana!$J$3,1,4),3))+($S14-1)*7+IF($M14="",0,MATCH($M14,Listas!$F$5:$F$11,0)-1)))</f>
        <v/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0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0</v>
      </c>
      <c r="AD14" s="57" t="n">
        <f aca="false">IF($F14="","",IF(COUNTA($I14:$K14)=0,0,1/COUNTA($I14:$K14)))</f>
        <v>0</v>
      </c>
      <c r="AE14" s="57" t="str">
        <f aca="false">IF($AH14=0,"",SUM($AH$4:$AH14))</f>
        <v/>
      </c>
      <c r="AF14" s="57" t="str">
        <f aca="false">IF($AI14=0,"",SUM($AI$4:$AI14))</f>
        <v/>
      </c>
      <c r="AG14" s="67" t="str">
        <f aca="false">IF($F14="","",$I14&amp;IF($J14="",""," · "&amp;$J14)&amp;IF($K14="",""," · "&amp;$K14))</f>
        <v/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0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Na carteira</v>
      </c>
      <c r="C15" s="58"/>
      <c r="D15" s="59" t="s">
        <v>142</v>
      </c>
      <c r="E15" s="59" t="s">
        <v>223</v>
      </c>
      <c r="F15" s="59" t="s">
        <v>228</v>
      </c>
      <c r="G15" s="60" t="s">
        <v>110</v>
      </c>
      <c r="H15" s="60" t="s">
        <v>88</v>
      </c>
      <c r="I15" s="61"/>
      <c r="J15" s="61"/>
      <c r="K15" s="61"/>
      <c r="L15" s="62"/>
      <c r="M15" s="63"/>
      <c r="N15" s="62" t="n">
        <v>3</v>
      </c>
      <c r="O15" s="64" t="str">
        <f aca="false">IF(OR($L15="",$M15=""),"",(DATE(Semana!$J$3,1,4)-WEEKDAY(DATE(Semana!$J$3,1,4),3))+($L15-1)*7+MATCH($M15,Listas!$F$5:$F$11,0)-1)</f>
        <v/>
      </c>
      <c r="P15" s="64" t="str">
        <f aca="false">IF($O15="","",$O15+MAX(1,IF($N15="",1,$N15))-1)</f>
        <v/>
      </c>
      <c r="Q15" s="65"/>
      <c r="R15" s="60"/>
      <c r="S15" s="66"/>
      <c r="T15" s="59" t="s">
        <v>111</v>
      </c>
      <c r="U15" s="59"/>
      <c r="V15" s="57" t="str">
        <f aca="false">IF($F15="","",IF(ISNUMBER(SEARCH("(externo)",$I15&amp;$J15&amp;$K15)),"Terceirizada","Interna"))</f>
        <v>Interna</v>
      </c>
      <c r="W15" s="64" t="str">
        <f aca="false">IF($O15="","",IF($S15="",$O15,(DATE(Semana!$J$3,1,4)-WEEKDAY(DATE(Semana!$J$3,1,4),3))+($S15-1)*7+IF($M15="",0,MATCH($M15,Listas!$F$5:$F$11,0)-1)))</f>
        <v/>
      </c>
      <c r="X15" s="57" t="n">
        <f aca="false">IF($F15="","",IF(OR($Q15="",$O15=""),0,IF($Q15&lt;=$O15,1,0)))</f>
        <v>0</v>
      </c>
      <c r="Y15" s="57" t="n">
        <f aca="false">IF($F15="","",IF(OR($Q15="",$W15=""),0,IF($Q15&lt;=$W15,1,0)))</f>
        <v>0</v>
      </c>
      <c r="Z15" s="57" t="str">
        <f aca="false">IF(OR($Q15="",$O15=""),"",MAX(0,$Q15-$O15))</f>
        <v/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0</v>
      </c>
      <c r="AC15" s="57" t="n">
        <f aca="false">IF($P15="",0,IF($P15&lt;Hoje!$L$1,1,IF(AND($P15=Hoje!$L$1,Hoje!$L$2&gt;Semana!$M$3),1,0)))</f>
        <v>0</v>
      </c>
      <c r="AD15" s="57" t="n">
        <f aca="false">IF($F15="","",IF(COUNTA($I15:$K15)=0,0,1/COUNTA($I15:$K15)))</f>
        <v>0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/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58" t="s">
        <v>222</v>
      </c>
      <c r="D16" s="59" t="s">
        <v>142</v>
      </c>
      <c r="E16" s="59" t="s">
        <v>223</v>
      </c>
      <c r="F16" s="59" t="s">
        <v>229</v>
      </c>
      <c r="G16" s="60" t="s">
        <v>110</v>
      </c>
      <c r="H16" s="60" t="s">
        <v>88</v>
      </c>
      <c r="I16" s="61" t="s">
        <v>133</v>
      </c>
      <c r="J16" s="61"/>
      <c r="K16" s="61"/>
      <c r="L16" s="62" t="n">
        <v>35</v>
      </c>
      <c r="M16" s="63" t="s">
        <v>122</v>
      </c>
      <c r="N16" s="62" t="n">
        <v>2</v>
      </c>
      <c r="O16" s="64" t="n">
        <f aca="false">IF(OR($L16="",$M16=""),"",(DATE(Semana!$J$3,1,4)-WEEKDAY(DATE(Semana!$J$3,1,4),3))+($L16-1)*7+MATCH($M16,Listas!$F$5:$F$11,0)-1)</f>
        <v>46260</v>
      </c>
      <c r="P16" s="64" t="n">
        <f aca="false">IF($O16="","",$O16+MAX(1,IF($N16="",1,$N16))-1)</f>
        <v>46261</v>
      </c>
      <c r="Q16" s="65" t="n">
        <v>46260</v>
      </c>
      <c r="R16" s="60" t="s">
        <v>82</v>
      </c>
      <c r="S16" s="66"/>
      <c r="T16" s="59"/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46260</v>
      </c>
      <c r="X16" s="57" t="n">
        <f aca="false">IF($F16="","",IF(OR($Q16="",$O16=""),0,IF($Q16&lt;=$O16,1,0)))</f>
        <v>1</v>
      </c>
      <c r="Y16" s="57" t="n">
        <f aca="false">IF($F16="","",IF(OR($Q16="",$W16=""),0,IF($Q16&lt;=$W16,1,0)))</f>
        <v>1</v>
      </c>
      <c r="Z16" s="57" t="n">
        <f aca="false">IF(OR($Q16="",$O16=""),"",MAX(0,$Q16-$O16))</f>
        <v>0</v>
      </c>
      <c r="AA16" s="57" t="n">
        <f aca="false">IF($F16="","",IF(AND($S16&lt;&gt;"",$L16&lt;&gt;"",$S16&lt;&gt;$L16),1,0))</f>
        <v>0</v>
      </c>
      <c r="AB16" s="57" t="n">
        <f aca="false">IF($F16="","",IF($R16="Cancelada",0,IF(OR($Q16&lt;&gt;"",$R16="Concluída"),1,0)))</f>
        <v>1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1</v>
      </c>
      <c r="AE16" s="57" t="str">
        <f aca="false">IF($AH16=0,"",SUM($AH$4:$AH16))</f>
        <v/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Júnior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0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Na carteira</v>
      </c>
      <c r="C17" s="58"/>
      <c r="D17" s="59" t="s">
        <v>142</v>
      </c>
      <c r="E17" s="59" t="s">
        <v>223</v>
      </c>
      <c r="F17" s="59" t="s">
        <v>230</v>
      </c>
      <c r="G17" s="60" t="s">
        <v>110</v>
      </c>
      <c r="H17" s="60" t="s">
        <v>88</v>
      </c>
      <c r="I17" s="61"/>
      <c r="J17" s="61"/>
      <c r="K17" s="61"/>
      <c r="L17" s="62"/>
      <c r="M17" s="63"/>
      <c r="N17" s="62" t="n">
        <v>3</v>
      </c>
      <c r="O17" s="64" t="str">
        <f aca="false">IF(OR($L17="",$M17=""),"",(DATE(Semana!$J$3,1,4)-WEEKDAY(DATE(Semana!$J$3,1,4),3))+($L17-1)*7+MATCH($M17,Listas!$F$5:$F$11,0)-1)</f>
        <v/>
      </c>
      <c r="P17" s="64" t="str">
        <f aca="false">IF($O17="","",$O17+MAX(1,IF($N17="",1,$N17))-1)</f>
        <v/>
      </c>
      <c r="Q17" s="65"/>
      <c r="R17" s="60"/>
      <c r="S17" s="66"/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str">
        <f aca="false">IF($O17="","",IF($S17="",$O17,(DATE(Semana!$J$3,1,4)-WEEKDAY(DATE(Semana!$J$3,1,4),3))+($S17-1)*7+IF($M17="",0,MATCH($M17,Listas!$F$5:$F$11,0)-1)))</f>
        <v/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0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</v>
      </c>
      <c r="AE17" s="57" t="str">
        <f aca="false">IF($AH17=0,"",SUM($AH$4:$AH17))</f>
        <v/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/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0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Na carteira</v>
      </c>
      <c r="C18" s="58"/>
      <c r="D18" s="59" t="s">
        <v>142</v>
      </c>
      <c r="E18" s="59" t="s">
        <v>223</v>
      </c>
      <c r="F18" s="59" t="s">
        <v>231</v>
      </c>
      <c r="G18" s="60" t="s">
        <v>110</v>
      </c>
      <c r="H18" s="60" t="s">
        <v>88</v>
      </c>
      <c r="I18" s="61"/>
      <c r="J18" s="61"/>
      <c r="K18" s="61"/>
      <c r="L18" s="62"/>
      <c r="M18" s="63"/>
      <c r="N18" s="62" t="n">
        <v>3</v>
      </c>
      <c r="O18" s="64" t="str">
        <f aca="false">IF(OR($L18="",$M18=""),"",(DATE(Semana!$J$3,1,4)-WEEKDAY(DATE(Semana!$J$3,1,4),3))+($L18-1)*7+MATCH($M18,Listas!$F$5:$F$11,0)-1)</f>
        <v/>
      </c>
      <c r="P18" s="64" t="str">
        <f aca="false">IF($O18="","",$O18+MAX(1,IF($N18="",1,$N18))-1)</f>
        <v/>
      </c>
      <c r="Q18" s="65"/>
      <c r="R18" s="60"/>
      <c r="S18" s="66"/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str">
        <f aca="false">IF($O18="","",IF($S18="",$O18,(DATE(Semana!$J$3,1,4)-WEEKDAY(DATE(Semana!$J$3,1,4),3))+($S18-1)*7+IF($M18="",0,MATCH($M18,Listas!$F$5:$F$11,0)-1)))</f>
        <v/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0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</v>
      </c>
      <c r="AE18" s="57" t="str">
        <f aca="false">IF($AH18=0,"",SUM($AH$4:$AH18))</f>
        <v/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/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0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Na carteira</v>
      </c>
      <c r="C19" s="58"/>
      <c r="D19" s="59" t="s">
        <v>142</v>
      </c>
      <c r="E19" s="59" t="s">
        <v>223</v>
      </c>
      <c r="F19" s="59" t="s">
        <v>232</v>
      </c>
      <c r="G19" s="60" t="s">
        <v>110</v>
      </c>
      <c r="H19" s="60" t="s">
        <v>88</v>
      </c>
      <c r="I19" s="61"/>
      <c r="J19" s="61"/>
      <c r="K19" s="61"/>
      <c r="L19" s="62"/>
      <c r="M19" s="63"/>
      <c r="N19" s="62" t="n">
        <v>3</v>
      </c>
      <c r="O19" s="64" t="str">
        <f aca="false">IF(OR($L19="",$M19=""),"",(DATE(Semana!$J$3,1,4)-WEEKDAY(DATE(Semana!$J$3,1,4),3))+($L19-1)*7+MATCH($M19,Listas!$F$5:$F$11,0)-1)</f>
        <v/>
      </c>
      <c r="P19" s="64" t="str">
        <f aca="false">IF($O19="","",$O19+MAX(1,IF($N19="",1,$N19))-1)</f>
        <v/>
      </c>
      <c r="Q19" s="65"/>
      <c r="R19" s="60"/>
      <c r="S19" s="66"/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str">
        <f aca="false">IF($O19="","",IF($S19="",$O19,(DATE(Semana!$J$3,1,4)-WEEKDAY(DATE(Semana!$J$3,1,4),3))+($S19-1)*7+IF($M19="",0,MATCH($M19,Listas!$F$5:$F$11,0)-1)))</f>
        <v/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0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</v>
      </c>
      <c r="AE19" s="57" t="str">
        <f aca="false">IF($AH19=0,"",SUM($AH$4:$AH19))</f>
        <v/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/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0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Na carteira</v>
      </c>
      <c r="C20" s="58"/>
      <c r="D20" s="59" t="s">
        <v>142</v>
      </c>
      <c r="E20" s="59" t="s">
        <v>223</v>
      </c>
      <c r="F20" s="59" t="s">
        <v>233</v>
      </c>
      <c r="G20" s="60" t="s">
        <v>110</v>
      </c>
      <c r="H20" s="60" t="s">
        <v>88</v>
      </c>
      <c r="I20" s="61"/>
      <c r="J20" s="61"/>
      <c r="K20" s="61"/>
      <c r="L20" s="62"/>
      <c r="M20" s="63"/>
      <c r="N20" s="62" t="n">
        <v>3</v>
      </c>
      <c r="O20" s="64" t="str">
        <f aca="false">IF(OR($L20="",$M20=""),"",(DATE(Semana!$J$3,1,4)-WEEKDAY(DATE(Semana!$J$3,1,4),3))+($L20-1)*7+MATCH($M20,Listas!$F$5:$F$11,0)-1)</f>
        <v/>
      </c>
      <c r="P20" s="64" t="str">
        <f aca="false">IF($O20="","",$O20+MAX(1,IF($N20="",1,$N20))-1)</f>
        <v/>
      </c>
      <c r="Q20" s="65"/>
      <c r="R20" s="60"/>
      <c r="S20" s="66"/>
      <c r="T20" s="59" t="s">
        <v>131</v>
      </c>
      <c r="U20" s="59"/>
      <c r="V20" s="57" t="str">
        <f aca="false">IF($F20="","",IF(ISNUMBER(SEARCH("(externo)",$I20&amp;$J20&amp;$K20)),"Terceirizada","Interna"))</f>
        <v>Interna</v>
      </c>
      <c r="W20" s="64" t="str">
        <f aca="false">IF($O20="","",IF($S20="",$O20,(DATE(Semana!$J$3,1,4)-WEEKDAY(DATE(Semana!$J$3,1,4),3))+($S20-1)*7+IF($M20="",0,MATCH($M20,Listas!$F$5:$F$11,0)-1)))</f>
        <v/>
      </c>
      <c r="X20" s="57" t="n">
        <f aca="false">IF($F20="","",IF(OR($Q20="",$O20=""),0,IF($Q20&lt;=$O20,1,0)))</f>
        <v>0</v>
      </c>
      <c r="Y20" s="57" t="n">
        <f aca="false">IF($F20="","",IF(OR($Q20="",$W20=""),0,IF($Q20&lt;=$W20,1,0)))</f>
        <v>0</v>
      </c>
      <c r="Z20" s="57" t="str">
        <f aca="false">IF(OR($Q20="",$O20=""),"",MAX(0,$Q20-$O20))</f>
        <v/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0</v>
      </c>
      <c r="AC20" s="57" t="n">
        <f aca="false">IF($P20="",0,IF($P20&lt;Hoje!$L$1,1,IF(AND($P20=Hoje!$L$1,Hoje!$L$2&gt;Semana!$M$3),1,0)))</f>
        <v>0</v>
      </c>
      <c r="AD20" s="57" t="n">
        <f aca="false">IF($F20="","",IF(COUNTA($I20:$K20)=0,0,1/COUNTA($I20:$K20)))</f>
        <v>0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/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58" t="s">
        <v>234</v>
      </c>
      <c r="D21" s="59" t="s">
        <v>142</v>
      </c>
      <c r="E21" s="59" t="s">
        <v>223</v>
      </c>
      <c r="F21" s="59" t="s">
        <v>235</v>
      </c>
      <c r="G21" s="60" t="s">
        <v>110</v>
      </c>
      <c r="H21" s="60" t="s">
        <v>88</v>
      </c>
      <c r="I21" s="61" t="s">
        <v>133</v>
      </c>
      <c r="J21" s="61"/>
      <c r="K21" s="61"/>
      <c r="L21" s="62" t="n">
        <v>35</v>
      </c>
      <c r="M21" s="63" t="s">
        <v>122</v>
      </c>
      <c r="N21" s="62" t="n">
        <v>3</v>
      </c>
      <c r="O21" s="64" t="n">
        <f aca="false">IF(OR($L21="",$M21=""),"",(DATE(Semana!$J$3,1,4)-WEEKDAY(DATE(Semana!$J$3,1,4),3))+($L21-1)*7+MATCH($M21,Listas!$F$5:$F$11,0)-1)</f>
        <v>46260</v>
      </c>
      <c r="P21" s="64" t="n">
        <f aca="false">IF($O21="","",$O21+MAX(1,IF($N21="",1,$N21))-1)</f>
        <v>46262</v>
      </c>
      <c r="Q21" s="65" t="n">
        <v>46260</v>
      </c>
      <c r="R21" s="60" t="s">
        <v>82</v>
      </c>
      <c r="S21" s="66"/>
      <c r="T21" s="59"/>
      <c r="U21" s="59"/>
      <c r="V21" s="57" t="str">
        <f aca="false">IF($F21="","",IF(ISNUMBER(SEARCH("(externo)",$I21&amp;$J21&amp;$K21)),"Terceirizada","Interna"))</f>
        <v>Interna</v>
      </c>
      <c r="W21" s="64" t="n">
        <f aca="false">IF($O21="","",IF($S21="",$O21,(DATE(Semana!$J$3,1,4)-WEEKDAY(DATE(Semana!$J$3,1,4),3))+($S21-1)*7+IF($M21="",0,MATCH($M21,Listas!$F$5:$F$11,0)-1)))</f>
        <v>46260</v>
      </c>
      <c r="X21" s="57" t="n">
        <f aca="false">IF($F21="","",IF(OR($Q21="",$O21=""),0,IF($Q21&lt;=$O21,1,0)))</f>
        <v>1</v>
      </c>
      <c r="Y21" s="57" t="n">
        <f aca="false">IF($F21="","",IF(OR($Q21="",$W21=""),0,IF($Q21&lt;=$W21,1,0)))</f>
        <v>1</v>
      </c>
      <c r="Z21" s="57" t="n">
        <f aca="false">IF(OR($Q21="",$O21=""),"",MAX(0,$Q21-$O21))</f>
        <v>0</v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1</v>
      </c>
      <c r="AC21" s="57" t="n">
        <f aca="false">IF($P21="",0,IF($P21&lt;Hoje!$L$1,1,IF(AND($P21=Hoje!$L$1,Hoje!$L$2&gt;Semana!$M$3),1,0)))</f>
        <v>1</v>
      </c>
      <c r="AD21" s="57" t="n">
        <f aca="false">IF($F21="","",IF(COUNTA($I21:$K21)=0,0,1/COUNTA($I21:$K21)))</f>
        <v>1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>Júnior</v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223</v>
      </c>
      <c r="F22" s="59" t="s">
        <v>236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3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IF($O22="","",$O22+MAX(1,IF($N22="",1,$N22))-1)</f>
        <v/>
      </c>
      <c r="Q22" s="65"/>
      <c r="R22" s="60"/>
      <c r="S22" s="66"/>
      <c r="T22" s="59" t="s">
        <v>131</v>
      </c>
      <c r="U22" s="59"/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237</v>
      </c>
      <c r="D23" s="59" t="s">
        <v>148</v>
      </c>
      <c r="E23" s="59" t="s">
        <v>115</v>
      </c>
      <c r="F23" s="59" t="s">
        <v>238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IF($O23="","",$O23+MAX(1,IF($N23="",1,$N23))-1)</f>
        <v>46267</v>
      </c>
      <c r="Q23" s="65" t="n">
        <v>46262</v>
      </c>
      <c r="R23" s="60"/>
      <c r="S23" s="66" t="n">
        <v>35</v>
      </c>
      <c r="T23" s="59" t="s">
        <v>126</v>
      </c>
      <c r="U23" s="59" t="s">
        <v>239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0</v>
      </c>
      <c r="AD23" s="57" t="n">
        <f aca="false">IF($F23="","",IF(COUNTA($I23:$K23)=0,0,1/COUNTA($I23:$K23)))</f>
        <v>0.5</v>
      </c>
      <c r="AE23" s="57" t="n">
        <f aca="false">IF($AH23=0,"",SUM($AH$4:$AH23))</f>
        <v>1</v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1</v>
      </c>
      <c r="AI23" s="57" t="n">
        <f aca="false">IF(AND($F23&lt;&gt;"",$P23&lt;&gt;"",$P23&lt;Hoje!$C$3,$AB23=0,$R23&lt;&gt;"Cancelada"),1,0)</f>
        <v>0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Em execução</v>
      </c>
      <c r="C24" s="58" t="s">
        <v>237</v>
      </c>
      <c r="D24" s="59" t="s">
        <v>148</v>
      </c>
      <c r="E24" s="59" t="s">
        <v>115</v>
      </c>
      <c r="F24" s="59" t="s">
        <v>240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IF($O24="","",$O24+MAX(1,IF($N24="",1,$N24))-1)</f>
        <v>46267</v>
      </c>
      <c r="Q24" s="65"/>
      <c r="R24" s="60"/>
      <c r="S24" s="66" t="n">
        <v>35</v>
      </c>
      <c r="T24" s="59"/>
      <c r="U24" s="59" t="s">
        <v>239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0</v>
      </c>
      <c r="AD24" s="57" t="n">
        <f aca="false">IF($F24="","",IF(COUNTA($I24:$K24)=0,0,1/COUNTA($I24:$K24)))</f>
        <v>0.5</v>
      </c>
      <c r="AE24" s="57" t="n">
        <f aca="false">IF($AH24=0,"",SUM($AH$4:$AH24))</f>
        <v>2</v>
      </c>
      <c r="AF24" s="57" t="str">
        <f aca="false">IF($AI24=0,"",SUM($AI$4:$AI24))</f>
        <v/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1</v>
      </c>
      <c r="AI24" s="57" t="n">
        <f aca="false">IF(AND($F24&lt;&gt;"",$P24&lt;&gt;"",$P24&lt;Hoje!$C$3,$AB24=0,$R24&lt;&gt;"Cancelada"),1,0)</f>
        <v>0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237</v>
      </c>
      <c r="D25" s="59" t="s">
        <v>148</v>
      </c>
      <c r="E25" s="59" t="s">
        <v>115</v>
      </c>
      <c r="F25" s="59" t="s">
        <v>241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IF($O25="","",$O25+MAX(1,IF($N25="",1,$N25))-1)</f>
        <v>46263</v>
      </c>
      <c r="Q25" s="65" t="n">
        <v>46262</v>
      </c>
      <c r="R25" s="60"/>
      <c r="S25" s="66"/>
      <c r="T25" s="59"/>
      <c r="U25" s="59" t="s">
        <v>239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Em execução</v>
      </c>
      <c r="C26" s="58" t="s">
        <v>237</v>
      </c>
      <c r="D26" s="59" t="s">
        <v>148</v>
      </c>
      <c r="E26" s="59" t="s">
        <v>115</v>
      </c>
      <c r="F26" s="59" t="s">
        <v>242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IF($O26="","",$O26+MAX(1,IF($N26="",1,$N26))-1)</f>
        <v>46267</v>
      </c>
      <c r="Q26" s="65"/>
      <c r="R26" s="60"/>
      <c r="S26" s="66" t="n">
        <v>35</v>
      </c>
      <c r="T26" s="59"/>
      <c r="U26" s="59" t="s">
        <v>239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0</v>
      </c>
      <c r="AD26" s="57" t="n">
        <f aca="false">IF($F26="","",IF(COUNTA($I26:$K26)=0,0,1/COUNTA($I26:$K26)))</f>
        <v>0.5</v>
      </c>
      <c r="AE26" s="57" t="n">
        <f aca="false">IF($AH26=0,"",SUM($AH$4:$AH26))</f>
        <v>3</v>
      </c>
      <c r="AF26" s="57" t="str">
        <f aca="false">IF($AI26=0,"",SUM($AI$4:$AI26))</f>
        <v/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1</v>
      </c>
      <c r="AI26" s="57" t="n">
        <f aca="false">IF(AND($F26&lt;&gt;"",$P26&lt;&gt;"",$P26&lt;Hoje!$C$3,$AB26=0,$R26&lt;&gt;"Cancelada"),1,0)</f>
        <v>0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Em execução</v>
      </c>
      <c r="C27" s="58" t="s">
        <v>237</v>
      </c>
      <c r="D27" s="59" t="s">
        <v>148</v>
      </c>
      <c r="E27" s="59" t="s">
        <v>115</v>
      </c>
      <c r="F27" s="59" t="s">
        <v>243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IF($O27="","",$O27+MAX(1,IF($N27="",1,$N27))-1)</f>
        <v>46267</v>
      </c>
      <c r="Q27" s="65"/>
      <c r="R27" s="60"/>
      <c r="S27" s="66" t="n">
        <v>35</v>
      </c>
      <c r="T27" s="59" t="s">
        <v>126</v>
      </c>
      <c r="U27" s="59" t="s">
        <v>239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0</v>
      </c>
      <c r="AD27" s="57" t="n">
        <f aca="false">IF($F27="","",IF(COUNTA($I27:$K27)=0,0,1/COUNTA($I27:$K27)))</f>
        <v>0.5</v>
      </c>
      <c r="AE27" s="57" t="n">
        <f aca="false">IF($AH27=0,"",SUM($AH$4:$AH27))</f>
        <v>4</v>
      </c>
      <c r="AF27" s="57" t="str">
        <f aca="false">IF($AI27=0,"",SUM($AI$4:$AI27))</f>
        <v/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1</v>
      </c>
      <c r="AI27" s="57" t="n">
        <f aca="false">IF(AND($F27&lt;&gt;"",$P27&lt;&gt;"",$P27&lt;Hoje!$C$3,$AB27=0,$R27&lt;&gt;"Cancelada"),1,0)</f>
        <v>0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237</v>
      </c>
      <c r="D28" s="59" t="s">
        <v>148</v>
      </c>
      <c r="E28" s="59" t="s">
        <v>115</v>
      </c>
      <c r="F28" s="59" t="s">
        <v>244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2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IF($O28="","",$O28+MAX(1,IF($N28="",1,$N28))-1)</f>
        <v>46266</v>
      </c>
      <c r="Q28" s="65" t="n">
        <v>46262</v>
      </c>
      <c r="R28" s="60"/>
      <c r="S28" s="66" t="n">
        <v>35</v>
      </c>
      <c r="T28" s="59" t="s">
        <v>126</v>
      </c>
      <c r="U28" s="59" t="s">
        <v>239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0</v>
      </c>
      <c r="AD28" s="57" t="n">
        <f aca="false">IF($F28="","",IF(COUNTA($I28:$K28)=0,0,1/COUNTA($I28:$K28)))</f>
        <v>0.5</v>
      </c>
      <c r="AE28" s="57" t="n">
        <f aca="false">IF($AH28=0,"",SUM($AH$4:$AH28))</f>
        <v>5</v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1</v>
      </c>
      <c r="AI28" s="57" t="n">
        <f aca="false">IF(AND($F28&lt;&gt;"",$P28&lt;&gt;"",$P28&lt;Hoje!$C$3,$AB28=0,$R28&lt;&gt;"Cancelada"),1,0)</f>
        <v>0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237</v>
      </c>
      <c r="D29" s="59" t="s">
        <v>148</v>
      </c>
      <c r="E29" s="59" t="s">
        <v>115</v>
      </c>
      <c r="F29" s="59" t="s">
        <v>245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IF($O29="","",$O29+MAX(1,IF($N29="",1,$N29))-1)</f>
        <v>46267</v>
      </c>
      <c r="Q29" s="65" t="n">
        <v>46262</v>
      </c>
      <c r="R29" s="60"/>
      <c r="S29" s="66" t="n">
        <v>35</v>
      </c>
      <c r="T29" s="59" t="s">
        <v>126</v>
      </c>
      <c r="U29" s="59" t="s">
        <v>239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6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Em execução</v>
      </c>
      <c r="C30" s="58" t="s">
        <v>237</v>
      </c>
      <c r="D30" s="59" t="s">
        <v>148</v>
      </c>
      <c r="E30" s="59" t="s">
        <v>115</v>
      </c>
      <c r="F30" s="59" t="s">
        <v>246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IF($O30="","",$O30+MAX(1,IF($N30="",1,$N30))-1)</f>
        <v>46267</v>
      </c>
      <c r="Q30" s="65"/>
      <c r="R30" s="60"/>
      <c r="S30" s="66" t="n">
        <v>35</v>
      </c>
      <c r="T30" s="59"/>
      <c r="U30" s="59" t="s">
        <v>239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7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Em execução</v>
      </c>
      <c r="C31" s="58" t="s">
        <v>237</v>
      </c>
      <c r="D31" s="59" t="s">
        <v>148</v>
      </c>
      <c r="E31" s="59" t="s">
        <v>115</v>
      </c>
      <c r="F31" s="59" t="s">
        <v>247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IF($O31="","",$O31+MAX(1,IF($N31="",1,$N31))-1)</f>
        <v>46267</v>
      </c>
      <c r="Q31" s="65"/>
      <c r="R31" s="60"/>
      <c r="S31" s="66" t="n">
        <v>35</v>
      </c>
      <c r="T31" s="59"/>
      <c r="U31" s="59" t="s">
        <v>239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8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Em execução</v>
      </c>
      <c r="C32" s="58" t="s">
        <v>237</v>
      </c>
      <c r="D32" s="59" t="s">
        <v>148</v>
      </c>
      <c r="E32" s="59" t="s">
        <v>115</v>
      </c>
      <c r="F32" s="59" t="s">
        <v>248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IF($O32="","",$O32+MAX(1,IF($N32="",1,$N32))-1)</f>
        <v>46267</v>
      </c>
      <c r="Q32" s="65"/>
      <c r="R32" s="60"/>
      <c r="S32" s="66" t="n">
        <v>35</v>
      </c>
      <c r="T32" s="59" t="s">
        <v>126</v>
      </c>
      <c r="U32" s="59" t="s">
        <v>239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9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237</v>
      </c>
      <c r="D33" s="59" t="s">
        <v>148</v>
      </c>
      <c r="E33" s="59" t="s">
        <v>115</v>
      </c>
      <c r="F33" s="59" t="s">
        <v>249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IF($O33="","",$O33+MAX(1,IF($N33="",1,$N33))-1)</f>
        <v>46267</v>
      </c>
      <c r="Q33" s="65" t="n">
        <v>46262</v>
      </c>
      <c r="R33" s="60"/>
      <c r="S33" s="66" t="n">
        <v>35</v>
      </c>
      <c r="T33" s="59" t="s">
        <v>126</v>
      </c>
      <c r="U33" s="59" t="s">
        <v>239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10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250</v>
      </c>
      <c r="D34" s="59" t="s">
        <v>148</v>
      </c>
      <c r="E34" s="59" t="s">
        <v>115</v>
      </c>
      <c r="F34" s="59" t="s">
        <v>251</v>
      </c>
      <c r="G34" s="60" t="s">
        <v>115</v>
      </c>
      <c r="H34" s="60" t="s">
        <v>216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IF($O34="","",$O34+MAX(1,IF($N34="",1,$N34))-1)</f>
        <v>46267</v>
      </c>
      <c r="Q34" s="65"/>
      <c r="R34" s="60"/>
      <c r="S34" s="66"/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46265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0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11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250</v>
      </c>
      <c r="D35" s="59" t="s">
        <v>148</v>
      </c>
      <c r="E35" s="59" t="s">
        <v>115</v>
      </c>
      <c r="F35" s="59" t="s">
        <v>252</v>
      </c>
      <c r="G35" s="60" t="s">
        <v>115</v>
      </c>
      <c r="H35" s="60" t="s">
        <v>216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IF($O35="","",$O35+MAX(1,IF($N35="",1,$N35))-1)</f>
        <v>46267</v>
      </c>
      <c r="Q35" s="65"/>
      <c r="R35" s="60"/>
      <c r="S35" s="66"/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46265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0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12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250</v>
      </c>
      <c r="D36" s="59" t="s">
        <v>148</v>
      </c>
      <c r="E36" s="59" t="s">
        <v>115</v>
      </c>
      <c r="F36" s="59" t="s">
        <v>253</v>
      </c>
      <c r="G36" s="60" t="s">
        <v>115</v>
      </c>
      <c r="H36" s="60" t="s">
        <v>216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IF($O36="","",$O36+MAX(1,IF($N36="",1,$N36))-1)</f>
        <v>46267</v>
      </c>
      <c r="Q36" s="65"/>
      <c r="R36" s="60"/>
      <c r="S36" s="66"/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46265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0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13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250</v>
      </c>
      <c r="D37" s="59" t="s">
        <v>148</v>
      </c>
      <c r="E37" s="59" t="s">
        <v>115</v>
      </c>
      <c r="F37" s="59" t="s">
        <v>254</v>
      </c>
      <c r="G37" s="60" t="s">
        <v>115</v>
      </c>
      <c r="H37" s="60" t="s">
        <v>216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IF($O37="","",$O37+MAX(1,IF($N37="",1,$N37))-1)</f>
        <v>46267</v>
      </c>
      <c r="Q37" s="65"/>
      <c r="R37" s="60"/>
      <c r="S37" s="66"/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46265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0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14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250</v>
      </c>
      <c r="D38" s="59" t="s">
        <v>148</v>
      </c>
      <c r="E38" s="59" t="s">
        <v>115</v>
      </c>
      <c r="F38" s="59" t="s">
        <v>255</v>
      </c>
      <c r="G38" s="60" t="s">
        <v>115</v>
      </c>
      <c r="H38" s="60" t="s">
        <v>216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IF($O38="","",$O38+MAX(1,IF($N38="",1,$N38))-1)</f>
        <v>46267</v>
      </c>
      <c r="Q38" s="65"/>
      <c r="R38" s="60"/>
      <c r="S38" s="66"/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46265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0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15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Em execução</v>
      </c>
      <c r="C39" s="58"/>
      <c r="D39" s="59" t="s">
        <v>148</v>
      </c>
      <c r="E39" s="59" t="s">
        <v>256</v>
      </c>
      <c r="F39" s="59" t="s">
        <v>257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IF($O39="","",$O39+MAX(1,IF($N39="",1,$N39))-1)</f>
        <v>46267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16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155</v>
      </c>
      <c r="E40" s="59" t="s">
        <v>258</v>
      </c>
      <c r="F40" s="59" t="s">
        <v>258</v>
      </c>
      <c r="G40" s="60" t="s">
        <v>110</v>
      </c>
      <c r="H40" s="60" t="s">
        <v>216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IF($O40="","",$O40+MAX(1,IF($N40="",1,$N40))-1)</f>
        <v>46262</v>
      </c>
      <c r="Q40" s="65" t="n">
        <v>46261</v>
      </c>
      <c r="R40" s="60"/>
      <c r="S40" s="66"/>
      <c r="T40" s="59"/>
      <c r="U40" s="59" t="s">
        <v>259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156</v>
      </c>
      <c r="E41" s="59" t="s">
        <v>258</v>
      </c>
      <c r="F41" s="59" t="s">
        <v>258</v>
      </c>
      <c r="G41" s="60" t="s">
        <v>110</v>
      </c>
      <c r="H41" s="60" t="s">
        <v>216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IF($O41="","",$O41+MAX(1,IF($N41="",1,$N41))-1)</f>
        <v>46262</v>
      </c>
      <c r="Q41" s="65" t="n">
        <v>46261</v>
      </c>
      <c r="R41" s="60"/>
      <c r="S41" s="66"/>
      <c r="T41" s="59"/>
      <c r="U41" s="59" t="s">
        <v>259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Programada</v>
      </c>
      <c r="C42" s="58" t="s">
        <v>260</v>
      </c>
      <c r="D42" s="59" t="s">
        <v>157</v>
      </c>
      <c r="E42" s="59" t="s">
        <v>212</v>
      </c>
      <c r="F42" s="59" t="s">
        <v>261</v>
      </c>
      <c r="G42" s="60" t="s">
        <v>110</v>
      </c>
      <c r="H42" s="60" t="s">
        <v>88</v>
      </c>
      <c r="I42" s="61" t="s">
        <v>113</v>
      </c>
      <c r="J42" s="61" t="s">
        <v>137</v>
      </c>
      <c r="K42" s="61"/>
      <c r="L42" s="62" t="n">
        <v>36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46268</v>
      </c>
      <c r="P42" s="64" t="n">
        <f aca="false">IF($O42="","",$O42+MAX(1,IF($N42="",1,$N42))-1)</f>
        <v>46269</v>
      </c>
      <c r="Q42" s="65"/>
      <c r="R42" s="60"/>
      <c r="S42" s="66" t="n">
        <v>35</v>
      </c>
      <c r="T42" s="59" t="s">
        <v>262</v>
      </c>
      <c r="U42" s="59" t="s">
        <v>217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0</v>
      </c>
      <c r="Y42" s="57" t="n">
        <f aca="false">IF($F42="","",IF(OR($Q42="",$W42=""),0,IF($Q42&lt;=$W42,1,0)))</f>
        <v>0</v>
      </c>
      <c r="Z42" s="57" t="str">
        <f aca="false">IF(OR($Q42="",$O42=""),"",MAX(0,$Q42-$O42))</f>
        <v/>
      </c>
      <c r="AA42" s="57" t="n">
        <f aca="false">IF($F42="","",IF(AND($S42&lt;&gt;"",$L42&lt;&gt;"",$S42&lt;&gt;$L42),1,0))</f>
        <v>1</v>
      </c>
      <c r="AB42" s="57" t="n">
        <f aca="false">IF($F42="","",IF($R42="Cancelada",0,IF(OR($Q42&lt;&gt;"",$R42="Concluída"),1,0)))</f>
        <v>0</v>
      </c>
      <c r="AC42" s="57" t="n">
        <f aca="false">IF($P42="",0,IF($P42&lt;Hoje!$L$1,1,IF(AND($P42=Hoje!$L$1,Hoje!$L$2&gt;Semana!$M$3),1,0)))</f>
        <v>0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263</v>
      </c>
      <c r="D43" s="59" t="s">
        <v>160</v>
      </c>
      <c r="E43" s="59" t="s">
        <v>212</v>
      </c>
      <c r="F43" s="59" t="s">
        <v>261</v>
      </c>
      <c r="G43" s="60" t="s">
        <v>110</v>
      </c>
      <c r="H43" s="60" t="s">
        <v>216</v>
      </c>
      <c r="I43" s="61" t="s">
        <v>113</v>
      </c>
      <c r="J43" s="61" t="s">
        <v>137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IF($O43="","",$O43+MAX(1,IF($N43="",1,$N43))-1)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Em execução</v>
      </c>
      <c r="C44" s="58" t="s">
        <v>264</v>
      </c>
      <c r="D44" s="59" t="s">
        <v>160</v>
      </c>
      <c r="E44" s="59" t="s">
        <v>265</v>
      </c>
      <c r="F44" s="59" t="s">
        <v>266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3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IF($O44="","",$O44+MAX(1,IF($N44="",1,$N44))-1)</f>
        <v>46267</v>
      </c>
      <c r="Q44" s="65"/>
      <c r="R44" s="60"/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0</v>
      </c>
      <c r="AC44" s="57" t="n">
        <f aca="false">IF($P44="",0,IF($P44&lt;Hoje!$L$1,1,IF(AND($P44=Hoje!$L$1,Hoje!$L$2&gt;Semana!$M$3),1,0)))</f>
        <v>0</v>
      </c>
      <c r="AD44" s="57" t="n">
        <f aca="false">IF($F44="","",IF(COUNTA($I44:$K44)=0,0,1/COUNTA($I44:$K44)))</f>
        <v>1</v>
      </c>
      <c r="AE44" s="57" t="n">
        <f aca="false">IF($AH44=0,"",SUM($AH$4:$AH44))</f>
        <v>17</v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1</v>
      </c>
      <c r="AI44" s="57" t="n">
        <f aca="false">IF(AND($F44&lt;&gt;"",$P44&lt;&gt;"",$P44&lt;Hoje!$C$3,$AB44=0,$R44&lt;&gt;"Cancelada"),1,0)</f>
        <v>0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Em execução</v>
      </c>
      <c r="C45" s="58" t="s">
        <v>267</v>
      </c>
      <c r="D45" s="59" t="s">
        <v>160</v>
      </c>
      <c r="E45" s="59" t="s">
        <v>265</v>
      </c>
      <c r="F45" s="59" t="s">
        <v>268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3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IF($O45="","",$O45+MAX(1,IF($N45="",1,$N45))-1)</f>
        <v>46267</v>
      </c>
      <c r="Q45" s="65"/>
      <c r="R45" s="60"/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0</v>
      </c>
      <c r="AC45" s="57" t="n">
        <f aca="false">IF($P45="",0,IF($P45&lt;Hoje!$L$1,1,IF(AND($P45=Hoje!$L$1,Hoje!$L$2&gt;Semana!$M$3),1,0)))</f>
        <v>0</v>
      </c>
      <c r="AD45" s="57" t="n">
        <f aca="false">IF($F45="","",IF(COUNTA($I45:$K45)=0,0,1/COUNTA($I45:$K45)))</f>
        <v>1</v>
      </c>
      <c r="AE45" s="57" t="n">
        <f aca="false">IF($AH45=0,"",SUM($AH$4:$AH45))</f>
        <v>18</v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1</v>
      </c>
      <c r="AI45" s="57" t="n">
        <f aca="false">IF(AND($F45&lt;&gt;"",$P45&lt;&gt;"",$P45&lt;Hoje!$C$3,$AB45=0,$R45&lt;&gt;"Cancelada"),1,0)</f>
        <v>0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Em execução</v>
      </c>
      <c r="C46" s="58" t="s">
        <v>267</v>
      </c>
      <c r="D46" s="59" t="s">
        <v>160</v>
      </c>
      <c r="E46" s="59" t="s">
        <v>265</v>
      </c>
      <c r="F46" s="59" t="s">
        <v>269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3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IF($O46="","",$O46+MAX(1,IF($N46="",1,$N46))-1)</f>
        <v>46267</v>
      </c>
      <c r="Q46" s="65"/>
      <c r="R46" s="60"/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0</v>
      </c>
      <c r="AC46" s="57" t="n">
        <f aca="false">IF($P46="",0,IF($P46&lt;Hoje!$L$1,1,IF(AND($P46=Hoje!$L$1,Hoje!$L$2&gt;Semana!$M$3),1,0)))</f>
        <v>0</v>
      </c>
      <c r="AD46" s="57" t="n">
        <f aca="false">IF($F46="","",IF(COUNTA($I46:$K46)=0,0,1/COUNTA($I46:$K46)))</f>
        <v>1</v>
      </c>
      <c r="AE46" s="57" t="n">
        <f aca="false">IF($AH46=0,"",SUM($AH$4:$AH46))</f>
        <v>19</v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1</v>
      </c>
      <c r="AI46" s="57" t="n">
        <f aca="false">IF(AND($F46&lt;&gt;"",$P46&lt;&gt;"",$P46&lt;Hoje!$C$3,$AB46=0,$R46&lt;&gt;"Cancelada"),1,0)</f>
        <v>0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Em execução</v>
      </c>
      <c r="C47" s="58" t="s">
        <v>270</v>
      </c>
      <c r="D47" s="59" t="s">
        <v>160</v>
      </c>
      <c r="E47" s="59" t="s">
        <v>265</v>
      </c>
      <c r="F47" s="59" t="s">
        <v>271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3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IF($O47="","",$O47+MAX(1,IF($N47="",1,$N47))-1)</f>
        <v>46267</v>
      </c>
      <c r="Q47" s="65"/>
      <c r="R47" s="60"/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0</v>
      </c>
      <c r="AD47" s="57" t="n">
        <f aca="false">IF($F47="","",IF(COUNTA($I47:$K47)=0,0,1/COUNTA($I47:$K47)))</f>
        <v>1</v>
      </c>
      <c r="AE47" s="57" t="n">
        <f aca="false">IF($AH47=0,"",SUM($AH$4:$AH47))</f>
        <v>20</v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1</v>
      </c>
      <c r="AI47" s="57" t="n">
        <f aca="false">IF(AND($F47&lt;&gt;"",$P47&lt;&gt;"",$P47&lt;Hoje!$C$3,$AB47=0,$R47&lt;&gt;"Cancelada"),1,0)</f>
        <v>0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Em execução</v>
      </c>
      <c r="C48" s="58" t="s">
        <v>272</v>
      </c>
      <c r="D48" s="59" t="s">
        <v>160</v>
      </c>
      <c r="E48" s="59" t="s">
        <v>265</v>
      </c>
      <c r="F48" s="59" t="s">
        <v>273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3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IF($O48="","",$O48+MAX(1,IF($N48="",1,$N48))-1)</f>
        <v>46267</v>
      </c>
      <c r="Q48" s="65"/>
      <c r="R48" s="60"/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0</v>
      </c>
      <c r="AD48" s="57" t="n">
        <f aca="false">IF($F48="","",IF(COUNTA($I48:$K48)=0,0,1/COUNTA($I48:$K48)))</f>
        <v>1</v>
      </c>
      <c r="AE48" s="57" t="n">
        <f aca="false">IF($AH48=0,"",SUM($AH$4:$AH48))</f>
        <v>21</v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1</v>
      </c>
      <c r="AI48" s="57" t="n">
        <f aca="false">IF(AND($F48&lt;&gt;"",$P48&lt;&gt;"",$P48&lt;Hoje!$C$3,$AB48=0,$R48&lt;&gt;"Cancelada"),1,0)</f>
        <v>0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Em execução</v>
      </c>
      <c r="C49" s="58" t="s">
        <v>274</v>
      </c>
      <c r="D49" s="59" t="s">
        <v>160</v>
      </c>
      <c r="E49" s="59" t="s">
        <v>265</v>
      </c>
      <c r="F49" s="59" t="s">
        <v>275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3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IF($O49="","",$O49+MAX(1,IF($N49="",1,$N49))-1)</f>
        <v>46267</v>
      </c>
      <c r="Q49" s="65"/>
      <c r="R49" s="60"/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0</v>
      </c>
      <c r="AC49" s="57" t="n">
        <f aca="false">IF($P49="",0,IF($P49&lt;Hoje!$L$1,1,IF(AND($P49=Hoje!$L$1,Hoje!$L$2&gt;Semana!$M$3),1,0)))</f>
        <v>0</v>
      </c>
      <c r="AD49" s="57" t="n">
        <f aca="false">IF($F49="","",IF(COUNTA($I49:$K49)=0,0,1/COUNTA($I49:$K49)))</f>
        <v>1</v>
      </c>
      <c r="AE49" s="57" t="n">
        <f aca="false">IF($AH49=0,"",SUM($AH$4:$AH49))</f>
        <v>22</v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1</v>
      </c>
      <c r="AI49" s="57" t="n">
        <f aca="false">IF(AND($F49&lt;&gt;"",$P49&lt;&gt;"",$P49&lt;Hoje!$C$3,$AB49=0,$R49&lt;&gt;"Cancelada"),1,0)</f>
        <v>0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Em execução</v>
      </c>
      <c r="C50" s="58" t="s">
        <v>276</v>
      </c>
      <c r="D50" s="59" t="s">
        <v>160</v>
      </c>
      <c r="E50" s="59" t="s">
        <v>265</v>
      </c>
      <c r="F50" s="59" t="s">
        <v>277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3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IF($O50="","",$O50+MAX(1,IF($N50="",1,$N50))-1)</f>
        <v>46267</v>
      </c>
      <c r="Q50" s="65"/>
      <c r="R50" s="60"/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0</v>
      </c>
      <c r="AC50" s="57" t="n">
        <f aca="false">IF($P50="",0,IF($P50&lt;Hoje!$L$1,1,IF(AND($P50=Hoje!$L$1,Hoje!$L$2&gt;Semana!$M$3),1,0)))</f>
        <v>0</v>
      </c>
      <c r="AD50" s="57" t="n">
        <f aca="false">IF($F50="","",IF(COUNTA($I50:$K50)=0,0,1/COUNTA($I50:$K50)))</f>
        <v>1</v>
      </c>
      <c r="AE50" s="57" t="n">
        <f aca="false">IF($AH50=0,"",SUM($AH$4:$AH50))</f>
        <v>23</v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1</v>
      </c>
      <c r="AI50" s="57" t="n">
        <f aca="false">IF(AND($F50&lt;&gt;"",$P50&lt;&gt;"",$P50&lt;Hoje!$C$3,$AB50=0,$R50&lt;&gt;"Cancelada"),1,0)</f>
        <v>0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Em execução</v>
      </c>
      <c r="C51" s="58" t="s">
        <v>278</v>
      </c>
      <c r="D51" s="59" t="s">
        <v>160</v>
      </c>
      <c r="E51" s="59" t="s">
        <v>265</v>
      </c>
      <c r="F51" s="59" t="s">
        <v>279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3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IF($O51="","",$O51+MAX(1,IF($N51="",1,$N51))-1)</f>
        <v>46267</v>
      </c>
      <c r="Q51" s="65"/>
      <c r="R51" s="60"/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0</v>
      </c>
      <c r="AC51" s="57" t="n">
        <f aca="false">IF($P51="",0,IF($P51&lt;Hoje!$L$1,1,IF(AND($P51=Hoje!$L$1,Hoje!$L$2&gt;Semana!$M$3),1,0)))</f>
        <v>0</v>
      </c>
      <c r="AD51" s="57" t="n">
        <f aca="false">IF($F51="","",IF(COUNTA($I51:$K51)=0,0,1/COUNTA($I51:$K51)))</f>
        <v>1</v>
      </c>
      <c r="AE51" s="57" t="n">
        <f aca="false">IF($AH51=0,"",SUM($AH$4:$AH51))</f>
        <v>24</v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1</v>
      </c>
      <c r="AI51" s="57" t="n">
        <f aca="false">IF(AND($F51&lt;&gt;"",$P51&lt;&gt;"",$P51&lt;Hoje!$C$3,$AB51=0,$R51&lt;&gt;"Cancelada"),1,0)</f>
        <v>0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Em execução</v>
      </c>
      <c r="C52" s="58" t="s">
        <v>280</v>
      </c>
      <c r="D52" s="59" t="s">
        <v>160</v>
      </c>
      <c r="E52" s="59" t="s">
        <v>265</v>
      </c>
      <c r="F52" s="59" t="s">
        <v>281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3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IF($O52="","",$O52+MAX(1,IF($N52="",1,$N52))-1)</f>
        <v>46267</v>
      </c>
      <c r="Q52" s="65"/>
      <c r="R52" s="60"/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0</v>
      </c>
      <c r="AC52" s="57" t="n">
        <f aca="false">IF($P52="",0,IF($P52&lt;Hoje!$L$1,1,IF(AND($P52=Hoje!$L$1,Hoje!$L$2&gt;Semana!$M$3),1,0)))</f>
        <v>0</v>
      </c>
      <c r="AD52" s="57" t="n">
        <f aca="false">IF($F52="","",IF(COUNTA($I52:$K52)=0,0,1/COUNTA($I52:$K52)))</f>
        <v>1</v>
      </c>
      <c r="AE52" s="57" t="n">
        <f aca="false">IF($AH52=0,"",SUM($AH$4:$AH52))</f>
        <v>25</v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1</v>
      </c>
      <c r="AI52" s="57" t="n">
        <f aca="false">IF(AND($F52&lt;&gt;"",$P52&lt;&gt;"",$P52&lt;Hoje!$C$3,$AB52=0,$R52&lt;&gt;"Cancelada"),1,0)</f>
        <v>0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Em execução</v>
      </c>
      <c r="C53" s="58" t="s">
        <v>282</v>
      </c>
      <c r="D53" s="59" t="s">
        <v>160</v>
      </c>
      <c r="E53" s="59" t="s">
        <v>265</v>
      </c>
      <c r="F53" s="59" t="s">
        <v>283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3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IF($O53="","",$O53+MAX(1,IF($N53="",1,$N53))-1)</f>
        <v>46267</v>
      </c>
      <c r="Q53" s="65"/>
      <c r="R53" s="60"/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0</v>
      </c>
      <c r="AC53" s="57" t="n">
        <f aca="false">IF($P53="",0,IF($P53&lt;Hoje!$L$1,1,IF(AND($P53=Hoje!$L$1,Hoje!$L$2&gt;Semana!$M$3),1,0)))</f>
        <v>0</v>
      </c>
      <c r="AD53" s="57" t="n">
        <f aca="false">IF($F53="","",IF(COUNTA($I53:$K53)=0,0,1/COUNTA($I53:$K53)))</f>
        <v>1</v>
      </c>
      <c r="AE53" s="57" t="n">
        <f aca="false">IF($AH53=0,"",SUM($AH$4:$AH53))</f>
        <v>26</v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1</v>
      </c>
      <c r="AI53" s="57" t="n">
        <f aca="false">IF(AND($F53&lt;&gt;"",$P53&lt;&gt;"",$P53&lt;Hoje!$C$3,$AB53=0,$R53&lt;&gt;"Cancelada"),1,0)</f>
        <v>0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Em execução</v>
      </c>
      <c r="C54" s="58" t="s">
        <v>284</v>
      </c>
      <c r="D54" s="59" t="s">
        <v>160</v>
      </c>
      <c r="E54" s="59" t="s">
        <v>265</v>
      </c>
      <c r="F54" s="59" t="s">
        <v>285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3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IF($O54="","",$O54+MAX(1,IF($N54="",1,$N54))-1)</f>
        <v>46267</v>
      </c>
      <c r="Q54" s="65"/>
      <c r="R54" s="60"/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0</v>
      </c>
      <c r="AC54" s="57" t="n">
        <f aca="false">IF($P54="",0,IF($P54&lt;Hoje!$L$1,1,IF(AND($P54=Hoje!$L$1,Hoje!$L$2&gt;Semana!$M$3),1,0)))</f>
        <v>0</v>
      </c>
      <c r="AD54" s="57" t="n">
        <f aca="false">IF($F54="","",IF(COUNTA($I54:$K54)=0,0,1/COUNTA($I54:$K54)))</f>
        <v>1</v>
      </c>
      <c r="AE54" s="57" t="n">
        <f aca="false">IF($AH54=0,"",SUM($AH$4:$AH54))</f>
        <v>27</v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1</v>
      </c>
      <c r="AI54" s="57" t="n">
        <f aca="false">IF(AND($F54&lt;&gt;"",$P54&lt;&gt;"",$P54&lt;Hoje!$C$3,$AB54=0,$R54&lt;&gt;"Cancelada"),1,0)</f>
        <v>0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Em execução</v>
      </c>
      <c r="C55" s="58" t="s">
        <v>286</v>
      </c>
      <c r="D55" s="59" t="s">
        <v>160</v>
      </c>
      <c r="E55" s="59" t="s">
        <v>265</v>
      </c>
      <c r="F55" s="59" t="s">
        <v>287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3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IF($O55="","",$O55+MAX(1,IF($N55="",1,$N55))-1)</f>
        <v>46267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28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Em execução</v>
      </c>
      <c r="C56" s="58" t="s">
        <v>286</v>
      </c>
      <c r="D56" s="59" t="s">
        <v>160</v>
      </c>
      <c r="E56" s="59" t="s">
        <v>265</v>
      </c>
      <c r="F56" s="59" t="s">
        <v>288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3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IF($O56="","",$O56+MAX(1,IF($N56="",1,$N56))-1)</f>
        <v>46267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29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Em execução</v>
      </c>
      <c r="C57" s="58" t="s">
        <v>289</v>
      </c>
      <c r="D57" s="59" t="s">
        <v>160</v>
      </c>
      <c r="E57" s="59" t="s">
        <v>265</v>
      </c>
      <c r="F57" s="59" t="s">
        <v>290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3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IF($O57="","",$O57+MAX(1,IF($N57="",1,$N57))-1)</f>
        <v>46267</v>
      </c>
      <c r="Q57" s="65"/>
      <c r="R57" s="60"/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0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30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Em execução</v>
      </c>
      <c r="C58" s="58" t="s">
        <v>291</v>
      </c>
      <c r="D58" s="59" t="s">
        <v>160</v>
      </c>
      <c r="E58" s="59" t="s">
        <v>265</v>
      </c>
      <c r="F58" s="59" t="s">
        <v>292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3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IF($O58="","",$O58+MAX(1,IF($N58="",1,$N58))-1)</f>
        <v>46267</v>
      </c>
      <c r="Q58" s="65"/>
      <c r="R58" s="60"/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0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31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Em execução</v>
      </c>
      <c r="C59" s="58" t="s">
        <v>293</v>
      </c>
      <c r="D59" s="59" t="s">
        <v>160</v>
      </c>
      <c r="E59" s="59" t="s">
        <v>265</v>
      </c>
      <c r="F59" s="59" t="s">
        <v>294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3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IF($O59="","",$O59+MAX(1,IF($N59="",1,$N59))-1)</f>
        <v>46267</v>
      </c>
      <c r="Q59" s="65"/>
      <c r="R59" s="60"/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n">
        <f aca="false">IF($AH59=0,"",SUM($AH$4:$AH59))</f>
        <v>32</v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1</v>
      </c>
      <c r="AI59" s="57" t="n">
        <f aca="false">IF(AND($F59&lt;&gt;"",$P59&lt;&gt;"",$P59&lt;Hoje!$C$3,$AB59=0,$R59&lt;&gt;"Cancelada"),1,0)</f>
        <v>0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Em execução</v>
      </c>
      <c r="C60" s="58" t="s">
        <v>270</v>
      </c>
      <c r="D60" s="59" t="s">
        <v>160</v>
      </c>
      <c r="E60" s="59" t="s">
        <v>265</v>
      </c>
      <c r="F60" s="59" t="s">
        <v>295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3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IF($O60="","",$O60+MAX(1,IF($N60="",1,$N60))-1)</f>
        <v>46267</v>
      </c>
      <c r="Q60" s="65"/>
      <c r="R60" s="60"/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33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 com atraso</v>
      </c>
      <c r="C61" s="58" t="s">
        <v>296</v>
      </c>
      <c r="D61" s="59" t="s">
        <v>162</v>
      </c>
      <c r="E61" s="59" t="s">
        <v>297</v>
      </c>
      <c r="F61" s="59" t="s">
        <v>298</v>
      </c>
      <c r="G61" s="60" t="s">
        <v>110</v>
      </c>
      <c r="H61" s="60" t="s">
        <v>88</v>
      </c>
      <c r="I61" s="61" t="s">
        <v>108</v>
      </c>
      <c r="J61" s="61" t="s">
        <v>123</v>
      </c>
      <c r="K61" s="61" t="s">
        <v>133</v>
      </c>
      <c r="L61" s="62" t="n">
        <v>35</v>
      </c>
      <c r="M61" s="63" t="s">
        <v>117</v>
      </c>
      <c r="N61" s="62" t="n">
        <v>3</v>
      </c>
      <c r="O61" s="64" t="n">
        <f aca="false">IF(OR($L61="",$M61=""),"",(DATE(Semana!$J$3,1,4)-WEEKDAY(DATE(Semana!$J$3,1,4),3))+($L61-1)*7+MATCH($M61,Listas!$F$5:$F$11,0)-1)</f>
        <v>46259</v>
      </c>
      <c r="P61" s="64" t="n">
        <f aca="false">IF($O61="","",$O61+MAX(1,IF($N61="",1,$N61))-1)</f>
        <v>46261</v>
      </c>
      <c r="Q61" s="65" t="n">
        <v>46260</v>
      </c>
      <c r="R61" s="60" t="s">
        <v>82</v>
      </c>
      <c r="S61" s="66"/>
      <c r="T61" s="59"/>
      <c r="U61" s="59" t="s">
        <v>299</v>
      </c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46259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n">
        <f aca="false">IF(OR($Q61="",$O61=""),"",MAX(0,$Q61-$O61))</f>
        <v>1</v>
      </c>
      <c r="AA61" s="57" t="n">
        <f aca="false">IF($F61="","",IF(AND($S61&lt;&gt;"",$L61&lt;&gt;"",$S61&lt;&gt;$L61),1,0))</f>
        <v>0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0.333333333333333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Adilton · Gabriel · Júnior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 com atraso</v>
      </c>
      <c r="C62" s="58" t="s">
        <v>300</v>
      </c>
      <c r="D62" s="59" t="s">
        <v>162</v>
      </c>
      <c r="E62" s="59" t="s">
        <v>297</v>
      </c>
      <c r="F62" s="59" t="s">
        <v>301</v>
      </c>
      <c r="G62" s="60" t="s">
        <v>110</v>
      </c>
      <c r="H62" s="60" t="s">
        <v>88</v>
      </c>
      <c r="I62" s="61" t="s">
        <v>108</v>
      </c>
      <c r="J62" s="61" t="s">
        <v>123</v>
      </c>
      <c r="K62" s="61" t="s">
        <v>133</v>
      </c>
      <c r="L62" s="62" t="n">
        <v>35</v>
      </c>
      <c r="M62" s="63" t="s">
        <v>117</v>
      </c>
      <c r="N62" s="62" t="n">
        <v>3</v>
      </c>
      <c r="O62" s="64" t="n">
        <f aca="false">IF(OR($L62="",$M62=""),"",(DATE(Semana!$J$3,1,4)-WEEKDAY(DATE(Semana!$J$3,1,4),3))+($L62-1)*7+MATCH($M62,Listas!$F$5:$F$11,0)-1)</f>
        <v>46259</v>
      </c>
      <c r="P62" s="64" t="n">
        <f aca="false">IF($O62="","",$O62+MAX(1,IF($N62="",1,$N62))-1)</f>
        <v>46261</v>
      </c>
      <c r="Q62" s="65" t="n">
        <v>46260</v>
      </c>
      <c r="R62" s="60" t="s">
        <v>82</v>
      </c>
      <c r="S62" s="66"/>
      <c r="T62" s="59"/>
      <c r="U62" s="59" t="s">
        <v>299</v>
      </c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46259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n">
        <f aca="false">IF(OR($Q62="",$O62=""),"",MAX(0,$Q62-$O62))</f>
        <v>1</v>
      </c>
      <c r="AA62" s="57" t="n">
        <f aca="false">IF($F62="","",IF(AND($S62&lt;&gt;"",$L62&lt;&gt;"",$S62&lt;&gt;$L62),1,0))</f>
        <v>0</v>
      </c>
      <c r="AB62" s="57" t="n">
        <f aca="false">IF($F62="","",IF($R62="Cancelada",0,IF(OR($Q62&lt;&gt;"",$R62="Concluída"),1,0)))</f>
        <v>1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0.333333333333333</v>
      </c>
      <c r="AE62" s="57" t="str">
        <f aca="false">IF($AH62=0,"",SUM($AH$4:$AH62))</f>
        <v/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Adilton · Gabriel · 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0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58"/>
      <c r="D63" s="59" t="s">
        <v>162</v>
      </c>
      <c r="E63" s="59" t="s">
        <v>297</v>
      </c>
      <c r="F63" s="59" t="s">
        <v>302</v>
      </c>
      <c r="G63" s="60" t="s">
        <v>110</v>
      </c>
      <c r="H63" s="60" t="s">
        <v>216</v>
      </c>
      <c r="I63" s="61" t="s">
        <v>108</v>
      </c>
      <c r="J63" s="61" t="s">
        <v>123</v>
      </c>
      <c r="K63" s="61" t="s">
        <v>133</v>
      </c>
      <c r="L63" s="62" t="n">
        <v>35</v>
      </c>
      <c r="M63" s="63" t="s">
        <v>117</v>
      </c>
      <c r="N63" s="62" t="n">
        <v>2</v>
      </c>
      <c r="O63" s="64" t="n">
        <f aca="false">IF(OR($L63="",$M63=""),"",(DATE(Semana!$J$3,1,4)-WEEKDAY(DATE(Semana!$J$3,1,4),3))+($L63-1)*7+MATCH($M63,Listas!$F$5:$F$11,0)-1)</f>
        <v>46259</v>
      </c>
      <c r="P63" s="64" t="n">
        <f aca="false">IF($O63="","",$O63+MAX(1,IF($N63="",1,$N63))-1)</f>
        <v>46260</v>
      </c>
      <c r="Q63" s="65" t="n">
        <v>46260</v>
      </c>
      <c r="R63" s="60" t="s">
        <v>82</v>
      </c>
      <c r="S63" s="66"/>
      <c r="T63" s="59"/>
      <c r="U63" s="59" t="s">
        <v>299</v>
      </c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46259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n">
        <f aca="false">IF(OR($Q63="",$O63=""),"",MAX(0,$Q63-$O63))</f>
        <v>1</v>
      </c>
      <c r="AA63" s="57" t="n">
        <f aca="false">IF($F63="","",IF(AND($S63&lt;&gt;"",$L63&lt;&gt;"",$S63&lt;&gt;$L63),1,0))</f>
        <v>0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0.333333333333333</v>
      </c>
      <c r="AE63" s="57" t="str">
        <f aca="false">IF($AH63=0,"",SUM($AH$4:$AH63))</f>
        <v/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Adilton · Gabriel · 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0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 com atraso</v>
      </c>
      <c r="C64" s="58"/>
      <c r="D64" s="59" t="s">
        <v>162</v>
      </c>
      <c r="E64" s="59" t="s">
        <v>297</v>
      </c>
      <c r="F64" s="59" t="s">
        <v>303</v>
      </c>
      <c r="G64" s="60" t="s">
        <v>110</v>
      </c>
      <c r="H64" s="60" t="s">
        <v>216</v>
      </c>
      <c r="I64" s="61" t="s">
        <v>108</v>
      </c>
      <c r="J64" s="61" t="s">
        <v>123</v>
      </c>
      <c r="K64" s="61" t="s">
        <v>133</v>
      </c>
      <c r="L64" s="62" t="n">
        <v>35</v>
      </c>
      <c r="M64" s="63" t="s">
        <v>117</v>
      </c>
      <c r="N64" s="62" t="n">
        <v>3</v>
      </c>
      <c r="O64" s="64" t="n">
        <f aca="false">IF(OR($L64="",$M64=""),"",(DATE(Semana!$J$3,1,4)-WEEKDAY(DATE(Semana!$J$3,1,4),3))+($L64-1)*7+MATCH($M64,Listas!$F$5:$F$11,0)-1)</f>
        <v>46259</v>
      </c>
      <c r="P64" s="64" t="n">
        <f aca="false">IF($O64="","",$O64+MAX(1,IF($N64="",1,$N64))-1)</f>
        <v>46261</v>
      </c>
      <c r="Q64" s="65" t="n">
        <v>46260</v>
      </c>
      <c r="R64" s="60" t="s">
        <v>82</v>
      </c>
      <c r="S64" s="66"/>
      <c r="T64" s="59"/>
      <c r="U64" s="59" t="s">
        <v>299</v>
      </c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46259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n">
        <f aca="false">IF(OR($Q64="",$O64=""),"",MAX(0,$Q64-$O64))</f>
        <v>1</v>
      </c>
      <c r="AA64" s="57" t="n">
        <f aca="false">IF($F64="","",IF(AND($S64&lt;&gt;"",$L64&lt;&gt;"",$S64&lt;&gt;$L64),1,0))</f>
        <v>0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0.333333333333333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Adilton · Gabriel · Júnior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58"/>
      <c r="D65" s="59" t="s">
        <v>162</v>
      </c>
      <c r="E65" s="59" t="s">
        <v>297</v>
      </c>
      <c r="F65" s="59" t="s">
        <v>304</v>
      </c>
      <c r="G65" s="60" t="s">
        <v>110</v>
      </c>
      <c r="H65" s="60" t="s">
        <v>216</v>
      </c>
      <c r="I65" s="61" t="s">
        <v>108</v>
      </c>
      <c r="J65" s="61" t="s">
        <v>123</v>
      </c>
      <c r="K65" s="61" t="s">
        <v>133</v>
      </c>
      <c r="L65" s="62" t="n">
        <v>35</v>
      </c>
      <c r="M65" s="63" t="s">
        <v>117</v>
      </c>
      <c r="N65" s="62" t="n">
        <v>2</v>
      </c>
      <c r="O65" s="64" t="n">
        <f aca="false">IF(OR($L65="",$M65=""),"",(DATE(Semana!$J$3,1,4)-WEEKDAY(DATE(Semana!$J$3,1,4),3))+($L65-1)*7+MATCH($M65,Listas!$F$5:$F$11,0)-1)</f>
        <v>46259</v>
      </c>
      <c r="P65" s="64" t="n">
        <f aca="false">IF($O65="","",$O65+MAX(1,IF($N65="",1,$N65))-1)</f>
        <v>46260</v>
      </c>
      <c r="Q65" s="65" t="n">
        <v>46260</v>
      </c>
      <c r="R65" s="60" t="s">
        <v>82</v>
      </c>
      <c r="S65" s="66"/>
      <c r="T65" s="59"/>
      <c r="U65" s="59" t="s">
        <v>299</v>
      </c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46259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n">
        <f aca="false">IF(OR($Q65="",$O65=""),"",MAX(0,$Q65-$O65))</f>
        <v>1</v>
      </c>
      <c r="AA65" s="57" t="n">
        <f aca="false">IF($F65="","",IF(AND($S65&lt;&gt;"",$L65&lt;&gt;"",$S65&lt;&gt;$L65),1,0))</f>
        <v>0</v>
      </c>
      <c r="AB65" s="57" t="n">
        <f aca="false">IF($F65="","",IF($R65="Cancelada",0,IF(OR($Q65&lt;&gt;"",$R65="Concluída"),1,0)))</f>
        <v>1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0.333333333333333</v>
      </c>
      <c r="AE65" s="57" t="str">
        <f aca="false">IF($AH65=0,"",SUM($AH$4:$AH65))</f>
        <v/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Adilton · Gabriel · Júnior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0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58"/>
      <c r="D66" s="59" t="s">
        <v>162</v>
      </c>
      <c r="E66" s="59" t="s">
        <v>297</v>
      </c>
      <c r="F66" s="59" t="s">
        <v>305</v>
      </c>
      <c r="G66" s="60" t="s">
        <v>110</v>
      </c>
      <c r="H66" s="60" t="s">
        <v>216</v>
      </c>
      <c r="I66" s="61" t="s">
        <v>108</v>
      </c>
      <c r="J66" s="61" t="s">
        <v>123</v>
      </c>
      <c r="K66" s="61" t="s">
        <v>133</v>
      </c>
      <c r="L66" s="62" t="n">
        <v>35</v>
      </c>
      <c r="M66" s="63" t="s">
        <v>117</v>
      </c>
      <c r="N66" s="62" t="n">
        <v>3</v>
      </c>
      <c r="O66" s="64" t="n">
        <f aca="false">IF(OR($L66="",$M66=""),"",(DATE(Semana!$J$3,1,4)-WEEKDAY(DATE(Semana!$J$3,1,4),3))+($L66-1)*7+MATCH($M66,Listas!$F$5:$F$11,0)-1)</f>
        <v>46259</v>
      </c>
      <c r="P66" s="64" t="n">
        <f aca="false">IF($O66="","",$O66+MAX(1,IF($N66="",1,$N66))-1)</f>
        <v>46261</v>
      </c>
      <c r="Q66" s="65" t="n">
        <v>46260</v>
      </c>
      <c r="R66" s="60" t="s">
        <v>82</v>
      </c>
      <c r="S66" s="66"/>
      <c r="T66" s="59"/>
      <c r="U66" s="59" t="s">
        <v>299</v>
      </c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46259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n">
        <f aca="false">IF(OR($Q66="",$O66=""),"",MAX(0,$Q66-$O66))</f>
        <v>1</v>
      </c>
      <c r="AA66" s="57" t="n">
        <f aca="false">IF($F66="","",IF(AND($S66&lt;&gt;"",$L66&lt;&gt;"",$S66&lt;&gt;$L66),1,0))</f>
        <v>0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0.333333333333333</v>
      </c>
      <c r="AE66" s="57" t="str">
        <f aca="false">IF($AH66=0,"",SUM($AH$4:$AH66))</f>
        <v/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Adilton · Gabriel · Júnior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0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58"/>
      <c r="D67" s="59" t="s">
        <v>162</v>
      </c>
      <c r="E67" s="59" t="s">
        <v>297</v>
      </c>
      <c r="F67" s="59" t="s">
        <v>306</v>
      </c>
      <c r="G67" s="60" t="s">
        <v>110</v>
      </c>
      <c r="H67" s="60" t="s">
        <v>216</v>
      </c>
      <c r="I67" s="61" t="s">
        <v>108</v>
      </c>
      <c r="J67" s="61" t="s">
        <v>123</v>
      </c>
      <c r="K67" s="61" t="s">
        <v>133</v>
      </c>
      <c r="L67" s="62" t="n">
        <v>35</v>
      </c>
      <c r="M67" s="63" t="s">
        <v>117</v>
      </c>
      <c r="N67" s="62" t="n">
        <v>3</v>
      </c>
      <c r="O67" s="64" t="n">
        <f aca="false">IF(OR($L67="",$M67=""),"",(DATE(Semana!$J$3,1,4)-WEEKDAY(DATE(Semana!$J$3,1,4),3))+($L67-1)*7+MATCH($M67,Listas!$F$5:$F$11,0)-1)</f>
        <v>46259</v>
      </c>
      <c r="P67" s="64" t="n">
        <f aca="false">IF($O67="","",$O67+MAX(1,IF($N67="",1,$N67))-1)</f>
        <v>46261</v>
      </c>
      <c r="Q67" s="65" t="n">
        <v>46260</v>
      </c>
      <c r="R67" s="60" t="s">
        <v>82</v>
      </c>
      <c r="S67" s="66"/>
      <c r="T67" s="59"/>
      <c r="U67" s="59" t="s">
        <v>299</v>
      </c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46259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n">
        <f aca="false">IF(OR($Q67="",$O67=""),"",MAX(0,$Q67-$O67))</f>
        <v>1</v>
      </c>
      <c r="AA67" s="57" t="n">
        <f aca="false">IF($F67="","",IF(AND($S67&lt;&gt;"",$L67&lt;&gt;"",$S67&lt;&gt;$L67),1,0))</f>
        <v>0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0.333333333333333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Adilton · Gabriel · Júnior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/>
      <c r="D68" s="59" t="s">
        <v>162</v>
      </c>
      <c r="E68" s="59" t="s">
        <v>297</v>
      </c>
      <c r="F68" s="59" t="s">
        <v>307</v>
      </c>
      <c r="G68" s="60" t="s">
        <v>110</v>
      </c>
      <c r="H68" s="60" t="s">
        <v>216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3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IF($O68="","",$O68+MAX(1,IF($N68="",1,$N68))-1)</f>
        <v>46261</v>
      </c>
      <c r="Q68" s="65" t="n">
        <v>46260</v>
      </c>
      <c r="R68" s="60" t="s">
        <v>82</v>
      </c>
      <c r="S68" s="66"/>
      <c r="T68" s="59"/>
      <c r="U68" s="59" t="s">
        <v>299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/>
      <c r="D69" s="59" t="s">
        <v>162</v>
      </c>
      <c r="E69" s="59" t="s">
        <v>297</v>
      </c>
      <c r="F69" s="59" t="s">
        <v>308</v>
      </c>
      <c r="G69" s="60" t="s">
        <v>110</v>
      </c>
      <c r="H69" s="60" t="s">
        <v>216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2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IF($O69="","",$O69+MAX(1,IF($N69="",1,$N69))-1)</f>
        <v>46260</v>
      </c>
      <c r="Q69" s="65" t="n">
        <v>46260</v>
      </c>
      <c r="R69" s="60" t="s">
        <v>82</v>
      </c>
      <c r="S69" s="66"/>
      <c r="T69" s="59"/>
      <c r="U69" s="59" t="s">
        <v>299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162</v>
      </c>
      <c r="E70" s="59" t="s">
        <v>297</v>
      </c>
      <c r="F70" s="59" t="s">
        <v>309</v>
      </c>
      <c r="G70" s="60" t="s">
        <v>110</v>
      </c>
      <c r="H70" s="60" t="s">
        <v>216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2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IF($O70="","",$O70+MAX(1,IF($N70="",1,$N70))-1)</f>
        <v>46260</v>
      </c>
      <c r="Q70" s="65" t="n">
        <v>46260</v>
      </c>
      <c r="R70" s="60" t="s">
        <v>82</v>
      </c>
      <c r="S70" s="66"/>
      <c r="T70" s="59"/>
      <c r="U70" s="59" t="s">
        <v>299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</v>
      </c>
      <c r="C71" s="58"/>
      <c r="D71" s="59" t="s">
        <v>162</v>
      </c>
      <c r="E71" s="59" t="s">
        <v>297</v>
      </c>
      <c r="F71" s="59" t="s">
        <v>310</v>
      </c>
      <c r="G71" s="60" t="s">
        <v>110</v>
      </c>
      <c r="H71" s="60" t="s">
        <v>216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122</v>
      </c>
      <c r="N71" s="62" t="n">
        <v>3</v>
      </c>
      <c r="O71" s="64" t="n">
        <f aca="false">IF(OR($L71="",$M71=""),"",(DATE(Semana!$J$3,1,4)-WEEKDAY(DATE(Semana!$J$3,1,4),3))+($L71-1)*7+MATCH($M71,Listas!$F$5:$F$11,0)-1)</f>
        <v>46260</v>
      </c>
      <c r="P71" s="64" t="n">
        <f aca="false">IF($O71="","",$O71+MAX(1,IF($N71="",1,$N71))-1)</f>
        <v>46262</v>
      </c>
      <c r="Q71" s="65" t="n">
        <v>46260</v>
      </c>
      <c r="R71" s="60" t="s">
        <v>82</v>
      </c>
      <c r="S71" s="66"/>
      <c r="T71" s="59"/>
      <c r="U71" s="59" t="s">
        <v>299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46260</v>
      </c>
      <c r="X71" s="57" t="n">
        <f aca="false">IF($F71="","",IF(OR($Q71="",$O71=""),0,IF($Q71&lt;=$O71,1,0)))</f>
        <v>1</v>
      </c>
      <c r="Y71" s="57" t="n">
        <f aca="false">IF($F71="","",IF(OR($Q71="",$W71=""),0,IF($Q71&lt;=$W71,1,0)))</f>
        <v>1</v>
      </c>
      <c r="Z71" s="57" t="n">
        <f aca="false">IF(OR($Q71="",$O71=""),"",MAX(0,$Q71-$O71))</f>
        <v>0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</v>
      </c>
      <c r="C72" s="58"/>
      <c r="D72" s="59" t="s">
        <v>162</v>
      </c>
      <c r="E72" s="59" t="s">
        <v>297</v>
      </c>
      <c r="F72" s="59" t="s">
        <v>311</v>
      </c>
      <c r="G72" s="60" t="s">
        <v>110</v>
      </c>
      <c r="H72" s="60" t="s">
        <v>216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122</v>
      </c>
      <c r="N72" s="62" t="n">
        <v>2</v>
      </c>
      <c r="O72" s="64" t="n">
        <f aca="false">IF(OR($L72="",$M72=""),"",(DATE(Semana!$J$3,1,4)-WEEKDAY(DATE(Semana!$J$3,1,4),3))+($L72-1)*7+MATCH($M72,Listas!$F$5:$F$11,0)-1)</f>
        <v>46260</v>
      </c>
      <c r="P72" s="64" t="n">
        <f aca="false">IF($O72="","",$O72+MAX(1,IF($N72="",1,$N72))-1)</f>
        <v>46261</v>
      </c>
      <c r="Q72" s="65" t="n">
        <v>46260</v>
      </c>
      <c r="R72" s="60" t="s">
        <v>82</v>
      </c>
      <c r="S72" s="66"/>
      <c r="T72" s="59"/>
      <c r="U72" s="59" t="s">
        <v>299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46260</v>
      </c>
      <c r="X72" s="57" t="n">
        <f aca="false">IF($F72="","",IF(OR($Q72="",$O72=""),0,IF($Q72&lt;=$O72,1,0)))</f>
        <v>1</v>
      </c>
      <c r="Y72" s="57" t="n">
        <f aca="false">IF($F72="","",IF(OR($Q72="",$W72=""),0,IF($Q72&lt;=$W72,1,0)))</f>
        <v>1</v>
      </c>
      <c r="Z72" s="57" t="n">
        <f aca="false">IF(OR($Q72="",$O72=""),"",MAX(0,$Q72-$O72))</f>
        <v>0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</v>
      </c>
      <c r="C73" s="58"/>
      <c r="D73" s="59" t="s">
        <v>162</v>
      </c>
      <c r="E73" s="59" t="s">
        <v>297</v>
      </c>
      <c r="F73" s="59" t="s">
        <v>312</v>
      </c>
      <c r="G73" s="60" t="s">
        <v>110</v>
      </c>
      <c r="H73" s="60" t="s">
        <v>216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122</v>
      </c>
      <c r="N73" s="62" t="n">
        <v>3</v>
      </c>
      <c r="O73" s="64" t="n">
        <f aca="false">IF(OR($L73="",$M73=""),"",(DATE(Semana!$J$3,1,4)-WEEKDAY(DATE(Semana!$J$3,1,4),3))+($L73-1)*7+MATCH($M73,Listas!$F$5:$F$11,0)-1)</f>
        <v>46260</v>
      </c>
      <c r="P73" s="64" t="n">
        <f aca="false">IF($O73="","",$O73+MAX(1,IF($N73="",1,$N73))-1)</f>
        <v>46262</v>
      </c>
      <c r="Q73" s="65" t="n">
        <v>46260</v>
      </c>
      <c r="R73" s="60" t="s">
        <v>82</v>
      </c>
      <c r="S73" s="66"/>
      <c r="T73" s="59"/>
      <c r="U73" s="59" t="s">
        <v>299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46260</v>
      </c>
      <c r="X73" s="57" t="n">
        <f aca="false">IF($F73="","",IF(OR($Q73="",$O73=""),0,IF($Q73&lt;=$O73,1,0)))</f>
        <v>1</v>
      </c>
      <c r="Y73" s="57" t="n">
        <f aca="false">IF($F73="","",IF(OR($Q73="",$W73=""),0,IF($Q73&lt;=$W73,1,0)))</f>
        <v>1</v>
      </c>
      <c r="Z73" s="57" t="n">
        <f aca="false">IF(OR($Q73="",$O73=""),"",MAX(0,$Q73-$O73))</f>
        <v>0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</v>
      </c>
      <c r="C74" s="58"/>
      <c r="D74" s="59" t="s">
        <v>162</v>
      </c>
      <c r="E74" s="59" t="s">
        <v>297</v>
      </c>
      <c r="F74" s="59" t="s">
        <v>313</v>
      </c>
      <c r="G74" s="60" t="s">
        <v>110</v>
      </c>
      <c r="H74" s="60" t="s">
        <v>216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122</v>
      </c>
      <c r="N74" s="62" t="n">
        <v>2</v>
      </c>
      <c r="O74" s="64" t="n">
        <f aca="false">IF(OR($L74="",$M74=""),"",(DATE(Semana!$J$3,1,4)-WEEKDAY(DATE(Semana!$J$3,1,4),3))+($L74-1)*7+MATCH($M74,Listas!$F$5:$F$11,0)-1)</f>
        <v>46260</v>
      </c>
      <c r="P74" s="64" t="n">
        <f aca="false">IF($O74="","",$O74+MAX(1,IF($N74="",1,$N74))-1)</f>
        <v>46261</v>
      </c>
      <c r="Q74" s="65" t="n">
        <v>46260</v>
      </c>
      <c r="R74" s="60" t="s">
        <v>82</v>
      </c>
      <c r="S74" s="66"/>
      <c r="T74" s="59"/>
      <c r="U74" s="59" t="s">
        <v>299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46260</v>
      </c>
      <c r="X74" s="57" t="n">
        <f aca="false">IF($F74="","",IF(OR($Q74="",$O74=""),0,IF($Q74&lt;=$O74,1,0)))</f>
        <v>1</v>
      </c>
      <c r="Y74" s="57" t="n">
        <f aca="false">IF($F74="","",IF(OR($Q74="",$W74=""),0,IF($Q74&lt;=$W74,1,0)))</f>
        <v>1</v>
      </c>
      <c r="Z74" s="57" t="n">
        <f aca="false">IF(OR($Q74="",$O74=""),"",MAX(0,$Q74-$O74))</f>
        <v>0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</v>
      </c>
      <c r="C75" s="58"/>
      <c r="D75" s="59" t="s">
        <v>162</v>
      </c>
      <c r="E75" s="59" t="s">
        <v>297</v>
      </c>
      <c r="F75" s="59" t="s">
        <v>314</v>
      </c>
      <c r="G75" s="60" t="s">
        <v>110</v>
      </c>
      <c r="H75" s="60" t="s">
        <v>216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122</v>
      </c>
      <c r="N75" s="62" t="n">
        <v>3</v>
      </c>
      <c r="O75" s="64" t="n">
        <f aca="false">IF(OR($L75="",$M75=""),"",(DATE(Semana!$J$3,1,4)-WEEKDAY(DATE(Semana!$J$3,1,4),3))+($L75-1)*7+MATCH($M75,Listas!$F$5:$F$11,0)-1)</f>
        <v>46260</v>
      </c>
      <c r="P75" s="64" t="n">
        <f aca="false">IF($O75="","",$O75+MAX(1,IF($N75="",1,$N75))-1)</f>
        <v>46262</v>
      </c>
      <c r="Q75" s="65" t="n">
        <v>46260</v>
      </c>
      <c r="R75" s="60" t="s">
        <v>82</v>
      </c>
      <c r="S75" s="66"/>
      <c r="T75" s="59"/>
      <c r="U75" s="59" t="s">
        <v>299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46260</v>
      </c>
      <c r="X75" s="57" t="n">
        <f aca="false">IF($F75="","",IF(OR($Q75="",$O75=""),0,IF($Q75&lt;=$O75,1,0)))</f>
        <v>1</v>
      </c>
      <c r="Y75" s="57" t="n">
        <f aca="false">IF($F75="","",IF(OR($Q75="",$W75=""),0,IF($Q75&lt;=$W75,1,0)))</f>
        <v>1</v>
      </c>
      <c r="Z75" s="57" t="n">
        <f aca="false">IF(OR($Q75="",$O75=""),"",MAX(0,$Q75-$O75))</f>
        <v>0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</v>
      </c>
      <c r="C76" s="58"/>
      <c r="D76" s="59" t="s">
        <v>162</v>
      </c>
      <c r="E76" s="59" t="s">
        <v>297</v>
      </c>
      <c r="F76" s="59" t="s">
        <v>315</v>
      </c>
      <c r="G76" s="60" t="s">
        <v>110</v>
      </c>
      <c r="H76" s="60" t="s">
        <v>216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122</v>
      </c>
      <c r="N76" s="62" t="n">
        <v>3</v>
      </c>
      <c r="O76" s="64" t="n">
        <f aca="false">IF(OR($L76="",$M76=""),"",(DATE(Semana!$J$3,1,4)-WEEKDAY(DATE(Semana!$J$3,1,4),3))+($L76-1)*7+MATCH($M76,Listas!$F$5:$F$11,0)-1)</f>
        <v>46260</v>
      </c>
      <c r="P76" s="64" t="n">
        <f aca="false">IF($O76="","",$O76+MAX(1,IF($N76="",1,$N76))-1)</f>
        <v>46262</v>
      </c>
      <c r="Q76" s="65" t="n">
        <v>46260</v>
      </c>
      <c r="R76" s="60" t="s">
        <v>82</v>
      </c>
      <c r="S76" s="66"/>
      <c r="T76" s="59"/>
      <c r="U76" s="59" t="s">
        <v>299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46260</v>
      </c>
      <c r="X76" s="57" t="n">
        <f aca="false">IF($F76="","",IF(OR($Q76="",$O76=""),0,IF($Q76&lt;=$O76,1,0)))</f>
        <v>1</v>
      </c>
      <c r="Y76" s="57" t="n">
        <f aca="false">IF($F76="","",IF(OR($Q76="",$W76=""),0,IF($Q76&lt;=$W76,1,0)))</f>
        <v>1</v>
      </c>
      <c r="Z76" s="57" t="n">
        <f aca="false">IF(OR($Q76="",$O76=""),"",MAX(0,$Q76-$O76))</f>
        <v>0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</v>
      </c>
      <c r="C77" s="58"/>
      <c r="D77" s="59" t="s">
        <v>162</v>
      </c>
      <c r="E77" s="59" t="s">
        <v>297</v>
      </c>
      <c r="F77" s="59" t="s">
        <v>316</v>
      </c>
      <c r="G77" s="60" t="s">
        <v>110</v>
      </c>
      <c r="H77" s="60" t="s">
        <v>216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122</v>
      </c>
      <c r="N77" s="62" t="n">
        <v>2</v>
      </c>
      <c r="O77" s="64" t="n">
        <f aca="false">IF(OR($L77="",$M77=""),"",(DATE(Semana!$J$3,1,4)-WEEKDAY(DATE(Semana!$J$3,1,4),3))+($L77-1)*7+MATCH($M77,Listas!$F$5:$F$11,0)-1)</f>
        <v>46260</v>
      </c>
      <c r="P77" s="64" t="n">
        <f aca="false">IF($O77="","",$O77+MAX(1,IF($N77="",1,$N77))-1)</f>
        <v>46261</v>
      </c>
      <c r="Q77" s="65" t="n">
        <v>46260</v>
      </c>
      <c r="R77" s="60" t="s">
        <v>82</v>
      </c>
      <c r="S77" s="66"/>
      <c r="T77" s="59"/>
      <c r="U77" s="59" t="s">
        <v>299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46260</v>
      </c>
      <c r="X77" s="57" t="n">
        <f aca="false">IF($F77="","",IF(OR($Q77="",$O77=""),0,IF($Q77&lt;=$O77,1,0)))</f>
        <v>1</v>
      </c>
      <c r="Y77" s="57" t="n">
        <f aca="false">IF($F77="","",IF(OR($Q77="",$W77=""),0,IF($Q77&lt;=$W77,1,0)))</f>
        <v>1</v>
      </c>
      <c r="Z77" s="57" t="n">
        <f aca="false">IF(OR($Q77="",$O77=""),"",MAX(0,$Q77-$O77))</f>
        <v>0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162</v>
      </c>
      <c r="E78" s="59" t="s">
        <v>297</v>
      </c>
      <c r="F78" s="59" t="s">
        <v>317</v>
      </c>
      <c r="G78" s="60" t="s">
        <v>110</v>
      </c>
      <c r="H78" s="60" t="s">
        <v>216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IF($O78="","",$O78+MAX(1,IF($N78="",1,$N78))-1)</f>
        <v>46263</v>
      </c>
      <c r="Q78" s="65" t="n">
        <v>46260</v>
      </c>
      <c r="R78" s="60" t="s">
        <v>82</v>
      </c>
      <c r="S78" s="66"/>
      <c r="T78" s="59"/>
      <c r="U78" s="59" t="s">
        <v>299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162</v>
      </c>
      <c r="E79" s="59" t="s">
        <v>297</v>
      </c>
      <c r="F79" s="59" t="s">
        <v>318</v>
      </c>
      <c r="G79" s="60" t="s">
        <v>110</v>
      </c>
      <c r="H79" s="60" t="s">
        <v>216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2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IF($O79="","",$O79+MAX(1,IF($N79="",1,$N79))-1)</f>
        <v>46261</v>
      </c>
      <c r="Q79" s="65" t="n">
        <v>46260</v>
      </c>
      <c r="R79" s="60" t="s">
        <v>82</v>
      </c>
      <c r="S79" s="66"/>
      <c r="T79" s="59"/>
      <c r="U79" s="59" t="s">
        <v>299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162</v>
      </c>
      <c r="E80" s="59" t="s">
        <v>297</v>
      </c>
      <c r="F80" s="59" t="s">
        <v>319</v>
      </c>
      <c r="G80" s="60" t="s">
        <v>110</v>
      </c>
      <c r="H80" s="60" t="s">
        <v>216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2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IF($O80="","",$O80+MAX(1,IF($N80="",1,$N80))-1)</f>
        <v>46261</v>
      </c>
      <c r="Q80" s="65" t="n">
        <v>46260</v>
      </c>
      <c r="R80" s="60" t="s">
        <v>82</v>
      </c>
      <c r="S80" s="66"/>
      <c r="T80" s="59"/>
      <c r="U80" s="59" t="s">
        <v>299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 com atraso</v>
      </c>
      <c r="C81" s="58" t="s">
        <v>320</v>
      </c>
      <c r="D81" s="59" t="s">
        <v>163</v>
      </c>
      <c r="E81" s="59" t="s">
        <v>321</v>
      </c>
      <c r="F81" s="59" t="s">
        <v>322</v>
      </c>
      <c r="G81" s="60" t="s">
        <v>110</v>
      </c>
      <c r="H81" s="60" t="s">
        <v>216</v>
      </c>
      <c r="I81" s="61" t="s">
        <v>108</v>
      </c>
      <c r="J81" s="61" t="s">
        <v>118</v>
      </c>
      <c r="K81" s="61"/>
      <c r="L81" s="62" t="n">
        <v>35</v>
      </c>
      <c r="M81" s="63" t="s">
        <v>112</v>
      </c>
      <c r="N81" s="62" t="n">
        <v>3</v>
      </c>
      <c r="O81" s="64" t="n">
        <f aca="false">IF(OR($L81="",$M81=""),"",(DATE(Semana!$J$3,1,4)-WEEKDAY(DATE(Semana!$J$3,1,4),3))+($L81-1)*7+MATCH($M81,Listas!$F$5:$F$11,0)-1)</f>
        <v>46258</v>
      </c>
      <c r="P81" s="64" t="n">
        <f aca="false">IF($O81="","",$O81+MAX(1,IF($N81="",1,$N81))-1)</f>
        <v>46260</v>
      </c>
      <c r="Q81" s="65" t="n">
        <v>46260</v>
      </c>
      <c r="R81" s="60" t="s">
        <v>82</v>
      </c>
      <c r="S81" s="66"/>
      <c r="T81" s="59"/>
      <c r="U81" s="59"/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46258</v>
      </c>
      <c r="X81" s="57" t="n">
        <f aca="false">IF($F81="","",IF(OR($Q81="",$O81=""),0,IF($Q81&lt;=$O81,1,0)))</f>
        <v>0</v>
      </c>
      <c r="Y81" s="57" t="n">
        <f aca="false">IF($F81="","",IF(OR($Q81="",$W81=""),0,IF($Q81&lt;=$W81,1,0)))</f>
        <v>0</v>
      </c>
      <c r="Z81" s="57" t="n">
        <f aca="false">IF(OR($Q81="",$O81=""),"",MAX(0,$Q81-$O81))</f>
        <v>2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0.5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Alexandre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 com atraso</v>
      </c>
      <c r="C82" s="58" t="s">
        <v>323</v>
      </c>
      <c r="D82" s="59" t="s">
        <v>163</v>
      </c>
      <c r="E82" s="59" t="s">
        <v>321</v>
      </c>
      <c r="F82" s="59" t="s">
        <v>324</v>
      </c>
      <c r="G82" s="60" t="s">
        <v>110</v>
      </c>
      <c r="H82" s="60" t="s">
        <v>216</v>
      </c>
      <c r="I82" s="61" t="s">
        <v>108</v>
      </c>
      <c r="J82" s="61" t="s">
        <v>118</v>
      </c>
      <c r="K82" s="61"/>
      <c r="L82" s="62" t="n">
        <v>35</v>
      </c>
      <c r="M82" s="63" t="s">
        <v>112</v>
      </c>
      <c r="N82" s="62" t="n">
        <v>4</v>
      </c>
      <c r="O82" s="64" t="n">
        <f aca="false">IF(OR($L82="",$M82=""),"",(DATE(Semana!$J$3,1,4)-WEEKDAY(DATE(Semana!$J$3,1,4),3))+($L82-1)*7+MATCH($M82,Listas!$F$5:$F$11,0)-1)</f>
        <v>46258</v>
      </c>
      <c r="P82" s="64" t="n">
        <f aca="false">IF($O82="","",$O82+MAX(1,IF($N82="",1,$N82))-1)</f>
        <v>46261</v>
      </c>
      <c r="Q82" s="65" t="n">
        <v>46260</v>
      </c>
      <c r="R82" s="60" t="s">
        <v>82</v>
      </c>
      <c r="S82" s="66"/>
      <c r="T82" s="59"/>
      <c r="U82" s="59"/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46258</v>
      </c>
      <c r="X82" s="57" t="n">
        <f aca="false">IF($F82="","",IF(OR($Q82="",$O82=""),0,IF($Q82&lt;=$O82,1,0)))</f>
        <v>0</v>
      </c>
      <c r="Y82" s="57" t="n">
        <f aca="false">IF($F82="","",IF(OR($Q82="",$W82=""),0,IF($Q82&lt;=$W82,1,0)))</f>
        <v>0</v>
      </c>
      <c r="Z82" s="57" t="n">
        <f aca="false">IF(OR($Q82="",$O82=""),"",MAX(0,$Q82-$O82))</f>
        <v>2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0.5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Alexandre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 com atraso</v>
      </c>
      <c r="C83" s="58" t="s">
        <v>325</v>
      </c>
      <c r="D83" s="59" t="s">
        <v>163</v>
      </c>
      <c r="E83" s="59" t="s">
        <v>321</v>
      </c>
      <c r="F83" s="59" t="s">
        <v>326</v>
      </c>
      <c r="G83" s="60" t="s">
        <v>110</v>
      </c>
      <c r="H83" s="60" t="s">
        <v>216</v>
      </c>
      <c r="I83" s="61" t="s">
        <v>108</v>
      </c>
      <c r="J83" s="61" t="s">
        <v>118</v>
      </c>
      <c r="K83" s="61"/>
      <c r="L83" s="62" t="n">
        <v>35</v>
      </c>
      <c r="M83" s="63" t="s">
        <v>112</v>
      </c>
      <c r="N83" s="62" t="n">
        <v>3</v>
      </c>
      <c r="O83" s="64" t="n">
        <f aca="false">IF(OR($L83="",$M83=""),"",(DATE(Semana!$J$3,1,4)-WEEKDAY(DATE(Semana!$J$3,1,4),3))+($L83-1)*7+MATCH($M83,Listas!$F$5:$F$11,0)-1)</f>
        <v>46258</v>
      </c>
      <c r="P83" s="64" t="n">
        <f aca="false">IF($O83="","",$O83+MAX(1,IF($N83="",1,$N83))-1)</f>
        <v>46260</v>
      </c>
      <c r="Q83" s="65" t="n">
        <v>46260</v>
      </c>
      <c r="R83" s="60" t="s">
        <v>82</v>
      </c>
      <c r="S83" s="66"/>
      <c r="T83" s="59"/>
      <c r="U83" s="59"/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46258</v>
      </c>
      <c r="X83" s="57" t="n">
        <f aca="false">IF($F83="","",IF(OR($Q83="",$O83=""),0,IF($Q83&lt;=$O83,1,0)))</f>
        <v>0</v>
      </c>
      <c r="Y83" s="57" t="n">
        <f aca="false">IF($F83="","",IF(OR($Q83="",$W83=""),0,IF($Q83&lt;=$W83,1,0)))</f>
        <v>0</v>
      </c>
      <c r="Z83" s="57" t="n">
        <f aca="false">IF(OR($Q83="",$O83=""),"",MAX(0,$Q83-$O83))</f>
        <v>2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0.5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Alexandre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 com atraso</v>
      </c>
      <c r="C84" s="58" t="s">
        <v>327</v>
      </c>
      <c r="D84" s="59" t="s">
        <v>163</v>
      </c>
      <c r="E84" s="59" t="s">
        <v>321</v>
      </c>
      <c r="F84" s="59" t="s">
        <v>328</v>
      </c>
      <c r="G84" s="60" t="s">
        <v>110</v>
      </c>
      <c r="H84" s="60" t="s">
        <v>88</v>
      </c>
      <c r="I84" s="61" t="s">
        <v>108</v>
      </c>
      <c r="J84" s="61" t="s">
        <v>118</v>
      </c>
      <c r="K84" s="61"/>
      <c r="L84" s="62" t="n">
        <v>35</v>
      </c>
      <c r="M84" s="63" t="s">
        <v>117</v>
      </c>
      <c r="N84" s="62" t="n">
        <v>4</v>
      </c>
      <c r="O84" s="64" t="n">
        <f aca="false">IF(OR($L84="",$M84=""),"",(DATE(Semana!$J$3,1,4)-WEEKDAY(DATE(Semana!$J$3,1,4),3))+($L84-1)*7+MATCH($M84,Listas!$F$5:$F$11,0)-1)</f>
        <v>46259</v>
      </c>
      <c r="P84" s="64" t="n">
        <f aca="false">IF($O84="","",$O84+MAX(1,IF($N84="",1,$N84))-1)</f>
        <v>46262</v>
      </c>
      <c r="Q84" s="65" t="n">
        <v>46260</v>
      </c>
      <c r="R84" s="60" t="s">
        <v>82</v>
      </c>
      <c r="S84" s="66"/>
      <c r="T84" s="59"/>
      <c r="U84" s="59"/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46259</v>
      </c>
      <c r="X84" s="57" t="n">
        <f aca="false">IF($F84="","",IF(OR($Q84="",$O84=""),0,IF($Q84&lt;=$O84,1,0)))</f>
        <v>0</v>
      </c>
      <c r="Y84" s="57" t="n">
        <f aca="false">IF($F84="","",IF(OR($Q84="",$W84=""),0,IF($Q84&lt;=$W84,1,0)))</f>
        <v>0</v>
      </c>
      <c r="Z84" s="57" t="n">
        <f aca="false">IF(OR($Q84="",$O84=""),"",MAX(0,$Q84-$O84))</f>
        <v>1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0.5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Alexandre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 com atraso</v>
      </c>
      <c r="C85" s="58" t="s">
        <v>329</v>
      </c>
      <c r="D85" s="59" t="s">
        <v>163</v>
      </c>
      <c r="E85" s="59" t="s">
        <v>321</v>
      </c>
      <c r="F85" s="59" t="s">
        <v>330</v>
      </c>
      <c r="G85" s="60" t="s">
        <v>110</v>
      </c>
      <c r="H85" s="60" t="s">
        <v>88</v>
      </c>
      <c r="I85" s="61" t="s">
        <v>108</v>
      </c>
      <c r="J85" s="61" t="s">
        <v>118</v>
      </c>
      <c r="K85" s="61"/>
      <c r="L85" s="62" t="n">
        <v>35</v>
      </c>
      <c r="M85" s="63" t="s">
        <v>117</v>
      </c>
      <c r="N85" s="62" t="n">
        <v>2</v>
      </c>
      <c r="O85" s="64" t="n">
        <f aca="false">IF(OR($L85="",$M85=""),"",(DATE(Semana!$J$3,1,4)-WEEKDAY(DATE(Semana!$J$3,1,4),3))+($L85-1)*7+MATCH($M85,Listas!$F$5:$F$11,0)-1)</f>
        <v>46259</v>
      </c>
      <c r="P85" s="64" t="n">
        <f aca="false">IF($O85="","",$O85+MAX(1,IF($N85="",1,$N85))-1)</f>
        <v>46260</v>
      </c>
      <c r="Q85" s="65" t="n">
        <v>46260</v>
      </c>
      <c r="R85" s="60" t="s">
        <v>82</v>
      </c>
      <c r="S85" s="66"/>
      <c r="T85" s="59"/>
      <c r="U85" s="59"/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46259</v>
      </c>
      <c r="X85" s="57" t="n">
        <f aca="false">IF($F85="","",IF(OR($Q85="",$O85=""),0,IF($Q85&lt;=$O85,1,0)))</f>
        <v>0</v>
      </c>
      <c r="Y85" s="57" t="n">
        <f aca="false">IF($F85="","",IF(OR($Q85="",$W85=""),0,IF($Q85&lt;=$W85,1,0)))</f>
        <v>0</v>
      </c>
      <c r="Z85" s="57" t="n">
        <f aca="false">IF(OR($Q85="",$O85=""),"",MAX(0,$Q85-$O85))</f>
        <v>1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0.5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Alexandre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 com atraso</v>
      </c>
      <c r="C86" s="58" t="s">
        <v>331</v>
      </c>
      <c r="D86" s="59" t="s">
        <v>163</v>
      </c>
      <c r="E86" s="59" t="s">
        <v>321</v>
      </c>
      <c r="F86" s="59" t="s">
        <v>332</v>
      </c>
      <c r="G86" s="60" t="s">
        <v>110</v>
      </c>
      <c r="H86" s="60" t="s">
        <v>88</v>
      </c>
      <c r="I86" s="61" t="s">
        <v>108</v>
      </c>
      <c r="J86" s="61" t="s">
        <v>118</v>
      </c>
      <c r="K86" s="61"/>
      <c r="L86" s="62" t="n">
        <v>35</v>
      </c>
      <c r="M86" s="63" t="s">
        <v>117</v>
      </c>
      <c r="N86" s="62" t="n">
        <v>3</v>
      </c>
      <c r="O86" s="64" t="n">
        <f aca="false">IF(OR($L86="",$M86=""),"",(DATE(Semana!$J$3,1,4)-WEEKDAY(DATE(Semana!$J$3,1,4),3))+($L86-1)*7+MATCH($M86,Listas!$F$5:$F$11,0)-1)</f>
        <v>46259</v>
      </c>
      <c r="P86" s="64" t="n">
        <f aca="false">IF($O86="","",$O86+MAX(1,IF($N86="",1,$N86))-1)</f>
        <v>46261</v>
      </c>
      <c r="Q86" s="65" t="n">
        <v>46260</v>
      </c>
      <c r="R86" s="60" t="s">
        <v>82</v>
      </c>
      <c r="S86" s="66"/>
      <c r="T86" s="59"/>
      <c r="U86" s="59"/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46259</v>
      </c>
      <c r="X86" s="57" t="n">
        <f aca="false">IF($F86="","",IF(OR($Q86="",$O86=""),0,IF($Q86&lt;=$O86,1,0)))</f>
        <v>0</v>
      </c>
      <c r="Y86" s="57" t="n">
        <f aca="false">IF($F86="","",IF(OR($Q86="",$W86=""),0,IF($Q86&lt;=$W86,1,0)))</f>
        <v>0</v>
      </c>
      <c r="Z86" s="57" t="n">
        <f aca="false">IF(OR($Q86="",$O86=""),"",MAX(0,$Q86-$O86))</f>
        <v>1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0.5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Alexandre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 t="s">
        <v>331</v>
      </c>
      <c r="D87" s="59" t="s">
        <v>163</v>
      </c>
      <c r="E87" s="59" t="s">
        <v>321</v>
      </c>
      <c r="F87" s="59" t="s">
        <v>333</v>
      </c>
      <c r="G87" s="60" t="s">
        <v>110</v>
      </c>
      <c r="H87" s="60" t="s">
        <v>88</v>
      </c>
      <c r="I87" s="61" t="s">
        <v>108</v>
      </c>
      <c r="J87" s="61" t="s">
        <v>118</v>
      </c>
      <c r="K87" s="61"/>
      <c r="L87" s="62" t="n">
        <v>35</v>
      </c>
      <c r="M87" s="63" t="s">
        <v>122</v>
      </c>
      <c r="N87" s="62" t="n">
        <v>3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IF($O87="","",$O87+MAX(1,IF($N87="",1,$N87))-1)</f>
        <v>46262</v>
      </c>
      <c r="Q87" s="65" t="n">
        <v>46260</v>
      </c>
      <c r="R87" s="60" t="s">
        <v>82</v>
      </c>
      <c r="S87" s="66"/>
      <c r="T87" s="59"/>
      <c r="U87" s="59"/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0.5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Alexandre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 t="s">
        <v>331</v>
      </c>
      <c r="D88" s="59" t="s">
        <v>163</v>
      </c>
      <c r="E88" s="59" t="s">
        <v>321</v>
      </c>
      <c r="F88" s="59" t="s">
        <v>334</v>
      </c>
      <c r="G88" s="60" t="s">
        <v>110</v>
      </c>
      <c r="H88" s="60" t="s">
        <v>88</v>
      </c>
      <c r="I88" s="61" t="s">
        <v>108</v>
      </c>
      <c r="J88" s="61" t="s">
        <v>118</v>
      </c>
      <c r="K88" s="61"/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IF($O88="","",$O88+MAX(1,IF($N88="",1,$N88))-1)</f>
        <v>46263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</v>
      </c>
      <c r="C89" s="58"/>
      <c r="D89" s="59" t="s">
        <v>164</v>
      </c>
      <c r="E89" s="59" t="s">
        <v>335</v>
      </c>
      <c r="F89" s="59" t="s">
        <v>336</v>
      </c>
      <c r="G89" s="60" t="s">
        <v>110</v>
      </c>
      <c r="H89" s="60" t="s">
        <v>88</v>
      </c>
      <c r="I89" s="61" t="s">
        <v>133</v>
      </c>
      <c r="J89" s="61"/>
      <c r="K89" s="61"/>
      <c r="L89" s="62" t="n">
        <v>36</v>
      </c>
      <c r="M89" s="63" t="s">
        <v>127</v>
      </c>
      <c r="N89" s="62" t="n">
        <v>4</v>
      </c>
      <c r="O89" s="64" t="n">
        <f aca="false">IF(OR($L89="",$M89=""),"",(DATE(Semana!$J$3,1,4)-WEEKDAY(DATE(Semana!$J$3,1,4),3))+($L89-1)*7+MATCH($M89,Listas!$F$5:$F$11,0)-1)</f>
        <v>46268</v>
      </c>
      <c r="P89" s="64" t="n">
        <f aca="false">IF($O89="","",$O89+MAX(1,IF($N89="",1,$N89))-1)</f>
        <v>46271</v>
      </c>
      <c r="Q89" s="65"/>
      <c r="R89" s="60" t="s">
        <v>82</v>
      </c>
      <c r="S89" s="66" t="n">
        <v>35</v>
      </c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46261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str">
        <f aca="false">IF(OR($Q89="",$O89=""),"",MAX(0,$Q89-$O89))</f>
        <v/>
      </c>
      <c r="AA89" s="57" t="n">
        <f aca="false">IF($F89="","",IF(AND($S89&lt;&gt;"",$L89&lt;&gt;"",$S89&lt;&gt;$L89),1,0))</f>
        <v>1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0</v>
      </c>
      <c r="AD89" s="57" t="n">
        <f aca="false">IF($F89="","",IF(COUNTA($I89:$K89)=0,0,1/COUNTA($I89:$K89)))</f>
        <v>1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Júnior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Programada</v>
      </c>
      <c r="C90" s="58"/>
      <c r="D90" s="59" t="s">
        <v>166</v>
      </c>
      <c r="E90" s="59" t="s">
        <v>212</v>
      </c>
      <c r="F90" s="59" t="s">
        <v>337</v>
      </c>
      <c r="G90" s="60" t="s">
        <v>110</v>
      </c>
      <c r="H90" s="60" t="s">
        <v>88</v>
      </c>
      <c r="I90" s="61" t="s">
        <v>113</v>
      </c>
      <c r="J90" s="61" t="s">
        <v>137</v>
      </c>
      <c r="K90" s="61"/>
      <c r="L90" s="62" t="n">
        <v>36</v>
      </c>
      <c r="M90" s="63" t="s">
        <v>127</v>
      </c>
      <c r="N90" s="62" t="n">
        <v>2</v>
      </c>
      <c r="O90" s="64" t="n">
        <f aca="false">IF(OR($L90="",$M90=""),"",(DATE(Semana!$J$3,1,4)-WEEKDAY(DATE(Semana!$J$3,1,4),3))+($L90-1)*7+MATCH($M90,Listas!$F$5:$F$11,0)-1)</f>
        <v>46268</v>
      </c>
      <c r="P90" s="64" t="n">
        <f aca="false">IF($O90="","",$O90+MAX(1,IF($N90="",1,$N90))-1)</f>
        <v>46269</v>
      </c>
      <c r="Q90" s="65"/>
      <c r="R90" s="60"/>
      <c r="S90" s="66" t="n">
        <v>35</v>
      </c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46261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str">
        <f aca="false">IF(OR($Q90="",$O90=""),"",MAX(0,$Q90-$O90))</f>
        <v/>
      </c>
      <c r="AA90" s="57" t="n">
        <f aca="false">IF($F90="","",IF(AND($S90&lt;&gt;"",$L90&lt;&gt;"",$S90&lt;&gt;$L90),1,0))</f>
        <v>1</v>
      </c>
      <c r="AB90" s="57" t="n">
        <f aca="false">IF($F90="","",IF($R90="Cancelada",0,IF(OR($Q90&lt;&gt;"",$R90="Concluída"),1,0)))</f>
        <v>0</v>
      </c>
      <c r="AC90" s="57" t="n">
        <f aca="false">IF($P90="",0,IF($P90&lt;Hoje!$L$1,1,IF(AND($P90=Hoje!$L$1,Hoje!$L$2&gt;Semana!$M$3),1,0)))</f>
        <v>0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Airton · Luiz Paulo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</v>
      </c>
      <c r="C91" s="58"/>
      <c r="D91" s="59" t="s">
        <v>167</v>
      </c>
      <c r="E91" s="59" t="s">
        <v>212</v>
      </c>
      <c r="F91" s="59" t="s">
        <v>213</v>
      </c>
      <c r="G91" s="60" t="s">
        <v>110</v>
      </c>
      <c r="H91" s="60" t="s">
        <v>216</v>
      </c>
      <c r="I91" s="61" t="s">
        <v>113</v>
      </c>
      <c r="J91" s="61" t="s">
        <v>137</v>
      </c>
      <c r="K91" s="61"/>
      <c r="L91" s="62" t="n">
        <v>35</v>
      </c>
      <c r="M91" s="63" t="s">
        <v>122</v>
      </c>
      <c r="N91" s="62" t="n">
        <v>2</v>
      </c>
      <c r="O91" s="64" t="n">
        <f aca="false">IF(OR($L91="",$M91=""),"",(DATE(Semana!$J$3,1,4)-WEEKDAY(DATE(Semana!$J$3,1,4),3))+($L91-1)*7+MATCH($M91,Listas!$F$5:$F$11,0)-1)</f>
        <v>46260</v>
      </c>
      <c r="P91" s="64" t="n">
        <f aca="false">IF($O91="","",$O91+MAX(1,IF($N91="",1,$N91))-1)</f>
        <v>46261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46260</v>
      </c>
      <c r="X91" s="57" t="n">
        <f aca="false">IF($F91="","",IF(OR($Q91="",$O91=""),0,IF($Q91&lt;=$O91,1,0)))</f>
        <v>1</v>
      </c>
      <c r="Y91" s="57" t="n">
        <f aca="false">IF($F91="","",IF(OR($Q91="",$W91=""),0,IF($Q91&lt;=$W91,1,0)))</f>
        <v>1</v>
      </c>
      <c r="Z91" s="57" t="n">
        <f aca="false">IF(OR($Q91="",$O91=""),"",MAX(0,$Q91-$O91))</f>
        <v>0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Airton · Luiz Paulo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Em execução</v>
      </c>
      <c r="C92" s="58" t="s">
        <v>338</v>
      </c>
      <c r="D92" s="59" t="s">
        <v>169</v>
      </c>
      <c r="E92" s="59" t="s">
        <v>297</v>
      </c>
      <c r="F92" s="59" t="s">
        <v>339</v>
      </c>
      <c r="G92" s="60" t="s">
        <v>110</v>
      </c>
      <c r="H92" s="60" t="s">
        <v>88</v>
      </c>
      <c r="I92" s="61" t="s">
        <v>128</v>
      </c>
      <c r="J92" s="61"/>
      <c r="K92" s="61"/>
      <c r="L92" s="62" t="n">
        <v>36</v>
      </c>
      <c r="M92" s="63" t="s">
        <v>112</v>
      </c>
      <c r="N92" s="62" t="n">
        <v>3</v>
      </c>
      <c r="O92" s="64" t="n">
        <f aca="false">IF(OR($L92="",$M92=""),"",(DATE(Semana!$J$3,1,4)-WEEKDAY(DATE(Semana!$J$3,1,4),3))+($L92-1)*7+MATCH($M92,Listas!$F$5:$F$11,0)-1)</f>
        <v>46265</v>
      </c>
      <c r="P92" s="64" t="n">
        <f aca="false">IF($O92="","",$O92+MAX(1,IF($N92="",1,$N92))-1)</f>
        <v>46267</v>
      </c>
      <c r="Q92" s="65"/>
      <c r="R92" s="60"/>
      <c r="S92" s="66" t="n">
        <v>35</v>
      </c>
      <c r="T92" s="59" t="s">
        <v>146</v>
      </c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46258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str">
        <f aca="false">IF(OR($Q92="",$O92=""),"",MAX(0,$Q92-$O92))</f>
        <v/>
      </c>
      <c r="AA92" s="57" t="n">
        <f aca="false">IF($F92="","",IF(AND($S92&lt;&gt;"",$L92&lt;&gt;"",$S92&lt;&gt;$L92),1,0))</f>
        <v>1</v>
      </c>
      <c r="AB92" s="57" t="n">
        <f aca="false">IF($F92="","",IF($R92="Cancelada",0,IF(OR($Q92&lt;&gt;"",$R92="Concluída"),1,0)))</f>
        <v>0</v>
      </c>
      <c r="AC92" s="57" t="n">
        <f aca="false">IF($P92="",0,IF($P92&lt;Hoje!$L$1,1,IF(AND($P92=Hoje!$L$1,Hoje!$L$2&gt;Semana!$M$3),1,0)))</f>
        <v>0</v>
      </c>
      <c r="AD92" s="57" t="n">
        <f aca="false">IF($F92="","",IF(COUNTA($I92:$K92)=0,0,1/COUNTA($I92:$K92)))</f>
        <v>1</v>
      </c>
      <c r="AE92" s="57" t="n">
        <f aca="false">IF($AH92=0,"",SUM($AH$4:$AH92))</f>
        <v>34</v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Heliton</v>
      </c>
      <c r="AH92" s="57" t="n">
        <f aca="false">IF(AND($F92&lt;&gt;"",$O92&lt;&gt;"",$O92&lt;=Hoje!$C$3,$P92&gt;=Hoje!$C$3,$R92&lt;&gt;"Cancelada"),1,0)</f>
        <v>1</v>
      </c>
      <c r="AI92" s="57" t="n">
        <f aca="false">IF(AND($F92&lt;&gt;"",$P92&lt;&gt;"",$P92&lt;Hoje!$C$3,$AB92=0,$R92&lt;&gt;"Cancelada"),1,0)</f>
        <v>0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Em execução</v>
      </c>
      <c r="C93" s="58" t="s">
        <v>338</v>
      </c>
      <c r="D93" s="59" t="s">
        <v>169</v>
      </c>
      <c r="E93" s="59" t="s">
        <v>297</v>
      </c>
      <c r="F93" s="59" t="s">
        <v>340</v>
      </c>
      <c r="G93" s="60" t="s">
        <v>110</v>
      </c>
      <c r="H93" s="60" t="s">
        <v>88</v>
      </c>
      <c r="I93" s="61" t="s">
        <v>128</v>
      </c>
      <c r="J93" s="61"/>
      <c r="K93" s="61"/>
      <c r="L93" s="62" t="n">
        <v>36</v>
      </c>
      <c r="M93" s="63" t="s">
        <v>112</v>
      </c>
      <c r="N93" s="62" t="n">
        <v>3</v>
      </c>
      <c r="O93" s="64" t="n">
        <f aca="false">IF(OR($L93="",$M93=""),"",(DATE(Semana!$J$3,1,4)-WEEKDAY(DATE(Semana!$J$3,1,4),3))+($L93-1)*7+MATCH($M93,Listas!$F$5:$F$11,0)-1)</f>
        <v>46265</v>
      </c>
      <c r="P93" s="64" t="n">
        <f aca="false">IF($O93="","",$O93+MAX(1,IF($N93="",1,$N93))-1)</f>
        <v>46267</v>
      </c>
      <c r="Q93" s="65"/>
      <c r="R93" s="60"/>
      <c r="S93" s="66" t="n">
        <v>35</v>
      </c>
      <c r="T93" s="59" t="s">
        <v>146</v>
      </c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46258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str">
        <f aca="false">IF(OR($Q93="",$O93=""),"",MAX(0,$Q93-$O93))</f>
        <v/>
      </c>
      <c r="AA93" s="57" t="n">
        <f aca="false">IF($F93="","",IF(AND($S93&lt;&gt;"",$L93&lt;&gt;"",$S93&lt;&gt;$L93),1,0))</f>
        <v>1</v>
      </c>
      <c r="AB93" s="57" t="n">
        <f aca="false">IF($F93="","",IF($R93="Cancelada",0,IF(OR($Q93&lt;&gt;"",$R93="Concluída"),1,0)))</f>
        <v>0</v>
      </c>
      <c r="AC93" s="57" t="n">
        <f aca="false">IF($P93="",0,IF($P93&lt;Hoje!$L$1,1,IF(AND($P93=Hoje!$L$1,Hoje!$L$2&gt;Semana!$M$3),1,0)))</f>
        <v>0</v>
      </c>
      <c r="AD93" s="57" t="n">
        <f aca="false">IF($F93="","",IF(COUNTA($I93:$K93)=0,0,1/COUNTA($I93:$K93)))</f>
        <v>1</v>
      </c>
      <c r="AE93" s="57" t="n">
        <f aca="false">IF($AH93=0,"",SUM($AH$4:$AH93))</f>
        <v>35</v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Heliton</v>
      </c>
      <c r="AH93" s="57" t="n">
        <f aca="false">IF(AND($F93&lt;&gt;"",$O93&lt;&gt;"",$O93&lt;=Hoje!$C$3,$P93&gt;=Hoje!$C$3,$R93&lt;&gt;"Cancelada"),1,0)</f>
        <v>1</v>
      </c>
      <c r="AI93" s="57" t="n">
        <f aca="false">IF(AND($F93&lt;&gt;"",$P93&lt;&gt;"",$P93&lt;Hoje!$C$3,$AB93=0,$R93&lt;&gt;"Cancelada"),1,0)</f>
        <v>0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Falta a semana</v>
      </c>
      <c r="C94" s="58"/>
      <c r="D94" s="59" t="s">
        <v>169</v>
      </c>
      <c r="E94" s="59" t="s">
        <v>297</v>
      </c>
      <c r="F94" s="59" t="s">
        <v>341</v>
      </c>
      <c r="G94" s="60" t="s">
        <v>110</v>
      </c>
      <c r="H94" s="60" t="s">
        <v>216</v>
      </c>
      <c r="I94" s="61"/>
      <c r="J94" s="61"/>
      <c r="K94" s="61"/>
      <c r="L94" s="62"/>
      <c r="M94" s="63" t="s">
        <v>112</v>
      </c>
      <c r="N94" s="62" t="n">
        <v>3</v>
      </c>
      <c r="O94" s="64" t="str">
        <f aca="false">IF(OR($L94="",$M94=""),"",(DATE(Semana!$J$3,1,4)-WEEKDAY(DATE(Semana!$J$3,1,4),3))+($L94-1)*7+MATCH($M94,Listas!$F$5:$F$11,0)-1)</f>
        <v/>
      </c>
      <c r="P94" s="64" t="str">
        <f aca="false">IF($O94="","",$O94+MAX(1,IF($N94="",1,$N94))-1)</f>
        <v/>
      </c>
      <c r="Q94" s="65"/>
      <c r="R94" s="60"/>
      <c r="S94" s="66" t="n">
        <v>35</v>
      </c>
      <c r="T94" s="59"/>
      <c r="U94" s="59"/>
      <c r="V94" s="57" t="str">
        <f aca="false">IF($F94="","",IF(ISNUMBER(SEARCH("(externo)",$I94&amp;$J94&amp;$K94)),"Terceirizada","Interna"))</f>
        <v>Interna</v>
      </c>
      <c r="W94" s="64" t="str">
        <f aca="false">IF($O94="","",IF($S94="",$O94,(DATE(Semana!$J$3,1,4)-WEEKDAY(DATE(Semana!$J$3,1,4),3))+($S94-1)*7+IF($M94="",0,MATCH($M94,Listas!$F$5:$F$11,0)-1)))</f>
        <v/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str">
        <f aca="false">IF(OR($Q94="",$O94=""),"",MAX(0,$Q94-$O94))</f>
        <v/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0</v>
      </c>
      <c r="AC94" s="57" t="n">
        <f aca="false">IF($P94="",0,IF($P94&lt;Hoje!$L$1,1,IF(AND($P94=Hoje!$L$1,Hoje!$L$2&gt;Semana!$M$3),1,0)))</f>
        <v>0</v>
      </c>
      <c r="AD94" s="57" t="n">
        <f aca="false">IF($F94="","",IF(COUNTA($I94:$K94)=0,0,1/COUNTA($I94:$K94)))</f>
        <v>0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/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Falta a semana</v>
      </c>
      <c r="C95" s="58"/>
      <c r="D95" s="59" t="s">
        <v>169</v>
      </c>
      <c r="E95" s="59" t="s">
        <v>297</v>
      </c>
      <c r="F95" s="59" t="s">
        <v>342</v>
      </c>
      <c r="G95" s="60" t="s">
        <v>110</v>
      </c>
      <c r="H95" s="60" t="s">
        <v>216</v>
      </c>
      <c r="I95" s="61"/>
      <c r="J95" s="61"/>
      <c r="K95" s="61"/>
      <c r="L95" s="62"/>
      <c r="M95" s="63" t="s">
        <v>112</v>
      </c>
      <c r="N95" s="62" t="n">
        <v>3</v>
      </c>
      <c r="O95" s="64" t="str">
        <f aca="false">IF(OR($L95="",$M95=""),"",(DATE(Semana!$J$3,1,4)-WEEKDAY(DATE(Semana!$J$3,1,4),3))+($L95-1)*7+MATCH($M95,Listas!$F$5:$F$11,0)-1)</f>
        <v/>
      </c>
      <c r="P95" s="64" t="str">
        <f aca="false">IF($O95="","",$O95+MAX(1,IF($N95="",1,$N95))-1)</f>
        <v/>
      </c>
      <c r="Q95" s="65"/>
      <c r="R95" s="60"/>
      <c r="S95" s="66" t="n">
        <v>35</v>
      </c>
      <c r="T95" s="59"/>
      <c r="U95" s="59"/>
      <c r="V95" s="57" t="str">
        <f aca="false">IF($F95="","",IF(ISNUMBER(SEARCH("(externo)",$I95&amp;$J95&amp;$K95)),"Terceirizada","Interna"))</f>
        <v>Interna</v>
      </c>
      <c r="W95" s="64" t="str">
        <f aca="false">IF($O95="","",IF($S95="",$O95,(DATE(Semana!$J$3,1,4)-WEEKDAY(DATE(Semana!$J$3,1,4),3))+($S95-1)*7+IF($M95="",0,MATCH($M95,Listas!$F$5:$F$11,0)-1)))</f>
        <v/>
      </c>
      <c r="X95" s="57" t="n">
        <f aca="false">IF($F95="","",IF(OR($Q95="",$O95=""),0,IF($Q95&lt;=$O95,1,0)))</f>
        <v>0</v>
      </c>
      <c r="Y95" s="57" t="n">
        <f aca="false">IF($F95="","",IF(OR($Q95="",$W95=""),0,IF($Q95&lt;=$W95,1,0)))</f>
        <v>0</v>
      </c>
      <c r="Z95" s="57" t="str">
        <f aca="false">IF(OR($Q95="",$O95=""),"",MAX(0,$Q95-$O95))</f>
        <v/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0</v>
      </c>
      <c r="AC95" s="57" t="n">
        <f aca="false">IF($P95="",0,IF($P95&lt;Hoje!$L$1,1,IF(AND($P95=Hoje!$L$1,Hoje!$L$2&gt;Semana!$M$3),1,0)))</f>
        <v>0</v>
      </c>
      <c r="AD95" s="57" t="n">
        <f aca="false">IF($F95="","",IF(COUNTA($I95:$K95)=0,0,1/COUNTA($I95:$K95)))</f>
        <v>0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/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Falta a semana</v>
      </c>
      <c r="C96" s="58"/>
      <c r="D96" s="59" t="s">
        <v>169</v>
      </c>
      <c r="E96" s="59" t="s">
        <v>297</v>
      </c>
      <c r="F96" s="59" t="s">
        <v>343</v>
      </c>
      <c r="G96" s="60" t="s">
        <v>110</v>
      </c>
      <c r="H96" s="60" t="s">
        <v>216</v>
      </c>
      <c r="I96" s="61"/>
      <c r="J96" s="61"/>
      <c r="K96" s="61"/>
      <c r="L96" s="62"/>
      <c r="M96" s="63" t="s">
        <v>112</v>
      </c>
      <c r="N96" s="62" t="n">
        <v>3</v>
      </c>
      <c r="O96" s="64" t="str">
        <f aca="false">IF(OR($L96="",$M96=""),"",(DATE(Semana!$J$3,1,4)-WEEKDAY(DATE(Semana!$J$3,1,4),3))+($L96-1)*7+MATCH($M96,Listas!$F$5:$F$11,0)-1)</f>
        <v/>
      </c>
      <c r="P96" s="64" t="str">
        <f aca="false">IF($O96="","",$O96+MAX(1,IF($N96="",1,$N96))-1)</f>
        <v/>
      </c>
      <c r="Q96" s="65"/>
      <c r="R96" s="60"/>
      <c r="S96" s="66" t="n">
        <v>35</v>
      </c>
      <c r="T96" s="59"/>
      <c r="U96" s="59"/>
      <c r="V96" s="57" t="str">
        <f aca="false">IF($F96="","",IF(ISNUMBER(SEARCH("(externo)",$I96&amp;$J96&amp;$K96)),"Terceirizada","Interna"))</f>
        <v>Interna</v>
      </c>
      <c r="W96" s="64" t="str">
        <f aca="false">IF($O96="","",IF($S96="",$O96,(DATE(Semana!$J$3,1,4)-WEEKDAY(DATE(Semana!$J$3,1,4),3))+($S96-1)*7+IF($M96="",0,MATCH($M96,Listas!$F$5:$F$11,0)-1)))</f>
        <v/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0</v>
      </c>
      <c r="AC96" s="57" t="n">
        <f aca="false">IF($P96="",0,IF($P96&lt;Hoje!$L$1,1,IF(AND($P96=Hoje!$L$1,Hoje!$L$2&gt;Semana!$M$3),1,0)))</f>
        <v>0</v>
      </c>
      <c r="AD96" s="57" t="n">
        <f aca="false">IF($F96="","",IF(COUNTA($I96:$K96)=0,0,1/COUNTA($I96:$K96)))</f>
        <v>0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/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Falta a semana</v>
      </c>
      <c r="C97" s="58"/>
      <c r="D97" s="59" t="s">
        <v>169</v>
      </c>
      <c r="E97" s="59" t="s">
        <v>297</v>
      </c>
      <c r="F97" s="59" t="s">
        <v>344</v>
      </c>
      <c r="G97" s="60" t="s">
        <v>110</v>
      </c>
      <c r="H97" s="60" t="s">
        <v>216</v>
      </c>
      <c r="I97" s="61"/>
      <c r="J97" s="61"/>
      <c r="K97" s="61"/>
      <c r="L97" s="62"/>
      <c r="M97" s="63" t="s">
        <v>112</v>
      </c>
      <c r="N97" s="62" t="n">
        <v>3</v>
      </c>
      <c r="O97" s="64" t="str">
        <f aca="false">IF(OR($L97="",$M97=""),"",(DATE(Semana!$J$3,1,4)-WEEKDAY(DATE(Semana!$J$3,1,4),3))+($L97-1)*7+MATCH($M97,Listas!$F$5:$F$11,0)-1)</f>
        <v/>
      </c>
      <c r="P97" s="64" t="str">
        <f aca="false">IF($O97="","",$O97+MAX(1,IF($N97="",1,$N97))-1)</f>
        <v/>
      </c>
      <c r="Q97" s="65"/>
      <c r="R97" s="60"/>
      <c r="S97" s="66" t="n">
        <v>35</v>
      </c>
      <c r="T97" s="59"/>
      <c r="U97" s="59"/>
      <c r="V97" s="57" t="str">
        <f aca="false">IF($F97="","",IF(ISNUMBER(SEARCH("(externo)",$I97&amp;$J97&amp;$K97)),"Terceirizada","Interna"))</f>
        <v>Interna</v>
      </c>
      <c r="W97" s="64" t="str">
        <f aca="false">IF($O97="","",IF($S97="",$O97,(DATE(Semana!$J$3,1,4)-WEEKDAY(DATE(Semana!$J$3,1,4),3))+($S97-1)*7+IF($M97="",0,MATCH($M97,Listas!$F$5:$F$11,0)-1)))</f>
        <v/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0</v>
      </c>
      <c r="AC97" s="57" t="n">
        <f aca="false">IF($P97="",0,IF($P97&lt;Hoje!$L$1,1,IF(AND($P97=Hoje!$L$1,Hoje!$L$2&gt;Semana!$M$3),1,0)))</f>
        <v>0</v>
      </c>
      <c r="AD97" s="57" t="n">
        <f aca="false">IF($F97="","",IF(COUNTA($I97:$K97)=0,0,1/COUNTA($I97:$K97)))</f>
        <v>0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/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Falta a semana</v>
      </c>
      <c r="C98" s="58"/>
      <c r="D98" s="59" t="s">
        <v>169</v>
      </c>
      <c r="E98" s="59" t="s">
        <v>297</v>
      </c>
      <c r="F98" s="59" t="s">
        <v>345</v>
      </c>
      <c r="G98" s="60" t="s">
        <v>110</v>
      </c>
      <c r="H98" s="60" t="s">
        <v>216</v>
      </c>
      <c r="I98" s="61"/>
      <c r="J98" s="61"/>
      <c r="K98" s="61"/>
      <c r="L98" s="62"/>
      <c r="M98" s="63" t="s">
        <v>112</v>
      </c>
      <c r="N98" s="62" t="n">
        <v>3</v>
      </c>
      <c r="O98" s="64" t="str">
        <f aca="false">IF(OR($L98="",$M98=""),"",(DATE(Semana!$J$3,1,4)-WEEKDAY(DATE(Semana!$J$3,1,4),3))+($L98-1)*7+MATCH($M98,Listas!$F$5:$F$11,0)-1)</f>
        <v/>
      </c>
      <c r="P98" s="64" t="str">
        <f aca="false">IF($O98="","",$O98+MAX(1,IF($N98="",1,$N98))-1)</f>
        <v/>
      </c>
      <c r="Q98" s="65"/>
      <c r="R98" s="60"/>
      <c r="S98" s="66" t="n">
        <v>35</v>
      </c>
      <c r="T98" s="59"/>
      <c r="U98" s="59"/>
      <c r="V98" s="57" t="str">
        <f aca="false">IF($F98="","",IF(ISNUMBER(SEARCH("(externo)",$I98&amp;$J98&amp;$K98)),"Terceirizada","Interna"))</f>
        <v>Interna</v>
      </c>
      <c r="W98" s="64" t="str">
        <f aca="false">IF($O98="","",IF($S98="",$O98,(DATE(Semana!$J$3,1,4)-WEEKDAY(DATE(Semana!$J$3,1,4),3))+($S98-1)*7+IF($M98="",0,MATCH($M98,Listas!$F$5:$F$11,0)-1)))</f>
        <v/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0</v>
      </c>
      <c r="AD98" s="57" t="n">
        <f aca="false">IF($F98="","",IF(COUNTA($I98:$K98)=0,0,1/COUNTA($I98:$K98)))</f>
        <v>0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/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Falta a semana</v>
      </c>
      <c r="C99" s="58"/>
      <c r="D99" s="59" t="s">
        <v>169</v>
      </c>
      <c r="E99" s="59" t="s">
        <v>297</v>
      </c>
      <c r="F99" s="59" t="s">
        <v>346</v>
      </c>
      <c r="G99" s="60" t="s">
        <v>110</v>
      </c>
      <c r="H99" s="60" t="s">
        <v>216</v>
      </c>
      <c r="I99" s="61"/>
      <c r="J99" s="61"/>
      <c r="K99" s="61"/>
      <c r="L99" s="62"/>
      <c r="M99" s="63" t="s">
        <v>112</v>
      </c>
      <c r="N99" s="62" t="n">
        <v>3</v>
      </c>
      <c r="O99" s="64" t="str">
        <f aca="false">IF(OR($L99="",$M99=""),"",(DATE(Semana!$J$3,1,4)-WEEKDAY(DATE(Semana!$J$3,1,4),3))+($L99-1)*7+MATCH($M99,Listas!$F$5:$F$11,0)-1)</f>
        <v/>
      </c>
      <c r="P99" s="64" t="str">
        <f aca="false">IF($O99="","",$O99+MAX(1,IF($N99="",1,$N99))-1)</f>
        <v/>
      </c>
      <c r="Q99" s="65"/>
      <c r="R99" s="60"/>
      <c r="S99" s="66" t="n">
        <v>35</v>
      </c>
      <c r="T99" s="59"/>
      <c r="U99" s="59"/>
      <c r="V99" s="57" t="str">
        <f aca="false">IF($F99="","",IF(ISNUMBER(SEARCH("(externo)",$I99&amp;$J99&amp;$K99)),"Terceirizada","Interna"))</f>
        <v>Interna</v>
      </c>
      <c r="W99" s="64" t="str">
        <f aca="false">IF($O99="","",IF($S99="",$O99,(DATE(Semana!$J$3,1,4)-WEEKDAY(DATE(Semana!$J$3,1,4),3))+($S99-1)*7+IF($M99="",0,MATCH($M99,Listas!$F$5:$F$11,0)-1)))</f>
        <v/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0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0</v>
      </c>
      <c r="AD99" s="57" t="n">
        <f aca="false">IF($F99="","",IF(COUNTA($I99:$K99)=0,0,1/COUNTA($I99:$K99)))</f>
        <v>0</v>
      </c>
      <c r="AE99" s="57" t="str">
        <f aca="false">IF($AH99=0,"",SUM($AH$4:$AH99))</f>
        <v/>
      </c>
      <c r="AF99" s="57" t="str">
        <f aca="false">IF($AI99=0,"",SUM($AI$4:$AI99))</f>
        <v/>
      </c>
      <c r="AG99" s="67" t="str">
        <f aca="false">IF($F99="","",$I99&amp;IF($J99="",""," · "&amp;$J99)&amp;IF($K99="",""," · "&amp;$K99))</f>
        <v/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0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Falta a semana</v>
      </c>
      <c r="C100" s="58"/>
      <c r="D100" s="59" t="s">
        <v>169</v>
      </c>
      <c r="E100" s="59" t="s">
        <v>297</v>
      </c>
      <c r="F100" s="59" t="s">
        <v>347</v>
      </c>
      <c r="G100" s="60" t="s">
        <v>110</v>
      </c>
      <c r="H100" s="60" t="s">
        <v>216</v>
      </c>
      <c r="I100" s="61"/>
      <c r="J100" s="61"/>
      <c r="K100" s="61"/>
      <c r="L100" s="62"/>
      <c r="M100" s="63" t="s">
        <v>112</v>
      </c>
      <c r="N100" s="62" t="n">
        <v>3</v>
      </c>
      <c r="O100" s="64" t="str">
        <f aca="false">IF(OR($L100="",$M100=""),"",(DATE(Semana!$J$3,1,4)-WEEKDAY(DATE(Semana!$J$3,1,4),3))+($L100-1)*7+MATCH($M100,Listas!$F$5:$F$11,0)-1)</f>
        <v/>
      </c>
      <c r="P100" s="64" t="str">
        <f aca="false">IF($O100="","",$O100+MAX(1,IF($N100="",1,$N100))-1)</f>
        <v/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str">
        <f aca="false">IF($O100="","",IF($S100="",$O100,(DATE(Semana!$J$3,1,4)-WEEKDAY(DATE(Semana!$J$3,1,4),3))+($S100-1)*7+IF($M100="",0,MATCH($M100,Listas!$F$5:$F$11,0)-1)))</f>
        <v/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0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0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str">
        <f aca="false">IF($AI100=0,"",SUM($AI$4:$AI100))</f>
        <v/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0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Em execução</v>
      </c>
      <c r="C101" s="58" t="s">
        <v>348</v>
      </c>
      <c r="D101" s="59" t="s">
        <v>169</v>
      </c>
      <c r="E101" s="59" t="s">
        <v>297</v>
      </c>
      <c r="F101" s="59" t="s">
        <v>349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IF($O101="","",$O101+MAX(1,IF($N101="",1,$N101))-1)</f>
        <v>46267</v>
      </c>
      <c r="Q101" s="65"/>
      <c r="R101" s="60"/>
      <c r="S101" s="66" t="n">
        <v>35</v>
      </c>
      <c r="T101" s="59" t="s">
        <v>146</v>
      </c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0</v>
      </c>
      <c r="AD101" s="57" t="n">
        <f aca="false">IF($F101="","",IF(COUNTA($I101:$K101)=0,0,1/COUNTA($I101:$K101)))</f>
        <v>1</v>
      </c>
      <c r="AE101" s="57" t="n">
        <f aca="false">IF($AH101=0,"",SUM($AH$4:$AH101))</f>
        <v>36</v>
      </c>
      <c r="AF101" s="57" t="str">
        <f aca="false">IF($AI101=0,"",SUM($AI$4:$AI101))</f>
        <v/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1</v>
      </c>
      <c r="AI101" s="57" t="n">
        <f aca="false">IF(AND($F101&lt;&gt;"",$P101&lt;&gt;"",$P101&lt;Hoje!$C$3,$AB101=0,$R101&lt;&gt;"Cancelada"),1,0)</f>
        <v>0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Em execução</v>
      </c>
      <c r="C102" s="58" t="s">
        <v>350</v>
      </c>
      <c r="D102" s="59" t="s">
        <v>169</v>
      </c>
      <c r="E102" s="59" t="s">
        <v>297</v>
      </c>
      <c r="F102" s="59" t="s">
        <v>351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IF($O102="","",$O102+MAX(1,IF($N102="",1,$N102))-1)</f>
        <v>46267</v>
      </c>
      <c r="Q102" s="65"/>
      <c r="R102" s="60"/>
      <c r="S102" s="66" t="n">
        <v>35</v>
      </c>
      <c r="T102" s="59" t="s">
        <v>146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0</v>
      </c>
      <c r="AD102" s="57" t="n">
        <f aca="false">IF($F102="","",IF(COUNTA($I102:$K102)=0,0,1/COUNTA($I102:$K102)))</f>
        <v>1</v>
      </c>
      <c r="AE102" s="57" t="n">
        <f aca="false">IF($AH102=0,"",SUM($AH$4:$AH102))</f>
        <v>37</v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1</v>
      </c>
      <c r="AI102" s="57" t="n">
        <f aca="false">IF(AND($F102&lt;&gt;"",$P102&lt;&gt;"",$P102&lt;Hoje!$C$3,$AB102=0,$R102&lt;&gt;"Cancelada"),1,0)</f>
        <v>0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Falta a semana</v>
      </c>
      <c r="C103" s="58"/>
      <c r="D103" s="59" t="s">
        <v>169</v>
      </c>
      <c r="E103" s="59" t="s">
        <v>297</v>
      </c>
      <c r="F103" s="59" t="s">
        <v>352</v>
      </c>
      <c r="G103" s="60" t="s">
        <v>110</v>
      </c>
      <c r="H103" s="60" t="s">
        <v>216</v>
      </c>
      <c r="I103" s="61"/>
      <c r="J103" s="61"/>
      <c r="K103" s="61"/>
      <c r="L103" s="62"/>
      <c r="M103" s="63" t="s">
        <v>112</v>
      </c>
      <c r="N103" s="62" t="n">
        <v>3</v>
      </c>
      <c r="O103" s="64" t="str">
        <f aca="false">IF(OR($L103="",$M103=""),"",(DATE(Semana!$J$3,1,4)-WEEKDAY(DATE(Semana!$J$3,1,4),3))+($L103-1)*7+MATCH($M103,Listas!$F$5:$F$11,0)-1)</f>
        <v/>
      </c>
      <c r="P103" s="64" t="str">
        <f aca="false">IF($O103="","",$O103+MAX(1,IF($N103="",1,$N103))-1)</f>
        <v/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str">
        <f aca="false">IF($O103="","",IF($S103="",$O103,(DATE(Semana!$J$3,1,4)-WEEKDAY(DATE(Semana!$J$3,1,4),3))+($S103-1)*7+IF($M103="",0,MATCH($M103,Listas!$F$5:$F$11,0)-1)))</f>
        <v/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0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0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Falta a semana</v>
      </c>
      <c r="C104" s="58"/>
      <c r="D104" s="59" t="s">
        <v>169</v>
      </c>
      <c r="E104" s="59" t="s">
        <v>297</v>
      </c>
      <c r="F104" s="59" t="s">
        <v>353</v>
      </c>
      <c r="G104" s="60" t="s">
        <v>110</v>
      </c>
      <c r="H104" s="60" t="s">
        <v>216</v>
      </c>
      <c r="I104" s="61"/>
      <c r="J104" s="61"/>
      <c r="K104" s="61"/>
      <c r="L104" s="62"/>
      <c r="M104" s="63" t="s">
        <v>112</v>
      </c>
      <c r="N104" s="62" t="n">
        <v>3</v>
      </c>
      <c r="O104" s="64" t="str">
        <f aca="false">IF(OR($L104="",$M104=""),"",(DATE(Semana!$J$3,1,4)-WEEKDAY(DATE(Semana!$J$3,1,4),3))+($L104-1)*7+MATCH($M104,Listas!$F$5:$F$11,0)-1)</f>
        <v/>
      </c>
      <c r="P104" s="64" t="str">
        <f aca="false">IF($O104="","",$O104+MAX(1,IF($N104="",1,$N104))-1)</f>
        <v/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str">
        <f aca="false">IF($O104="","",IF($S104="",$O104,(DATE(Semana!$J$3,1,4)-WEEKDAY(DATE(Semana!$J$3,1,4),3))+($S104-1)*7+IF($M104="",0,MATCH($M104,Listas!$F$5:$F$11,0)-1)))</f>
        <v/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0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0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Falta a semana</v>
      </c>
      <c r="C105" s="58"/>
      <c r="D105" s="59" t="s">
        <v>169</v>
      </c>
      <c r="E105" s="59" t="s">
        <v>297</v>
      </c>
      <c r="F105" s="59" t="s">
        <v>354</v>
      </c>
      <c r="G105" s="60" t="s">
        <v>110</v>
      </c>
      <c r="H105" s="60" t="s">
        <v>216</v>
      </c>
      <c r="I105" s="61"/>
      <c r="J105" s="61"/>
      <c r="K105" s="61"/>
      <c r="L105" s="62"/>
      <c r="M105" s="63" t="s">
        <v>112</v>
      </c>
      <c r="N105" s="62" t="n">
        <v>3</v>
      </c>
      <c r="O105" s="64" t="str">
        <f aca="false">IF(OR($L105="",$M105=""),"",(DATE(Semana!$J$3,1,4)-WEEKDAY(DATE(Semana!$J$3,1,4),3))+($L105-1)*7+MATCH($M105,Listas!$F$5:$F$11,0)-1)</f>
        <v/>
      </c>
      <c r="P105" s="64" t="str">
        <f aca="false">IF($O105="","",$O105+MAX(1,IF($N105="",1,$N105))-1)</f>
        <v/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str">
        <f aca="false">IF($O105="","",IF($S105="",$O105,(DATE(Semana!$J$3,1,4)-WEEKDAY(DATE(Semana!$J$3,1,4),3))+($S105-1)*7+IF($M105="",0,MATCH($M105,Listas!$F$5:$F$11,0)-1)))</f>
        <v/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0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0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Falta a semana</v>
      </c>
      <c r="C106" s="58"/>
      <c r="D106" s="59" t="s">
        <v>169</v>
      </c>
      <c r="E106" s="59" t="s">
        <v>297</v>
      </c>
      <c r="F106" s="59" t="s">
        <v>355</v>
      </c>
      <c r="G106" s="60" t="s">
        <v>110</v>
      </c>
      <c r="H106" s="60" t="s">
        <v>216</v>
      </c>
      <c r="I106" s="61"/>
      <c r="J106" s="61"/>
      <c r="K106" s="61"/>
      <c r="L106" s="62"/>
      <c r="M106" s="63" t="s">
        <v>112</v>
      </c>
      <c r="N106" s="62" t="n">
        <v>3</v>
      </c>
      <c r="O106" s="64" t="str">
        <f aca="false">IF(OR($L106="",$M106=""),"",(DATE(Semana!$J$3,1,4)-WEEKDAY(DATE(Semana!$J$3,1,4),3))+($L106-1)*7+MATCH($M106,Listas!$F$5:$F$11,0)-1)</f>
        <v/>
      </c>
      <c r="P106" s="64" t="str">
        <f aca="false">IF($O106="","",$O106+MAX(1,IF($N106="",1,$N106))-1)</f>
        <v/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str">
        <f aca="false">IF($O106="","",IF($S106="",$O106,(DATE(Semana!$J$3,1,4)-WEEKDAY(DATE(Semana!$J$3,1,4),3))+($S106-1)*7+IF($M106="",0,MATCH($M106,Listas!$F$5:$F$11,0)-1)))</f>
        <v/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0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0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str">
        <f aca="false">IF($AI106=0,"",SUM($AI$4:$AI106))</f>
        <v/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0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Em execução</v>
      </c>
      <c r="C107" s="58" t="s">
        <v>356</v>
      </c>
      <c r="D107" s="59" t="s">
        <v>169</v>
      </c>
      <c r="E107" s="59" t="s">
        <v>297</v>
      </c>
      <c r="F107" s="59" t="s">
        <v>357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IF($O107="","",$O107+MAX(1,IF($N107="",1,$N107))-1)</f>
        <v>46267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0</v>
      </c>
      <c r="AD107" s="57" t="n">
        <f aca="false">IF($F107="","",IF(COUNTA($I107:$K107)=0,0,1/COUNTA($I107:$K107)))</f>
        <v>1</v>
      </c>
      <c r="AE107" s="57" t="n">
        <f aca="false">IF($AH107=0,"",SUM($AH$4:$AH107))</f>
        <v>38</v>
      </c>
      <c r="AF107" s="57" t="str">
        <f aca="false">IF($AI107=0,"",SUM($AI$4:$AI107))</f>
        <v/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1</v>
      </c>
      <c r="AI107" s="57" t="n">
        <f aca="false">IF(AND($F107&lt;&gt;"",$P107&lt;&gt;"",$P107&lt;Hoje!$C$3,$AB107=0,$R107&lt;&gt;"Cancelada"),1,0)</f>
        <v>0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Falta a semana</v>
      </c>
      <c r="C108" s="58"/>
      <c r="D108" s="59" t="s">
        <v>169</v>
      </c>
      <c r="E108" s="59" t="s">
        <v>297</v>
      </c>
      <c r="F108" s="59" t="s">
        <v>358</v>
      </c>
      <c r="G108" s="60" t="s">
        <v>110</v>
      </c>
      <c r="H108" s="60" t="s">
        <v>216</v>
      </c>
      <c r="I108" s="61"/>
      <c r="J108" s="61"/>
      <c r="K108" s="61"/>
      <c r="L108" s="62"/>
      <c r="M108" s="63" t="s">
        <v>112</v>
      </c>
      <c r="N108" s="62" t="n">
        <v>3</v>
      </c>
      <c r="O108" s="64" t="str">
        <f aca="false">IF(OR($L108="",$M108=""),"",(DATE(Semana!$J$3,1,4)-WEEKDAY(DATE(Semana!$J$3,1,4),3))+($L108-1)*7+MATCH($M108,Listas!$F$5:$F$11,0)-1)</f>
        <v/>
      </c>
      <c r="P108" s="64" t="str">
        <f aca="false">IF($O108="","",$O108+MAX(1,IF($N108="",1,$N108))-1)</f>
        <v/>
      </c>
      <c r="Q108" s="65"/>
      <c r="R108" s="60"/>
      <c r="S108" s="66" t="n">
        <v>35</v>
      </c>
      <c r="T108" s="59"/>
      <c r="U108" s="59"/>
      <c r="V108" s="57" t="str">
        <f aca="false">IF($F108="","",IF(ISNUMBER(SEARCH("(externo)",$I108&amp;$J108&amp;$K108)),"Terceirizada","Interna"))</f>
        <v>Interna</v>
      </c>
      <c r="W108" s="64" t="str">
        <f aca="false">IF($O108="","",IF($S108="",$O108,(DATE(Semana!$J$3,1,4)-WEEKDAY(DATE(Semana!$J$3,1,4),3))+($S108-1)*7+IF($M108="",0,MATCH($M108,Listas!$F$5:$F$11,0)-1)))</f>
        <v/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0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0</v>
      </c>
      <c r="AD108" s="57" t="n">
        <f aca="false">IF($F108="","",IF(COUNTA($I108:$K108)=0,0,1/COUNTA($I108:$K108)))</f>
        <v>0</v>
      </c>
      <c r="AE108" s="57" t="str">
        <f aca="false">IF($AH108=0,"",SUM($AH$4:$AH108))</f>
        <v/>
      </c>
      <c r="AF108" s="57" t="str">
        <f aca="false">IF($AI108=0,"",SUM($AI$4:$AI108))</f>
        <v/>
      </c>
      <c r="AG108" s="67" t="str">
        <f aca="false">IF($F108="","",$I108&amp;IF($J108="",""," · "&amp;$J108)&amp;IF($K108="",""," · "&amp;$K108))</f>
        <v/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0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Em execução</v>
      </c>
      <c r="C109" s="58" t="s">
        <v>359</v>
      </c>
      <c r="D109" s="59" t="s">
        <v>169</v>
      </c>
      <c r="E109" s="59" t="s">
        <v>297</v>
      </c>
      <c r="F109" s="59" t="s">
        <v>360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IF($O109="","",$O109+MAX(1,IF($N109="",1,$N109))-1)</f>
        <v>46267</v>
      </c>
      <c r="Q109" s="65"/>
      <c r="R109" s="60"/>
      <c r="S109" s="66" t="n">
        <v>35</v>
      </c>
      <c r="T109" s="59" t="s">
        <v>146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1</v>
      </c>
      <c r="AE109" s="57" t="n">
        <f aca="false">IF($AH109=0,"",SUM($AH$4:$AH109))</f>
        <v>39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Falta a semana</v>
      </c>
      <c r="C110" s="58"/>
      <c r="D110" s="59" t="s">
        <v>169</v>
      </c>
      <c r="E110" s="59" t="s">
        <v>297</v>
      </c>
      <c r="F110" s="59" t="s">
        <v>361</v>
      </c>
      <c r="G110" s="60" t="s">
        <v>110</v>
      </c>
      <c r="H110" s="60" t="s">
        <v>216</v>
      </c>
      <c r="I110" s="61"/>
      <c r="J110" s="61"/>
      <c r="K110" s="61"/>
      <c r="L110" s="62"/>
      <c r="M110" s="63" t="s">
        <v>112</v>
      </c>
      <c r="N110" s="62" t="n">
        <v>3</v>
      </c>
      <c r="O110" s="64" t="str">
        <f aca="false">IF(OR($L110="",$M110=""),"",(DATE(Semana!$J$3,1,4)-WEEKDAY(DATE(Semana!$J$3,1,4),3))+($L110-1)*7+MATCH($M110,Listas!$F$5:$F$11,0)-1)</f>
        <v/>
      </c>
      <c r="P110" s="64" t="str">
        <f aca="false">IF($O110="","",$O110+MAX(1,IF($N110="",1,$N110))-1)</f>
        <v/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str">
        <f aca="false">IF($O110="","",IF($S110="",$O110,(DATE(Semana!$J$3,1,4)-WEEKDAY(DATE(Semana!$J$3,1,4),3))+($S110-1)*7+IF($M110="",0,MATCH($M110,Listas!$F$5:$F$11,0)-1)))</f>
        <v/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0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str">
        <f aca="false">IF($AH110=0,"",SUM($AH$4:$AH110))</f>
        <v/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0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Em execução</v>
      </c>
      <c r="C111" s="58" t="s">
        <v>362</v>
      </c>
      <c r="D111" s="59" t="s">
        <v>169</v>
      </c>
      <c r="E111" s="59" t="s">
        <v>297</v>
      </c>
      <c r="F111" s="59" t="s">
        <v>363</v>
      </c>
      <c r="G111" s="60" t="s">
        <v>110</v>
      </c>
      <c r="H111" s="60" t="s">
        <v>88</v>
      </c>
      <c r="I111" s="61" t="s">
        <v>128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IF($O111="","",$O111+MAX(1,IF($N111="",1,$N111))-1)</f>
        <v>46267</v>
      </c>
      <c r="Q111" s="65"/>
      <c r="R111" s="60"/>
      <c r="S111" s="66" t="n">
        <v>35</v>
      </c>
      <c r="T111" s="59" t="s">
        <v>146</v>
      </c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1</v>
      </c>
      <c r="AE111" s="57" t="n">
        <f aca="false">IF($AH111=0,"",SUM($AH$4:$AH111))</f>
        <v>40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>Heliton</v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Falta a semana</v>
      </c>
      <c r="C112" s="58"/>
      <c r="D112" s="59" t="s">
        <v>169</v>
      </c>
      <c r="E112" s="59" t="s">
        <v>297</v>
      </c>
      <c r="F112" s="59" t="s">
        <v>364</v>
      </c>
      <c r="G112" s="60" t="s">
        <v>110</v>
      </c>
      <c r="H112" s="60" t="s">
        <v>216</v>
      </c>
      <c r="I112" s="61"/>
      <c r="J112" s="61"/>
      <c r="K112" s="61"/>
      <c r="L112" s="62"/>
      <c r="M112" s="63" t="s">
        <v>112</v>
      </c>
      <c r="N112" s="62" t="n">
        <v>3</v>
      </c>
      <c r="O112" s="64" t="str">
        <f aca="false">IF(OR($L112="",$M112=""),"",(DATE(Semana!$J$3,1,4)-WEEKDAY(DATE(Semana!$J$3,1,4),3))+($L112-1)*7+MATCH($M112,Listas!$F$5:$F$11,0)-1)</f>
        <v/>
      </c>
      <c r="P112" s="64" t="str">
        <f aca="false">IF($O112="","",$O112+MAX(1,IF($N112="",1,$N112))-1)</f>
        <v/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str">
        <f aca="false">IF($O112="","",IF($S112="",$O112,(DATE(Semana!$J$3,1,4)-WEEKDAY(DATE(Semana!$J$3,1,4),3))+($S112-1)*7+IF($M112="",0,MATCH($M112,Listas!$F$5:$F$11,0)-1)))</f>
        <v/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0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str">
        <f aca="false">IF($AH112=0,"",SUM($AH$4:$AH112))</f>
        <v/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0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Falta a semana</v>
      </c>
      <c r="C113" s="58"/>
      <c r="D113" s="59" t="s">
        <v>169</v>
      </c>
      <c r="E113" s="59" t="s">
        <v>297</v>
      </c>
      <c r="F113" s="59" t="s">
        <v>365</v>
      </c>
      <c r="G113" s="60" t="s">
        <v>110</v>
      </c>
      <c r="H113" s="60" t="s">
        <v>216</v>
      </c>
      <c r="I113" s="61"/>
      <c r="J113" s="61"/>
      <c r="K113" s="61"/>
      <c r="L113" s="62"/>
      <c r="M113" s="63" t="s">
        <v>112</v>
      </c>
      <c r="N113" s="62" t="n">
        <v>3</v>
      </c>
      <c r="O113" s="64" t="str">
        <f aca="false">IF(OR($L113="",$M113=""),"",(DATE(Semana!$J$3,1,4)-WEEKDAY(DATE(Semana!$J$3,1,4),3))+($L113-1)*7+MATCH($M113,Listas!$F$5:$F$11,0)-1)</f>
        <v/>
      </c>
      <c r="P113" s="64" t="str">
        <f aca="false">IF($O113="","",$O113+MAX(1,IF($N113="",1,$N113))-1)</f>
        <v/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str">
        <f aca="false">IF($O113="","",IF($S113="",$O113,(DATE(Semana!$J$3,1,4)-WEEKDAY(DATE(Semana!$J$3,1,4),3))+($S113-1)*7+IF($M113="",0,MATCH($M113,Listas!$F$5:$F$11,0)-1)))</f>
        <v/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0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0</v>
      </c>
      <c r="AE113" s="57" t="str">
        <f aca="false">IF($AH113=0,"",SUM($AH$4:$AH113))</f>
        <v/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/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0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Falta a semana</v>
      </c>
      <c r="C114" s="58"/>
      <c r="D114" s="59" t="s">
        <v>169</v>
      </c>
      <c r="E114" s="59" t="s">
        <v>297</v>
      </c>
      <c r="F114" s="59" t="s">
        <v>366</v>
      </c>
      <c r="G114" s="60" t="s">
        <v>110</v>
      </c>
      <c r="H114" s="60" t="s">
        <v>216</v>
      </c>
      <c r="I114" s="61"/>
      <c r="J114" s="61"/>
      <c r="K114" s="61"/>
      <c r="L114" s="62"/>
      <c r="M114" s="63" t="s">
        <v>112</v>
      </c>
      <c r="N114" s="62" t="n">
        <v>3</v>
      </c>
      <c r="O114" s="64" t="str">
        <f aca="false">IF(OR($L114="",$M114=""),"",(DATE(Semana!$J$3,1,4)-WEEKDAY(DATE(Semana!$J$3,1,4),3))+($L114-1)*7+MATCH($M114,Listas!$F$5:$F$11,0)-1)</f>
        <v/>
      </c>
      <c r="P114" s="64" t="str">
        <f aca="false">IF($O114="","",$O114+MAX(1,IF($N114="",1,$N114))-1)</f>
        <v/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str">
        <f aca="false">IF($O114="","",IF($S114="",$O114,(DATE(Semana!$J$3,1,4)-WEEKDAY(DATE(Semana!$J$3,1,4),3))+($S114-1)*7+IF($M114="",0,MATCH($M114,Listas!$F$5:$F$11,0)-1)))</f>
        <v/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0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str">
        <f aca="false">IF($AH114=0,"",SUM($AH$4:$AH114))</f>
        <v/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0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Em execução</v>
      </c>
      <c r="C115" s="58" t="s">
        <v>367</v>
      </c>
      <c r="D115" s="59" t="s">
        <v>169</v>
      </c>
      <c r="E115" s="59" t="s">
        <v>297</v>
      </c>
      <c r="F115" s="59" t="s">
        <v>368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IF($O115="","",$O115+MAX(1,IF($N115="",1,$N115))-1)</f>
        <v>46267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41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Falta a semana</v>
      </c>
      <c r="C116" s="58"/>
      <c r="D116" s="59" t="s">
        <v>169</v>
      </c>
      <c r="E116" s="59" t="s">
        <v>297</v>
      </c>
      <c r="F116" s="59" t="s">
        <v>369</v>
      </c>
      <c r="G116" s="60" t="s">
        <v>110</v>
      </c>
      <c r="H116" s="60" t="s">
        <v>216</v>
      </c>
      <c r="I116" s="61"/>
      <c r="J116" s="61"/>
      <c r="K116" s="61"/>
      <c r="L116" s="62"/>
      <c r="M116" s="63" t="s">
        <v>112</v>
      </c>
      <c r="N116" s="62" t="n">
        <v>3</v>
      </c>
      <c r="O116" s="64" t="str">
        <f aca="false">IF(OR($L116="",$M116=""),"",(DATE(Semana!$J$3,1,4)-WEEKDAY(DATE(Semana!$J$3,1,4),3))+($L116-1)*7+MATCH($M116,Listas!$F$5:$F$11,0)-1)</f>
        <v/>
      </c>
      <c r="P116" s="64" t="str">
        <f aca="false">IF($O116="","",$O116+MAX(1,IF($N116="",1,$N116))-1)</f>
        <v/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str">
        <f aca="false">IF($O116="","",IF($S116="",$O116,(DATE(Semana!$J$3,1,4)-WEEKDAY(DATE(Semana!$J$3,1,4),3))+($S116-1)*7+IF($M116="",0,MATCH($M116,Listas!$F$5:$F$11,0)-1)))</f>
        <v/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0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str">
        <f aca="false">IF($AH116=0,"",SUM($AH$4:$AH116))</f>
        <v/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0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Falta a semana</v>
      </c>
      <c r="C117" s="58"/>
      <c r="D117" s="59" t="s">
        <v>169</v>
      </c>
      <c r="E117" s="59" t="s">
        <v>297</v>
      </c>
      <c r="F117" s="59" t="s">
        <v>370</v>
      </c>
      <c r="G117" s="60" t="s">
        <v>110</v>
      </c>
      <c r="H117" s="60" t="s">
        <v>216</v>
      </c>
      <c r="I117" s="61"/>
      <c r="J117" s="61"/>
      <c r="K117" s="61"/>
      <c r="L117" s="62"/>
      <c r="M117" s="63" t="s">
        <v>112</v>
      </c>
      <c r="N117" s="62" t="n">
        <v>3</v>
      </c>
      <c r="O117" s="64" t="str">
        <f aca="false">IF(OR($L117="",$M117=""),"",(DATE(Semana!$J$3,1,4)-WEEKDAY(DATE(Semana!$J$3,1,4),3))+($L117-1)*7+MATCH($M117,Listas!$F$5:$F$11,0)-1)</f>
        <v/>
      </c>
      <c r="P117" s="64" t="str">
        <f aca="false">IF($O117="","",$O117+MAX(1,IF($N117="",1,$N117))-1)</f>
        <v/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str">
        <f aca="false">IF($O117="","",IF($S117="",$O117,(DATE(Semana!$J$3,1,4)-WEEKDAY(DATE(Semana!$J$3,1,4),3))+($S117-1)*7+IF($M117="",0,MATCH($M117,Listas!$F$5:$F$11,0)-1)))</f>
        <v/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0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0</v>
      </c>
      <c r="AE117" s="57" t="str">
        <f aca="false">IF($AH117=0,"",SUM($AH$4:$AH117))</f>
        <v/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/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0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Falta a semana</v>
      </c>
      <c r="C118" s="58"/>
      <c r="D118" s="59" t="s">
        <v>169</v>
      </c>
      <c r="E118" s="59" t="s">
        <v>297</v>
      </c>
      <c r="F118" s="59" t="s">
        <v>371</v>
      </c>
      <c r="G118" s="60" t="s">
        <v>110</v>
      </c>
      <c r="H118" s="60" t="s">
        <v>216</v>
      </c>
      <c r="I118" s="61"/>
      <c r="J118" s="61"/>
      <c r="K118" s="61"/>
      <c r="L118" s="62"/>
      <c r="M118" s="63" t="s">
        <v>112</v>
      </c>
      <c r="N118" s="62" t="n">
        <v>3</v>
      </c>
      <c r="O118" s="64" t="str">
        <f aca="false">IF(OR($L118="",$M118=""),"",(DATE(Semana!$J$3,1,4)-WEEKDAY(DATE(Semana!$J$3,1,4),3))+($L118-1)*7+MATCH($M118,Listas!$F$5:$F$11,0)-1)</f>
        <v/>
      </c>
      <c r="P118" s="64" t="str">
        <f aca="false">IF($O118="","",$O118+MAX(1,IF($N118="",1,$N118))-1)</f>
        <v/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str">
        <f aca="false">IF($O118="","",IF($S118="",$O118,(DATE(Semana!$J$3,1,4)-WEEKDAY(DATE(Semana!$J$3,1,4),3))+($S118-1)*7+IF($M118="",0,MATCH($M118,Listas!$F$5:$F$11,0)-1)))</f>
        <v/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0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str">
        <f aca="false">IF($AH118=0,"",SUM($AH$4:$AH118))</f>
        <v/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0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Falta a semana</v>
      </c>
      <c r="C119" s="58"/>
      <c r="D119" s="59" t="s">
        <v>169</v>
      </c>
      <c r="E119" s="59" t="s">
        <v>297</v>
      </c>
      <c r="F119" s="59" t="s">
        <v>372</v>
      </c>
      <c r="G119" s="60" t="s">
        <v>110</v>
      </c>
      <c r="H119" s="60" t="s">
        <v>216</v>
      </c>
      <c r="I119" s="61"/>
      <c r="J119" s="61"/>
      <c r="K119" s="61"/>
      <c r="L119" s="62"/>
      <c r="M119" s="63" t="s">
        <v>112</v>
      </c>
      <c r="N119" s="62" t="n">
        <v>3</v>
      </c>
      <c r="O119" s="64" t="str">
        <f aca="false">IF(OR($L119="",$M119=""),"",(DATE(Semana!$J$3,1,4)-WEEKDAY(DATE(Semana!$J$3,1,4),3))+($L119-1)*7+MATCH($M119,Listas!$F$5:$F$11,0)-1)</f>
        <v/>
      </c>
      <c r="P119" s="64" t="str">
        <f aca="false">IF($O119="","",$O119+MAX(1,IF($N119="",1,$N119))-1)</f>
        <v/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str">
        <f aca="false">IF($O119="","",IF($S119="",$O119,(DATE(Semana!$J$3,1,4)-WEEKDAY(DATE(Semana!$J$3,1,4),3))+($S119-1)*7+IF($M119="",0,MATCH($M119,Listas!$F$5:$F$11,0)-1)))</f>
        <v/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0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str">
        <f aca="false">IF($AH119=0,"",SUM($AH$4:$AH119))</f>
        <v/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0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Falta a semana</v>
      </c>
      <c r="C120" s="58"/>
      <c r="D120" s="59" t="s">
        <v>169</v>
      </c>
      <c r="E120" s="59" t="s">
        <v>297</v>
      </c>
      <c r="F120" s="59" t="s">
        <v>373</v>
      </c>
      <c r="G120" s="60" t="s">
        <v>110</v>
      </c>
      <c r="H120" s="60" t="s">
        <v>216</v>
      </c>
      <c r="I120" s="61"/>
      <c r="J120" s="61"/>
      <c r="K120" s="61"/>
      <c r="L120" s="62"/>
      <c r="M120" s="63" t="s">
        <v>112</v>
      </c>
      <c r="N120" s="62" t="n">
        <v>3</v>
      </c>
      <c r="O120" s="64" t="str">
        <f aca="false">IF(OR($L120="",$M120=""),"",(DATE(Semana!$J$3,1,4)-WEEKDAY(DATE(Semana!$J$3,1,4),3))+($L120-1)*7+MATCH($M120,Listas!$F$5:$F$11,0)-1)</f>
        <v/>
      </c>
      <c r="P120" s="64" t="str">
        <f aca="false">IF($O120="","",$O120+MAX(1,IF($N120="",1,$N120))-1)</f>
        <v/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str">
        <f aca="false">IF($O120="","",IF($S120="",$O120,(DATE(Semana!$J$3,1,4)-WEEKDAY(DATE(Semana!$J$3,1,4),3))+($S120-1)*7+IF($M120="",0,MATCH($M120,Listas!$F$5:$F$11,0)-1)))</f>
        <v/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0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str">
        <f aca="false">IF($AH120=0,"",SUM($AH$4:$AH120))</f>
        <v/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0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Falta a semana</v>
      </c>
      <c r="C121" s="58"/>
      <c r="D121" s="59" t="s">
        <v>169</v>
      </c>
      <c r="E121" s="59" t="s">
        <v>297</v>
      </c>
      <c r="F121" s="59" t="s">
        <v>374</v>
      </c>
      <c r="G121" s="60" t="s">
        <v>110</v>
      </c>
      <c r="H121" s="60" t="s">
        <v>216</v>
      </c>
      <c r="I121" s="61"/>
      <c r="J121" s="61"/>
      <c r="K121" s="61"/>
      <c r="L121" s="62"/>
      <c r="M121" s="63" t="s">
        <v>112</v>
      </c>
      <c r="N121" s="62" t="n">
        <v>3</v>
      </c>
      <c r="O121" s="64" t="str">
        <f aca="false">IF(OR($L121="",$M121=""),"",(DATE(Semana!$J$3,1,4)-WEEKDAY(DATE(Semana!$J$3,1,4),3))+($L121-1)*7+MATCH($M121,Listas!$F$5:$F$11,0)-1)</f>
        <v/>
      </c>
      <c r="P121" s="64" t="str">
        <f aca="false">IF($O121="","",$O121+MAX(1,IF($N121="",1,$N121))-1)</f>
        <v/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str">
        <f aca="false">IF($O121="","",IF($S121="",$O121,(DATE(Semana!$J$3,1,4)-WEEKDAY(DATE(Semana!$J$3,1,4),3))+($S121-1)*7+IF($M121="",0,MATCH($M121,Listas!$F$5:$F$11,0)-1)))</f>
        <v/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0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0</v>
      </c>
      <c r="AE121" s="57" t="str">
        <f aca="false">IF($AH121=0,"",SUM($AH$4:$AH121))</f>
        <v/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/>
      </c>
      <c r="AH121" s="57" t="n">
        <f aca="false">IF(AND($F121&lt;&gt;"",$O121&lt;&gt;"",$O121&lt;=Hoje!$C$3,$P121&gt;=Hoje!$C$3,$R121&lt;&gt;"Cancelada"),1,0)</f>
        <v>0</v>
      </c>
      <c r="AI121" s="57" t="n">
        <f aca="false">IF(AND($F121&lt;&gt;"",$P121&lt;&gt;"",$P121&lt;Hoje!$C$3,$AB121=0,$R121&lt;&gt;"Cancelada"),1,0)</f>
        <v>0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Falta a semana</v>
      </c>
      <c r="C122" s="58"/>
      <c r="D122" s="59" t="s">
        <v>169</v>
      </c>
      <c r="E122" s="59" t="s">
        <v>297</v>
      </c>
      <c r="F122" s="59" t="s">
        <v>375</v>
      </c>
      <c r="G122" s="60" t="s">
        <v>110</v>
      </c>
      <c r="H122" s="60" t="s">
        <v>216</v>
      </c>
      <c r="I122" s="61"/>
      <c r="J122" s="61"/>
      <c r="K122" s="61"/>
      <c r="L122" s="62"/>
      <c r="M122" s="63" t="s">
        <v>112</v>
      </c>
      <c r="N122" s="62" t="n">
        <v>3</v>
      </c>
      <c r="O122" s="64" t="str">
        <f aca="false">IF(OR($L122="",$M122=""),"",(DATE(Semana!$J$3,1,4)-WEEKDAY(DATE(Semana!$J$3,1,4),3))+($L122-1)*7+MATCH($M122,Listas!$F$5:$F$11,0)-1)</f>
        <v/>
      </c>
      <c r="P122" s="64" t="str">
        <f aca="false">IF($O122="","",$O122+MAX(1,IF($N122="",1,$N122))-1)</f>
        <v/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str">
        <f aca="false">IF($O122="","",IF($S122="",$O122,(DATE(Semana!$J$3,1,4)-WEEKDAY(DATE(Semana!$J$3,1,4),3))+($S122-1)*7+IF($M122="",0,MATCH($M122,Listas!$F$5:$F$11,0)-1)))</f>
        <v/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0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str">
        <f aca="false">IF($AH122=0,"",SUM($AH$4:$AH122))</f>
        <v/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0</v>
      </c>
      <c r="AI122" s="57" t="n">
        <f aca="false">IF(AND($F122&lt;&gt;"",$P122&lt;&gt;"",$P122&lt;Hoje!$C$3,$AB122=0,$R122&lt;&gt;"Cancelada"),1,0)</f>
        <v>0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Falta a semana</v>
      </c>
      <c r="C123" s="58"/>
      <c r="D123" s="59" t="s">
        <v>169</v>
      </c>
      <c r="E123" s="59" t="s">
        <v>297</v>
      </c>
      <c r="F123" s="59" t="s">
        <v>376</v>
      </c>
      <c r="G123" s="60" t="s">
        <v>110</v>
      </c>
      <c r="H123" s="60" t="s">
        <v>216</v>
      </c>
      <c r="I123" s="61"/>
      <c r="J123" s="61"/>
      <c r="K123" s="61"/>
      <c r="L123" s="62"/>
      <c r="M123" s="63" t="s">
        <v>112</v>
      </c>
      <c r="N123" s="62" t="n">
        <v>3</v>
      </c>
      <c r="O123" s="64" t="str">
        <f aca="false">IF(OR($L123="",$M123=""),"",(DATE(Semana!$J$3,1,4)-WEEKDAY(DATE(Semana!$J$3,1,4),3))+($L123-1)*7+MATCH($M123,Listas!$F$5:$F$11,0)-1)</f>
        <v/>
      </c>
      <c r="P123" s="64" t="str">
        <f aca="false">IF($O123="","",$O123+MAX(1,IF($N123="",1,$N123))-1)</f>
        <v/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str">
        <f aca="false">IF($O123="","",IF($S123="",$O123,(DATE(Semana!$J$3,1,4)-WEEKDAY(DATE(Semana!$J$3,1,4),3))+($S123-1)*7+IF($M123="",0,MATCH($M123,Listas!$F$5:$F$11,0)-1)))</f>
        <v/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0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str">
        <f aca="false">IF($AH123=0,"",SUM($AH$4:$AH123))</f>
        <v/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0</v>
      </c>
      <c r="AI123" s="57" t="n">
        <f aca="false">IF(AND($F123&lt;&gt;"",$P123&lt;&gt;"",$P123&lt;Hoje!$C$3,$AB123=0,$R123&lt;&gt;"Cancelada"),1,0)</f>
        <v>0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Falta a semana</v>
      </c>
      <c r="C124" s="58"/>
      <c r="D124" s="59" t="s">
        <v>169</v>
      </c>
      <c r="E124" s="59" t="s">
        <v>297</v>
      </c>
      <c r="F124" s="59" t="s">
        <v>377</v>
      </c>
      <c r="G124" s="60" t="s">
        <v>110</v>
      </c>
      <c r="H124" s="60" t="s">
        <v>216</v>
      </c>
      <c r="I124" s="61"/>
      <c r="J124" s="61"/>
      <c r="K124" s="61"/>
      <c r="L124" s="62"/>
      <c r="M124" s="63" t="s">
        <v>112</v>
      </c>
      <c r="N124" s="62" t="n">
        <v>3</v>
      </c>
      <c r="O124" s="64" t="str">
        <f aca="false">IF(OR($L124="",$M124=""),"",(DATE(Semana!$J$3,1,4)-WEEKDAY(DATE(Semana!$J$3,1,4),3))+($L124-1)*7+MATCH($M124,Listas!$F$5:$F$11,0)-1)</f>
        <v/>
      </c>
      <c r="P124" s="64" t="str">
        <f aca="false">IF($O124="","",$O124+MAX(1,IF($N124="",1,$N124))-1)</f>
        <v/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str">
        <f aca="false">IF($O124="","",IF($S124="",$O124,(DATE(Semana!$J$3,1,4)-WEEKDAY(DATE(Semana!$J$3,1,4),3))+($S124-1)*7+IF($M124="",0,MATCH($M124,Listas!$F$5:$F$11,0)-1)))</f>
        <v/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0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str">
        <f aca="false">IF($AH124=0,"",SUM($AH$4:$AH124))</f>
        <v/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0</v>
      </c>
      <c r="AI124" s="57" t="n">
        <f aca="false">IF(AND($F124&lt;&gt;"",$P124&lt;&gt;"",$P124&lt;Hoje!$C$3,$AB124=0,$R124&lt;&gt;"Cancelada"),1,0)</f>
        <v>0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Falta a semana</v>
      </c>
      <c r="C125" s="58"/>
      <c r="D125" s="59" t="s">
        <v>169</v>
      </c>
      <c r="E125" s="59" t="s">
        <v>297</v>
      </c>
      <c r="F125" s="59" t="s">
        <v>378</v>
      </c>
      <c r="G125" s="60" t="s">
        <v>110</v>
      </c>
      <c r="H125" s="60" t="s">
        <v>216</v>
      </c>
      <c r="I125" s="61"/>
      <c r="J125" s="61"/>
      <c r="K125" s="61"/>
      <c r="L125" s="62"/>
      <c r="M125" s="63" t="s">
        <v>112</v>
      </c>
      <c r="N125" s="62" t="n">
        <v>3</v>
      </c>
      <c r="O125" s="64" t="str">
        <f aca="false">IF(OR($L125="",$M125=""),"",(DATE(Semana!$J$3,1,4)-WEEKDAY(DATE(Semana!$J$3,1,4),3))+($L125-1)*7+MATCH($M125,Listas!$F$5:$F$11,0)-1)</f>
        <v/>
      </c>
      <c r="P125" s="64" t="str">
        <f aca="false">IF($O125="","",$O125+MAX(1,IF($N125="",1,$N125))-1)</f>
        <v/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str">
        <f aca="false">IF($O125="","",IF($S125="",$O125,(DATE(Semana!$J$3,1,4)-WEEKDAY(DATE(Semana!$J$3,1,4),3))+($S125-1)*7+IF($M125="",0,MATCH($M125,Listas!$F$5:$F$11,0)-1)))</f>
        <v/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0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str">
        <f aca="false">IF($AH125=0,"",SUM($AH$4:$AH125))</f>
        <v/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0</v>
      </c>
      <c r="AI125" s="57" t="n">
        <f aca="false">IF(AND($F125&lt;&gt;"",$P125&lt;&gt;"",$P125&lt;Hoje!$C$3,$AB125=0,$R125&lt;&gt;"Cancelada"),1,0)</f>
        <v>0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Cancelada</v>
      </c>
      <c r="C126" s="58"/>
      <c r="D126" s="59" t="s">
        <v>172</v>
      </c>
      <c r="E126" s="59" t="s">
        <v>238</v>
      </c>
      <c r="F126" s="59" t="s">
        <v>379</v>
      </c>
      <c r="G126" s="60" t="s">
        <v>115</v>
      </c>
      <c r="H126" s="60" t="s">
        <v>88</v>
      </c>
      <c r="I126" s="61" t="s">
        <v>123</v>
      </c>
      <c r="J126" s="61" t="s">
        <v>133</v>
      </c>
      <c r="K126" s="61"/>
      <c r="L126" s="62" t="n">
        <v>35</v>
      </c>
      <c r="M126" s="63" t="s">
        <v>127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46261</v>
      </c>
      <c r="P126" s="64" t="n">
        <f aca="false">IF($O126="","",$O126+MAX(1,IF($N126="",1,$N126))-1)</f>
        <v>46263</v>
      </c>
      <c r="Q126" s="65"/>
      <c r="R126" s="60" t="s">
        <v>57</v>
      </c>
      <c r="S126" s="66"/>
      <c r="T126" s="59"/>
      <c r="U126" s="59" t="s">
        <v>380</v>
      </c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46261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0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0.5</v>
      </c>
      <c r="AE126" s="57" t="str">
        <f aca="false">IF($AH126=0,"",SUM($AH$4:$AH126))</f>
        <v/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Gabriel · Júnior</v>
      </c>
      <c r="AH126" s="57" t="n">
        <f aca="false">IF(AND($F126&lt;&gt;"",$O126&lt;&gt;"",$O126&lt;=Hoje!$C$3,$P126&gt;=Hoje!$C$3,$R126&lt;&gt;"Cancelada"),1,0)</f>
        <v>0</v>
      </c>
      <c r="AI126" s="57" t="n">
        <f aca="false">IF(AND($F126&lt;&gt;"",$P126&lt;&gt;"",$P126&lt;Hoje!$C$3,$AB126=0,$R126&lt;&gt;"Cancelada"),1,0)</f>
        <v>0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Cancelada</v>
      </c>
      <c r="C127" s="58"/>
      <c r="D127" s="59" t="s">
        <v>172</v>
      </c>
      <c r="E127" s="59" t="s">
        <v>238</v>
      </c>
      <c r="F127" s="59" t="s">
        <v>381</v>
      </c>
      <c r="G127" s="60" t="s">
        <v>115</v>
      </c>
      <c r="H127" s="60" t="s">
        <v>88</v>
      </c>
      <c r="I127" s="61" t="s">
        <v>123</v>
      </c>
      <c r="J127" s="61" t="s">
        <v>133</v>
      </c>
      <c r="K127" s="61"/>
      <c r="L127" s="62" t="n">
        <v>35</v>
      </c>
      <c r="M127" s="63" t="s">
        <v>127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46261</v>
      </c>
      <c r="P127" s="64" t="n">
        <f aca="false">IF($O127="","",$O127+MAX(1,IF($N127="",1,$N127))-1)</f>
        <v>46263</v>
      </c>
      <c r="Q127" s="65"/>
      <c r="R127" s="60" t="s">
        <v>57</v>
      </c>
      <c r="S127" s="66"/>
      <c r="T127" s="59"/>
      <c r="U127" s="59" t="s">
        <v>380</v>
      </c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46261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0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0.5</v>
      </c>
      <c r="AE127" s="57" t="str">
        <f aca="false">IF($AH127=0,"",SUM($AH$4:$AH127))</f>
        <v/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Gabriel · Júnior</v>
      </c>
      <c r="AH127" s="57" t="n">
        <f aca="false">IF(AND($F127&lt;&gt;"",$O127&lt;&gt;"",$O127&lt;=Hoje!$C$3,$P127&gt;=Hoje!$C$3,$R127&lt;&gt;"Cancelada"),1,0)</f>
        <v>0</v>
      </c>
      <c r="AI127" s="57" t="n">
        <f aca="false">IF(AND($F127&lt;&gt;"",$P127&lt;&gt;"",$P127&lt;Hoje!$C$3,$AB127=0,$R127&lt;&gt;"Cancelada"),1,0)</f>
        <v>0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Cancelada</v>
      </c>
      <c r="C128" s="58"/>
      <c r="D128" s="59" t="s">
        <v>172</v>
      </c>
      <c r="E128" s="59" t="s">
        <v>238</v>
      </c>
      <c r="F128" s="59" t="s">
        <v>382</v>
      </c>
      <c r="G128" s="60" t="s">
        <v>115</v>
      </c>
      <c r="H128" s="60" t="s">
        <v>88</v>
      </c>
      <c r="I128" s="61" t="s">
        <v>123</v>
      </c>
      <c r="J128" s="61" t="s">
        <v>133</v>
      </c>
      <c r="K128" s="61"/>
      <c r="L128" s="62" t="n">
        <v>35</v>
      </c>
      <c r="M128" s="63" t="s">
        <v>127</v>
      </c>
      <c r="N128" s="62" t="n">
        <v>2</v>
      </c>
      <c r="O128" s="64" t="n">
        <f aca="false">IF(OR($L128="",$M128=""),"",(DATE(Semana!$J$3,1,4)-WEEKDAY(DATE(Semana!$J$3,1,4),3))+($L128-1)*7+MATCH($M128,Listas!$F$5:$F$11,0)-1)</f>
        <v>46261</v>
      </c>
      <c r="P128" s="64" t="n">
        <f aca="false">IF($O128="","",$O128+MAX(1,IF($N128="",1,$N128))-1)</f>
        <v>46262</v>
      </c>
      <c r="Q128" s="65"/>
      <c r="R128" s="60" t="s">
        <v>57</v>
      </c>
      <c r="S128" s="66"/>
      <c r="T128" s="59"/>
      <c r="U128" s="59" t="s">
        <v>380</v>
      </c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46261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0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0.5</v>
      </c>
      <c r="AE128" s="57" t="str">
        <f aca="false">IF($AH128=0,"",SUM($AH$4:$AH128))</f>
        <v/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Gabriel · Júnior</v>
      </c>
      <c r="AH128" s="57" t="n">
        <f aca="false">IF(AND($F128&lt;&gt;"",$O128&lt;&gt;"",$O128&lt;=Hoje!$C$3,$P128&gt;=Hoje!$C$3,$R128&lt;&gt;"Cancelada"),1,0)</f>
        <v>0</v>
      </c>
      <c r="AI128" s="57" t="n">
        <f aca="false">IF(AND($F128&lt;&gt;"",$P128&lt;&gt;"",$P128&lt;Hoje!$C$3,$AB128=0,$R128&lt;&gt;"Cancelada"),1,0)</f>
        <v>0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Cancelada</v>
      </c>
      <c r="C129" s="58"/>
      <c r="D129" s="59" t="s">
        <v>172</v>
      </c>
      <c r="E129" s="59" t="s">
        <v>238</v>
      </c>
      <c r="F129" s="59" t="s">
        <v>383</v>
      </c>
      <c r="G129" s="60" t="s">
        <v>115</v>
      </c>
      <c r="H129" s="60" t="s">
        <v>88</v>
      </c>
      <c r="I129" s="61" t="s">
        <v>123</v>
      </c>
      <c r="J129" s="61" t="s">
        <v>133</v>
      </c>
      <c r="K129" s="61"/>
      <c r="L129" s="62" t="n">
        <v>35</v>
      </c>
      <c r="M129" s="63" t="s">
        <v>127</v>
      </c>
      <c r="N129" s="62" t="n">
        <v>2</v>
      </c>
      <c r="O129" s="64" t="n">
        <f aca="false">IF(OR($L129="",$M129=""),"",(DATE(Semana!$J$3,1,4)-WEEKDAY(DATE(Semana!$J$3,1,4),3))+($L129-1)*7+MATCH($M129,Listas!$F$5:$F$11,0)-1)</f>
        <v>46261</v>
      </c>
      <c r="P129" s="64" t="n">
        <f aca="false">IF($O129="","",$O129+MAX(1,IF($N129="",1,$N129))-1)</f>
        <v>46262</v>
      </c>
      <c r="Q129" s="65"/>
      <c r="R129" s="60" t="s">
        <v>57</v>
      </c>
      <c r="S129" s="66"/>
      <c r="T129" s="59"/>
      <c r="U129" s="59" t="s">
        <v>380</v>
      </c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46261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0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0.5</v>
      </c>
      <c r="AE129" s="57" t="str">
        <f aca="false">IF($AH129=0,"",SUM($AH$4:$AH129))</f>
        <v/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Gabriel · Júnior</v>
      </c>
      <c r="AH129" s="57" t="n">
        <f aca="false">IF(AND($F129&lt;&gt;"",$O129&lt;&gt;"",$O129&lt;=Hoje!$C$3,$P129&gt;=Hoje!$C$3,$R129&lt;&gt;"Cancelada"),1,0)</f>
        <v>0</v>
      </c>
      <c r="AI129" s="57" t="n">
        <f aca="false">IF(AND($F129&lt;&gt;"",$P129&lt;&gt;"",$P129&lt;Hoje!$C$3,$AB129=0,$R129&lt;&gt;"Cancelada"),1,0)</f>
        <v>0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Cancelada</v>
      </c>
      <c r="C130" s="58"/>
      <c r="D130" s="59" t="s">
        <v>172</v>
      </c>
      <c r="E130" s="59" t="s">
        <v>238</v>
      </c>
      <c r="F130" s="59" t="s">
        <v>384</v>
      </c>
      <c r="G130" s="60" t="s">
        <v>115</v>
      </c>
      <c r="H130" s="60" t="s">
        <v>88</v>
      </c>
      <c r="I130" s="61" t="s">
        <v>123</v>
      </c>
      <c r="J130" s="61" t="s">
        <v>133</v>
      </c>
      <c r="K130" s="61"/>
      <c r="L130" s="62" t="n">
        <v>35</v>
      </c>
      <c r="M130" s="63" t="s">
        <v>127</v>
      </c>
      <c r="N130" s="62" t="n">
        <v>2</v>
      </c>
      <c r="O130" s="64" t="n">
        <f aca="false">IF(OR($L130="",$M130=""),"",(DATE(Semana!$J$3,1,4)-WEEKDAY(DATE(Semana!$J$3,1,4),3))+($L130-1)*7+MATCH($M130,Listas!$F$5:$F$11,0)-1)</f>
        <v>46261</v>
      </c>
      <c r="P130" s="64" t="n">
        <f aca="false">IF($O130="","",$O130+MAX(1,IF($N130="",1,$N130))-1)</f>
        <v>46262</v>
      </c>
      <c r="Q130" s="65"/>
      <c r="R130" s="60" t="s">
        <v>57</v>
      </c>
      <c r="S130" s="66"/>
      <c r="T130" s="59"/>
      <c r="U130" s="59" t="s">
        <v>380</v>
      </c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46261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0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0.5</v>
      </c>
      <c r="AE130" s="57" t="str">
        <f aca="false">IF($AH130=0,"",SUM($AH$4:$AH130))</f>
        <v/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Gabriel · Júnior</v>
      </c>
      <c r="AH130" s="57" t="n">
        <f aca="false">IF(AND($F130&lt;&gt;"",$O130&lt;&gt;"",$O130&lt;=Hoje!$C$3,$P130&gt;=Hoje!$C$3,$R130&lt;&gt;"Cancelada"),1,0)</f>
        <v>0</v>
      </c>
      <c r="AI130" s="57" t="n">
        <f aca="false">IF(AND($F130&lt;&gt;"",$P130&lt;&gt;"",$P130&lt;Hoje!$C$3,$AB130=0,$R130&lt;&gt;"Cancelada"),1,0)</f>
        <v>0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58"/>
      <c r="D131" s="59" t="s">
        <v>174</v>
      </c>
      <c r="E131" s="59" t="s">
        <v>385</v>
      </c>
      <c r="F131" s="59" t="s">
        <v>385</v>
      </c>
      <c r="G131" s="60" t="s">
        <v>110</v>
      </c>
      <c r="H131" s="60" t="s">
        <v>216</v>
      </c>
      <c r="I131" s="61" t="s">
        <v>133</v>
      </c>
      <c r="J131" s="61"/>
      <c r="K131" s="61"/>
      <c r="L131" s="62" t="n">
        <v>35</v>
      </c>
      <c r="M131" s="63" t="s">
        <v>127</v>
      </c>
      <c r="N131" s="62" t="n">
        <v>2</v>
      </c>
      <c r="O131" s="64" t="n">
        <f aca="false">IF(OR($L131="",$M131=""),"",(DATE(Semana!$J$3,1,4)-WEEKDAY(DATE(Semana!$J$3,1,4),3))+($L131-1)*7+MATCH($M131,Listas!$F$5:$F$11,0)-1)</f>
        <v>46261</v>
      </c>
      <c r="P131" s="64" t="n">
        <f aca="false">IF($O131="","",$O131+MAX(1,IF($N131="",1,$N131))-1)</f>
        <v>46262</v>
      </c>
      <c r="Q131" s="65" t="n">
        <v>46261</v>
      </c>
      <c r="R131" s="60" t="s">
        <v>82</v>
      </c>
      <c r="S131" s="66"/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46261</v>
      </c>
      <c r="X131" s="57" t="n">
        <f aca="false">IF($F131="","",IF(OR($Q131="",$O131=""),0,IF($Q131&lt;=$O131,1,0)))</f>
        <v>1</v>
      </c>
      <c r="Y131" s="57" t="n">
        <f aca="false">IF($F131="","",IF(OR($Q131="",$W131=""),0,IF($Q131&lt;=$W131,1,0)))</f>
        <v>1</v>
      </c>
      <c r="Z131" s="57" t="n">
        <f aca="false">IF(OR($Q131="",$O131=""),"",MAX(0,$Q131-$O131))</f>
        <v>0</v>
      </c>
      <c r="AA131" s="57" t="n">
        <f aca="false">IF($F131="","",IF(AND($S131&lt;&gt;"",$L131&lt;&gt;"",$S131&lt;&gt;$L131),1,0))</f>
        <v>0</v>
      </c>
      <c r="AB131" s="57" t="n">
        <f aca="false">IF($F131="","",IF($R131="Cancelada",0,IF(OR($Q131&lt;&gt;"",$R131="Concluída"),1,0)))</f>
        <v>1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1</v>
      </c>
      <c r="AE131" s="57" t="str">
        <f aca="false">IF($AH131=0,"",SUM($AH$4:$AH131))</f>
        <v/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>Júnior</v>
      </c>
      <c r="AH131" s="57" t="n">
        <f aca="false">IF(AND($F131&lt;&gt;"",$O131&lt;&gt;"",$O131&lt;=Hoje!$C$3,$P131&gt;=Hoje!$C$3,$R131&lt;&gt;"Cancelada"),1,0)</f>
        <v>0</v>
      </c>
      <c r="AI131" s="57" t="n">
        <f aca="false">IF(AND($F131&lt;&gt;"",$P131&lt;&gt;"",$P131&lt;Hoje!$C$3,$AB131=0,$R131&lt;&gt;"Cancelada"),1,0)</f>
        <v>0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Concluída</v>
      </c>
      <c r="C132" s="58"/>
      <c r="D132" s="59" t="s">
        <v>174</v>
      </c>
      <c r="E132" s="59" t="s">
        <v>385</v>
      </c>
      <c r="F132" s="59" t="s">
        <v>386</v>
      </c>
      <c r="G132" s="60" t="s">
        <v>110</v>
      </c>
      <c r="H132" s="60" t="s">
        <v>216</v>
      </c>
      <c r="I132" s="61" t="s">
        <v>133</v>
      </c>
      <c r="J132" s="61"/>
      <c r="K132" s="61"/>
      <c r="L132" s="62" t="n">
        <v>35</v>
      </c>
      <c r="M132" s="63" t="s">
        <v>127</v>
      </c>
      <c r="N132" s="62" t="n">
        <v>2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IF($O132="","",$O132+MAX(1,IF($N132="",1,$N132))-1)</f>
        <v>46262</v>
      </c>
      <c r="Q132" s="65" t="n">
        <v>46261</v>
      </c>
      <c r="R132" s="60" t="s">
        <v>82</v>
      </c>
      <c r="S132" s="66"/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1</v>
      </c>
      <c r="Y132" s="57" t="n">
        <f aca="false">IF($F132="","",IF(OR($Q132="",$W132=""),0,IF($Q132&lt;=$W132,1,0)))</f>
        <v>1</v>
      </c>
      <c r="Z132" s="57" t="n">
        <f aca="false">IF(OR($Q132="",$O132=""),"",MAX(0,$Q132-$O132))</f>
        <v>0</v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1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Concluída</v>
      </c>
      <c r="C133" s="58"/>
      <c r="D133" s="59" t="s">
        <v>174</v>
      </c>
      <c r="E133" s="59" t="s">
        <v>385</v>
      </c>
      <c r="F133" s="59" t="s">
        <v>387</v>
      </c>
      <c r="G133" s="60" t="s">
        <v>110</v>
      </c>
      <c r="H133" s="60" t="s">
        <v>216</v>
      </c>
      <c r="I133" s="61" t="s">
        <v>133</v>
      </c>
      <c r="J133" s="61"/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IF($O133="","",$O133+MAX(1,IF($N133="",1,$N133))-1)</f>
        <v>46263</v>
      </c>
      <c r="Q133" s="65" t="n">
        <v>46261</v>
      </c>
      <c r="R133" s="60" t="s">
        <v>82</v>
      </c>
      <c r="S133" s="66"/>
      <c r="T133" s="59"/>
      <c r="U133" s="59"/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1</v>
      </c>
      <c r="Y133" s="57" t="n">
        <f aca="false">IF($F133="","",IF(OR($Q133="",$W133=""),0,IF($Q133&lt;=$W133,1,0)))</f>
        <v>1</v>
      </c>
      <c r="Z133" s="57" t="n">
        <f aca="false">IF(OR($Q133="",$O133=""),"",MAX(0,$Q133-$O133))</f>
        <v>0</v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1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1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Na carteira</v>
      </c>
      <c r="C134" s="58"/>
      <c r="D134" s="59" t="s">
        <v>175</v>
      </c>
      <c r="E134" s="59" t="s">
        <v>388</v>
      </c>
      <c r="F134" s="59" t="s">
        <v>389</v>
      </c>
      <c r="G134" s="60" t="s">
        <v>110</v>
      </c>
      <c r="H134" s="60" t="s">
        <v>88</v>
      </c>
      <c r="I134" s="61"/>
      <c r="J134" s="61"/>
      <c r="K134" s="61"/>
      <c r="L134" s="62"/>
      <c r="M134" s="63"/>
      <c r="N134" s="62" t="n">
        <v>2</v>
      </c>
      <c r="O134" s="64" t="str">
        <f aca="false">IF(OR($L134="",$M134=""),"",(DATE(Semana!$J$3,1,4)-WEEKDAY(DATE(Semana!$J$3,1,4),3))+($L134-1)*7+MATCH($M134,Listas!$F$5:$F$11,0)-1)</f>
        <v/>
      </c>
      <c r="P134" s="64" t="str">
        <f aca="false">IF($O134="","",$O134+MAX(1,IF($N134="",1,$N134))-1)</f>
        <v/>
      </c>
      <c r="Q134" s="65"/>
      <c r="R134" s="60"/>
      <c r="S134" s="66"/>
      <c r="T134" s="59"/>
      <c r="U134" s="59"/>
      <c r="V134" s="57" t="str">
        <f aca="false">IF($F134="","",IF(ISNUMBER(SEARCH("(externo)",$I134&amp;$J134&amp;$K134)),"Terceirizada","Interna"))</f>
        <v>Interna</v>
      </c>
      <c r="W134" s="64" t="str">
        <f aca="false">IF($O134="","",IF($S134="",$O134,(DATE(Semana!$J$3,1,4)-WEEKDAY(DATE(Semana!$J$3,1,4),3))+($S134-1)*7+IF($M134="",0,MATCH($M134,Listas!$F$5:$F$11,0)-1)))</f>
        <v/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0</v>
      </c>
      <c r="AD134" s="57" t="n">
        <f aca="false">IF($F134="","",IF(COUNTA($I134:$K134)=0,0,1/COUNTA($I134:$K134)))</f>
        <v>0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/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Na carteira</v>
      </c>
      <c r="C135" s="58"/>
      <c r="D135" s="59" t="s">
        <v>175</v>
      </c>
      <c r="E135" s="59" t="s">
        <v>388</v>
      </c>
      <c r="F135" s="59" t="s">
        <v>390</v>
      </c>
      <c r="G135" s="60" t="s">
        <v>110</v>
      </c>
      <c r="H135" s="60" t="s">
        <v>88</v>
      </c>
      <c r="I135" s="61"/>
      <c r="J135" s="61"/>
      <c r="K135" s="61"/>
      <c r="L135" s="62"/>
      <c r="M135" s="63"/>
      <c r="N135" s="62" t="n">
        <v>3</v>
      </c>
      <c r="O135" s="64" t="str">
        <f aca="false">IF(OR($L135="",$M135=""),"",(DATE(Semana!$J$3,1,4)-WEEKDAY(DATE(Semana!$J$3,1,4),3))+($L135-1)*7+MATCH($M135,Listas!$F$5:$F$11,0)-1)</f>
        <v/>
      </c>
      <c r="P135" s="64" t="str">
        <f aca="false">IF($O135="","",$O135+MAX(1,IF($N135="",1,$N135))-1)</f>
        <v/>
      </c>
      <c r="Q135" s="65"/>
      <c r="R135" s="60"/>
      <c r="S135" s="66"/>
      <c r="T135" s="59"/>
      <c r="U135" s="59"/>
      <c r="V135" s="57" t="str">
        <f aca="false">IF($F135="","",IF(ISNUMBER(SEARCH("(externo)",$I135&amp;$J135&amp;$K135)),"Terceirizada","Interna"))</f>
        <v>Interna</v>
      </c>
      <c r="W135" s="64" t="str">
        <f aca="false">IF($O135="","",IF($S135="",$O135,(DATE(Semana!$J$3,1,4)-WEEKDAY(DATE(Semana!$J$3,1,4),3))+($S135-1)*7+IF($M135="",0,MATCH($M135,Listas!$F$5:$F$11,0)-1)))</f>
        <v/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0</v>
      </c>
      <c r="AD135" s="57" t="n">
        <f aca="false">IF($F135="","",IF(COUNTA($I135:$K135)=0,0,1/COUNTA($I135:$K135)))</f>
        <v>0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/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Na carteira</v>
      </c>
      <c r="C136" s="58"/>
      <c r="D136" s="59" t="s">
        <v>175</v>
      </c>
      <c r="E136" s="59" t="s">
        <v>388</v>
      </c>
      <c r="F136" s="59" t="s">
        <v>391</v>
      </c>
      <c r="G136" s="60" t="s">
        <v>110</v>
      </c>
      <c r="H136" s="60" t="s">
        <v>88</v>
      </c>
      <c r="I136" s="61"/>
      <c r="J136" s="61"/>
      <c r="K136" s="61"/>
      <c r="L136" s="62"/>
      <c r="M136" s="63"/>
      <c r="N136" s="62" t="n">
        <v>3</v>
      </c>
      <c r="O136" s="64" t="str">
        <f aca="false">IF(OR($L136="",$M136=""),"",(DATE(Semana!$J$3,1,4)-WEEKDAY(DATE(Semana!$J$3,1,4),3))+($L136-1)*7+MATCH($M136,Listas!$F$5:$F$11,0)-1)</f>
        <v/>
      </c>
      <c r="P136" s="64" t="str">
        <f aca="false">IF($O136="","",$O136+MAX(1,IF($N136="",1,$N136))-1)</f>
        <v/>
      </c>
      <c r="Q136" s="65"/>
      <c r="R136" s="60"/>
      <c r="S136" s="66"/>
      <c r="T136" s="59"/>
      <c r="U136" s="59"/>
      <c r="V136" s="57" t="str">
        <f aca="false">IF($F136="","",IF(ISNUMBER(SEARCH("(externo)",$I136&amp;$J136&amp;$K136)),"Terceirizada","Interna"))</f>
        <v>Interna</v>
      </c>
      <c r="W136" s="64" t="str">
        <f aca="false">IF($O136="","",IF($S136="",$O136,(DATE(Semana!$J$3,1,4)-WEEKDAY(DATE(Semana!$J$3,1,4),3))+($S136-1)*7+IF($M136="",0,MATCH($M136,Listas!$F$5:$F$11,0)-1)))</f>
        <v/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0</v>
      </c>
      <c r="AD136" s="57" t="n">
        <f aca="false">IF($F136="","",IF(COUNTA($I136:$K136)=0,0,1/COUNTA($I136:$K136)))</f>
        <v>0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/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Na carteira</v>
      </c>
      <c r="C137" s="58"/>
      <c r="D137" s="59" t="s">
        <v>175</v>
      </c>
      <c r="E137" s="59" t="s">
        <v>388</v>
      </c>
      <c r="F137" s="59" t="s">
        <v>392</v>
      </c>
      <c r="G137" s="60" t="s">
        <v>110</v>
      </c>
      <c r="H137" s="60" t="s">
        <v>88</v>
      </c>
      <c r="I137" s="61"/>
      <c r="J137" s="61"/>
      <c r="K137" s="61"/>
      <c r="L137" s="62"/>
      <c r="M137" s="63"/>
      <c r="N137" s="62" t="n">
        <v>3</v>
      </c>
      <c r="O137" s="64" t="str">
        <f aca="false">IF(OR($L137="",$M137=""),"",(DATE(Semana!$J$3,1,4)-WEEKDAY(DATE(Semana!$J$3,1,4),3))+($L137-1)*7+MATCH($M137,Listas!$F$5:$F$11,0)-1)</f>
        <v/>
      </c>
      <c r="P137" s="64" t="str">
        <f aca="false">IF($O137="","",$O137+MAX(1,IF($N137="",1,$N137))-1)</f>
        <v/>
      </c>
      <c r="Q137" s="65"/>
      <c r="R137" s="60"/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str">
        <f aca="false">IF($O137="","",IF($S137="",$O137,(DATE(Semana!$J$3,1,4)-WEEKDAY(DATE(Semana!$J$3,1,4),3))+($S137-1)*7+IF($M137="",0,MATCH($M137,Listas!$F$5:$F$11,0)-1)))</f>
        <v/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0</v>
      </c>
      <c r="AD137" s="57" t="n">
        <f aca="false">IF($F137="","",IF(COUNTA($I137:$K137)=0,0,1/COUNTA($I137:$K137)))</f>
        <v>0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/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Na carteira</v>
      </c>
      <c r="C138" s="58"/>
      <c r="D138" s="59" t="s">
        <v>175</v>
      </c>
      <c r="E138" s="59" t="s">
        <v>388</v>
      </c>
      <c r="F138" s="59" t="s">
        <v>393</v>
      </c>
      <c r="G138" s="60" t="s">
        <v>110</v>
      </c>
      <c r="H138" s="60" t="s">
        <v>88</v>
      </c>
      <c r="I138" s="61"/>
      <c r="J138" s="61"/>
      <c r="K138" s="61"/>
      <c r="L138" s="62"/>
      <c r="M138" s="63"/>
      <c r="N138" s="62" t="n">
        <v>4</v>
      </c>
      <c r="O138" s="64" t="str">
        <f aca="false">IF(OR($L138="",$M138=""),"",(DATE(Semana!$J$3,1,4)-WEEKDAY(DATE(Semana!$J$3,1,4),3))+($L138-1)*7+MATCH($M138,Listas!$F$5:$F$11,0)-1)</f>
        <v/>
      </c>
      <c r="P138" s="64" t="str">
        <f aca="false">IF($O138="","",$O138+MAX(1,IF($N138="",1,$N138))-1)</f>
        <v/>
      </c>
      <c r="Q138" s="65"/>
      <c r="R138" s="60"/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str">
        <f aca="false">IF($O138="","",IF($S138="",$O138,(DATE(Semana!$J$3,1,4)-WEEKDAY(DATE(Semana!$J$3,1,4),3))+($S138-1)*7+IF($M138="",0,MATCH($M138,Listas!$F$5:$F$11,0)-1)))</f>
        <v/>
      </c>
      <c r="X138" s="57" t="n">
        <f aca="false">IF($F138="","",IF(OR($Q138="",$O138=""),0,IF($Q138&lt;=$O138,1,0)))</f>
        <v>0</v>
      </c>
      <c r="Y138" s="57" t="n">
        <f aca="false">IF($F138="","",IF(OR($Q138="",$W138=""),0,IF($Q138&lt;=$W138,1,0)))</f>
        <v>0</v>
      </c>
      <c r="Z138" s="57" t="str">
        <f aca="false">IF(OR($Q138="",$O138=""),"",MAX(0,$Q138-$O138))</f>
        <v/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0</v>
      </c>
      <c r="AC138" s="57" t="n">
        <f aca="false">IF($P138="",0,IF($P138&lt;Hoje!$L$1,1,IF(AND($P138=Hoje!$L$1,Hoje!$L$2&gt;Semana!$M$3),1,0)))</f>
        <v>0</v>
      </c>
      <c r="AD138" s="57" t="n">
        <f aca="false">IF($F138="","",IF(COUNTA($I138:$K138)=0,0,1/COUNTA($I138:$K138)))</f>
        <v>0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/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Na carteira</v>
      </c>
      <c r="C139" s="58"/>
      <c r="D139" s="59" t="s">
        <v>175</v>
      </c>
      <c r="E139" s="59" t="s">
        <v>388</v>
      </c>
      <c r="F139" s="59" t="s">
        <v>394</v>
      </c>
      <c r="G139" s="60" t="s">
        <v>110</v>
      </c>
      <c r="H139" s="60" t="s">
        <v>88</v>
      </c>
      <c r="I139" s="61"/>
      <c r="J139" s="61"/>
      <c r="K139" s="61"/>
      <c r="L139" s="62"/>
      <c r="M139" s="63"/>
      <c r="N139" s="62" t="n">
        <v>2</v>
      </c>
      <c r="O139" s="64" t="str">
        <f aca="false">IF(OR($L139="",$M139=""),"",(DATE(Semana!$J$3,1,4)-WEEKDAY(DATE(Semana!$J$3,1,4),3))+($L139-1)*7+MATCH($M139,Listas!$F$5:$F$11,0)-1)</f>
        <v/>
      </c>
      <c r="P139" s="64" t="str">
        <f aca="false">IF($O139="","",$O139+MAX(1,IF($N139="",1,$N139))-1)</f>
        <v/>
      </c>
      <c r="Q139" s="65"/>
      <c r="R139" s="60"/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str">
        <f aca="false">IF($O139="","",IF($S139="",$O139,(DATE(Semana!$J$3,1,4)-WEEKDAY(DATE(Semana!$J$3,1,4),3))+($S139-1)*7+IF($M139="",0,MATCH($M139,Listas!$F$5:$F$11,0)-1)))</f>
        <v/>
      </c>
      <c r="X139" s="57" t="n">
        <f aca="false">IF($F139="","",IF(OR($Q139="",$O139=""),0,IF($Q139&lt;=$O139,1,0)))</f>
        <v>0</v>
      </c>
      <c r="Y139" s="57" t="n">
        <f aca="false">IF($F139="","",IF(OR($Q139="",$W139=""),0,IF($Q139&lt;=$W139,1,0)))</f>
        <v>0</v>
      </c>
      <c r="Z139" s="57" t="str">
        <f aca="false">IF(OR($Q139="",$O139=""),"",MAX(0,$Q139-$O139))</f>
        <v/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0</v>
      </c>
      <c r="AC139" s="57" t="n">
        <f aca="false">IF($P139="",0,IF($P139&lt;Hoje!$L$1,1,IF(AND($P139=Hoje!$L$1,Hoje!$L$2&gt;Semana!$M$3),1,0)))</f>
        <v>0</v>
      </c>
      <c r="AD139" s="57" t="n">
        <f aca="false">IF($F139="","",IF(COUNTA($I139:$K139)=0,0,1/COUNTA($I139:$K139)))</f>
        <v>0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/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175</v>
      </c>
      <c r="E140" s="59" t="s">
        <v>388</v>
      </c>
      <c r="F140" s="59" t="s">
        <v>395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2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IF($O140="","",$O140+MAX(1,IF($N140="",1,$N140))-1)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175</v>
      </c>
      <c r="E141" s="59" t="s">
        <v>388</v>
      </c>
      <c r="F141" s="59" t="s">
        <v>396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2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IF($O141="","",$O141+MAX(1,IF($N141="",1,$N141))-1)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175</v>
      </c>
      <c r="E142" s="59" t="s">
        <v>388</v>
      </c>
      <c r="F142" s="59" t="s">
        <v>397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2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IF($O142="","",$O142+MAX(1,IF($N142="",1,$N142))-1)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175</v>
      </c>
      <c r="E143" s="59" t="s">
        <v>388</v>
      </c>
      <c r="F143" s="59" t="s">
        <v>398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3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IF($O143="","",$O143+MAX(1,IF($N143="",1,$N143))-1)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175</v>
      </c>
      <c r="E144" s="59" t="s">
        <v>388</v>
      </c>
      <c r="F144" s="59" t="s">
        <v>399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2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IF($O144="","",$O144+MAX(1,IF($N144="",1,$N144))-1)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175</v>
      </c>
      <c r="E145" s="59" t="s">
        <v>388</v>
      </c>
      <c r="F145" s="59" t="s">
        <v>400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3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IF($O145="","",$O145+MAX(1,IF($N145="",1,$N145))-1)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175</v>
      </c>
      <c r="E146" s="59" t="s">
        <v>388</v>
      </c>
      <c r="F146" s="59" t="s">
        <v>401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3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IF($O146="","",$O146+MAX(1,IF($N146="",1,$N146))-1)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175</v>
      </c>
      <c r="E147" s="59" t="s">
        <v>388</v>
      </c>
      <c r="F147" s="59" t="s">
        <v>402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3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IF($O147="","",$O147+MAX(1,IF($N147="",1,$N147))-1)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175</v>
      </c>
      <c r="E148" s="59" t="s">
        <v>388</v>
      </c>
      <c r="F148" s="59" t="s">
        <v>403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2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IF($O148="","",$O148+MAX(1,IF($N148="",1,$N148))-1)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175</v>
      </c>
      <c r="E149" s="59" t="s">
        <v>388</v>
      </c>
      <c r="F149" s="59" t="s">
        <v>404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2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IF($O149="","",$O149+MAX(1,IF($N149="",1,$N149))-1)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175</v>
      </c>
      <c r="E150" s="59" t="s">
        <v>388</v>
      </c>
      <c r="F150" s="59" t="s">
        <v>405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2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IF($O150="","",$O150+MAX(1,IF($N150="",1,$N150))-1)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175</v>
      </c>
      <c r="E151" s="59" t="s">
        <v>388</v>
      </c>
      <c r="F151" s="59" t="s">
        <v>406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3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IF($O151="","",$O151+MAX(1,IF($N151="",1,$N151))-1)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175</v>
      </c>
      <c r="E152" s="59" t="s">
        <v>388</v>
      </c>
      <c r="F152" s="59" t="s">
        <v>407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3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IF($O152="","",$O152+MAX(1,IF($N152="",1,$N152))-1)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175</v>
      </c>
      <c r="E153" s="59" t="s">
        <v>388</v>
      </c>
      <c r="F153" s="59" t="s">
        <v>408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3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IF($O153="","",$O153+MAX(1,IF($N153="",1,$N153))-1)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175</v>
      </c>
      <c r="E154" s="59" t="s">
        <v>388</v>
      </c>
      <c r="F154" s="59" t="s">
        <v>409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3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IF($O154="","",$O154+MAX(1,IF($N154="",1,$N154))-1)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175</v>
      </c>
      <c r="E155" s="59" t="s">
        <v>388</v>
      </c>
      <c r="F155" s="59" t="s">
        <v>410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2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IF($O155="","",$O155+MAX(1,IF($N155="",1,$N155))-1)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175</v>
      </c>
      <c r="E156" s="59" t="s">
        <v>388</v>
      </c>
      <c r="F156" s="59" t="s">
        <v>411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3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IF($O156="","",$O156+MAX(1,IF($N156="",1,$N156))-1)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175</v>
      </c>
      <c r="E157" s="59" t="s">
        <v>388</v>
      </c>
      <c r="F157" s="59" t="s">
        <v>412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3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IF($O157="","",$O157+MAX(1,IF($N157="",1,$N157))-1)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175</v>
      </c>
      <c r="E158" s="59" t="s">
        <v>388</v>
      </c>
      <c r="F158" s="59" t="s">
        <v>413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2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IF($O158="","",$O158+MAX(1,IF($N158="",1,$N158))-1)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175</v>
      </c>
      <c r="E159" s="59" t="s">
        <v>388</v>
      </c>
      <c r="F159" s="59" t="s">
        <v>414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2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IF($O159="","",$O159+MAX(1,IF($N159="",1,$N159))-1)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175</v>
      </c>
      <c r="E160" s="59" t="s">
        <v>388</v>
      </c>
      <c r="F160" s="59" t="s">
        <v>415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3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IF($O160="","",$O160+MAX(1,IF($N160="",1,$N160))-1)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175</v>
      </c>
      <c r="E161" s="59" t="s">
        <v>388</v>
      </c>
      <c r="F161" s="59" t="s">
        <v>416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3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IF($O161="","",$O161+MAX(1,IF($N161="",1,$N161))-1)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175</v>
      </c>
      <c r="E162" s="59" t="s">
        <v>388</v>
      </c>
      <c r="F162" s="59" t="s">
        <v>417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2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IF($O162="","",$O162+MAX(1,IF($N162="",1,$N162))-1)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175</v>
      </c>
      <c r="E163" s="59" t="s">
        <v>388</v>
      </c>
      <c r="F163" s="59" t="s">
        <v>418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2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IF($O163="","",$O163+MAX(1,IF($N163="",1,$N163))-1)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175</v>
      </c>
      <c r="E164" s="59" t="s">
        <v>388</v>
      </c>
      <c r="F164" s="59" t="s">
        <v>419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3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IF($O164="","",$O164+MAX(1,IF($N164="",1,$N164))-1)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175</v>
      </c>
      <c r="E165" s="59" t="s">
        <v>388</v>
      </c>
      <c r="F165" s="59" t="s">
        <v>420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IF($O165="","",$O165+MAX(1,IF($N165="",1,$N165))-1)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175</v>
      </c>
      <c r="E166" s="59" t="s">
        <v>388</v>
      </c>
      <c r="F166" s="59" t="s">
        <v>421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2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IF($O166="","",$O166+MAX(1,IF($N166="",1,$N166))-1)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175</v>
      </c>
      <c r="E167" s="59" t="s">
        <v>388</v>
      </c>
      <c r="F167" s="59" t="s">
        <v>422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2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IF($O167="","",$O167+MAX(1,IF($N167="",1,$N167))-1)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Concluída</v>
      </c>
      <c r="C168" s="58"/>
      <c r="D168" s="59" t="s">
        <v>119</v>
      </c>
      <c r="E168" s="59" t="s">
        <v>212</v>
      </c>
      <c r="F168" s="59" t="s">
        <v>423</v>
      </c>
      <c r="G168" s="60" t="s">
        <v>110</v>
      </c>
      <c r="H168" s="60" t="s">
        <v>216</v>
      </c>
      <c r="I168" s="61" t="s">
        <v>113</v>
      </c>
      <c r="J168" s="61" t="s">
        <v>137</v>
      </c>
      <c r="K168" s="61"/>
      <c r="L168" s="62" t="n">
        <v>35</v>
      </c>
      <c r="M168" s="63" t="s">
        <v>127</v>
      </c>
      <c r="N168" s="62" t="n">
        <v>2</v>
      </c>
      <c r="O168" s="64" t="n">
        <f aca="false">IF(OR($L168="",$M168=""),"",(DATE(Semana!$J$3,1,4)-WEEKDAY(DATE(Semana!$J$3,1,4),3))+($L168-1)*7+MATCH($M168,Listas!$F$5:$F$11,0)-1)</f>
        <v>46261</v>
      </c>
      <c r="P168" s="64" t="n">
        <f aca="false">IF($O168="","",$O168+MAX(1,IF($N168="",1,$N168))-1)</f>
        <v>46262</v>
      </c>
      <c r="Q168" s="65" t="n">
        <v>46261</v>
      </c>
      <c r="R168" s="60" t="s">
        <v>82</v>
      </c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n">
        <f aca="false">IF($O168="","",IF($S168="",$O168,(DATE(Semana!$J$3,1,4)-WEEKDAY(DATE(Semana!$J$3,1,4),3))+($S168-1)*7+IF($M168="",0,MATCH($M168,Listas!$F$5:$F$11,0)-1)))</f>
        <v>46261</v>
      </c>
      <c r="X168" s="57" t="n">
        <f aca="false">IF($F168="","",IF(OR($Q168="",$O168=""),0,IF($Q168&lt;=$O168,1,0)))</f>
        <v>1</v>
      </c>
      <c r="Y168" s="57" t="n">
        <f aca="false">IF($F168="","",IF(OR($Q168="",$W168=""),0,IF($Q168&lt;=$W168,1,0)))</f>
        <v>1</v>
      </c>
      <c r="Z168" s="57" t="n">
        <f aca="false">IF(OR($Q168="",$O168=""),"",MAX(0,$Q168-$O168))</f>
        <v>0</v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1</v>
      </c>
      <c r="AC168" s="57" t="n">
        <f aca="false">IF($P168="",0,IF($P168&lt;Hoje!$L$1,1,IF(AND($P168=Hoje!$L$1,Hoje!$L$2&gt;Semana!$M$3),1,0)))</f>
        <v>1</v>
      </c>
      <c r="AD168" s="57" t="n">
        <f aca="false">IF($F168="","",IF(COUNTA($I168:$K168)=0,0,1/COUNTA($I168:$K168)))</f>
        <v>0.5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>Airton · Luiz Paulo</v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Concluída</v>
      </c>
      <c r="C169" s="58"/>
      <c r="D169" s="59" t="s">
        <v>124</v>
      </c>
      <c r="E169" s="59" t="s">
        <v>212</v>
      </c>
      <c r="F169" s="59" t="s">
        <v>423</v>
      </c>
      <c r="G169" s="60" t="s">
        <v>110</v>
      </c>
      <c r="H169" s="60" t="s">
        <v>216</v>
      </c>
      <c r="I169" s="61" t="s">
        <v>113</v>
      </c>
      <c r="J169" s="61" t="s">
        <v>137</v>
      </c>
      <c r="K169" s="61"/>
      <c r="L169" s="62" t="n">
        <v>35</v>
      </c>
      <c r="M169" s="63" t="s">
        <v>127</v>
      </c>
      <c r="N169" s="62" t="n">
        <v>4</v>
      </c>
      <c r="O169" s="64" t="n">
        <f aca="false">IF(OR($L169="",$M169=""),"",(DATE(Semana!$J$3,1,4)-WEEKDAY(DATE(Semana!$J$3,1,4),3))+($L169-1)*7+MATCH($M169,Listas!$F$5:$F$11,0)-1)</f>
        <v>46261</v>
      </c>
      <c r="P169" s="64" t="n">
        <f aca="false">IF($O169="","",$O169+MAX(1,IF($N169="",1,$N169))-1)</f>
        <v>46264</v>
      </c>
      <c r="Q169" s="65" t="n">
        <v>46261</v>
      </c>
      <c r="R169" s="60" t="s">
        <v>82</v>
      </c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n">
        <f aca="false">IF($O169="","",IF($S169="",$O169,(DATE(Semana!$J$3,1,4)-WEEKDAY(DATE(Semana!$J$3,1,4),3))+($S169-1)*7+IF($M169="",0,MATCH($M169,Listas!$F$5:$F$11,0)-1)))</f>
        <v>46261</v>
      </c>
      <c r="X169" s="57" t="n">
        <f aca="false">IF($F169="","",IF(OR($Q169="",$O169=""),0,IF($Q169&lt;=$O169,1,0)))</f>
        <v>1</v>
      </c>
      <c r="Y169" s="57" t="n">
        <f aca="false">IF($F169="","",IF(OR($Q169="",$W169=""),0,IF($Q169&lt;=$W169,1,0)))</f>
        <v>1</v>
      </c>
      <c r="Z169" s="57" t="n">
        <f aca="false">IF(OR($Q169="",$O169=""),"",MAX(0,$Q169-$O169))</f>
        <v>0</v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1</v>
      </c>
      <c r="AC169" s="57" t="n">
        <f aca="false">IF($P169="",0,IF($P169&lt;Hoje!$L$1,1,IF(AND($P169=Hoje!$L$1,Hoje!$L$2&gt;Semana!$M$3),1,0)))</f>
        <v>1</v>
      </c>
      <c r="AD169" s="57" t="n">
        <f aca="false">IF($F169="","",IF(COUNTA($I169:$K169)=0,0,1/COUNTA($I169:$K169)))</f>
        <v>0.5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>Airton · Luiz Paulo</v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Concluída com atraso</v>
      </c>
      <c r="C170" s="58"/>
      <c r="D170" s="59" t="s">
        <v>176</v>
      </c>
      <c r="E170" s="59" t="s">
        <v>424</v>
      </c>
      <c r="F170" s="59" t="s">
        <v>425</v>
      </c>
      <c r="G170" s="60" t="s">
        <v>110</v>
      </c>
      <c r="H170" s="60" t="s">
        <v>88</v>
      </c>
      <c r="I170" s="61" t="s">
        <v>118</v>
      </c>
      <c r="J170" s="61" t="s">
        <v>128</v>
      </c>
      <c r="K170" s="61"/>
      <c r="L170" s="62" t="n">
        <v>35</v>
      </c>
      <c r="M170" s="63" t="s">
        <v>117</v>
      </c>
      <c r="N170" s="62" t="n">
        <v>2</v>
      </c>
      <c r="O170" s="64" t="n">
        <f aca="false">IF(OR($L170="",$M170=""),"",(DATE(Semana!$J$3,1,4)-WEEKDAY(DATE(Semana!$J$3,1,4),3))+($L170-1)*7+MATCH($M170,Listas!$F$5:$F$11,0)-1)</f>
        <v>46259</v>
      </c>
      <c r="P170" s="64" t="n">
        <f aca="false">IF($O170="","",$O170+MAX(1,IF($N170="",1,$N170))-1)</f>
        <v>46260</v>
      </c>
      <c r="Q170" s="65" t="n">
        <v>46260</v>
      </c>
      <c r="R170" s="60" t="s">
        <v>82</v>
      </c>
      <c r="S170" s="66" t="n">
        <v>34</v>
      </c>
      <c r="T170" s="59" t="s">
        <v>111</v>
      </c>
      <c r="U170" s="59"/>
      <c r="V170" s="57" t="str">
        <f aca="false">IF($F170="","",IF(ISNUMBER(SEARCH("(externo)",$I170&amp;$J170&amp;$K170)),"Terceirizada","Interna"))</f>
        <v>Interna</v>
      </c>
      <c r="W170" s="64" t="n">
        <f aca="false">IF($O170="","",IF($S170="",$O170,(DATE(Semana!$J$3,1,4)-WEEKDAY(DATE(Semana!$J$3,1,4),3))+($S170-1)*7+IF($M170="",0,MATCH($M170,Listas!$F$5:$F$11,0)-1)))</f>
        <v>46252</v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n">
        <f aca="false">IF(OR($Q170="",$O170=""),"",MAX(0,$Q170-$O170))</f>
        <v>1</v>
      </c>
      <c r="AA170" s="57" t="n">
        <f aca="false">IF($F170="","",IF(AND($S170&lt;&gt;"",$L170&lt;&gt;"",$S170&lt;&gt;$L170),1,0))</f>
        <v>1</v>
      </c>
      <c r="AB170" s="57" t="n">
        <f aca="false">IF($F170="","",IF($R170="Cancelada",0,IF(OR($Q170&lt;&gt;"",$R170="Concluída"),1,0)))</f>
        <v>1</v>
      </c>
      <c r="AC170" s="57" t="n">
        <f aca="false">IF($P170="",0,IF($P170&lt;Hoje!$L$1,1,IF(AND($P170=Hoje!$L$1,Hoje!$L$2&gt;Semana!$M$3),1,0)))</f>
        <v>1</v>
      </c>
      <c r="AD170" s="57" t="n">
        <f aca="false">IF($F170="","",IF(COUNTA($I170:$K170)=0,0,1/COUNTA($I170:$K170)))</f>
        <v>0.5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>Alexandre · Heliton</v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Concluída com atraso</v>
      </c>
      <c r="C171" s="58"/>
      <c r="D171" s="59" t="s">
        <v>176</v>
      </c>
      <c r="E171" s="59" t="s">
        <v>424</v>
      </c>
      <c r="F171" s="59" t="s">
        <v>426</v>
      </c>
      <c r="G171" s="60" t="s">
        <v>110</v>
      </c>
      <c r="H171" s="60" t="s">
        <v>88</v>
      </c>
      <c r="I171" s="61" t="s">
        <v>118</v>
      </c>
      <c r="J171" s="61" t="s">
        <v>128</v>
      </c>
      <c r="K171" s="61"/>
      <c r="L171" s="62" t="n">
        <v>35</v>
      </c>
      <c r="M171" s="63" t="s">
        <v>117</v>
      </c>
      <c r="N171" s="62" t="n">
        <v>3</v>
      </c>
      <c r="O171" s="64" t="n">
        <f aca="false">IF(OR($L171="",$M171=""),"",(DATE(Semana!$J$3,1,4)-WEEKDAY(DATE(Semana!$J$3,1,4),3))+($L171-1)*7+MATCH($M171,Listas!$F$5:$F$11,0)-1)</f>
        <v>46259</v>
      </c>
      <c r="P171" s="64" t="n">
        <f aca="false">IF($O171="","",$O171+MAX(1,IF($N171="",1,$N171))-1)</f>
        <v>46261</v>
      </c>
      <c r="Q171" s="65" t="n">
        <v>46260</v>
      </c>
      <c r="R171" s="60" t="s">
        <v>82</v>
      </c>
      <c r="S171" s="66" t="n">
        <v>34</v>
      </c>
      <c r="T171" s="59" t="s">
        <v>111</v>
      </c>
      <c r="U171" s="59"/>
      <c r="V171" s="57" t="str">
        <f aca="false">IF($F171="","",IF(ISNUMBER(SEARCH("(externo)",$I171&amp;$J171&amp;$K171)),"Terceirizada","Interna"))</f>
        <v>Interna</v>
      </c>
      <c r="W171" s="64" t="n">
        <f aca="false">IF($O171="","",IF($S171="",$O171,(DATE(Semana!$J$3,1,4)-WEEKDAY(DATE(Semana!$J$3,1,4),3))+($S171-1)*7+IF($M171="",0,MATCH($M171,Listas!$F$5:$F$11,0)-1)))</f>
        <v>46252</v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n">
        <f aca="false">IF(OR($Q171="",$O171=""),"",MAX(0,$Q171-$O171))</f>
        <v>1</v>
      </c>
      <c r="AA171" s="57" t="n">
        <f aca="false">IF($F171="","",IF(AND($S171&lt;&gt;"",$L171&lt;&gt;"",$S171&lt;&gt;$L171),1,0))</f>
        <v>1</v>
      </c>
      <c r="AB171" s="57" t="n">
        <f aca="false">IF($F171="","",IF($R171="Cancelada",0,IF(OR($Q171&lt;&gt;"",$R171="Concluída"),1,0)))</f>
        <v>1</v>
      </c>
      <c r="AC171" s="57" t="n">
        <f aca="false">IF($P171="",0,IF($P171&lt;Hoje!$L$1,1,IF(AND($P171=Hoje!$L$1,Hoje!$L$2&gt;Semana!$M$3),1,0)))</f>
        <v>1</v>
      </c>
      <c r="AD171" s="57" t="n">
        <f aca="false">IF($F171="","",IF(COUNTA($I171:$K171)=0,0,1/COUNTA($I171:$K171)))</f>
        <v>0.5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>Alexandre · Heliton</v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Concluída com atraso</v>
      </c>
      <c r="C172" s="58"/>
      <c r="D172" s="59" t="s">
        <v>176</v>
      </c>
      <c r="E172" s="59" t="s">
        <v>424</v>
      </c>
      <c r="F172" s="59" t="s">
        <v>427</v>
      </c>
      <c r="G172" s="60" t="s">
        <v>110</v>
      </c>
      <c r="H172" s="60" t="s">
        <v>88</v>
      </c>
      <c r="I172" s="61" t="s">
        <v>118</v>
      </c>
      <c r="J172" s="61" t="s">
        <v>128</v>
      </c>
      <c r="K172" s="61"/>
      <c r="L172" s="62" t="n">
        <v>35</v>
      </c>
      <c r="M172" s="63" t="s">
        <v>117</v>
      </c>
      <c r="N172" s="62" t="n">
        <v>2</v>
      </c>
      <c r="O172" s="64" t="n">
        <f aca="false">IF(OR($L172="",$M172=""),"",(DATE(Semana!$J$3,1,4)-WEEKDAY(DATE(Semana!$J$3,1,4),3))+($L172-1)*7+MATCH($M172,Listas!$F$5:$F$11,0)-1)</f>
        <v>46259</v>
      </c>
      <c r="P172" s="64" t="n">
        <f aca="false">IF($O172="","",$O172+MAX(1,IF($N172="",1,$N172))-1)</f>
        <v>46260</v>
      </c>
      <c r="Q172" s="65" t="n">
        <v>46260</v>
      </c>
      <c r="R172" s="60" t="s">
        <v>82</v>
      </c>
      <c r="S172" s="66" t="n">
        <v>34</v>
      </c>
      <c r="T172" s="59" t="s">
        <v>111</v>
      </c>
      <c r="U172" s="59"/>
      <c r="V172" s="57" t="str">
        <f aca="false">IF($F172="","",IF(ISNUMBER(SEARCH("(externo)",$I172&amp;$J172&amp;$K172)),"Terceirizada","Interna"))</f>
        <v>Interna</v>
      </c>
      <c r="W172" s="64" t="n">
        <f aca="false">IF($O172="","",IF($S172="",$O172,(DATE(Semana!$J$3,1,4)-WEEKDAY(DATE(Semana!$J$3,1,4),3))+($S172-1)*7+IF($M172="",0,MATCH($M172,Listas!$F$5:$F$11,0)-1)))</f>
        <v>46252</v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n">
        <f aca="false">IF(OR($Q172="",$O172=""),"",MAX(0,$Q172-$O172))</f>
        <v>1</v>
      </c>
      <c r="AA172" s="57" t="n">
        <f aca="false">IF($F172="","",IF(AND($S172&lt;&gt;"",$L172&lt;&gt;"",$S172&lt;&gt;$L172),1,0))</f>
        <v>1</v>
      </c>
      <c r="AB172" s="57" t="n">
        <f aca="false">IF($F172="","",IF($R172="Cancelada",0,IF(OR($Q172&lt;&gt;"",$R172="Concluída"),1,0)))</f>
        <v>1</v>
      </c>
      <c r="AC172" s="57" t="n">
        <f aca="false">IF($P172="",0,IF($P172&lt;Hoje!$L$1,1,IF(AND($P172=Hoje!$L$1,Hoje!$L$2&gt;Semana!$M$3),1,0)))</f>
        <v>1</v>
      </c>
      <c r="AD172" s="57" t="n">
        <f aca="false">IF($F172="","",IF(COUNTA($I172:$K172)=0,0,1/COUNTA($I172:$K172)))</f>
        <v>0.5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>Alexandre · Heliton</v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 com atraso</v>
      </c>
      <c r="C173" s="58"/>
      <c r="D173" s="59" t="s">
        <v>176</v>
      </c>
      <c r="E173" s="59" t="s">
        <v>424</v>
      </c>
      <c r="F173" s="59" t="s">
        <v>428</v>
      </c>
      <c r="G173" s="60" t="s">
        <v>110</v>
      </c>
      <c r="H173" s="60" t="s">
        <v>88</v>
      </c>
      <c r="I173" s="61" t="s">
        <v>118</v>
      </c>
      <c r="J173" s="61" t="s">
        <v>128</v>
      </c>
      <c r="K173" s="61"/>
      <c r="L173" s="62" t="n">
        <v>35</v>
      </c>
      <c r="M173" s="63" t="s">
        <v>117</v>
      </c>
      <c r="N173" s="62" t="n">
        <v>2</v>
      </c>
      <c r="O173" s="64" t="n">
        <f aca="false">IF(OR($L173="",$M173=""),"",(DATE(Semana!$J$3,1,4)-WEEKDAY(DATE(Semana!$J$3,1,4),3))+($L173-1)*7+MATCH($M173,Listas!$F$5:$F$11,0)-1)</f>
        <v>46259</v>
      </c>
      <c r="P173" s="64" t="n">
        <f aca="false">IF($O173="","",$O173+MAX(1,IF($N173="",1,$N173))-1)</f>
        <v>46260</v>
      </c>
      <c r="Q173" s="65" t="n">
        <v>46260</v>
      </c>
      <c r="R173" s="60" t="s">
        <v>82</v>
      </c>
      <c r="S173" s="66" t="n">
        <v>34</v>
      </c>
      <c r="T173" s="59" t="s">
        <v>111</v>
      </c>
      <c r="U173" s="59"/>
      <c r="V173" s="57" t="str">
        <f aca="false">IF($F173="","",IF(ISNUMBER(SEARCH("(externo)",$I173&amp;$J173&amp;$K173)),"Terceirizada","Interna"))</f>
        <v>Interna</v>
      </c>
      <c r="W173" s="64" t="n">
        <f aca="false">IF($O173="","",IF($S173="",$O173,(DATE(Semana!$J$3,1,4)-WEEKDAY(DATE(Semana!$J$3,1,4),3))+($S173-1)*7+IF($M173="",0,MATCH($M173,Listas!$F$5:$F$11,0)-1)))</f>
        <v>46252</v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n">
        <f aca="false">IF(OR($Q173="",$O173=""),"",MAX(0,$Q173-$O173))</f>
        <v>1</v>
      </c>
      <c r="AA173" s="57" t="n">
        <f aca="false">IF($F173="","",IF(AND($S173&lt;&gt;"",$L173&lt;&gt;"",$S173&lt;&gt;$L173),1,0))</f>
        <v>1</v>
      </c>
      <c r="AB173" s="57" t="n">
        <f aca="false">IF($F173="","",IF($R173="Cancelada",0,IF(OR($Q173&lt;&gt;"",$R173="Concluída"),1,0)))</f>
        <v>1</v>
      </c>
      <c r="AC173" s="57" t="n">
        <f aca="false">IF($P173="",0,IF($P173&lt;Hoje!$L$1,1,IF(AND($P173=Hoje!$L$1,Hoje!$L$2&gt;Semana!$M$3),1,0)))</f>
        <v>1</v>
      </c>
      <c r="AD173" s="57" t="n">
        <f aca="false">IF($F173="","",IF(COUNTA($I173:$K173)=0,0,1/COUNTA($I173:$K173)))</f>
        <v>0.5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>Alexandre · Heliton</v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 com atraso</v>
      </c>
      <c r="C174" s="58"/>
      <c r="D174" s="59" t="s">
        <v>176</v>
      </c>
      <c r="E174" s="59" t="s">
        <v>424</v>
      </c>
      <c r="F174" s="59" t="s">
        <v>429</v>
      </c>
      <c r="G174" s="60" t="s">
        <v>110</v>
      </c>
      <c r="H174" s="60" t="s">
        <v>88</v>
      </c>
      <c r="I174" s="61" t="s">
        <v>118</v>
      </c>
      <c r="J174" s="61" t="s">
        <v>128</v>
      </c>
      <c r="K174" s="61"/>
      <c r="L174" s="62" t="n">
        <v>35</v>
      </c>
      <c r="M174" s="63" t="s">
        <v>117</v>
      </c>
      <c r="N174" s="62" t="n">
        <v>2</v>
      </c>
      <c r="O174" s="64" t="n">
        <f aca="false">IF(OR($L174="",$M174=""),"",(DATE(Semana!$J$3,1,4)-WEEKDAY(DATE(Semana!$J$3,1,4),3))+($L174-1)*7+MATCH($M174,Listas!$F$5:$F$11,0)-1)</f>
        <v>46259</v>
      </c>
      <c r="P174" s="64" t="n">
        <f aca="false">IF($O174="","",$O174+MAX(1,IF($N174="",1,$N174))-1)</f>
        <v>46260</v>
      </c>
      <c r="Q174" s="65" t="n">
        <v>46260</v>
      </c>
      <c r="R174" s="60" t="s">
        <v>82</v>
      </c>
      <c r="S174" s="66" t="n">
        <v>34</v>
      </c>
      <c r="T174" s="59" t="s">
        <v>111</v>
      </c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46252</v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n">
        <f aca="false">IF(OR($Q174="",$O174=""),"",MAX(0,$Q174-$O174))</f>
        <v>1</v>
      </c>
      <c r="AA174" s="57" t="n">
        <f aca="false">IF($F174="","",IF(AND($S174&lt;&gt;"",$L174&lt;&gt;"",$S174&lt;&gt;$L174),1,0))</f>
        <v>1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Alexandre · Heliton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58"/>
      <c r="D175" s="59" t="s">
        <v>176</v>
      </c>
      <c r="E175" s="59" t="s">
        <v>424</v>
      </c>
      <c r="F175" s="59" t="s">
        <v>430</v>
      </c>
      <c r="G175" s="60" t="s">
        <v>110</v>
      </c>
      <c r="H175" s="60" t="s">
        <v>88</v>
      </c>
      <c r="I175" s="61" t="s">
        <v>118</v>
      </c>
      <c r="J175" s="61" t="s">
        <v>128</v>
      </c>
      <c r="K175" s="61"/>
      <c r="L175" s="62" t="n">
        <v>35</v>
      </c>
      <c r="M175" s="63" t="s">
        <v>117</v>
      </c>
      <c r="N175" s="62" t="n">
        <v>3</v>
      </c>
      <c r="O175" s="64" t="n">
        <f aca="false">IF(OR($L175="",$M175=""),"",(DATE(Semana!$J$3,1,4)-WEEKDAY(DATE(Semana!$J$3,1,4),3))+($L175-1)*7+MATCH($M175,Listas!$F$5:$F$11,0)-1)</f>
        <v>46259</v>
      </c>
      <c r="P175" s="64" t="n">
        <f aca="false">IF($O175="","",$O175+MAX(1,IF($N175="",1,$N175))-1)</f>
        <v>46261</v>
      </c>
      <c r="Q175" s="65" t="n">
        <v>46260</v>
      </c>
      <c r="R175" s="60" t="s">
        <v>82</v>
      </c>
      <c r="S175" s="66" t="n">
        <v>34</v>
      </c>
      <c r="T175" s="59" t="s">
        <v>111</v>
      </c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46252</v>
      </c>
      <c r="X175" s="57" t="n">
        <f aca="false">IF($F175="","",IF(OR($Q175="",$O175=""),0,IF($Q175&lt;=$O175,1,0)))</f>
        <v>0</v>
      </c>
      <c r="Y175" s="57" t="n">
        <f aca="false">IF($F175="","",IF(OR($Q175="",$W175=""),0,IF($Q175&lt;=$W175,1,0)))</f>
        <v>0</v>
      </c>
      <c r="Z175" s="57" t="n">
        <f aca="false">IF(OR($Q175="",$O175=""),"",MAX(0,$Q175-$O175))</f>
        <v>1</v>
      </c>
      <c r="AA175" s="57" t="n">
        <f aca="false">IF($F175="","",IF(AND($S175&lt;&gt;"",$L175&lt;&gt;"",$S175&lt;&gt;$L175),1,0))</f>
        <v>1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Alexandre · Heliton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176</v>
      </c>
      <c r="E176" s="59" t="s">
        <v>424</v>
      </c>
      <c r="F176" s="59" t="s">
        <v>431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2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IF($O176="","",$O176+MAX(1,IF($N176="",1,$N176))-1)</f>
        <v>46260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Falta a semana</v>
      </c>
      <c r="C177" s="58" t="s">
        <v>432</v>
      </c>
      <c r="D177" s="59" t="s">
        <v>168</v>
      </c>
      <c r="E177" s="59" t="s">
        <v>424</v>
      </c>
      <c r="F177" s="59" t="s">
        <v>433</v>
      </c>
      <c r="G177" s="60" t="s">
        <v>110</v>
      </c>
      <c r="H177" s="60" t="s">
        <v>88</v>
      </c>
      <c r="I177" s="61"/>
      <c r="J177" s="61"/>
      <c r="K177" s="61"/>
      <c r="L177" s="62"/>
      <c r="M177" s="63" t="s">
        <v>112</v>
      </c>
      <c r="N177" s="62" t="n">
        <v>3</v>
      </c>
      <c r="O177" s="64" t="str">
        <f aca="false">IF(OR($L177="",$M177=""),"",(DATE(Semana!$J$3,1,4)-WEEKDAY(DATE(Semana!$J$3,1,4),3))+($L177-1)*7+MATCH($M177,Listas!$F$5:$F$11,0)-1)</f>
        <v/>
      </c>
      <c r="P177" s="64" t="str">
        <f aca="false">IF($O177="","",$O177+MAX(1,IF($N177="",1,$N177))-1)</f>
        <v/>
      </c>
      <c r="Q177" s="65"/>
      <c r="R177" s="60"/>
      <c r="S177" s="66"/>
      <c r="T177" s="59"/>
      <c r="U177" s="59"/>
      <c r="V177" s="57" t="str">
        <f aca="false">IF($F177="","",IF(ISNUMBER(SEARCH("(externo)",$I177&amp;$J177&amp;$K177)),"Terceirizada","Interna"))</f>
        <v>Interna</v>
      </c>
      <c r="W177" s="64" t="str">
        <f aca="false">IF($O177="","",IF($S177="",$O177,(DATE(Semana!$J$3,1,4)-WEEKDAY(DATE(Semana!$J$3,1,4),3))+($S177-1)*7+IF($M177="",0,MATCH($M177,Listas!$F$5:$F$11,0)-1)))</f>
        <v/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str">
        <f aca="false">IF(OR($Q177="",$O177=""),"",MAX(0,$Q177-$O177))</f>
        <v/>
      </c>
      <c r="AA177" s="57" t="n">
        <f aca="false">IF($F177="","",IF(AND($S177&lt;&gt;"",$L177&lt;&gt;"",$S177&lt;&gt;$L177),1,0))</f>
        <v>0</v>
      </c>
      <c r="AB177" s="57" t="n">
        <f aca="false">IF($F177="","",IF($R177="Cancelada",0,IF(OR($Q177&lt;&gt;"",$R177="Concluída"),1,0)))</f>
        <v>0</v>
      </c>
      <c r="AC177" s="57" t="n">
        <f aca="false">IF($P177="",0,IF($P177&lt;Hoje!$L$1,1,IF(AND($P177=Hoje!$L$1,Hoje!$L$2&gt;Semana!$M$3),1,0)))</f>
        <v>0</v>
      </c>
      <c r="AD177" s="57" t="n">
        <f aca="false">IF($F177="","",IF(COUNTA($I177:$K177)=0,0,1/COUNTA($I177:$K177)))</f>
        <v>0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/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Falta a semana</v>
      </c>
      <c r="C178" s="58" t="s">
        <v>434</v>
      </c>
      <c r="D178" s="59" t="s">
        <v>168</v>
      </c>
      <c r="E178" s="59" t="s">
        <v>424</v>
      </c>
      <c r="F178" s="59" t="s">
        <v>435</v>
      </c>
      <c r="G178" s="60" t="s">
        <v>110</v>
      </c>
      <c r="H178" s="60" t="s">
        <v>88</v>
      </c>
      <c r="I178" s="61"/>
      <c r="J178" s="61"/>
      <c r="K178" s="61"/>
      <c r="L178" s="62"/>
      <c r="M178" s="63" t="s">
        <v>112</v>
      </c>
      <c r="N178" s="62" t="n">
        <v>3</v>
      </c>
      <c r="O178" s="64" t="str">
        <f aca="false">IF(OR($L178="",$M178=""),"",(DATE(Semana!$J$3,1,4)-WEEKDAY(DATE(Semana!$J$3,1,4),3))+($L178-1)*7+MATCH($M178,Listas!$F$5:$F$11,0)-1)</f>
        <v/>
      </c>
      <c r="P178" s="64" t="str">
        <f aca="false">IF($O178="","",$O178+MAX(1,IF($N178="",1,$N178))-1)</f>
        <v/>
      </c>
      <c r="Q178" s="65"/>
      <c r="R178" s="60"/>
      <c r="S178" s="66"/>
      <c r="T178" s="59"/>
      <c r="U178" s="59"/>
      <c r="V178" s="57" t="str">
        <f aca="false">IF($F178="","",IF(ISNUMBER(SEARCH("(externo)",$I178&amp;$J178&amp;$K178)),"Terceirizada","Interna"))</f>
        <v>Interna</v>
      </c>
      <c r="W178" s="64" t="str">
        <f aca="false">IF($O178="","",IF($S178="",$O178,(DATE(Semana!$J$3,1,4)-WEEKDAY(DATE(Semana!$J$3,1,4),3))+($S178-1)*7+IF($M178="",0,MATCH($M178,Listas!$F$5:$F$11,0)-1)))</f>
        <v/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str">
        <f aca="false">IF(OR($Q178="",$O178=""),"",MAX(0,$Q178-$O178))</f>
        <v/>
      </c>
      <c r="AA178" s="57" t="n">
        <f aca="false">IF($F178="","",IF(AND($S178&lt;&gt;"",$L178&lt;&gt;"",$S178&lt;&gt;$L178),1,0))</f>
        <v>0</v>
      </c>
      <c r="AB178" s="57" t="n">
        <f aca="false">IF($F178="","",IF($R178="Cancelada",0,IF(OR($Q178&lt;&gt;"",$R178="Concluída"),1,0)))</f>
        <v>0</v>
      </c>
      <c r="AC178" s="57" t="n">
        <f aca="false">IF($P178="",0,IF($P178&lt;Hoje!$L$1,1,IF(AND($P178=Hoje!$L$1,Hoje!$L$2&gt;Semana!$M$3),1,0)))</f>
        <v>0</v>
      </c>
      <c r="AD178" s="57" t="n">
        <f aca="false">IF($F178="","",IF(COUNTA($I178:$K178)=0,0,1/COUNTA($I178:$K178)))</f>
        <v>0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/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Falta a semana</v>
      </c>
      <c r="C179" s="58" t="s">
        <v>436</v>
      </c>
      <c r="D179" s="59" t="s">
        <v>168</v>
      </c>
      <c r="E179" s="59" t="s">
        <v>424</v>
      </c>
      <c r="F179" s="59" t="s">
        <v>437</v>
      </c>
      <c r="G179" s="60" t="s">
        <v>110</v>
      </c>
      <c r="H179" s="60" t="s">
        <v>88</v>
      </c>
      <c r="I179" s="61"/>
      <c r="J179" s="61"/>
      <c r="K179" s="61"/>
      <c r="L179" s="62"/>
      <c r="M179" s="63" t="s">
        <v>112</v>
      </c>
      <c r="N179" s="62" t="n">
        <v>3</v>
      </c>
      <c r="O179" s="64" t="str">
        <f aca="false">IF(OR($L179="",$M179=""),"",(DATE(Semana!$J$3,1,4)-WEEKDAY(DATE(Semana!$J$3,1,4),3))+($L179-1)*7+MATCH($M179,Listas!$F$5:$F$11,0)-1)</f>
        <v/>
      </c>
      <c r="P179" s="64" t="str">
        <f aca="false">IF($O179="","",$O179+MAX(1,IF($N179="",1,$N179))-1)</f>
        <v/>
      </c>
      <c r="Q179" s="65"/>
      <c r="R179" s="60"/>
      <c r="S179" s="66"/>
      <c r="T179" s="59"/>
      <c r="U179" s="59"/>
      <c r="V179" s="57" t="str">
        <f aca="false">IF($F179="","",IF(ISNUMBER(SEARCH("(externo)",$I179&amp;$J179&amp;$K179)),"Terceirizada","Interna"))</f>
        <v>Interna</v>
      </c>
      <c r="W179" s="64" t="str">
        <f aca="false">IF($O179="","",IF($S179="",$O179,(DATE(Semana!$J$3,1,4)-WEEKDAY(DATE(Semana!$J$3,1,4),3))+($S179-1)*7+IF($M179="",0,MATCH($M179,Listas!$F$5:$F$11,0)-1)))</f>
        <v/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str">
        <f aca="false">IF(OR($Q179="",$O179=""),"",MAX(0,$Q179-$O179))</f>
        <v/>
      </c>
      <c r="AA179" s="57" t="n">
        <f aca="false">IF($F179="","",IF(AND($S179&lt;&gt;"",$L179&lt;&gt;"",$S179&lt;&gt;$L179),1,0))</f>
        <v>0</v>
      </c>
      <c r="AB179" s="57" t="n">
        <f aca="false">IF($F179="","",IF($R179="Cancelada",0,IF(OR($Q179&lt;&gt;"",$R179="Concluída"),1,0)))</f>
        <v>0</v>
      </c>
      <c r="AC179" s="57" t="n">
        <f aca="false">IF($P179="",0,IF($P179&lt;Hoje!$L$1,1,IF(AND($P179=Hoje!$L$1,Hoje!$L$2&gt;Semana!$M$3),1,0)))</f>
        <v>0</v>
      </c>
      <c r="AD179" s="57" t="n">
        <f aca="false">IF($F179="","",IF(COUNTA($I179:$K179)=0,0,1/COUNTA($I179:$K179)))</f>
        <v>0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/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Falta a semana</v>
      </c>
      <c r="C180" s="58" t="s">
        <v>438</v>
      </c>
      <c r="D180" s="59" t="s">
        <v>168</v>
      </c>
      <c r="E180" s="59" t="s">
        <v>424</v>
      </c>
      <c r="F180" s="59" t="s">
        <v>439</v>
      </c>
      <c r="G180" s="60" t="s">
        <v>110</v>
      </c>
      <c r="H180" s="60" t="s">
        <v>88</v>
      </c>
      <c r="I180" s="61"/>
      <c r="J180" s="61"/>
      <c r="K180" s="61"/>
      <c r="L180" s="62"/>
      <c r="M180" s="63" t="s">
        <v>112</v>
      </c>
      <c r="N180" s="62" t="n">
        <v>3</v>
      </c>
      <c r="O180" s="64" t="str">
        <f aca="false">IF(OR($L180="",$M180=""),"",(DATE(Semana!$J$3,1,4)-WEEKDAY(DATE(Semana!$J$3,1,4),3))+($L180-1)*7+MATCH($M180,Listas!$F$5:$F$11,0)-1)</f>
        <v/>
      </c>
      <c r="P180" s="64" t="str">
        <f aca="false">IF($O180="","",$O180+MAX(1,IF($N180="",1,$N180))-1)</f>
        <v/>
      </c>
      <c r="Q180" s="65"/>
      <c r="R180" s="60"/>
      <c r="S180" s="66"/>
      <c r="T180" s="59"/>
      <c r="U180" s="59"/>
      <c r="V180" s="57" t="str">
        <f aca="false">IF($F180="","",IF(ISNUMBER(SEARCH("(externo)",$I180&amp;$J180&amp;$K180)),"Terceirizada","Interna"))</f>
        <v>Interna</v>
      </c>
      <c r="W180" s="64" t="str">
        <f aca="false">IF($O180="","",IF($S180="",$O180,(DATE(Semana!$J$3,1,4)-WEEKDAY(DATE(Semana!$J$3,1,4),3))+($S180-1)*7+IF($M180="",0,MATCH($M180,Listas!$F$5:$F$11,0)-1)))</f>
        <v/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str">
        <f aca="false">IF(OR($Q180="",$O180=""),"",MAX(0,$Q180-$O180))</f>
        <v/>
      </c>
      <c r="AA180" s="57" t="n">
        <f aca="false">IF($F180="","",IF(AND($S180&lt;&gt;"",$L180&lt;&gt;"",$S180&lt;&gt;$L180),1,0))</f>
        <v>0</v>
      </c>
      <c r="AB180" s="57" t="n">
        <f aca="false">IF($F180="","",IF($R180="Cancelada",0,IF(OR($Q180&lt;&gt;"",$R180="Concluída"),1,0)))</f>
        <v>0</v>
      </c>
      <c r="AC180" s="57" t="n">
        <f aca="false">IF($P180="",0,IF($P180&lt;Hoje!$L$1,1,IF(AND($P180=Hoje!$L$1,Hoje!$L$2&gt;Semana!$M$3),1,0)))</f>
        <v>0</v>
      </c>
      <c r="AD180" s="57" t="n">
        <f aca="false">IF($F180="","",IF(COUNTA($I180:$K180)=0,0,1/COUNTA($I180:$K180)))</f>
        <v>0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/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Falta a semana</v>
      </c>
      <c r="C181" s="58" t="s">
        <v>440</v>
      </c>
      <c r="D181" s="59" t="s">
        <v>168</v>
      </c>
      <c r="E181" s="59" t="s">
        <v>424</v>
      </c>
      <c r="F181" s="59" t="s">
        <v>441</v>
      </c>
      <c r="G181" s="60" t="s">
        <v>110</v>
      </c>
      <c r="H181" s="60" t="s">
        <v>88</v>
      </c>
      <c r="I181" s="61"/>
      <c r="J181" s="61"/>
      <c r="K181" s="61"/>
      <c r="L181" s="62"/>
      <c r="M181" s="63" t="s">
        <v>112</v>
      </c>
      <c r="N181" s="62" t="n">
        <v>3</v>
      </c>
      <c r="O181" s="64" t="str">
        <f aca="false">IF(OR($L181="",$M181=""),"",(DATE(Semana!$J$3,1,4)-WEEKDAY(DATE(Semana!$J$3,1,4),3))+($L181-1)*7+MATCH($M181,Listas!$F$5:$F$11,0)-1)</f>
        <v/>
      </c>
      <c r="P181" s="64" t="str">
        <f aca="false">IF($O181="","",$O181+MAX(1,IF($N181="",1,$N181))-1)</f>
        <v/>
      </c>
      <c r="Q181" s="65"/>
      <c r="R181" s="60"/>
      <c r="S181" s="66"/>
      <c r="T181" s="59"/>
      <c r="U181" s="59"/>
      <c r="V181" s="57" t="str">
        <f aca="false">IF($F181="","",IF(ISNUMBER(SEARCH("(externo)",$I181&amp;$J181&amp;$K181)),"Terceirizada","Interna"))</f>
        <v>Interna</v>
      </c>
      <c r="W181" s="64" t="str">
        <f aca="false">IF($O181="","",IF($S181="",$O181,(DATE(Semana!$J$3,1,4)-WEEKDAY(DATE(Semana!$J$3,1,4),3))+($S181-1)*7+IF($M181="",0,MATCH($M181,Listas!$F$5:$F$11,0)-1)))</f>
        <v/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str">
        <f aca="false">IF(OR($Q181="",$O181=""),"",MAX(0,$Q181-$O181))</f>
        <v/>
      </c>
      <c r="AA181" s="57" t="n">
        <f aca="false">IF($F181="","",IF(AND($S181&lt;&gt;"",$L181&lt;&gt;"",$S181&lt;&gt;$L181),1,0))</f>
        <v>0</v>
      </c>
      <c r="AB181" s="57" t="n">
        <f aca="false">IF($F181="","",IF($R181="Cancelada",0,IF(OR($Q181&lt;&gt;"",$R181="Concluída"),1,0)))</f>
        <v>0</v>
      </c>
      <c r="AC181" s="57" t="n">
        <f aca="false">IF($P181="",0,IF($P181&lt;Hoje!$L$1,1,IF(AND($P181=Hoje!$L$1,Hoje!$L$2&gt;Semana!$M$3),1,0)))</f>
        <v>0</v>
      </c>
      <c r="AD181" s="57" t="n">
        <f aca="false">IF($F181="","",IF(COUNTA($I181:$K181)=0,0,1/COUNTA($I181:$K181)))</f>
        <v>0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/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Falta a semana</v>
      </c>
      <c r="C182" s="58" t="s">
        <v>442</v>
      </c>
      <c r="D182" s="59" t="s">
        <v>168</v>
      </c>
      <c r="E182" s="59" t="s">
        <v>424</v>
      </c>
      <c r="F182" s="59" t="s">
        <v>443</v>
      </c>
      <c r="G182" s="60" t="s">
        <v>110</v>
      </c>
      <c r="H182" s="60" t="s">
        <v>88</v>
      </c>
      <c r="I182" s="61"/>
      <c r="J182" s="61"/>
      <c r="K182" s="61"/>
      <c r="L182" s="62"/>
      <c r="M182" s="63" t="s">
        <v>112</v>
      </c>
      <c r="N182" s="62" t="n">
        <v>3</v>
      </c>
      <c r="O182" s="64" t="str">
        <f aca="false">IF(OR($L182="",$M182=""),"",(DATE(Semana!$J$3,1,4)-WEEKDAY(DATE(Semana!$J$3,1,4),3))+($L182-1)*7+MATCH($M182,Listas!$F$5:$F$11,0)-1)</f>
        <v/>
      </c>
      <c r="P182" s="64" t="str">
        <f aca="false">IF($O182="","",$O182+MAX(1,IF($N182="",1,$N182))-1)</f>
        <v/>
      </c>
      <c r="Q182" s="65"/>
      <c r="R182" s="60"/>
      <c r="S182" s="66"/>
      <c r="T182" s="59"/>
      <c r="U182" s="59"/>
      <c r="V182" s="57" t="str">
        <f aca="false">IF($F182="","",IF(ISNUMBER(SEARCH("(externo)",$I182&amp;$J182&amp;$K182)),"Terceirizada","Interna"))</f>
        <v>Interna</v>
      </c>
      <c r="W182" s="64" t="str">
        <f aca="false">IF($O182="","",IF($S182="",$O182,(DATE(Semana!$J$3,1,4)-WEEKDAY(DATE(Semana!$J$3,1,4),3))+($S182-1)*7+IF($M182="",0,MATCH($M182,Listas!$F$5:$F$11,0)-1)))</f>
        <v/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str">
        <f aca="false">IF(OR($Q182="",$O182=""),"",MAX(0,$Q182-$O182))</f>
        <v/>
      </c>
      <c r="AA182" s="57" t="n">
        <f aca="false">IF($F182="","",IF(AND($S182&lt;&gt;"",$L182&lt;&gt;"",$S182&lt;&gt;$L182),1,0))</f>
        <v>0</v>
      </c>
      <c r="AB182" s="57" t="n">
        <f aca="false">IF($F182="","",IF($R182="Cancelada",0,IF(OR($Q182&lt;&gt;"",$R182="Concluída"),1,0)))</f>
        <v>0</v>
      </c>
      <c r="AC182" s="57" t="n">
        <f aca="false">IF($P182="",0,IF($P182&lt;Hoje!$L$1,1,IF(AND($P182=Hoje!$L$1,Hoje!$L$2&gt;Semana!$M$3),1,0)))</f>
        <v>0</v>
      </c>
      <c r="AD182" s="57" t="n">
        <f aca="false">IF($F182="","",IF(COUNTA($I182:$K182)=0,0,1/COUNTA($I182:$K182)))</f>
        <v>0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/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Falta a semana</v>
      </c>
      <c r="C183" s="58" t="s">
        <v>444</v>
      </c>
      <c r="D183" s="59" t="s">
        <v>168</v>
      </c>
      <c r="E183" s="59" t="s">
        <v>424</v>
      </c>
      <c r="F183" s="59" t="s">
        <v>445</v>
      </c>
      <c r="G183" s="60" t="s">
        <v>110</v>
      </c>
      <c r="H183" s="60" t="s">
        <v>88</v>
      </c>
      <c r="I183" s="61"/>
      <c r="J183" s="61"/>
      <c r="K183" s="61"/>
      <c r="L183" s="62"/>
      <c r="M183" s="63" t="s">
        <v>112</v>
      </c>
      <c r="N183" s="62" t="n">
        <v>3</v>
      </c>
      <c r="O183" s="64" t="str">
        <f aca="false">IF(OR($L183="",$M183=""),"",(DATE(Semana!$J$3,1,4)-WEEKDAY(DATE(Semana!$J$3,1,4),3))+($L183-1)*7+MATCH($M183,Listas!$F$5:$F$11,0)-1)</f>
        <v/>
      </c>
      <c r="P183" s="64" t="str">
        <f aca="false">IF($O183="","",$O183+MAX(1,IF($N183="",1,$N183))-1)</f>
        <v/>
      </c>
      <c r="Q183" s="65"/>
      <c r="R183" s="60"/>
      <c r="S183" s="66"/>
      <c r="T183" s="59"/>
      <c r="U183" s="59"/>
      <c r="V183" s="57" t="str">
        <f aca="false">IF($F183="","",IF(ISNUMBER(SEARCH("(externo)",$I183&amp;$J183&amp;$K183)),"Terceirizada","Interna"))</f>
        <v>Interna</v>
      </c>
      <c r="W183" s="64" t="str">
        <f aca="false">IF($O183="","",IF($S183="",$O183,(DATE(Semana!$J$3,1,4)-WEEKDAY(DATE(Semana!$J$3,1,4),3))+($S183-1)*7+IF($M183="",0,MATCH($M183,Listas!$F$5:$F$11,0)-1)))</f>
        <v/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Falta a semana</v>
      </c>
      <c r="C184" s="58" t="s">
        <v>446</v>
      </c>
      <c r="D184" s="59" t="s">
        <v>168</v>
      </c>
      <c r="E184" s="59" t="s">
        <v>424</v>
      </c>
      <c r="F184" s="59" t="s">
        <v>447</v>
      </c>
      <c r="G184" s="60" t="s">
        <v>110</v>
      </c>
      <c r="H184" s="60" t="s">
        <v>88</v>
      </c>
      <c r="I184" s="61"/>
      <c r="J184" s="61"/>
      <c r="K184" s="61"/>
      <c r="L184" s="62"/>
      <c r="M184" s="63" t="s">
        <v>112</v>
      </c>
      <c r="N184" s="62" t="n">
        <v>3</v>
      </c>
      <c r="O184" s="64" t="str">
        <f aca="false">IF(OR($L184="",$M184=""),"",(DATE(Semana!$J$3,1,4)-WEEKDAY(DATE(Semana!$J$3,1,4),3))+($L184-1)*7+MATCH($M184,Listas!$F$5:$F$11,0)-1)</f>
        <v/>
      </c>
      <c r="P184" s="64" t="str">
        <f aca="false">IF($O184="","",$O184+MAX(1,IF($N184="",1,$N184))-1)</f>
        <v/>
      </c>
      <c r="Q184" s="65"/>
      <c r="R184" s="60"/>
      <c r="S184" s="66"/>
      <c r="T184" s="59"/>
      <c r="U184" s="59"/>
      <c r="V184" s="57" t="str">
        <f aca="false">IF($F184="","",IF(ISNUMBER(SEARCH("(externo)",$I184&amp;$J184&amp;$K184)),"Terceirizada","Interna"))</f>
        <v>Interna</v>
      </c>
      <c r="W184" s="64" t="str">
        <f aca="false">IF($O184="","",IF($S184="",$O184,(DATE(Semana!$J$3,1,4)-WEEKDAY(DATE(Semana!$J$3,1,4),3))+($S184-1)*7+IF($M184="",0,MATCH($M184,Listas!$F$5:$F$11,0)-1)))</f>
        <v/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str">
        <f aca="false">IF($AH184=0,"",SUM($AH$4:$AH184))</f>
        <v/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0</v>
      </c>
      <c r="AI184" s="57" t="n">
        <f aca="false">IF(AND($F184&lt;&gt;"",$P184&lt;&gt;"",$P184&lt;Hoje!$C$3,$AB184=0,$R184&lt;&gt;"Cancelada"),1,0)</f>
        <v>0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Falta a semana</v>
      </c>
      <c r="C185" s="58" t="s">
        <v>448</v>
      </c>
      <c r="D185" s="59" t="s">
        <v>168</v>
      </c>
      <c r="E185" s="59" t="s">
        <v>424</v>
      </c>
      <c r="F185" s="59" t="s">
        <v>449</v>
      </c>
      <c r="G185" s="60" t="s">
        <v>110</v>
      </c>
      <c r="H185" s="60" t="s">
        <v>88</v>
      </c>
      <c r="I185" s="61"/>
      <c r="J185" s="61"/>
      <c r="K185" s="61"/>
      <c r="L185" s="62"/>
      <c r="M185" s="63" t="s">
        <v>112</v>
      </c>
      <c r="N185" s="62" t="n">
        <v>3</v>
      </c>
      <c r="O185" s="64" t="str">
        <f aca="false">IF(OR($L185="",$M185=""),"",(DATE(Semana!$J$3,1,4)-WEEKDAY(DATE(Semana!$J$3,1,4),3))+($L185-1)*7+MATCH($M185,Listas!$F$5:$F$11,0)-1)</f>
        <v/>
      </c>
      <c r="P185" s="64" t="str">
        <f aca="false">IF($O185="","",$O185+MAX(1,IF($N185="",1,$N185))-1)</f>
        <v/>
      </c>
      <c r="Q185" s="65"/>
      <c r="R185" s="60"/>
      <c r="S185" s="66"/>
      <c r="T185" s="59"/>
      <c r="U185" s="59"/>
      <c r="V185" s="57" t="str">
        <f aca="false">IF($F185="","",IF(ISNUMBER(SEARCH("(externo)",$I185&amp;$J185&amp;$K185)),"Terceirizada","Interna"))</f>
        <v>Interna</v>
      </c>
      <c r="W185" s="64" t="str">
        <f aca="false">IF($O185="","",IF($S185="",$O185,(DATE(Semana!$J$3,1,4)-WEEKDAY(DATE(Semana!$J$3,1,4),3))+($S185-1)*7+IF($M185="",0,MATCH($M185,Listas!$F$5:$F$11,0)-1)))</f>
        <v/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str">
        <f aca="false">IF($AH185=0,"",SUM($AH$4:$AH185))</f>
        <v/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0</v>
      </c>
      <c r="AI185" s="57" t="n">
        <f aca="false">IF(AND($F185&lt;&gt;"",$P185&lt;&gt;"",$P185&lt;Hoje!$C$3,$AB185=0,$R185&lt;&gt;"Cancelada"),1,0)</f>
        <v>0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Falta a semana</v>
      </c>
      <c r="C186" s="58" t="s">
        <v>450</v>
      </c>
      <c r="D186" s="59" t="s">
        <v>168</v>
      </c>
      <c r="E186" s="59" t="s">
        <v>424</v>
      </c>
      <c r="F186" s="59" t="s">
        <v>451</v>
      </c>
      <c r="G186" s="60" t="s">
        <v>110</v>
      </c>
      <c r="H186" s="60" t="s">
        <v>88</v>
      </c>
      <c r="I186" s="61"/>
      <c r="J186" s="61"/>
      <c r="K186" s="61"/>
      <c r="L186" s="62"/>
      <c r="M186" s="63" t="s">
        <v>112</v>
      </c>
      <c r="N186" s="62" t="n">
        <v>3</v>
      </c>
      <c r="O186" s="64" t="str">
        <f aca="false">IF(OR($L186="",$M186=""),"",(DATE(Semana!$J$3,1,4)-WEEKDAY(DATE(Semana!$J$3,1,4),3))+($L186-1)*7+MATCH($M186,Listas!$F$5:$F$11,0)-1)</f>
        <v/>
      </c>
      <c r="P186" s="64" t="str">
        <f aca="false">IF($O186="","",$O186+MAX(1,IF($N186="",1,$N186))-1)</f>
        <v/>
      </c>
      <c r="Q186" s="65"/>
      <c r="R186" s="60"/>
      <c r="S186" s="66"/>
      <c r="T186" s="59"/>
      <c r="U186" s="59"/>
      <c r="V186" s="57" t="str">
        <f aca="false">IF($F186="","",IF(ISNUMBER(SEARCH("(externo)",$I186&amp;$J186&amp;$K186)),"Terceirizada","Interna"))</f>
        <v>Interna</v>
      </c>
      <c r="W186" s="64" t="str">
        <f aca="false">IF($O186="","",IF($S186="",$O186,(DATE(Semana!$J$3,1,4)-WEEKDAY(DATE(Semana!$J$3,1,4),3))+($S186-1)*7+IF($M186="",0,MATCH($M186,Listas!$F$5:$F$11,0)-1)))</f>
        <v/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str">
        <f aca="false">IF($AH186=0,"",SUM($AH$4:$AH186))</f>
        <v/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0</v>
      </c>
      <c r="AI186" s="57" t="n">
        <f aca="false">IF(AND($F186&lt;&gt;"",$P186&lt;&gt;"",$P186&lt;Hoje!$C$3,$AB186=0,$R186&lt;&gt;"Cancelada"),1,0)</f>
        <v>0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Falta a semana</v>
      </c>
      <c r="C187" s="58" t="s">
        <v>452</v>
      </c>
      <c r="D187" s="59" t="s">
        <v>168</v>
      </c>
      <c r="E187" s="59" t="s">
        <v>424</v>
      </c>
      <c r="F187" s="59" t="s">
        <v>453</v>
      </c>
      <c r="G187" s="60" t="s">
        <v>110</v>
      </c>
      <c r="H187" s="60" t="s">
        <v>88</v>
      </c>
      <c r="I187" s="61"/>
      <c r="J187" s="61"/>
      <c r="K187" s="61"/>
      <c r="L187" s="62"/>
      <c r="M187" s="63" t="s">
        <v>112</v>
      </c>
      <c r="N187" s="62" t="n">
        <v>3</v>
      </c>
      <c r="O187" s="64" t="str">
        <f aca="false">IF(OR($L187="",$M187=""),"",(DATE(Semana!$J$3,1,4)-WEEKDAY(DATE(Semana!$J$3,1,4),3))+($L187-1)*7+MATCH($M187,Listas!$F$5:$F$11,0)-1)</f>
        <v/>
      </c>
      <c r="P187" s="64" t="str">
        <f aca="false">IF($O187="","",$O187+MAX(1,IF($N187="",1,$N187))-1)</f>
        <v/>
      </c>
      <c r="Q187" s="65"/>
      <c r="R187" s="60"/>
      <c r="S187" s="66"/>
      <c r="T187" s="59"/>
      <c r="U187" s="59"/>
      <c r="V187" s="57" t="str">
        <f aca="false">IF($F187="","",IF(ISNUMBER(SEARCH("(externo)",$I187&amp;$J187&amp;$K187)),"Terceirizada","Interna"))</f>
        <v>Interna</v>
      </c>
      <c r="W187" s="64" t="str">
        <f aca="false">IF($O187="","",IF($S187="",$O187,(DATE(Semana!$J$3,1,4)-WEEKDAY(DATE(Semana!$J$3,1,4),3))+($S187-1)*7+IF($M187="",0,MATCH($M187,Listas!$F$5:$F$11,0)-1)))</f>
        <v/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str">
        <f aca="false">IF($AH187=0,"",SUM($AH$4:$AH187))</f>
        <v/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0</v>
      </c>
      <c r="AI187" s="57" t="n">
        <f aca="false">IF(AND($F187&lt;&gt;"",$P187&lt;&gt;"",$P187&lt;Hoje!$C$3,$AB187=0,$R187&lt;&gt;"Cancelada"),1,0)</f>
        <v>0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58"/>
      <c r="D188" s="59" t="s">
        <v>159</v>
      </c>
      <c r="E188" s="59" t="s">
        <v>454</v>
      </c>
      <c r="F188" s="59" t="s">
        <v>455</v>
      </c>
      <c r="G188" s="60" t="s">
        <v>110</v>
      </c>
      <c r="H188" s="60" t="s">
        <v>88</v>
      </c>
      <c r="I188" s="61" t="s">
        <v>113</v>
      </c>
      <c r="J188" s="61" t="s">
        <v>137</v>
      </c>
      <c r="K188" s="61"/>
      <c r="L188" s="62" t="n">
        <v>35</v>
      </c>
      <c r="M188" s="63" t="s">
        <v>132</v>
      </c>
      <c r="N188" s="62" t="n">
        <v>1</v>
      </c>
      <c r="O188" s="64" t="n">
        <f aca="false">IF(OR($L188="",$M188=""),"",(DATE(Semana!$J$3,1,4)-WEEKDAY(DATE(Semana!$J$3,1,4),3))+($L188-1)*7+MATCH($M188,Listas!$F$5:$F$11,0)-1)</f>
        <v>46262</v>
      </c>
      <c r="P188" s="64" t="n">
        <f aca="false">IF($O188="","",$O188+MAX(1,IF($N188="",1,$N188))-1)</f>
        <v>46262</v>
      </c>
      <c r="Q188" s="65" t="n">
        <v>46262</v>
      </c>
      <c r="R188" s="60" t="s">
        <v>82</v>
      </c>
      <c r="S188" s="66"/>
      <c r="T188" s="59"/>
      <c r="U188" s="59" t="s">
        <v>456</v>
      </c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46262</v>
      </c>
      <c r="X188" s="57" t="n">
        <f aca="false">IF($F188="","",IF(OR($Q188="",$O188=""),0,IF($Q188&lt;=$O188,1,0)))</f>
        <v>1</v>
      </c>
      <c r="Y188" s="57" t="n">
        <f aca="false">IF($F188="","",IF(OR($Q188="",$W188=""),0,IF($Q188&lt;=$W188,1,0)))</f>
        <v>1</v>
      </c>
      <c r="Z188" s="57" t="n">
        <f aca="false">IF(OR($Q188="",$O188=""),"",MAX(0,$Q188-$O188))</f>
        <v>0</v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1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0.5</v>
      </c>
      <c r="AE188" s="57" t="str">
        <f aca="false">IF($AH188=0,"",SUM($AH$4:$AH188))</f>
        <v/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>Airton · Luiz Paulo</v>
      </c>
      <c r="AH188" s="57" t="n">
        <f aca="false">IF(AND($F188&lt;&gt;"",$O188&lt;&gt;"",$O188&lt;=Hoje!$C$3,$P188&gt;=Hoje!$C$3,$R188&lt;&gt;"Cancelada"),1,0)</f>
        <v>0</v>
      </c>
      <c r="AI188" s="57" t="n">
        <f aca="false">IF(AND($F188&lt;&gt;"",$P188&lt;&gt;"",$P188&lt;Hoje!$C$3,$AB188=0,$R188&lt;&gt;"Cancelada"),1,0)</f>
        <v>0</v>
      </c>
    </row>
    <row r="189" customFormat="false" ht="16.5" hidden="false" customHeight="true" outlineLevel="0" collapsed="false">
      <c r="A189" s="56" t="str">
        <f aca="false">IF($F189="","",COUNTA($F$4:$F189))</f>
        <v/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Falta a atividade</v>
      </c>
      <c r="C189" s="58"/>
      <c r="D189" s="59" t="s">
        <v>151</v>
      </c>
      <c r="E189" s="59" t="s">
        <v>457</v>
      </c>
      <c r="F189" s="59"/>
      <c r="G189" s="60" t="s">
        <v>110</v>
      </c>
      <c r="H189" s="60" t="s">
        <v>216</v>
      </c>
      <c r="I189" s="61"/>
      <c r="J189" s="61"/>
      <c r="K189" s="61"/>
      <c r="L189" s="62" t="n">
        <v>36</v>
      </c>
      <c r="M189" s="63"/>
      <c r="N189" s="62"/>
      <c r="O189" s="64" t="str">
        <f aca="false">IF(OR($L189="",$M189=""),"",(DATE(Semana!$J$3,1,4)-WEEKDAY(DATE(Semana!$J$3,1,4),3))+($L189-1)*7+MATCH($M189,Listas!$F$5:$F$11,0)-1)</f>
        <v/>
      </c>
      <c r="P189" s="64" t="str">
        <f aca="false">IF($O189="","",$O189+MAX(1,IF($N189="",1,$N189))-1)</f>
        <v/>
      </c>
      <c r="Q189" s="65"/>
      <c r="R189" s="60"/>
      <c r="S189" s="66"/>
      <c r="T189" s="59"/>
      <c r="U189" s="59" t="s">
        <v>458</v>
      </c>
      <c r="V189" s="57" t="str">
        <f aca="false">IF($F189="","",IF(ISNUMBER(SEARCH("(externo)",$I189&amp;$J189&amp;$K189)),"Terceirizada","Interna"))</f>
        <v/>
      </c>
      <c r="W189" s="64" t="str">
        <f aca="false">IF($O189="","",IF($S189="",$O189,(DATE(Semana!$J$3,1,4)-WEEKDAY(DATE(Semana!$J$3,1,4),3))+($S189-1)*7+IF($M189="",0,MATCH($M189,Listas!$F$5:$F$11,0)-1)))</f>
        <v/>
      </c>
      <c r="X189" s="57" t="str">
        <f aca="false">IF($F189="","",IF(OR($Q189="",$O189=""),0,IF($Q189&lt;=$O189,1,0)))</f>
        <v/>
      </c>
      <c r="Y189" s="57" t="str">
        <f aca="false">IF($F189="","",IF(OR($Q189="",$W189=""),0,IF($Q189&lt;=$W189,1,0)))</f>
        <v/>
      </c>
      <c r="Z189" s="57" t="str">
        <f aca="false">IF(OR($Q189="",$O189=""),"",MAX(0,$Q189-$O189))</f>
        <v/>
      </c>
      <c r="AA189" s="57" t="str">
        <f aca="false">IF($F189="","",IF(AND($S189&lt;&gt;"",$L189&lt;&gt;"",$S189&lt;&gt;$L189),1,0))</f>
        <v/>
      </c>
      <c r="AB189" s="57" t="str">
        <f aca="false">IF($F189="","",IF($R189="Cancelada",0,IF(OR($Q189&lt;&gt;"",$R189="Concluída"),1,0)))</f>
        <v/>
      </c>
      <c r="AC189" s="57" t="n">
        <f aca="false">IF($P189="",0,IF($P189&lt;Hoje!$L$1,1,IF(AND($P189=Hoje!$L$1,Hoje!$L$2&gt;Semana!$M$3),1,0)))</f>
        <v>0</v>
      </c>
      <c r="AD189" s="57" t="str">
        <f aca="false">IF($F189="","",IF(COUNTA($I189:$K189)=0,0,1/COUNTA($I189:$K189)))</f>
        <v/>
      </c>
      <c r="AE189" s="57" t="str">
        <f aca="false">IF($AH189=0,"",SUM($AH$4:$AH189))</f>
        <v/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0</v>
      </c>
      <c r="AI189" s="57" t="n">
        <f aca="false">IF(AND($F189&lt;&gt;"",$P189&lt;&gt;"",$P189&lt;Hoje!$C$3,$AB189=0,$R189&lt;&gt;"Cancelada"),1,0)</f>
        <v>0</v>
      </c>
    </row>
    <row r="190" customFormat="false" ht="16.5" hidden="false" customHeight="true" outlineLevel="0" collapsed="false">
      <c r="A190" s="56" t="str">
        <f aca="false">IF($F190="","",COUNTA($F$4:$F190))</f>
        <v/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Falta a atividade</v>
      </c>
      <c r="C190" s="58"/>
      <c r="D190" s="59" t="s">
        <v>109</v>
      </c>
      <c r="E190" s="59" t="s">
        <v>457</v>
      </c>
      <c r="F190" s="59"/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/>
      <c r="N190" s="62"/>
      <c r="O190" s="64" t="str">
        <f aca="false">IF(OR($L190="",$M190=""),"",(DATE(Semana!$J$3,1,4)-WEEKDAY(DATE(Semana!$J$3,1,4),3))+($L190-1)*7+MATCH($M190,Listas!$F$5:$F$11,0)-1)</f>
        <v/>
      </c>
      <c r="P190" s="64" t="str">
        <f aca="false">IF($O190="","",$O190+MAX(1,IF($N190="",1,$N190))-1)</f>
        <v/>
      </c>
      <c r="Q190" s="65"/>
      <c r="R190" s="60"/>
      <c r="S190" s="66"/>
      <c r="T190" s="59"/>
      <c r="U190" s="59" t="s">
        <v>458</v>
      </c>
      <c r="V190" s="57" t="str">
        <f aca="false">IF($F190="","",IF(ISNUMBER(SEARCH("(externo)",$I190&amp;$J190&amp;$K190)),"Terceirizada","Interna"))</f>
        <v/>
      </c>
      <c r="W190" s="64" t="str">
        <f aca="false">IF($O190="","",IF($S190="",$O190,(DATE(Semana!$J$3,1,4)-WEEKDAY(DATE(Semana!$J$3,1,4),3))+($S190-1)*7+IF($M190="",0,MATCH($M190,Listas!$F$5:$F$11,0)-1)))</f>
        <v/>
      </c>
      <c r="X190" s="57" t="str">
        <f aca="false">IF($F190="","",IF(OR($Q190="",$O190=""),0,IF($Q190&lt;=$O190,1,0)))</f>
        <v/>
      </c>
      <c r="Y190" s="57" t="str">
        <f aca="false">IF($F190="","",IF(OR($Q190="",$W190=""),0,IF($Q190&lt;=$W190,1,0)))</f>
        <v/>
      </c>
      <c r="Z190" s="57" t="str">
        <f aca="false">IF(OR($Q190="",$O190=""),"",MAX(0,$Q190-$O190))</f>
        <v/>
      </c>
      <c r="AA190" s="57" t="str">
        <f aca="false">IF($F190="","",IF(AND($S190&lt;&gt;"",$L190&lt;&gt;"",$S190&lt;&gt;$L190),1,0))</f>
        <v/>
      </c>
      <c r="AB190" s="57" t="str">
        <f aca="false">IF($F190="","",IF($R190="Cancelada",0,IF(OR($Q190&lt;&gt;"",$R190="Concluída"),1,0)))</f>
        <v/>
      </c>
      <c r="AC190" s="57" t="n">
        <f aca="false">IF($P190="",0,IF($P190&lt;Hoje!$L$1,1,IF(AND($P190=Hoje!$L$1,Hoje!$L$2&gt;Semana!$M$3),1,0)))</f>
        <v>0</v>
      </c>
      <c r="AD190" s="57" t="str">
        <f aca="false">IF($F190="","",IF(COUNTA($I190:$K190)=0,0,1/COUNTA($I190:$K190)))</f>
        <v/>
      </c>
      <c r="AE190" s="57" t="str">
        <f aca="false">IF($AH190=0,"",SUM($AH$4:$AH190))</f>
        <v/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0</v>
      </c>
      <c r="AI190" s="57" t="n">
        <f aca="false">IF(AND($F190&lt;&gt;"",$P190&lt;&gt;"",$P190&lt;Hoje!$C$3,$AB190=0,$R190&lt;&gt;"Cancelada"),1,0)</f>
        <v>0</v>
      </c>
    </row>
    <row r="191" customFormat="false" ht="16.5" hidden="false" customHeight="true" outlineLevel="0" collapsed="false">
      <c r="A191" s="56" t="str">
        <f aca="false">IF($F191="","",COUNTA($F$4:$F191))</f>
        <v/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Falta a atividade</v>
      </c>
      <c r="C191" s="58"/>
      <c r="D191" s="59" t="s">
        <v>114</v>
      </c>
      <c r="E191" s="59" t="s">
        <v>457</v>
      </c>
      <c r="F191" s="59"/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/>
      <c r="N191" s="62"/>
      <c r="O191" s="64" t="str">
        <f aca="false">IF(OR($L191="",$M191=""),"",(DATE(Semana!$J$3,1,4)-WEEKDAY(DATE(Semana!$J$3,1,4),3))+($L191-1)*7+MATCH($M191,Listas!$F$5:$F$11,0)-1)</f>
        <v/>
      </c>
      <c r="P191" s="64" t="str">
        <f aca="false">IF($O191="","",$O191+MAX(1,IF($N191="",1,$N191))-1)</f>
        <v/>
      </c>
      <c r="Q191" s="65"/>
      <c r="R191" s="60"/>
      <c r="S191" s="66"/>
      <c r="T191" s="59"/>
      <c r="U191" s="59" t="s">
        <v>458</v>
      </c>
      <c r="V191" s="57" t="str">
        <f aca="false">IF($F191="","",IF(ISNUMBER(SEARCH("(externo)",$I191&amp;$J191&amp;$K191)),"Terceirizada","Interna"))</f>
        <v/>
      </c>
      <c r="W191" s="64" t="str">
        <f aca="false">IF($O191="","",IF($S191="",$O191,(DATE(Semana!$J$3,1,4)-WEEKDAY(DATE(Semana!$J$3,1,4),3))+($S191-1)*7+IF($M191="",0,MATCH($M191,Listas!$F$5:$F$11,0)-1)))</f>
        <v/>
      </c>
      <c r="X191" s="57" t="str">
        <f aca="false">IF($F191="","",IF(OR($Q191="",$O191=""),0,IF($Q191&lt;=$O191,1,0)))</f>
        <v/>
      </c>
      <c r="Y191" s="57" t="str">
        <f aca="false">IF($F191="","",IF(OR($Q191="",$W191=""),0,IF($Q191&lt;=$W191,1,0)))</f>
        <v/>
      </c>
      <c r="Z191" s="57" t="str">
        <f aca="false">IF(OR($Q191="",$O191=""),"",MAX(0,$Q191-$O191))</f>
        <v/>
      </c>
      <c r="AA191" s="57" t="str">
        <f aca="false">IF($F191="","",IF(AND($S191&lt;&gt;"",$L191&lt;&gt;"",$S191&lt;&gt;$L191),1,0))</f>
        <v/>
      </c>
      <c r="AB191" s="57" t="str">
        <f aca="false">IF($F191="","",IF($R191="Cancelada",0,IF(OR($Q191&lt;&gt;"",$R191="Concluída"),1,0)))</f>
        <v/>
      </c>
      <c r="AC191" s="57" t="n">
        <f aca="false">IF($P191="",0,IF($P191&lt;Hoje!$L$1,1,IF(AND($P191=Hoje!$L$1,Hoje!$L$2&gt;Semana!$M$3),1,0)))</f>
        <v>0</v>
      </c>
      <c r="AD191" s="57" t="str">
        <f aca="false">IF($F191="","",IF(COUNTA($I191:$K191)=0,0,1/COUNTA($I191:$K191)))</f>
        <v/>
      </c>
      <c r="AE191" s="57" t="str">
        <f aca="false">IF($AH191=0,"",SUM($AH$4:$AH191))</f>
        <v/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0</v>
      </c>
      <c r="AI191" s="57" t="n">
        <f aca="false">IF(AND($F191&lt;&gt;"",$P191&lt;&gt;"",$P191&lt;Hoje!$C$3,$AB191=0,$R191&lt;&gt;"Cancelada"),1,0)</f>
        <v>0</v>
      </c>
    </row>
    <row r="192" customFormat="false" ht="16.5" hidden="false" customHeight="true" outlineLevel="0" collapsed="false">
      <c r="A192" s="56" t="str">
        <f aca="false">IF($F192="","",COUNTA($F$4:$F192))</f>
        <v/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Falta a atividade</v>
      </c>
      <c r="C192" s="58"/>
      <c r="D192" s="59" t="s">
        <v>161</v>
      </c>
      <c r="E192" s="59" t="s">
        <v>457</v>
      </c>
      <c r="F192" s="59"/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/>
      <c r="N192" s="62"/>
      <c r="O192" s="64" t="str">
        <f aca="false">IF(OR($L192="",$M192=""),"",(DATE(Semana!$J$3,1,4)-WEEKDAY(DATE(Semana!$J$3,1,4),3))+($L192-1)*7+MATCH($M192,Listas!$F$5:$F$11,0)-1)</f>
        <v/>
      </c>
      <c r="P192" s="64" t="str">
        <f aca="false">IF($O192="","",$O192+MAX(1,IF($N192="",1,$N192))-1)</f>
        <v/>
      </c>
      <c r="Q192" s="65"/>
      <c r="R192" s="60"/>
      <c r="S192" s="66"/>
      <c r="T192" s="59"/>
      <c r="U192" s="59" t="s">
        <v>458</v>
      </c>
      <c r="V192" s="57" t="str">
        <f aca="false">IF($F192="","",IF(ISNUMBER(SEARCH("(externo)",$I192&amp;$J192&amp;$K192)),"Terceirizada","Interna"))</f>
        <v/>
      </c>
      <c r="W192" s="64" t="str">
        <f aca="false">IF($O192="","",IF($S192="",$O192,(DATE(Semana!$J$3,1,4)-WEEKDAY(DATE(Semana!$J$3,1,4),3))+($S192-1)*7+IF($M192="",0,MATCH($M192,Listas!$F$5:$F$11,0)-1)))</f>
        <v/>
      </c>
      <c r="X192" s="57" t="str">
        <f aca="false">IF($F192="","",IF(OR($Q192="",$O192=""),0,IF($Q192&lt;=$O192,1,0)))</f>
        <v/>
      </c>
      <c r="Y192" s="57" t="str">
        <f aca="false">IF($F192="","",IF(OR($Q192="",$W192=""),0,IF($Q192&lt;=$W192,1,0)))</f>
        <v/>
      </c>
      <c r="Z192" s="57" t="str">
        <f aca="false">IF(OR($Q192="",$O192=""),"",MAX(0,$Q192-$O192))</f>
        <v/>
      </c>
      <c r="AA192" s="57" t="str">
        <f aca="false">IF($F192="","",IF(AND($S192&lt;&gt;"",$L192&lt;&gt;"",$S192&lt;&gt;$L192),1,0))</f>
        <v/>
      </c>
      <c r="AB192" s="57" t="str">
        <f aca="false">IF($F192="","",IF($R192="Cancelada",0,IF(OR($Q192&lt;&gt;"",$R192="Concluída"),1,0)))</f>
        <v/>
      </c>
      <c r="AC192" s="57" t="n">
        <f aca="false">IF($P192="",0,IF($P192&lt;Hoje!$L$1,1,IF(AND($P192=Hoje!$L$1,Hoje!$L$2&gt;Semana!$M$3),1,0)))</f>
        <v>0</v>
      </c>
      <c r="AD192" s="57" t="str">
        <f aca="false">IF($F192="","",IF(COUNTA($I192:$K192)=0,0,1/COUNTA($I192:$K192)))</f>
        <v/>
      </c>
      <c r="AE192" s="57" t="str">
        <f aca="false">IF($AH192=0,"",SUM($AH$4:$AH192))</f>
        <v/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0</v>
      </c>
      <c r="AI192" s="57" t="n">
        <f aca="false">IF(AND($F192&lt;&gt;"",$P192&lt;&gt;"",$P192&lt;Hoje!$C$3,$AB192=0,$R192&lt;&gt;"Cancelada"),1,0)</f>
        <v>0</v>
      </c>
    </row>
    <row r="193" customFormat="false" ht="16.5" hidden="false" customHeight="true" outlineLevel="0" collapsed="false">
      <c r="A193" s="56" t="str">
        <f aca="false">IF($F193="","",COUNTA($F$4:$F193))</f>
        <v/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Falta a atividade</v>
      </c>
      <c r="C193" s="58"/>
      <c r="D193" s="59" t="s">
        <v>154</v>
      </c>
      <c r="E193" s="59" t="s">
        <v>457</v>
      </c>
      <c r="F193" s="59"/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/>
      <c r="N193" s="62"/>
      <c r="O193" s="64" t="str">
        <f aca="false">IF(OR($L193="",$M193=""),"",(DATE(Semana!$J$3,1,4)-WEEKDAY(DATE(Semana!$J$3,1,4),3))+($L193-1)*7+MATCH($M193,Listas!$F$5:$F$11,0)-1)</f>
        <v/>
      </c>
      <c r="P193" s="64" t="str">
        <f aca="false">IF($O193="","",$O193+MAX(1,IF($N193="",1,$N193))-1)</f>
        <v/>
      </c>
      <c r="Q193" s="65"/>
      <c r="R193" s="60"/>
      <c r="S193" s="66"/>
      <c r="T193" s="59"/>
      <c r="U193" s="59" t="s">
        <v>458</v>
      </c>
      <c r="V193" s="57" t="str">
        <f aca="false">IF($F193="","",IF(ISNUMBER(SEARCH("(externo)",$I193&amp;$J193&amp;$K193)),"Terceirizada","Interna"))</f>
        <v/>
      </c>
      <c r="W193" s="64" t="str">
        <f aca="false">IF($O193="","",IF($S193="",$O193,(DATE(Semana!$J$3,1,4)-WEEKDAY(DATE(Semana!$J$3,1,4),3))+($S193-1)*7+IF($M193="",0,MATCH($M193,Listas!$F$5:$F$11,0)-1)))</f>
        <v/>
      </c>
      <c r="X193" s="57" t="str">
        <f aca="false">IF($F193="","",IF(OR($Q193="",$O193=""),0,IF($Q193&lt;=$O193,1,0)))</f>
        <v/>
      </c>
      <c r="Y193" s="57" t="str">
        <f aca="false">IF($F193="","",IF(OR($Q193="",$W193=""),0,IF($Q193&lt;=$W193,1,0)))</f>
        <v/>
      </c>
      <c r="Z193" s="57" t="str">
        <f aca="false">IF(OR($Q193="",$O193=""),"",MAX(0,$Q193-$O193))</f>
        <v/>
      </c>
      <c r="AA193" s="57" t="str">
        <f aca="false">IF($F193="","",IF(AND($S193&lt;&gt;"",$L193&lt;&gt;"",$S193&lt;&gt;$L193),1,0))</f>
        <v/>
      </c>
      <c r="AB193" s="57" t="str">
        <f aca="false">IF($F193="","",IF($R193="Cancelada",0,IF(OR($Q193&lt;&gt;"",$R193="Concluída"),1,0)))</f>
        <v/>
      </c>
      <c r="AC193" s="57" t="n">
        <f aca="false">IF($P193="",0,IF($P193&lt;Hoje!$L$1,1,IF(AND($P193=Hoje!$L$1,Hoje!$L$2&gt;Semana!$M$3),1,0)))</f>
        <v>0</v>
      </c>
      <c r="AD193" s="57" t="str">
        <f aca="false">IF($F193="","",IF(COUNTA($I193:$K193)=0,0,1/COUNTA($I193:$K193)))</f>
        <v/>
      </c>
      <c r="AE193" s="57" t="str">
        <f aca="false">IF($AH193=0,"",SUM($AH$4:$AH193))</f>
        <v/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0</v>
      </c>
      <c r="AI193" s="57" t="n">
        <f aca="false">IF(AND($F193&lt;&gt;"",$P193&lt;&gt;"",$P193&lt;Hoje!$C$3,$AB193=0,$R193&lt;&gt;"Cancelada"),1,0)</f>
        <v>0</v>
      </c>
    </row>
    <row r="194" customFormat="false" ht="16.5" hidden="false" customHeight="true" outlineLevel="0" collapsed="false">
      <c r="A194" s="56" t="str">
        <f aca="false">IF($F194="","",COUNTA($F$4:$F194))</f>
        <v/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Falta a atividade</v>
      </c>
      <c r="C194" s="58"/>
      <c r="D194" s="59" t="s">
        <v>170</v>
      </c>
      <c r="E194" s="59" t="s">
        <v>457</v>
      </c>
      <c r="F194" s="59"/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/>
      <c r="N194" s="62"/>
      <c r="O194" s="64" t="str">
        <f aca="false">IF(OR($L194="",$M194=""),"",(DATE(Semana!$J$3,1,4)-WEEKDAY(DATE(Semana!$J$3,1,4),3))+($L194-1)*7+MATCH($M194,Listas!$F$5:$F$11,0)-1)</f>
        <v/>
      </c>
      <c r="P194" s="64" t="str">
        <f aca="false">IF($O194="","",$O194+MAX(1,IF($N194="",1,$N194))-1)</f>
        <v/>
      </c>
      <c r="Q194" s="65"/>
      <c r="R194" s="60"/>
      <c r="S194" s="66"/>
      <c r="T194" s="59"/>
      <c r="U194" s="59" t="s">
        <v>458</v>
      </c>
      <c r="V194" s="57" t="str">
        <f aca="false">IF($F194="","",IF(ISNUMBER(SEARCH("(externo)",$I194&amp;$J194&amp;$K194)),"Terceirizada","Interna"))</f>
        <v/>
      </c>
      <c r="W194" s="64" t="str">
        <f aca="false">IF($O194="","",IF($S194="",$O194,(DATE(Semana!$J$3,1,4)-WEEKDAY(DATE(Semana!$J$3,1,4),3))+($S194-1)*7+IF($M194="",0,MATCH($M194,Listas!$F$5:$F$11,0)-1)))</f>
        <v/>
      </c>
      <c r="X194" s="57" t="str">
        <f aca="false">IF($F194="","",IF(OR($Q194="",$O194=""),0,IF($Q194&lt;=$O194,1,0)))</f>
        <v/>
      </c>
      <c r="Y194" s="57" t="str">
        <f aca="false">IF($F194="","",IF(OR($Q194="",$W194=""),0,IF($Q194&lt;=$W194,1,0)))</f>
        <v/>
      </c>
      <c r="Z194" s="57" t="str">
        <f aca="false">IF(OR($Q194="",$O194=""),"",MAX(0,$Q194-$O194))</f>
        <v/>
      </c>
      <c r="AA194" s="57" t="str">
        <f aca="false">IF($F194="","",IF(AND($S194&lt;&gt;"",$L194&lt;&gt;"",$S194&lt;&gt;$L194),1,0))</f>
        <v/>
      </c>
      <c r="AB194" s="57" t="str">
        <f aca="false">IF($F194="","",IF($R194="Cancelada",0,IF(OR($Q194&lt;&gt;"",$R194="Concluída"),1,0)))</f>
        <v/>
      </c>
      <c r="AC194" s="57" t="n">
        <f aca="false">IF($P194="",0,IF($P194&lt;Hoje!$L$1,1,IF(AND($P194=Hoje!$L$1,Hoje!$L$2&gt;Semana!$M$3),1,0)))</f>
        <v>0</v>
      </c>
      <c r="AD194" s="57" t="str">
        <f aca="false">IF($F194="","",IF(COUNTA($I194:$K194)=0,0,1/COUNTA($I194:$K194)))</f>
        <v/>
      </c>
      <c r="AE194" s="57" t="str">
        <f aca="false">IF($AH194=0,"",SUM($AH$4:$AH194))</f>
        <v/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0</v>
      </c>
    </row>
    <row r="195" customFormat="false" ht="16.5" hidden="false" customHeight="true" outlineLevel="0" collapsed="false">
      <c r="A195" s="56" t="str">
        <f aca="false">IF($F195="","",COUNTA($F$4:$F195))</f>
        <v/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Falta a atividade</v>
      </c>
      <c r="C195" s="58"/>
      <c r="D195" s="59" t="s">
        <v>171</v>
      </c>
      <c r="E195" s="59" t="s">
        <v>457</v>
      </c>
      <c r="F195" s="59"/>
      <c r="G195" s="60" t="s">
        <v>110</v>
      </c>
      <c r="H195" s="60" t="s">
        <v>88</v>
      </c>
      <c r="I195" s="61"/>
      <c r="J195" s="61"/>
      <c r="K195" s="61"/>
      <c r="L195" s="62" t="n">
        <v>36</v>
      </c>
      <c r="M195" s="63"/>
      <c r="N195" s="62"/>
      <c r="O195" s="64" t="str">
        <f aca="false">IF(OR($L195="",$M195=""),"",(DATE(Semana!$J$3,1,4)-WEEKDAY(DATE(Semana!$J$3,1,4),3))+($L195-1)*7+MATCH($M195,Listas!$F$5:$F$11,0)-1)</f>
        <v/>
      </c>
      <c r="P195" s="64" t="str">
        <f aca="false">IF($O195="","",$O195+MAX(1,IF($N195="",1,$N195))-1)</f>
        <v/>
      </c>
      <c r="Q195" s="65"/>
      <c r="R195" s="60"/>
      <c r="S195" s="66"/>
      <c r="T195" s="59"/>
      <c r="U195" s="59" t="s">
        <v>458</v>
      </c>
      <c r="V195" s="57" t="str">
        <f aca="false">IF($F195="","",IF(ISNUMBER(SEARCH("(externo)",$I195&amp;$J195&amp;$K195)),"Terceirizada","Interna"))</f>
        <v/>
      </c>
      <c r="W195" s="64" t="str">
        <f aca="false">IF($O195="","",IF($S195="",$O195,(DATE(Semana!$J$3,1,4)-WEEKDAY(DATE(Semana!$J$3,1,4),3))+($S195-1)*7+IF($M195="",0,MATCH($M195,Listas!$F$5:$F$11,0)-1)))</f>
        <v/>
      </c>
      <c r="X195" s="57" t="str">
        <f aca="false">IF($F195="","",IF(OR($Q195="",$O195=""),0,IF($Q195&lt;=$O195,1,0)))</f>
        <v/>
      </c>
      <c r="Y195" s="57" t="str">
        <f aca="false">IF($F195="","",IF(OR($Q195="",$W195=""),0,IF($Q195&lt;=$W195,1,0)))</f>
        <v/>
      </c>
      <c r="Z195" s="57" t="str">
        <f aca="false">IF(OR($Q195="",$O195=""),"",MAX(0,$Q195-$O195))</f>
        <v/>
      </c>
      <c r="AA195" s="57" t="str">
        <f aca="false">IF($F195="","",IF(AND($S195&lt;&gt;"",$L195&lt;&gt;"",$S195&lt;&gt;$L195),1,0))</f>
        <v/>
      </c>
      <c r="AB195" s="57" t="str">
        <f aca="false">IF($F195="","",IF($R195="Cancelada",0,IF(OR($Q195&lt;&gt;"",$R195="Concluída"),1,0)))</f>
        <v/>
      </c>
      <c r="AC195" s="57" t="n">
        <f aca="false">IF($P195="",0,IF($P195&lt;Hoje!$L$1,1,IF(AND($P195=Hoje!$L$1,Hoje!$L$2&gt;Semana!$M$3),1,0)))</f>
        <v>0</v>
      </c>
      <c r="AD195" s="57" t="str">
        <f aca="false">IF($F195="","",IF(COUNTA($I195:$K195)=0,0,1/COUNTA($I195:$K195)))</f>
        <v/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/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</row>
    <row r="196" customFormat="false" ht="16.5" hidden="false" customHeight="true" outlineLevel="0" collapsed="false">
      <c r="A196" s="56" t="str">
        <f aca="false">IF($F196="","",COUNTA($F$4:$F196))</f>
        <v/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Falta a atividade</v>
      </c>
      <c r="C196" s="58"/>
      <c r="D196" s="59" t="s">
        <v>165</v>
      </c>
      <c r="E196" s="59" t="s">
        <v>457</v>
      </c>
      <c r="F196" s="59"/>
      <c r="G196" s="60" t="s">
        <v>110</v>
      </c>
      <c r="H196" s="60" t="s">
        <v>88</v>
      </c>
      <c r="I196" s="61"/>
      <c r="J196" s="61"/>
      <c r="K196" s="61"/>
      <c r="L196" s="62" t="n">
        <v>36</v>
      </c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IF($O196="","",$O196+MAX(1,IF($N196="",1,$N196))-1)</f>
        <v/>
      </c>
      <c r="Q196" s="65"/>
      <c r="R196" s="60"/>
      <c r="S196" s="66"/>
      <c r="T196" s="59"/>
      <c r="U196" s="59" t="s">
        <v>458</v>
      </c>
      <c r="V196" s="57" t="str">
        <f aca="false">IF($F196="","",IF(ISNUMBER(SEARCH("(externo)",$I196&amp;$J196&amp;$K196)),"Terceirizada","Interna"))</f>
        <v/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str">
        <f aca="false">IF($F196="","",IF(OR($Q196="",$O196=""),0,IF($Q196&lt;=$O196,1,0)))</f>
        <v/>
      </c>
      <c r="Y196" s="57" t="str">
        <f aca="false">IF($F196="","",IF(OR($Q196="",$W196=""),0,IF($Q196&lt;=$W196,1,0)))</f>
        <v/>
      </c>
      <c r="Z196" s="57" t="str">
        <f aca="false">IF(OR($Q196="",$O196=""),"",MAX(0,$Q196-$O196))</f>
        <v/>
      </c>
      <c r="AA196" s="57" t="str">
        <f aca="false">IF($F196="","",IF(AND($S196&lt;&gt;"",$L196&lt;&gt;"",$S196&lt;&gt;$L196),1,0))</f>
        <v/>
      </c>
      <c r="AB196" s="57" t="str">
        <f aca="false">IF($F196="","",IF($R196="Cancelada",0,IF(OR($Q196&lt;&gt;"",$R196="Concluída"),1,0)))</f>
        <v/>
      </c>
      <c r="AC196" s="57" t="n">
        <f aca="false">IF($P196="",0,IF($P196&lt;Hoje!$L$1,1,IF(AND($P196=Hoje!$L$1,Hoje!$L$2&gt;Semana!$M$3),1,0)))</f>
        <v>0</v>
      </c>
      <c r="AD196" s="57" t="str">
        <f aca="false">IF($F196="","",IF(COUNTA($I196:$K196)=0,0,1/COUNTA($I196:$K196)))</f>
        <v/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</row>
    <row r="197" customFormat="false" ht="16.5" hidden="false" customHeight="true" outlineLevel="0" collapsed="false">
      <c r="A197" s="56" t="str">
        <f aca="false">IF($F197="","",COUNTA($F$4:$F197))</f>
        <v/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Falta a atividade</v>
      </c>
      <c r="C197" s="58"/>
      <c r="D197" s="59" t="s">
        <v>177</v>
      </c>
      <c r="E197" s="59" t="s">
        <v>457</v>
      </c>
      <c r="F197" s="59"/>
      <c r="G197" s="60" t="s">
        <v>110</v>
      </c>
      <c r="H197" s="60" t="s">
        <v>88</v>
      </c>
      <c r="I197" s="61"/>
      <c r="J197" s="61"/>
      <c r="K197" s="61"/>
      <c r="L197" s="62" t="n">
        <v>36</v>
      </c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IF($O197="","",$O197+MAX(1,IF($N197="",1,$N197))-1)</f>
        <v/>
      </c>
      <c r="Q197" s="65"/>
      <c r="R197" s="60"/>
      <c r="S197" s="66"/>
      <c r="T197" s="59"/>
      <c r="U197" s="59"/>
      <c r="V197" s="57" t="str">
        <f aca="false">IF($F197="","",IF(ISNUMBER(SEARCH("(externo)",$I197&amp;$J197&amp;$K197)),"Terceirizada","Interna"))</f>
        <v/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str">
        <f aca="false">IF($F197="","",IF(OR($Q197="",$O197=""),0,IF($Q197&lt;=$O197,1,0)))</f>
        <v/>
      </c>
      <c r="Y197" s="57" t="str">
        <f aca="false">IF($F197="","",IF(OR($Q197="",$W197=""),0,IF($Q197&lt;=$W197,1,0)))</f>
        <v/>
      </c>
      <c r="Z197" s="57" t="str">
        <f aca="false">IF(OR($Q197="",$O197=""),"",MAX(0,$Q197-$O197))</f>
        <v/>
      </c>
      <c r="AA197" s="57" t="str">
        <f aca="false">IF($F197="","",IF(AND($S197&lt;&gt;"",$L197&lt;&gt;"",$S197&lt;&gt;$L197),1,0))</f>
        <v/>
      </c>
      <c r="AB197" s="57" t="str">
        <f aca="false">IF($F197="","",IF($R197="Cancelada",0,IF(OR($Q197&lt;&gt;"",$R197="Concluída"),1,0)))</f>
        <v/>
      </c>
      <c r="AC197" s="57" t="n">
        <f aca="false">IF($P197="",0,IF($P197&lt;Hoje!$L$1,1,IF(AND($P197=Hoje!$L$1,Hoje!$L$2&gt;Semana!$M$3),1,0)))</f>
        <v>0</v>
      </c>
      <c r="AD197" s="57" t="str">
        <f aca="false">IF($F197="","",IF(COUNTA($I197:$K197)=0,0,1/COUNTA($I197:$K197)))</f>
        <v/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</row>
    <row r="198" customFormat="false" ht="16.5" hidden="false" customHeight="true" outlineLevel="0" collapsed="false">
      <c r="A198" s="56" t="str">
        <f aca="false">IF($F198="","",COUNTA($F$4:$F198))</f>
        <v/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/>
      </c>
      <c r="C198" s="58"/>
      <c r="D198" s="59"/>
      <c r="E198" s="59"/>
      <c r="F198" s="59"/>
      <c r="G198" s="60"/>
      <c r="H198" s="60"/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IF($O198="","",$O198+MAX(1,IF($N198="",1,$N198))-1)</f>
        <v/>
      </c>
      <c r="Q198" s="65"/>
      <c r="R198" s="60"/>
      <c r="S198" s="66"/>
      <c r="T198" s="59"/>
      <c r="U198" s="59"/>
      <c r="V198" s="57" t="str">
        <f aca="false">IF($F198="","",IF(ISNUMBER(SEARCH("(externo)",$I198&amp;$J198&amp;$K198)),"Terceirizada","Interna"))</f>
        <v/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str">
        <f aca="false">IF($F198="","",IF(OR($Q198="",$O198=""),0,IF($Q198&lt;=$O198,1,0)))</f>
        <v/>
      </c>
      <c r="Y198" s="57" t="str">
        <f aca="false">IF($F198="","",IF(OR($Q198="",$W198=""),0,IF($Q198&lt;=$W198,1,0)))</f>
        <v/>
      </c>
      <c r="Z198" s="57" t="str">
        <f aca="false">IF(OR($Q198="",$O198=""),"",MAX(0,$Q198-$O198))</f>
        <v/>
      </c>
      <c r="AA198" s="57" t="str">
        <f aca="false">IF($F198="","",IF(AND($S198&lt;&gt;"",$L198&lt;&gt;"",$S198&lt;&gt;$L198),1,0))</f>
        <v/>
      </c>
      <c r="AB198" s="57" t="str">
        <f aca="false">IF($F198="","",IF($R198="Cancelada",0,IF(OR($Q198&lt;&gt;"",$R198="Concluída"),1,0)))</f>
        <v/>
      </c>
      <c r="AC198" s="57" t="n">
        <f aca="false">IF($P198="",0,IF($P198&lt;Hoje!$L$1,1,IF(AND($P198=Hoje!$L$1,Hoje!$L$2&gt;Semana!$M$3),1,0)))</f>
        <v>0</v>
      </c>
      <c r="AD198" s="57" t="str">
        <f aca="false">IF($F198="","",IF(COUNTA($I198:$K198)=0,0,1/COUNTA($I198:$K198)))</f>
        <v/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</row>
    <row r="199" customFormat="false" ht="16.5" hidden="false" customHeight="true" outlineLevel="0" collapsed="false">
      <c r="A199" s="56" t="str">
        <f aca="false">IF($F199="","",COUNTA($F$4:$F199))</f>
        <v/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/>
      </c>
      <c r="C199" s="58"/>
      <c r="D199" s="59"/>
      <c r="E199" s="59"/>
      <c r="F199" s="59"/>
      <c r="G199" s="60"/>
      <c r="H199" s="60"/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IF($O199="","",$O199+MAX(1,IF($N199="",1,$N199))-1)</f>
        <v/>
      </c>
      <c r="Q199" s="65"/>
      <c r="R199" s="60"/>
      <c r="S199" s="66"/>
      <c r="T199" s="59"/>
      <c r="U199" s="59"/>
      <c r="V199" s="57" t="str">
        <f aca="false">IF($F199="","",IF(ISNUMBER(SEARCH("(externo)",$I199&amp;$J199&amp;$K199)),"Terceirizada","Interna"))</f>
        <v/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str">
        <f aca="false">IF($F199="","",IF(OR($Q199="",$O199=""),0,IF($Q199&lt;=$O199,1,0)))</f>
        <v/>
      </c>
      <c r="Y199" s="57" t="str">
        <f aca="false">IF($F199="","",IF(OR($Q199="",$W199=""),0,IF($Q199&lt;=$W199,1,0)))</f>
        <v/>
      </c>
      <c r="Z199" s="57" t="str">
        <f aca="false">IF(OR($Q199="",$O199=""),"",MAX(0,$Q199-$O199))</f>
        <v/>
      </c>
      <c r="AA199" s="57" t="str">
        <f aca="false">IF($F199="","",IF(AND($S199&lt;&gt;"",$L199&lt;&gt;"",$S199&lt;&gt;$L199),1,0))</f>
        <v/>
      </c>
      <c r="AB199" s="57" t="str">
        <f aca="false">IF($F199="","",IF($R199="Cancelada",0,IF(OR($Q199&lt;&gt;"",$R199="Concluída"),1,0)))</f>
        <v/>
      </c>
      <c r="AC199" s="57" t="n">
        <f aca="false">IF($P199="",0,IF($P199&lt;Hoje!$L$1,1,IF(AND($P199=Hoje!$L$1,Hoje!$L$2&gt;Semana!$M$3),1,0)))</f>
        <v>0</v>
      </c>
      <c r="AD199" s="57" t="str">
        <f aca="false">IF($F199="","",IF(COUNTA($I199:$K199)=0,0,1/COUNTA($I199:$K199)))</f>
        <v/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</row>
    <row r="200" customFormat="false" ht="16.5" hidden="false" customHeight="true" outlineLevel="0" collapsed="false">
      <c r="A200" s="56" t="str">
        <f aca="false">IF($F200="","",COUNTA($F$4:$F200))</f>
        <v/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/>
      </c>
      <c r="C200" s="58"/>
      <c r="D200" s="59"/>
      <c r="E200" s="59"/>
      <c r="F200" s="59"/>
      <c r="G200" s="60"/>
      <c r="H200" s="60"/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IF($O200="","",$O200+MAX(1,IF($N200="",1,$N200))-1)</f>
        <v/>
      </c>
      <c r="Q200" s="65"/>
      <c r="R200" s="60"/>
      <c r="S200" s="66"/>
      <c r="T200" s="59"/>
      <c r="U200" s="59"/>
      <c r="V200" s="57" t="str">
        <f aca="false">IF($F200="","",IF(ISNUMBER(SEARCH("(externo)",$I200&amp;$J200&amp;$K200)),"Terceirizada","Interna"))</f>
        <v/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str">
        <f aca="false">IF($F200="","",IF(OR($Q200="",$O200=""),0,IF($Q200&lt;=$O200,1,0)))</f>
        <v/>
      </c>
      <c r="Y200" s="57" t="str">
        <f aca="false">IF($F200="","",IF(OR($Q200="",$W200=""),0,IF($Q200&lt;=$W200,1,0)))</f>
        <v/>
      </c>
      <c r="Z200" s="57" t="str">
        <f aca="false">IF(OR($Q200="",$O200=""),"",MAX(0,$Q200-$O200))</f>
        <v/>
      </c>
      <c r="AA200" s="57" t="str">
        <f aca="false">IF($F200="","",IF(AND($S200&lt;&gt;"",$L200&lt;&gt;"",$S200&lt;&gt;$L200),1,0))</f>
        <v/>
      </c>
      <c r="AB200" s="57" t="str">
        <f aca="false">IF($F200="","",IF($R200="Cancelada",0,IF(OR($Q200&lt;&gt;"",$R200="Concluída"),1,0)))</f>
        <v/>
      </c>
      <c r="AC200" s="57" t="n">
        <f aca="false">IF($P200="",0,IF($P200&lt;Hoje!$L$1,1,IF(AND($P200=Hoje!$L$1,Hoje!$L$2&gt;Semana!$M$3),1,0)))</f>
        <v>0</v>
      </c>
      <c r="AD200" s="57" t="str">
        <f aca="false">IF($F200="","",IF(COUNTA($I200:$K200)=0,0,1/COUNTA($I200:$K200)))</f>
        <v/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</row>
    <row r="201" customFormat="false" ht="16.5" hidden="false" customHeight="true" outlineLevel="0" collapsed="false">
      <c r="A201" s="56" t="str">
        <f aca="false">IF($F201="","",COUNTA($F$4:$F201))</f>
        <v/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/>
      </c>
      <c r="C201" s="58"/>
      <c r="D201" s="59"/>
      <c r="E201" s="59"/>
      <c r="F201" s="59"/>
      <c r="G201" s="60"/>
      <c r="H201" s="60"/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IF($O201="","",$O201+MAX(1,IF($N201="",1,$N201))-1)</f>
        <v/>
      </c>
      <c r="Q201" s="65"/>
      <c r="R201" s="60"/>
      <c r="S201" s="66"/>
      <c r="T201" s="59"/>
      <c r="U201" s="59"/>
      <c r="V201" s="57" t="str">
        <f aca="false">IF($F201="","",IF(ISNUMBER(SEARCH("(externo)",$I201&amp;$J201&amp;$K201)),"Terceirizada","Interna"))</f>
        <v/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str">
        <f aca="false">IF($F201="","",IF(OR($Q201="",$O201=""),0,IF($Q201&lt;=$O201,1,0)))</f>
        <v/>
      </c>
      <c r="Y201" s="57" t="str">
        <f aca="false">IF($F201="","",IF(OR($Q201="",$W201=""),0,IF($Q201&lt;=$W201,1,0)))</f>
        <v/>
      </c>
      <c r="Z201" s="57" t="str">
        <f aca="false">IF(OR($Q201="",$O201=""),"",MAX(0,$Q201-$O201))</f>
        <v/>
      </c>
      <c r="AA201" s="57" t="str">
        <f aca="false">IF($F201="","",IF(AND($S201&lt;&gt;"",$L201&lt;&gt;"",$S201&lt;&gt;$L201),1,0))</f>
        <v/>
      </c>
      <c r="AB201" s="57" t="str">
        <f aca="false">IF($F201="","",IF($R201="Cancelada",0,IF(OR($Q201&lt;&gt;"",$R201="Concluída"),1,0)))</f>
        <v/>
      </c>
      <c r="AC201" s="57" t="n">
        <f aca="false">IF($P201="",0,IF($P201&lt;Hoje!$L$1,1,IF(AND($P201=Hoje!$L$1,Hoje!$L$2&gt;Semana!$M$3),1,0)))</f>
        <v>0</v>
      </c>
      <c r="AD201" s="57" t="str">
        <f aca="false">IF($F201="","",IF(COUNTA($I201:$K201)=0,0,1/COUNTA($I201:$K201)))</f>
        <v/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</row>
    <row r="202" customFormat="false" ht="16.5" hidden="false" customHeight="true" outlineLevel="0" collapsed="false">
      <c r="A202" s="56" t="str">
        <f aca="false">IF($F202="","",COUNTA($F$4:$F202))</f>
        <v/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/>
      </c>
      <c r="C202" s="58"/>
      <c r="D202" s="59"/>
      <c r="E202" s="59"/>
      <c r="F202" s="59"/>
      <c r="G202" s="60"/>
      <c r="H202" s="60"/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IF($O202="","",$O202+MAX(1,IF($N202="",1,$N202))-1)</f>
        <v/>
      </c>
      <c r="Q202" s="65"/>
      <c r="R202" s="60"/>
      <c r="S202" s="66"/>
      <c r="T202" s="59"/>
      <c r="U202" s="59"/>
      <c r="V202" s="57" t="str">
        <f aca="false">IF($F202="","",IF(ISNUMBER(SEARCH("(externo)",$I202&amp;$J202&amp;$K202)),"Terceirizada","Interna"))</f>
        <v/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str">
        <f aca="false">IF($F202="","",IF(OR($Q202="",$O202=""),0,IF($Q202&lt;=$O202,1,0)))</f>
        <v/>
      </c>
      <c r="Y202" s="57" t="str">
        <f aca="false">IF($F202="","",IF(OR($Q202="",$W202=""),0,IF($Q202&lt;=$W202,1,0)))</f>
        <v/>
      </c>
      <c r="Z202" s="57" t="str">
        <f aca="false">IF(OR($Q202="",$O202=""),"",MAX(0,$Q202-$O202))</f>
        <v/>
      </c>
      <c r="AA202" s="57" t="str">
        <f aca="false">IF($F202="","",IF(AND($S202&lt;&gt;"",$L202&lt;&gt;"",$S202&lt;&gt;$L202),1,0))</f>
        <v/>
      </c>
      <c r="AB202" s="57" t="str">
        <f aca="false">IF($F202="","",IF($R202="Cancelada",0,IF(OR($Q202&lt;&gt;"",$R202="Concluída"),1,0)))</f>
        <v/>
      </c>
      <c r="AC202" s="57" t="n">
        <f aca="false">IF($P202="",0,IF($P202&lt;Hoje!$L$1,1,IF(AND($P202=Hoje!$L$1,Hoje!$L$2&gt;Semana!$M$3),1,0)))</f>
        <v>0</v>
      </c>
      <c r="AD202" s="57" t="str">
        <f aca="false">IF($F202="","",IF(COUNTA($I202:$K202)=0,0,1/COUNTA($I202:$K202)))</f>
        <v/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</row>
    <row r="203" customFormat="false" ht="16.5" hidden="false" customHeight="true" outlineLevel="0" collapsed="false">
      <c r="A203" s="56" t="str">
        <f aca="false">IF($F203="","",COUNTA($F$4:$F203))</f>
        <v/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/>
      </c>
      <c r="C203" s="58"/>
      <c r="D203" s="59"/>
      <c r="E203" s="59"/>
      <c r="F203" s="59"/>
      <c r="G203" s="60"/>
      <c r="H203" s="60"/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IF($O203="","",$O203+MAX(1,IF($N203="",1,$N203))-1)</f>
        <v/>
      </c>
      <c r="Q203" s="65"/>
      <c r="R203" s="60"/>
      <c r="S203" s="66"/>
      <c r="T203" s="59"/>
      <c r="U203" s="59"/>
      <c r="V203" s="57" t="str">
        <f aca="false">IF($F203="","",IF(ISNUMBER(SEARCH("(externo)",$I203&amp;$J203&amp;$K203)),"Terceirizada","Interna"))</f>
        <v/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str">
        <f aca="false">IF($F203="","",IF(OR($Q203="",$O203=""),0,IF($Q203&lt;=$O203,1,0)))</f>
        <v/>
      </c>
      <c r="Y203" s="57" t="str">
        <f aca="false">IF($F203="","",IF(OR($Q203="",$W203=""),0,IF($Q203&lt;=$W203,1,0)))</f>
        <v/>
      </c>
      <c r="Z203" s="57" t="str">
        <f aca="false">IF(OR($Q203="",$O203=""),"",MAX(0,$Q203-$O203))</f>
        <v/>
      </c>
      <c r="AA203" s="57" t="str">
        <f aca="false">IF($F203="","",IF(AND($S203&lt;&gt;"",$L203&lt;&gt;"",$S203&lt;&gt;$L203),1,0))</f>
        <v/>
      </c>
      <c r="AB203" s="57" t="str">
        <f aca="false">IF($F203="","",IF($R203="Cancelada",0,IF(OR($Q203&lt;&gt;"",$R203="Concluída"),1,0)))</f>
        <v/>
      </c>
      <c r="AC203" s="57" t="n">
        <f aca="false">IF($P203="",0,IF($P203&lt;Hoje!$L$1,1,IF(AND($P203=Hoje!$L$1,Hoje!$L$2&gt;Semana!$M$3),1,0)))</f>
        <v>0</v>
      </c>
      <c r="AD203" s="57" t="str">
        <f aca="false">IF($F203="","",IF(COUNTA($I203:$K203)=0,0,1/COUNTA($I203:$K203)))</f>
        <v/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</row>
    <row r="204" customFormat="false" ht="16.5" hidden="false" customHeight="true" outlineLevel="0" collapsed="false">
      <c r="A204" s="56" t="str">
        <f aca="false">IF($F204="","",COUNTA($F$4:$F204))</f>
        <v/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/>
      </c>
      <c r="C204" s="58"/>
      <c r="D204" s="59"/>
      <c r="E204" s="59"/>
      <c r="F204" s="59"/>
      <c r="G204" s="60"/>
      <c r="H204" s="60"/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IF($O204="","",$O204+MAX(1,IF($N204="",1,$N204))-1)</f>
        <v/>
      </c>
      <c r="Q204" s="65"/>
      <c r="R204" s="60"/>
      <c r="S204" s="66"/>
      <c r="T204" s="59"/>
      <c r="U204" s="59"/>
      <c r="V204" s="57" t="str">
        <f aca="false">IF($F204="","",IF(ISNUMBER(SEARCH("(externo)",$I204&amp;$J204&amp;$K204)),"Terceirizada","Interna"))</f>
        <v/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str">
        <f aca="false">IF($F204="","",IF(OR($Q204="",$O204=""),0,IF($Q204&lt;=$O204,1,0)))</f>
        <v/>
      </c>
      <c r="Y204" s="57" t="str">
        <f aca="false">IF($F204="","",IF(OR($Q204="",$W204=""),0,IF($Q204&lt;=$W204,1,0)))</f>
        <v/>
      </c>
      <c r="Z204" s="57" t="str">
        <f aca="false">IF(OR($Q204="",$O204=""),"",MAX(0,$Q204-$O204))</f>
        <v/>
      </c>
      <c r="AA204" s="57" t="str">
        <f aca="false">IF($F204="","",IF(AND($S204&lt;&gt;"",$L204&lt;&gt;"",$S204&lt;&gt;$L204),1,0))</f>
        <v/>
      </c>
      <c r="AB204" s="57" t="str">
        <f aca="false">IF($F204="","",IF($R204="Cancelada",0,IF(OR($Q204&lt;&gt;"",$R204="Concluída"),1,0)))</f>
        <v/>
      </c>
      <c r="AC204" s="57" t="n">
        <f aca="false">IF($P204="",0,IF($P204&lt;Hoje!$L$1,1,IF(AND($P204=Hoje!$L$1,Hoje!$L$2&gt;Semana!$M$3),1,0)))</f>
        <v>0</v>
      </c>
      <c r="AD204" s="57" t="str">
        <f aca="false">IF($F204="","",IF(COUNTA($I204:$K204)=0,0,1/COUNTA($I204:$K204)))</f>
        <v/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</row>
    <row r="205" customFormat="false" ht="16.5" hidden="false" customHeight="true" outlineLevel="0" collapsed="false">
      <c r="A205" s="56" t="str">
        <f aca="false">IF($F205="","",COUNTA($F$4:$F205))</f>
        <v/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/>
      </c>
      <c r="C205" s="58"/>
      <c r="D205" s="59"/>
      <c r="E205" s="59"/>
      <c r="F205" s="59"/>
      <c r="G205" s="60"/>
      <c r="H205" s="60"/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IF($O205="","",$O205+MAX(1,IF($N205="",1,$N205))-1)</f>
        <v/>
      </c>
      <c r="Q205" s="65"/>
      <c r="R205" s="60"/>
      <c r="S205" s="66"/>
      <c r="T205" s="59"/>
      <c r="U205" s="59"/>
      <c r="V205" s="57" t="str">
        <f aca="false">IF($F205="","",IF(ISNUMBER(SEARCH("(externo)",$I205&amp;$J205&amp;$K205)),"Terceirizada","Interna"))</f>
        <v/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str">
        <f aca="false">IF($F205="","",IF(OR($Q205="",$O205=""),0,IF($Q205&lt;=$O205,1,0)))</f>
        <v/>
      </c>
      <c r="Y205" s="57" t="str">
        <f aca="false">IF($F205="","",IF(OR($Q205="",$W205=""),0,IF($Q205&lt;=$W205,1,0)))</f>
        <v/>
      </c>
      <c r="Z205" s="57" t="str">
        <f aca="false">IF(OR($Q205="",$O205=""),"",MAX(0,$Q205-$O205))</f>
        <v/>
      </c>
      <c r="AA205" s="57" t="str">
        <f aca="false">IF($F205="","",IF(AND($S205&lt;&gt;"",$L205&lt;&gt;"",$S205&lt;&gt;$L205),1,0))</f>
        <v/>
      </c>
      <c r="AB205" s="57" t="str">
        <f aca="false">IF($F205="","",IF($R205="Cancelada",0,IF(OR($Q205&lt;&gt;"",$R205="Concluída"),1,0)))</f>
        <v/>
      </c>
      <c r="AC205" s="57" t="n">
        <f aca="false">IF($P205="",0,IF($P205&lt;Hoje!$L$1,1,IF(AND($P205=Hoje!$L$1,Hoje!$L$2&gt;Semana!$M$3),1,0)))</f>
        <v>0</v>
      </c>
      <c r="AD205" s="57" t="str">
        <f aca="false">IF($F205="","",IF(COUNTA($I205:$K205)=0,0,1/COUNTA($I205:$K205)))</f>
        <v/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</row>
    <row r="206" customFormat="false" ht="16.5" hidden="false" customHeight="true" outlineLevel="0" collapsed="false">
      <c r="A206" s="56" t="str">
        <f aca="false">IF($F206="","",COUNTA($F$4:$F206))</f>
        <v/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/>
      </c>
      <c r="C206" s="58"/>
      <c r="D206" s="59"/>
      <c r="E206" s="59"/>
      <c r="F206" s="59"/>
      <c r="G206" s="60"/>
      <c r="H206" s="60"/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IF($O206="","",$O206+MAX(1,IF($N206="",1,$N206))-1)</f>
        <v/>
      </c>
      <c r="Q206" s="65"/>
      <c r="R206" s="60"/>
      <c r="S206" s="66"/>
      <c r="T206" s="59"/>
      <c r="U206" s="59"/>
      <c r="V206" s="57" t="str">
        <f aca="false">IF($F206="","",IF(ISNUMBER(SEARCH("(externo)",$I206&amp;$J206&amp;$K206)),"Terceirizada","Interna"))</f>
        <v/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str">
        <f aca="false">IF($F206="","",IF(OR($Q206="",$O206=""),0,IF($Q206&lt;=$O206,1,0)))</f>
        <v/>
      </c>
      <c r="Y206" s="57" t="str">
        <f aca="false">IF($F206="","",IF(OR($Q206="",$W206=""),0,IF($Q206&lt;=$W206,1,0)))</f>
        <v/>
      </c>
      <c r="Z206" s="57" t="str">
        <f aca="false">IF(OR($Q206="",$O206=""),"",MAX(0,$Q206-$O206))</f>
        <v/>
      </c>
      <c r="AA206" s="57" t="str">
        <f aca="false">IF($F206="","",IF(AND($S206&lt;&gt;"",$L206&lt;&gt;"",$S206&lt;&gt;$L206),1,0))</f>
        <v/>
      </c>
      <c r="AB206" s="57" t="str">
        <f aca="false">IF($F206="","",IF($R206="Cancelada",0,IF(OR($Q206&lt;&gt;"",$R206="Concluída"),1,0)))</f>
        <v/>
      </c>
      <c r="AC206" s="57" t="n">
        <f aca="false">IF($P206="",0,IF($P206&lt;Hoje!$L$1,1,IF(AND($P206=Hoje!$L$1,Hoje!$L$2&gt;Semana!$M$3),1,0)))</f>
        <v>0</v>
      </c>
      <c r="AD206" s="57" t="str">
        <f aca="false">IF($F206="","",IF(COUNTA($I206:$K206)=0,0,1/COUNTA($I206:$K206)))</f>
        <v/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</row>
    <row r="207" customFormat="false" ht="16.5" hidden="false" customHeight="true" outlineLevel="0" collapsed="false">
      <c r="A207" s="56" t="str">
        <f aca="false">IF($F207="","",COUNTA($F$4:$F207))</f>
        <v/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/>
      </c>
      <c r="C207" s="58"/>
      <c r="D207" s="59"/>
      <c r="E207" s="59"/>
      <c r="F207" s="59"/>
      <c r="G207" s="60"/>
      <c r="H207" s="60"/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IF($O207="","",$O207+MAX(1,IF($N207="",1,$N207))-1)</f>
        <v/>
      </c>
      <c r="Q207" s="65"/>
      <c r="R207" s="60"/>
      <c r="S207" s="66"/>
      <c r="T207" s="59"/>
      <c r="U207" s="59"/>
      <c r="V207" s="57" t="str">
        <f aca="false">IF($F207="","",IF(ISNUMBER(SEARCH("(externo)",$I207&amp;$J207&amp;$K207)),"Terceirizada","Interna"))</f>
        <v/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str">
        <f aca="false">IF($F207="","",IF(OR($Q207="",$O207=""),0,IF($Q207&lt;=$O207,1,0)))</f>
        <v/>
      </c>
      <c r="Y207" s="57" t="str">
        <f aca="false">IF($F207="","",IF(OR($Q207="",$W207=""),0,IF($Q207&lt;=$W207,1,0)))</f>
        <v/>
      </c>
      <c r="Z207" s="57" t="str">
        <f aca="false">IF(OR($Q207="",$O207=""),"",MAX(0,$Q207-$O207))</f>
        <v/>
      </c>
      <c r="AA207" s="57" t="str">
        <f aca="false">IF($F207="","",IF(AND($S207&lt;&gt;"",$L207&lt;&gt;"",$S207&lt;&gt;$L207),1,0))</f>
        <v/>
      </c>
      <c r="AB207" s="57" t="str">
        <f aca="false">IF($F207="","",IF($R207="Cancelada",0,IF(OR($Q207&lt;&gt;"",$R207="Concluída"),1,0)))</f>
        <v/>
      </c>
      <c r="AC207" s="57" t="n">
        <f aca="false">IF($P207="",0,IF($P207&lt;Hoje!$L$1,1,IF(AND($P207=Hoje!$L$1,Hoje!$L$2&gt;Semana!$M$3),1,0)))</f>
        <v>0</v>
      </c>
      <c r="AD207" s="57" t="str">
        <f aca="false">IF($F207="","",IF(COUNTA($I207:$K207)=0,0,1/COUNTA($I207:$K207)))</f>
        <v/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</row>
    <row r="208" customFormat="false" ht="16.5" hidden="false" customHeight="true" outlineLevel="0" collapsed="false">
      <c r="A208" s="56" t="str">
        <f aca="false">IF($F208="","",COUNTA($F$4:$F208))</f>
        <v/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/>
      </c>
      <c r="C208" s="58"/>
      <c r="D208" s="59"/>
      <c r="E208" s="59"/>
      <c r="F208" s="59"/>
      <c r="G208" s="60"/>
      <c r="H208" s="60"/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IF($O208="","",$O208+MAX(1,IF($N208="",1,$N208))-1)</f>
        <v/>
      </c>
      <c r="Q208" s="65"/>
      <c r="R208" s="60"/>
      <c r="S208" s="66"/>
      <c r="T208" s="59"/>
      <c r="U208" s="59"/>
      <c r="V208" s="57" t="str">
        <f aca="false">IF($F208="","",IF(ISNUMBER(SEARCH("(externo)",$I208&amp;$J208&amp;$K208)),"Terceirizada","Interna"))</f>
        <v/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str">
        <f aca="false">IF($F208="","",IF(OR($Q208="",$O208=""),0,IF($Q208&lt;=$O208,1,0)))</f>
        <v/>
      </c>
      <c r="Y208" s="57" t="str">
        <f aca="false">IF($F208="","",IF(OR($Q208="",$W208=""),0,IF($Q208&lt;=$W208,1,0)))</f>
        <v/>
      </c>
      <c r="Z208" s="57" t="str">
        <f aca="false">IF(OR($Q208="",$O208=""),"",MAX(0,$Q208-$O208))</f>
        <v/>
      </c>
      <c r="AA208" s="57" t="str">
        <f aca="false">IF($F208="","",IF(AND($S208&lt;&gt;"",$L208&lt;&gt;"",$S208&lt;&gt;$L208),1,0))</f>
        <v/>
      </c>
      <c r="AB208" s="57" t="str">
        <f aca="false">IF($F208="","",IF($R208="Cancelada",0,IF(OR($Q208&lt;&gt;"",$R208="Concluída"),1,0)))</f>
        <v/>
      </c>
      <c r="AC208" s="57" t="n">
        <f aca="false">IF($P208="",0,IF($P208&lt;Hoje!$L$1,1,IF(AND($P208=Hoje!$L$1,Hoje!$L$2&gt;Semana!$M$3),1,0)))</f>
        <v>0</v>
      </c>
      <c r="AD208" s="57" t="str">
        <f aca="false">IF($F208="","",IF(COUNTA($I208:$K208)=0,0,1/COUNTA($I208:$K208)))</f>
        <v/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</row>
    <row r="209" customFormat="false" ht="16.5" hidden="false" customHeight="true" outlineLevel="0" collapsed="false">
      <c r="A209" s="56" t="str">
        <f aca="false">IF($F209="","",COUNTA($F$4:$F209))</f>
        <v/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/>
      </c>
      <c r="C209" s="58"/>
      <c r="D209" s="59"/>
      <c r="E209" s="59"/>
      <c r="F209" s="59"/>
      <c r="G209" s="60"/>
      <c r="H209" s="60"/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IF($O209="","",$O209+MAX(1,IF($N209="",1,$N209))-1)</f>
        <v/>
      </c>
      <c r="Q209" s="65"/>
      <c r="R209" s="60"/>
      <c r="S209" s="66"/>
      <c r="T209" s="59"/>
      <c r="U209" s="59"/>
      <c r="V209" s="57" t="str">
        <f aca="false">IF($F209="","",IF(ISNUMBER(SEARCH("(externo)",$I209&amp;$J209&amp;$K209)),"Terceirizada","Interna"))</f>
        <v/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str">
        <f aca="false">IF($F209="","",IF(OR($Q209="",$O209=""),0,IF($Q209&lt;=$O209,1,0)))</f>
        <v/>
      </c>
      <c r="Y209" s="57" t="str">
        <f aca="false">IF($F209="","",IF(OR($Q209="",$W209=""),0,IF($Q209&lt;=$W209,1,0)))</f>
        <v/>
      </c>
      <c r="Z209" s="57" t="str">
        <f aca="false">IF(OR($Q209="",$O209=""),"",MAX(0,$Q209-$O209))</f>
        <v/>
      </c>
      <c r="AA209" s="57" t="str">
        <f aca="false">IF($F209="","",IF(AND($S209&lt;&gt;"",$L209&lt;&gt;"",$S209&lt;&gt;$L209),1,0))</f>
        <v/>
      </c>
      <c r="AB209" s="57" t="str">
        <f aca="false">IF($F209="","",IF($R209="Cancelada",0,IF(OR($Q209&lt;&gt;"",$R209="Concluída"),1,0)))</f>
        <v/>
      </c>
      <c r="AC209" s="57" t="n">
        <f aca="false">IF($P209="",0,IF($P209&lt;Hoje!$L$1,1,IF(AND($P209=Hoje!$L$1,Hoje!$L$2&gt;Semana!$M$3),1,0)))</f>
        <v>0</v>
      </c>
      <c r="AD209" s="57" t="str">
        <f aca="false">IF($F209="","",IF(COUNTA($I209:$K209)=0,0,1/COUNTA($I209:$K209)))</f>
        <v/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</row>
    <row r="210" customFormat="false" ht="16.5" hidden="false" customHeight="true" outlineLevel="0" collapsed="false">
      <c r="A210" s="56" t="str">
        <f aca="false">IF($F210="","",COUNTA($F$4:$F210))</f>
        <v/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/>
      </c>
      <c r="C210" s="58"/>
      <c r="D210" s="59"/>
      <c r="E210" s="59"/>
      <c r="F210" s="59"/>
      <c r="G210" s="60"/>
      <c r="H210" s="60"/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IF($O210="","",$O210+MAX(1,IF($N210="",1,$N210))-1)</f>
        <v/>
      </c>
      <c r="Q210" s="65"/>
      <c r="R210" s="60"/>
      <c r="S210" s="66"/>
      <c r="T210" s="59"/>
      <c r="U210" s="59"/>
      <c r="V210" s="57" t="str">
        <f aca="false">IF($F210="","",IF(ISNUMBER(SEARCH("(externo)",$I210&amp;$J210&amp;$K210)),"Terceirizada","Interna"))</f>
        <v/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str">
        <f aca="false">IF($F210="","",IF(OR($Q210="",$O210=""),0,IF($Q210&lt;=$O210,1,0)))</f>
        <v/>
      </c>
      <c r="Y210" s="57" t="str">
        <f aca="false">IF($F210="","",IF(OR($Q210="",$W210=""),0,IF($Q210&lt;=$W210,1,0)))</f>
        <v/>
      </c>
      <c r="Z210" s="57" t="str">
        <f aca="false">IF(OR($Q210="",$O210=""),"",MAX(0,$Q210-$O210))</f>
        <v/>
      </c>
      <c r="AA210" s="57" t="str">
        <f aca="false">IF($F210="","",IF(AND($S210&lt;&gt;"",$L210&lt;&gt;"",$S210&lt;&gt;$L210),1,0))</f>
        <v/>
      </c>
      <c r="AB210" s="57" t="str">
        <f aca="false">IF($F210="","",IF($R210="Cancelada",0,IF(OR($Q210&lt;&gt;"",$R210="Concluída"),1,0)))</f>
        <v/>
      </c>
      <c r="AC210" s="57" t="n">
        <f aca="false">IF($P210="",0,IF($P210&lt;Hoje!$L$1,1,IF(AND($P210=Hoje!$L$1,Hoje!$L$2&gt;Semana!$M$3),1,0)))</f>
        <v>0</v>
      </c>
      <c r="AD210" s="57" t="str">
        <f aca="false">IF($F210="","",IF(COUNTA($I210:$K210)=0,0,1/COUNTA($I210:$K210)))</f>
        <v/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</row>
    <row r="211" customFormat="false" ht="16.5" hidden="false" customHeight="true" outlineLevel="0" collapsed="false">
      <c r="A211" s="56" t="str">
        <f aca="false">IF($F211="","",COUNTA($F$4:$F211))</f>
        <v/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/>
      </c>
      <c r="C211" s="58"/>
      <c r="D211" s="59"/>
      <c r="E211" s="59"/>
      <c r="F211" s="59"/>
      <c r="G211" s="60"/>
      <c r="H211" s="60"/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IF($O211="","",$O211+MAX(1,IF($N211="",1,$N211))-1)</f>
        <v/>
      </c>
      <c r="Q211" s="65"/>
      <c r="R211" s="60"/>
      <c r="S211" s="66"/>
      <c r="T211" s="59"/>
      <c r="U211" s="59"/>
      <c r="V211" s="57" t="str">
        <f aca="false">IF($F211="","",IF(ISNUMBER(SEARCH("(externo)",$I211&amp;$J211&amp;$K211)),"Terceirizada","Interna"))</f>
        <v/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str">
        <f aca="false">IF($F211="","",IF(OR($Q211="",$O211=""),0,IF($Q211&lt;=$O211,1,0)))</f>
        <v/>
      </c>
      <c r="Y211" s="57" t="str">
        <f aca="false">IF($F211="","",IF(OR($Q211="",$W211=""),0,IF($Q211&lt;=$W211,1,0)))</f>
        <v/>
      </c>
      <c r="Z211" s="57" t="str">
        <f aca="false">IF(OR($Q211="",$O211=""),"",MAX(0,$Q211-$O211))</f>
        <v/>
      </c>
      <c r="AA211" s="57" t="str">
        <f aca="false">IF($F211="","",IF(AND($S211&lt;&gt;"",$L211&lt;&gt;"",$S211&lt;&gt;$L211),1,0))</f>
        <v/>
      </c>
      <c r="AB211" s="57" t="str">
        <f aca="false">IF($F211="","",IF($R211="Cancelada",0,IF(OR($Q211&lt;&gt;"",$R211="Concluída"),1,0)))</f>
        <v/>
      </c>
      <c r="AC211" s="57" t="n">
        <f aca="false">IF($P211="",0,IF($P211&lt;Hoje!$L$1,1,IF(AND($P211=Hoje!$L$1,Hoje!$L$2&gt;Semana!$M$3),1,0)))</f>
        <v>0</v>
      </c>
      <c r="AD211" s="57" t="str">
        <f aca="false">IF($F211="","",IF(COUNTA($I211:$K211)=0,0,1/COUNTA($I211:$K211)))</f>
        <v/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</row>
    <row r="212" customFormat="false" ht="16.5" hidden="false" customHeight="true" outlineLevel="0" collapsed="false">
      <c r="A212" s="56" t="str">
        <f aca="false">IF($F212="","",COUNTA($F$4:$F212))</f>
        <v/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/>
      </c>
      <c r="C212" s="58"/>
      <c r="D212" s="59"/>
      <c r="E212" s="59"/>
      <c r="F212" s="59"/>
      <c r="G212" s="60"/>
      <c r="H212" s="60"/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IF($O212="","",$O212+MAX(1,IF($N212="",1,$N212))-1)</f>
        <v/>
      </c>
      <c r="Q212" s="65"/>
      <c r="R212" s="60"/>
      <c r="S212" s="66"/>
      <c r="T212" s="59"/>
      <c r="U212" s="59"/>
      <c r="V212" s="57" t="str">
        <f aca="false">IF($F212="","",IF(ISNUMBER(SEARCH("(externo)",$I212&amp;$J212&amp;$K212)),"Terceirizada","Interna"))</f>
        <v/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str">
        <f aca="false">IF($F212="","",IF(OR($Q212="",$O212=""),0,IF($Q212&lt;=$O212,1,0)))</f>
        <v/>
      </c>
      <c r="Y212" s="57" t="str">
        <f aca="false">IF($F212="","",IF(OR($Q212="",$W212=""),0,IF($Q212&lt;=$W212,1,0)))</f>
        <v/>
      </c>
      <c r="Z212" s="57" t="str">
        <f aca="false">IF(OR($Q212="",$O212=""),"",MAX(0,$Q212-$O212))</f>
        <v/>
      </c>
      <c r="AA212" s="57" t="str">
        <f aca="false">IF($F212="","",IF(AND($S212&lt;&gt;"",$L212&lt;&gt;"",$S212&lt;&gt;$L212),1,0))</f>
        <v/>
      </c>
      <c r="AB212" s="57" t="str">
        <f aca="false">IF($F212="","",IF($R212="Cancelada",0,IF(OR($Q212&lt;&gt;"",$R212="Concluída"),1,0)))</f>
        <v/>
      </c>
      <c r="AC212" s="57" t="n">
        <f aca="false">IF($P212="",0,IF($P212&lt;Hoje!$L$1,1,IF(AND($P212=Hoje!$L$1,Hoje!$L$2&gt;Semana!$M$3),1,0)))</f>
        <v>0</v>
      </c>
      <c r="AD212" s="57" t="str">
        <f aca="false">IF($F212="","",IF(COUNTA($I212:$K212)=0,0,1/COUNTA($I212:$K212)))</f>
        <v/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</row>
    <row r="213" customFormat="false" ht="16.5" hidden="false" customHeight="true" outlineLevel="0" collapsed="false">
      <c r="A213" s="56" t="str">
        <f aca="false">IF($F213="","",COUNTA($F$4:$F213))</f>
        <v/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/>
      </c>
      <c r="C213" s="58"/>
      <c r="D213" s="59"/>
      <c r="E213" s="59"/>
      <c r="F213" s="59"/>
      <c r="G213" s="60"/>
      <c r="H213" s="60"/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IF($O213="","",$O213+MAX(1,IF($N213="",1,$N213))-1)</f>
        <v/>
      </c>
      <c r="Q213" s="65"/>
      <c r="R213" s="60"/>
      <c r="S213" s="66"/>
      <c r="T213" s="59"/>
      <c r="U213" s="59"/>
      <c r="V213" s="57" t="str">
        <f aca="false">IF($F213="","",IF(ISNUMBER(SEARCH("(externo)",$I213&amp;$J213&amp;$K213)),"Terceirizada","Interna"))</f>
        <v/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str">
        <f aca="false">IF($F213="","",IF(OR($Q213="",$O213=""),0,IF($Q213&lt;=$O213,1,0)))</f>
        <v/>
      </c>
      <c r="Y213" s="57" t="str">
        <f aca="false">IF($F213="","",IF(OR($Q213="",$W213=""),0,IF($Q213&lt;=$W213,1,0)))</f>
        <v/>
      </c>
      <c r="Z213" s="57" t="str">
        <f aca="false">IF(OR($Q213="",$O213=""),"",MAX(0,$Q213-$O213))</f>
        <v/>
      </c>
      <c r="AA213" s="57" t="str">
        <f aca="false">IF($F213="","",IF(AND($S213&lt;&gt;"",$L213&lt;&gt;"",$S213&lt;&gt;$L213),1,0))</f>
        <v/>
      </c>
      <c r="AB213" s="57" t="str">
        <f aca="false">IF($F213="","",IF($R213="Cancelada",0,IF(OR($Q213&lt;&gt;"",$R213="Concluída"),1,0)))</f>
        <v/>
      </c>
      <c r="AC213" s="57" t="n">
        <f aca="false">IF($P213="",0,IF($P213&lt;Hoje!$L$1,1,IF(AND($P213=Hoje!$L$1,Hoje!$L$2&gt;Semana!$M$3),1,0)))</f>
        <v>0</v>
      </c>
      <c r="AD213" s="57" t="str">
        <f aca="false">IF($F213="","",IF(COUNTA($I213:$K213)=0,0,1/COUNTA($I213:$K213)))</f>
        <v/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</row>
    <row r="214" customFormat="false" ht="16.5" hidden="false" customHeight="true" outlineLevel="0" collapsed="false">
      <c r="A214" s="56" t="str">
        <f aca="false">IF($F214="","",COUNTA($F$4:$F214))</f>
        <v/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/>
      </c>
      <c r="C214" s="58"/>
      <c r="D214" s="59"/>
      <c r="E214" s="59"/>
      <c r="F214" s="59"/>
      <c r="G214" s="60"/>
      <c r="H214" s="60"/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IF($O214="","",$O214+MAX(1,IF($N214="",1,$N214))-1)</f>
        <v/>
      </c>
      <c r="Q214" s="65"/>
      <c r="R214" s="60"/>
      <c r="S214" s="66"/>
      <c r="T214" s="59"/>
      <c r="U214" s="59"/>
      <c r="V214" s="57" t="str">
        <f aca="false">IF($F214="","",IF(ISNUMBER(SEARCH("(externo)",$I214&amp;$J214&amp;$K214)),"Terceirizada","Interna"))</f>
        <v/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str">
        <f aca="false">IF($F214="","",IF(OR($Q214="",$O214=""),0,IF($Q214&lt;=$O214,1,0)))</f>
        <v/>
      </c>
      <c r="Y214" s="57" t="str">
        <f aca="false">IF($F214="","",IF(OR($Q214="",$W214=""),0,IF($Q214&lt;=$W214,1,0)))</f>
        <v/>
      </c>
      <c r="Z214" s="57" t="str">
        <f aca="false">IF(OR($Q214="",$O214=""),"",MAX(0,$Q214-$O214))</f>
        <v/>
      </c>
      <c r="AA214" s="57" t="str">
        <f aca="false">IF($F214="","",IF(AND($S214&lt;&gt;"",$L214&lt;&gt;"",$S214&lt;&gt;$L214),1,0))</f>
        <v/>
      </c>
      <c r="AB214" s="57" t="str">
        <f aca="false">IF($F214="","",IF($R214="Cancelada",0,IF(OR($Q214&lt;&gt;"",$R214="Concluída"),1,0)))</f>
        <v/>
      </c>
      <c r="AC214" s="57" t="n">
        <f aca="false">IF($P214="",0,IF($P214&lt;Hoje!$L$1,1,IF(AND($P214=Hoje!$L$1,Hoje!$L$2&gt;Semana!$M$3),1,0)))</f>
        <v>0</v>
      </c>
      <c r="AD214" s="57" t="str">
        <f aca="false">IF($F214="","",IF(COUNTA($I214:$K214)=0,0,1/COUNTA($I214:$K214)))</f>
        <v/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</row>
    <row r="215" customFormat="false" ht="16.5" hidden="false" customHeight="true" outlineLevel="0" collapsed="false">
      <c r="A215" s="56" t="str">
        <f aca="false">IF($F215="","",COUNTA($F$4:$F215))</f>
        <v/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/>
      </c>
      <c r="C215" s="58"/>
      <c r="D215" s="59"/>
      <c r="E215" s="59"/>
      <c r="F215" s="59"/>
      <c r="G215" s="60"/>
      <c r="H215" s="60"/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IF($O215="","",$O215+MAX(1,IF($N215="",1,$N215))-1)</f>
        <v/>
      </c>
      <c r="Q215" s="65"/>
      <c r="R215" s="60"/>
      <c r="S215" s="66"/>
      <c r="T215" s="59"/>
      <c r="U215" s="59"/>
      <c r="V215" s="57" t="str">
        <f aca="false">IF($F215="","",IF(ISNUMBER(SEARCH("(externo)",$I215&amp;$J215&amp;$K215)),"Terceirizada","Interna"))</f>
        <v/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str">
        <f aca="false">IF($F215="","",IF(OR($Q215="",$O215=""),0,IF($Q215&lt;=$O215,1,0)))</f>
        <v/>
      </c>
      <c r="Y215" s="57" t="str">
        <f aca="false">IF($F215="","",IF(OR($Q215="",$W215=""),0,IF($Q215&lt;=$W215,1,0)))</f>
        <v/>
      </c>
      <c r="Z215" s="57" t="str">
        <f aca="false">IF(OR($Q215="",$O215=""),"",MAX(0,$Q215-$O215))</f>
        <v/>
      </c>
      <c r="AA215" s="57" t="str">
        <f aca="false">IF($F215="","",IF(AND($S215&lt;&gt;"",$L215&lt;&gt;"",$S215&lt;&gt;$L215),1,0))</f>
        <v/>
      </c>
      <c r="AB215" s="57" t="str">
        <f aca="false">IF($F215="","",IF($R215="Cancelada",0,IF(OR($Q215&lt;&gt;"",$R215="Concluída"),1,0)))</f>
        <v/>
      </c>
      <c r="AC215" s="57" t="n">
        <f aca="false">IF($P215="",0,IF($P215&lt;Hoje!$L$1,1,IF(AND($P215=Hoje!$L$1,Hoje!$L$2&gt;Semana!$M$3),1,0)))</f>
        <v>0</v>
      </c>
      <c r="AD215" s="57" t="str">
        <f aca="false">IF($F215="","",IF(COUNTA($I215:$K215)=0,0,1/COUNTA($I215:$K215)))</f>
        <v/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</row>
    <row r="216" customFormat="false" ht="16.5" hidden="false" customHeight="true" outlineLevel="0" collapsed="false">
      <c r="A216" s="56" t="str">
        <f aca="false">IF($F216="","",COUNTA($F$4:$F216))</f>
        <v/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/>
      </c>
      <c r="C216" s="58"/>
      <c r="D216" s="59"/>
      <c r="E216" s="59"/>
      <c r="F216" s="59"/>
      <c r="G216" s="60"/>
      <c r="H216" s="60"/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IF($O216="","",$O216+MAX(1,IF($N216="",1,$N216))-1)</f>
        <v/>
      </c>
      <c r="Q216" s="65"/>
      <c r="R216" s="60"/>
      <c r="S216" s="66"/>
      <c r="T216" s="59"/>
      <c r="U216" s="59"/>
      <c r="V216" s="57" t="str">
        <f aca="false">IF($F216="","",IF(ISNUMBER(SEARCH("(externo)",$I216&amp;$J216&amp;$K216)),"Terceirizada","Interna"))</f>
        <v/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str">
        <f aca="false">IF($F216="","",IF(OR($Q216="",$O216=""),0,IF($Q216&lt;=$O216,1,0)))</f>
        <v/>
      </c>
      <c r="Y216" s="57" t="str">
        <f aca="false">IF($F216="","",IF(OR($Q216="",$W216=""),0,IF($Q216&lt;=$W216,1,0)))</f>
        <v/>
      </c>
      <c r="Z216" s="57" t="str">
        <f aca="false">IF(OR($Q216="",$O216=""),"",MAX(0,$Q216-$O216))</f>
        <v/>
      </c>
      <c r="AA216" s="57" t="str">
        <f aca="false">IF($F216="","",IF(AND($S216&lt;&gt;"",$L216&lt;&gt;"",$S216&lt;&gt;$L216),1,0))</f>
        <v/>
      </c>
      <c r="AB216" s="57" t="str">
        <f aca="false">IF($F216="","",IF($R216="Cancelada",0,IF(OR($Q216&lt;&gt;"",$R216="Concluída"),1,0)))</f>
        <v/>
      </c>
      <c r="AC216" s="57" t="n">
        <f aca="false">IF($P216="",0,IF($P216&lt;Hoje!$L$1,1,IF(AND($P216=Hoje!$L$1,Hoje!$L$2&gt;Semana!$M$3),1,0)))</f>
        <v>0</v>
      </c>
      <c r="AD216" s="57" t="str">
        <f aca="false">IF($F216="","",IF(COUNTA($I216:$K216)=0,0,1/COUNTA($I216:$K216)))</f>
        <v/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</row>
    <row r="217" customFormat="false" ht="16.5" hidden="false" customHeight="true" outlineLevel="0" collapsed="false">
      <c r="A217" s="56" t="str">
        <f aca="false">IF($F217="","",COUNTA($F$4:$F217))</f>
        <v/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/>
      </c>
      <c r="C217" s="58"/>
      <c r="D217" s="59"/>
      <c r="E217" s="59"/>
      <c r="F217" s="59"/>
      <c r="G217" s="60"/>
      <c r="H217" s="60"/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IF($O217="","",$O217+MAX(1,IF($N217="",1,$N217))-1)</f>
        <v/>
      </c>
      <c r="Q217" s="65"/>
      <c r="R217" s="60"/>
      <c r="S217" s="66"/>
      <c r="T217" s="59"/>
      <c r="U217" s="59"/>
      <c r="V217" s="57" t="str">
        <f aca="false">IF($F217="","",IF(ISNUMBER(SEARCH("(externo)",$I217&amp;$J217&amp;$K217)),"Terceirizada","Interna"))</f>
        <v/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str">
        <f aca="false">IF($F217="","",IF(OR($Q217="",$O217=""),0,IF($Q217&lt;=$O217,1,0)))</f>
        <v/>
      </c>
      <c r="Y217" s="57" t="str">
        <f aca="false">IF($F217="","",IF(OR($Q217="",$W217=""),0,IF($Q217&lt;=$W217,1,0)))</f>
        <v/>
      </c>
      <c r="Z217" s="57" t="str">
        <f aca="false">IF(OR($Q217="",$O217=""),"",MAX(0,$Q217-$O217))</f>
        <v/>
      </c>
      <c r="AA217" s="57" t="str">
        <f aca="false">IF($F217="","",IF(AND($S217&lt;&gt;"",$L217&lt;&gt;"",$S217&lt;&gt;$L217),1,0))</f>
        <v/>
      </c>
      <c r="AB217" s="57" t="str">
        <f aca="false">IF($F217="","",IF($R217="Cancelada",0,IF(OR($Q217&lt;&gt;"",$R217="Concluída"),1,0)))</f>
        <v/>
      </c>
      <c r="AC217" s="57" t="n">
        <f aca="false">IF($P217="",0,IF($P217&lt;Hoje!$L$1,1,IF(AND($P217=Hoje!$L$1,Hoje!$L$2&gt;Semana!$M$3),1,0)))</f>
        <v>0</v>
      </c>
      <c r="AD217" s="57" t="str">
        <f aca="false">IF($F217="","",IF(COUNTA($I217:$K217)=0,0,1/COUNTA($I217:$K217)))</f>
        <v/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</row>
    <row r="218" customFormat="false" ht="16.5" hidden="false" customHeight="true" outlineLevel="0" collapsed="false">
      <c r="A218" s="56" t="str">
        <f aca="false">IF($F218="","",COUNTA($F$4:$F218))</f>
        <v/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/>
      </c>
      <c r="C218" s="58"/>
      <c r="D218" s="59"/>
      <c r="E218" s="59"/>
      <c r="F218" s="59"/>
      <c r="G218" s="60"/>
      <c r="H218" s="60"/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IF($O218="","",$O218+MAX(1,IF($N218="",1,$N218))-1)</f>
        <v/>
      </c>
      <c r="Q218" s="65"/>
      <c r="R218" s="60"/>
      <c r="S218" s="66"/>
      <c r="T218" s="59"/>
      <c r="U218" s="59"/>
      <c r="V218" s="57" t="str">
        <f aca="false">IF($F218="","",IF(ISNUMBER(SEARCH("(externo)",$I218&amp;$J218&amp;$K218)),"Terceirizada","Interna"))</f>
        <v/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str">
        <f aca="false">IF($F218="","",IF(OR($Q218="",$O218=""),0,IF($Q218&lt;=$O218,1,0)))</f>
        <v/>
      </c>
      <c r="Y218" s="57" t="str">
        <f aca="false">IF($F218="","",IF(OR($Q218="",$W218=""),0,IF($Q218&lt;=$W218,1,0)))</f>
        <v/>
      </c>
      <c r="Z218" s="57" t="str">
        <f aca="false">IF(OR($Q218="",$O218=""),"",MAX(0,$Q218-$O218))</f>
        <v/>
      </c>
      <c r="AA218" s="57" t="str">
        <f aca="false">IF($F218="","",IF(AND($S218&lt;&gt;"",$L218&lt;&gt;"",$S218&lt;&gt;$L218),1,0))</f>
        <v/>
      </c>
      <c r="AB218" s="57" t="str">
        <f aca="false">IF($F218="","",IF($R218="Cancelada",0,IF(OR($Q218&lt;&gt;"",$R218="Concluída"),1,0)))</f>
        <v/>
      </c>
      <c r="AC218" s="57" t="n">
        <f aca="false">IF($P218="",0,IF($P218&lt;Hoje!$L$1,1,IF(AND($P218=Hoje!$L$1,Hoje!$L$2&gt;Semana!$M$3),1,0)))</f>
        <v>0</v>
      </c>
      <c r="AD218" s="57" t="str">
        <f aca="false">IF($F218="","",IF(COUNTA($I218:$K218)=0,0,1/COUNTA($I218:$K218)))</f>
        <v/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</row>
    <row r="219" customFormat="false" ht="16.5" hidden="false" customHeight="true" outlineLevel="0" collapsed="false">
      <c r="A219" s="56" t="str">
        <f aca="false">IF($F219="","",COUNTA($F$4:$F219))</f>
        <v/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/>
      </c>
      <c r="C219" s="58"/>
      <c r="D219" s="59"/>
      <c r="E219" s="59"/>
      <c r="F219" s="59"/>
      <c r="G219" s="60"/>
      <c r="H219" s="60"/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IF($O219="","",$O219+MAX(1,IF($N219="",1,$N219))-1)</f>
        <v/>
      </c>
      <c r="Q219" s="65"/>
      <c r="R219" s="60"/>
      <c r="S219" s="66"/>
      <c r="T219" s="59"/>
      <c r="U219" s="59"/>
      <c r="V219" s="57" t="str">
        <f aca="false">IF($F219="","",IF(ISNUMBER(SEARCH("(externo)",$I219&amp;$J219&amp;$K219)),"Terceirizada","Interna"))</f>
        <v/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str">
        <f aca="false">IF($F219="","",IF(OR($Q219="",$O219=""),0,IF($Q219&lt;=$O219,1,0)))</f>
        <v/>
      </c>
      <c r="Y219" s="57" t="str">
        <f aca="false">IF($F219="","",IF(OR($Q219="",$W219=""),0,IF($Q219&lt;=$W219,1,0)))</f>
        <v/>
      </c>
      <c r="Z219" s="57" t="str">
        <f aca="false">IF(OR($Q219="",$O219=""),"",MAX(0,$Q219-$O219))</f>
        <v/>
      </c>
      <c r="AA219" s="57" t="str">
        <f aca="false">IF($F219="","",IF(AND($S219&lt;&gt;"",$L219&lt;&gt;"",$S219&lt;&gt;$L219),1,0))</f>
        <v/>
      </c>
      <c r="AB219" s="57" t="str">
        <f aca="false">IF($F219="","",IF($R219="Cancelada",0,IF(OR($Q219&lt;&gt;"",$R219="Concluída"),1,0)))</f>
        <v/>
      </c>
      <c r="AC219" s="57" t="n">
        <f aca="false">IF($P219="",0,IF($P219&lt;Hoje!$L$1,1,IF(AND($P219=Hoje!$L$1,Hoje!$L$2&gt;Semana!$M$3),1,0)))</f>
        <v>0</v>
      </c>
      <c r="AD219" s="57" t="str">
        <f aca="false">IF($F219="","",IF(COUNTA($I219:$K219)=0,0,1/COUNTA($I219:$K219)))</f>
        <v/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</row>
    <row r="220" customFormat="false" ht="16.5" hidden="false" customHeight="true" outlineLevel="0" collapsed="false">
      <c r="A220" s="56" t="str">
        <f aca="false">IF($F220="","",COUNTA($F$4:$F220))</f>
        <v/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/>
      </c>
      <c r="C220" s="58"/>
      <c r="D220" s="59"/>
      <c r="E220" s="59"/>
      <c r="F220" s="59"/>
      <c r="G220" s="60"/>
      <c r="H220" s="60"/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IF($O220="","",$O220+MAX(1,IF($N220="",1,$N220))-1)</f>
        <v/>
      </c>
      <c r="Q220" s="65"/>
      <c r="R220" s="60"/>
      <c r="S220" s="66"/>
      <c r="T220" s="59"/>
      <c r="U220" s="59"/>
      <c r="V220" s="57" t="str">
        <f aca="false">IF($F220="","",IF(ISNUMBER(SEARCH("(externo)",$I220&amp;$J220&amp;$K220)),"Terceirizada","Interna"))</f>
        <v/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str">
        <f aca="false">IF($F220="","",IF(OR($Q220="",$O220=""),0,IF($Q220&lt;=$O220,1,0)))</f>
        <v/>
      </c>
      <c r="Y220" s="57" t="str">
        <f aca="false">IF($F220="","",IF(OR($Q220="",$W220=""),0,IF($Q220&lt;=$W220,1,0)))</f>
        <v/>
      </c>
      <c r="Z220" s="57" t="str">
        <f aca="false">IF(OR($Q220="",$O220=""),"",MAX(0,$Q220-$O220))</f>
        <v/>
      </c>
      <c r="AA220" s="57" t="str">
        <f aca="false">IF($F220="","",IF(AND($S220&lt;&gt;"",$L220&lt;&gt;"",$S220&lt;&gt;$L220),1,0))</f>
        <v/>
      </c>
      <c r="AB220" s="57" t="str">
        <f aca="false">IF($F220="","",IF($R220="Cancelada",0,IF(OR($Q220&lt;&gt;"",$R220="Concluída"),1,0)))</f>
        <v/>
      </c>
      <c r="AC220" s="57" t="n">
        <f aca="false">IF($P220="",0,IF($P220&lt;Hoje!$L$1,1,IF(AND($P220=Hoje!$L$1,Hoje!$L$2&gt;Semana!$M$3),1,0)))</f>
        <v>0</v>
      </c>
      <c r="AD220" s="57" t="str">
        <f aca="false">IF($F220="","",IF(COUNTA($I220:$K220)=0,0,1/COUNTA($I220:$K220)))</f>
        <v/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</row>
    <row r="221" customFormat="false" ht="16.5" hidden="false" customHeight="true" outlineLevel="0" collapsed="false">
      <c r="A221" s="56" t="str">
        <f aca="false">IF($F221="","",COUNTA($F$4:$F221))</f>
        <v/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/>
      </c>
      <c r="C221" s="58"/>
      <c r="D221" s="59"/>
      <c r="E221" s="59"/>
      <c r="F221" s="59"/>
      <c r="G221" s="60"/>
      <c r="H221" s="60"/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IF($O221="","",$O221+MAX(1,IF($N221="",1,$N221))-1)</f>
        <v/>
      </c>
      <c r="Q221" s="65"/>
      <c r="R221" s="60"/>
      <c r="S221" s="66"/>
      <c r="T221" s="59"/>
      <c r="U221" s="59"/>
      <c r="V221" s="57" t="str">
        <f aca="false">IF($F221="","",IF(ISNUMBER(SEARCH("(externo)",$I221&amp;$J221&amp;$K221)),"Terceirizada","Interna"))</f>
        <v/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str">
        <f aca="false">IF($F221="","",IF(OR($Q221="",$O221=""),0,IF($Q221&lt;=$O221,1,0)))</f>
        <v/>
      </c>
      <c r="Y221" s="57" t="str">
        <f aca="false">IF($F221="","",IF(OR($Q221="",$W221=""),0,IF($Q221&lt;=$W221,1,0)))</f>
        <v/>
      </c>
      <c r="Z221" s="57" t="str">
        <f aca="false">IF(OR($Q221="",$O221=""),"",MAX(0,$Q221-$O221))</f>
        <v/>
      </c>
      <c r="AA221" s="57" t="str">
        <f aca="false">IF($F221="","",IF(AND($S221&lt;&gt;"",$L221&lt;&gt;"",$S221&lt;&gt;$L221),1,0))</f>
        <v/>
      </c>
      <c r="AB221" s="57" t="str">
        <f aca="false">IF($F221="","",IF($R221="Cancelada",0,IF(OR($Q221&lt;&gt;"",$R221="Concluída"),1,0)))</f>
        <v/>
      </c>
      <c r="AC221" s="57" t="n">
        <f aca="false">IF($P221="",0,IF($P221&lt;Hoje!$L$1,1,IF(AND($P221=Hoje!$L$1,Hoje!$L$2&gt;Semana!$M$3),1,0)))</f>
        <v>0</v>
      </c>
      <c r="AD221" s="57" t="str">
        <f aca="false">IF($F221="","",IF(COUNTA($I221:$K221)=0,0,1/COUNTA($I221:$K221)))</f>
        <v/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</row>
    <row r="222" customFormat="false" ht="16.5" hidden="false" customHeight="true" outlineLevel="0" collapsed="false">
      <c r="A222" s="56" t="str">
        <f aca="false">IF($F222="","",COUNTA($F$4:$F222))</f>
        <v/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/>
      </c>
      <c r="C222" s="58"/>
      <c r="D222" s="59"/>
      <c r="E222" s="59"/>
      <c r="F222" s="59"/>
      <c r="G222" s="60"/>
      <c r="H222" s="60"/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IF($O222="","",$O222+MAX(1,IF($N222="",1,$N222))-1)</f>
        <v/>
      </c>
      <c r="Q222" s="65"/>
      <c r="R222" s="60"/>
      <c r="S222" s="66"/>
      <c r="T222" s="59"/>
      <c r="U222" s="59"/>
      <c r="V222" s="57" t="str">
        <f aca="false">IF($F222="","",IF(ISNUMBER(SEARCH("(externo)",$I222&amp;$J222&amp;$K222)),"Terceirizada","Interna"))</f>
        <v/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str">
        <f aca="false">IF($F222="","",IF(OR($Q222="",$O222=""),0,IF($Q222&lt;=$O222,1,0)))</f>
        <v/>
      </c>
      <c r="Y222" s="57" t="str">
        <f aca="false">IF($F222="","",IF(OR($Q222="",$W222=""),0,IF($Q222&lt;=$W222,1,0)))</f>
        <v/>
      </c>
      <c r="Z222" s="57" t="str">
        <f aca="false">IF(OR($Q222="",$O222=""),"",MAX(0,$Q222-$O222))</f>
        <v/>
      </c>
      <c r="AA222" s="57" t="str">
        <f aca="false">IF($F222="","",IF(AND($S222&lt;&gt;"",$L222&lt;&gt;"",$S222&lt;&gt;$L222),1,0))</f>
        <v/>
      </c>
      <c r="AB222" s="57" t="str">
        <f aca="false">IF($F222="","",IF($R222="Cancelada",0,IF(OR($Q222&lt;&gt;"",$R222="Concluída"),1,0)))</f>
        <v/>
      </c>
      <c r="AC222" s="57" t="n">
        <f aca="false">IF($P222="",0,IF($P222&lt;Hoje!$L$1,1,IF(AND($P222=Hoje!$L$1,Hoje!$L$2&gt;Semana!$M$3),1,0)))</f>
        <v>0</v>
      </c>
      <c r="AD222" s="57" t="str">
        <f aca="false">IF($F222="","",IF(COUNTA($I222:$K222)=0,0,1/COUNTA($I222:$K222)))</f>
        <v/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</row>
    <row r="223" customFormat="false" ht="16.5" hidden="false" customHeight="true" outlineLevel="0" collapsed="false">
      <c r="A223" s="56" t="str">
        <f aca="false">IF($F223="","",COUNTA($F$4:$F223))</f>
        <v/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/>
      </c>
      <c r="C223" s="58"/>
      <c r="D223" s="59"/>
      <c r="E223" s="59"/>
      <c r="F223" s="59"/>
      <c r="G223" s="60"/>
      <c r="H223" s="60"/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IF($O223="","",$O223+MAX(1,IF($N223="",1,$N223))-1)</f>
        <v/>
      </c>
      <c r="Q223" s="65"/>
      <c r="R223" s="60"/>
      <c r="S223" s="66"/>
      <c r="T223" s="59"/>
      <c r="U223" s="59"/>
      <c r="V223" s="57" t="str">
        <f aca="false">IF($F223="","",IF(ISNUMBER(SEARCH("(externo)",$I223&amp;$J223&amp;$K223)),"Terceirizada","Interna"))</f>
        <v/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str">
        <f aca="false">IF($F223="","",IF(OR($Q223="",$O223=""),0,IF($Q223&lt;=$O223,1,0)))</f>
        <v/>
      </c>
      <c r="Y223" s="57" t="str">
        <f aca="false">IF($F223="","",IF(OR($Q223="",$W223=""),0,IF($Q223&lt;=$W223,1,0)))</f>
        <v/>
      </c>
      <c r="Z223" s="57" t="str">
        <f aca="false">IF(OR($Q223="",$O223=""),"",MAX(0,$Q223-$O223))</f>
        <v/>
      </c>
      <c r="AA223" s="57" t="str">
        <f aca="false">IF($F223="","",IF(AND($S223&lt;&gt;"",$L223&lt;&gt;"",$S223&lt;&gt;$L223),1,0))</f>
        <v/>
      </c>
      <c r="AB223" s="57" t="str">
        <f aca="false">IF($F223="","",IF($R223="Cancelada",0,IF(OR($Q223&lt;&gt;"",$R223="Concluída"),1,0)))</f>
        <v/>
      </c>
      <c r="AC223" s="57" t="n">
        <f aca="false">IF($P223="",0,IF($P223&lt;Hoje!$L$1,1,IF(AND($P223=Hoje!$L$1,Hoje!$L$2&gt;Semana!$M$3),1,0)))</f>
        <v>0</v>
      </c>
      <c r="AD223" s="57" t="str">
        <f aca="false">IF($F223="","",IF(COUNTA($I223:$K223)=0,0,1/COUNTA($I223:$K223)))</f>
        <v/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</row>
    <row r="224" customFormat="false" ht="16.5" hidden="false" customHeight="true" outlineLevel="0" collapsed="false">
      <c r="A224" s="56" t="str">
        <f aca="false">IF($F224="","",COUNTA($F$4:$F224))</f>
        <v/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/>
      </c>
      <c r="C224" s="58"/>
      <c r="D224" s="59"/>
      <c r="E224" s="59"/>
      <c r="F224" s="59"/>
      <c r="G224" s="60"/>
      <c r="H224" s="60"/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IF($O224="","",$O224+MAX(1,IF($N224="",1,$N224))-1)</f>
        <v/>
      </c>
      <c r="Q224" s="65"/>
      <c r="R224" s="60"/>
      <c r="S224" s="66"/>
      <c r="T224" s="59"/>
      <c r="U224" s="59"/>
      <c r="V224" s="57" t="str">
        <f aca="false">IF($F224="","",IF(ISNUMBER(SEARCH("(externo)",$I224&amp;$J224&amp;$K224)),"Terceirizada","Interna"))</f>
        <v/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str">
        <f aca="false">IF($F224="","",IF(OR($Q224="",$O224=""),0,IF($Q224&lt;=$O224,1,0)))</f>
        <v/>
      </c>
      <c r="Y224" s="57" t="str">
        <f aca="false">IF($F224="","",IF(OR($Q224="",$W224=""),0,IF($Q224&lt;=$W224,1,0)))</f>
        <v/>
      </c>
      <c r="Z224" s="57" t="str">
        <f aca="false">IF(OR($Q224="",$O224=""),"",MAX(0,$Q224-$O224))</f>
        <v/>
      </c>
      <c r="AA224" s="57" t="str">
        <f aca="false">IF($F224="","",IF(AND($S224&lt;&gt;"",$L224&lt;&gt;"",$S224&lt;&gt;$L224),1,0))</f>
        <v/>
      </c>
      <c r="AB224" s="57" t="str">
        <f aca="false">IF($F224="","",IF($R224="Cancelada",0,IF(OR($Q224&lt;&gt;"",$R224="Concluída"),1,0)))</f>
        <v/>
      </c>
      <c r="AC224" s="57" t="n">
        <f aca="false">IF($P224="",0,IF($P224&lt;Hoje!$L$1,1,IF(AND($P224=Hoje!$L$1,Hoje!$L$2&gt;Semana!$M$3),1,0)))</f>
        <v>0</v>
      </c>
      <c r="AD224" s="57" t="str">
        <f aca="false">IF($F224="","",IF(COUNTA($I224:$K224)=0,0,1/COUNTA($I224:$K224)))</f>
        <v/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</row>
    <row r="225" customFormat="false" ht="16.5" hidden="false" customHeight="true" outlineLevel="0" collapsed="false">
      <c r="A225" s="56" t="str">
        <f aca="false">IF($F225="","",COUNTA($F$4:$F225))</f>
        <v/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/>
      </c>
      <c r="C225" s="58"/>
      <c r="D225" s="59"/>
      <c r="E225" s="59"/>
      <c r="F225" s="59"/>
      <c r="G225" s="60"/>
      <c r="H225" s="60"/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IF($O225="","",$O225+MAX(1,IF($N225="",1,$N225))-1)</f>
        <v/>
      </c>
      <c r="Q225" s="65"/>
      <c r="R225" s="60"/>
      <c r="S225" s="66"/>
      <c r="T225" s="59"/>
      <c r="U225" s="59"/>
      <c r="V225" s="57" t="str">
        <f aca="false">IF($F225="","",IF(ISNUMBER(SEARCH("(externo)",$I225&amp;$J225&amp;$K225)),"Terceirizada","Interna"))</f>
        <v/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str">
        <f aca="false">IF($F225="","",IF(OR($Q225="",$O225=""),0,IF($Q225&lt;=$O225,1,0)))</f>
        <v/>
      </c>
      <c r="Y225" s="57" t="str">
        <f aca="false">IF($F225="","",IF(OR($Q225="",$W225=""),0,IF($Q225&lt;=$W225,1,0)))</f>
        <v/>
      </c>
      <c r="Z225" s="57" t="str">
        <f aca="false">IF(OR($Q225="",$O225=""),"",MAX(0,$Q225-$O225))</f>
        <v/>
      </c>
      <c r="AA225" s="57" t="str">
        <f aca="false">IF($F225="","",IF(AND($S225&lt;&gt;"",$L225&lt;&gt;"",$S225&lt;&gt;$L225),1,0))</f>
        <v/>
      </c>
      <c r="AB225" s="57" t="str">
        <f aca="false">IF($F225="","",IF($R225="Cancelada",0,IF(OR($Q225&lt;&gt;"",$R225="Concluída"),1,0)))</f>
        <v/>
      </c>
      <c r="AC225" s="57" t="n">
        <f aca="false">IF($P225="",0,IF($P225&lt;Hoje!$L$1,1,IF(AND($P225=Hoje!$L$1,Hoje!$L$2&gt;Semana!$M$3),1,0)))</f>
        <v>0</v>
      </c>
      <c r="AD225" s="57" t="str">
        <f aca="false">IF($F225="","",IF(COUNTA($I225:$K225)=0,0,1/COUNTA($I225:$K225)))</f>
        <v/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</row>
    <row r="226" customFormat="false" ht="16.5" hidden="false" customHeight="true" outlineLevel="0" collapsed="false">
      <c r="A226" s="56" t="str">
        <f aca="false">IF($F226="","",COUNTA($F$4:$F226))</f>
        <v/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/>
      </c>
      <c r="C226" s="58"/>
      <c r="D226" s="59"/>
      <c r="E226" s="59"/>
      <c r="F226" s="59"/>
      <c r="G226" s="60"/>
      <c r="H226" s="60"/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IF($O226="","",$O226+MAX(1,IF($N226="",1,$N226))-1)</f>
        <v/>
      </c>
      <c r="Q226" s="65"/>
      <c r="R226" s="60"/>
      <c r="S226" s="66"/>
      <c r="T226" s="59"/>
      <c r="U226" s="59"/>
      <c r="V226" s="57" t="str">
        <f aca="false">IF($F226="","",IF(ISNUMBER(SEARCH("(externo)",$I226&amp;$J226&amp;$K226)),"Terceirizada","Interna"))</f>
        <v/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str">
        <f aca="false">IF($F226="","",IF(OR($Q226="",$O226=""),0,IF($Q226&lt;=$O226,1,0)))</f>
        <v/>
      </c>
      <c r="Y226" s="57" t="str">
        <f aca="false">IF($F226="","",IF(OR($Q226="",$W226=""),0,IF($Q226&lt;=$W226,1,0)))</f>
        <v/>
      </c>
      <c r="Z226" s="57" t="str">
        <f aca="false">IF(OR($Q226="",$O226=""),"",MAX(0,$Q226-$O226))</f>
        <v/>
      </c>
      <c r="AA226" s="57" t="str">
        <f aca="false">IF($F226="","",IF(AND($S226&lt;&gt;"",$L226&lt;&gt;"",$S226&lt;&gt;$L226),1,0))</f>
        <v/>
      </c>
      <c r="AB226" s="57" t="str">
        <f aca="false">IF($F226="","",IF($R226="Cancelada",0,IF(OR($Q226&lt;&gt;"",$R226="Concluída"),1,0)))</f>
        <v/>
      </c>
      <c r="AC226" s="57" t="n">
        <f aca="false">IF($P226="",0,IF($P226&lt;Hoje!$L$1,1,IF(AND($P226=Hoje!$L$1,Hoje!$L$2&gt;Semana!$M$3),1,0)))</f>
        <v>0</v>
      </c>
      <c r="AD226" s="57" t="str">
        <f aca="false">IF($F226="","",IF(COUNTA($I226:$K226)=0,0,1/COUNTA($I226:$K226)))</f>
        <v/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</row>
    <row r="227" customFormat="false" ht="16.5" hidden="false" customHeight="true" outlineLevel="0" collapsed="false">
      <c r="A227" s="56" t="str">
        <f aca="false">IF($F227="","",COUNTA($F$4:$F227))</f>
        <v/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/>
      </c>
      <c r="C227" s="58"/>
      <c r="D227" s="59"/>
      <c r="E227" s="59"/>
      <c r="F227" s="59"/>
      <c r="G227" s="60"/>
      <c r="H227" s="60"/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IF($O227="","",$O227+MAX(1,IF($N227="",1,$N227))-1)</f>
        <v/>
      </c>
      <c r="Q227" s="65"/>
      <c r="R227" s="60"/>
      <c r="S227" s="66"/>
      <c r="T227" s="59"/>
      <c r="U227" s="59"/>
      <c r="V227" s="57" t="str">
        <f aca="false">IF($F227="","",IF(ISNUMBER(SEARCH("(externo)",$I227&amp;$J227&amp;$K227)),"Terceirizada","Interna"))</f>
        <v/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str">
        <f aca="false">IF($F227="","",IF(OR($Q227="",$O227=""),0,IF($Q227&lt;=$O227,1,0)))</f>
        <v/>
      </c>
      <c r="Y227" s="57" t="str">
        <f aca="false">IF($F227="","",IF(OR($Q227="",$W227=""),0,IF($Q227&lt;=$W227,1,0)))</f>
        <v/>
      </c>
      <c r="Z227" s="57" t="str">
        <f aca="false">IF(OR($Q227="",$O227=""),"",MAX(0,$Q227-$O227))</f>
        <v/>
      </c>
      <c r="AA227" s="57" t="str">
        <f aca="false">IF($F227="","",IF(AND($S227&lt;&gt;"",$L227&lt;&gt;"",$S227&lt;&gt;$L227),1,0))</f>
        <v/>
      </c>
      <c r="AB227" s="57" t="str">
        <f aca="false">IF($F227="","",IF($R227="Cancelada",0,IF(OR($Q227&lt;&gt;"",$R227="Concluída"),1,0)))</f>
        <v/>
      </c>
      <c r="AC227" s="57" t="n">
        <f aca="false">IF($P227="",0,IF($P227&lt;Hoje!$L$1,1,IF(AND($P227=Hoje!$L$1,Hoje!$L$2&gt;Semana!$M$3),1,0)))</f>
        <v>0</v>
      </c>
      <c r="AD227" s="57" t="str">
        <f aca="false">IF($F227="","",IF(COUNTA($I227:$K227)=0,0,1/COUNTA($I227:$K227)))</f>
        <v/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</row>
    <row r="228" customFormat="false" ht="16.5" hidden="false" customHeight="true" outlineLevel="0" collapsed="false">
      <c r="A228" s="56" t="str">
        <f aca="false">IF($F228="","",COUNTA($F$4:$F228))</f>
        <v/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/>
      </c>
      <c r="C228" s="58"/>
      <c r="D228" s="59"/>
      <c r="E228" s="59"/>
      <c r="F228" s="59"/>
      <c r="G228" s="60"/>
      <c r="H228" s="60"/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IF($O228="","",$O228+MAX(1,IF($N228="",1,$N228))-1)</f>
        <v/>
      </c>
      <c r="Q228" s="65"/>
      <c r="R228" s="60"/>
      <c r="S228" s="66"/>
      <c r="T228" s="59"/>
      <c r="U228" s="59"/>
      <c r="V228" s="57" t="str">
        <f aca="false">IF($F228="","",IF(ISNUMBER(SEARCH("(externo)",$I228&amp;$J228&amp;$K228)),"Terceirizada","Interna"))</f>
        <v/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str">
        <f aca="false">IF($F228="","",IF(OR($Q228="",$O228=""),0,IF($Q228&lt;=$O228,1,0)))</f>
        <v/>
      </c>
      <c r="Y228" s="57" t="str">
        <f aca="false">IF($F228="","",IF(OR($Q228="",$W228=""),0,IF($Q228&lt;=$W228,1,0)))</f>
        <v/>
      </c>
      <c r="Z228" s="57" t="str">
        <f aca="false">IF(OR($Q228="",$O228=""),"",MAX(0,$Q228-$O228))</f>
        <v/>
      </c>
      <c r="AA228" s="57" t="str">
        <f aca="false">IF($F228="","",IF(AND($S228&lt;&gt;"",$L228&lt;&gt;"",$S228&lt;&gt;$L228),1,0))</f>
        <v/>
      </c>
      <c r="AB228" s="57" t="str">
        <f aca="false">IF($F228="","",IF($R228="Cancelada",0,IF(OR($Q228&lt;&gt;"",$R228="Concluída"),1,0)))</f>
        <v/>
      </c>
      <c r="AC228" s="57" t="n">
        <f aca="false">IF($P228="",0,IF($P228&lt;Hoje!$L$1,1,IF(AND($P228=Hoje!$L$1,Hoje!$L$2&gt;Semana!$M$3),1,0)))</f>
        <v>0</v>
      </c>
      <c r="AD228" s="57" t="str">
        <f aca="false">IF($F228="","",IF(COUNTA($I228:$K228)=0,0,1/COUNTA($I228:$K228)))</f>
        <v/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</row>
    <row r="229" customFormat="false" ht="16.5" hidden="false" customHeight="true" outlineLevel="0" collapsed="false">
      <c r="A229" s="56" t="str">
        <f aca="false">IF($F229="","",COUNTA($F$4:$F229))</f>
        <v/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/>
      </c>
      <c r="C229" s="58"/>
      <c r="D229" s="59"/>
      <c r="E229" s="59"/>
      <c r="F229" s="59"/>
      <c r="G229" s="60"/>
      <c r="H229" s="60"/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IF($O229="","",$O229+MAX(1,IF($N229="",1,$N229))-1)</f>
        <v/>
      </c>
      <c r="Q229" s="65"/>
      <c r="R229" s="60"/>
      <c r="S229" s="66"/>
      <c r="T229" s="59"/>
      <c r="U229" s="59"/>
      <c r="V229" s="57" t="str">
        <f aca="false">IF($F229="","",IF(ISNUMBER(SEARCH("(externo)",$I229&amp;$J229&amp;$K229)),"Terceirizada","Interna"))</f>
        <v/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str">
        <f aca="false">IF($F229="","",IF(OR($Q229="",$O229=""),0,IF($Q229&lt;=$O229,1,0)))</f>
        <v/>
      </c>
      <c r="Y229" s="57" t="str">
        <f aca="false">IF($F229="","",IF(OR($Q229="",$W229=""),0,IF($Q229&lt;=$W229,1,0)))</f>
        <v/>
      </c>
      <c r="Z229" s="57" t="str">
        <f aca="false">IF(OR($Q229="",$O229=""),"",MAX(0,$Q229-$O229))</f>
        <v/>
      </c>
      <c r="AA229" s="57" t="str">
        <f aca="false">IF($F229="","",IF(AND($S229&lt;&gt;"",$L229&lt;&gt;"",$S229&lt;&gt;$L229),1,0))</f>
        <v/>
      </c>
      <c r="AB229" s="57" t="str">
        <f aca="false">IF($F229="","",IF($R229="Cancelada",0,IF(OR($Q229&lt;&gt;"",$R229="Concluída"),1,0)))</f>
        <v/>
      </c>
      <c r="AC229" s="57" t="n">
        <f aca="false">IF($P229="",0,IF($P229&lt;Hoje!$L$1,1,IF(AND($P229=Hoje!$L$1,Hoje!$L$2&gt;Semana!$M$3),1,0)))</f>
        <v>0</v>
      </c>
      <c r="AD229" s="57" t="str">
        <f aca="false">IF($F229="","",IF(COUNTA($I229:$K229)=0,0,1/COUNTA($I229:$K229)))</f>
        <v/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</row>
    <row r="230" customFormat="false" ht="16.5" hidden="false" customHeight="true" outlineLevel="0" collapsed="false">
      <c r="A230" s="56" t="str">
        <f aca="false">IF($F230="","",COUNTA($F$4:$F230))</f>
        <v/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/>
      </c>
      <c r="C230" s="58"/>
      <c r="D230" s="59"/>
      <c r="E230" s="59"/>
      <c r="F230" s="59"/>
      <c r="G230" s="60"/>
      <c r="H230" s="60"/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IF($O230="","",$O230+MAX(1,IF($N230="",1,$N230))-1)</f>
        <v/>
      </c>
      <c r="Q230" s="65"/>
      <c r="R230" s="60"/>
      <c r="S230" s="66"/>
      <c r="T230" s="59"/>
      <c r="U230" s="59"/>
      <c r="V230" s="57" t="str">
        <f aca="false">IF($F230="","",IF(ISNUMBER(SEARCH("(externo)",$I230&amp;$J230&amp;$K230)),"Terceirizada","Interna"))</f>
        <v/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str">
        <f aca="false">IF($F230="","",IF(OR($Q230="",$O230=""),0,IF($Q230&lt;=$O230,1,0)))</f>
        <v/>
      </c>
      <c r="Y230" s="57" t="str">
        <f aca="false">IF($F230="","",IF(OR($Q230="",$W230=""),0,IF($Q230&lt;=$W230,1,0)))</f>
        <v/>
      </c>
      <c r="Z230" s="57" t="str">
        <f aca="false">IF(OR($Q230="",$O230=""),"",MAX(0,$Q230-$O230))</f>
        <v/>
      </c>
      <c r="AA230" s="57" t="str">
        <f aca="false">IF($F230="","",IF(AND($S230&lt;&gt;"",$L230&lt;&gt;"",$S230&lt;&gt;$L230),1,0))</f>
        <v/>
      </c>
      <c r="AB230" s="57" t="str">
        <f aca="false">IF($F230="","",IF($R230="Cancelada",0,IF(OR($Q230&lt;&gt;"",$R230="Concluída"),1,0)))</f>
        <v/>
      </c>
      <c r="AC230" s="57" t="n">
        <f aca="false">IF($P230="",0,IF($P230&lt;Hoje!$L$1,1,IF(AND($P230=Hoje!$L$1,Hoje!$L$2&gt;Semana!$M$3),1,0)))</f>
        <v>0</v>
      </c>
      <c r="AD230" s="57" t="str">
        <f aca="false">IF($F230="","",IF(COUNTA($I230:$K230)=0,0,1/COUNTA($I230:$K230)))</f>
        <v/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</row>
    <row r="231" customFormat="false" ht="16.5" hidden="false" customHeight="true" outlineLevel="0" collapsed="false">
      <c r="A231" s="56" t="str">
        <f aca="false">IF($F231="","",COUNTA($F$4:$F231))</f>
        <v/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/>
      </c>
      <c r="C231" s="58"/>
      <c r="D231" s="59"/>
      <c r="E231" s="59"/>
      <c r="F231" s="59"/>
      <c r="G231" s="60"/>
      <c r="H231" s="60"/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IF($O231="","",$O231+MAX(1,IF($N231="",1,$N231))-1)</f>
        <v/>
      </c>
      <c r="Q231" s="65"/>
      <c r="R231" s="60"/>
      <c r="S231" s="66"/>
      <c r="T231" s="59"/>
      <c r="U231" s="59"/>
      <c r="V231" s="57" t="str">
        <f aca="false">IF($F231="","",IF(ISNUMBER(SEARCH("(externo)",$I231&amp;$J231&amp;$K231)),"Terceirizada","Interna"))</f>
        <v/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str">
        <f aca="false">IF($F231="","",IF(OR($Q231="",$O231=""),0,IF($Q231&lt;=$O231,1,0)))</f>
        <v/>
      </c>
      <c r="Y231" s="57" t="str">
        <f aca="false">IF($F231="","",IF(OR($Q231="",$W231=""),0,IF($Q231&lt;=$W231,1,0)))</f>
        <v/>
      </c>
      <c r="Z231" s="57" t="str">
        <f aca="false">IF(OR($Q231="",$O231=""),"",MAX(0,$Q231-$O231))</f>
        <v/>
      </c>
      <c r="AA231" s="57" t="str">
        <f aca="false">IF($F231="","",IF(AND($S231&lt;&gt;"",$L231&lt;&gt;"",$S231&lt;&gt;$L231),1,0))</f>
        <v/>
      </c>
      <c r="AB231" s="57" t="str">
        <f aca="false">IF($F231="","",IF($R231="Cancelada",0,IF(OR($Q231&lt;&gt;"",$R231="Concluída"),1,0)))</f>
        <v/>
      </c>
      <c r="AC231" s="57" t="n">
        <f aca="false">IF($P231="",0,IF($P231&lt;Hoje!$L$1,1,IF(AND($P231=Hoje!$L$1,Hoje!$L$2&gt;Semana!$M$3),1,0)))</f>
        <v>0</v>
      </c>
      <c r="AD231" s="57" t="str">
        <f aca="false">IF($F231="","",IF(COUNTA($I231:$K231)=0,0,1/COUNTA($I231:$K231)))</f>
        <v/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</row>
    <row r="232" customFormat="false" ht="16.5" hidden="false" customHeight="true" outlineLevel="0" collapsed="false">
      <c r="A232" s="56" t="str">
        <f aca="false">IF($F232="","",COUNTA($F$4:$F232))</f>
        <v/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/>
      </c>
      <c r="C232" s="58"/>
      <c r="D232" s="59"/>
      <c r="E232" s="59"/>
      <c r="F232" s="59"/>
      <c r="G232" s="60"/>
      <c r="H232" s="60"/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IF($O232="","",$O232+MAX(1,IF($N232="",1,$N232))-1)</f>
        <v/>
      </c>
      <c r="Q232" s="65"/>
      <c r="R232" s="60"/>
      <c r="S232" s="66"/>
      <c r="T232" s="59"/>
      <c r="U232" s="59"/>
      <c r="V232" s="57" t="str">
        <f aca="false">IF($F232="","",IF(ISNUMBER(SEARCH("(externo)",$I232&amp;$J232&amp;$K232)),"Terceirizada","Interna"))</f>
        <v/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str">
        <f aca="false">IF($F232="","",IF(OR($Q232="",$O232=""),0,IF($Q232&lt;=$O232,1,0)))</f>
        <v/>
      </c>
      <c r="Y232" s="57" t="str">
        <f aca="false">IF($F232="","",IF(OR($Q232="",$W232=""),0,IF($Q232&lt;=$W232,1,0)))</f>
        <v/>
      </c>
      <c r="Z232" s="57" t="str">
        <f aca="false">IF(OR($Q232="",$O232=""),"",MAX(0,$Q232-$O232))</f>
        <v/>
      </c>
      <c r="AA232" s="57" t="str">
        <f aca="false">IF($F232="","",IF(AND($S232&lt;&gt;"",$L232&lt;&gt;"",$S232&lt;&gt;$L232),1,0))</f>
        <v/>
      </c>
      <c r="AB232" s="57" t="str">
        <f aca="false">IF($F232="","",IF($R232="Cancelada",0,IF(OR($Q232&lt;&gt;"",$R232="Concluída"),1,0)))</f>
        <v/>
      </c>
      <c r="AC232" s="57" t="n">
        <f aca="false">IF($P232="",0,IF($P232&lt;Hoje!$L$1,1,IF(AND($P232=Hoje!$L$1,Hoje!$L$2&gt;Semana!$M$3),1,0)))</f>
        <v>0</v>
      </c>
      <c r="AD232" s="57" t="str">
        <f aca="false">IF($F232="","",IF(COUNTA($I232:$K232)=0,0,1/COUNTA($I232:$K232)))</f>
        <v/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</row>
    <row r="233" customFormat="false" ht="16.5" hidden="false" customHeight="true" outlineLevel="0" collapsed="false">
      <c r="A233" s="56" t="str">
        <f aca="false">IF($F233="","",COUNTA($F$4:$F233))</f>
        <v/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/>
      </c>
      <c r="C233" s="58"/>
      <c r="D233" s="59"/>
      <c r="E233" s="59"/>
      <c r="F233" s="59"/>
      <c r="G233" s="60"/>
      <c r="H233" s="60"/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IF($O233="","",$O233+MAX(1,IF($N233="",1,$N233))-1)</f>
        <v/>
      </c>
      <c r="Q233" s="65"/>
      <c r="R233" s="60"/>
      <c r="S233" s="66"/>
      <c r="T233" s="59"/>
      <c r="U233" s="59"/>
      <c r="V233" s="57" t="str">
        <f aca="false">IF($F233="","",IF(ISNUMBER(SEARCH("(externo)",$I233&amp;$J233&amp;$K233)),"Terceirizada","Interna"))</f>
        <v/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str">
        <f aca="false">IF($F233="","",IF(OR($Q233="",$O233=""),0,IF($Q233&lt;=$O233,1,0)))</f>
        <v/>
      </c>
      <c r="Y233" s="57" t="str">
        <f aca="false">IF($F233="","",IF(OR($Q233="",$W233=""),0,IF($Q233&lt;=$W233,1,0)))</f>
        <v/>
      </c>
      <c r="Z233" s="57" t="str">
        <f aca="false">IF(OR($Q233="",$O233=""),"",MAX(0,$Q233-$O233))</f>
        <v/>
      </c>
      <c r="AA233" s="57" t="str">
        <f aca="false">IF($F233="","",IF(AND($S233&lt;&gt;"",$L233&lt;&gt;"",$S233&lt;&gt;$L233),1,0))</f>
        <v/>
      </c>
      <c r="AB233" s="57" t="str">
        <f aca="false">IF($F233="","",IF($R233="Cancelada",0,IF(OR($Q233&lt;&gt;"",$R233="Concluída"),1,0)))</f>
        <v/>
      </c>
      <c r="AC233" s="57" t="n">
        <f aca="false">IF($P233="",0,IF($P233&lt;Hoje!$L$1,1,IF(AND($P233=Hoje!$L$1,Hoje!$L$2&gt;Semana!$M$3),1,0)))</f>
        <v>0</v>
      </c>
      <c r="AD233" s="57" t="str">
        <f aca="false">IF($F233="","",IF(COUNTA($I233:$K233)=0,0,1/COUNTA($I233:$K233)))</f>
        <v/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</row>
    <row r="234" customFormat="false" ht="16.5" hidden="false" customHeight="true" outlineLevel="0" collapsed="false">
      <c r="A234" s="56" t="str">
        <f aca="false">IF($F234="","",COUNTA($F$4:$F234))</f>
        <v/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/>
      </c>
      <c r="C234" s="58"/>
      <c r="D234" s="59"/>
      <c r="E234" s="59"/>
      <c r="F234" s="59"/>
      <c r="G234" s="60"/>
      <c r="H234" s="60"/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IF($O234="","",$O234+MAX(1,IF($N234="",1,$N234))-1)</f>
        <v/>
      </c>
      <c r="Q234" s="65"/>
      <c r="R234" s="60"/>
      <c r="S234" s="66"/>
      <c r="T234" s="59"/>
      <c r="U234" s="59"/>
      <c r="V234" s="57" t="str">
        <f aca="false">IF($F234="","",IF(ISNUMBER(SEARCH("(externo)",$I234&amp;$J234&amp;$K234)),"Terceirizada","Interna"))</f>
        <v/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str">
        <f aca="false">IF($F234="","",IF(OR($Q234="",$O234=""),0,IF($Q234&lt;=$O234,1,0)))</f>
        <v/>
      </c>
      <c r="Y234" s="57" t="str">
        <f aca="false">IF($F234="","",IF(OR($Q234="",$W234=""),0,IF($Q234&lt;=$W234,1,0)))</f>
        <v/>
      </c>
      <c r="Z234" s="57" t="str">
        <f aca="false">IF(OR($Q234="",$O234=""),"",MAX(0,$Q234-$O234))</f>
        <v/>
      </c>
      <c r="AA234" s="57" t="str">
        <f aca="false">IF($F234="","",IF(AND($S234&lt;&gt;"",$L234&lt;&gt;"",$S234&lt;&gt;$L234),1,0))</f>
        <v/>
      </c>
      <c r="AB234" s="57" t="str">
        <f aca="false">IF($F234="","",IF($R234="Cancelada",0,IF(OR($Q234&lt;&gt;"",$R234="Concluída"),1,0)))</f>
        <v/>
      </c>
      <c r="AC234" s="57" t="n">
        <f aca="false">IF($P234="",0,IF($P234&lt;Hoje!$L$1,1,IF(AND($P234=Hoje!$L$1,Hoje!$L$2&gt;Semana!$M$3),1,0)))</f>
        <v>0</v>
      </c>
      <c r="AD234" s="57" t="str">
        <f aca="false">IF($F234="","",IF(COUNTA($I234:$K234)=0,0,1/COUNTA($I234:$K234)))</f>
        <v/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</row>
    <row r="235" customFormat="false" ht="16.5" hidden="false" customHeight="true" outlineLevel="0" collapsed="false">
      <c r="A235" s="56" t="str">
        <f aca="false">IF($F235="","",COUNTA($F$4:$F235))</f>
        <v/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/>
      </c>
      <c r="C235" s="58"/>
      <c r="D235" s="59"/>
      <c r="E235" s="59"/>
      <c r="F235" s="59"/>
      <c r="G235" s="60"/>
      <c r="H235" s="60"/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IF($O235="","",$O235+MAX(1,IF($N235="",1,$N235))-1)</f>
        <v/>
      </c>
      <c r="Q235" s="65"/>
      <c r="R235" s="60"/>
      <c r="S235" s="66"/>
      <c r="T235" s="59"/>
      <c r="U235" s="59"/>
      <c r="V235" s="57" t="str">
        <f aca="false">IF($F235="","",IF(ISNUMBER(SEARCH("(externo)",$I235&amp;$J235&amp;$K235)),"Terceirizada","Interna"))</f>
        <v/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str">
        <f aca="false">IF($F235="","",IF(OR($Q235="",$O235=""),0,IF($Q235&lt;=$O235,1,0)))</f>
        <v/>
      </c>
      <c r="Y235" s="57" t="str">
        <f aca="false">IF($F235="","",IF(OR($Q235="",$W235=""),0,IF($Q235&lt;=$W235,1,0)))</f>
        <v/>
      </c>
      <c r="Z235" s="57" t="str">
        <f aca="false">IF(OR($Q235="",$O235=""),"",MAX(0,$Q235-$O235))</f>
        <v/>
      </c>
      <c r="AA235" s="57" t="str">
        <f aca="false">IF($F235="","",IF(AND($S235&lt;&gt;"",$L235&lt;&gt;"",$S235&lt;&gt;$L235),1,0))</f>
        <v/>
      </c>
      <c r="AB235" s="57" t="str">
        <f aca="false">IF($F235="","",IF($R235="Cancelada",0,IF(OR($Q235&lt;&gt;"",$R235="Concluída"),1,0)))</f>
        <v/>
      </c>
      <c r="AC235" s="57" t="n">
        <f aca="false">IF($P235="",0,IF($P235&lt;Hoje!$L$1,1,IF(AND($P235=Hoje!$L$1,Hoje!$L$2&gt;Semana!$M$3),1,0)))</f>
        <v>0</v>
      </c>
      <c r="AD235" s="57" t="str">
        <f aca="false">IF($F235="","",IF(COUNTA($I235:$K235)=0,0,1/COUNTA($I235:$K235)))</f>
        <v/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</row>
    <row r="236" customFormat="false" ht="16.5" hidden="false" customHeight="true" outlineLevel="0" collapsed="false">
      <c r="A236" s="56" t="str">
        <f aca="false">IF($F236="","",COUNTA($F$4:$F236))</f>
        <v/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/>
      </c>
      <c r="C236" s="58"/>
      <c r="D236" s="59"/>
      <c r="E236" s="59"/>
      <c r="F236" s="59"/>
      <c r="G236" s="60"/>
      <c r="H236" s="60"/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IF($O236="","",$O236+MAX(1,IF($N236="",1,$N236))-1)</f>
        <v/>
      </c>
      <c r="Q236" s="65"/>
      <c r="R236" s="60"/>
      <c r="S236" s="66"/>
      <c r="T236" s="59"/>
      <c r="U236" s="59"/>
      <c r="V236" s="57" t="str">
        <f aca="false">IF($F236="","",IF(ISNUMBER(SEARCH("(externo)",$I236&amp;$J236&amp;$K236)),"Terceirizada","Interna"))</f>
        <v/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str">
        <f aca="false">IF($F236="","",IF(OR($Q236="",$O236=""),0,IF($Q236&lt;=$O236,1,0)))</f>
        <v/>
      </c>
      <c r="Y236" s="57" t="str">
        <f aca="false">IF($F236="","",IF(OR($Q236="",$W236=""),0,IF($Q236&lt;=$W236,1,0)))</f>
        <v/>
      </c>
      <c r="Z236" s="57" t="str">
        <f aca="false">IF(OR($Q236="",$O236=""),"",MAX(0,$Q236-$O236))</f>
        <v/>
      </c>
      <c r="AA236" s="57" t="str">
        <f aca="false">IF($F236="","",IF(AND($S236&lt;&gt;"",$L236&lt;&gt;"",$S236&lt;&gt;$L236),1,0))</f>
        <v/>
      </c>
      <c r="AB236" s="57" t="str">
        <f aca="false">IF($F236="","",IF($R236="Cancelada",0,IF(OR($Q236&lt;&gt;"",$R236="Concluída"),1,0)))</f>
        <v/>
      </c>
      <c r="AC236" s="57" t="n">
        <f aca="false">IF($P236="",0,IF($P236&lt;Hoje!$L$1,1,IF(AND($P236=Hoje!$L$1,Hoje!$L$2&gt;Semana!$M$3),1,0)))</f>
        <v>0</v>
      </c>
      <c r="AD236" s="57" t="str">
        <f aca="false">IF($F236="","",IF(COUNTA($I236:$K236)=0,0,1/COUNTA($I236:$K236)))</f>
        <v/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</row>
    <row r="237" customFormat="false" ht="16.5" hidden="false" customHeight="true" outlineLevel="0" collapsed="false">
      <c r="A237" s="56" t="str">
        <f aca="false">IF($F237="","",COUNTA($F$4:$F237))</f>
        <v/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/>
      </c>
      <c r="C237" s="58"/>
      <c r="D237" s="59"/>
      <c r="E237" s="59"/>
      <c r="F237" s="59"/>
      <c r="G237" s="60"/>
      <c r="H237" s="60"/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IF($O237="","",$O237+MAX(1,IF($N237="",1,$N237))-1)</f>
        <v/>
      </c>
      <c r="Q237" s="65"/>
      <c r="R237" s="60"/>
      <c r="S237" s="66"/>
      <c r="T237" s="59"/>
      <c r="U237" s="59"/>
      <c r="V237" s="57" t="str">
        <f aca="false">IF($F237="","",IF(ISNUMBER(SEARCH("(externo)",$I237&amp;$J237&amp;$K237)),"Terceirizada","Interna"))</f>
        <v/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str">
        <f aca="false">IF($F237="","",IF(OR($Q237="",$O237=""),0,IF($Q237&lt;=$O237,1,0)))</f>
        <v/>
      </c>
      <c r="Y237" s="57" t="str">
        <f aca="false">IF($F237="","",IF(OR($Q237="",$W237=""),0,IF($Q237&lt;=$W237,1,0)))</f>
        <v/>
      </c>
      <c r="Z237" s="57" t="str">
        <f aca="false">IF(OR($Q237="",$O237=""),"",MAX(0,$Q237-$O237))</f>
        <v/>
      </c>
      <c r="AA237" s="57" t="str">
        <f aca="false">IF($F237="","",IF(AND($S237&lt;&gt;"",$L237&lt;&gt;"",$S237&lt;&gt;$L237),1,0))</f>
        <v/>
      </c>
      <c r="AB237" s="57" t="str">
        <f aca="false">IF($F237="","",IF($R237="Cancelada",0,IF(OR($Q237&lt;&gt;"",$R237="Concluída"),1,0)))</f>
        <v/>
      </c>
      <c r="AC237" s="57" t="n">
        <f aca="false">IF($P237="",0,IF($P237&lt;Hoje!$L$1,1,IF(AND($P237=Hoje!$L$1,Hoje!$L$2&gt;Semana!$M$3),1,0)))</f>
        <v>0</v>
      </c>
      <c r="AD237" s="57" t="str">
        <f aca="false">IF($F237="","",IF(COUNTA($I237:$K237)=0,0,1/COUNTA($I237:$K237)))</f>
        <v/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</row>
    <row r="238" customFormat="false" ht="16.5" hidden="false" customHeight="true" outlineLevel="0" collapsed="false">
      <c r="A238" s="56" t="str">
        <f aca="false">IF($F238="","",COUNTA($F$4:$F238))</f>
        <v/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/>
      </c>
      <c r="C238" s="58"/>
      <c r="D238" s="59"/>
      <c r="E238" s="59"/>
      <c r="F238" s="59"/>
      <c r="G238" s="60"/>
      <c r="H238" s="60"/>
      <c r="I238" s="61"/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IF($O238="","",$O238+MAX(1,IF($N238="",1,$N238))-1)</f>
        <v/>
      </c>
      <c r="Q238" s="65"/>
      <c r="R238" s="60"/>
      <c r="S238" s="66"/>
      <c r="T238" s="59"/>
      <c r="U238" s="59"/>
      <c r="V238" s="57" t="str">
        <f aca="false">IF($F238="","",IF(ISNUMBER(SEARCH("(externo)",$I238&amp;$J238&amp;$K238)),"Terceirizada","Interna"))</f>
        <v/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str">
        <f aca="false">IF($F238="","",IF(OR($Q238="",$O238=""),0,IF($Q238&lt;=$O238,1,0)))</f>
        <v/>
      </c>
      <c r="Y238" s="57" t="str">
        <f aca="false">IF($F238="","",IF(OR($Q238="",$W238=""),0,IF($Q238&lt;=$W238,1,0)))</f>
        <v/>
      </c>
      <c r="Z238" s="57" t="str">
        <f aca="false">IF(OR($Q238="",$O238=""),"",MAX(0,$Q238-$O238))</f>
        <v/>
      </c>
      <c r="AA238" s="57" t="str">
        <f aca="false">IF($F238="","",IF(AND($S238&lt;&gt;"",$L238&lt;&gt;"",$S238&lt;&gt;$L238),1,0))</f>
        <v/>
      </c>
      <c r="AB238" s="57" t="str">
        <f aca="false">IF($F238="","",IF($R238="Cancelada",0,IF(OR($Q238&lt;&gt;"",$R238="Concluída"),1,0)))</f>
        <v/>
      </c>
      <c r="AC238" s="57" t="n">
        <f aca="false">IF($P238="",0,IF($P238&lt;Hoje!$L$1,1,IF(AND($P238=Hoje!$L$1,Hoje!$L$2&gt;Semana!$M$3),1,0)))</f>
        <v>0</v>
      </c>
      <c r="AD238" s="57" t="str">
        <f aca="false">IF($F238="","",IF(COUNTA($I238:$K238)=0,0,1/COUNTA($I238:$K238)))</f>
        <v/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/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</row>
    <row r="239" customFormat="false" ht="16.5" hidden="false" customHeight="true" outlineLevel="0" collapsed="false">
      <c r="A239" s="56" t="str">
        <f aca="false">IF($F239="","",COUNTA($F$4:$F239))</f>
        <v/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/>
      </c>
      <c r="C239" s="58"/>
      <c r="D239" s="59"/>
      <c r="E239" s="59"/>
      <c r="F239" s="59"/>
      <c r="G239" s="60"/>
      <c r="H239" s="60"/>
      <c r="I239" s="61"/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IF($O239="","",$O239+MAX(1,IF($N239="",1,$N239))-1)</f>
        <v/>
      </c>
      <c r="Q239" s="65"/>
      <c r="R239" s="60"/>
      <c r="S239" s="66"/>
      <c r="T239" s="59"/>
      <c r="U239" s="59"/>
      <c r="V239" s="57" t="str">
        <f aca="false">IF($F239="","",IF(ISNUMBER(SEARCH("(externo)",$I239&amp;$J239&amp;$K239)),"Terceirizada","Interna"))</f>
        <v/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str">
        <f aca="false">IF($F239="","",IF(OR($Q239="",$O239=""),0,IF($Q239&lt;=$O239,1,0)))</f>
        <v/>
      </c>
      <c r="Y239" s="57" t="str">
        <f aca="false">IF($F239="","",IF(OR($Q239="",$W239=""),0,IF($Q239&lt;=$W239,1,0)))</f>
        <v/>
      </c>
      <c r="Z239" s="57" t="str">
        <f aca="false">IF(OR($Q239="",$O239=""),"",MAX(0,$Q239-$O239))</f>
        <v/>
      </c>
      <c r="AA239" s="57" t="str">
        <f aca="false">IF($F239="","",IF(AND($S239&lt;&gt;"",$L239&lt;&gt;"",$S239&lt;&gt;$L239),1,0))</f>
        <v/>
      </c>
      <c r="AB239" s="57" t="str">
        <f aca="false">IF($F239="","",IF($R239="Cancelada",0,IF(OR($Q239&lt;&gt;"",$R239="Concluída"),1,0)))</f>
        <v/>
      </c>
      <c r="AC239" s="57" t="n">
        <f aca="false">IF($P239="",0,IF($P239&lt;Hoje!$L$1,1,IF(AND($P239=Hoje!$L$1,Hoje!$L$2&gt;Semana!$M$3),1,0)))</f>
        <v>0</v>
      </c>
      <c r="AD239" s="57" t="str">
        <f aca="false">IF($F239="","",IF(COUNTA($I239:$K239)=0,0,1/COUNTA($I239:$K239)))</f>
        <v/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/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</row>
    <row r="240" customFormat="false" ht="16.5" hidden="false" customHeight="true" outlineLevel="0" collapsed="false">
      <c r="A240" s="56" t="str">
        <f aca="false">IF($F240="","",COUNTA($F$4:$F240))</f>
        <v/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/>
      </c>
      <c r="C240" s="58"/>
      <c r="D240" s="59"/>
      <c r="E240" s="59"/>
      <c r="F240" s="59"/>
      <c r="G240" s="60"/>
      <c r="H240" s="60"/>
      <c r="I240" s="61"/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IF($O240="","",$O240+MAX(1,IF($N240="",1,$N240))-1)</f>
        <v/>
      </c>
      <c r="Q240" s="65"/>
      <c r="R240" s="60"/>
      <c r="S240" s="66"/>
      <c r="T240" s="59"/>
      <c r="U240" s="59"/>
      <c r="V240" s="57" t="str">
        <f aca="false">IF($F240="","",IF(ISNUMBER(SEARCH("(externo)",$I240&amp;$J240&amp;$K240)),"Terceirizada","Interna"))</f>
        <v/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str">
        <f aca="false">IF($F240="","",IF(OR($Q240="",$O240=""),0,IF($Q240&lt;=$O240,1,0)))</f>
        <v/>
      </c>
      <c r="Y240" s="57" t="str">
        <f aca="false">IF($F240="","",IF(OR($Q240="",$W240=""),0,IF($Q240&lt;=$W240,1,0)))</f>
        <v/>
      </c>
      <c r="Z240" s="57" t="str">
        <f aca="false">IF(OR($Q240="",$O240=""),"",MAX(0,$Q240-$O240))</f>
        <v/>
      </c>
      <c r="AA240" s="57" t="str">
        <f aca="false">IF($F240="","",IF(AND($S240&lt;&gt;"",$L240&lt;&gt;"",$S240&lt;&gt;$L240),1,0))</f>
        <v/>
      </c>
      <c r="AB240" s="57" t="str">
        <f aca="false">IF($F240="","",IF($R240="Cancelada",0,IF(OR($Q240&lt;&gt;"",$R240="Concluída"),1,0)))</f>
        <v/>
      </c>
      <c r="AC240" s="57" t="n">
        <f aca="false">IF($P240="",0,IF($P240&lt;Hoje!$L$1,1,IF(AND($P240=Hoje!$L$1,Hoje!$L$2&gt;Semana!$M$3),1,0)))</f>
        <v>0</v>
      </c>
      <c r="AD240" s="57" t="str">
        <f aca="false">IF($F240="","",IF(COUNTA($I240:$K240)=0,0,1/COUNTA($I240:$K240)))</f>
        <v/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/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</row>
    <row r="241" customFormat="false" ht="16.5" hidden="false" customHeight="true" outlineLevel="0" collapsed="false">
      <c r="A241" s="56" t="str">
        <f aca="false">IF($F241="","",COUNTA($F$4:$F241))</f>
        <v/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/>
      </c>
      <c r="C241" s="58"/>
      <c r="D241" s="59"/>
      <c r="E241" s="59"/>
      <c r="F241" s="59"/>
      <c r="G241" s="60"/>
      <c r="H241" s="60"/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IF($O241="","",$O241+MAX(1,IF($N241="",1,$N241))-1)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/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str">
        <f aca="false">IF($F241="","",IF(OR($Q241="",$O241=""),0,IF($Q241&lt;=$O241,1,0)))</f>
        <v/>
      </c>
      <c r="Y241" s="57" t="str">
        <f aca="false">IF($F241="","",IF(OR($Q241="",$W241=""),0,IF($Q241&lt;=$W241,1,0)))</f>
        <v/>
      </c>
      <c r="Z241" s="57" t="str">
        <f aca="false">IF(OR($Q241="",$O241=""),"",MAX(0,$Q241-$O241))</f>
        <v/>
      </c>
      <c r="AA241" s="57" t="str">
        <f aca="false">IF($F241="","",IF(AND($S241&lt;&gt;"",$L241&lt;&gt;"",$S241&lt;&gt;$L241),1,0))</f>
        <v/>
      </c>
      <c r="AB241" s="57" t="str">
        <f aca="false">IF($F241="","",IF($R241="Cancelada",0,IF(OR($Q241&lt;&gt;"",$R241="Concluída"),1,0)))</f>
        <v/>
      </c>
      <c r="AC241" s="57" t="n">
        <f aca="false">IF($P241="",0,IF($P241&lt;Hoje!$L$1,1,IF(AND($P241=Hoje!$L$1,Hoje!$L$2&gt;Semana!$M$3),1,0)))</f>
        <v>0</v>
      </c>
      <c r="AD241" s="57" t="str">
        <f aca="false">IF($F241="","",IF(COUNTA($I241:$K241)=0,0,1/COUNTA($I241:$K241)))</f>
        <v/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</row>
    <row r="242" customFormat="false" ht="16.5" hidden="false" customHeight="true" outlineLevel="0" collapsed="false">
      <c r="A242" s="56" t="str">
        <f aca="false">IF($F242="","",COUNTA($F$4:$F242))</f>
        <v/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/>
      </c>
      <c r="C242" s="58"/>
      <c r="D242" s="59"/>
      <c r="E242" s="59"/>
      <c r="F242" s="59"/>
      <c r="G242" s="60"/>
      <c r="H242" s="60"/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IF($O242="","",$O242+MAX(1,IF($N242="",1,$N242))-1)</f>
        <v/>
      </c>
      <c r="Q242" s="65"/>
      <c r="R242" s="60"/>
      <c r="S242" s="66"/>
      <c r="T242" s="59"/>
      <c r="U242" s="59"/>
      <c r="V242" s="57" t="str">
        <f aca="false">IF($F242="","",IF(ISNUMBER(SEARCH("(externo)",$I242&amp;$J242&amp;$K242)),"Terceirizada","Interna"))</f>
        <v/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str">
        <f aca="false">IF($F242="","",IF(OR($Q242="",$O242=""),0,IF($Q242&lt;=$O242,1,0)))</f>
        <v/>
      </c>
      <c r="Y242" s="57" t="str">
        <f aca="false">IF($F242="","",IF(OR($Q242="",$W242=""),0,IF($Q242&lt;=$W242,1,0)))</f>
        <v/>
      </c>
      <c r="Z242" s="57" t="str">
        <f aca="false">IF(OR($Q242="",$O242=""),"",MAX(0,$Q242-$O242))</f>
        <v/>
      </c>
      <c r="AA242" s="57" t="str">
        <f aca="false">IF($F242="","",IF(AND($S242&lt;&gt;"",$L242&lt;&gt;"",$S242&lt;&gt;$L242),1,0))</f>
        <v/>
      </c>
      <c r="AB242" s="57" t="str">
        <f aca="false">IF($F242="","",IF($R242="Cancelada",0,IF(OR($Q242&lt;&gt;"",$R242="Concluída"),1,0)))</f>
        <v/>
      </c>
      <c r="AC242" s="57" t="n">
        <f aca="false">IF($P242="",0,IF($P242&lt;Hoje!$L$1,1,IF(AND($P242=Hoje!$L$1,Hoje!$L$2&gt;Semana!$M$3),1,0)))</f>
        <v>0</v>
      </c>
      <c r="AD242" s="57" t="str">
        <f aca="false">IF($F242="","",IF(COUNTA($I242:$K242)=0,0,1/COUNTA($I242:$K242)))</f>
        <v/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</row>
    <row r="243" customFormat="false" ht="16.5" hidden="false" customHeight="true" outlineLevel="0" collapsed="false">
      <c r="A243" s="56" t="str">
        <f aca="false">IF($F243="","",COUNTA($F$4:$F243))</f>
        <v/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/>
      </c>
      <c r="C243" s="58"/>
      <c r="D243" s="59"/>
      <c r="E243" s="59"/>
      <c r="F243" s="59"/>
      <c r="G243" s="60"/>
      <c r="H243" s="60"/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IF($O243="","",$O243+MAX(1,IF($N243="",1,$N243))-1)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/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str">
        <f aca="false">IF($F243="","",IF(OR($Q243="",$O243=""),0,IF($Q243&lt;=$O243,1,0)))</f>
        <v/>
      </c>
      <c r="Y243" s="57" t="str">
        <f aca="false">IF($F243="","",IF(OR($Q243="",$W243=""),0,IF($Q243&lt;=$W243,1,0)))</f>
        <v/>
      </c>
      <c r="Z243" s="57" t="str">
        <f aca="false">IF(OR($Q243="",$O243=""),"",MAX(0,$Q243-$O243))</f>
        <v/>
      </c>
      <c r="AA243" s="57" t="str">
        <f aca="false">IF($F243="","",IF(AND($S243&lt;&gt;"",$L243&lt;&gt;"",$S243&lt;&gt;$L243),1,0))</f>
        <v/>
      </c>
      <c r="AB243" s="57" t="str">
        <f aca="false">IF($F243="","",IF($R243="Cancelada",0,IF(OR($Q243&lt;&gt;"",$R243="Concluída"),1,0)))</f>
        <v/>
      </c>
      <c r="AC243" s="57" t="n">
        <f aca="false">IF($P243="",0,IF($P243&lt;Hoje!$L$1,1,IF(AND($P243=Hoje!$L$1,Hoje!$L$2&gt;Semana!$M$3),1,0)))</f>
        <v>0</v>
      </c>
      <c r="AD243" s="57" t="str">
        <f aca="false">IF($F243="","",IF(COUNTA($I243:$K243)=0,0,1/COUNTA($I243:$K243)))</f>
        <v/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</row>
    <row r="244" customFormat="false" ht="16.5" hidden="false" customHeight="true" outlineLevel="0" collapsed="false">
      <c r="A244" s="56" t="str">
        <f aca="false">IF($F244="","",COUNTA($F$4:$F244))</f>
        <v/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/>
      </c>
      <c r="C244" s="58"/>
      <c r="D244" s="59"/>
      <c r="E244" s="59"/>
      <c r="F244" s="59"/>
      <c r="G244" s="60"/>
      <c r="H244" s="60"/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IF($O244="","",$O244+MAX(1,IF($N244="",1,$N244))-1)</f>
        <v/>
      </c>
      <c r="Q244" s="65"/>
      <c r="R244" s="60"/>
      <c r="S244" s="66"/>
      <c r="T244" s="59"/>
      <c r="U244" s="59"/>
      <c r="V244" s="57" t="str">
        <f aca="false">IF($F244="","",IF(ISNUMBER(SEARCH("(externo)",$I244&amp;$J244&amp;$K244)),"Terceirizada","Interna"))</f>
        <v/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str">
        <f aca="false">IF($F244="","",IF(OR($Q244="",$O244=""),0,IF($Q244&lt;=$O244,1,0)))</f>
        <v/>
      </c>
      <c r="Y244" s="57" t="str">
        <f aca="false">IF($F244="","",IF(OR($Q244="",$W244=""),0,IF($Q244&lt;=$W244,1,0)))</f>
        <v/>
      </c>
      <c r="Z244" s="57" t="str">
        <f aca="false">IF(OR($Q244="",$O244=""),"",MAX(0,$Q244-$O244))</f>
        <v/>
      </c>
      <c r="AA244" s="57" t="str">
        <f aca="false">IF($F244="","",IF(AND($S244&lt;&gt;"",$L244&lt;&gt;"",$S244&lt;&gt;$L244),1,0))</f>
        <v/>
      </c>
      <c r="AB244" s="57" t="str">
        <f aca="false">IF($F244="","",IF($R244="Cancelada",0,IF(OR($Q244&lt;&gt;"",$R244="Concluída"),1,0)))</f>
        <v/>
      </c>
      <c r="AC244" s="57" t="n">
        <f aca="false">IF($P244="",0,IF($P244&lt;Hoje!$L$1,1,IF(AND($P244=Hoje!$L$1,Hoje!$L$2&gt;Semana!$M$3),1,0)))</f>
        <v>0</v>
      </c>
      <c r="AD244" s="57" t="str">
        <f aca="false">IF($F244="","",IF(COUNTA($I244:$K244)=0,0,1/COUNTA($I244:$K244)))</f>
        <v/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</row>
    <row r="245" customFormat="false" ht="16.5" hidden="false" customHeight="true" outlineLevel="0" collapsed="false">
      <c r="A245" s="56" t="str">
        <f aca="false">IF($F245="","",COUNTA($F$4:$F245))</f>
        <v/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/>
      </c>
      <c r="C245" s="58"/>
      <c r="D245" s="59"/>
      <c r="E245" s="59"/>
      <c r="F245" s="59"/>
      <c r="G245" s="60"/>
      <c r="H245" s="60"/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IF($O245="","",$O245+MAX(1,IF($N245="",1,$N245))-1)</f>
        <v/>
      </c>
      <c r="Q245" s="65"/>
      <c r="R245" s="60"/>
      <c r="S245" s="66"/>
      <c r="T245" s="59"/>
      <c r="U245" s="59"/>
      <c r="V245" s="57" t="str">
        <f aca="false">IF($F245="","",IF(ISNUMBER(SEARCH("(externo)",$I245&amp;$J245&amp;$K245)),"Terceirizada","Interna"))</f>
        <v/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str">
        <f aca="false">IF($F245="","",IF(OR($Q245="",$O245=""),0,IF($Q245&lt;=$O245,1,0)))</f>
        <v/>
      </c>
      <c r="Y245" s="57" t="str">
        <f aca="false">IF($F245="","",IF(OR($Q245="",$W245=""),0,IF($Q245&lt;=$W245,1,0)))</f>
        <v/>
      </c>
      <c r="Z245" s="57" t="str">
        <f aca="false">IF(OR($Q245="",$O245=""),"",MAX(0,$Q245-$O245))</f>
        <v/>
      </c>
      <c r="AA245" s="57" t="str">
        <f aca="false">IF($F245="","",IF(AND($S245&lt;&gt;"",$L245&lt;&gt;"",$S245&lt;&gt;$L245),1,0))</f>
        <v/>
      </c>
      <c r="AB245" s="57" t="str">
        <f aca="false">IF($F245="","",IF($R245="Cancelada",0,IF(OR($Q245&lt;&gt;"",$R245="Concluída"),1,0)))</f>
        <v/>
      </c>
      <c r="AC245" s="57" t="n">
        <f aca="false">IF($P245="",0,IF($P245&lt;Hoje!$L$1,1,IF(AND($P245=Hoje!$L$1,Hoje!$L$2&gt;Semana!$M$3),1,0)))</f>
        <v>0</v>
      </c>
      <c r="AD245" s="57" t="str">
        <f aca="false">IF($F245="","",IF(COUNTA($I245:$K245)=0,0,1/COUNTA($I245:$K245)))</f>
        <v/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</row>
    <row r="246" customFormat="false" ht="16.5" hidden="false" customHeight="true" outlineLevel="0" collapsed="false">
      <c r="A246" s="56" t="str">
        <f aca="false">IF($F246="","",COUNTA($F$4:$F246))</f>
        <v/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/>
      </c>
      <c r="C246" s="58"/>
      <c r="D246" s="59"/>
      <c r="E246" s="59"/>
      <c r="F246" s="59"/>
      <c r="G246" s="60"/>
      <c r="H246" s="60"/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IF($O246="","",$O246+MAX(1,IF($N246="",1,$N246))-1)</f>
        <v/>
      </c>
      <c r="Q246" s="65"/>
      <c r="R246" s="60"/>
      <c r="S246" s="66"/>
      <c r="T246" s="59"/>
      <c r="U246" s="59"/>
      <c r="V246" s="57" t="str">
        <f aca="false">IF($F246="","",IF(ISNUMBER(SEARCH("(externo)",$I246&amp;$J246&amp;$K246)),"Terceirizada","Interna"))</f>
        <v/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str">
        <f aca="false">IF($F246="","",IF(OR($Q246="",$O246=""),0,IF($Q246&lt;=$O246,1,0)))</f>
        <v/>
      </c>
      <c r="Y246" s="57" t="str">
        <f aca="false">IF($F246="","",IF(OR($Q246="",$W246=""),0,IF($Q246&lt;=$W246,1,0)))</f>
        <v/>
      </c>
      <c r="Z246" s="57" t="str">
        <f aca="false">IF(OR($Q246="",$O246=""),"",MAX(0,$Q246-$O246))</f>
        <v/>
      </c>
      <c r="AA246" s="57" t="str">
        <f aca="false">IF($F246="","",IF(AND($S246&lt;&gt;"",$L246&lt;&gt;"",$S246&lt;&gt;$L246),1,0))</f>
        <v/>
      </c>
      <c r="AB246" s="57" t="str">
        <f aca="false">IF($F246="","",IF($R246="Cancelada",0,IF(OR($Q246&lt;&gt;"",$R246="Concluída"),1,0)))</f>
        <v/>
      </c>
      <c r="AC246" s="57" t="n">
        <f aca="false">IF($P246="",0,IF($P246&lt;Hoje!$L$1,1,IF(AND($P246=Hoje!$L$1,Hoje!$L$2&gt;Semana!$M$3),1,0)))</f>
        <v>0</v>
      </c>
      <c r="AD246" s="57" t="str">
        <f aca="false">IF($F246="","",IF(COUNTA($I246:$K246)=0,0,1/COUNTA($I246:$K246)))</f>
        <v/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</row>
    <row r="247" customFormat="false" ht="16.5" hidden="false" customHeight="true" outlineLevel="0" collapsed="false">
      <c r="A247" s="56" t="str">
        <f aca="false">IF($F247="","",COUNTA($F$4:$F247))</f>
        <v/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/>
      </c>
      <c r="C247" s="58"/>
      <c r="D247" s="59"/>
      <c r="E247" s="59"/>
      <c r="F247" s="59"/>
      <c r="G247" s="60"/>
      <c r="H247" s="60"/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IF($O247="","",$O247+MAX(1,IF($N247="",1,$N247))-1)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/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str">
        <f aca="false">IF($F247="","",IF(OR($Q247="",$O247=""),0,IF($Q247&lt;=$O247,1,0)))</f>
        <v/>
      </c>
      <c r="Y247" s="57" t="str">
        <f aca="false">IF($F247="","",IF(OR($Q247="",$W247=""),0,IF($Q247&lt;=$W247,1,0)))</f>
        <v/>
      </c>
      <c r="Z247" s="57" t="str">
        <f aca="false">IF(OR($Q247="",$O247=""),"",MAX(0,$Q247-$O247))</f>
        <v/>
      </c>
      <c r="AA247" s="57" t="str">
        <f aca="false">IF($F247="","",IF(AND($S247&lt;&gt;"",$L247&lt;&gt;"",$S247&lt;&gt;$L247),1,0))</f>
        <v/>
      </c>
      <c r="AB247" s="57" t="str">
        <f aca="false">IF($F247="","",IF($R247="Cancelada",0,IF(OR($Q247&lt;&gt;"",$R247="Concluída"),1,0)))</f>
        <v/>
      </c>
      <c r="AC247" s="57" t="n">
        <f aca="false">IF($P247="",0,IF($P247&lt;Hoje!$L$1,1,IF(AND($P247=Hoje!$L$1,Hoje!$L$2&gt;Semana!$M$3),1,0)))</f>
        <v>0</v>
      </c>
      <c r="AD247" s="57" t="str">
        <f aca="false">IF($F247="","",IF(COUNTA($I247:$K247)=0,0,1/COUNTA($I247:$K247)))</f>
        <v/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</row>
    <row r="248" customFormat="false" ht="16.5" hidden="false" customHeight="true" outlineLevel="0" collapsed="false">
      <c r="A248" s="56" t="str">
        <f aca="false">IF($F248="","",COUNTA($F$4:$F248))</f>
        <v/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/>
      </c>
      <c r="C248" s="58"/>
      <c r="D248" s="59"/>
      <c r="E248" s="59"/>
      <c r="F248" s="59"/>
      <c r="G248" s="60"/>
      <c r="H248" s="60"/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IF($O248="","",$O248+MAX(1,IF($N248="",1,$N248))-1)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/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str">
        <f aca="false">IF($F248="","",IF(OR($Q248="",$O248=""),0,IF($Q248&lt;=$O248,1,0)))</f>
        <v/>
      </c>
      <c r="Y248" s="57" t="str">
        <f aca="false">IF($F248="","",IF(OR($Q248="",$W248=""),0,IF($Q248&lt;=$W248,1,0)))</f>
        <v/>
      </c>
      <c r="Z248" s="57" t="str">
        <f aca="false">IF(OR($Q248="",$O248=""),"",MAX(0,$Q248-$O248))</f>
        <v/>
      </c>
      <c r="AA248" s="57" t="str">
        <f aca="false">IF($F248="","",IF(AND($S248&lt;&gt;"",$L248&lt;&gt;"",$S248&lt;&gt;$L248),1,0))</f>
        <v/>
      </c>
      <c r="AB248" s="57" t="str">
        <f aca="false">IF($F248="","",IF($R248="Cancelada",0,IF(OR($Q248&lt;&gt;"",$R248="Concluída"),1,0)))</f>
        <v/>
      </c>
      <c r="AC248" s="57" t="n">
        <f aca="false">IF($P248="",0,IF($P248&lt;Hoje!$L$1,1,IF(AND($P248=Hoje!$L$1,Hoje!$L$2&gt;Semana!$M$3),1,0)))</f>
        <v>0</v>
      </c>
      <c r="AD248" s="57" t="str">
        <f aca="false">IF($F248="","",IF(COUNTA($I248:$K248)=0,0,1/COUNTA($I248:$K248)))</f>
        <v/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</row>
    <row r="249" customFormat="false" ht="16.5" hidden="false" customHeight="true" outlineLevel="0" collapsed="false">
      <c r="A249" s="56" t="str">
        <f aca="false">IF($F249="","",COUNTA($F$4:$F249))</f>
        <v/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/>
      </c>
      <c r="C249" s="58"/>
      <c r="D249" s="59"/>
      <c r="E249" s="59"/>
      <c r="F249" s="59"/>
      <c r="G249" s="60"/>
      <c r="H249" s="60"/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IF($O249="","",$O249+MAX(1,IF($N249="",1,$N249))-1)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/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str">
        <f aca="false">IF($F249="","",IF(OR($Q249="",$O249=""),0,IF($Q249&lt;=$O249,1,0)))</f>
        <v/>
      </c>
      <c r="Y249" s="57" t="str">
        <f aca="false">IF($F249="","",IF(OR($Q249="",$W249=""),0,IF($Q249&lt;=$W249,1,0)))</f>
        <v/>
      </c>
      <c r="Z249" s="57" t="str">
        <f aca="false">IF(OR($Q249="",$O249=""),"",MAX(0,$Q249-$O249))</f>
        <v/>
      </c>
      <c r="AA249" s="57" t="str">
        <f aca="false">IF($F249="","",IF(AND($S249&lt;&gt;"",$L249&lt;&gt;"",$S249&lt;&gt;$L249),1,0))</f>
        <v/>
      </c>
      <c r="AB249" s="57" t="str">
        <f aca="false">IF($F249="","",IF($R249="Cancelada",0,IF(OR($Q249&lt;&gt;"",$R249="Concluída"),1,0)))</f>
        <v/>
      </c>
      <c r="AC249" s="57" t="n">
        <f aca="false">IF($P249="",0,IF($P249&lt;Hoje!$L$1,1,IF(AND($P249=Hoje!$L$1,Hoje!$L$2&gt;Semana!$M$3),1,0)))</f>
        <v>0</v>
      </c>
      <c r="AD249" s="57" t="str">
        <f aca="false">IF($F249="","",IF(COUNTA($I249:$K249)=0,0,1/COUNTA($I249:$K249)))</f>
        <v/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</row>
    <row r="250" customFormat="false" ht="16.5" hidden="false" customHeight="true" outlineLevel="0" collapsed="false">
      <c r="A250" s="56" t="str">
        <f aca="false">IF($F250="","",COUNTA($F$4:$F250))</f>
        <v/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/>
      </c>
      <c r="C250" s="58"/>
      <c r="D250" s="59"/>
      <c r="E250" s="59"/>
      <c r="F250" s="59"/>
      <c r="G250" s="60"/>
      <c r="H250" s="60"/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IF($O250="","",$O250+MAX(1,IF($N250="",1,$N250))-1)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/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str">
        <f aca="false">IF($F250="","",IF(OR($Q250="",$O250=""),0,IF($Q250&lt;=$O250,1,0)))</f>
        <v/>
      </c>
      <c r="Y250" s="57" t="str">
        <f aca="false">IF($F250="","",IF(OR($Q250="",$W250=""),0,IF($Q250&lt;=$W250,1,0)))</f>
        <v/>
      </c>
      <c r="Z250" s="57" t="str">
        <f aca="false">IF(OR($Q250="",$O250=""),"",MAX(0,$Q250-$O250))</f>
        <v/>
      </c>
      <c r="AA250" s="57" t="str">
        <f aca="false">IF($F250="","",IF(AND($S250&lt;&gt;"",$L250&lt;&gt;"",$S250&lt;&gt;$L250),1,0))</f>
        <v/>
      </c>
      <c r="AB250" s="57" t="str">
        <f aca="false">IF($F250="","",IF($R250="Cancelada",0,IF(OR($Q250&lt;&gt;"",$R250="Concluída"),1,0)))</f>
        <v/>
      </c>
      <c r="AC250" s="57" t="n">
        <f aca="false">IF($P250="",0,IF($P250&lt;Hoje!$L$1,1,IF(AND($P250=Hoje!$L$1,Hoje!$L$2&gt;Semana!$M$3),1,0)))</f>
        <v>0</v>
      </c>
      <c r="AD250" s="57" t="str">
        <f aca="false">IF($F250="","",IF(COUNTA($I250:$K250)=0,0,1/COUNTA($I250:$K250)))</f>
        <v/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IF($O251="","",$O251+MAX(1,IF($N251="",1,$N251))-1)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IF($O252="","",$O252+MAX(1,IF($N252="",1,$N252))-1)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IF($O253="","",$O253+MAX(1,IF($N253="",1,$N253))-1)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IF($O254="","",$O254+MAX(1,IF($N254="",1,$N254))-1)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IF($O255="","",$O255+MAX(1,IF($N255="",1,$N255))-1)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IF($O256="","",$O256+MAX(1,IF($N256="",1,$N256))-1)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IF($O257="","",$O257+MAX(1,IF($N257="",1,$N257))-1)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IF($O258="","",$O258+MAX(1,IF($N258="",1,$N258))-1)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IF($O259="","",$O259+MAX(1,IF($N259="",1,$N259))-1)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IF($O260="","",$O260+MAX(1,IF($N260="",1,$N260))-1)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IF($O261="","",$O261+MAX(1,IF($N261="",1,$N261))-1)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IF($O262="","",$O262+MAX(1,IF($N262="",1,$N262))-1)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IF($O263="","",$O263+MAX(1,IF($N263="",1,$N263))-1)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IF($O264="","",$O264+MAX(1,IF($N264="",1,$N264))-1)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IF($O265="","",$O265+MAX(1,IF($N265="",1,$N265))-1)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IF($O266="","",$O266+MAX(1,IF($N266="",1,$N266))-1)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IF($O267="","",$O267+MAX(1,IF($N267="",1,$N267))-1)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IF($O268="","",$O268+MAX(1,IF($N268="",1,$N268))-1)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IF($O269="","",$O269+MAX(1,IF($N269="",1,$N269))-1)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IF($O270="","",$O270+MAX(1,IF($N270="",1,$N270))-1)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IF($O271="","",$O271+MAX(1,IF($N271="",1,$N271))-1)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IF($O272="","",$O272+MAX(1,IF($N272="",1,$N272))-1)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IF($O273="","",$O273+MAX(1,IF($N273="",1,$N273))-1)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IF($O274="","",$O274+MAX(1,IF($N274="",1,$N274))-1)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IF($O275="","",$O275+MAX(1,IF($N275="",1,$N275))-1)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IF($O276="","",$O276+MAX(1,IF($N276="",1,$N276))-1)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IF($O277="","",$O277+MAX(1,IF($N277="",1,$N277))-1)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IF($O278="","",$O278+MAX(1,IF($N278="",1,$N278))-1)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IF($O279="","",$O279+MAX(1,IF($N279="",1,$N279))-1)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IF($O280="","",$O280+MAX(1,IF($N280="",1,$N280))-1)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IF($O281="","",$O281+MAX(1,IF($N281="",1,$N281))-1)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IF($O282="","",$O282+MAX(1,IF($N282="",1,$N282))-1)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IF($O283="","",$O283+MAX(1,IF($N283="",1,$N283))-1)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IF($O284="","",$O284+MAX(1,IF($N284="",1,$N284))-1)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IF($O285="","",$O285+MAX(1,IF($N285="",1,$N285))-1)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IF($O286="","",$O286+MAX(1,IF($N286="",1,$N286))-1)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IF($O287="","",$O287+MAX(1,IF($N287="",1,$N287))-1)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IF($O288="","",$O288+MAX(1,IF($N288="",1,$N288))-1)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IF($O289="","",$O289+MAX(1,IF($N289="",1,$N289))-1)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IF($O290="","",$O290+MAX(1,IF($N290="",1,$N290))-1)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IF($O291="","",$O291+MAX(1,IF($N291="",1,$N291))-1)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IF($O292="","",$O292+MAX(1,IF($N292="",1,$N292))-1)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IF($O293="","",$O293+MAX(1,IF($N293="",1,$N293))-1)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IF($O294="","",$O294+MAX(1,IF($N294="",1,$N294))-1)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IF($O295="","",$O295+MAX(1,IF($N295="",1,$N295))-1)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IF($O296="","",$O296+MAX(1,IF($N296="",1,$N296))-1)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IF($O297="","",$O297+MAX(1,IF($N297="",1,$N297))-1)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IF($O298="","",$O298+MAX(1,IF($N298="",1,$N298))-1)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IF($O299="","",$O299+MAX(1,IF($N299="",1,$N299))-1)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IF($O300="","",$O300+MAX(1,IF($N300="",1,$N300))-1)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IF($O301="","",$O301+MAX(1,IF($N301="",1,$N301))-1)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IF($O302="","",$O302+MAX(1,IF($N302="",1,$N302))-1)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IF($O303="","",$O303+MAX(1,IF($N303="",1,$N303))-1)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IF($O304="","",$O304+MAX(1,IF($N304="",1,$N304))-1)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IF($O305="","",$O305+MAX(1,IF($N305="",1,$N305))-1)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IF($O306="","",$O306+MAX(1,IF($N306="",1,$N306))-1)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IF($O307="","",$O307+MAX(1,IF($N307="",1,$N307))-1)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IF($O308="","",$O308+MAX(1,IF($N308="",1,$N308))-1)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IF($O309="","",$O309+MAX(1,IF($N309="",1,$N309))-1)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IF($O310="","",$O310+MAX(1,IF($N310="",1,$N310))-1)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IF($O311="","",$O311+MAX(1,IF($N311="",1,$N311))-1)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IF($O312="","",$O312+MAX(1,IF($N312="",1,$N312))-1)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IF($O313="","",$O313+MAX(1,IF($N313="",1,$N313))-1)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IF($O314="","",$O314+MAX(1,IF($N314="",1,$N314))-1)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IF($O315="","",$O315+MAX(1,IF($N315="",1,$N315))-1)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IF($O316="","",$O316+MAX(1,IF($N316="",1,$N316))-1)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IF($O317="","",$O317+MAX(1,IF($N317="",1,$N317))-1)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IF($O318="","",$O318+MAX(1,IF($N318="",1,$N318))-1)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IF($O319="","",$O319+MAX(1,IF($N319="",1,$N319))-1)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IF($O320="","",$O320+MAX(1,IF($N320="",1,$N320))-1)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IF($O321="","",$O321+MAX(1,IF($N321="",1,$N321))-1)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IF($O322="","",$O322+MAX(1,IF($N322="",1,$N322))-1)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IF($O323="","",$O323+MAX(1,IF($N323="",1,$N323))-1)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IF($O324="","",$O324+MAX(1,IF($N324="",1,$N324))-1)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IF($O325="","",$O325+MAX(1,IF($N325="",1,$N325))-1)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IF($O326="","",$O326+MAX(1,IF($N326="",1,$N326))-1)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IF($O327="","",$O327+MAX(1,IF($N327="",1,$N327))-1)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IF($O328="","",$O328+MAX(1,IF($N328="",1,$N328))-1)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IF($O329="","",$O329+MAX(1,IF($N329="",1,$N329))-1)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IF($O330="","",$O330+MAX(1,IF($N330="",1,$N330))-1)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IF($O331="","",$O331+MAX(1,IF($N331="",1,$N331))-1)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IF($O332="","",$O332+MAX(1,IF($N332="",1,$N332))-1)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IF($O333="","",$O333+MAX(1,IF($N333="",1,$N333))-1)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IF($O334="","",$O334+MAX(1,IF($N334="",1,$N334))-1)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IF($O335="","",$O335+MAX(1,IF($N335="",1,$N335))-1)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IF($O336="","",$O336+MAX(1,IF($N336="",1,$N336))-1)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IF($O337="","",$O337+MAX(1,IF($N337="",1,$N337))-1)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IF($O338="","",$O338+MAX(1,IF($N338="",1,$N338))-1)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IF($O339="","",$O339+MAX(1,IF($N339="",1,$N339))-1)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IF($O340="","",$O340+MAX(1,IF($N340="",1,$N340))-1)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IF($O341="","",$O341+MAX(1,IF($N341="",1,$N341))-1)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IF($O342="","",$O342+MAX(1,IF($N342="",1,$N342))-1)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IF($O343="","",$O343+MAX(1,IF($N343="",1,$N343))-1)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IF($O344="","",$O344+MAX(1,IF($N344="",1,$N344))-1)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IF($O345="","",$O345+MAX(1,IF($N345="",1,$N345))-1)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IF($O346="","",$O346+MAX(1,IF($N346="",1,$N346))-1)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IF($O347="","",$O347+MAX(1,IF($N347="",1,$N347))-1)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IF($O348="","",$O348+MAX(1,IF($N348="",1,$N348))-1)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IF($O349="","",$O349+MAX(1,IF($N349="",1,$N349))-1)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IF($O350="","",$O350+MAX(1,IF($N350="",1,$N350))-1)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IF($O351="","",$O351+MAX(1,IF($N351="",1,$N351))-1)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IF($O352="","",$O352+MAX(1,IF($N352="",1,$N352))-1)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IF($O353="","",$O353+MAX(1,IF($N353="",1,$N353))-1)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IF($O354="","",$O354+MAX(1,IF($N354="",1,$N354))-1)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IF($O355="","",$O355+MAX(1,IF($N355="",1,$N355))-1)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IF($O356="","",$O356+MAX(1,IF($N356="",1,$N356))-1)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IF($O357="","",$O357+MAX(1,IF($N357="",1,$N357))-1)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IF($O358="","",$O358+MAX(1,IF($N358="",1,$N358))-1)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IF($O359="","",$O359+MAX(1,IF($N359="",1,$N359))-1)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IF($O360="","",$O360+MAX(1,IF($N360="",1,$N360))-1)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IF($O361="","",$O361+MAX(1,IF($N361="",1,$N361))-1)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IF($O362="","",$O362+MAX(1,IF($N362="",1,$N362))-1)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IF($O363="","",$O363+MAX(1,IF($N363="",1,$N363))-1)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IF($O364="","",$O364+MAX(1,IF($N364="",1,$N364))-1)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IF($O365="","",$O365+MAX(1,IF($N365="",1,$N365))-1)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IF($O366="","",$O366+MAX(1,IF($N366="",1,$N366))-1)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IF($O367="","",$O367+MAX(1,IF($N367="",1,$N367))-1)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IF($O368="","",$O368+MAX(1,IF($N368="",1,$N368))-1)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IF($O369="","",$O369+MAX(1,IF($N369="",1,$N369))-1)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IF($O370="","",$O370+MAX(1,IF($N370="",1,$N370))-1)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IF($O371="","",$O371+MAX(1,IF($N371="",1,$N371))-1)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IF($O372="","",$O372+MAX(1,IF($N372="",1,$N372))-1)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IF($O373="","",$O373+MAX(1,IF($N373="",1,$N373))-1)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IF($O374="","",$O374+MAX(1,IF($N374="",1,$N374))-1)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IF($O375="","",$O375+MAX(1,IF($N375="",1,$N375))-1)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IF($O376="","",$O376+MAX(1,IF($N376="",1,$N376))-1)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IF($O377="","",$O377+MAX(1,IF($N377="",1,$N377))-1)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IF($O378="","",$O378+MAX(1,IF($N378="",1,$N378))-1)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IF($O379="","",$O379+MAX(1,IF($N379="",1,$N379))-1)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IF($O380="","",$O380+MAX(1,IF($N380="",1,$N380))-1)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IF($O381="","",$O381+MAX(1,IF($N381="",1,$N381))-1)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IF($O382="","",$O382+MAX(1,IF($N382="",1,$N382))-1)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IF($O383="","",$O383+MAX(1,IF($N383="",1,$N383))-1)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IF($O384="","",$O384+MAX(1,IF($N384="",1,$N384))-1)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IF($O385="","",$O385+MAX(1,IF($N385="",1,$N385))-1)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IF($O386="","",$O386+MAX(1,IF($N386="",1,$N386))-1)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IF($O387="","",$O387+MAX(1,IF($N387="",1,$N387))-1)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IF($O388="","",$O388+MAX(1,IF($N388="",1,$N388))-1)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IF($O389="","",$O389+MAX(1,IF($N389="",1,$N389))-1)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IF($O390="","",$O390+MAX(1,IF($N390="",1,$N390))-1)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IF($O391="","",$O391+MAX(1,IF($N391="",1,$N391))-1)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IF($O392="","",$O392+MAX(1,IF($N392="",1,$N392))-1)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IF($O393="","",$O393+MAX(1,IF($N393="",1,$N393))-1)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IF($O394="","",$O394+MAX(1,IF($N394="",1,$N394))-1)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IF($O395="","",$O395+MAX(1,IF($N395="",1,$N395))-1)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IF($O396="","",$O396+MAX(1,IF($N396="",1,$N396))-1)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IF($O397="","",$O397+MAX(1,IF($N397="",1,$N397))-1)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IF($O398="","",$O398+MAX(1,IF($N398="",1,$N398))-1)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IF($O399="","",$O399+MAX(1,IF($N399="",1,$N399))-1)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IF($O400="","",$O400+MAX(1,IF($N400="",1,$N400))-1)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IF($O401="","",$O401+MAX(1,IF($N401="",1,$N401))-1)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IF($O402="","",$O402+MAX(1,IF($N402="",1,$N402))-1)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IF($O403="","",$O403+MAX(1,IF($N403="",1,$N403))-1)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IF($O404="","",$O404+MAX(1,IF($N404="",1,$N404))-1)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IF($O405="","",$O405+MAX(1,IF($N405="",1,$N405))-1)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IF($O406="","",$O406+MAX(1,IF($N406="",1,$N406))-1)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IF($O407="","",$O407+MAX(1,IF($N407="",1,$N407))-1)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IF($O408="","",$O408+MAX(1,IF($N408="",1,$N408))-1)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IF($O409="","",$O409+MAX(1,IF($N409="",1,$N409))-1)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IF($O410="","",$O410+MAX(1,IF($N410="",1,$N410))-1)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IF($O411="","",$O411+MAX(1,IF($N411="",1,$N411))-1)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IF($O412="","",$O412+MAX(1,IF($N412="",1,$N412))-1)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IF($O413="","",$O413+MAX(1,IF($N413="",1,$N413))-1)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IF($O414="","",$O414+MAX(1,IF($N414="",1,$N414))-1)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IF($O415="","",$O415+MAX(1,IF($N415="",1,$N415))-1)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IF($O416="","",$O416+MAX(1,IF($N416="",1,$N416))-1)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IF($O417="","",$O417+MAX(1,IF($N417="",1,$N417))-1)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IF($O418="","",$O418+MAX(1,IF($N418="",1,$N418))-1)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IF($O419="","",$O419+MAX(1,IF($N419="",1,$N419))-1)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IF($O420="","",$O420+MAX(1,IF($N420="",1,$N420))-1)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IF($O421="","",$O421+MAX(1,IF($N421="",1,$N421))-1)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IF($O422="","",$O422+MAX(1,IF($N422="",1,$N422))-1)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IF($O423="","",$O423+MAX(1,IF($N423="",1,$N423))-1)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IF($O424="","",$O424+MAX(1,IF($N424="",1,$N424))-1)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IF($O425="","",$O425+MAX(1,IF($N425="",1,$N425))-1)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IF($O426="","",$O426+MAX(1,IF($N426="",1,$N426))-1)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IF($O427="","",$O427+MAX(1,IF($N427="",1,$N427))-1)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IF($O428="","",$O428+MAX(1,IF($N428="",1,$N428))-1)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IF($O429="","",$O429+MAX(1,IF($N429="",1,$N429))-1)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IF($O430="","",$O430+MAX(1,IF($N430="",1,$N430))-1)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IF($O431="","",$O431+MAX(1,IF($N431="",1,$N431))-1)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IF($O432="","",$O432+MAX(1,IF($N432="",1,$N432))-1)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IF($O433="","",$O433+MAX(1,IF($N433="",1,$N433))-1)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IF($O434="","",$O434+MAX(1,IF($N434="",1,$N434))-1)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IF($O435="","",$O435+MAX(1,IF($N435="",1,$N435))-1)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IF($O436="","",$O436+MAX(1,IF($N436="",1,$N436))-1)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IF($O437="","",$O437+MAX(1,IF($N437="",1,$N437))-1)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IF($O438="","",$O438+MAX(1,IF($N438="",1,$N438))-1)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IF($O439="","",$O439+MAX(1,IF($N439="",1,$N439))-1)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IF($O440="","",$O440+MAX(1,IF($N440="",1,$N440))-1)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IF($O441="","",$O441+MAX(1,IF($N441="",1,$N441))-1)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IF($O442="","",$O442+MAX(1,IF($N442="",1,$N442))-1)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IF($O443="","",$O443+MAX(1,IF($N443="",1,$N443))-1)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IF($O444="","",$O444+MAX(1,IF($N444="",1,$N444))-1)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IF($O445="","",$O445+MAX(1,IF($N445="",1,$N445))-1)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IF($O446="","",$O446+MAX(1,IF($N446="",1,$N446))-1)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IF($O447="","",$O447+MAX(1,IF($N447="",1,$N447))-1)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IF($O448="","",$O448+MAX(1,IF($N448="",1,$N448))-1)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IF($O449="","",$O449+MAX(1,IF($N449="",1,$N449))-1)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IF($O450="","",$O450+MAX(1,IF($N450="",1,$N450))-1)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IF($O451="","",$O451+MAX(1,IF($N451="",1,$N451))-1)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IF($O452="","",$O452+MAX(1,IF($N452="",1,$N452))-1)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IF($O453="","",$O453+MAX(1,IF($N453="",1,$N453))-1)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IF($O454="","",$O454+MAX(1,IF($N454="",1,$N454))-1)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IF($O455="","",$O455+MAX(1,IF($N455="",1,$N455))-1)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IF($O456="","",$O456+MAX(1,IF($N456="",1,$N456))-1)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IF($O457="","",$O457+MAX(1,IF($N457="",1,$N457))-1)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IF($O458="","",$O458+MAX(1,IF($N458="",1,$N458))-1)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IF($O459="","",$O459+MAX(1,IF($N459="",1,$N459))-1)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IF($O460="","",$O460+MAX(1,IF($N460="",1,$N460))-1)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IF($O461="","",$O461+MAX(1,IF($N461="",1,$N461))-1)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IF($O462="","",$O462+MAX(1,IF($N462="",1,$N462))-1)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IF($O463="","",$O463+MAX(1,IF($N463="",1,$N463))-1)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IF($O464="","",$O464+MAX(1,IF($N464="",1,$N464))-1)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IF($O465="","",$O465+MAX(1,IF($N465="",1,$N465))-1)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IF($O466="","",$O466+MAX(1,IF($N466="",1,$N466))-1)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IF($O467="","",$O467+MAX(1,IF($N467="",1,$N467))-1)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IF($O468="","",$O468+MAX(1,IF($N468="",1,$N468))-1)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IF($O469="","",$O469+MAX(1,IF($N469="",1,$N469))-1)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IF($O470="","",$O470+MAX(1,IF($N470="",1,$N470))-1)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IF($O471="","",$O471+MAX(1,IF($N471="",1,$N471))-1)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IF($O472="","",$O472+MAX(1,IF($N472="",1,$N472))-1)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IF($O473="","",$O473+MAX(1,IF($N473="",1,$N473))-1)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IF($O474="","",$O474+MAX(1,IF($N474="",1,$N474))-1)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IF($O475="","",$O475+MAX(1,IF($N475="",1,$N475))-1)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IF($O476="","",$O476+MAX(1,IF($N476="",1,$N476))-1)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IF($O477="","",$O477+MAX(1,IF($N477="",1,$N477))-1)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IF($O478="","",$O478+MAX(1,IF($N478="",1,$N478))-1)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IF($O479="","",$O479+MAX(1,IF($N479="",1,$N479))-1)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IF($O480="","",$O480+MAX(1,IF($N480="",1,$N480))-1)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IF($O481="","",$O481+MAX(1,IF($N481="",1,$N481))-1)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IF($O482="","",$O482+MAX(1,IF($N482="",1,$N482))-1)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IF($O483="","",$O483+MAX(1,IF($N483="",1,$N483))-1)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IF($O484="","",$O484+MAX(1,IF($N484="",1,$N484))-1)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IF($O485="","",$O485+MAX(1,IF($N485="",1,$N485))-1)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IF($O486="","",$O486+MAX(1,IF($N486="",1,$N486))-1)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IF($O487="","",$O487+MAX(1,IF($N487="",1,$N487))-1)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IF($O488="","",$O488+MAX(1,IF($N488="",1,$N488))-1)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IF($O489="","",$O489+MAX(1,IF($N489="",1,$N489))-1)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IF($O490="","",$O490+MAX(1,IF($N490="",1,$N490))-1)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IF($O491="","",$O491+MAX(1,IF($N491="",1,$N491))-1)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IF($O492="","",$O492+MAX(1,IF($N492="",1,$N492))-1)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IF($O493="","",$O493+MAX(1,IF($N493="",1,$N493))-1)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IF($O494="","",$O494+MAX(1,IF($N494="",1,$N494))-1)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IF($O495="","",$O495+MAX(1,IF($N495="",1,$N495))-1)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IF($O496="","",$O496+MAX(1,IF($N496="",1,$N496))-1)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IF($O497="","",$O497+MAX(1,IF($N497="",1,$N497))-1)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IF($O498="","",$O498+MAX(1,IF($N498="",1,$N498))-1)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IF($O499="","",$O499+MAX(1,IF($N499="",1,$N499))-1)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IF($O500="","",$O500+MAX(1,IF($N500="",1,$N500))-1)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IF($O501="","",$O501+MAX(1,IF($N501="",1,$N501))-1)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IF($O502="","",$O502+MAX(1,IF($N502="",1,$N502))-1)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IF($O503="","",$O503+MAX(1,IF($N503="",1,$N503))-1)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IF($O504="","",$O504+MAX(1,IF($N504="",1,$N504))-1)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IF($O505="","",$O505+MAX(1,IF($N505="",1,$N505))-1)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IF($O506="","",$O506+MAX(1,IF($N506="",1,$N506))-1)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IF($O507="","",$O507+MAX(1,IF($N507="",1,$N507))-1)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IF($O508="","",$O508+MAX(1,IF($N508="",1,$N508))-1)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IF($O509="","",$O509+MAX(1,IF($N509="",1,$N509))-1)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IF($O510="","",$O510+MAX(1,IF($N510="",1,$N510))-1)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IF($O511="","",$O511+MAX(1,IF($N511="",1,$N511))-1)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IF($O512="","",$O512+MAX(1,IF($N512="",1,$N512))-1)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IF($O513="","",$O513+MAX(1,IF($N513="",1,$N513))-1)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IF($O514="","",$O514+MAX(1,IF($N514="",1,$N514))-1)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IF($O515="","",$O515+MAX(1,IF($N515="",1,$N515))-1)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IF($O516="","",$O516+MAX(1,IF($N516="",1,$N516))-1)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IF($O517="","",$O517+MAX(1,IF($N517="",1,$N517))-1)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IF($O518="","",$O518+MAX(1,IF($N518="",1,$N518))-1)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IF($O519="","",$O519+MAX(1,IF($N519="",1,$N519))-1)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IF($O520="","",$O520+MAX(1,IF($N520="",1,$N520))-1)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IF($O521="","",$O521+MAX(1,IF($N521="",1,$N521))-1)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IF($O522="","",$O522+MAX(1,IF($N522="",1,$N522))-1)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IF($O523="","",$O523+MAX(1,IF($N523="",1,$N523))-1)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IF($O524="","",$O524+MAX(1,IF($N524="",1,$N524))-1)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IF($O525="","",$O525+MAX(1,IF($N525="",1,$N525))-1)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IF($O526="","",$O526+MAX(1,IF($N526="",1,$N526))-1)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IF($O527="","",$O527+MAX(1,IF($N527="",1,$N527))-1)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IF($O528="","",$O528+MAX(1,IF($N528="",1,$N528))-1)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IF($O529="","",$O529+MAX(1,IF($N529="",1,$N529))-1)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IF($O530="","",$O530+MAX(1,IF($N530="",1,$N530))-1)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IF($O531="","",$O531+MAX(1,IF($N531="",1,$N531))-1)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IF($O532="","",$O532+MAX(1,IF($N532="",1,$N532))-1)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IF($O533="","",$O533+MAX(1,IF($N533="",1,$N533))-1)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IF($O534="","",$O534+MAX(1,IF($N534="",1,$N534))-1)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IF($O535="","",$O535+MAX(1,IF($N535="",1,$N535))-1)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IF($O536="","",$O536+MAX(1,IF($N536="",1,$N536))-1)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IF($O537="","",$O537+MAX(1,IF($N537="",1,$N537))-1)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IF($O538="","",$O538+MAX(1,IF($N538="",1,$N538))-1)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IF($O539="","",$O539+MAX(1,IF($N539="",1,$N539))-1)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IF($O540="","",$O540+MAX(1,IF($N540="",1,$N540))-1)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IF($O541="","",$O541+MAX(1,IF($N541="",1,$N541))-1)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IF($O542="","",$O542+MAX(1,IF($N542="",1,$N542))-1)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IF($O543="","",$O543+MAX(1,IF($N543="",1,$N543))-1)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IF($O544="","",$O544+MAX(1,IF($N544="",1,$N544))-1)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IF($O545="","",$O545+MAX(1,IF($N545="",1,$N545))-1)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IF($O546="","",$O546+MAX(1,IF($N546="",1,$N546))-1)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IF($O547="","",$O547+MAX(1,IF($N547="",1,$N547))-1)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IF($O548="","",$O548+MAX(1,IF($N548="",1,$N548))-1)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IF($O549="","",$O549+MAX(1,IF($N549="",1,$N549))-1)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IF($O550="","",$O550+MAX(1,IF($N550="",1,$N550))-1)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IF($O551="","",$O551+MAX(1,IF($N551="",1,$N551))-1)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IF($O552="","",$O552+MAX(1,IF($N552="",1,$N552))-1)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IF($O553="","",$O553+MAX(1,IF($N553="",1,$N553))-1)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IF($O554="","",$O554+MAX(1,IF($N554="",1,$N554))-1)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IF($O555="","",$O555+MAX(1,IF($N555="",1,$N555))-1)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IF($O556="","",$O556+MAX(1,IF($N556="",1,$N556))-1)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IF($O557="","",$O557+MAX(1,IF($N557="",1,$N557))-1)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IF($O558="","",$O558+MAX(1,IF($N558="",1,$N558))-1)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IF($O559="","",$O559+MAX(1,IF($N559="",1,$N559))-1)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IF($O560="","",$O560+MAX(1,IF($N560="",1,$N560))-1)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IF($O561="","",$O561+MAX(1,IF($N561="",1,$N561))-1)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IF($O562="","",$O562+MAX(1,IF($N562="",1,$N562))-1)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IF($O563="","",$O563+MAX(1,IF($N563="",1,$N563))-1)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IF($O564="","",$O564+MAX(1,IF($N564="",1,$N564))-1)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IF($O565="","",$O565+MAX(1,IF($N565="",1,$N565))-1)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IF($O566="","",$O566+MAX(1,IF($N566="",1,$N566))-1)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IF($O567="","",$O567+MAX(1,IF($N567="",1,$N567))-1)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IF($O568="","",$O568+MAX(1,IF($N568="",1,$N568))-1)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IF($O569="","",$O569+MAX(1,IF($N569="",1,$N569))-1)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IF($O570="","",$O570+MAX(1,IF($N570="",1,$N570))-1)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IF($O571="","",$O571+MAX(1,IF($N571="",1,$N571))-1)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IF($O572="","",$O572+MAX(1,IF($N572="",1,$N572))-1)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IF($O573="","",$O573+MAX(1,IF($N573="",1,$N573))-1)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IF($O574="","",$O574+MAX(1,IF($N574="",1,$N574))-1)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IF($O575="","",$O575+MAX(1,IF($N575="",1,$N575))-1)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IF($O576="","",$O576+MAX(1,IF($N576="",1,$N576))-1)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IF($O577="","",$O577+MAX(1,IF($N577="",1,$N577))-1)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IF($O578="","",$O578+MAX(1,IF($N578="",1,$N578))-1)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IF($O579="","",$O579+MAX(1,IF($N579="",1,$N579))-1)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IF($O580="","",$O580+MAX(1,IF($N580="",1,$N580))-1)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IF($O581="","",$O581+MAX(1,IF($N581="",1,$N581))-1)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IF($O582="","",$O582+MAX(1,IF($N582="",1,$N582))-1)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IF($O583="","",$O583+MAX(1,IF($N583="",1,$N583))-1)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IF($O584="","",$O584+MAX(1,IF($N584="",1,$N584))-1)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IF($O585="","",$O585+MAX(1,IF($N585="",1,$N585))-1)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IF($O586="","",$O586+MAX(1,IF($N586="",1,$N586))-1)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IF($O587="","",$O587+MAX(1,IF($N587="",1,$N587))-1)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IF($O588="","",$O588+MAX(1,IF($N588="",1,$N588))-1)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IF($O589="","",$O589+MAX(1,IF($N589="",1,$N589))-1)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IF($O590="","",$O590+MAX(1,IF($N590="",1,$N590))-1)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IF($O591="","",$O591+MAX(1,IF($N591="",1,$N591))-1)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IF($O592="","",$O592+MAX(1,IF($N592="",1,$N592))-1)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IF($O593="","",$O593+MAX(1,IF($N593="",1,$N593))-1)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IF($O594="","",$O594+MAX(1,IF($N594="",1,$N594))-1)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IF($O595="","",$O595+MAX(1,IF($N595="",1,$N595))-1)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IF($O596="","",$O596+MAX(1,IF($N596="",1,$N596))-1)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IF($O597="","",$O597+MAX(1,IF($N597="",1,$N597))-1)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IF($O598="","",$O598+MAX(1,IF($N598="",1,$N598))-1)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IF($O599="","",$O599+MAX(1,IF($N599="",1,$N599))-1)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IF($O600="","",$O600+MAX(1,IF($N600="",1,$N600))-1)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IF($O601="","",$O601+MAX(1,IF($N601="",1,$N601))-1)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IF($O602="","",$O602+MAX(1,IF($N602="",1,$N602))-1)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IF($O603="","",$O603+MAX(1,IF($N603="",1,$N603))-1)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IF($O604="","",$O604+MAX(1,IF($N604="",1,$N604))-1)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IF($O605="","",$O605+MAX(1,IF($N605="",1,$N605))-1)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IF($O606="","",$O606+MAX(1,IF($N606="",1,$N606))-1)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IF($O607="","",$O607+MAX(1,IF($N607="",1,$N607))-1)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IF($O608="","",$O608+MAX(1,IF($N608="",1,$N608))-1)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IF($O609="","",$O609+MAX(1,IF($N609="",1,$N609))-1)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IF($O610="","",$O610+MAX(1,IF($N610="",1,$N610))-1)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IF($O611="","",$O611+MAX(1,IF($N611="",1,$N611))-1)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IF($O612="","",$O612+MAX(1,IF($N612="",1,$N612))-1)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IF($O613="","",$O613+MAX(1,IF($N613="",1,$N613))-1)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IF($O614="","",$O614+MAX(1,IF($N614="",1,$N614))-1)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IF($O615="","",$O615+MAX(1,IF($N615="",1,$N615))-1)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IF($O616="","",$O616+MAX(1,IF($N616="",1,$N616))-1)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IF($O617="","",$O617+MAX(1,IF($N617="",1,$N617))-1)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IF($O618="","",$O618+MAX(1,IF($N618="",1,$N618))-1)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IF($O619="","",$O619+MAX(1,IF($N619="",1,$N619))-1)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IF($O620="","",$O620+MAX(1,IF($N620="",1,$N620))-1)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IF($O621="","",$O621+MAX(1,IF($N621="",1,$N621))-1)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IF($O622="","",$O622+MAX(1,IF($N622="",1,$N622))-1)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IF($O623="","",$O623+MAX(1,IF($N623="",1,$N623))-1)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IF($O624="","",$O624+MAX(1,IF($N624="",1,$N624))-1)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IF($O625="","",$O625+MAX(1,IF($N625="",1,$N625))-1)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IF($O626="","",$O626+MAX(1,IF($N626="",1,$N626))-1)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IF($O627="","",$O627+MAX(1,IF($N627="",1,$N627))-1)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IF($O628="","",$O628+MAX(1,IF($N628="",1,$N628))-1)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IF($O629="","",$O629+MAX(1,IF($N629="",1,$N629))-1)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IF($O630="","",$O630+MAX(1,IF($N630="",1,$N630))-1)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IF($O631="","",$O631+MAX(1,IF($N631="",1,$N631))-1)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IF($O632="","",$O632+MAX(1,IF($N632="",1,$N632))-1)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IF($O633="","",$O633+MAX(1,IF($N633="",1,$N633))-1)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IF($O634="","",$O634+MAX(1,IF($N634="",1,$N634))-1)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IF($O635="","",$O635+MAX(1,IF($N635="",1,$N635))-1)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IF($O636="","",$O636+MAX(1,IF($N636="",1,$N636))-1)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IF($O637="","",$O637+MAX(1,IF($N637="",1,$N637))-1)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IF($O638="","",$O638+MAX(1,IF($N638="",1,$N638))-1)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IF($O639="","",$O639+MAX(1,IF($N639="",1,$N639))-1)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IF($O640="","",$O640+MAX(1,IF($N640="",1,$N640))-1)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IF($O641="","",$O641+MAX(1,IF($N641="",1,$N641))-1)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IF($O642="","",$O642+MAX(1,IF($N642="",1,$N642))-1)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IF($O643="","",$O643+MAX(1,IF($N643="",1,$N643))-1)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IF($O644="","",$O644+MAX(1,IF($N644="",1,$N644))-1)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IF($O645="","",$O645+MAX(1,IF($N645="",1,$N645))-1)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IF($O646="","",$O646+MAX(1,IF($N646="",1,$N646))-1)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IF($O647="","",$O647+MAX(1,IF($N647="",1,$N647))-1)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IF($O648="","",$O648+MAX(1,IF($N648="",1,$N648))-1)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IF($O649="","",$O649+MAX(1,IF($N649="",1,$N649))-1)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IF($O650="","",$O650+MAX(1,IF($N650="",1,$N650))-1)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IF($O651="","",$O651+MAX(1,IF($N651="",1,$N651))-1)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IF($O652="","",$O652+MAX(1,IF($N652="",1,$N652))-1)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IF($O653="","",$O653+MAX(1,IF($N653="",1,$N653))-1)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IF($O654="","",$O654+MAX(1,IF($N654="",1,$N654))-1)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IF($O655="","",$O655+MAX(1,IF($N655="",1,$N655))-1)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IF($O656="","",$O656+MAX(1,IF($N656="",1,$N656))-1)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IF($O657="","",$O657+MAX(1,IF($N657="",1,$N657))-1)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IF($O658="","",$O658+MAX(1,IF($N658="",1,$N658))-1)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IF($O659="","",$O659+MAX(1,IF($N659="",1,$N659))-1)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IF($O660="","",$O660+MAX(1,IF($N660="",1,$N660))-1)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IF($O661="","",$O661+MAX(1,IF($N661="",1,$N661))-1)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IF($O662="","",$O662+MAX(1,IF($N662="",1,$N662))-1)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IF($O663="","",$O663+MAX(1,IF($N663="",1,$N663))-1)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IF($O664="","",$O664+MAX(1,IF($N664="",1,$N664))-1)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IF($O665="","",$O665+MAX(1,IF($N665="",1,$N665))-1)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IF($O666="","",$O666+MAX(1,IF($N666="",1,$N666))-1)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IF($O667="","",$O667+MAX(1,IF($N667="",1,$N667))-1)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IF($O668="","",$O668+MAX(1,IF($N668="",1,$N668))-1)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IF($O669="","",$O669+MAX(1,IF($N669="",1,$N669))-1)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IF($O670="","",$O670+MAX(1,IF($N670="",1,$N670))-1)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IF($O671="","",$O671+MAX(1,IF($N671="",1,$N671))-1)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IF($O672="","",$O672+MAX(1,IF($N672="",1,$N672))-1)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IF($O673="","",$O673+MAX(1,IF($N673="",1,$N673))-1)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IF($O674="","",$O674+MAX(1,IF($N674="",1,$N674))-1)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IF($O675="","",$O675+MAX(1,IF($N675="",1,$N675))-1)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IF($O676="","",$O676+MAX(1,IF($N676="",1,$N676))-1)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IF($O677="","",$O677+MAX(1,IF($N677="",1,$N677))-1)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IF($O678="","",$O678+MAX(1,IF($N678="",1,$N678))-1)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IF($O679="","",$O679+MAX(1,IF($N679="",1,$N679))-1)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IF($O680="","",$O680+MAX(1,IF($N680="",1,$N680))-1)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IF($O681="","",$O681+MAX(1,IF($N681="",1,$N681))-1)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IF($O682="","",$O682+MAX(1,IF($N682="",1,$N682))-1)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IF($O683="","",$O683+MAX(1,IF($N683="",1,$N683))-1)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IF($O684="","",$O684+MAX(1,IF($N684="",1,$N684))-1)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IF($O685="","",$O685+MAX(1,IF($N685="",1,$N685))-1)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IF($O686="","",$O686+MAX(1,IF($N686="",1,$N686))-1)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IF($O687="","",$O687+MAX(1,IF($N687="",1,$N687))-1)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IF($O688="","",$O688+MAX(1,IF($N688="",1,$N688))-1)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IF($O689="","",$O689+MAX(1,IF($N689="",1,$N689))-1)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IF($O690="","",$O690+MAX(1,IF($N690="",1,$N690))-1)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IF($O691="","",$O691+MAX(1,IF($N691="",1,$N691))-1)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IF($O692="","",$O692+MAX(1,IF($N692="",1,$N692))-1)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IF($O693="","",$O693+MAX(1,IF($N693="",1,$N693))-1)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IF($O694="","",$O694+MAX(1,IF($N694="",1,$N694))-1)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IF($O695="","",$O695+MAX(1,IF($N695="",1,$N695))-1)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IF($O696="","",$O696+MAX(1,IF($N696="",1,$N696))-1)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IF($O697="","",$O697+MAX(1,IF($N697="",1,$N697))-1)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IF($O698="","",$O698+MAX(1,IF($N698="",1,$N698))-1)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IF($O699="","",$O699+MAX(1,IF($N699="",1,$N699))-1)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IF($O700="","",$O700+MAX(1,IF($N700="",1,$N700))-1)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IF($O701="","",$O701+MAX(1,IF($N701="",1,$N701))-1)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IF($O702="","",$O702+MAX(1,IF($N702="",1,$N702))-1)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IF($O703="","",$O703+MAX(1,IF($N703="",1,$N703))-1)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IF($O704="","",$O704+MAX(1,IF($N704="",1,$N704))-1)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IF($O705="","",$O705+MAX(1,IF($N705="",1,$N705))-1)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IF($O706="","",$O706+MAX(1,IF($N706="",1,$N706))-1)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IF($O707="","",$O707+MAX(1,IF($N707="",1,$N707))-1)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IF($O708="","",$O708+MAX(1,IF($N708="",1,$N708))-1)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IF($O709="","",$O709+MAX(1,IF($N709="",1,$N709))-1)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IF($O710="","",$O710+MAX(1,IF($N710="",1,$N710))-1)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IF($O711="","",$O711+MAX(1,IF($N711="",1,$N711))-1)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IF($O712="","",$O712+MAX(1,IF($N712="",1,$N712))-1)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IF($O713="","",$O713+MAX(1,IF($N713="",1,$N713))-1)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IF($O714="","",$O714+MAX(1,IF($N714="",1,$N714))-1)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IF($O715="","",$O715+MAX(1,IF($N715="",1,$N715))-1)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IF($O716="","",$O716+MAX(1,IF($N716="",1,$N716))-1)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IF($O717="","",$O717+MAX(1,IF($N717="",1,$N717))-1)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IF($O718="","",$O718+MAX(1,IF($N718="",1,$N718))-1)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IF($O719="","",$O719+MAX(1,IF($N719="",1,$N719))-1)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IF($O720="","",$O720+MAX(1,IF($N720="",1,$N720))-1)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IF($O721="","",$O721+MAX(1,IF($N721="",1,$N721))-1)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IF($O722="","",$O722+MAX(1,IF($N722="",1,$N722))-1)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IF($O723="","",$O723+MAX(1,IF($N723="",1,$N723))-1)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IF($O724="","",$O724+MAX(1,IF($N724="",1,$N724))-1)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IF($O725="","",$O725+MAX(1,IF($N725="",1,$N725))-1)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IF($O726="","",$O726+MAX(1,IF($N726="",1,$N726))-1)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IF($O727="","",$O727+MAX(1,IF($N727="",1,$N727))-1)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IF($O728="","",$O728+MAX(1,IF($N728="",1,$N728))-1)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IF($O729="","",$O729+MAX(1,IF($N729="",1,$N729))-1)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IF($O730="","",$O730+MAX(1,IF($N730="",1,$N730))-1)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IF($O731="","",$O731+MAX(1,IF($N731="",1,$N731))-1)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IF($O732="","",$O732+MAX(1,IF($N732="",1,$N732))-1)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IF($O733="","",$O733+MAX(1,IF($N733="",1,$N733))-1)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IF($O734="","",$O734+MAX(1,IF($N734="",1,$N734))-1)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IF($O735="","",$O735+MAX(1,IF($N735="",1,$N735))-1)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IF($O736="","",$O736+MAX(1,IF($N736="",1,$N736))-1)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IF($O737="","",$O737+MAX(1,IF($N737="",1,$N737))-1)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IF($O738="","",$O738+MAX(1,IF($N738="",1,$N738))-1)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IF($O739="","",$O739+MAX(1,IF($N739="",1,$N739))-1)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IF($O740="","",$O740+MAX(1,IF($N740="",1,$N740))-1)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IF($O741="","",$O741+MAX(1,IF($N741="",1,$N741))-1)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IF($O742="","",$O742+MAX(1,IF($N742="",1,$N742))-1)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IF($O743="","",$O743+MAX(1,IF($N743="",1,$N743))-1)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IF($O744="","",$O744+MAX(1,IF($N744="",1,$N744))-1)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IF($O745="","",$O745+MAX(1,IF($N745="",1,$N745))-1)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IF($O746="","",$O746+MAX(1,IF($N746="",1,$N746))-1)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IF($O747="","",$O747+MAX(1,IF($N747="",1,$N747))-1)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IF($O748="","",$O748+MAX(1,IF($N748="",1,$N748))-1)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IF($O749="","",$O749+MAX(1,IF($N749="",1,$N749))-1)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IF($O750="","",$O750+MAX(1,IF($N750="",1,$N750))-1)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IF($O751="","",$O751+MAX(1,IF($N751="",1,$N751))-1)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IF($O752="","",$O752+MAX(1,IF($N752="",1,$N752))-1)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IF($O753="","",$O753+MAX(1,IF($N753="",1,$N753))-1)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IF($O754="","",$O754+MAX(1,IF($N754="",1,$N754))-1)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IF($O755="","",$O755+MAX(1,IF($N755="",1,$N755))-1)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IF($O756="","",$O756+MAX(1,IF($N756="",1,$N756))-1)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IF($O757="","",$O757+MAX(1,IF($N757="",1,$N757))-1)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IF($O758="","",$O758+MAX(1,IF($N758="",1,$N758))-1)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IF($O759="","",$O759+MAX(1,IF($N759="",1,$N759))-1)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IF($O760="","",$O760+MAX(1,IF($N760="",1,$N760))-1)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IF($O761="","",$O761+MAX(1,IF($N761="",1,$N761))-1)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IF($O762="","",$O762+MAX(1,IF($N762="",1,$N762))-1)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IF($O763="","",$O763+MAX(1,IF($N763="",1,$N763))-1)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IF($O764="","",$O764+MAX(1,IF($N764="",1,$N764))-1)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IF($O765="","",$O765+MAX(1,IF($N765="",1,$N765))-1)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IF($O766="","",$O766+MAX(1,IF($N766="",1,$N766))-1)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IF($O767="","",$O767+MAX(1,IF($N767="",1,$N767))-1)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IF($O768="","",$O768+MAX(1,IF($N768="",1,$N768))-1)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IF($O769="","",$O769+MAX(1,IF($N769="",1,$N769))-1)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IF($O770="","",$O770+MAX(1,IF($N770="",1,$N770))-1)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IF($O771="","",$O771+MAX(1,IF($N771="",1,$N771))-1)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IF($O772="","",$O772+MAX(1,IF($N772="",1,$N772))-1)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IF($O773="","",$O773+MAX(1,IF($N773="",1,$N773))-1)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IF($O774="","",$O774+MAX(1,IF($N774="",1,$N774))-1)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IF($O775="","",$O775+MAX(1,IF($N775="",1,$N775))-1)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IF($O776="","",$O776+MAX(1,IF($N776="",1,$N776))-1)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IF($O777="","",$O777+MAX(1,IF($N777="",1,$N777))-1)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IF($O778="","",$O778+MAX(1,IF($N778="",1,$N778))-1)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IF($O779="","",$O779+MAX(1,IF($N779="",1,$N779))-1)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IF($O780="","",$O780+MAX(1,IF($N780="",1,$N780))-1)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IF($O781="","",$O781+MAX(1,IF($N781="",1,$N781))-1)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IF($O782="","",$O782+MAX(1,IF($N782="",1,$N782))-1)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IF($O783="","",$O783+MAX(1,IF($N783="",1,$N783))-1)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IF($O784="","",$O784+MAX(1,IF($N784="",1,$N784))-1)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IF($O785="","",$O785+MAX(1,IF($N785="",1,$N785))-1)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IF($O786="","",$O786+MAX(1,IF($N786="",1,$N786))-1)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IF($O787="","",$O787+MAX(1,IF($N787="",1,$N787))-1)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IF($O788="","",$O788+MAX(1,IF($N788="",1,$N788))-1)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IF($O789="","",$O789+MAX(1,IF($N789="",1,$N789))-1)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IF($O790="","",$O790+MAX(1,IF($N790="",1,$N790))-1)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IF($O791="","",$O791+MAX(1,IF($N791="",1,$N791))-1)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IF($O792="","",$O792+MAX(1,IF($N792="",1,$N792))-1)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IF($O793="","",$O793+MAX(1,IF($N793="",1,$N793))-1)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IF($O794="","",$O794+MAX(1,IF($N794="",1,$N794))-1)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IF($O795="","",$O795+MAX(1,IF($N795="",1,$N795))-1)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IF($O796="","",$O796+MAX(1,IF($N796="",1,$N796))-1)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IF($O797="","",$O797+MAX(1,IF($N797="",1,$N797))-1)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IF($O798="","",$O798+MAX(1,IF($N798="",1,$N798))-1)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IF($O799="","",$O799+MAX(1,IF($N799="",1,$N799))-1)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IF($O800="","",$O800+MAX(1,IF($N800="",1,$N800))-1)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IF($O801="","",$O801+MAX(1,IF($N801="",1,$N801))-1)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IF($O802="","",$O802+MAX(1,IF($N802="",1,$N802))-1)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IF($O803="","",$O803+MAX(1,IF($N803="",1,$N803))-1)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IF($O804="","",$O804+MAX(1,IF($N804="",1,$N804))-1)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IF($O805="","",$O805+MAX(1,IF($N805="",1,$N805))-1)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IF($O806="","",$O806+MAX(1,IF($N806="",1,$N806))-1)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IF($O807="","",$O807+MAX(1,IF($N807="",1,$N807))-1)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IF($O808="","",$O808+MAX(1,IF($N808="",1,$N808))-1)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IF($O809="","",$O809+MAX(1,IF($N809="",1,$N809))-1)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IF($O810="","",$O810+MAX(1,IF($N810="",1,$N810))-1)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IF($O811="","",$O811+MAX(1,IF($N811="",1,$N811))-1)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IF($O812="","",$O812+MAX(1,IF($N812="",1,$N812))-1)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IF($O813="","",$O813+MAX(1,IF($N813="",1,$N813))-1)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IF($O814="","",$O814+MAX(1,IF($N814="",1,$N814))-1)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IF($O815="","",$O815+MAX(1,IF($N815="",1,$N815))-1)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IF($O816="","",$O816+MAX(1,IF($N816="",1,$N816))-1)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IF($O817="","",$O817+MAX(1,IF($N817="",1,$N817))-1)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IF($O818="","",$O818+MAX(1,IF($N818="",1,$N818))-1)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IF($O819="","",$O819+MAX(1,IF($N819="",1,$N819))-1)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IF($O820="","",$O820+MAX(1,IF($N820="",1,$N820))-1)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IF($O821="","",$O821+MAX(1,IF($N821="",1,$N821))-1)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IF($O822="","",$O822+MAX(1,IF($N822="",1,$N822))-1)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IF($O823="","",$O823+MAX(1,IF($N823="",1,$N823))-1)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IF($O824="","",$O824+MAX(1,IF($N824="",1,$N824))-1)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IF($O825="","",$O825+MAX(1,IF($N825="",1,$N825))-1)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IF($O826="","",$O826+MAX(1,IF($N826="",1,$N826))-1)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IF($O827="","",$O827+MAX(1,IF($N827="",1,$N827))-1)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IF($O828="","",$O828+MAX(1,IF($N828="",1,$N828))-1)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IF($O829="","",$O829+MAX(1,IF($N829="",1,$N829))-1)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IF($O830="","",$O830+MAX(1,IF($N830="",1,$N830))-1)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IF($O831="","",$O831+MAX(1,IF($N831="",1,$N831))-1)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IF($O832="","",$O832+MAX(1,IF($N832="",1,$N832))-1)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IF($O833="","",$O833+MAX(1,IF($N833="",1,$N833))-1)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IF($O834="","",$O834+MAX(1,IF($N834="",1,$N834))-1)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IF($O835="","",$O835+MAX(1,IF($N835="",1,$N835))-1)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IF($O836="","",$O836+MAX(1,IF($N836="",1,$N836))-1)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IF($O837="","",$O837+MAX(1,IF($N837="",1,$N837))-1)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IF($O838="","",$O838+MAX(1,IF($N838="",1,$N838))-1)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IF($O839="","",$O839+MAX(1,IF($N839="",1,$N839))-1)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IF($O840="","",$O840+MAX(1,IF($N840="",1,$N840))-1)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IF($O841="","",$O841+MAX(1,IF($N841="",1,$N841))-1)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IF($O842="","",$O842+MAX(1,IF($N842="",1,$N842))-1)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IF($O843="","",$O843+MAX(1,IF($N843="",1,$N843))-1)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IF($O844="","",$O844+MAX(1,IF($N844="",1,$N844))-1)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IF($O845="","",$O845+MAX(1,IF($N845="",1,$N845))-1)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IF($O846="","",$O846+MAX(1,IF($N846="",1,$N846))-1)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IF($O847="","",$O847+MAX(1,IF($N847="",1,$N847))-1)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IF($O848="","",$O848+MAX(1,IF($N848="",1,$N848))-1)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IF($O849="","",$O849+MAX(1,IF($N849="",1,$N849))-1)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IF($O850="","",$O850+MAX(1,IF($N850="",1,$N850))-1)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IF($O851="","",$O851+MAX(1,IF($N851="",1,$N851))-1)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IF($O852="","",$O852+MAX(1,IF($N852="",1,$N852))-1)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IF($O853="","",$O853+MAX(1,IF($N853="",1,$N853))-1)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IF($O854="","",$O854+MAX(1,IF($N854="",1,$N854))-1)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IF($O855="","",$O855+MAX(1,IF($N855="",1,$N855))-1)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IF($O856="","",$O856+MAX(1,IF($N856="",1,$N856))-1)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IF($O857="","",$O857+MAX(1,IF($N857="",1,$N857))-1)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IF($O858="","",$O858+MAX(1,IF($N858="",1,$N858))-1)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IF($O859="","",$O859+MAX(1,IF($N859="",1,$N859))-1)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IF($O860="","",$O860+MAX(1,IF($N860="",1,$N860))-1)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IF($O861="","",$O861+MAX(1,IF($N861="",1,$N861))-1)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IF($O862="","",$O862+MAX(1,IF($N862="",1,$N862))-1)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IF($O863="","",$O863+MAX(1,IF($N863="",1,$N863))-1)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IF($O864="","",$O864+MAX(1,IF($N864="",1,$N864))-1)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IF($O865="","",$O865+MAX(1,IF($N865="",1,$N865))-1)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IF($O866="","",$O866+MAX(1,IF($N866="",1,$N866))-1)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IF($O867="","",$O867+MAX(1,IF($N867="",1,$N867))-1)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IF($O868="","",$O868+MAX(1,IF($N868="",1,$N868))-1)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IF($O869="","",$O869+MAX(1,IF($N869="",1,$N869))-1)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IF($O870="","",$O870+MAX(1,IF($N870="",1,$N870))-1)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IF($O871="","",$O871+MAX(1,IF($N871="",1,$N871))-1)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IF($O872="","",$O872+MAX(1,IF($N872="",1,$N872))-1)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IF($O873="","",$O873+MAX(1,IF($N873="",1,$N873))-1)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IF($O874="","",$O874+MAX(1,IF($N874="",1,$N874))-1)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IF($O875="","",$O875+MAX(1,IF($N875="",1,$N875))-1)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IF($O876="","",$O876+MAX(1,IF($N876="",1,$N876))-1)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IF($O877="","",$O877+MAX(1,IF($N877="",1,$N877))-1)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IF($O878="","",$O878+MAX(1,IF($N878="",1,$N878))-1)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IF($O879="","",$O879+MAX(1,IF($N879="",1,$N879))-1)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IF($O880="","",$O880+MAX(1,IF($N880="",1,$N880))-1)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IF($O881="","",$O881+MAX(1,IF($N881="",1,$N881))-1)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IF($O882="","",$O882+MAX(1,IF($N882="",1,$N882))-1)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IF($O883="","",$O883+MAX(1,IF($N883="",1,$N883))-1)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IF($O884="","",$O884+MAX(1,IF($N884="",1,$N884))-1)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IF($O885="","",$O885+MAX(1,IF($N885="",1,$N885))-1)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IF($O886="","",$O886+MAX(1,IF($N886="",1,$N886))-1)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IF($O887="","",$O887+MAX(1,IF($N887="",1,$N887))-1)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IF($O888="","",$O888+MAX(1,IF($N888="",1,$N888))-1)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IF($O889="","",$O889+MAX(1,IF($N889="",1,$N889))-1)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IF($O890="","",$O890+MAX(1,IF($N890="",1,$N890))-1)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IF($O891="","",$O891+MAX(1,IF($N891="",1,$N891))-1)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IF($O892="","",$O892+MAX(1,IF($N892="",1,$N892))-1)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IF($O893="","",$O893+MAX(1,IF($N893="",1,$N893))-1)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IF($O894="","",$O894+MAX(1,IF($N894="",1,$N894))-1)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IF($O895="","",$O895+MAX(1,IF($N895="",1,$N895))-1)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IF($O896="","",$O896+MAX(1,IF($N896="",1,$N896))-1)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IF($O897="","",$O897+MAX(1,IF($N897="",1,$N897))-1)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IF($O898="","",$O898+MAX(1,IF($N898="",1,$N898))-1)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IF($O899="","",$O899+MAX(1,IF($N899="",1,$N899))-1)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IF($O900="","",$O900+MAX(1,IF($N900="",1,$N900))-1)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IF($O901="","",$O901+MAX(1,IF($N901="",1,$N901))-1)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IF($O902="","",$O902+MAX(1,IF($N902="",1,$N902))-1)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IF($O903="","",$O903+MAX(1,IF($N903="",1,$N903))-1)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IF($O904="","",$O904+MAX(1,IF($N904="",1,$N904))-1)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IF($O905="","",$O905+MAX(1,IF($N905="",1,$N905))-1)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IF($O906="","",$O906+MAX(1,IF($N906="",1,$N906))-1)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IF($O907="","",$O907+MAX(1,IF($N907="",1,$N907))-1)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IF($O908="","",$O908+MAX(1,IF($N908="",1,$N908))-1)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IF($O909="","",$O909+MAX(1,IF($N909="",1,$N909))-1)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IF($O910="","",$O910+MAX(1,IF($N910="",1,$N910))-1)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IF($O911="","",$O911+MAX(1,IF($N911="",1,$N911))-1)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IF($O912="","",$O912+MAX(1,IF($N912="",1,$N912))-1)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IF($O913="","",$O913+MAX(1,IF($N913="",1,$N913))-1)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IF($O914="","",$O914+MAX(1,IF($N914="",1,$N914))-1)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IF($O915="","",$O915+MAX(1,IF($N915="",1,$N915))-1)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IF($O916="","",$O916+MAX(1,IF($N916="",1,$N916))-1)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IF($O917="","",$O917+MAX(1,IF($N917="",1,$N917))-1)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IF($O918="","",$O918+MAX(1,IF($N918="",1,$N918))-1)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IF($O919="","",$O919+MAX(1,IF($N919="",1,$N919))-1)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IF($O920="","",$O920+MAX(1,IF($N920="",1,$N920))-1)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IF($O921="","",$O921+MAX(1,IF($N921="",1,$N921))-1)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IF($O922="","",$O922+MAX(1,IF($N922="",1,$N922))-1)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IF($O923="","",$O923+MAX(1,IF($N923="",1,$N923))-1)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IF($O924="","",$O924+MAX(1,IF($N924="",1,$N924))-1)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IF($O925="","",$O925+MAX(1,IF($N925="",1,$N925))-1)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IF($O926="","",$O926+MAX(1,IF($N926="",1,$N926))-1)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IF($O927="","",$O927+MAX(1,IF($N927="",1,$N927))-1)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IF($O928="","",$O928+MAX(1,IF($N928="",1,$N928))-1)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IF($O929="","",$O929+MAX(1,IF($N929="",1,$N929))-1)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IF($O930="","",$O930+MAX(1,IF($N930="",1,$N930))-1)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IF($O931="","",$O931+MAX(1,IF($N931="",1,$N931))-1)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IF($O932="","",$O932+MAX(1,IF($N932="",1,$N932))-1)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IF($O933="","",$O933+MAX(1,IF($N933="",1,$N933))-1)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IF($O934="","",$O934+MAX(1,IF($N934="",1,$N934))-1)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IF($O935="","",$O935+MAX(1,IF($N935="",1,$N935))-1)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IF($O936="","",$O936+MAX(1,IF($N936="",1,$N936))-1)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IF($O937="","",$O937+MAX(1,IF($N937="",1,$N937))-1)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IF($O938="","",$O938+MAX(1,IF($N938="",1,$N938))-1)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IF($O939="","",$O939+MAX(1,IF($N939="",1,$N939))-1)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IF($O940="","",$O940+MAX(1,IF($N940="",1,$N940))-1)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IF($O941="","",$O941+MAX(1,IF($N941="",1,$N941))-1)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IF($O942="","",$O942+MAX(1,IF($N942="",1,$N942))-1)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IF($O943="","",$O943+MAX(1,IF($N943="",1,$N943))-1)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IF($O944="","",$O944+MAX(1,IF($N944="",1,$N944))-1)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IF($O945="","",$O945+MAX(1,IF($N945="",1,$N945))-1)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IF($O946="","",$O946+MAX(1,IF($N946="",1,$N946))-1)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IF($O947="","",$O947+MAX(1,IF($N947="",1,$N947))-1)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IF($O948="","",$O948+MAX(1,IF($N948="",1,$N948))-1)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IF($O949="","",$O949+MAX(1,IF($N949="",1,$N949))-1)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IF($O950="","",$O950+MAX(1,IF($N950="",1,$N950))-1)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IF($O951="","",$O951+MAX(1,IF($N951="",1,$N951))-1)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IF($O952="","",$O952+MAX(1,IF($N952="",1,$N952))-1)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IF($O953="","",$O953+MAX(1,IF($N953="",1,$N953))-1)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IF($O954="","",$O954+MAX(1,IF($N954="",1,$N954))-1)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IF($O955="","",$O955+MAX(1,IF($N955="",1,$N955))-1)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IF($O956="","",$O956+MAX(1,IF($N956="",1,$N956))-1)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IF($O957="","",$O957+MAX(1,IF($N957="",1,$N957))-1)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IF($O958="","",$O958+MAX(1,IF($N958="",1,$N958))-1)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IF($O959="","",$O959+MAX(1,IF($N959="",1,$N959))-1)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IF($O960="","",$O960+MAX(1,IF($N960="",1,$N960))-1)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IF($O961="","",$O961+MAX(1,IF($N961="",1,$N961))-1)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IF($O962="","",$O962+MAX(1,IF($N962="",1,$N962))-1)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IF($O963="","",$O963+MAX(1,IF($N963="",1,$N963))-1)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IF($O964="","",$O964+MAX(1,IF($N964="",1,$N964))-1)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IF($O965="","",$O965+MAX(1,IF($N965="",1,$N965))-1)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IF($O966="","",$O966+MAX(1,IF($N966="",1,$N966))-1)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IF($O967="","",$O967+MAX(1,IF($N967="",1,$N967))-1)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IF($O968="","",$O968+MAX(1,IF($N968="",1,$N968))-1)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IF($O969="","",$O969+MAX(1,IF($N969="",1,$N969))-1)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IF($O970="","",$O970+MAX(1,IF($N970="",1,$N970))-1)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IF($O971="","",$O971+MAX(1,IF($N971="",1,$N971))-1)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IF($O972="","",$O972+MAX(1,IF($N972="",1,$N972))-1)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IF($O973="","",$O973+MAX(1,IF($N973="",1,$N973))-1)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IF($O974="","",$O974+MAX(1,IF($N974="",1,$N974))-1)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IF($O975="","",$O975+MAX(1,IF($N975="",1,$N975))-1)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IF($O976="","",$O976+MAX(1,IF($N976="",1,$N976))-1)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IF($O977="","",$O977+MAX(1,IF($N977="",1,$N977))-1)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IF($O978="","",$O978+MAX(1,IF($N978="",1,$N978))-1)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IF($O979="","",$O979+MAX(1,IF($N979="",1,$N979))-1)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IF($O980="","",$O980+MAX(1,IF($N980="",1,$N980))-1)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IF($O981="","",$O981+MAX(1,IF($N981="",1,$N981))-1)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IF($O982="","",$O982+MAX(1,IF($N982="",1,$N982))-1)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IF($O983="","",$O983+MAX(1,IF($N983="",1,$N983))-1)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IF($O984="","",$O984+MAX(1,IF($N984="",1,$N984))-1)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IF($O985="","",$O985+MAX(1,IF($N985="",1,$N985))-1)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IF($O986="","",$O986+MAX(1,IF($N986="",1,$N986))-1)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IF($O987="","",$O987+MAX(1,IF($N987="",1,$N987))-1)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IF($O988="","",$O988+MAX(1,IF($N988="",1,$N988))-1)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IF($O989="","",$O989+MAX(1,IF($N989="",1,$N989))-1)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IF($O990="","",$O990+MAX(1,IF($N990="",1,$N990))-1)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IF($O991="","",$O991+MAX(1,IF($N991="",1,$N991))-1)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IF($O992="","",$O992+MAX(1,IF($N992="",1,$N992))-1)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IF($O993="","",$O993+MAX(1,IF($N993="",1,$N993))-1)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IF($O994="","",$O994+MAX(1,IF($N994="",1,$N994))-1)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IF($O995="","",$O995+MAX(1,IF($N995="",1,$N995))-1)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IF($O996="","",$O996+MAX(1,IF($N996="",1,$N996))-1)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IF($O997="","",$O997+MAX(1,IF($N997="",1,$N997))-1)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IF($O998="","",$O998+MAX(1,IF($N998="",1,$N998))-1)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IF($O999="","",$O999+MAX(1,IF($N999="",1,$N999))-1)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IF($O1000="","",$O1000+MAX(1,IF($N1000="",1,$N1000))-1)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IF($O1001="","",$O1001+MAX(1,IF($N1001="",1,$N1001))-1)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IF($O1002="","",$O1002+MAX(1,IF($N1002="",1,$N1002))-1)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IF($O1003="","",$O1003+MAX(1,IF($N1003="",1,$N1003))-1)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IF($O1004="","",$O1004+MAX(1,IF($N1004="",1,$N1004))-1)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</row>
  </sheetData>
  <autoFilter ref="A3:AI1004"/>
  <mergeCells count="8">
    <mergeCell ref="A1:AI1"/>
    <mergeCell ref="A2:B2"/>
    <mergeCell ref="C2:H2"/>
    <mergeCell ref="I2:K2"/>
    <mergeCell ref="L2:N2"/>
    <mergeCell ref="O2:P2"/>
    <mergeCell ref="Q2:U2"/>
    <mergeCell ref="V2:AI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3">
      <formula>$B5="Falta a atividade"</formula>
    </cfRule>
    <cfRule type="expression" priority="6" aboveAverage="0" equalAverage="0" bottom="0" percent="0" rank="0" text="" dxfId="34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5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6">
      <formula>$B5="Programada"</formula>
    </cfRule>
    <cfRule type="expression" priority="11" aboveAverage="0" equalAverage="0" bottom="0" percent="0" rank="0" text="" dxfId="37">
      <formula>$B5="Na carteira"</formula>
    </cfRule>
    <cfRule type="expression" priority="12" aboveAverage="0" equalAverage="0" bottom="0" percent="0" rank="0" text="" dxfId="38">
      <formula>$B5="Cancelada"</formula>
    </cfRule>
  </conditionalFormatting>
  <conditionalFormatting sqref="C5:H1004">
    <cfRule type="expression" priority="13" aboveAverage="0" equalAverage="0" bottom="0" percent="0" rank="0" text="" dxfId="39">
      <formula>$B5="Cancelada"</formula>
    </cfRule>
  </conditionalFormatting>
  <conditionalFormatting sqref="H5:H1004">
    <cfRule type="expression" priority="14" aboveAverage="0" equalAverage="0" bottom="0" percent="0" rank="0" text="" dxfId="40">
      <formula>$H5="Extra"</formula>
    </cfRule>
  </conditionalFormatting>
  <conditionalFormatting sqref="A5:A1004">
    <cfRule type="expression" priority="15" aboveAverage="0" equalAverage="0" bottom="0" percent="0" rank="0" text="" dxfId="41">
      <formula>$H5="Extra"</formula>
    </cfRule>
  </conditionalFormatting>
  <conditionalFormatting sqref="O5:P1004">
    <cfRule type="expression" priority="16" aboveAverage="0" equalAverage="0" bottom="0" percent="0" rank="0" text="" dxfId="42">
      <formula>$B5="VENCIDA"</formula>
    </cfRule>
    <cfRule type="expression" priority="17" aboveAverage="0" equalAverage="0" bottom="0" percent="0" rank="0" text="" dxfId="43">
      <formula>$B5="Fecha hoje"</formula>
    </cfRule>
    <cfRule type="expression" priority="18" aboveAverage="0" equalAverage="0" bottom="0" percent="0" rank="0" text="" dxfId="44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5">
      <formula>$T5&lt;&gt;""</formula>
    </cfRule>
  </conditionalFormatting>
  <conditionalFormatting sqref="A5:AI1004">
    <cfRule type="expression" priority="21" aboveAverage="0" equalAverage="0" bottom="0" percent="0" rank="0" text="" dxfId="46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460</v>
      </c>
      <c r="B3" s="68"/>
      <c r="C3" s="69" t="n">
        <v>36</v>
      </c>
      <c r="D3" s="70" t="s">
        <v>461</v>
      </c>
      <c r="E3" s="71" t="n">
        <f aca="false">(DATE(Semana!$J$3,1,4)-WEEKDAY(DATE(Semana!$J$3,1,4),3))+($C$3-1)*7</f>
        <v>46265</v>
      </c>
      <c r="F3" s="70" t="s">
        <v>462</v>
      </c>
      <c r="G3" s="71" t="n">
        <f aca="false">$E$3+6</f>
        <v>46271</v>
      </c>
      <c r="I3" s="72" t="s">
        <v>463</v>
      </c>
      <c r="J3" s="73" t="n">
        <v>2026</v>
      </c>
      <c r="K3" s="74" t="s">
        <v>464</v>
      </c>
      <c r="L3" s="74"/>
      <c r="M3" s="75" t="n">
        <v>0.75</v>
      </c>
    </row>
    <row r="4" customFormat="false" ht="19.5" hidden="false" customHeight="true" outlineLevel="0" collapsed="false">
      <c r="A4" s="76" t="s">
        <v>465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466</v>
      </c>
      <c r="B5" s="12"/>
      <c r="C5" s="12"/>
      <c r="D5" s="12" t="s">
        <v>467</v>
      </c>
      <c r="E5" s="12"/>
      <c r="F5" s="12" t="s">
        <v>468</v>
      </c>
      <c r="G5" s="12"/>
      <c r="H5" s="12" t="s">
        <v>469</v>
      </c>
      <c r="I5" s="12"/>
      <c r="J5" s="12" t="s">
        <v>470</v>
      </c>
      <c r="K5" s="12"/>
      <c r="L5" s="12" t="s">
        <v>471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40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5</v>
      </c>
      <c r="E6" s="78"/>
      <c r="F6" s="79" t="n">
        <f aca="false">IF($A$6=0,"",$D$6/$A$6)</f>
        <v>0.125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0.111111111111111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5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0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79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472</v>
      </c>
      <c r="B9" s="76"/>
      <c r="C9" s="76"/>
      <c r="D9" s="48" t="s">
        <v>473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474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475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55</v>
      </c>
      <c r="I11" s="88" t="n">
        <f aca="false">COUNTIFS(Programação!$L$5:$L$1004,I$10,Programação!$F$5:$F$1004,"&lt;&gt;",Programação!$R$5:$R$1004,"&lt;&gt;Cancelada")</f>
        <v>45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476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477</v>
      </c>
      <c r="J13" s="19" t="s">
        <v>193</v>
      </c>
      <c r="K13" s="19" t="s">
        <v>478</v>
      </c>
      <c r="L13" s="19" t="s">
        <v>479</v>
      </c>
      <c r="M13" s="19" t="s">
        <v>480</v>
      </c>
      <c r="N13" s="19" t="s">
        <v>481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15</v>
      </c>
      <c r="C14" s="90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0</v>
      </c>
      <c r="D14" s="90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0</v>
      </c>
      <c r="E14" s="90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0</v>
      </c>
      <c r="F14" s="90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0</v>
      </c>
      <c r="G14" s="90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90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91" t="n">
        <f aca="false">IF($A14="","",SUM($B14:$H14))</f>
        <v>15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44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0.266666666666667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7.5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1</v>
      </c>
      <c r="C15" s="90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90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0</v>
      </c>
      <c r="E15" s="90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3</v>
      </c>
      <c r="F15" s="90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90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90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91" t="n">
        <f aca="false">IF($A15="","",SUM($B15:$H15))</f>
        <v>4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8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92" t="n">
        <f aca="false">IF(OR($A15="",$I15=0),"",$K15/$I15)</f>
        <v>0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2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7</v>
      </c>
      <c r="C16" s="90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0</v>
      </c>
      <c r="D16" s="90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0</v>
      </c>
      <c r="E16" s="90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0</v>
      </c>
      <c r="F16" s="90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0</v>
      </c>
      <c r="G16" s="90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90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91" t="n">
        <f aca="false">IF($A16="","",SUM($B16:$H16))</f>
        <v>7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21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92" t="n">
        <f aca="false">IF(OR($A16="",$I16=0),"",$K16/$I16)</f>
        <v>0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7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15</v>
      </c>
      <c r="C17" s="90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0</v>
      </c>
      <c r="D17" s="90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0</v>
      </c>
      <c r="E17" s="90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90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0</v>
      </c>
      <c r="G17" s="90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90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91" t="n">
        <f aca="false">IF($A17="","",SUM($B17:$H17))</f>
        <v>15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44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0.266666666666667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7.5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8</v>
      </c>
      <c r="C18" s="90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0</v>
      </c>
      <c r="D18" s="90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90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0</v>
      </c>
      <c r="F18" s="90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90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90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10</v>
      </c>
      <c r="C19" s="90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0</v>
      </c>
      <c r="D19" s="90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0</v>
      </c>
      <c r="E19" s="90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</v>
      </c>
      <c r="F19" s="90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90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90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91" t="n">
        <f aca="false">IF($A19="","",SUM($B19:$H19))</f>
        <v>11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34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</v>
      </c>
      <c r="L19" s="92" t="n">
        <f aca="false">IF(OR($A19="",$I19=0),"",$K19/$I19)</f>
        <v>0.0909090909090909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11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1</v>
      </c>
      <c r="C20" s="90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90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0</v>
      </c>
      <c r="E20" s="90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3</v>
      </c>
      <c r="F20" s="90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90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90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91" t="n">
        <f aca="false">IF($A20="","",SUM($B20:$H20))</f>
        <v>4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8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92" t="n">
        <f aca="false">IF(OR($A20="",$I20=0),"",$K20/$I20)</f>
        <v>0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2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0</v>
      </c>
      <c r="C21" s="90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90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90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90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90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90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90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90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90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90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90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90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Eduardo da sticker (externo)</v>
      </c>
      <c r="B23" s="90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90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0</v>
      </c>
      <c r="D23" s="90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0</v>
      </c>
      <c r="E23" s="90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90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90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90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Molas Pinheiro (externo)</v>
      </c>
      <c r="B24" s="90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90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90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90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0</v>
      </c>
      <c r="F24" s="90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90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90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Rodo Ceará (externo)</v>
      </c>
      <c r="B25" s="90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90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90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90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0</v>
      </c>
      <c r="F25" s="90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90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90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/>
      </c>
      <c r="B26" s="90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90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90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90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90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90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90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91" t="str">
        <f aca="false">IF($A26="","",SUM($B26:$H26))</f>
        <v/>
      </c>
      <c r="J26" s="91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91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92" t="str">
        <f aca="false">IF(OR($A26="",$I26=0),"",$K26/$I26)</f>
        <v/>
      </c>
      <c r="M26" s="91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93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90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90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90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90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90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90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90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90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90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90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90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90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90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90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90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90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90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90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94" t="s">
        <v>482</v>
      </c>
      <c r="B30" s="91" t="n">
        <f aca="false">COUNTIFS(Programação!$I$5:$I$1004,"",Programação!$F$5:$F$1004,"&lt;&gt;",Programação!$O$5:$O$1004,B$13,Programação!$R$5:$R$1004,"&lt;&gt;Cancelada")</f>
        <v>0</v>
      </c>
      <c r="C30" s="91" t="n">
        <f aca="false">COUNTIFS(Programação!$I$5:$I$1004,"",Programação!$F$5:$F$1004,"&lt;&gt;",Programação!$O$5:$O$1004,C$13,Programação!$R$5:$R$1004,"&lt;&gt;Cancelada")</f>
        <v>0</v>
      </c>
      <c r="D30" s="91" t="n">
        <f aca="false">COUNTIFS(Programação!$I$5:$I$1004,"",Programação!$F$5:$F$1004,"&lt;&gt;",Programação!$O$5:$O$1004,D$13,Programação!$R$5:$R$1004,"&lt;&gt;Cancelada")</f>
        <v>0</v>
      </c>
      <c r="E30" s="91" t="n">
        <f aca="false">COUNTIFS(Programação!$I$5:$I$1004,"",Programação!$F$5:$F$1004,"&lt;&gt;",Programação!$O$5:$O$1004,E$13,Programação!$R$5:$R$1004,"&lt;&gt;Cancelada")</f>
        <v>0</v>
      </c>
      <c r="F30" s="91" t="n">
        <f aca="false">COUNTIFS(Programação!$I$5:$I$1004,"",Programação!$F$5:$F$1004,"&lt;&gt;",Programação!$O$5:$O$1004,F$13,Programação!$R$5:$R$1004,"&lt;&gt;Cancelada")</f>
        <v>0</v>
      </c>
      <c r="G30" s="91" t="n">
        <f aca="false">COUNTIFS(Programação!$I$5:$I$1004,"",Programação!$F$5:$F$1004,"&lt;&gt;",Programação!$O$5:$O$1004,G$13,Programação!$R$5:$R$1004,"&lt;&gt;Cancelada")</f>
        <v>0</v>
      </c>
      <c r="H30" s="91" t="n">
        <f aca="false">COUNTIFS(Programação!$I$5:$I$1004,"",Programação!$F$5:$F$1004,"&lt;&gt;",Programação!$O$5:$O$1004,H$13,Programação!$R$5:$R$1004,"&lt;&gt;Cancelada")</f>
        <v>0</v>
      </c>
      <c r="I30" s="91" t="n">
        <f aca="false">SUM($B30:$H30)</f>
        <v>0</v>
      </c>
      <c r="J30" s="91" t="n">
        <f aca="false">SUMIFS(Programação!$N$5:$N$1004,Programação!$I$5:$I$1004,"",Programação!$O$5:$O$1004,"&gt;="&amp;$E$3,Programação!$O$5:$O$1004,"&lt;="&amp;$G$3,Programação!$R$5:$R$1004,"&lt;&gt;Cancelada")</f>
        <v>0</v>
      </c>
      <c r="K30" s="91" t="n">
        <f aca="false">SUMIFS(Programação!$AB$5:$AB$1004,Programação!$I$5:$I$1004,"",Programação!$O$5:$O$1004,"&gt;="&amp;$E$3,Programação!$O$5:$O$1004,"&lt;="&amp;$G$3)</f>
        <v>0</v>
      </c>
      <c r="L30" s="92" t="str">
        <f aca="false">IF($I30=0,"",$K30/$I30)</f>
        <v/>
      </c>
      <c r="M30" s="91" t="n">
        <f aca="false">COUNTIFS(Programação!$I$5:$I$1004,"",Programação!$B$5:$B$1004,"VENCIDA",Programação!$O$5:$O$1004,"&gt;="&amp;$E$3,Programação!$O$5:$O$1004,"&lt;="&amp;$G$3)</f>
        <v>0</v>
      </c>
      <c r="N30" s="93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1" customFormat="false" ht="16.5" hidden="false" customHeight="true" outlineLevel="0" collapsed="false">
      <c r="A31" s="95" t="s">
        <v>483</v>
      </c>
      <c r="B31" s="96" t="n">
        <f aca="false">COUNTIFS(Programação!$F$5:$F$1004,"&lt;&gt;",Programação!$O$5:$O$1004,B$13,Programação!$R$5:$R$1004,"&lt;&gt;Cancelada")</f>
        <v>41</v>
      </c>
      <c r="C31" s="96" t="n">
        <f aca="false">COUNTIFS(Programação!$F$5:$F$1004,"&lt;&gt;",Programação!$O$5:$O$1004,C$13,Programação!$R$5:$R$1004,"&lt;&gt;Cancelada")</f>
        <v>0</v>
      </c>
      <c r="D31" s="96" t="n">
        <f aca="false">COUNTIFS(Programação!$F$5:$F$1004,"&lt;&gt;",Programação!$O$5:$O$1004,D$13,Programação!$R$5:$R$1004,"&lt;&gt;Cancelada")</f>
        <v>0</v>
      </c>
      <c r="E31" s="96" t="n">
        <f aca="false">COUNTIFS(Programação!$F$5:$F$1004,"&lt;&gt;",Programação!$O$5:$O$1004,E$13,Programação!$R$5:$R$1004,"&lt;&gt;Cancelada")</f>
        <v>4</v>
      </c>
      <c r="F31" s="96" t="n">
        <f aca="false">COUNTIFS(Programação!$F$5:$F$1004,"&lt;&gt;",Programação!$O$5:$O$1004,F$13,Programação!$R$5:$R$1004,"&lt;&gt;Cancelada")</f>
        <v>0</v>
      </c>
      <c r="G31" s="96" t="n">
        <f aca="false">COUNTIFS(Programação!$F$5:$F$1004,"&lt;&gt;",Programação!$O$5:$O$1004,G$13,Programação!$R$5:$R$1004,"&lt;&gt;Cancelada")</f>
        <v>0</v>
      </c>
      <c r="H31" s="96" t="n">
        <f aca="false">COUNTIFS(Programação!$F$5:$F$1004,"&lt;&gt;",Programação!$O$5:$O$1004,H$13,Programação!$R$5:$R$1004,"&lt;&gt;Cancelada")</f>
        <v>0</v>
      </c>
      <c r="I31" s="96" t="n">
        <f aca="false">COUNTIFS(Programação!$O$5:$O$1004,"&gt;="&amp;$E$3,Programação!$O$5:$O$1004,"&lt;="&amp;$G$3,Programação!$F$5:$F$1004,"&lt;&gt;",Programação!$R$5:$R$1004,"&lt;&gt;Cancelada")</f>
        <v>45</v>
      </c>
      <c r="J31" s="96" t="n">
        <f aca="false">SUMIFS(Programação!$N$5:$N$1004,Programação!$O$5:$O$1004,"&gt;="&amp;$E$3,Programação!$O$5:$O$1004,"&lt;="&amp;$G$3,Programação!$R$5:$R$1004,"&lt;&gt;Cancelada")</f>
        <v>131</v>
      </c>
      <c r="K31" s="96" t="n">
        <f aca="false">SUMIFS(Programação!$AB$5:$AB$1004,Programação!$O$5:$O$1004,"&gt;="&amp;$E$3,Programação!$O$5:$O$1004,"&lt;="&amp;$G$3)</f>
        <v>5</v>
      </c>
      <c r="L31" s="97" t="n">
        <f aca="false">IF($I31=0,"",$K31/$I31)</f>
        <v>0.111111111111111</v>
      </c>
      <c r="M31" s="96" t="n">
        <f aca="false">COUNTIFS(Programação!$B$5:$B$1004,"VENCIDA",Programação!$O$5:$O$1004,"&gt;="&amp;$E$3,Programação!$O$5:$O$1004,"&lt;="&amp;$G$3)</f>
        <v>0</v>
      </c>
      <c r="N31" s="98" t="n">
        <f aca="false">SUM($N14:$N30)</f>
        <v>45</v>
      </c>
    </row>
    <row r="33" customFormat="false" ht="19.5" hidden="false" customHeight="true" outlineLevel="0" collapsed="false">
      <c r="A33" s="76" t="s">
        <v>484</v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</row>
    <row r="34" customFormat="false" ht="16.5" hidden="false" customHeight="true" outlineLevel="0" collapsed="false">
      <c r="A34" s="22" t="s">
        <v>485</v>
      </c>
      <c r="B34" s="99" t="n">
        <f aca="false">COUNTIFS(Programação!$P$5:$P$1004,B$13,Programação!$F$5:$F$1004,"&lt;&gt;",Programação!$R$5:$R$1004,"&lt;&gt;Cancelada",Programação!$V$5:$V$1004,"Interna")</f>
        <v>0</v>
      </c>
      <c r="C34" s="99" t="n">
        <f aca="false">COUNTIFS(Programação!$P$5:$P$1004,C$13,Programação!$F$5:$F$1004,"&lt;&gt;",Programação!$R$5:$R$1004,"&lt;&gt;Cancelada",Programação!$V$5:$V$1004,"Interna")</f>
        <v>1</v>
      </c>
      <c r="D34" s="99" t="n">
        <f aca="false">COUNTIFS(Programação!$P$5:$P$1004,D$13,Programação!$F$5:$F$1004,"&lt;&gt;",Programação!$R$5:$R$1004,"&lt;&gt;Cancelada",Programação!$V$5:$V$1004,"Interna")</f>
        <v>40</v>
      </c>
      <c r="E34" s="99" t="n">
        <f aca="false">COUNTIFS(Programação!$P$5:$P$1004,E$13,Programação!$F$5:$F$1004,"&lt;&gt;",Programação!$R$5:$R$1004,"&lt;&gt;Cancelada",Programação!$V$5:$V$1004,"Interna")</f>
        <v>1</v>
      </c>
      <c r="F34" s="99" t="n">
        <f aca="false">COUNTIFS(Programação!$P$5:$P$1004,F$13,Programação!$F$5:$F$1004,"&lt;&gt;",Programação!$R$5:$R$1004,"&lt;&gt;Cancelada",Programação!$V$5:$V$1004,"Interna")</f>
        <v>2</v>
      </c>
      <c r="G34" s="99" t="n">
        <f aca="false">COUNTIFS(Programação!$P$5:$P$1004,G$13,Programação!$F$5:$F$1004,"&lt;&gt;",Programação!$R$5:$R$1004,"&lt;&gt;Cancelada",Programação!$V$5:$V$1004,"Interna")</f>
        <v>0</v>
      </c>
      <c r="H34" s="99" t="n">
        <f aca="false">COUNTIFS(Programação!$P$5:$P$1004,H$13,Programação!$F$5:$F$1004,"&lt;&gt;",Programação!$R$5:$R$1004,"&lt;&gt;Cancelada",Programação!$V$5:$V$1004,"Interna")</f>
        <v>1</v>
      </c>
      <c r="I34" s="99" t="n">
        <f aca="false">SUM($B34:$H34)</f>
        <v>45</v>
      </c>
    </row>
    <row r="35" customFormat="false" ht="16.5" hidden="false" customHeight="true" outlineLevel="0" collapsed="false">
      <c r="A35" s="22" t="s">
        <v>486</v>
      </c>
      <c r="B35" s="99" t="n">
        <f aca="false">SUMIFS(Programação!$AB$5:$AB$1004,Programação!$P$5:$P$1004,B$13,Programação!$R$5:$R$1004,"&lt;&gt;Cancelada",Programação!$V$5:$V$1004,"Interna")</f>
        <v>0</v>
      </c>
      <c r="C35" s="99" t="n">
        <f aca="false">SUMIFS(Programação!$AB$5:$AB$1004,Programação!$P$5:$P$1004,C$13,Programação!$R$5:$R$1004,"&lt;&gt;Cancelada",Programação!$V$5:$V$1004,"Interna")</f>
        <v>1</v>
      </c>
      <c r="D35" s="99" t="n">
        <f aca="false">SUMIFS(Programação!$AB$5:$AB$1004,Programação!$P$5:$P$1004,D$13,Programação!$R$5:$R$1004,"&lt;&gt;Cancelada",Programação!$V$5:$V$1004,"Interna")</f>
        <v>3</v>
      </c>
      <c r="E35" s="99" t="n">
        <f aca="false">SUMIFS(Programação!$AB$5:$AB$1004,Programação!$P$5:$P$1004,E$13,Programação!$R$5:$R$1004,"&lt;&gt;Cancelada",Programação!$V$5:$V$1004,"Interna")</f>
        <v>0</v>
      </c>
      <c r="F35" s="99" t="n">
        <f aca="false">SUMIFS(Programação!$AB$5:$AB$1004,Programação!$P$5:$P$1004,F$13,Programação!$R$5:$R$1004,"&lt;&gt;Cancelada",Programação!$V$5:$V$1004,"Interna")</f>
        <v>0</v>
      </c>
      <c r="G35" s="99" t="n">
        <f aca="false">SUMIFS(Programação!$AB$5:$AB$1004,Programação!$P$5:$P$1004,G$13,Programação!$R$5:$R$1004,"&lt;&gt;Cancelada",Programação!$V$5:$V$1004,"Interna")</f>
        <v>0</v>
      </c>
      <c r="H35" s="99" t="n">
        <f aca="false">SUMIFS(Programação!$AB$5:$AB$1004,Programação!$P$5:$P$1004,H$13,Programação!$R$5:$R$1004,"&lt;&gt;Cancelada",Programação!$V$5:$V$1004,"Interna")</f>
        <v>1</v>
      </c>
      <c r="I35" s="99" t="n">
        <f aca="false">SUM($B35:$H35)</f>
        <v>5</v>
      </c>
    </row>
    <row r="36" customFormat="false" ht="16.5" hidden="false" customHeight="true" outlineLevel="0" collapsed="false">
      <c r="A36" s="100" t="s">
        <v>487</v>
      </c>
      <c r="B36" s="101" t="str">
        <f aca="false">IF(B34=0,"",B35/B34)</f>
        <v/>
      </c>
      <c r="C36" s="101" t="n">
        <f aca="false">IF(C34=0,"",C35/C34)</f>
        <v>1</v>
      </c>
      <c r="D36" s="101" t="n">
        <f aca="false">IF(D34=0,"",D35/D34)</f>
        <v>0.075</v>
      </c>
      <c r="E36" s="101" t="n">
        <f aca="false">IF(E34=0,"",E35/E34)</f>
        <v>0</v>
      </c>
      <c r="F36" s="101" t="n">
        <f aca="false">IF(F34=0,"",F35/F34)</f>
        <v>0</v>
      </c>
      <c r="G36" s="101" t="str">
        <f aca="false">IF(G34=0,"",G35/G34)</f>
        <v/>
      </c>
      <c r="H36" s="101" t="n">
        <f aca="false">IF(H34=0,"",H35/H34)</f>
        <v>1</v>
      </c>
      <c r="I36" s="101" t="n">
        <f aca="false">IF($I34=0,"",$I35/$I34)</f>
        <v>0.111111111111111</v>
      </c>
    </row>
    <row r="38" customFormat="false" ht="15" hidden="false" customHeight="false" outlineLevel="0" collapsed="false">
      <c r="A38" s="48" t="s">
        <v>488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  <mergeCell ref="A38:N38"/>
  </mergeCells>
  <conditionalFormatting sqref="E11:M11">
    <cfRule type="cellIs" priority="2" operator="equal" aboveAverage="0" equalAverage="0" bottom="0" percent="0" rank="0" text="" dxfId="47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{91EE2137-E69A-4E76-9426-DF37C95C708F}</x14:id>
        </ext>
      </extLst>
    </cfRule>
    <cfRule type="cellIs" priority="4" operator="equal" aboveAverage="0" equalAverage="0" bottom="0" percent="0" rank="0" text="" dxfId="48">
      <formula>0</formula>
    </cfRule>
  </conditionalFormatting>
  <conditionalFormatting sqref="L14:L29">
    <cfRule type="cellIs" priority="5" operator="greaterThanOrEqual" aboveAverage="0" equalAverage="0" bottom="0" percent="0" rank="0" text="" dxfId="49">
      <formula>0.85</formula>
    </cfRule>
    <cfRule type="cellIs" priority="6" operator="lessThan" aboveAverage="0" equalAverage="0" bottom="0" percent="0" rank="0" text="" dxfId="50">
      <formula>0.6</formula>
    </cfRule>
  </conditionalFormatting>
  <conditionalFormatting sqref="M14:M30">
    <cfRule type="cellIs" priority="7" operator="greaterThan" aboveAverage="0" equalAverage="0" bottom="0" percent="0" rank="0" text="" dxfId="50">
      <formula>0</formula>
    </cfRule>
  </conditionalFormatting>
  <conditionalFormatting sqref="B36:I36">
    <cfRule type="cellIs" priority="8" operator="greaterThanOrEqual" aboveAverage="0" equalAverage="0" bottom="0" percent="0" rank="0" text="" dxfId="49">
      <formula>0.85</formula>
    </cfRule>
    <cfRule type="cellIs" priority="9" operator="lessThan" aboveAverage="0" equalAverage="0" bottom="0" percent="0" rank="0" text="" dxfId="50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EE2137-E69A-4E76-9426-DF37C95C708F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489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490</v>
      </c>
      <c r="B3" s="103" t="n">
        <f aca="false">Semana!$C$3</f>
        <v>36</v>
      </c>
      <c r="C3" s="104" t="n">
        <f aca="false">Semana!$E$3</f>
        <v>46265</v>
      </c>
      <c r="D3" s="105" t="s">
        <v>462</v>
      </c>
      <c r="E3" s="104" t="n">
        <f aca="false">Semana!$G$3</f>
        <v>46271</v>
      </c>
      <c r="F3" s="48" t="s">
        <v>491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492</v>
      </c>
      <c r="B5" s="106"/>
      <c r="C5" s="106"/>
      <c r="D5" s="106"/>
      <c r="E5" s="106"/>
      <c r="F5" s="106"/>
      <c r="G5" s="106" t="s">
        <v>469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0.125</v>
      </c>
      <c r="B6" s="107"/>
      <c r="C6" s="107"/>
      <c r="D6" s="107"/>
      <c r="E6" s="107"/>
      <c r="F6" s="107"/>
      <c r="G6" s="108" t="n">
        <f aca="false">IFERROR(B18/B16,"")</f>
        <v>0.111111111111111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5 de 40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5 das 45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493</v>
      </c>
      <c r="B11" s="55" t="s">
        <v>494</v>
      </c>
      <c r="C11" s="110" t="s">
        <v>495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496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497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13" s="113" t="s">
        <v>498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C14" s="113" t="s">
        <v>499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500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C15" s="113" t="s">
        <v>501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502</v>
      </c>
      <c r="B16" s="112" t="n">
        <f aca="false">COUNTIFS(Programação!$O$5:$O$1004,"&gt;="&amp;$C$3,Programação!$O$5:$O$1004,"&lt;="&amp;$E$3,Programação!$R$5:$R$1004,"&lt;&gt;Cancelada",Programação!$V$5:$V$1004,"Interna")</f>
        <v>45</v>
      </c>
      <c r="C16" s="113" t="s">
        <v>503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504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505</v>
      </c>
      <c r="B18" s="112" t="n">
        <f aca="false">SUMIFS(Programação!$AB$5:$AB$1004,Programação!$O$5:$O$1004,"&gt;="&amp;$C$3,Programação!$O$5:$O$1004,"&lt;="&amp;$E$3,Programação!$V$5:$V$1004,"Interna")</f>
        <v>5</v>
      </c>
      <c r="C18" s="113" t="s">
        <v>503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506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507</v>
      </c>
      <c r="B20" s="115" t="n">
        <f aca="false">IFERROR(B15/B13,"")</f>
        <v>0.125</v>
      </c>
      <c r="C20" s="116" t="s">
        <v>508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0.111111111111111</v>
      </c>
      <c r="C21" s="116" t="s">
        <v>509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510</v>
      </c>
      <c r="B22" s="117" t="n">
        <f aca="false">IFERROR(B14/B16,"")</f>
        <v>0.111111111111111</v>
      </c>
      <c r="C22" s="113" t="s">
        <v>511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512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4</v>
      </c>
      <c r="C23" s="113" t="s">
        <v>513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514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515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516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517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518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519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480</v>
      </c>
      <c r="B27" s="112" t="n">
        <f aca="false">COUNTIFS(Programação!$B$5:$B$1004,"VENCIDA",Programação!$O$5:$O$1004,"&gt;="&amp;$C$3,Programação!$O$5:$O$1004,"&lt;="&amp;$E$3,Programação!$V$5:$V$1004,"Interna")</f>
        <v>0</v>
      </c>
      <c r="C27" s="113" t="s">
        <v>520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521</v>
      </c>
      <c r="B28" s="112" t="n">
        <f aca="false">SUMIFS(Programação!$AA$5:$AA$1004,Programação!$O$5:$O$1004,"&gt;="&amp;$C$3,Programação!$O$5:$O$1004,"&lt;="&amp;$E$3,Programação!$V$5:$V$1004,"Interna")</f>
        <v>39</v>
      </c>
      <c r="C28" s="113" t="s">
        <v>522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523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524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525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526</v>
      </c>
      <c r="B31" s="118" t="n">
        <f aca="false">IFERROR(B16/5,"")</f>
        <v>9</v>
      </c>
      <c r="C31" s="113" t="s">
        <v>527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528</v>
      </c>
      <c r="B32" s="118" t="n">
        <f aca="false">IFERROR(B18/5,"")</f>
        <v>1</v>
      </c>
      <c r="C32" s="113" t="s">
        <v>529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530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131</v>
      </c>
      <c r="C33" s="113" t="s">
        <v>531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532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533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534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535</v>
      </c>
      <c r="B36" s="112" t="n">
        <f aca="false">COUNTIFS(Programação!$O$5:$O$1004,"&gt;="&amp;$C$3,Programação!$O$5:$O$1004,"&lt;="&amp;$E$3,Programação!$R$5:$R$1004,"Cancelada")</f>
        <v>0</v>
      </c>
      <c r="C36" s="113" t="s">
        <v>536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537</v>
      </c>
      <c r="B37" s="112" t="n">
        <f aca="false">COUNTIFS(Programação!$O$5:$O$1004,"",Programação!$F$5:$F$1004,"&lt;&gt;",Programação!$R$5:$R$1004,"&lt;&gt;Cancelada")</f>
        <v>79</v>
      </c>
      <c r="C37" s="113" t="s">
        <v>538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539</v>
      </c>
      <c r="P39" s="119" t="s">
        <v>540</v>
      </c>
      <c r="Q39" s="119" t="s">
        <v>478</v>
      </c>
    </row>
    <row r="40" customFormat="false" ht="15" hidden="false" customHeight="false" outlineLevel="0" collapsed="false">
      <c r="O40" s="119" t="s">
        <v>541</v>
      </c>
      <c r="P40" s="120" t="n">
        <f aca="false">B13</f>
        <v>40</v>
      </c>
      <c r="Q40" s="120" t="n">
        <f aca="false">B15</f>
        <v>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5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477</v>
      </c>
      <c r="Q43" s="119"/>
    </row>
    <row r="44" customFormat="false" ht="15" hidden="false" customHeight="false" outlineLevel="0" collapsed="false">
      <c r="O44" s="119" t="s">
        <v>478</v>
      </c>
      <c r="P44" s="120" t="n">
        <f aca="false">B18</f>
        <v>5</v>
      </c>
      <c r="Q44" s="119"/>
    </row>
    <row r="45" customFormat="false" ht="15" hidden="false" customHeight="false" outlineLevel="0" collapsed="false">
      <c r="O45" s="119" t="s">
        <v>480</v>
      </c>
      <c r="P45" s="120" t="n">
        <f aca="false">B27</f>
        <v>0</v>
      </c>
      <c r="Q45" s="119"/>
    </row>
    <row r="46" customFormat="false" ht="15" hidden="false" customHeight="false" outlineLevel="0" collapsed="false">
      <c r="O46" s="119" t="s">
        <v>542</v>
      </c>
      <c r="P46" s="119" t="n">
        <f aca="false">MAX(0,B16-B18-B27)</f>
        <v>40</v>
      </c>
      <c r="Q46" s="119"/>
    </row>
    <row r="47" customFormat="false" ht="15" hidden="false" customHeight="false" outlineLevel="0" collapsed="false">
      <c r="O47" s="119" t="s">
        <v>535</v>
      </c>
      <c r="P47" s="120" t="n">
        <f aca="false">B36</f>
        <v>0</v>
      </c>
      <c r="Q47" s="119"/>
    </row>
    <row r="48" customFormat="false" ht="15" hidden="false" customHeight="false" outlineLevel="0" collapsed="false">
      <c r="O48" s="119" t="s">
        <v>543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544</v>
      </c>
      <c r="B57" s="29"/>
      <c r="C57" s="29"/>
      <c r="D57" s="29"/>
      <c r="E57" s="29"/>
      <c r="F57" s="29"/>
      <c r="H57" s="29" t="s">
        <v>545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546</v>
      </c>
      <c r="B58" s="19" t="s">
        <v>199</v>
      </c>
      <c r="C58" s="19" t="s">
        <v>204</v>
      </c>
      <c r="D58" s="19" t="s">
        <v>547</v>
      </c>
      <c r="E58" s="19" t="s">
        <v>480</v>
      </c>
      <c r="F58" s="19" t="s">
        <v>216</v>
      </c>
      <c r="H58" s="19" t="s">
        <v>546</v>
      </c>
      <c r="I58" s="19" t="s">
        <v>199</v>
      </c>
      <c r="J58" s="19" t="s">
        <v>204</v>
      </c>
      <c r="K58" s="19" t="s">
        <v>547</v>
      </c>
      <c r="L58" s="19" t="s">
        <v>480</v>
      </c>
      <c r="M58" s="19" t="s">
        <v>216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10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0.4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5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4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92" t="n">
        <f aca="false">IF(OR($A60="",$B60=0),"",$C60/$B60)</f>
        <v>0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92" t="n">
        <f aca="false">IF(OR($A61="",$B61=0),"",$C61/$B61)</f>
        <v>0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10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0.4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5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0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11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</v>
      </c>
      <c r="D64" s="92" t="n">
        <f aca="false">IF(OR($A64="",$B64=0),"",$C64/$B64)</f>
        <v>0.0909090909090909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1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n">
        <f aca="false">IF(OR($H64="",$I64=0),"",$J64/$I64)</f>
        <v>0</v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92" t="n">
        <f aca="false">IF(OR($A65="",$B65=0),"",$C65/$B65)</f>
        <v>0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Eduardo da sticker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11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0.363636363636364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5</v>
      </c>
    </row>
    <row r="69" customFormat="false" ht="15.75" hidden="false" customHeight="true" outlineLevel="0" collapsed="false">
      <c r="A69" s="21" t="str">
        <f aca="false">IF(Listas!A15="","",Listas!A15)</f>
        <v>Molas Pinheiro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Rodo Ceará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/>
      </c>
      <c r="B71" s="91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91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92" t="str">
        <f aca="false">IF(OR($A71="",$B71=0),"",$C71/$B71)</f>
        <v/>
      </c>
      <c r="E71" s="91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91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n">
        <f aca="false">IF(OR($H73="",$I73=0),"",$J73/$I73)</f>
        <v>0</v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121" t="s">
        <v>483</v>
      </c>
      <c r="B74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74" s="12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D74" s="123" t="n">
        <f aca="false">IF($B74=0,"",$C74/$B74)</f>
        <v>0.125</v>
      </c>
      <c r="E74" s="122" t="n">
        <f aca="false">COUNTIFS(Programação!$B$5:$B$1004,"VENCIDA",Programação!$O$5:$O$1004,"&gt;="&amp;$C$3,Programação!$O$5:$O$1004,"&lt;="&amp;$E$3,Programação!$V$5:$V$1004,"Interna")</f>
        <v>0</v>
      </c>
      <c r="F74" s="12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17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n">
        <f aca="false">IF(OR($H76="",$I76=0),"",$J76/$I76)</f>
        <v>0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1</v>
      </c>
      <c r="K80" s="92" t="n">
        <f aca="false">IF(OR($H80="",$I80=0),"",$J80/$I80)</f>
        <v>1</v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F-745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F-763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1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n">
        <f aca="false">IF(OR($H82="",$I82=0),"",$J82/$I82)</f>
        <v>0</v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F-789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F-814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8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F-817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F-818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F-856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F-871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F-938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F-964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F-966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F-968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/>
      </c>
      <c r="I94" s="91" t="str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/>
      </c>
      <c r="J94" s="91" t="str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/>
      </c>
      <c r="K94" s="92" t="str">
        <f aca="false">IF(OR($H94="",$I94=0),"",$J94/$I94)</f>
        <v/>
      </c>
      <c r="L94" s="91" t="str">
        <f aca="false">IF($H94="","",COUNTIFS(Programação!$D$5:$D$1004,$H94,Programação!$B$5:$B$1004,"VENCIDA",Programação!$O$5:$O$1004,"&gt;="&amp;$C$3,Programação!$O$5:$O$1004,"&lt;="&amp;$E$3,Programação!$V$5:$V$1004,"Interna"))</f>
        <v/>
      </c>
      <c r="M94" s="91" t="str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/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9" customFormat="false" ht="15" hidden="false" customHeight="false" outlineLevel="0" collapsed="false">
      <c r="A99" s="29" t="s">
        <v>548</v>
      </c>
      <c r="B99" s="29"/>
      <c r="C99" s="29"/>
      <c r="D99" s="29"/>
      <c r="E99" s="29"/>
      <c r="F99" s="29"/>
    </row>
    <row r="100" customFormat="false" ht="15" hidden="false" customHeight="false" outlineLevel="0" collapsed="false">
      <c r="A100" s="19" t="s">
        <v>546</v>
      </c>
      <c r="B100" s="19" t="s">
        <v>199</v>
      </c>
      <c r="C100" s="19" t="s">
        <v>204</v>
      </c>
      <c r="D100" s="19" t="s">
        <v>547</v>
      </c>
      <c r="E100" s="19" t="s">
        <v>480</v>
      </c>
      <c r="F100" s="19" t="s">
        <v>216</v>
      </c>
    </row>
    <row r="101" customFormat="false" ht="15.75" hidden="false" customHeight="true" outlineLevel="0" collapsed="false">
      <c r="A101" s="21" t="str">
        <f aca="false">IF(Listas!C5="","",Listas!C5)</f>
        <v>Corretiva</v>
      </c>
      <c r="B101" s="91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30</v>
      </c>
      <c r="C101" s="91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1</v>
      </c>
      <c r="D101" s="92" t="n">
        <f aca="false">IF(OR($A101="",$B101=0),"",$C101/$B101)</f>
        <v>0.0333333333333333</v>
      </c>
      <c r="E101" s="91" t="n">
        <f aca="false">IF($A101="","",COUNTIFS(Programação!$G$5:$G$1004,$A101,Programação!$B$5:$B$1004,"VENCIDA",Programação!$O$5:$O$1004,"&gt;="&amp;$C$3,Programação!$O$5:$O$1004,"&lt;="&amp;$E$3,Programação!$V$5:$V$1004,"Interna"))</f>
        <v>0</v>
      </c>
      <c r="F101" s="91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1" t="str">
        <f aca="false">IF(Listas!C6="","",Listas!C6)</f>
        <v>Preventiva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10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4</v>
      </c>
      <c r="D102" s="92" t="n">
        <f aca="false">IF(OR($A102="",$B102=0),"",$C102/$B102)</f>
        <v>0.4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0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5</v>
      </c>
    </row>
    <row r="103" customFormat="false" ht="15.75" hidden="false" customHeight="true" outlineLevel="0" collapsed="false">
      <c r="A103" s="21" t="str">
        <f aca="false">IF(Listas!C7="","",Listas!C7)</f>
        <v>Preditiva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0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0</v>
      </c>
      <c r="D103" s="92" t="str">
        <f aca="false">IF(OR($A103="",$B103=0),"",$C103/$B103)</f>
        <v/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0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IF(Listas!C8="","",Listas!C8)</f>
        <v>Melhoria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IF(Listas!C9="","",Listas!C9)</f>
        <v>Inspeção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IF(Listas!C10="","",Listas!C10)</f>
        <v/>
      </c>
      <c r="B106" s="91" t="str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/>
      </c>
      <c r="C106" s="91" t="str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/>
      </c>
      <c r="D106" s="92" t="str">
        <f aca="false">IF(OR($A106="",$B106=0),"",$C106/$B106)</f>
        <v/>
      </c>
      <c r="E106" s="91" t="str">
        <f aca="false">IF($A106="","",COUNTIFS(Programação!$G$5:$G$1004,$A106,Programação!$B$5:$B$1004,"VENCIDA",Programação!$O$5:$O$1004,"&gt;="&amp;$C$3,Programação!$O$5:$O$1004,"&lt;="&amp;$E$3,Programação!$V$5:$V$1004,"Interna"))</f>
        <v/>
      </c>
      <c r="F106" s="91" t="str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A107" s="21" t="str">
        <f aca="false">IF(Listas!C11="","",Listas!C11)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99:F99"/>
  </mergeCells>
  <conditionalFormatting sqref="B20">
    <cfRule type="cellIs" priority="2" operator="greaterThanOrEqual" aboveAverage="0" equalAverage="0" bottom="0" percent="0" rank="0" text="" dxfId="51">
      <formula>0.85</formula>
    </cfRule>
    <cfRule type="cellIs" priority="3" operator="lessThan" aboveAverage="0" equalAverage="0" bottom="0" percent="0" rank="0" text="" dxfId="52">
      <formula>0.6</formula>
    </cfRule>
  </conditionalFormatting>
  <conditionalFormatting sqref="B21">
    <cfRule type="cellIs" priority="4" operator="greaterThanOrEqual" aboveAverage="0" equalAverage="0" bottom="0" percent="0" rank="0" text="" dxfId="51">
      <formula>0.85</formula>
    </cfRule>
    <cfRule type="cellIs" priority="5" operator="lessThan" aboveAverage="0" equalAverage="0" bottom="0" percent="0" rank="0" text="" dxfId="52">
      <formula>0.6</formula>
    </cfRule>
  </conditionalFormatting>
  <conditionalFormatting sqref="B24">
    <cfRule type="cellIs" priority="6" operator="greaterThanOrEqual" aboveAverage="0" equalAverage="0" bottom="0" percent="0" rank="0" text="" dxfId="51">
      <formula>0.85</formula>
    </cfRule>
    <cfRule type="cellIs" priority="7" operator="lessThan" aboveAverage="0" equalAverage="0" bottom="0" percent="0" rank="0" text="" dxfId="52">
      <formula>0.6</formula>
    </cfRule>
  </conditionalFormatting>
  <conditionalFormatting sqref="B25">
    <cfRule type="cellIs" priority="8" operator="greaterThanOrEqual" aboveAverage="0" equalAverage="0" bottom="0" percent="0" rank="0" text="" dxfId="51">
      <formula>0.85</formula>
    </cfRule>
    <cfRule type="cellIs" priority="9" operator="lessThan" aboveAverage="0" equalAverage="0" bottom="0" percent="0" rank="0" text="" dxfId="52">
      <formula>0.6</formula>
    </cfRule>
  </conditionalFormatting>
  <conditionalFormatting sqref="B27">
    <cfRule type="cellIs" priority="10" operator="greaterThan" aboveAverage="0" equalAverage="0" bottom="0" percent="0" rank="0" text="" dxfId="53">
      <formula>0</formula>
    </cfRule>
  </conditionalFormatting>
  <conditionalFormatting sqref="B14">
    <cfRule type="cellIs" priority="11" operator="greaterThan" aboveAverage="0" equalAverage="0" bottom="0" percent="0" rank="0" text="" dxfId="54">
      <formula>0</formula>
    </cfRule>
  </conditionalFormatting>
  <conditionalFormatting sqref="B22">
    <cfRule type="cellIs" priority="12" operator="greaterThan" aboveAverage="0" equalAverage="0" bottom="0" percent="0" rank="0" text="" dxfId="54">
      <formula>0</formula>
    </cfRule>
  </conditionalFormatting>
  <conditionalFormatting sqref="A6">
    <cfRule type="cellIs" priority="13" operator="greaterThanOrEqual" aboveAverage="0" equalAverage="0" bottom="0" percent="0" rank="0" text="" dxfId="55">
      <formula>0.85</formula>
    </cfRule>
    <cfRule type="cellIs" priority="14" operator="lessThan" aboveAverage="0" equalAverage="0" bottom="0" percent="0" rank="0" text="" dxfId="56">
      <formula>0.6</formula>
    </cfRule>
  </conditionalFormatting>
  <conditionalFormatting sqref="G6">
    <cfRule type="cellIs" priority="15" operator="greaterThanOrEqual" aboveAverage="0" equalAverage="0" bottom="0" percent="0" rank="0" text="" dxfId="55">
      <formula>0.85</formula>
    </cfRule>
    <cfRule type="cellIs" priority="16" operator="lessThan" aboveAverage="0" equalAverage="0" bottom="0" percent="0" rank="0" text="" dxfId="56">
      <formula>0.6</formula>
    </cfRule>
  </conditionalFormatting>
  <conditionalFormatting sqref="F59:F73">
    <cfRule type="cellIs" priority="17" operator="greaterThan" aboveAverage="0" equalAverage="0" bottom="0" percent="0" rank="0" text="" dxfId="57">
      <formula>0</formula>
    </cfRule>
  </conditionalFormatting>
  <conditionalFormatting sqref="D59:D73">
    <cfRule type="cellIs" priority="18" operator="greaterThanOrEqual" aboveAverage="0" equalAverage="0" bottom="0" percent="0" rank="0" text="" dxfId="49">
      <formula>0.85</formula>
    </cfRule>
    <cfRule type="cellIs" priority="19" operator="lessThan" aboveAverage="0" equalAverage="0" bottom="0" percent="0" rank="0" text="" dxfId="50">
      <formula>0.6</formula>
    </cfRule>
  </conditionalFormatting>
  <conditionalFormatting sqref="E59:E73">
    <cfRule type="cellIs" priority="20" operator="greaterThan" aboveAverage="0" equalAverage="0" bottom="0" percent="0" rank="0" text="" dxfId="58">
      <formula>0</formula>
    </cfRule>
  </conditionalFormatting>
  <conditionalFormatting sqref="M59:M96">
    <cfRule type="cellIs" priority="21" operator="greaterThan" aboveAverage="0" equalAverage="0" bottom="0" percent="0" rank="0" text="" dxfId="57">
      <formula>0</formula>
    </cfRule>
  </conditionalFormatting>
  <conditionalFormatting sqref="K59:K96">
    <cfRule type="cellIs" priority="22" operator="greaterThanOrEqual" aboveAverage="0" equalAverage="0" bottom="0" percent="0" rank="0" text="" dxfId="49">
      <formula>0.85</formula>
    </cfRule>
    <cfRule type="cellIs" priority="23" operator="lessThan" aboveAverage="0" equalAverage="0" bottom="0" percent="0" rank="0" text="" dxfId="50">
      <formula>0.6</formula>
    </cfRule>
  </conditionalFormatting>
  <conditionalFormatting sqref="L59:L96">
    <cfRule type="cellIs" priority="24" operator="greaterThan" aboveAverage="0" equalAverage="0" bottom="0" percent="0" rank="0" text="" dxfId="58">
      <formula>0</formula>
    </cfRule>
  </conditionalFormatting>
  <conditionalFormatting sqref="F101:F107">
    <cfRule type="cellIs" priority="25" operator="greaterThan" aboveAverage="0" equalAverage="0" bottom="0" percent="0" rank="0" text="" dxfId="57">
      <formula>0</formula>
    </cfRule>
  </conditionalFormatting>
  <conditionalFormatting sqref="D101:D107">
    <cfRule type="cellIs" priority="26" operator="greaterThanOrEqual" aboveAverage="0" equalAverage="0" bottom="0" percent="0" rank="0" text="" dxfId="49">
      <formula>0.85</formula>
    </cfRule>
    <cfRule type="cellIs" priority="27" operator="lessThan" aboveAverage="0" equalAverage="0" bottom="0" percent="0" rank="0" text="" dxfId="50">
      <formula>0.6</formula>
    </cfRule>
  </conditionalFormatting>
  <conditionalFormatting sqref="E101:E107">
    <cfRule type="cellIs" priority="28" operator="greaterThan" aboveAverage="0" equalAverage="0" bottom="0" percent="0" rank="0" text="" dxfId="58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2026-08-31T12:11:35Z</dcterms:created>
  <dc:creator>openpyxl</dc:creator>
  <dc:description/>
  <dc:language>en-US</dc:language>
  <cp:lastModifiedBy/>
  <dcterms:modified xsi:type="dcterms:W3CDTF">2026-08-31T12:11:40Z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